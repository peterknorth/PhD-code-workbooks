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A0A6A0C8-707F-1040-8606-6CCDF0F92430}" xr6:coauthVersionLast="47" xr6:coauthVersionMax="47" xr10:uidLastSave="{00000000-0000-0000-0000-000000000000}"/>
  <bookViews>
    <workbookView xWindow="0" yWindow="500" windowWidth="40960" windowHeight="20900" activeTab="1" xr2:uid="{CFE7E63E-0C41-C84D-AED0-B596B91BC05D}"/>
  </bookViews>
  <sheets>
    <sheet name="Properties" sheetId="3" r:id="rId1"/>
    <sheet name="Winter" sheetId="5" r:id="rId2"/>
    <sheet name="Spring Autumn" sheetId="9" r:id="rId3"/>
    <sheet name="Summer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F17" i="3"/>
  <c r="D17" i="3"/>
  <c r="C511" i="10" l="1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510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342" i="10"/>
  <c r="C336" i="10"/>
  <c r="C174" i="10"/>
  <c r="C337" i="10" s="1"/>
  <c r="C175" i="10"/>
  <c r="C176" i="10"/>
  <c r="C177" i="10"/>
  <c r="C340" i="10" s="1"/>
  <c r="C178" i="10"/>
  <c r="C341" i="10" s="1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8" i="10"/>
  <c r="C339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" i="10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510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342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" i="9"/>
  <c r="C174" i="9"/>
  <c r="C678" i="9"/>
  <c r="C514" i="5" l="1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513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345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177" i="5"/>
  <c r="C4" i="9" l="1"/>
  <c r="H14" i="3"/>
  <c r="G5" i="10" s="1"/>
  <c r="F14" i="3"/>
  <c r="G5" i="9" s="1"/>
  <c r="D14" i="3"/>
  <c r="G8" i="5" s="1"/>
  <c r="D10" i="3"/>
  <c r="G4" i="9" s="1"/>
  <c r="D9" i="3"/>
  <c r="G6" i="5" s="1"/>
  <c r="C4" i="10"/>
  <c r="G7" i="5" l="1"/>
  <c r="G3" i="10"/>
  <c r="G3" i="9"/>
  <c r="G4" i="10"/>
  <c r="D370" i="10" s="1"/>
  <c r="D249" i="5"/>
  <c r="D407" i="5"/>
  <c r="D503" i="5"/>
  <c r="D673" i="9"/>
  <c r="D640" i="9"/>
  <c r="D667" i="9"/>
  <c r="D600" i="9"/>
  <c r="D593" i="9"/>
  <c r="D13" i="9"/>
  <c r="D74" i="9"/>
  <c r="D102" i="9"/>
  <c r="D158" i="9"/>
  <c r="D186" i="9"/>
  <c r="D246" i="9"/>
  <c r="D270" i="9"/>
  <c r="D330" i="9"/>
  <c r="D358" i="9"/>
  <c r="D414" i="9"/>
  <c r="D438" i="9"/>
  <c r="D482" i="9"/>
  <c r="D502" i="9"/>
  <c r="D546" i="9"/>
  <c r="D566" i="9"/>
  <c r="D610" i="9"/>
  <c r="D630" i="9"/>
  <c r="D23" i="9"/>
  <c r="D43" i="9"/>
  <c r="D87" i="9"/>
  <c r="D107" i="9"/>
  <c r="D151" i="9"/>
  <c r="D171" i="9"/>
  <c r="D215" i="9"/>
  <c r="D235" i="9"/>
  <c r="D279" i="9"/>
  <c r="D299" i="9"/>
  <c r="D343" i="9"/>
  <c r="D363" i="9"/>
  <c r="D407" i="9"/>
  <c r="D427" i="9"/>
  <c r="D471" i="9"/>
  <c r="D491" i="9"/>
  <c r="D523" i="9"/>
  <c r="D539" i="9"/>
  <c r="D563" i="9"/>
  <c r="D575" i="9"/>
  <c r="D20" i="9"/>
  <c r="D32" i="9"/>
  <c r="D52" i="9"/>
  <c r="D64" i="9"/>
  <c r="D84" i="9"/>
  <c r="D96" i="9"/>
  <c r="D116" i="9"/>
  <c r="D128" i="9"/>
  <c r="D148" i="9"/>
  <c r="D160" i="9"/>
  <c r="D180" i="9"/>
  <c r="D192" i="9"/>
  <c r="D212" i="9"/>
  <c r="D224" i="9"/>
  <c r="D244" i="9"/>
  <c r="D256" i="9"/>
  <c r="D276" i="9"/>
  <c r="D288" i="9"/>
  <c r="D308" i="9"/>
  <c r="D320" i="9"/>
  <c r="D340" i="9"/>
  <c r="D352" i="9"/>
  <c r="D368" i="9"/>
  <c r="D372" i="9"/>
  <c r="D388" i="9"/>
  <c r="D396" i="9"/>
  <c r="D412" i="9"/>
  <c r="D416" i="9"/>
  <c r="D432" i="9"/>
  <c r="D436" i="9"/>
  <c r="D452" i="9"/>
  <c r="D460" i="9"/>
  <c r="D476" i="9"/>
  <c r="D480" i="9"/>
  <c r="D496" i="9"/>
  <c r="D500" i="9"/>
  <c r="D516" i="9"/>
  <c r="D524" i="9"/>
  <c r="D540" i="9"/>
  <c r="D544" i="9"/>
  <c r="D560" i="9"/>
  <c r="D564" i="9"/>
  <c r="D7" i="9"/>
  <c r="D17" i="9"/>
  <c r="D33" i="9"/>
  <c r="D37" i="9"/>
  <c r="D53" i="9"/>
  <c r="D57" i="9"/>
  <c r="D73" i="9"/>
  <c r="D77" i="9"/>
  <c r="D89" i="9"/>
  <c r="D93" i="9"/>
  <c r="D105" i="9"/>
  <c r="D109" i="9"/>
  <c r="D121" i="9"/>
  <c r="D125" i="9"/>
  <c r="D137" i="9"/>
  <c r="D141" i="9"/>
  <c r="D153" i="9"/>
  <c r="D157" i="9"/>
  <c r="D169" i="9"/>
  <c r="D173" i="9"/>
  <c r="D185" i="9"/>
  <c r="D189" i="9"/>
  <c r="D201" i="9"/>
  <c r="D205" i="9"/>
  <c r="D217" i="9"/>
  <c r="D221" i="9"/>
  <c r="D233" i="9"/>
  <c r="D237" i="9"/>
  <c r="D249" i="9"/>
  <c r="D253" i="9"/>
  <c r="D265" i="9"/>
  <c r="D269" i="9"/>
  <c r="D281" i="9"/>
  <c r="D285" i="9"/>
  <c r="D297" i="9"/>
  <c r="D301" i="9"/>
  <c r="D313" i="9"/>
  <c r="D317" i="9"/>
  <c r="D329" i="9"/>
  <c r="D333" i="9"/>
  <c r="D345" i="9"/>
  <c r="D349" i="9"/>
  <c r="D361" i="9"/>
  <c r="D365" i="9"/>
  <c r="D377" i="9"/>
  <c r="D381" i="9"/>
  <c r="D393" i="9"/>
  <c r="D397" i="9"/>
  <c r="D409" i="9"/>
  <c r="D413" i="9"/>
  <c r="D425" i="9"/>
  <c r="D429" i="9"/>
  <c r="D441" i="9"/>
  <c r="D445" i="9"/>
  <c r="D457" i="9"/>
  <c r="D461" i="9"/>
  <c r="D473" i="9"/>
  <c r="D477" i="9"/>
  <c r="D489" i="9"/>
  <c r="D493" i="9"/>
  <c r="D505" i="9"/>
  <c r="D509" i="9"/>
  <c r="D521" i="9"/>
  <c r="D525" i="9"/>
  <c r="D537" i="9"/>
  <c r="D541" i="9"/>
  <c r="D672" i="9"/>
  <c r="D668" i="9"/>
  <c r="D655" i="9"/>
  <c r="D649" i="9"/>
  <c r="D633" i="9"/>
  <c r="D628" i="9"/>
  <c r="D612" i="9"/>
  <c r="D607" i="9"/>
  <c r="D591" i="9"/>
  <c r="D585" i="9"/>
  <c r="D631" i="5"/>
  <c r="D363" i="5"/>
  <c r="D599" i="5"/>
  <c r="D471" i="5"/>
  <c r="D663" i="5"/>
  <c r="D535" i="5"/>
  <c r="D14" i="5"/>
  <c r="D567" i="5"/>
  <c r="D439" i="5"/>
  <c r="D121" i="5"/>
  <c r="D651" i="5"/>
  <c r="D619" i="5"/>
  <c r="D587" i="5"/>
  <c r="D555" i="5"/>
  <c r="D523" i="5"/>
  <c r="D491" i="5"/>
  <c r="D459" i="5"/>
  <c r="D427" i="5"/>
  <c r="D395" i="5"/>
  <c r="D329" i="5"/>
  <c r="D201" i="5"/>
  <c r="D66" i="5"/>
  <c r="D679" i="5"/>
  <c r="D647" i="5"/>
  <c r="D615" i="5"/>
  <c r="D583" i="5"/>
  <c r="D551" i="5"/>
  <c r="D519" i="5"/>
  <c r="D487" i="5"/>
  <c r="D455" i="5"/>
  <c r="D423" i="5"/>
  <c r="D391" i="5"/>
  <c r="D313" i="5"/>
  <c r="D185" i="5"/>
  <c r="D34" i="5"/>
  <c r="D667" i="5"/>
  <c r="D635" i="5"/>
  <c r="D603" i="5"/>
  <c r="D571" i="5"/>
  <c r="D539" i="5"/>
  <c r="D507" i="5"/>
  <c r="D475" i="5"/>
  <c r="D443" i="5"/>
  <c r="D411" i="5"/>
  <c r="D371" i="5"/>
  <c r="D265" i="5"/>
  <c r="D137" i="5"/>
  <c r="D17" i="5"/>
  <c r="D25" i="5"/>
  <c r="D33" i="5"/>
  <c r="D49" i="5"/>
  <c r="D57" i="5"/>
  <c r="D65" i="5"/>
  <c r="D41" i="5"/>
  <c r="D73" i="5"/>
  <c r="D26" i="5"/>
  <c r="D58" i="5"/>
  <c r="D82" i="5"/>
  <c r="D98" i="5"/>
  <c r="D114" i="5"/>
  <c r="D130" i="5"/>
  <c r="D146" i="5"/>
  <c r="D162" i="5"/>
  <c r="D178" i="5"/>
  <c r="D194" i="5"/>
  <c r="D210" i="5"/>
  <c r="D226" i="5"/>
  <c r="D242" i="5"/>
  <c r="D258" i="5"/>
  <c r="D274" i="5"/>
  <c r="D290" i="5"/>
  <c r="D306" i="5"/>
  <c r="D322" i="5"/>
  <c r="D338" i="5"/>
  <c r="D352" i="5"/>
  <c r="D360" i="5"/>
  <c r="D368" i="5"/>
  <c r="D376" i="5"/>
  <c r="D384" i="5"/>
  <c r="D392" i="5"/>
  <c r="D400" i="5"/>
  <c r="D408" i="5"/>
  <c r="D416" i="5"/>
  <c r="D424" i="5"/>
  <c r="D432" i="5"/>
  <c r="D440" i="5"/>
  <c r="D448" i="5"/>
  <c r="D456" i="5"/>
  <c r="D464" i="5"/>
  <c r="D472" i="5"/>
  <c r="D480" i="5"/>
  <c r="D488" i="5"/>
  <c r="D496" i="5"/>
  <c r="D504" i="5"/>
  <c r="D512" i="5"/>
  <c r="D520" i="5"/>
  <c r="D528" i="5"/>
  <c r="D536" i="5"/>
  <c r="D544" i="5"/>
  <c r="D552" i="5"/>
  <c r="D560" i="5"/>
  <c r="D568" i="5"/>
  <c r="D576" i="5"/>
  <c r="D584" i="5"/>
  <c r="D592" i="5"/>
  <c r="D600" i="5"/>
  <c r="D608" i="5"/>
  <c r="D616" i="5"/>
  <c r="D624" i="5"/>
  <c r="D632" i="5"/>
  <c r="D640" i="5"/>
  <c r="D648" i="5"/>
  <c r="D656" i="5"/>
  <c r="D664" i="5"/>
  <c r="D672" i="5"/>
  <c r="D680" i="5"/>
  <c r="D10" i="5"/>
  <c r="D42" i="5"/>
  <c r="D74" i="5"/>
  <c r="D90" i="5"/>
  <c r="D106" i="5"/>
  <c r="D122" i="5"/>
  <c r="D138" i="5"/>
  <c r="D154" i="5"/>
  <c r="D170" i="5"/>
  <c r="D186" i="5"/>
  <c r="D202" i="5"/>
  <c r="D218" i="5"/>
  <c r="D234" i="5"/>
  <c r="D250" i="5"/>
  <c r="D266" i="5"/>
  <c r="D282" i="5"/>
  <c r="D298" i="5"/>
  <c r="D314" i="5"/>
  <c r="D330" i="5"/>
  <c r="D346" i="5"/>
  <c r="D356" i="5"/>
  <c r="D364" i="5"/>
  <c r="D372" i="5"/>
  <c r="D380" i="5"/>
  <c r="D388" i="5"/>
  <c r="D396" i="5"/>
  <c r="D404" i="5"/>
  <c r="D412" i="5"/>
  <c r="D420" i="5"/>
  <c r="D428" i="5"/>
  <c r="D436" i="5"/>
  <c r="D444" i="5"/>
  <c r="D452" i="5"/>
  <c r="D460" i="5"/>
  <c r="D468" i="5"/>
  <c r="D476" i="5"/>
  <c r="D484" i="5"/>
  <c r="D492" i="5"/>
  <c r="D500" i="5"/>
  <c r="D508" i="5"/>
  <c r="D516" i="5"/>
  <c r="D524" i="5"/>
  <c r="D532" i="5"/>
  <c r="D540" i="5"/>
  <c r="D548" i="5"/>
  <c r="D556" i="5"/>
  <c r="D564" i="5"/>
  <c r="D572" i="5"/>
  <c r="D580" i="5"/>
  <c r="D588" i="5"/>
  <c r="D596" i="5"/>
  <c r="D604" i="5"/>
  <c r="D612" i="5"/>
  <c r="D620" i="5"/>
  <c r="D628" i="5"/>
  <c r="D636" i="5"/>
  <c r="D644" i="5"/>
  <c r="D652" i="5"/>
  <c r="D660" i="5"/>
  <c r="D668" i="5"/>
  <c r="D676" i="5"/>
  <c r="D18" i="5"/>
  <c r="D50" i="5"/>
  <c r="D81" i="5"/>
  <c r="D97" i="5"/>
  <c r="D113" i="5"/>
  <c r="D129" i="5"/>
  <c r="D145" i="5"/>
  <c r="D161" i="5"/>
  <c r="D177" i="5"/>
  <c r="D193" i="5"/>
  <c r="D209" i="5"/>
  <c r="D225" i="5"/>
  <c r="D241" i="5"/>
  <c r="D257" i="5"/>
  <c r="D273" i="5"/>
  <c r="D289" i="5"/>
  <c r="D305" i="5"/>
  <c r="D321" i="5"/>
  <c r="D337" i="5"/>
  <c r="D351" i="5"/>
  <c r="D359" i="5"/>
  <c r="D367" i="5"/>
  <c r="D375" i="5"/>
  <c r="D383" i="5"/>
  <c r="D643" i="5"/>
  <c r="D611" i="5"/>
  <c r="D579" i="5"/>
  <c r="D563" i="5"/>
  <c r="D547" i="5"/>
  <c r="D531" i="5"/>
  <c r="D515" i="5"/>
  <c r="D499" i="5"/>
  <c r="D483" i="5"/>
  <c r="D467" i="5"/>
  <c r="D451" i="5"/>
  <c r="D435" i="5"/>
  <c r="D419" i="5"/>
  <c r="D403" i="5"/>
  <c r="D387" i="5"/>
  <c r="D355" i="5"/>
  <c r="D297" i="5"/>
  <c r="D233" i="5"/>
  <c r="D169" i="5"/>
  <c r="D105" i="5"/>
  <c r="D675" i="5"/>
  <c r="D659" i="5"/>
  <c r="D627" i="5"/>
  <c r="D595" i="5"/>
  <c r="D671" i="5"/>
  <c r="D655" i="5"/>
  <c r="D639" i="5"/>
  <c r="D623" i="5"/>
  <c r="D607" i="5"/>
  <c r="D591" i="5"/>
  <c r="D575" i="5"/>
  <c r="D559" i="5"/>
  <c r="D543" i="5"/>
  <c r="D527" i="5"/>
  <c r="D511" i="5"/>
  <c r="D495" i="5"/>
  <c r="D479" i="5"/>
  <c r="D463" i="5"/>
  <c r="D447" i="5"/>
  <c r="D431" i="5"/>
  <c r="D415" i="5"/>
  <c r="D399" i="5"/>
  <c r="D379" i="5"/>
  <c r="D345" i="5"/>
  <c r="D281" i="5"/>
  <c r="D217" i="5"/>
  <c r="D153" i="5"/>
  <c r="D89" i="5"/>
  <c r="D678" i="5"/>
  <c r="D670" i="5"/>
  <c r="D662" i="5"/>
  <c r="D650" i="5"/>
  <c r="D646" i="5"/>
  <c r="D638" i="5"/>
  <c r="D626" i="5"/>
  <c r="D618" i="5"/>
  <c r="D610" i="5"/>
  <c r="D598" i="5"/>
  <c r="D586" i="5"/>
  <c r="D574" i="5"/>
  <c r="D566" i="5"/>
  <c r="D558" i="5"/>
  <c r="D550" i="5"/>
  <c r="D542" i="5"/>
  <c r="D526" i="5"/>
  <c r="D518" i="5"/>
  <c r="D510" i="5"/>
  <c r="D502" i="5"/>
  <c r="D494" i="5"/>
  <c r="D486" i="5"/>
  <c r="D474" i="5"/>
  <c r="D466" i="5"/>
  <c r="D458" i="5"/>
  <c r="D450" i="5"/>
  <c r="D442" i="5"/>
  <c r="D434" i="5"/>
  <c r="D426" i="5"/>
  <c r="D418" i="5"/>
  <c r="D414" i="5"/>
  <c r="D406" i="5"/>
  <c r="D402" i="5"/>
  <c r="D398" i="5"/>
  <c r="D394" i="5"/>
  <c r="D390" i="5"/>
  <c r="D382" i="5"/>
  <c r="D378" i="5"/>
  <c r="D374" i="5"/>
  <c r="D370" i="5"/>
  <c r="D366" i="5"/>
  <c r="D362" i="5"/>
  <c r="D358" i="5"/>
  <c r="D354" i="5"/>
  <c r="D350" i="5"/>
  <c r="D342" i="5"/>
  <c r="D334" i="5"/>
  <c r="D326" i="5"/>
  <c r="D318" i="5"/>
  <c r="D310" i="5"/>
  <c r="D302" i="5"/>
  <c r="D294" i="5"/>
  <c r="D286" i="5"/>
  <c r="D278" i="5"/>
  <c r="D270" i="5"/>
  <c r="D262" i="5"/>
  <c r="D254" i="5"/>
  <c r="D246" i="5"/>
  <c r="D238" i="5"/>
  <c r="D230" i="5"/>
  <c r="D222" i="5"/>
  <c r="D214" i="5"/>
  <c r="D206" i="5"/>
  <c r="D198" i="5"/>
  <c r="D190" i="5"/>
  <c r="D182" i="5"/>
  <c r="D174" i="5"/>
  <c r="D166" i="5"/>
  <c r="D158" i="5"/>
  <c r="D150" i="5"/>
  <c r="D142" i="5"/>
  <c r="D134" i="5"/>
  <c r="D126" i="5"/>
  <c r="D118" i="5"/>
  <c r="D110" i="5"/>
  <c r="D102" i="5"/>
  <c r="D94" i="5"/>
  <c r="D86" i="5"/>
  <c r="D78" i="5"/>
  <c r="D70" i="5"/>
  <c r="D62" i="5"/>
  <c r="D54" i="5"/>
  <c r="D46" i="5"/>
  <c r="D38" i="5"/>
  <c r="D30" i="5"/>
  <c r="D22" i="5"/>
  <c r="D11" i="5"/>
  <c r="D15" i="5"/>
  <c r="D19" i="5"/>
  <c r="D23" i="5"/>
  <c r="D27" i="5"/>
  <c r="D31" i="5"/>
  <c r="D35" i="5"/>
  <c r="D39" i="5"/>
  <c r="D43" i="5"/>
  <c r="D47" i="5"/>
  <c r="D51" i="5"/>
  <c r="D55" i="5"/>
  <c r="D59" i="5"/>
  <c r="D63" i="5"/>
  <c r="D67" i="5"/>
  <c r="D71" i="5"/>
  <c r="D75" i="5"/>
  <c r="D79" i="5"/>
  <c r="D83" i="5"/>
  <c r="D87" i="5"/>
  <c r="D91" i="5"/>
  <c r="D95" i="5"/>
  <c r="D99" i="5"/>
  <c r="D103" i="5"/>
  <c r="D107" i="5"/>
  <c r="D111" i="5"/>
  <c r="D115" i="5"/>
  <c r="D119" i="5"/>
  <c r="D123" i="5"/>
  <c r="D127" i="5"/>
  <c r="D131" i="5"/>
  <c r="D135" i="5"/>
  <c r="D139" i="5"/>
  <c r="D143" i="5"/>
  <c r="D147" i="5"/>
  <c r="D151" i="5"/>
  <c r="D155" i="5"/>
  <c r="D159" i="5"/>
  <c r="D163" i="5"/>
  <c r="D167" i="5"/>
  <c r="D171" i="5"/>
  <c r="D175" i="5"/>
  <c r="D179" i="5"/>
  <c r="D183" i="5"/>
  <c r="D187" i="5"/>
  <c r="D191" i="5"/>
  <c r="D195" i="5"/>
  <c r="D199" i="5"/>
  <c r="D203" i="5"/>
  <c r="D207" i="5"/>
  <c r="D211" i="5"/>
  <c r="D215" i="5"/>
  <c r="D219" i="5"/>
  <c r="D223" i="5"/>
  <c r="D227" i="5"/>
  <c r="D231" i="5"/>
  <c r="D235" i="5"/>
  <c r="D239" i="5"/>
  <c r="D243" i="5"/>
  <c r="D247" i="5"/>
  <c r="D251" i="5"/>
  <c r="D255" i="5"/>
  <c r="D259" i="5"/>
  <c r="D263" i="5"/>
  <c r="D267" i="5"/>
  <c r="D271" i="5"/>
  <c r="D275" i="5"/>
  <c r="D279" i="5"/>
  <c r="D283" i="5"/>
  <c r="D287" i="5"/>
  <c r="D291" i="5"/>
  <c r="D295" i="5"/>
  <c r="D299" i="5"/>
  <c r="D303" i="5"/>
  <c r="D307" i="5"/>
  <c r="D311" i="5"/>
  <c r="D315" i="5"/>
  <c r="D319" i="5"/>
  <c r="D323" i="5"/>
  <c r="D327" i="5"/>
  <c r="D331" i="5"/>
  <c r="D335" i="5"/>
  <c r="D339" i="5"/>
  <c r="D343" i="5"/>
  <c r="D347" i="5"/>
  <c r="D12" i="5"/>
  <c r="D16" i="5"/>
  <c r="D20" i="5"/>
  <c r="D24" i="5"/>
  <c r="D28" i="5"/>
  <c r="D32" i="5"/>
  <c r="D36" i="5"/>
  <c r="D40" i="5"/>
  <c r="D44" i="5"/>
  <c r="D48" i="5"/>
  <c r="D52" i="5"/>
  <c r="D56" i="5"/>
  <c r="D60" i="5"/>
  <c r="D64" i="5"/>
  <c r="D68" i="5"/>
  <c r="D72" i="5"/>
  <c r="D76" i="5"/>
  <c r="D80" i="5"/>
  <c r="D84" i="5"/>
  <c r="D88" i="5"/>
  <c r="D92" i="5"/>
  <c r="D96" i="5"/>
  <c r="D100" i="5"/>
  <c r="D104" i="5"/>
  <c r="D108" i="5"/>
  <c r="D112" i="5"/>
  <c r="D116" i="5"/>
  <c r="D120" i="5"/>
  <c r="D124" i="5"/>
  <c r="D128" i="5"/>
  <c r="D132" i="5"/>
  <c r="D136" i="5"/>
  <c r="D140" i="5"/>
  <c r="D144" i="5"/>
  <c r="D148" i="5"/>
  <c r="D152" i="5"/>
  <c r="D156" i="5"/>
  <c r="D160" i="5"/>
  <c r="D164" i="5"/>
  <c r="D168" i="5"/>
  <c r="D172" i="5"/>
  <c r="D176" i="5"/>
  <c r="D180" i="5"/>
  <c r="D184" i="5"/>
  <c r="D188" i="5"/>
  <c r="D192" i="5"/>
  <c r="D196" i="5"/>
  <c r="D200" i="5"/>
  <c r="D204" i="5"/>
  <c r="D208" i="5"/>
  <c r="D212" i="5"/>
  <c r="D216" i="5"/>
  <c r="D220" i="5"/>
  <c r="D224" i="5"/>
  <c r="D228" i="5"/>
  <c r="D232" i="5"/>
  <c r="D236" i="5"/>
  <c r="D240" i="5"/>
  <c r="D244" i="5"/>
  <c r="D248" i="5"/>
  <c r="D252" i="5"/>
  <c r="D256" i="5"/>
  <c r="D260" i="5"/>
  <c r="D264" i="5"/>
  <c r="D268" i="5"/>
  <c r="D272" i="5"/>
  <c r="D276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340" i="5"/>
  <c r="D344" i="5"/>
  <c r="D348" i="5"/>
  <c r="D674" i="5"/>
  <c r="D666" i="5"/>
  <c r="D658" i="5"/>
  <c r="D654" i="5"/>
  <c r="D642" i="5"/>
  <c r="D634" i="5"/>
  <c r="D630" i="5"/>
  <c r="D622" i="5"/>
  <c r="D614" i="5"/>
  <c r="D606" i="5"/>
  <c r="D602" i="5"/>
  <c r="D594" i="5"/>
  <c r="D590" i="5"/>
  <c r="D582" i="5"/>
  <c r="D578" i="5"/>
  <c r="D570" i="5"/>
  <c r="D562" i="5"/>
  <c r="D554" i="5"/>
  <c r="D546" i="5"/>
  <c r="D538" i="5"/>
  <c r="D534" i="5"/>
  <c r="D530" i="5"/>
  <c r="D522" i="5"/>
  <c r="D514" i="5"/>
  <c r="D506" i="5"/>
  <c r="D498" i="5"/>
  <c r="D490" i="5"/>
  <c r="D482" i="5"/>
  <c r="D478" i="5"/>
  <c r="D470" i="5"/>
  <c r="D462" i="5"/>
  <c r="D454" i="5"/>
  <c r="D446" i="5"/>
  <c r="D438" i="5"/>
  <c r="D430" i="5"/>
  <c r="D422" i="5"/>
  <c r="D410" i="5"/>
  <c r="D386" i="5"/>
  <c r="D9" i="5"/>
  <c r="D677" i="5"/>
  <c r="D673" i="5"/>
  <c r="D669" i="5"/>
  <c r="D665" i="5"/>
  <c r="D661" i="5"/>
  <c r="D657" i="5"/>
  <c r="D653" i="5"/>
  <c r="D649" i="5"/>
  <c r="D645" i="5"/>
  <c r="D641" i="5"/>
  <c r="D637" i="5"/>
  <c r="D633" i="5"/>
  <c r="D629" i="5"/>
  <c r="D625" i="5"/>
  <c r="D621" i="5"/>
  <c r="D617" i="5"/>
  <c r="D613" i="5"/>
  <c r="D609" i="5"/>
  <c r="D605" i="5"/>
  <c r="D601" i="5"/>
  <c r="D597" i="5"/>
  <c r="D593" i="5"/>
  <c r="D589" i="5"/>
  <c r="D585" i="5"/>
  <c r="D581" i="5"/>
  <c r="D577" i="5"/>
  <c r="D573" i="5"/>
  <c r="D569" i="5"/>
  <c r="D565" i="5"/>
  <c r="D561" i="5"/>
  <c r="D557" i="5"/>
  <c r="D553" i="5"/>
  <c r="D549" i="5"/>
  <c r="D545" i="5"/>
  <c r="D541" i="5"/>
  <c r="D537" i="5"/>
  <c r="D533" i="5"/>
  <c r="D529" i="5"/>
  <c r="D525" i="5"/>
  <c r="D521" i="5"/>
  <c r="D517" i="5"/>
  <c r="D513" i="5"/>
  <c r="D509" i="5"/>
  <c r="D505" i="5"/>
  <c r="D501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449" i="5"/>
  <c r="D445" i="5"/>
  <c r="D441" i="5"/>
  <c r="D437" i="5"/>
  <c r="D433" i="5"/>
  <c r="D429" i="5"/>
  <c r="D425" i="5"/>
  <c r="D421" i="5"/>
  <c r="D417" i="5"/>
  <c r="D413" i="5"/>
  <c r="D409" i="5"/>
  <c r="D405" i="5"/>
  <c r="D401" i="5"/>
  <c r="D397" i="5"/>
  <c r="D393" i="5"/>
  <c r="D389" i="5"/>
  <c r="D385" i="5"/>
  <c r="D381" i="5"/>
  <c r="D377" i="5"/>
  <c r="D373" i="5"/>
  <c r="D369" i="5"/>
  <c r="D365" i="5"/>
  <c r="D361" i="5"/>
  <c r="D357" i="5"/>
  <c r="D353" i="5"/>
  <c r="D349" i="5"/>
  <c r="D341" i="5"/>
  <c r="D333" i="5"/>
  <c r="D325" i="5"/>
  <c r="D317" i="5"/>
  <c r="D309" i="5"/>
  <c r="D301" i="5"/>
  <c r="D293" i="5"/>
  <c r="D285" i="5"/>
  <c r="D277" i="5"/>
  <c r="D269" i="5"/>
  <c r="D261" i="5"/>
  <c r="D253" i="5"/>
  <c r="D245" i="5"/>
  <c r="D237" i="5"/>
  <c r="D229" i="5"/>
  <c r="D221" i="5"/>
  <c r="D213" i="5"/>
  <c r="D205" i="5"/>
  <c r="D197" i="5"/>
  <c r="D189" i="5"/>
  <c r="D181" i="5"/>
  <c r="D173" i="5"/>
  <c r="D165" i="5"/>
  <c r="D157" i="5"/>
  <c r="D149" i="5"/>
  <c r="D141" i="5"/>
  <c r="D133" i="5"/>
  <c r="D125" i="5"/>
  <c r="D117" i="5"/>
  <c r="D109" i="5"/>
  <c r="D101" i="5"/>
  <c r="D93" i="5"/>
  <c r="D85" i="5"/>
  <c r="D77" i="5"/>
  <c r="D69" i="5"/>
  <c r="D61" i="5"/>
  <c r="D53" i="5"/>
  <c r="D45" i="5"/>
  <c r="D37" i="5"/>
  <c r="D29" i="5"/>
  <c r="D21" i="5"/>
  <c r="D13" i="5"/>
  <c r="I4" i="10"/>
  <c r="C7" i="5"/>
  <c r="D512" i="10" l="1"/>
  <c r="D387" i="10"/>
  <c r="D549" i="9"/>
  <c r="D573" i="9"/>
  <c r="D588" i="9"/>
  <c r="D661" i="9"/>
  <c r="D635" i="9"/>
  <c r="D608" i="9"/>
  <c r="D565" i="9"/>
  <c r="D637" i="9"/>
  <c r="D595" i="9"/>
  <c r="D652" i="9"/>
  <c r="D609" i="9"/>
  <c r="D569" i="9"/>
  <c r="D22" i="9"/>
  <c r="D42" i="9"/>
  <c r="D62" i="9"/>
  <c r="D86" i="9"/>
  <c r="D106" i="9"/>
  <c r="D126" i="9"/>
  <c r="D150" i="9"/>
  <c r="D170" i="9"/>
  <c r="D190" i="9"/>
  <c r="D214" i="9"/>
  <c r="D234" i="9"/>
  <c r="D254" i="9"/>
  <c r="D278" i="9"/>
  <c r="D298" i="9"/>
  <c r="D318" i="9"/>
  <c r="D342" i="9"/>
  <c r="D362" i="9"/>
  <c r="D382" i="9"/>
  <c r="D406" i="9"/>
  <c r="D426" i="9"/>
  <c r="D442" i="9"/>
  <c r="D458" i="9"/>
  <c r="D474" i="9"/>
  <c r="D490" i="9"/>
  <c r="D506" i="9"/>
  <c r="D522" i="9"/>
  <c r="D538" i="9"/>
  <c r="D554" i="9"/>
  <c r="D570" i="9"/>
  <c r="D586" i="9"/>
  <c r="D602" i="9"/>
  <c r="D618" i="9"/>
  <c r="D634" i="9"/>
  <c r="D650" i="9"/>
  <c r="D15" i="9"/>
  <c r="D31" i="9"/>
  <c r="D47" i="9"/>
  <c r="D63" i="9"/>
  <c r="D79" i="9"/>
  <c r="D95" i="9"/>
  <c r="D111" i="9"/>
  <c r="D127" i="9"/>
  <c r="D143" i="9"/>
  <c r="D159" i="9"/>
  <c r="D175" i="9"/>
  <c r="D191" i="9"/>
  <c r="D207" i="9"/>
  <c r="D223" i="9"/>
  <c r="D239" i="9"/>
  <c r="D255" i="9"/>
  <c r="D271" i="9"/>
  <c r="D287" i="9"/>
  <c r="D303" i="9"/>
  <c r="D319" i="9"/>
  <c r="D335" i="9"/>
  <c r="D351" i="9"/>
  <c r="D367" i="9"/>
  <c r="D383" i="9"/>
  <c r="D399" i="9"/>
  <c r="D415" i="9"/>
  <c r="D431" i="9"/>
  <c r="D447" i="9"/>
  <c r="D463" i="9"/>
  <c r="D479" i="9"/>
  <c r="D495" i="9"/>
  <c r="D671" i="9"/>
  <c r="D677" i="9"/>
  <c r="D656" i="9"/>
  <c r="D629" i="9"/>
  <c r="D597" i="9"/>
  <c r="D675" i="9"/>
  <c r="D627" i="9"/>
  <c r="D584" i="9"/>
  <c r="D641" i="9"/>
  <c r="D604" i="9"/>
  <c r="D14" i="9"/>
  <c r="D26" i="9"/>
  <c r="D46" i="9"/>
  <c r="D70" i="9"/>
  <c r="D90" i="9"/>
  <c r="D110" i="9"/>
  <c r="D134" i="9"/>
  <c r="D154" i="9"/>
  <c r="D174" i="9"/>
  <c r="D198" i="9"/>
  <c r="D218" i="9"/>
  <c r="D238" i="9"/>
  <c r="D262" i="9"/>
  <c r="D282" i="9"/>
  <c r="D302" i="9"/>
  <c r="D326" i="9"/>
  <c r="D346" i="9"/>
  <c r="D366" i="9"/>
  <c r="D390" i="9"/>
  <c r="D410" i="9"/>
  <c r="D430" i="9"/>
  <c r="D446" i="9"/>
  <c r="D462" i="9"/>
  <c r="D478" i="9"/>
  <c r="D494" i="9"/>
  <c r="D510" i="9"/>
  <c r="D526" i="9"/>
  <c r="D542" i="9"/>
  <c r="D558" i="9"/>
  <c r="D574" i="9"/>
  <c r="D590" i="9"/>
  <c r="D606" i="9"/>
  <c r="D622" i="9"/>
  <c r="D638" i="9"/>
  <c r="D654" i="9"/>
  <c r="D19" i="9"/>
  <c r="D35" i="9"/>
  <c r="D51" i="9"/>
  <c r="D67" i="9"/>
  <c r="D83" i="9"/>
  <c r="D99" i="9"/>
  <c r="D115" i="9"/>
  <c r="D131" i="9"/>
  <c r="D147" i="9"/>
  <c r="D163" i="9"/>
  <c r="D179" i="9"/>
  <c r="D195" i="9"/>
  <c r="D211" i="9"/>
  <c r="D227" i="9"/>
  <c r="D243" i="9"/>
  <c r="D259" i="9"/>
  <c r="D275" i="9"/>
  <c r="D291" i="9"/>
  <c r="D307" i="9"/>
  <c r="D323" i="9"/>
  <c r="D339" i="9"/>
  <c r="D355" i="9"/>
  <c r="D371" i="9"/>
  <c r="D387" i="9"/>
  <c r="D403" i="9"/>
  <c r="D419" i="9"/>
  <c r="D435" i="9"/>
  <c r="D451" i="9"/>
  <c r="D467" i="9"/>
  <c r="D483" i="9"/>
  <c r="D499" i="9"/>
  <c r="D515" i="9"/>
  <c r="D531" i="9"/>
  <c r="D547" i="9"/>
  <c r="D657" i="9"/>
  <c r="D669" i="9"/>
  <c r="D613" i="9"/>
  <c r="D648" i="9"/>
  <c r="D670" i="9"/>
  <c r="D581" i="9"/>
  <c r="D38" i="9"/>
  <c r="D78" i="9"/>
  <c r="D122" i="9"/>
  <c r="D166" i="9"/>
  <c r="D206" i="9"/>
  <c r="D250" i="9"/>
  <c r="D294" i="9"/>
  <c r="D334" i="9"/>
  <c r="D378" i="9"/>
  <c r="D422" i="9"/>
  <c r="D454" i="9"/>
  <c r="D486" i="9"/>
  <c r="D518" i="9"/>
  <c r="D550" i="9"/>
  <c r="D582" i="9"/>
  <c r="D614" i="9"/>
  <c r="D646" i="9"/>
  <c r="D27" i="9"/>
  <c r="D59" i="9"/>
  <c r="D91" i="9"/>
  <c r="D123" i="9"/>
  <c r="D155" i="9"/>
  <c r="D187" i="9"/>
  <c r="D219" i="9"/>
  <c r="D251" i="9"/>
  <c r="D283" i="9"/>
  <c r="D315" i="9"/>
  <c r="D347" i="9"/>
  <c r="D379" i="9"/>
  <c r="D411" i="9"/>
  <c r="D443" i="9"/>
  <c r="D475" i="9"/>
  <c r="D507" i="9"/>
  <c r="D527" i="9"/>
  <c r="D551" i="9"/>
  <c r="D567" i="9"/>
  <c r="D583" i="9"/>
  <c r="D24" i="9"/>
  <c r="D40" i="9"/>
  <c r="D56" i="9"/>
  <c r="D72" i="9"/>
  <c r="D88" i="9"/>
  <c r="D104" i="9"/>
  <c r="D120" i="9"/>
  <c r="D136" i="9"/>
  <c r="D152" i="9"/>
  <c r="D168" i="9"/>
  <c r="D184" i="9"/>
  <c r="D200" i="9"/>
  <c r="D216" i="9"/>
  <c r="D232" i="9"/>
  <c r="D248" i="9"/>
  <c r="D264" i="9"/>
  <c r="D280" i="9"/>
  <c r="D296" i="9"/>
  <c r="D312" i="9"/>
  <c r="D328" i="9"/>
  <c r="D344" i="9"/>
  <c r="D360" i="9"/>
  <c r="D376" i="9"/>
  <c r="D392" i="9"/>
  <c r="D408" i="9"/>
  <c r="D424" i="9"/>
  <c r="D440" i="9"/>
  <c r="D456" i="9"/>
  <c r="D472" i="9"/>
  <c r="D488" i="9"/>
  <c r="D504" i="9"/>
  <c r="D520" i="9"/>
  <c r="D536" i="9"/>
  <c r="D552" i="9"/>
  <c r="D568" i="9"/>
  <c r="D12" i="9"/>
  <c r="D29" i="9"/>
  <c r="D45" i="9"/>
  <c r="D61" i="9"/>
  <c r="D643" i="9"/>
  <c r="D647" i="9"/>
  <c r="D651" i="9"/>
  <c r="D592" i="9"/>
  <c r="D611" i="9"/>
  <c r="D631" i="9"/>
  <c r="D8" i="9"/>
  <c r="D54" i="9"/>
  <c r="D94" i="9"/>
  <c r="D138" i="9"/>
  <c r="D182" i="9"/>
  <c r="D222" i="9"/>
  <c r="D266" i="9"/>
  <c r="D310" i="9"/>
  <c r="D350" i="9"/>
  <c r="D394" i="9"/>
  <c r="D434" i="9"/>
  <c r="D466" i="9"/>
  <c r="D498" i="9"/>
  <c r="D530" i="9"/>
  <c r="D562" i="9"/>
  <c r="D594" i="9"/>
  <c r="D626" i="9"/>
  <c r="D658" i="9"/>
  <c r="D39" i="9"/>
  <c r="D71" i="9"/>
  <c r="D103" i="9"/>
  <c r="D135" i="9"/>
  <c r="D167" i="9"/>
  <c r="D199" i="9"/>
  <c r="D231" i="9"/>
  <c r="D263" i="9"/>
  <c r="D295" i="9"/>
  <c r="D327" i="9"/>
  <c r="D359" i="9"/>
  <c r="D391" i="9"/>
  <c r="D423" i="9"/>
  <c r="D455" i="9"/>
  <c r="D487" i="9"/>
  <c r="D511" i="9"/>
  <c r="D535" i="9"/>
  <c r="D555" i="9"/>
  <c r="D571" i="9"/>
  <c r="D11" i="9"/>
  <c r="D28" i="9"/>
  <c r="D44" i="9"/>
  <c r="D60" i="9"/>
  <c r="D76" i="9"/>
  <c r="D92" i="9"/>
  <c r="D108" i="9"/>
  <c r="D124" i="9"/>
  <c r="D140" i="9"/>
  <c r="D156" i="9"/>
  <c r="D172" i="9"/>
  <c r="D188" i="9"/>
  <c r="D204" i="9"/>
  <c r="D220" i="9"/>
  <c r="D236" i="9"/>
  <c r="D252" i="9"/>
  <c r="D268" i="9"/>
  <c r="D284" i="9"/>
  <c r="D300" i="9"/>
  <c r="D316" i="9"/>
  <c r="D332" i="9"/>
  <c r="D348" i="9"/>
  <c r="D561" i="9"/>
  <c r="D596" i="9"/>
  <c r="D617" i="9"/>
  <c r="D639" i="9"/>
  <c r="D660" i="9"/>
  <c r="D676" i="9"/>
  <c r="D533" i="9"/>
  <c r="D517" i="9"/>
  <c r="D501" i="9"/>
  <c r="D485" i="9"/>
  <c r="D469" i="9"/>
  <c r="D453" i="9"/>
  <c r="D437" i="9"/>
  <c r="D421" i="9"/>
  <c r="D405" i="9"/>
  <c r="D389" i="9"/>
  <c r="D373" i="9"/>
  <c r="D357" i="9"/>
  <c r="D341" i="9"/>
  <c r="D325" i="9"/>
  <c r="D309" i="9"/>
  <c r="D293" i="9"/>
  <c r="D277" i="9"/>
  <c r="D261" i="9"/>
  <c r="D245" i="9"/>
  <c r="D229" i="9"/>
  <c r="D213" i="9"/>
  <c r="D197" i="9"/>
  <c r="D181" i="9"/>
  <c r="D165" i="9"/>
  <c r="D149" i="9"/>
  <c r="D133" i="9"/>
  <c r="D117" i="9"/>
  <c r="D101" i="9"/>
  <c r="D85" i="9"/>
  <c r="D69" i="9"/>
  <c r="D49" i="9"/>
  <c r="D25" i="9"/>
  <c r="D576" i="9"/>
  <c r="D556" i="9"/>
  <c r="D532" i="9"/>
  <c r="D512" i="9"/>
  <c r="D492" i="9"/>
  <c r="D468" i="9"/>
  <c r="D448" i="9"/>
  <c r="D428" i="9"/>
  <c r="D404" i="9"/>
  <c r="D384" i="9"/>
  <c r="D364" i="9"/>
  <c r="D336" i="9"/>
  <c r="D304" i="9"/>
  <c r="D272" i="9"/>
  <c r="D240" i="9"/>
  <c r="D208" i="9"/>
  <c r="D176" i="9"/>
  <c r="D144" i="9"/>
  <c r="D112" i="9"/>
  <c r="D80" i="9"/>
  <c r="D48" i="9"/>
  <c r="D16" i="9"/>
  <c r="D559" i="9"/>
  <c r="D519" i="9"/>
  <c r="D459" i="9"/>
  <c r="D395" i="9"/>
  <c r="D331" i="9"/>
  <c r="D267" i="9"/>
  <c r="D203" i="9"/>
  <c r="D139" i="9"/>
  <c r="D75" i="9"/>
  <c r="D9" i="9"/>
  <c r="D598" i="9"/>
  <c r="D534" i="9"/>
  <c r="D470" i="9"/>
  <c r="D398" i="9"/>
  <c r="D314" i="9"/>
  <c r="D230" i="9"/>
  <c r="D142" i="9"/>
  <c r="D58" i="9"/>
  <c r="D615" i="9"/>
  <c r="D587" i="9"/>
  <c r="D676" i="10"/>
  <c r="D632" i="9"/>
  <c r="D32" i="10"/>
  <c r="D470" i="10"/>
  <c r="D583" i="10"/>
  <c r="D576" i="10"/>
  <c r="D497" i="10"/>
  <c r="D657" i="10"/>
  <c r="D284" i="10"/>
  <c r="D594" i="10"/>
  <c r="D404" i="10"/>
  <c r="D628" i="10"/>
  <c r="D549" i="10"/>
  <c r="D115" i="10"/>
  <c r="D483" i="10"/>
  <c r="D449" i="10"/>
  <c r="D137" i="10"/>
  <c r="D464" i="10"/>
  <c r="D613" i="10"/>
  <c r="D577" i="9"/>
  <c r="D601" i="9"/>
  <c r="D623" i="9"/>
  <c r="D644" i="9"/>
  <c r="D664" i="9"/>
  <c r="D545" i="9"/>
  <c r="D529" i="9"/>
  <c r="D513" i="9"/>
  <c r="D497" i="9"/>
  <c r="D481" i="9"/>
  <c r="D465" i="9"/>
  <c r="D449" i="9"/>
  <c r="D433" i="9"/>
  <c r="D417" i="9"/>
  <c r="D401" i="9"/>
  <c r="D385" i="9"/>
  <c r="D369" i="9"/>
  <c r="D353" i="9"/>
  <c r="D337" i="9"/>
  <c r="D321" i="9"/>
  <c r="D305" i="9"/>
  <c r="D289" i="9"/>
  <c r="D273" i="9"/>
  <c r="D257" i="9"/>
  <c r="D241" i="9"/>
  <c r="D225" i="9"/>
  <c r="D209" i="9"/>
  <c r="D193" i="9"/>
  <c r="D177" i="9"/>
  <c r="D161" i="9"/>
  <c r="D145" i="9"/>
  <c r="D129" i="9"/>
  <c r="D113" i="9"/>
  <c r="D97" i="9"/>
  <c r="D81" i="9"/>
  <c r="D65" i="9"/>
  <c r="D41" i="9"/>
  <c r="D21" i="9"/>
  <c r="D572" i="9"/>
  <c r="D548" i="9"/>
  <c r="D528" i="9"/>
  <c r="D508" i="9"/>
  <c r="D484" i="9"/>
  <c r="D464" i="9"/>
  <c r="D444" i="9"/>
  <c r="D420" i="9"/>
  <c r="D400" i="9"/>
  <c r="D380" i="9"/>
  <c r="D356" i="9"/>
  <c r="D324" i="9"/>
  <c r="D292" i="9"/>
  <c r="D260" i="9"/>
  <c r="D228" i="9"/>
  <c r="D196" i="9"/>
  <c r="D164" i="9"/>
  <c r="D132" i="9"/>
  <c r="D100" i="9"/>
  <c r="D68" i="9"/>
  <c r="D36" i="9"/>
  <c r="D579" i="9"/>
  <c r="D543" i="9"/>
  <c r="D503" i="9"/>
  <c r="D439" i="9"/>
  <c r="D375" i="9"/>
  <c r="D311" i="9"/>
  <c r="D247" i="9"/>
  <c r="D183" i="9"/>
  <c r="D119" i="9"/>
  <c r="D55" i="9"/>
  <c r="D642" i="9"/>
  <c r="D578" i="9"/>
  <c r="D514" i="9"/>
  <c r="D450" i="9"/>
  <c r="D374" i="9"/>
  <c r="D286" i="9"/>
  <c r="D202" i="9"/>
  <c r="D118" i="9"/>
  <c r="D30" i="9"/>
  <c r="D6" i="9"/>
  <c r="D619" i="9"/>
  <c r="D385" i="10"/>
  <c r="D262" i="10"/>
  <c r="D74" i="10"/>
  <c r="D625" i="10"/>
  <c r="D655" i="10"/>
  <c r="D593" i="10"/>
  <c r="D545" i="10"/>
  <c r="D485" i="10"/>
  <c r="D421" i="10"/>
  <c r="D369" i="10"/>
  <c r="D624" i="10"/>
  <c r="D560" i="10"/>
  <c r="D500" i="10"/>
  <c r="D448" i="10"/>
  <c r="D372" i="10"/>
  <c r="D579" i="10"/>
  <c r="D455" i="10"/>
  <c r="D662" i="10"/>
  <c r="D562" i="10"/>
  <c r="D466" i="10"/>
  <c r="D329" i="10"/>
  <c r="D77" i="10"/>
  <c r="D220" i="10"/>
  <c r="D303" i="10"/>
  <c r="D111" i="10"/>
  <c r="D202" i="10"/>
  <c r="D677" i="10"/>
  <c r="D675" i="10"/>
  <c r="D581" i="10"/>
  <c r="D529" i="10"/>
  <c r="D465" i="10"/>
  <c r="D417" i="10"/>
  <c r="D357" i="10"/>
  <c r="D596" i="10"/>
  <c r="D544" i="10"/>
  <c r="D496" i="10"/>
  <c r="D432" i="10"/>
  <c r="D647" i="10"/>
  <c r="D547" i="10"/>
  <c r="D419" i="10"/>
  <c r="D658" i="10"/>
  <c r="D534" i="10"/>
  <c r="D406" i="10"/>
  <c r="D265" i="10"/>
  <c r="D73" i="10"/>
  <c r="D156" i="10"/>
  <c r="D243" i="10"/>
  <c r="D47" i="10"/>
  <c r="D134" i="10"/>
  <c r="D70" i="10"/>
  <c r="D621" i="10"/>
  <c r="D653" i="10"/>
  <c r="D577" i="10"/>
  <c r="D513" i="10"/>
  <c r="D453" i="10"/>
  <c r="D401" i="10"/>
  <c r="D640" i="10"/>
  <c r="D592" i="10"/>
  <c r="D532" i="10"/>
  <c r="D468" i="10"/>
  <c r="D416" i="10"/>
  <c r="D643" i="10"/>
  <c r="D515" i="10"/>
  <c r="D391" i="10"/>
  <c r="D626" i="10"/>
  <c r="D498" i="10"/>
  <c r="D402" i="10"/>
  <c r="D205" i="10"/>
  <c r="D288" i="10"/>
  <c r="D92" i="10"/>
  <c r="D239" i="10"/>
  <c r="D326" i="10"/>
  <c r="D553" i="9"/>
  <c r="D656" i="10"/>
  <c r="D617" i="10"/>
  <c r="D609" i="10"/>
  <c r="D561" i="10"/>
  <c r="D517" i="10"/>
  <c r="D481" i="10"/>
  <c r="D433" i="10"/>
  <c r="D389" i="10"/>
  <c r="D353" i="10"/>
  <c r="D608" i="10"/>
  <c r="D564" i="10"/>
  <c r="D528" i="10"/>
  <c r="D480" i="10"/>
  <c r="D436" i="10"/>
  <c r="D400" i="10"/>
  <c r="D611" i="10"/>
  <c r="D519" i="10"/>
  <c r="D451" i="10"/>
  <c r="D355" i="10"/>
  <c r="D598" i="10"/>
  <c r="D530" i="10"/>
  <c r="D434" i="10"/>
  <c r="D333" i="10"/>
  <c r="D201" i="10"/>
  <c r="D9" i="10"/>
  <c r="D160" i="10"/>
  <c r="D28" i="10"/>
  <c r="D175" i="10"/>
  <c r="D330" i="10"/>
  <c r="D198" i="10"/>
  <c r="D10" i="10"/>
  <c r="D418" i="9"/>
  <c r="D402" i="9"/>
  <c r="D386" i="9"/>
  <c r="D370" i="9"/>
  <c r="D354" i="9"/>
  <c r="D338" i="9"/>
  <c r="D322" i="9"/>
  <c r="D306" i="9"/>
  <c r="D290" i="9"/>
  <c r="D274" i="9"/>
  <c r="D258" i="9"/>
  <c r="D242" i="9"/>
  <c r="D4" i="9" s="1"/>
  <c r="F18" i="3" s="1"/>
  <c r="D226" i="9"/>
  <c r="D210" i="9"/>
  <c r="D194" i="9"/>
  <c r="D178" i="9"/>
  <c r="D162" i="9"/>
  <c r="D146" i="9"/>
  <c r="D130" i="9"/>
  <c r="D114" i="9"/>
  <c r="D98" i="9"/>
  <c r="D82" i="9"/>
  <c r="D66" i="9"/>
  <c r="D50" i="9"/>
  <c r="D34" i="9"/>
  <c r="D18" i="9"/>
  <c r="D10" i="9"/>
  <c r="D599" i="9"/>
  <c r="D625" i="9"/>
  <c r="D662" i="9"/>
  <c r="D589" i="9"/>
  <c r="D621" i="9"/>
  <c r="D659" i="9"/>
  <c r="D580" i="9"/>
  <c r="D603" i="9"/>
  <c r="D624" i="9"/>
  <c r="D645" i="9"/>
  <c r="D665" i="9"/>
  <c r="D663" i="10"/>
  <c r="D661" i="10"/>
  <c r="D660" i="10"/>
  <c r="D659" i="10"/>
  <c r="D597" i="10"/>
  <c r="D565" i="10"/>
  <c r="D533" i="10"/>
  <c r="D501" i="10"/>
  <c r="D469" i="10"/>
  <c r="D437" i="10"/>
  <c r="D405" i="10"/>
  <c r="D373" i="10"/>
  <c r="D644" i="10"/>
  <c r="D612" i="10"/>
  <c r="D580" i="10"/>
  <c r="D548" i="10"/>
  <c r="D516" i="10"/>
  <c r="D484" i="10"/>
  <c r="D452" i="10"/>
  <c r="D420" i="10"/>
  <c r="D376" i="10"/>
  <c r="D615" i="10"/>
  <c r="D551" i="10"/>
  <c r="D487" i="10"/>
  <c r="D423" i="10"/>
  <c r="D359" i="10"/>
  <c r="D630" i="10"/>
  <c r="D566" i="10"/>
  <c r="D502" i="10"/>
  <c r="D438" i="10"/>
  <c r="D374" i="10"/>
  <c r="D269" i="10"/>
  <c r="D141" i="10"/>
  <c r="D13" i="10"/>
  <c r="D224" i="10"/>
  <c r="D96" i="10"/>
  <c r="D307" i="10"/>
  <c r="D179" i="10"/>
  <c r="D51" i="10"/>
  <c r="D266" i="10"/>
  <c r="D138" i="10"/>
  <c r="D636" i="9"/>
  <c r="D674" i="9"/>
  <c r="D616" i="9"/>
  <c r="D663" i="9"/>
  <c r="D557" i="9"/>
  <c r="D620" i="9"/>
  <c r="D666" i="9"/>
  <c r="D605" i="9"/>
  <c r="D653" i="9"/>
  <c r="D14" i="10"/>
  <c r="D30" i="10"/>
  <c r="D46" i="10"/>
  <c r="D62" i="10"/>
  <c r="D78" i="10"/>
  <c r="D94" i="10"/>
  <c r="D110" i="10"/>
  <c r="D126" i="10"/>
  <c r="D142" i="10"/>
  <c r="D158" i="10"/>
  <c r="D174" i="10"/>
  <c r="D190" i="10"/>
  <c r="D206" i="10"/>
  <c r="D222" i="10"/>
  <c r="D238" i="10"/>
  <c r="D254" i="10"/>
  <c r="D270" i="10"/>
  <c r="D286" i="10"/>
  <c r="D302" i="10"/>
  <c r="D318" i="10"/>
  <c r="D334" i="10"/>
  <c r="D7" i="10"/>
  <c r="D23" i="10"/>
  <c r="D39" i="10"/>
  <c r="D55" i="10"/>
  <c r="D71" i="10"/>
  <c r="D87" i="10"/>
  <c r="D103" i="10"/>
  <c r="D119" i="10"/>
  <c r="D135" i="10"/>
  <c r="D151" i="10"/>
  <c r="D167" i="10"/>
  <c r="D183" i="10"/>
  <c r="D199" i="10"/>
  <c r="D215" i="10"/>
  <c r="D231" i="10"/>
  <c r="D247" i="10"/>
  <c r="D263" i="10"/>
  <c r="D279" i="10"/>
  <c r="D295" i="10"/>
  <c r="D311" i="10"/>
  <c r="D327" i="10"/>
  <c r="D343" i="10"/>
  <c r="D20" i="10"/>
  <c r="D36" i="10"/>
  <c r="D52" i="10"/>
  <c r="D68" i="10"/>
  <c r="D84" i="10"/>
  <c r="D100" i="10"/>
  <c r="D116" i="10"/>
  <c r="D132" i="10"/>
  <c r="D148" i="10"/>
  <c r="D164" i="10"/>
  <c r="D180" i="10"/>
  <c r="D196" i="10"/>
  <c r="D212" i="10"/>
  <c r="D228" i="10"/>
  <c r="D244" i="10"/>
  <c r="D260" i="10"/>
  <c r="D276" i="10"/>
  <c r="D292" i="10"/>
  <c r="D308" i="10"/>
  <c r="D324" i="10"/>
  <c r="D340" i="10"/>
  <c r="D17" i="10"/>
  <c r="D33" i="10"/>
  <c r="D49" i="10"/>
  <c r="D65" i="10"/>
  <c r="D81" i="10"/>
  <c r="D97" i="10"/>
  <c r="D113" i="10"/>
  <c r="D129" i="10"/>
  <c r="D145" i="10"/>
  <c r="D161" i="10"/>
  <c r="D177" i="10"/>
  <c r="D193" i="10"/>
  <c r="D209" i="10"/>
  <c r="D225" i="10"/>
  <c r="D241" i="10"/>
  <c r="D257" i="10"/>
  <c r="D273" i="10"/>
  <c r="D289" i="10"/>
  <c r="D305" i="10"/>
  <c r="D321" i="10"/>
  <c r="D337" i="10"/>
  <c r="D18" i="10"/>
  <c r="D34" i="10"/>
  <c r="D50" i="10"/>
  <c r="D66" i="10"/>
  <c r="D82" i="10"/>
  <c r="D98" i="10"/>
  <c r="D114" i="10"/>
  <c r="D130" i="10"/>
  <c r="D146" i="10"/>
  <c r="D162" i="10"/>
  <c r="D178" i="10"/>
  <c r="D194" i="10"/>
  <c r="D210" i="10"/>
  <c r="D226" i="10"/>
  <c r="D242" i="10"/>
  <c r="D258" i="10"/>
  <c r="D274" i="10"/>
  <c r="D290" i="10"/>
  <c r="D306" i="10"/>
  <c r="D322" i="10"/>
  <c r="D338" i="10"/>
  <c r="D11" i="10"/>
  <c r="D27" i="10"/>
  <c r="D43" i="10"/>
  <c r="D59" i="10"/>
  <c r="D75" i="10"/>
  <c r="D91" i="10"/>
  <c r="D107" i="10"/>
  <c r="D123" i="10"/>
  <c r="D139" i="10"/>
  <c r="D155" i="10"/>
  <c r="D171" i="10"/>
  <c r="D187" i="10"/>
  <c r="D203" i="10"/>
  <c r="D219" i="10"/>
  <c r="D235" i="10"/>
  <c r="D251" i="10"/>
  <c r="D267" i="10"/>
  <c r="D283" i="10"/>
  <c r="D299" i="10"/>
  <c r="D315" i="10"/>
  <c r="D331" i="10"/>
  <c r="D8" i="10"/>
  <c r="D24" i="10"/>
  <c r="D40" i="10"/>
  <c r="D56" i="10"/>
  <c r="D72" i="10"/>
  <c r="D88" i="10"/>
  <c r="D104" i="10"/>
  <c r="D120" i="10"/>
  <c r="D136" i="10"/>
  <c r="D152" i="10"/>
  <c r="D168" i="10"/>
  <c r="D184" i="10"/>
  <c r="D200" i="10"/>
  <c r="D216" i="10"/>
  <c r="D232" i="10"/>
  <c r="D248" i="10"/>
  <c r="D264" i="10"/>
  <c r="D280" i="10"/>
  <c r="D296" i="10"/>
  <c r="D312" i="10"/>
  <c r="D328" i="10"/>
  <c r="D344" i="10"/>
  <c r="D21" i="10"/>
  <c r="D37" i="10"/>
  <c r="D53" i="10"/>
  <c r="D69" i="10"/>
  <c r="D85" i="10"/>
  <c r="D101" i="10"/>
  <c r="D117" i="10"/>
  <c r="D133" i="10"/>
  <c r="D149" i="10"/>
  <c r="D165" i="10"/>
  <c r="D181" i="10"/>
  <c r="D197" i="10"/>
  <c r="D213" i="10"/>
  <c r="D229" i="10"/>
  <c r="D245" i="10"/>
  <c r="D261" i="10"/>
  <c r="D277" i="10"/>
  <c r="D293" i="10"/>
  <c r="D309" i="10"/>
  <c r="D325" i="10"/>
  <c r="D341" i="10"/>
  <c r="D22" i="10"/>
  <c r="D54" i="10"/>
  <c r="D86" i="10"/>
  <c r="D118" i="10"/>
  <c r="D150" i="10"/>
  <c r="D182" i="10"/>
  <c r="D214" i="10"/>
  <c r="D246" i="10"/>
  <c r="D278" i="10"/>
  <c r="D310" i="10"/>
  <c r="D342" i="10"/>
  <c r="D31" i="10"/>
  <c r="D63" i="10"/>
  <c r="D95" i="10"/>
  <c r="D127" i="10"/>
  <c r="D159" i="10"/>
  <c r="D191" i="10"/>
  <c r="D223" i="10"/>
  <c r="D255" i="10"/>
  <c r="D287" i="10"/>
  <c r="D319" i="10"/>
  <c r="D12" i="10"/>
  <c r="D44" i="10"/>
  <c r="D76" i="10"/>
  <c r="D108" i="10"/>
  <c r="D140" i="10"/>
  <c r="D172" i="10"/>
  <c r="D204" i="10"/>
  <c r="D236" i="10"/>
  <c r="D268" i="10"/>
  <c r="D300" i="10"/>
  <c r="D332" i="10"/>
  <c r="D25" i="10"/>
  <c r="D57" i="10"/>
  <c r="D89" i="10"/>
  <c r="D121" i="10"/>
  <c r="D153" i="10"/>
  <c r="D185" i="10"/>
  <c r="D217" i="10"/>
  <c r="D249" i="10"/>
  <c r="D281" i="10"/>
  <c r="D313" i="10"/>
  <c r="D345" i="10"/>
  <c r="D362" i="10"/>
  <c r="D378" i="10"/>
  <c r="D394" i="10"/>
  <c r="D410" i="10"/>
  <c r="D426" i="10"/>
  <c r="D442" i="10"/>
  <c r="D458" i="10"/>
  <c r="D474" i="10"/>
  <c r="D490" i="10"/>
  <c r="D506" i="10"/>
  <c r="D522" i="10"/>
  <c r="D538" i="10"/>
  <c r="D554" i="10"/>
  <c r="D570" i="10"/>
  <c r="D586" i="10"/>
  <c r="D602" i="10"/>
  <c r="D618" i="10"/>
  <c r="D634" i="10"/>
  <c r="D650" i="10"/>
  <c r="D666" i="10"/>
  <c r="D347" i="10"/>
  <c r="D363" i="10"/>
  <c r="D379" i="10"/>
  <c r="D395" i="10"/>
  <c r="D411" i="10"/>
  <c r="D427" i="10"/>
  <c r="D443" i="10"/>
  <c r="D459" i="10"/>
  <c r="D475" i="10"/>
  <c r="D491" i="10"/>
  <c r="D507" i="10"/>
  <c r="D523" i="10"/>
  <c r="D539" i="10"/>
  <c r="D555" i="10"/>
  <c r="D571" i="10"/>
  <c r="D587" i="10"/>
  <c r="D603" i="10"/>
  <c r="D619" i="10"/>
  <c r="D635" i="10"/>
  <c r="D348" i="10"/>
  <c r="D364" i="10"/>
  <c r="D380" i="10"/>
  <c r="D396" i="10"/>
  <c r="D26" i="10"/>
  <c r="D58" i="10"/>
  <c r="D90" i="10"/>
  <c r="D122" i="10"/>
  <c r="D154" i="10"/>
  <c r="D186" i="10"/>
  <c r="D218" i="10"/>
  <c r="D250" i="10"/>
  <c r="D282" i="10"/>
  <c r="D314" i="10"/>
  <c r="D346" i="10"/>
  <c r="D35" i="10"/>
  <c r="D67" i="10"/>
  <c r="D99" i="10"/>
  <c r="D131" i="10"/>
  <c r="D163" i="10"/>
  <c r="D195" i="10"/>
  <c r="D227" i="10"/>
  <c r="D259" i="10"/>
  <c r="D291" i="10"/>
  <c r="D323" i="10"/>
  <c r="D16" i="10"/>
  <c r="D48" i="10"/>
  <c r="D80" i="10"/>
  <c r="D112" i="10"/>
  <c r="D144" i="10"/>
  <c r="D176" i="10"/>
  <c r="D208" i="10"/>
  <c r="D240" i="10"/>
  <c r="D272" i="10"/>
  <c r="D304" i="10"/>
  <c r="D336" i="10"/>
  <c r="D29" i="10"/>
  <c r="D61" i="10"/>
  <c r="D93" i="10"/>
  <c r="D125" i="10"/>
  <c r="D157" i="10"/>
  <c r="D189" i="10"/>
  <c r="D221" i="10"/>
  <c r="D253" i="10"/>
  <c r="D285" i="10"/>
  <c r="D317" i="10"/>
  <c r="D350" i="10"/>
  <c r="D366" i="10"/>
  <c r="D382" i="10"/>
  <c r="D398" i="10"/>
  <c r="D414" i="10"/>
  <c r="D430" i="10"/>
  <c r="D446" i="10"/>
  <c r="D462" i="10"/>
  <c r="D478" i="10"/>
  <c r="D494" i="10"/>
  <c r="D510" i="10"/>
  <c r="D526" i="10"/>
  <c r="D542" i="10"/>
  <c r="D558" i="10"/>
  <c r="D574" i="10"/>
  <c r="D590" i="10"/>
  <c r="D606" i="10"/>
  <c r="D622" i="10"/>
  <c r="D638" i="10"/>
  <c r="D654" i="10"/>
  <c r="D670" i="10"/>
  <c r="D351" i="10"/>
  <c r="D367" i="10"/>
  <c r="D383" i="10"/>
  <c r="D399" i="10"/>
  <c r="D415" i="10"/>
  <c r="D431" i="10"/>
  <c r="D447" i="10"/>
  <c r="D463" i="10"/>
  <c r="D479" i="10"/>
  <c r="D495" i="10"/>
  <c r="D511" i="10"/>
  <c r="D527" i="10"/>
  <c r="D543" i="10"/>
  <c r="D559" i="10"/>
  <c r="D575" i="10"/>
  <c r="D591" i="10"/>
  <c r="D607" i="10"/>
  <c r="D623" i="10"/>
  <c r="D639" i="10"/>
  <c r="D352" i="10"/>
  <c r="D368" i="10"/>
  <c r="D384" i="10"/>
  <c r="D673" i="10"/>
  <c r="D652" i="10"/>
  <c r="D672" i="10"/>
  <c r="D651" i="10"/>
  <c r="D671" i="10"/>
  <c r="D649" i="10"/>
  <c r="D669" i="10"/>
  <c r="D645" i="10"/>
  <c r="D605" i="10"/>
  <c r="D589" i="10"/>
  <c r="D573" i="10"/>
  <c r="D557" i="10"/>
  <c r="D541" i="10"/>
  <c r="D525" i="10"/>
  <c r="D509" i="10"/>
  <c r="D493" i="10"/>
  <c r="D477" i="10"/>
  <c r="D461" i="10"/>
  <c r="D445" i="10"/>
  <c r="D429" i="10"/>
  <c r="D413" i="10"/>
  <c r="D397" i="10"/>
  <c r="D381" i="10"/>
  <c r="D365" i="10"/>
  <c r="D349" i="10"/>
  <c r="D636" i="10"/>
  <c r="D620" i="10"/>
  <c r="D604" i="10"/>
  <c r="D588" i="10"/>
  <c r="D572" i="10"/>
  <c r="D556" i="10"/>
  <c r="D540" i="10"/>
  <c r="D524" i="10"/>
  <c r="D508" i="10"/>
  <c r="D492" i="10"/>
  <c r="D476" i="10"/>
  <c r="D460" i="10"/>
  <c r="D444" i="10"/>
  <c r="D428" i="10"/>
  <c r="D412" i="10"/>
  <c r="D392" i="10"/>
  <c r="D360" i="10"/>
  <c r="D631" i="10"/>
  <c r="D599" i="10"/>
  <c r="D567" i="10"/>
  <c r="D535" i="10"/>
  <c r="D503" i="10"/>
  <c r="D471" i="10"/>
  <c r="D439" i="10"/>
  <c r="D407" i="10"/>
  <c r="D375" i="10"/>
  <c r="D6" i="10"/>
  <c r="D646" i="10"/>
  <c r="D614" i="10"/>
  <c r="D582" i="10"/>
  <c r="D550" i="10"/>
  <c r="D518" i="10"/>
  <c r="D486" i="10"/>
  <c r="D454" i="10"/>
  <c r="D422" i="10"/>
  <c r="D390" i="10"/>
  <c r="D358" i="10"/>
  <c r="D301" i="10"/>
  <c r="D237" i="10"/>
  <c r="D173" i="10"/>
  <c r="D109" i="10"/>
  <c r="D45" i="10"/>
  <c r="D320" i="10"/>
  <c r="D256" i="10"/>
  <c r="D192" i="10"/>
  <c r="D128" i="10"/>
  <c r="D64" i="10"/>
  <c r="D339" i="10"/>
  <c r="D275" i="10"/>
  <c r="D211" i="10"/>
  <c r="D147" i="10"/>
  <c r="D83" i="10"/>
  <c r="D19" i="10"/>
  <c r="D298" i="10"/>
  <c r="D234" i="10"/>
  <c r="D170" i="10"/>
  <c r="D106" i="10"/>
  <c r="D42" i="10"/>
  <c r="D668" i="10"/>
  <c r="D641" i="10"/>
  <c r="D667" i="10"/>
  <c r="D637" i="10"/>
  <c r="D665" i="10"/>
  <c r="D633" i="10"/>
  <c r="D664" i="10"/>
  <c r="D629" i="10"/>
  <c r="D601" i="10"/>
  <c r="D585" i="10"/>
  <c r="D569" i="10"/>
  <c r="D553" i="10"/>
  <c r="D537" i="10"/>
  <c r="D521" i="10"/>
  <c r="D505" i="10"/>
  <c r="D489" i="10"/>
  <c r="D473" i="10"/>
  <c r="D457" i="10"/>
  <c r="D441" i="10"/>
  <c r="D425" i="10"/>
  <c r="D409" i="10"/>
  <c r="D393" i="10"/>
  <c r="D377" i="10"/>
  <c r="D361" i="10"/>
  <c r="D648" i="10"/>
  <c r="D632" i="10"/>
  <c r="D616" i="10"/>
  <c r="D600" i="10"/>
  <c r="D584" i="10"/>
  <c r="D568" i="10"/>
  <c r="D552" i="10"/>
  <c r="D536" i="10"/>
  <c r="D520" i="10"/>
  <c r="D504" i="10"/>
  <c r="D488" i="10"/>
  <c r="D472" i="10"/>
  <c r="D456" i="10"/>
  <c r="D440" i="10"/>
  <c r="D424" i="10"/>
  <c r="D408" i="10"/>
  <c r="D388" i="10"/>
  <c r="D356" i="10"/>
  <c r="D627" i="10"/>
  <c r="D595" i="10"/>
  <c r="D563" i="10"/>
  <c r="D531" i="10"/>
  <c r="D499" i="10"/>
  <c r="D467" i="10"/>
  <c r="D435" i="10"/>
  <c r="D403" i="10"/>
  <c r="D371" i="10"/>
  <c r="D674" i="10"/>
  <c r="D642" i="10"/>
  <c r="D610" i="10"/>
  <c r="D578" i="10"/>
  <c r="D546" i="10"/>
  <c r="D514" i="10"/>
  <c r="D482" i="10"/>
  <c r="D450" i="10"/>
  <c r="D418" i="10"/>
  <c r="D386" i="10"/>
  <c r="D354" i="10"/>
  <c r="D297" i="10"/>
  <c r="D233" i="10"/>
  <c r="D169" i="10"/>
  <c r="D105" i="10"/>
  <c r="D41" i="10"/>
  <c r="D316" i="10"/>
  <c r="D252" i="10"/>
  <c r="D188" i="10"/>
  <c r="D124" i="10"/>
  <c r="D60" i="10"/>
  <c r="D335" i="10"/>
  <c r="D271" i="10"/>
  <c r="D207" i="10"/>
  <c r="D143" i="10"/>
  <c r="D79" i="10"/>
  <c r="D15" i="10"/>
  <c r="D294" i="10"/>
  <c r="D230" i="10"/>
  <c r="D166" i="10"/>
  <c r="D102" i="10"/>
  <c r="D38" i="10"/>
  <c r="D7" i="5"/>
  <c r="D18" i="3" s="1"/>
  <c r="D678" i="9" l="1"/>
  <c r="D4" i="10"/>
  <c r="H18" i="3" s="1"/>
</calcChain>
</file>

<file path=xl/sharedStrings.xml><?xml version="1.0" encoding="utf-8"?>
<sst xmlns="http://schemas.openxmlformats.org/spreadsheetml/2006/main" count="60" uniqueCount="21">
  <si>
    <r>
      <t>T</t>
    </r>
    <r>
      <rPr>
        <vertAlign val="subscript"/>
        <sz val="12"/>
        <color theme="1"/>
        <rFont val="Aptos Narrow (Body)"/>
      </rPr>
      <t>0</t>
    </r>
  </si>
  <si>
    <t>K</t>
  </si>
  <si>
    <t>Total</t>
  </si>
  <si>
    <t>Winter</t>
  </si>
  <si>
    <t>Spring/Autumn</t>
  </si>
  <si>
    <t>Summer</t>
  </si>
  <si>
    <t>Hours</t>
  </si>
  <si>
    <t>Condenser Duty</t>
  </si>
  <si>
    <r>
      <t>T</t>
    </r>
    <r>
      <rPr>
        <vertAlign val="subscript"/>
        <sz val="12"/>
        <color theme="1"/>
        <rFont val="Aptos Narrow (Body)"/>
      </rPr>
      <t>air</t>
    </r>
  </si>
  <si>
    <r>
      <t>T</t>
    </r>
    <r>
      <rPr>
        <vertAlign val="subscript"/>
        <sz val="12"/>
        <color theme="1"/>
        <rFont val="Aptos Narrow (Body)"/>
      </rPr>
      <t>cond</t>
    </r>
  </si>
  <si>
    <t>°C</t>
  </si>
  <si>
    <t>kWh</t>
  </si>
  <si>
    <r>
      <t>E</t>
    </r>
    <r>
      <rPr>
        <vertAlign val="subscript"/>
        <sz val="12"/>
        <color theme="1"/>
        <rFont val="Aptos Narrow (Body)"/>
      </rPr>
      <t>des</t>
    </r>
  </si>
  <si>
    <r>
      <t>T</t>
    </r>
    <r>
      <rPr>
        <vertAlign val="subscript"/>
        <sz val="12"/>
        <color theme="1"/>
        <rFont val="Aptos Narrow (Body)"/>
      </rPr>
      <t>o</t>
    </r>
  </si>
  <si>
    <t>Qcond</t>
  </si>
  <si>
    <t>CoP</t>
  </si>
  <si>
    <t>Four Weekly Demand (kWh per 672 hours)</t>
  </si>
  <si>
    <t>Cooler Duty (kWh)</t>
  </si>
  <si>
    <t>DCHrW</t>
  </si>
  <si>
    <t>Duty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</si>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</sst>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3" fillId="0" borderId="0" xfId="2"/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2" borderId="0" xfId="0" applyFill="1"/>
    <xf numFmtId="167" fontId="0" fillId="0" borderId="0" xfId="3" applyNumberFormat="1" applyFont="1"/>
    <xf numFmtId="167" fontId="0" fillId="0" borderId="0" xfId="0" applyNumberFormat="1"/>
    <xf numFmtId="0" fontId="0" fillId="0" borderId="1" xfId="0" applyBorder="1" applyAlignment="1">
      <alignment horizontal="center"/>
    </xf>
    <xf numFmtId="167" fontId="0" fillId="0" borderId="0" xfId="3" applyNumberFormat="1" applyFont="1" applyBorder="1"/>
    <xf numFmtId="164" fontId="4" fillId="0" borderId="0" xfId="0" applyNumberFormat="1" applyFont="1"/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6" fillId="0" borderId="0" xfId="0" applyNumberFormat="1" applyFont="1"/>
    <xf numFmtId="0" fontId="7" fillId="0" borderId="0" xfId="0" applyFont="1" applyAlignment="1">
      <alignment horizontal="center" wrapText="1"/>
    </xf>
    <xf numFmtId="164" fontId="7" fillId="0" borderId="0" xfId="0" applyNumberFormat="1" applyFont="1" applyAlignment="1">
      <alignment horizontal="center"/>
    </xf>
    <xf numFmtId="164" fontId="8" fillId="0" borderId="0" xfId="0" applyNumberFormat="1" applyFont="1"/>
    <xf numFmtId="165" fontId="8" fillId="0" borderId="0" xfId="0" applyNumberFormat="1" applyFont="1"/>
    <xf numFmtId="167" fontId="0" fillId="0" borderId="0" xfId="3" applyNumberFormat="1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1" xfId="0" applyFont="1" applyBorder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</xdr:row>
      <xdr:rowOff>756</xdr:rowOff>
    </xdr:from>
    <xdr:to>
      <xdr:col>3</xdr:col>
      <xdr:colOff>246531</xdr:colOff>
      <xdr:row>6</xdr:row>
      <xdr:rowOff>63629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B631C-DC88-F0A7-F20F-39AA4008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589" y="605874"/>
          <a:ext cx="1770530" cy="667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829235</xdr:colOff>
      <xdr:row>17</xdr:row>
      <xdr:rowOff>0</xdr:rowOff>
    </xdr:from>
    <xdr:to>
      <xdr:col>11</xdr:col>
      <xdr:colOff>112059</xdr:colOff>
      <xdr:row>20</xdr:row>
      <xdr:rowOff>52294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5DAA62-8BCA-7840-AD56-63F86FC7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5529" y="3316941"/>
          <a:ext cx="1770530" cy="68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873125</xdr:colOff>
      <xdr:row>10</xdr:row>
      <xdr:rowOff>23813</xdr:rowOff>
    </xdr:from>
    <xdr:to>
      <xdr:col>7</xdr:col>
      <xdr:colOff>40155</xdr:colOff>
      <xdr:row>13</xdr:row>
      <xdr:rowOff>39688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91EF9-403E-E148-BAD5-7C942BE0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9750" y="2595563"/>
          <a:ext cx="177053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6</xdr:row>
      <xdr:rowOff>15875</xdr:rowOff>
    </xdr:from>
    <xdr:to>
      <xdr:col>6</xdr:col>
      <xdr:colOff>865655</xdr:colOff>
      <xdr:row>9</xdr:row>
      <xdr:rowOff>136177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A40FA2-3B1A-F845-9C2C-ABE75F6E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1555750"/>
          <a:ext cx="1770530" cy="73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7938</xdr:colOff>
      <xdr:row>6</xdr:row>
      <xdr:rowOff>0</xdr:rowOff>
    </xdr:from>
    <xdr:to>
      <xdr:col>7</xdr:col>
      <xdr:colOff>63968</xdr:colOff>
      <xdr:row>9</xdr:row>
      <xdr:rowOff>72677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052326-CEAA-0641-B1B9-D3F72110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3563" y="1539875"/>
          <a:ext cx="1770530" cy="691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14B-4CA1-724E-8D37-F68BDFD8B3CB}">
  <dimension ref="A2:J41"/>
  <sheetViews>
    <sheetView zoomScale="170" zoomScaleNormal="170" workbookViewId="0">
      <selection activeCell="D17" sqref="D17"/>
    </sheetView>
  </sheetViews>
  <sheetFormatPr baseColWidth="10" defaultRowHeight="16" x14ac:dyDescent="0.2"/>
  <cols>
    <col min="1" max="1" width="8.33203125" customWidth="1"/>
    <col min="2" max="2" width="6.5" style="2" customWidth="1"/>
    <col min="3" max="3" width="13.83203125" bestFit="1" customWidth="1"/>
    <col min="5" max="5" width="13" bestFit="1" customWidth="1"/>
    <col min="7" max="7" width="13" bestFit="1" customWidth="1"/>
  </cols>
  <sheetData>
    <row r="2" spans="1:8" x14ac:dyDescent="0.2">
      <c r="A2" s="5"/>
    </row>
    <row r="3" spans="1:8" x14ac:dyDescent="0.2">
      <c r="A3" s="5"/>
      <c r="C3" s="9"/>
    </row>
    <row r="4" spans="1:8" x14ac:dyDescent="0.2">
      <c r="A4" s="5"/>
      <c r="B4"/>
      <c r="C4" s="1"/>
    </row>
    <row r="5" spans="1:8" x14ac:dyDescent="0.2">
      <c r="A5" s="5"/>
    </row>
    <row r="6" spans="1:8" x14ac:dyDescent="0.2">
      <c r="A6" s="5"/>
    </row>
    <row r="7" spans="1:8" x14ac:dyDescent="0.2">
      <c r="A7" s="5"/>
    </row>
    <row r="8" spans="1:8" x14ac:dyDescent="0.2">
      <c r="A8" s="5"/>
      <c r="B8" s="18"/>
      <c r="C8" s="18" t="s">
        <v>10</v>
      </c>
      <c r="D8" s="18" t="s">
        <v>1</v>
      </c>
    </row>
    <row r="9" spans="1:8" ht="18" x14ac:dyDescent="0.25">
      <c r="A9" s="5"/>
      <c r="B9" s="21" t="s">
        <v>0</v>
      </c>
      <c r="C9" s="23">
        <v>0</v>
      </c>
      <c r="D9" s="23">
        <f>C9+273</f>
        <v>273</v>
      </c>
    </row>
    <row r="10" spans="1:8" ht="18" x14ac:dyDescent="0.25">
      <c r="A10" s="5"/>
      <c r="B10" s="21" t="s">
        <v>9</v>
      </c>
      <c r="C10" s="23">
        <v>30</v>
      </c>
      <c r="D10" s="23">
        <f>C10+273</f>
        <v>303</v>
      </c>
    </row>
    <row r="11" spans="1:8" x14ac:dyDescent="0.2">
      <c r="A11" s="5"/>
      <c r="B11" s="8"/>
      <c r="C11" s="3"/>
      <c r="D11" s="3"/>
    </row>
    <row r="12" spans="1:8" x14ac:dyDescent="0.2">
      <c r="A12" s="5"/>
      <c r="C12" s="34" t="s">
        <v>3</v>
      </c>
      <c r="D12" s="34"/>
      <c r="E12" s="34" t="s">
        <v>4</v>
      </c>
      <c r="F12" s="34"/>
      <c r="G12" s="34" t="s">
        <v>5</v>
      </c>
      <c r="H12" s="34"/>
    </row>
    <row r="13" spans="1:8" x14ac:dyDescent="0.2">
      <c r="A13" s="5"/>
      <c r="C13" s="22" t="s">
        <v>10</v>
      </c>
      <c r="D13" s="18" t="s">
        <v>1</v>
      </c>
      <c r="E13" s="22" t="s">
        <v>10</v>
      </c>
      <c r="F13" s="18" t="s">
        <v>1</v>
      </c>
      <c r="G13" s="22" t="s">
        <v>10</v>
      </c>
      <c r="H13" s="18" t="s">
        <v>1</v>
      </c>
    </row>
    <row r="14" spans="1:8" ht="18" x14ac:dyDescent="0.25">
      <c r="A14" s="5"/>
      <c r="B14" s="21" t="s">
        <v>8</v>
      </c>
      <c r="C14" s="18">
        <v>7</v>
      </c>
      <c r="D14" s="18">
        <f>C14+273</f>
        <v>280</v>
      </c>
      <c r="E14" s="18">
        <v>15.3</v>
      </c>
      <c r="F14" s="18">
        <f>E14+273</f>
        <v>288.3</v>
      </c>
      <c r="G14" s="18">
        <v>20</v>
      </c>
      <c r="H14" s="18">
        <f>G14+273</f>
        <v>293</v>
      </c>
    </row>
    <row r="15" spans="1:8" x14ac:dyDescent="0.2">
      <c r="A15" s="5"/>
      <c r="B15" s="8"/>
      <c r="C15" s="2"/>
      <c r="D15" s="2"/>
      <c r="E15" s="2"/>
      <c r="F15" s="2"/>
      <c r="G15" s="2"/>
      <c r="H15" s="2"/>
    </row>
    <row r="16" spans="1:8" x14ac:dyDescent="0.2">
      <c r="A16" s="5"/>
      <c r="B16" s="8" t="s">
        <v>20</v>
      </c>
      <c r="C16" s="2"/>
      <c r="D16" s="2"/>
      <c r="E16" s="2"/>
      <c r="F16" s="2"/>
      <c r="G16" s="2"/>
      <c r="H16" s="2"/>
    </row>
    <row r="17" spans="1:8" s="16" customFormat="1" x14ac:dyDescent="0.2">
      <c r="A17" s="29"/>
      <c r="B17" s="30" t="s">
        <v>19</v>
      </c>
      <c r="C17" s="16" t="s">
        <v>11</v>
      </c>
      <c r="D17" s="16">
        <f>Winter!C7</f>
        <v>2227714.4979020986</v>
      </c>
      <c r="F17" s="16">
        <f>'Spring Autumn'!C4</f>
        <v>2439877.7834165837</v>
      </c>
      <c r="H17" s="16">
        <f>Summer!C4</f>
        <v>2657516.0689310688</v>
      </c>
    </row>
    <row r="18" spans="1:8" s="16" customFormat="1" ht="18" x14ac:dyDescent="0.25">
      <c r="A18" s="29"/>
      <c r="B18" s="30" t="s">
        <v>12</v>
      </c>
      <c r="C18" s="16" t="s">
        <v>11</v>
      </c>
      <c r="D18" s="16">
        <f>Winter!D7</f>
        <v>164872.9294239422</v>
      </c>
      <c r="F18" s="16">
        <f>'Spring Autumn'!D4</f>
        <v>112088.42929966237</v>
      </c>
      <c r="H18" s="16">
        <f>Summer!D4</f>
        <v>81719.988602955898</v>
      </c>
    </row>
    <row r="19" spans="1:8" x14ac:dyDescent="0.2">
      <c r="A19" s="5"/>
      <c r="C19" s="3"/>
    </row>
    <row r="20" spans="1:8" x14ac:dyDescent="0.2">
      <c r="A20" s="5"/>
    </row>
    <row r="21" spans="1:8" x14ac:dyDescent="0.2">
      <c r="A21" s="5"/>
    </row>
    <row r="22" spans="1:8" x14ac:dyDescent="0.2">
      <c r="A22" s="5"/>
      <c r="C22" s="3"/>
    </row>
    <row r="23" spans="1:8" x14ac:dyDescent="0.2">
      <c r="A23" s="5"/>
      <c r="C23" s="3"/>
    </row>
    <row r="24" spans="1:8" x14ac:dyDescent="0.2">
      <c r="C24" s="3"/>
    </row>
    <row r="25" spans="1:8" x14ac:dyDescent="0.2">
      <c r="A25" s="5"/>
      <c r="C25" s="7"/>
    </row>
    <row r="27" spans="1:8" x14ac:dyDescent="0.2">
      <c r="A27" s="8"/>
      <c r="C27" s="2"/>
    </row>
    <row r="28" spans="1:8" x14ac:dyDescent="0.2">
      <c r="A28" s="5"/>
      <c r="C28" s="7"/>
    </row>
    <row r="29" spans="1:8" x14ac:dyDescent="0.2">
      <c r="A29" s="5"/>
      <c r="C29" s="7"/>
    </row>
    <row r="30" spans="1:8" x14ac:dyDescent="0.2">
      <c r="A30" s="5"/>
      <c r="B30"/>
    </row>
    <row r="31" spans="1:8" x14ac:dyDescent="0.2">
      <c r="A31" s="5"/>
      <c r="B31"/>
    </row>
    <row r="32" spans="1:8" x14ac:dyDescent="0.2">
      <c r="A32" s="5"/>
    </row>
    <row r="33" spans="1:10" x14ac:dyDescent="0.2">
      <c r="C33" s="2"/>
    </row>
    <row r="34" spans="1:10" x14ac:dyDescent="0.2">
      <c r="A34" s="10"/>
      <c r="B34" s="11"/>
      <c r="C34" s="6"/>
      <c r="J34" s="15"/>
    </row>
    <row r="36" spans="1:10" x14ac:dyDescent="0.2">
      <c r="C36" s="4"/>
    </row>
    <row r="40" spans="1:10" x14ac:dyDescent="0.2">
      <c r="C40" s="3"/>
    </row>
    <row r="41" spans="1:10" x14ac:dyDescent="0.2">
      <c r="C41" s="6"/>
    </row>
  </sheetData>
  <mergeCells count="3">
    <mergeCell ref="C12:D12"/>
    <mergeCell ref="E12:F12"/>
    <mergeCell ref="G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D1F-C979-024E-968B-25C912241062}">
  <dimension ref="A1:L683"/>
  <sheetViews>
    <sheetView tabSelected="1" zoomScale="160" zoomScaleNormal="160" workbookViewId="0">
      <selection activeCell="I13" sqref="I13"/>
    </sheetView>
  </sheetViews>
  <sheetFormatPr baseColWidth="10" defaultRowHeight="16" x14ac:dyDescent="0.2"/>
  <cols>
    <col min="1" max="1" width="10.83203125" style="31"/>
    <col min="2" max="2" width="10.83203125" style="2"/>
    <col min="3" max="3" width="13.1640625" bestFit="1" customWidth="1"/>
    <col min="5" max="5" width="11.6640625" customWidth="1"/>
    <col min="6" max="6" width="11.6640625" style="14" bestFit="1" customWidth="1"/>
    <col min="8" max="8" width="11" bestFit="1" customWidth="1"/>
  </cols>
  <sheetData>
    <row r="1" spans="1:12" x14ac:dyDescent="0.2">
      <c r="F1"/>
    </row>
    <row r="2" spans="1:12" x14ac:dyDescent="0.2">
      <c r="F2"/>
    </row>
    <row r="3" spans="1:12" x14ac:dyDescent="0.2">
      <c r="F3"/>
    </row>
    <row r="4" spans="1:12" x14ac:dyDescent="0.2">
      <c r="F4"/>
    </row>
    <row r="5" spans="1:12" s="12" customFormat="1" ht="34" customHeight="1" x14ac:dyDescent="0.2">
      <c r="A5" s="32"/>
      <c r="C5" s="12" t="s">
        <v>7</v>
      </c>
      <c r="L5" s="25" t="s">
        <v>16</v>
      </c>
    </row>
    <row r="6" spans="1:12" s="12" customFormat="1" ht="35" x14ac:dyDescent="0.25">
      <c r="A6" s="32"/>
      <c r="C6" s="13" t="s">
        <v>14</v>
      </c>
      <c r="D6" s="13" t="s">
        <v>12</v>
      </c>
      <c r="F6" t="s">
        <v>13</v>
      </c>
      <c r="G6">
        <f>Properties!$D$9</f>
        <v>273</v>
      </c>
      <c r="H6" t="s">
        <v>1</v>
      </c>
      <c r="L6" s="25" t="s">
        <v>17</v>
      </c>
    </row>
    <row r="7" spans="1:12" ht="18" x14ac:dyDescent="0.25">
      <c r="B7" s="2" t="s">
        <v>2</v>
      </c>
      <c r="C7" s="16">
        <f>SUM(C9:C680)</f>
        <v>2227714.4979020986</v>
      </c>
      <c r="D7" s="16">
        <f>SUM(D9:D680)</f>
        <v>164872.9294239422</v>
      </c>
      <c r="E7" s="19"/>
      <c r="F7" t="s">
        <v>9</v>
      </c>
      <c r="G7">
        <f>Properties!$D$10</f>
        <v>303</v>
      </c>
      <c r="H7" t="s">
        <v>1</v>
      </c>
      <c r="I7" s="17"/>
      <c r="L7" s="26" t="s">
        <v>18</v>
      </c>
    </row>
    <row r="8" spans="1:12" ht="18" x14ac:dyDescent="0.25">
      <c r="B8" s="2" t="s">
        <v>6</v>
      </c>
      <c r="C8" t="s">
        <v>11</v>
      </c>
      <c r="D8" s="7" t="s">
        <v>11</v>
      </c>
      <c r="F8" t="s">
        <v>8</v>
      </c>
      <c r="G8">
        <f>Properties!$D$14</f>
        <v>280</v>
      </c>
      <c r="H8" t="s">
        <v>1</v>
      </c>
      <c r="L8" s="26" t="s">
        <v>3</v>
      </c>
    </row>
    <row r="9" spans="1:12" x14ac:dyDescent="0.2">
      <c r="A9" s="31">
        <v>1</v>
      </c>
      <c r="B9" s="2">
        <v>1</v>
      </c>
      <c r="C9" s="24">
        <v>2142</v>
      </c>
      <c r="D9" s="4">
        <f>$G$6*C9*(1/$G$8-1/$G$7)</f>
        <v>158.529207920792</v>
      </c>
      <c r="E9" s="6"/>
      <c r="F9" s="3" t="s">
        <v>15</v>
      </c>
      <c r="G9" s="3">
        <v>5</v>
      </c>
      <c r="H9" s="6"/>
      <c r="L9" s="27">
        <v>2142</v>
      </c>
    </row>
    <row r="10" spans="1:12" x14ac:dyDescent="0.2">
      <c r="A10" s="31">
        <v>2</v>
      </c>
      <c r="B10" s="2">
        <v>2</v>
      </c>
      <c r="C10" s="24">
        <v>2016</v>
      </c>
      <c r="D10" s="4">
        <f t="shared" ref="D10:D73" si="0">$G$6*C10*(1/$G$8-1/$G$7)</f>
        <v>149.20396039603952</v>
      </c>
      <c r="E10" s="6"/>
      <c r="F10" s="3"/>
      <c r="G10" s="4"/>
      <c r="H10" s="6"/>
      <c r="L10" s="27">
        <v>2016</v>
      </c>
    </row>
    <row r="11" spans="1:12" x14ac:dyDescent="0.2">
      <c r="A11" s="31">
        <v>3</v>
      </c>
      <c r="B11" s="2">
        <v>3</v>
      </c>
      <c r="C11" s="24">
        <v>2142</v>
      </c>
      <c r="D11" s="4">
        <f t="shared" si="0"/>
        <v>158.529207920792</v>
      </c>
      <c r="E11" s="6"/>
      <c r="F11" s="3"/>
      <c r="G11" s="4"/>
      <c r="H11" s="6"/>
      <c r="L11" s="27">
        <v>2142</v>
      </c>
    </row>
    <row r="12" spans="1:12" x14ac:dyDescent="0.2">
      <c r="A12" s="31">
        <v>4</v>
      </c>
      <c r="B12" s="2">
        <v>4</v>
      </c>
      <c r="C12" s="24">
        <v>2268</v>
      </c>
      <c r="D12" s="4">
        <f t="shared" si="0"/>
        <v>167.85445544554446</v>
      </c>
      <c r="E12" s="6"/>
      <c r="F12" s="3"/>
      <c r="G12" s="4"/>
      <c r="H12" s="6"/>
      <c r="L12" s="27">
        <v>2268</v>
      </c>
    </row>
    <row r="13" spans="1:12" x14ac:dyDescent="0.2">
      <c r="A13" s="31">
        <v>5</v>
      </c>
      <c r="B13" s="2">
        <v>5</v>
      </c>
      <c r="C13" s="24">
        <v>2582.9999999999995</v>
      </c>
      <c r="D13" s="4">
        <f t="shared" si="0"/>
        <v>191.1675742574256</v>
      </c>
      <c r="E13" s="6"/>
      <c r="F13" s="3"/>
      <c r="G13" s="4"/>
      <c r="H13" s="6"/>
      <c r="I13" s="33"/>
      <c r="L13" s="27">
        <v>2583</v>
      </c>
    </row>
    <row r="14" spans="1:12" x14ac:dyDescent="0.2">
      <c r="A14" s="31">
        <v>6</v>
      </c>
      <c r="B14" s="2">
        <v>6</v>
      </c>
      <c r="C14" s="24">
        <v>2771.9999999999995</v>
      </c>
      <c r="D14" s="4">
        <f t="shared" si="0"/>
        <v>205.15544554455431</v>
      </c>
      <c r="E14" s="6"/>
      <c r="F14" s="3"/>
      <c r="G14" s="4"/>
      <c r="H14" s="6"/>
      <c r="L14" s="27">
        <v>2772</v>
      </c>
    </row>
    <row r="15" spans="1:12" x14ac:dyDescent="0.2">
      <c r="A15" s="31">
        <v>7</v>
      </c>
      <c r="B15" s="2">
        <v>7</v>
      </c>
      <c r="C15" s="24">
        <v>2960.9999999999995</v>
      </c>
      <c r="D15" s="4">
        <f t="shared" si="0"/>
        <v>219.14331683168302</v>
      </c>
      <c r="E15" s="6"/>
      <c r="F15" s="3"/>
      <c r="G15" s="4"/>
      <c r="H15" s="6"/>
      <c r="L15" s="27">
        <v>2961</v>
      </c>
    </row>
    <row r="16" spans="1:12" x14ac:dyDescent="0.2">
      <c r="A16" s="31">
        <v>8</v>
      </c>
      <c r="B16" s="2">
        <v>8</v>
      </c>
      <c r="C16" s="24">
        <v>3149.9999999999991</v>
      </c>
      <c r="D16" s="4">
        <f t="shared" si="0"/>
        <v>233.13118811881168</v>
      </c>
      <c r="E16" s="6"/>
      <c r="F16" s="3"/>
      <c r="G16" s="4"/>
      <c r="H16" s="6"/>
      <c r="L16" s="27">
        <v>3150</v>
      </c>
    </row>
    <row r="17" spans="1:12" x14ac:dyDescent="0.2">
      <c r="A17" s="31">
        <v>9</v>
      </c>
      <c r="B17" s="2">
        <v>9</v>
      </c>
      <c r="C17" s="24">
        <v>3338.9999999999991</v>
      </c>
      <c r="D17" s="4">
        <f t="shared" si="0"/>
        <v>247.11905940594039</v>
      </c>
      <c r="E17" s="6"/>
      <c r="F17" s="3"/>
      <c r="G17" s="4"/>
      <c r="H17" s="6"/>
      <c r="L17" s="27">
        <v>3339</v>
      </c>
    </row>
    <row r="18" spans="1:12" x14ac:dyDescent="0.2">
      <c r="A18" s="31">
        <v>10</v>
      </c>
      <c r="B18" s="2">
        <v>10</v>
      </c>
      <c r="C18" s="24">
        <v>3527.9999999999986</v>
      </c>
      <c r="D18" s="4">
        <f t="shared" si="0"/>
        <v>261.10693069306905</v>
      </c>
      <c r="E18" s="6"/>
      <c r="F18" s="3"/>
      <c r="G18" s="4"/>
      <c r="H18" s="6"/>
      <c r="L18" s="27">
        <v>3528</v>
      </c>
    </row>
    <row r="19" spans="1:12" x14ac:dyDescent="0.2">
      <c r="A19" s="31">
        <v>11</v>
      </c>
      <c r="B19" s="2">
        <v>11</v>
      </c>
      <c r="C19" s="24">
        <v>3716.9999999999986</v>
      </c>
      <c r="D19" s="4">
        <f t="shared" si="0"/>
        <v>275.09480198019776</v>
      </c>
      <c r="E19" s="6"/>
      <c r="F19" s="3"/>
      <c r="G19" s="4"/>
      <c r="H19" s="6"/>
      <c r="L19" s="27">
        <v>3717</v>
      </c>
    </row>
    <row r="20" spans="1:12" x14ac:dyDescent="0.2">
      <c r="A20" s="31">
        <v>12</v>
      </c>
      <c r="B20" s="2">
        <v>12</v>
      </c>
      <c r="C20" s="24">
        <v>3905.9999999999986</v>
      </c>
      <c r="D20" s="4">
        <f t="shared" si="0"/>
        <v>289.08267326732647</v>
      </c>
      <c r="E20" s="6"/>
      <c r="F20" s="3"/>
      <c r="G20" s="4"/>
      <c r="H20" s="6"/>
      <c r="L20" s="27">
        <v>3906</v>
      </c>
    </row>
    <row r="21" spans="1:12" x14ac:dyDescent="0.2">
      <c r="A21" s="31">
        <v>13</v>
      </c>
      <c r="B21" s="2">
        <v>13</v>
      </c>
      <c r="C21" s="24">
        <v>4094.9999999999995</v>
      </c>
      <c r="D21" s="4">
        <f t="shared" si="0"/>
        <v>303.07054455445524</v>
      </c>
      <c r="E21" s="6"/>
      <c r="F21" s="3"/>
      <c r="G21" s="4"/>
      <c r="H21" s="6"/>
      <c r="L21" s="27">
        <v>4095</v>
      </c>
    </row>
    <row r="22" spans="1:12" x14ac:dyDescent="0.2">
      <c r="A22" s="31">
        <v>14</v>
      </c>
      <c r="B22" s="2">
        <v>14</v>
      </c>
      <c r="C22" s="24">
        <v>4284</v>
      </c>
      <c r="D22" s="4">
        <f t="shared" si="0"/>
        <v>317.05841584158401</v>
      </c>
      <c r="E22" s="6"/>
      <c r="F22" s="3"/>
      <c r="G22" s="4"/>
      <c r="H22" s="6"/>
      <c r="L22" s="27">
        <v>4284</v>
      </c>
    </row>
    <row r="23" spans="1:12" x14ac:dyDescent="0.2">
      <c r="A23" s="31">
        <v>15</v>
      </c>
      <c r="B23" s="2">
        <v>15</v>
      </c>
      <c r="C23" s="24">
        <v>4157.9999999999991</v>
      </c>
      <c r="D23" s="4">
        <f t="shared" si="0"/>
        <v>307.73316831683144</v>
      </c>
      <c r="E23" s="6"/>
      <c r="F23" s="3"/>
      <c r="G23" s="4"/>
      <c r="H23" s="6"/>
      <c r="L23" s="27">
        <v>4158</v>
      </c>
    </row>
    <row r="24" spans="1:12" x14ac:dyDescent="0.2">
      <c r="A24" s="31">
        <v>16</v>
      </c>
      <c r="B24" s="2">
        <v>16</v>
      </c>
      <c r="C24" s="24">
        <v>4326</v>
      </c>
      <c r="D24" s="4">
        <f t="shared" si="0"/>
        <v>320.16683168316814</v>
      </c>
      <c r="E24" s="6"/>
      <c r="F24" s="3"/>
      <c r="G24" s="4"/>
      <c r="H24" s="6"/>
      <c r="L24" s="27">
        <v>4326</v>
      </c>
    </row>
    <row r="25" spans="1:12" x14ac:dyDescent="0.2">
      <c r="A25" s="31">
        <v>17</v>
      </c>
      <c r="B25" s="2">
        <v>17</v>
      </c>
      <c r="C25" s="24">
        <v>4914</v>
      </c>
      <c r="D25" s="4">
        <f t="shared" si="0"/>
        <v>363.68465346534634</v>
      </c>
      <c r="E25" s="6"/>
      <c r="F25" s="3"/>
      <c r="G25" s="4"/>
      <c r="H25" s="6"/>
      <c r="L25" s="27">
        <v>4914</v>
      </c>
    </row>
    <row r="26" spans="1:12" x14ac:dyDescent="0.2">
      <c r="A26" s="31">
        <v>18</v>
      </c>
      <c r="B26" s="2">
        <v>18</v>
      </c>
      <c r="C26" s="24">
        <v>4787.9999999999991</v>
      </c>
      <c r="D26" s="4">
        <f t="shared" si="0"/>
        <v>354.35940594059377</v>
      </c>
      <c r="E26" s="6"/>
      <c r="F26" s="3"/>
      <c r="G26" s="4"/>
      <c r="H26" s="6"/>
      <c r="L26" s="27">
        <v>4788</v>
      </c>
    </row>
    <row r="27" spans="1:12" x14ac:dyDescent="0.2">
      <c r="A27" s="31">
        <v>19</v>
      </c>
      <c r="B27" s="2">
        <v>19</v>
      </c>
      <c r="C27" s="24">
        <v>5039.9999999999991</v>
      </c>
      <c r="D27" s="4">
        <f t="shared" si="0"/>
        <v>373.00990099009874</v>
      </c>
      <c r="E27" s="6"/>
      <c r="F27" s="3"/>
      <c r="G27" s="4"/>
      <c r="H27" s="6"/>
      <c r="L27" s="27">
        <v>5040</v>
      </c>
    </row>
    <row r="28" spans="1:12" x14ac:dyDescent="0.2">
      <c r="A28" s="31">
        <v>20</v>
      </c>
      <c r="B28" s="2">
        <v>20</v>
      </c>
      <c r="C28" s="24">
        <v>4787.9999999999991</v>
      </c>
      <c r="D28" s="4">
        <f t="shared" si="0"/>
        <v>354.35940594059377</v>
      </c>
      <c r="E28" s="6"/>
      <c r="F28" s="3"/>
      <c r="G28" s="4"/>
      <c r="H28" s="6"/>
      <c r="L28" s="27">
        <v>4788</v>
      </c>
    </row>
    <row r="29" spans="1:12" x14ac:dyDescent="0.2">
      <c r="A29" s="31">
        <v>21</v>
      </c>
      <c r="B29" s="2">
        <v>21</v>
      </c>
      <c r="C29" s="24">
        <v>5165.9999999999991</v>
      </c>
      <c r="D29" s="4">
        <f t="shared" si="0"/>
        <v>382.3351485148512</v>
      </c>
      <c r="E29" s="6"/>
      <c r="F29" s="3"/>
      <c r="G29" s="4"/>
      <c r="H29" s="6"/>
      <c r="L29" s="27">
        <v>5166</v>
      </c>
    </row>
    <row r="30" spans="1:12" x14ac:dyDescent="0.2">
      <c r="A30" s="31">
        <v>22</v>
      </c>
      <c r="B30" s="2">
        <v>22</v>
      </c>
      <c r="C30" s="24">
        <v>4536</v>
      </c>
      <c r="D30" s="4">
        <f t="shared" si="0"/>
        <v>335.70891089108892</v>
      </c>
      <c r="E30" s="6"/>
      <c r="F30" s="3"/>
      <c r="G30" s="4"/>
      <c r="H30" s="6"/>
      <c r="L30" s="27">
        <v>4536</v>
      </c>
    </row>
    <row r="31" spans="1:12" x14ac:dyDescent="0.2">
      <c r="A31" s="31">
        <v>23</v>
      </c>
      <c r="B31" s="2">
        <v>23</v>
      </c>
      <c r="C31" s="24">
        <v>3905.9999999999986</v>
      </c>
      <c r="D31" s="4">
        <f t="shared" si="0"/>
        <v>289.08267326732647</v>
      </c>
      <c r="E31" s="6"/>
      <c r="F31" s="3"/>
      <c r="G31" s="4"/>
      <c r="H31" s="6"/>
      <c r="L31" s="27">
        <v>3906</v>
      </c>
    </row>
    <row r="32" spans="1:12" x14ac:dyDescent="0.2">
      <c r="A32" s="31">
        <v>24</v>
      </c>
      <c r="B32" s="2">
        <v>24</v>
      </c>
      <c r="C32" s="24">
        <v>3275.9999999999991</v>
      </c>
      <c r="D32" s="4">
        <f t="shared" si="0"/>
        <v>242.45643564356416</v>
      </c>
      <c r="E32" s="6"/>
      <c r="F32" s="3"/>
      <c r="G32" s="4"/>
      <c r="H32" s="6"/>
      <c r="L32" s="27">
        <v>3276</v>
      </c>
    </row>
    <row r="33" spans="1:12" x14ac:dyDescent="0.2">
      <c r="A33" s="31">
        <v>25</v>
      </c>
      <c r="B33" s="2">
        <v>25</v>
      </c>
      <c r="C33" s="24">
        <v>2142</v>
      </c>
      <c r="D33" s="4">
        <f t="shared" si="0"/>
        <v>158.529207920792</v>
      </c>
      <c r="E33" s="6"/>
      <c r="F33" s="3"/>
      <c r="G33" s="4"/>
      <c r="H33" s="6"/>
      <c r="L33" s="27">
        <v>2142</v>
      </c>
    </row>
    <row r="34" spans="1:12" x14ac:dyDescent="0.2">
      <c r="A34" s="31">
        <v>26</v>
      </c>
      <c r="B34" s="2">
        <v>26</v>
      </c>
      <c r="C34" s="24">
        <v>2016</v>
      </c>
      <c r="D34" s="4">
        <f t="shared" si="0"/>
        <v>149.20396039603952</v>
      </c>
      <c r="E34" s="6"/>
      <c r="F34" s="3"/>
      <c r="G34" s="4"/>
      <c r="H34" s="6"/>
      <c r="L34" s="27">
        <v>2016</v>
      </c>
    </row>
    <row r="35" spans="1:12" x14ac:dyDescent="0.2">
      <c r="A35" s="31">
        <v>27</v>
      </c>
      <c r="B35" s="2">
        <v>27</v>
      </c>
      <c r="C35" s="24">
        <v>2167.1999999999998</v>
      </c>
      <c r="D35" s="4">
        <f t="shared" si="0"/>
        <v>160.39425742574247</v>
      </c>
      <c r="E35" s="6"/>
      <c r="F35" s="3"/>
      <c r="G35" s="4"/>
      <c r="H35" s="6"/>
      <c r="L35" s="27">
        <v>2167.1999999999998</v>
      </c>
    </row>
    <row r="36" spans="1:12" x14ac:dyDescent="0.2">
      <c r="A36" s="31">
        <v>28</v>
      </c>
      <c r="B36" s="2">
        <v>28</v>
      </c>
      <c r="C36" s="24">
        <v>2268</v>
      </c>
      <c r="D36" s="4">
        <f t="shared" si="0"/>
        <v>167.85445544554446</v>
      </c>
      <c r="E36" s="6"/>
      <c r="F36" s="3"/>
      <c r="G36" s="4"/>
      <c r="H36" s="6"/>
      <c r="L36" s="27">
        <v>2268</v>
      </c>
    </row>
    <row r="37" spans="1:12" x14ac:dyDescent="0.2">
      <c r="A37" s="31">
        <v>29</v>
      </c>
      <c r="B37" s="2">
        <v>29</v>
      </c>
      <c r="C37" s="24">
        <v>2502</v>
      </c>
      <c r="D37" s="4">
        <f t="shared" si="0"/>
        <v>185.17277227722761</v>
      </c>
      <c r="E37" s="6"/>
      <c r="F37" s="3"/>
      <c r="G37" s="4"/>
      <c r="H37" s="6"/>
      <c r="L37" s="27">
        <v>2502</v>
      </c>
    </row>
    <row r="38" spans="1:12" x14ac:dyDescent="0.2">
      <c r="A38" s="31">
        <v>30</v>
      </c>
      <c r="B38" s="2">
        <v>30</v>
      </c>
      <c r="C38" s="24">
        <v>2664</v>
      </c>
      <c r="D38" s="4">
        <f t="shared" si="0"/>
        <v>197.16237623762365</v>
      </c>
      <c r="E38" s="6"/>
      <c r="F38" s="3"/>
      <c r="G38" s="4"/>
      <c r="H38" s="6"/>
      <c r="L38" s="27">
        <v>2664</v>
      </c>
    </row>
    <row r="39" spans="1:12" x14ac:dyDescent="0.2">
      <c r="A39" s="31">
        <v>31</v>
      </c>
      <c r="B39" s="2">
        <v>31</v>
      </c>
      <c r="C39" s="24">
        <v>2825.9999999999995</v>
      </c>
      <c r="D39" s="4">
        <f t="shared" si="0"/>
        <v>209.15198019801966</v>
      </c>
      <c r="E39" s="6"/>
      <c r="F39" s="3"/>
      <c r="G39" s="4"/>
      <c r="H39" s="6"/>
      <c r="L39" s="27">
        <v>2826</v>
      </c>
    </row>
    <row r="40" spans="1:12" x14ac:dyDescent="0.2">
      <c r="A40" s="31">
        <v>32</v>
      </c>
      <c r="B40" s="2">
        <v>32</v>
      </c>
      <c r="C40" s="24">
        <v>2988</v>
      </c>
      <c r="D40" s="4">
        <f t="shared" si="0"/>
        <v>221.14158415841572</v>
      </c>
      <c r="E40" s="6"/>
      <c r="F40" s="3"/>
      <c r="G40" s="4"/>
      <c r="H40" s="6"/>
      <c r="L40" s="27">
        <v>2988</v>
      </c>
    </row>
    <row r="41" spans="1:12" x14ac:dyDescent="0.2">
      <c r="A41" s="31">
        <v>33</v>
      </c>
      <c r="B41" s="2">
        <v>33</v>
      </c>
      <c r="C41" s="24">
        <v>3149.9999999999995</v>
      </c>
      <c r="D41" s="4">
        <f t="shared" si="0"/>
        <v>233.13118811881171</v>
      </c>
      <c r="E41" s="6"/>
      <c r="F41" s="3"/>
      <c r="G41" s="4"/>
      <c r="H41" s="6"/>
      <c r="L41" s="27">
        <v>3150</v>
      </c>
    </row>
    <row r="42" spans="1:12" x14ac:dyDescent="0.2">
      <c r="A42" s="31">
        <v>34</v>
      </c>
      <c r="B42" s="2">
        <v>34</v>
      </c>
      <c r="C42" s="24">
        <v>3312</v>
      </c>
      <c r="D42" s="4">
        <f t="shared" si="0"/>
        <v>245.12079207920777</v>
      </c>
      <c r="E42" s="6"/>
      <c r="F42" s="3"/>
      <c r="G42" s="4"/>
      <c r="H42" s="6"/>
      <c r="L42" s="27">
        <v>3312</v>
      </c>
    </row>
    <row r="43" spans="1:12" x14ac:dyDescent="0.2">
      <c r="A43" s="31">
        <v>35</v>
      </c>
      <c r="B43" s="2">
        <v>35</v>
      </c>
      <c r="C43" s="24">
        <v>3473.9999999999995</v>
      </c>
      <c r="D43" s="4">
        <f t="shared" si="0"/>
        <v>257.11039603960381</v>
      </c>
      <c r="E43" s="6"/>
      <c r="F43" s="3"/>
      <c r="G43" s="4"/>
      <c r="H43" s="6"/>
      <c r="L43" s="27">
        <v>3474</v>
      </c>
    </row>
    <row r="44" spans="1:12" x14ac:dyDescent="0.2">
      <c r="A44" s="31">
        <v>36</v>
      </c>
      <c r="B44" s="2">
        <v>36</v>
      </c>
      <c r="C44" s="24">
        <v>3635.9999999999995</v>
      </c>
      <c r="D44" s="4">
        <f t="shared" si="0"/>
        <v>269.0999999999998</v>
      </c>
      <c r="E44" s="6"/>
      <c r="F44" s="3"/>
      <c r="G44" s="4"/>
      <c r="H44" s="6"/>
      <c r="L44" s="27">
        <v>3636</v>
      </c>
    </row>
    <row r="45" spans="1:12" x14ac:dyDescent="0.2">
      <c r="A45" s="31">
        <v>37</v>
      </c>
      <c r="B45" s="2">
        <v>37</v>
      </c>
      <c r="C45" s="24">
        <v>3797.9999999999991</v>
      </c>
      <c r="D45" s="4">
        <f t="shared" si="0"/>
        <v>281.08960396039583</v>
      </c>
      <c r="E45" s="6"/>
      <c r="F45" s="3"/>
      <c r="G45" s="4"/>
      <c r="H45" s="6"/>
      <c r="L45" s="27">
        <v>3798</v>
      </c>
    </row>
    <row r="46" spans="1:12" x14ac:dyDescent="0.2">
      <c r="A46" s="31">
        <v>38</v>
      </c>
      <c r="B46" s="2">
        <v>38</v>
      </c>
      <c r="C46" s="24">
        <v>3959.9999999999995</v>
      </c>
      <c r="D46" s="4">
        <f t="shared" si="0"/>
        <v>293.07920792079187</v>
      </c>
      <c r="E46" s="6"/>
      <c r="F46" s="3"/>
      <c r="G46" s="4"/>
      <c r="H46" s="6"/>
      <c r="L46" s="27">
        <v>3960</v>
      </c>
    </row>
    <row r="47" spans="1:12" x14ac:dyDescent="0.2">
      <c r="A47" s="31">
        <v>39</v>
      </c>
      <c r="B47" s="2">
        <v>39</v>
      </c>
      <c r="C47" s="24">
        <v>4122</v>
      </c>
      <c r="D47" s="4">
        <f t="shared" si="0"/>
        <v>305.06881188118797</v>
      </c>
      <c r="E47" s="6"/>
      <c r="F47" s="3"/>
      <c r="G47" s="4"/>
      <c r="H47" s="6"/>
      <c r="L47" s="27">
        <v>4122</v>
      </c>
    </row>
    <row r="48" spans="1:12" x14ac:dyDescent="0.2">
      <c r="A48" s="31">
        <v>40</v>
      </c>
      <c r="B48" s="2">
        <v>40</v>
      </c>
      <c r="C48" s="24">
        <v>4284</v>
      </c>
      <c r="D48" s="4">
        <f t="shared" si="0"/>
        <v>317.05841584158401</v>
      </c>
      <c r="E48" s="6"/>
      <c r="F48" s="3"/>
      <c r="G48" s="4"/>
      <c r="H48" s="6"/>
      <c r="L48" s="27">
        <v>4284</v>
      </c>
    </row>
    <row r="49" spans="1:12" x14ac:dyDescent="0.2">
      <c r="A49" s="31">
        <v>41</v>
      </c>
      <c r="B49" s="2">
        <v>41</v>
      </c>
      <c r="C49" s="24">
        <v>4157.9999999999991</v>
      </c>
      <c r="D49" s="4">
        <f t="shared" si="0"/>
        <v>307.73316831683144</v>
      </c>
      <c r="E49" s="6"/>
      <c r="F49" s="3"/>
      <c r="G49" s="4"/>
      <c r="H49" s="6"/>
      <c r="L49" s="27">
        <v>4158</v>
      </c>
    </row>
    <row r="50" spans="1:12" x14ac:dyDescent="0.2">
      <c r="A50" s="31">
        <v>42</v>
      </c>
      <c r="B50" s="2">
        <v>42</v>
      </c>
      <c r="C50" s="24">
        <v>4410</v>
      </c>
      <c r="D50" s="4">
        <f t="shared" si="0"/>
        <v>326.38366336633646</v>
      </c>
      <c r="E50" s="6"/>
      <c r="F50" s="3"/>
      <c r="G50" s="4"/>
      <c r="H50" s="6"/>
      <c r="L50" s="27">
        <v>4410</v>
      </c>
    </row>
    <row r="51" spans="1:12" x14ac:dyDescent="0.2">
      <c r="A51" s="31">
        <v>43</v>
      </c>
      <c r="B51" s="2">
        <v>43</v>
      </c>
      <c r="C51" s="24">
        <v>4662</v>
      </c>
      <c r="D51" s="4">
        <f t="shared" si="0"/>
        <v>345.03415841584138</v>
      </c>
      <c r="E51" s="6"/>
      <c r="F51" s="3"/>
      <c r="G51" s="4"/>
      <c r="H51" s="6"/>
      <c r="L51" s="27">
        <v>4662</v>
      </c>
    </row>
    <row r="52" spans="1:12" x14ac:dyDescent="0.2">
      <c r="A52" s="31">
        <v>44</v>
      </c>
      <c r="B52" s="2">
        <v>44</v>
      </c>
      <c r="C52" s="24">
        <v>4787.9999999999991</v>
      </c>
      <c r="D52" s="4">
        <f t="shared" si="0"/>
        <v>354.35940594059377</v>
      </c>
      <c r="E52" s="6"/>
      <c r="F52" s="3"/>
      <c r="G52" s="4"/>
      <c r="H52" s="6"/>
      <c r="L52" s="27">
        <v>4788</v>
      </c>
    </row>
    <row r="53" spans="1:12" x14ac:dyDescent="0.2">
      <c r="A53" s="31">
        <v>45</v>
      </c>
      <c r="B53" s="2">
        <v>45</v>
      </c>
      <c r="C53" s="24">
        <v>5165.9999999999991</v>
      </c>
      <c r="D53" s="4">
        <f t="shared" si="0"/>
        <v>382.3351485148512</v>
      </c>
      <c r="E53" s="6"/>
      <c r="F53" s="3"/>
      <c r="G53" s="4"/>
      <c r="H53" s="6"/>
      <c r="L53" s="27">
        <v>5166</v>
      </c>
    </row>
    <row r="54" spans="1:12" x14ac:dyDescent="0.2">
      <c r="A54" s="31">
        <v>46</v>
      </c>
      <c r="B54" s="2">
        <v>46</v>
      </c>
      <c r="C54" s="24">
        <v>4536</v>
      </c>
      <c r="D54" s="4">
        <f t="shared" si="0"/>
        <v>335.70891089108892</v>
      </c>
      <c r="E54" s="6"/>
      <c r="F54" s="3"/>
      <c r="G54" s="4"/>
      <c r="H54" s="6"/>
      <c r="L54" s="27">
        <v>4536</v>
      </c>
    </row>
    <row r="55" spans="1:12" x14ac:dyDescent="0.2">
      <c r="A55" s="31">
        <v>47</v>
      </c>
      <c r="B55" s="2">
        <v>47</v>
      </c>
      <c r="C55" s="24">
        <v>3905.9999999999986</v>
      </c>
      <c r="D55" s="4">
        <f t="shared" si="0"/>
        <v>289.08267326732647</v>
      </c>
      <c r="E55" s="6"/>
      <c r="F55" s="3"/>
      <c r="G55" s="4"/>
      <c r="H55" s="6"/>
      <c r="L55" s="27">
        <v>3906</v>
      </c>
    </row>
    <row r="56" spans="1:12" x14ac:dyDescent="0.2">
      <c r="A56" s="31">
        <v>48</v>
      </c>
      <c r="B56" s="2">
        <v>48</v>
      </c>
      <c r="C56" s="24">
        <v>3275.9999999999991</v>
      </c>
      <c r="D56" s="4">
        <f t="shared" si="0"/>
        <v>242.45643564356416</v>
      </c>
      <c r="E56" s="6"/>
      <c r="F56" s="3"/>
      <c r="G56" s="4"/>
      <c r="H56" s="6"/>
      <c r="L56" s="27">
        <v>3276</v>
      </c>
    </row>
    <row r="57" spans="1:12" x14ac:dyDescent="0.2">
      <c r="A57" s="31">
        <v>49</v>
      </c>
      <c r="B57" s="2">
        <v>49</v>
      </c>
      <c r="C57" s="24">
        <v>2142</v>
      </c>
      <c r="D57" s="4">
        <f t="shared" si="0"/>
        <v>158.529207920792</v>
      </c>
      <c r="E57" s="6"/>
      <c r="F57" s="3"/>
      <c r="G57" s="4"/>
      <c r="H57" s="6"/>
      <c r="L57" s="27">
        <v>2142</v>
      </c>
    </row>
    <row r="58" spans="1:12" x14ac:dyDescent="0.2">
      <c r="A58" s="31">
        <v>50</v>
      </c>
      <c r="B58" s="2">
        <v>50</v>
      </c>
      <c r="C58" s="24">
        <v>2016</v>
      </c>
      <c r="D58" s="4">
        <f t="shared" si="0"/>
        <v>149.20396039603952</v>
      </c>
      <c r="E58" s="6"/>
      <c r="F58" s="3"/>
      <c r="G58" s="4"/>
      <c r="H58" s="6"/>
      <c r="L58" s="27">
        <v>2016</v>
      </c>
    </row>
    <row r="59" spans="1:12" x14ac:dyDescent="0.2">
      <c r="A59" s="31">
        <v>51</v>
      </c>
      <c r="B59" s="2">
        <v>51</v>
      </c>
      <c r="C59" s="24">
        <v>2142</v>
      </c>
      <c r="D59" s="4">
        <f t="shared" si="0"/>
        <v>158.529207920792</v>
      </c>
      <c r="E59" s="6"/>
      <c r="F59" s="3"/>
      <c r="G59" s="4"/>
      <c r="H59" s="6"/>
      <c r="L59" s="27">
        <v>2142</v>
      </c>
    </row>
    <row r="60" spans="1:12" x14ac:dyDescent="0.2">
      <c r="A60" s="31">
        <v>52</v>
      </c>
      <c r="B60" s="2">
        <v>52</v>
      </c>
      <c r="C60" s="24">
        <v>2268</v>
      </c>
      <c r="D60" s="4">
        <f t="shared" si="0"/>
        <v>167.85445544554446</v>
      </c>
      <c r="E60" s="6"/>
      <c r="F60" s="3"/>
      <c r="G60" s="4"/>
      <c r="H60" s="6"/>
      <c r="L60" s="27">
        <v>2268</v>
      </c>
    </row>
    <row r="61" spans="1:12" x14ac:dyDescent="0.2">
      <c r="A61" s="31">
        <v>53</v>
      </c>
      <c r="B61" s="2">
        <v>53</v>
      </c>
      <c r="C61" s="24">
        <v>2539.3846153846148</v>
      </c>
      <c r="D61" s="4">
        <f t="shared" si="0"/>
        <v>187.93960396039591</v>
      </c>
      <c r="E61" s="6"/>
      <c r="F61" s="3"/>
      <c r="G61" s="4"/>
      <c r="H61" s="6"/>
      <c r="L61" s="27">
        <v>2539.4</v>
      </c>
    </row>
    <row r="62" spans="1:12" x14ac:dyDescent="0.2">
      <c r="A62" s="31">
        <v>54</v>
      </c>
      <c r="B62" s="2">
        <v>54</v>
      </c>
      <c r="C62" s="24">
        <v>2713.8461538461538</v>
      </c>
      <c r="D62" s="4">
        <f t="shared" si="0"/>
        <v>200.85148514851474</v>
      </c>
      <c r="E62" s="6"/>
      <c r="F62" s="3"/>
      <c r="G62" s="4"/>
      <c r="H62" s="6"/>
      <c r="L62" s="27">
        <v>2713.8</v>
      </c>
    </row>
    <row r="63" spans="1:12" x14ac:dyDescent="0.2">
      <c r="A63" s="31">
        <v>55</v>
      </c>
      <c r="B63" s="2">
        <v>55</v>
      </c>
      <c r="C63" s="24">
        <v>2888.3076923076919</v>
      </c>
      <c r="D63" s="4">
        <f t="shared" si="0"/>
        <v>213.76336633663351</v>
      </c>
      <c r="E63" s="6"/>
      <c r="F63" s="3"/>
      <c r="G63" s="4"/>
      <c r="H63" s="6"/>
      <c r="L63" s="27">
        <v>2888.3</v>
      </c>
    </row>
    <row r="64" spans="1:12" x14ac:dyDescent="0.2">
      <c r="A64" s="31">
        <v>56</v>
      </c>
      <c r="B64" s="2">
        <v>56</v>
      </c>
      <c r="C64" s="24">
        <v>3062.7692307692296</v>
      </c>
      <c r="D64" s="4">
        <f t="shared" si="0"/>
        <v>226.67524752475225</v>
      </c>
      <c r="E64" s="6"/>
      <c r="F64" s="3"/>
      <c r="G64" s="4"/>
      <c r="H64" s="6"/>
      <c r="L64" s="27">
        <v>3062.8</v>
      </c>
    </row>
    <row r="65" spans="1:12" x14ac:dyDescent="0.2">
      <c r="A65" s="31">
        <v>57</v>
      </c>
      <c r="B65" s="2">
        <v>57</v>
      </c>
      <c r="C65" s="24">
        <v>3237.2307692307686</v>
      </c>
      <c r="D65" s="4">
        <f t="shared" si="0"/>
        <v>239.58712871287113</v>
      </c>
      <c r="E65" s="6"/>
      <c r="F65" s="3"/>
      <c r="G65" s="4"/>
      <c r="H65" s="6"/>
      <c r="L65" s="27">
        <v>3237.2</v>
      </c>
    </row>
    <row r="66" spans="1:12" x14ac:dyDescent="0.2">
      <c r="A66" s="31">
        <v>58</v>
      </c>
      <c r="B66" s="2">
        <v>58</v>
      </c>
      <c r="C66" s="24">
        <v>3411.6923076923072</v>
      </c>
      <c r="D66" s="4">
        <f t="shared" si="0"/>
        <v>252.49900990098993</v>
      </c>
      <c r="E66" s="6"/>
      <c r="F66" s="3"/>
      <c r="G66" s="4"/>
      <c r="H66" s="6"/>
      <c r="L66" s="27">
        <v>3411.7</v>
      </c>
    </row>
    <row r="67" spans="1:12" x14ac:dyDescent="0.2">
      <c r="A67" s="31">
        <v>59</v>
      </c>
      <c r="B67" s="2">
        <v>59</v>
      </c>
      <c r="C67" s="24">
        <v>3586.1538461538457</v>
      </c>
      <c r="D67" s="4">
        <f t="shared" si="0"/>
        <v>265.41089108910876</v>
      </c>
      <c r="E67" s="6"/>
      <c r="F67" s="3"/>
      <c r="G67" s="4"/>
      <c r="H67" s="6"/>
      <c r="L67" s="27">
        <v>3586.2</v>
      </c>
    </row>
    <row r="68" spans="1:12" x14ac:dyDescent="0.2">
      <c r="A68" s="31">
        <v>60</v>
      </c>
      <c r="B68" s="2">
        <v>60</v>
      </c>
      <c r="C68" s="24">
        <v>3760.6153846153838</v>
      </c>
      <c r="D68" s="4">
        <f t="shared" si="0"/>
        <v>278.3227722772275</v>
      </c>
      <c r="E68" s="6"/>
      <c r="F68" s="3"/>
      <c r="G68" s="4"/>
      <c r="H68" s="6"/>
      <c r="L68" s="27">
        <v>3760.6</v>
      </c>
    </row>
    <row r="69" spans="1:12" x14ac:dyDescent="0.2">
      <c r="A69" s="31">
        <v>61</v>
      </c>
      <c r="B69" s="2">
        <v>61</v>
      </c>
      <c r="C69" s="24">
        <v>3935.076923076922</v>
      </c>
      <c r="D69" s="4">
        <f t="shared" si="0"/>
        <v>291.2346534653463</v>
      </c>
      <c r="E69" s="6"/>
      <c r="F69" s="3"/>
      <c r="G69" s="4"/>
      <c r="H69" s="6"/>
      <c r="L69" s="27">
        <v>3935.1</v>
      </c>
    </row>
    <row r="70" spans="1:12" x14ac:dyDescent="0.2">
      <c r="A70" s="31">
        <v>62</v>
      </c>
      <c r="B70" s="2">
        <v>62</v>
      </c>
      <c r="C70" s="24">
        <v>4109.538461538461</v>
      </c>
      <c r="D70" s="4">
        <f t="shared" si="0"/>
        <v>304.1465346534651</v>
      </c>
      <c r="E70" s="6"/>
      <c r="F70" s="3"/>
      <c r="G70" s="4"/>
      <c r="H70" s="6"/>
      <c r="L70" s="27">
        <v>4109.5</v>
      </c>
    </row>
    <row r="71" spans="1:12" x14ac:dyDescent="0.2">
      <c r="A71" s="31">
        <v>63</v>
      </c>
      <c r="B71" s="2">
        <v>63</v>
      </c>
      <c r="C71" s="24">
        <v>4284</v>
      </c>
      <c r="D71" s="4">
        <f t="shared" si="0"/>
        <v>317.05841584158401</v>
      </c>
      <c r="E71" s="6"/>
      <c r="F71" s="3"/>
      <c r="G71" s="4"/>
      <c r="H71" s="6"/>
      <c r="L71" s="27">
        <v>4284</v>
      </c>
    </row>
    <row r="72" spans="1:12" x14ac:dyDescent="0.2">
      <c r="A72" s="31">
        <v>64</v>
      </c>
      <c r="B72" s="2">
        <v>64</v>
      </c>
      <c r="C72" s="24">
        <v>4157.9999999999991</v>
      </c>
      <c r="D72" s="4">
        <f t="shared" si="0"/>
        <v>307.73316831683144</v>
      </c>
      <c r="E72" s="6"/>
      <c r="F72" s="3"/>
      <c r="G72" s="4"/>
      <c r="H72" s="6"/>
      <c r="L72" s="27">
        <v>4158</v>
      </c>
    </row>
    <row r="73" spans="1:12" x14ac:dyDescent="0.2">
      <c r="A73" s="31">
        <v>65</v>
      </c>
      <c r="B73" s="2">
        <v>65</v>
      </c>
      <c r="C73" s="24">
        <v>4384.8</v>
      </c>
      <c r="D73" s="4">
        <f t="shared" si="0"/>
        <v>324.51861386138597</v>
      </c>
      <c r="E73" s="6"/>
      <c r="F73" s="3"/>
      <c r="G73" s="4"/>
      <c r="H73" s="6"/>
      <c r="L73" s="27">
        <v>4384.8</v>
      </c>
    </row>
    <row r="74" spans="1:12" x14ac:dyDescent="0.2">
      <c r="A74" s="31">
        <v>66</v>
      </c>
      <c r="B74" s="2">
        <v>66</v>
      </c>
      <c r="C74" s="24">
        <v>4611.6000000000004</v>
      </c>
      <c r="D74" s="4">
        <f t="shared" ref="D74:D137" si="1">$G$6*C74*(1/$G$8-1/$G$7)</f>
        <v>341.30405940594039</v>
      </c>
      <c r="E74" s="6"/>
      <c r="F74" s="3"/>
      <c r="G74" s="4"/>
      <c r="H74" s="6"/>
      <c r="L74" s="27">
        <v>4611.6000000000004</v>
      </c>
    </row>
    <row r="75" spans="1:12" x14ac:dyDescent="0.2">
      <c r="A75" s="31">
        <v>67</v>
      </c>
      <c r="B75" s="2">
        <v>67</v>
      </c>
      <c r="C75" s="24">
        <v>5039.9999999999991</v>
      </c>
      <c r="D75" s="4">
        <f t="shared" si="1"/>
        <v>373.00990099009874</v>
      </c>
      <c r="E75" s="6"/>
      <c r="F75" s="3"/>
      <c r="G75" s="4"/>
      <c r="H75" s="6"/>
      <c r="L75" s="27">
        <v>5040</v>
      </c>
    </row>
    <row r="76" spans="1:12" x14ac:dyDescent="0.2">
      <c r="A76" s="31">
        <v>68</v>
      </c>
      <c r="B76" s="2">
        <v>68</v>
      </c>
      <c r="C76" s="24">
        <v>5039.9999999999991</v>
      </c>
      <c r="D76" s="4">
        <f t="shared" si="1"/>
        <v>373.00990099009874</v>
      </c>
      <c r="E76" s="6"/>
      <c r="F76" s="3"/>
      <c r="G76" s="4"/>
      <c r="H76" s="6"/>
      <c r="L76" s="27">
        <v>5040</v>
      </c>
    </row>
    <row r="77" spans="1:12" x14ac:dyDescent="0.2">
      <c r="A77" s="31">
        <v>69</v>
      </c>
      <c r="B77" s="2">
        <v>69</v>
      </c>
      <c r="C77" s="24">
        <v>5292</v>
      </c>
      <c r="D77" s="4">
        <f t="shared" si="1"/>
        <v>391.66039603960377</v>
      </c>
      <c r="E77" s="6"/>
      <c r="F77" s="3"/>
      <c r="G77" s="4"/>
      <c r="H77" s="6"/>
      <c r="L77" s="27">
        <v>5292</v>
      </c>
    </row>
    <row r="78" spans="1:12" x14ac:dyDescent="0.2">
      <c r="A78" s="31">
        <v>70</v>
      </c>
      <c r="B78" s="2">
        <v>70</v>
      </c>
      <c r="C78" s="24">
        <v>4636.8</v>
      </c>
      <c r="D78" s="4">
        <f t="shared" si="1"/>
        <v>343.16910891089094</v>
      </c>
      <c r="E78" s="6"/>
      <c r="F78" s="3"/>
      <c r="G78" s="4"/>
      <c r="H78" s="6"/>
      <c r="L78" s="27">
        <v>4636.8</v>
      </c>
    </row>
    <row r="79" spans="1:12" x14ac:dyDescent="0.2">
      <c r="A79" s="31">
        <v>71</v>
      </c>
      <c r="B79" s="2">
        <v>71</v>
      </c>
      <c r="C79" s="24">
        <v>3981.6</v>
      </c>
      <c r="D79" s="4">
        <f t="shared" si="1"/>
        <v>294.67782178217806</v>
      </c>
      <c r="E79" s="6"/>
      <c r="F79" s="3"/>
      <c r="G79" s="4"/>
      <c r="H79" s="6"/>
      <c r="L79" s="27">
        <v>3981.6</v>
      </c>
    </row>
    <row r="80" spans="1:12" x14ac:dyDescent="0.2">
      <c r="A80" s="31">
        <v>72</v>
      </c>
      <c r="B80" s="2">
        <v>72</v>
      </c>
      <c r="C80" s="24">
        <v>3326.3999999999996</v>
      </c>
      <c r="D80" s="4">
        <f t="shared" si="1"/>
        <v>246.1865346534652</v>
      </c>
      <c r="E80" s="6"/>
      <c r="F80" s="3"/>
      <c r="G80" s="4"/>
      <c r="H80" s="6"/>
      <c r="L80" s="27">
        <v>3326.4</v>
      </c>
    </row>
    <row r="81" spans="1:12" x14ac:dyDescent="0.2">
      <c r="A81" s="31">
        <v>73</v>
      </c>
      <c r="B81" s="2">
        <v>73</v>
      </c>
      <c r="C81" s="24">
        <v>2142</v>
      </c>
      <c r="D81" s="4">
        <f t="shared" si="1"/>
        <v>158.529207920792</v>
      </c>
      <c r="E81" s="6"/>
      <c r="F81" s="3"/>
      <c r="G81" s="4"/>
      <c r="H81" s="6"/>
      <c r="L81" s="27">
        <v>2142</v>
      </c>
    </row>
    <row r="82" spans="1:12" x14ac:dyDescent="0.2">
      <c r="A82" s="31">
        <v>74</v>
      </c>
      <c r="B82" s="2">
        <v>74</v>
      </c>
      <c r="C82" s="24">
        <v>2016</v>
      </c>
      <c r="D82" s="4">
        <f t="shared" si="1"/>
        <v>149.20396039603952</v>
      </c>
      <c r="E82" s="6"/>
      <c r="F82" s="3"/>
      <c r="G82" s="4"/>
      <c r="H82" s="6"/>
      <c r="L82" s="27">
        <v>2016</v>
      </c>
    </row>
    <row r="83" spans="1:12" x14ac:dyDescent="0.2">
      <c r="A83" s="31">
        <v>75</v>
      </c>
      <c r="B83" s="2">
        <v>75</v>
      </c>
      <c r="C83" s="24">
        <v>2142</v>
      </c>
      <c r="D83" s="4">
        <f t="shared" si="1"/>
        <v>158.529207920792</v>
      </c>
      <c r="E83" s="6"/>
      <c r="F83" s="3"/>
      <c r="G83" s="4"/>
      <c r="H83" s="6"/>
      <c r="L83" s="27">
        <v>2142</v>
      </c>
    </row>
    <row r="84" spans="1:12" x14ac:dyDescent="0.2">
      <c r="A84" s="31">
        <v>76</v>
      </c>
      <c r="B84" s="2">
        <v>76</v>
      </c>
      <c r="C84" s="24">
        <v>2268</v>
      </c>
      <c r="D84" s="4">
        <f t="shared" si="1"/>
        <v>167.85445544554446</v>
      </c>
      <c r="E84" s="6"/>
      <c r="F84" s="3"/>
      <c r="G84" s="4"/>
      <c r="H84" s="6"/>
      <c r="L84" s="27">
        <v>2268</v>
      </c>
    </row>
    <row r="85" spans="1:12" x14ac:dyDescent="0.2">
      <c r="A85" s="31">
        <v>77</v>
      </c>
      <c r="B85" s="2">
        <v>77</v>
      </c>
      <c r="C85" s="24">
        <v>2519.9999999999995</v>
      </c>
      <c r="D85" s="4">
        <f t="shared" si="1"/>
        <v>186.50495049504937</v>
      </c>
      <c r="E85" s="6"/>
      <c r="F85" s="3"/>
      <c r="G85" s="4"/>
      <c r="H85" s="6"/>
      <c r="L85" s="27">
        <v>2520</v>
      </c>
    </row>
    <row r="86" spans="1:12" x14ac:dyDescent="0.2">
      <c r="A86" s="31">
        <v>78</v>
      </c>
      <c r="B86" s="2">
        <v>78</v>
      </c>
      <c r="C86" s="24">
        <v>2687.9999999999995</v>
      </c>
      <c r="D86" s="4">
        <f t="shared" si="1"/>
        <v>198.93861386138599</v>
      </c>
      <c r="E86" s="6"/>
      <c r="F86" s="3"/>
      <c r="G86" s="4"/>
      <c r="H86" s="6"/>
      <c r="L86" s="27">
        <v>2688</v>
      </c>
    </row>
    <row r="87" spans="1:12" x14ac:dyDescent="0.2">
      <c r="A87" s="31">
        <v>79</v>
      </c>
      <c r="B87" s="2">
        <v>79</v>
      </c>
      <c r="C87" s="24">
        <v>2855.9999999999995</v>
      </c>
      <c r="D87" s="4">
        <f t="shared" si="1"/>
        <v>211.37227722772263</v>
      </c>
      <c r="E87" s="6"/>
      <c r="F87" s="3"/>
      <c r="G87" s="4"/>
      <c r="H87" s="6"/>
      <c r="L87" s="27">
        <v>2856</v>
      </c>
    </row>
    <row r="88" spans="1:12" x14ac:dyDescent="0.2">
      <c r="A88" s="31">
        <v>80</v>
      </c>
      <c r="B88" s="2">
        <v>80</v>
      </c>
      <c r="C88" s="24">
        <v>3023.9999999999995</v>
      </c>
      <c r="D88" s="4">
        <f t="shared" si="1"/>
        <v>223.80594059405925</v>
      </c>
      <c r="E88" s="6"/>
      <c r="F88" s="3"/>
      <c r="G88" s="4"/>
      <c r="H88" s="6"/>
      <c r="L88" s="27">
        <v>3024</v>
      </c>
    </row>
    <row r="89" spans="1:12" x14ac:dyDescent="0.2">
      <c r="A89" s="31">
        <v>81</v>
      </c>
      <c r="B89" s="2">
        <v>81</v>
      </c>
      <c r="C89" s="24">
        <v>3191.9999999999991</v>
      </c>
      <c r="D89" s="4">
        <f t="shared" si="1"/>
        <v>236.23960396039584</v>
      </c>
      <c r="E89" s="6"/>
      <c r="F89" s="3"/>
      <c r="G89" s="4"/>
      <c r="H89" s="6"/>
      <c r="L89" s="27">
        <v>3192</v>
      </c>
    </row>
    <row r="90" spans="1:12" x14ac:dyDescent="0.2">
      <c r="A90" s="31">
        <v>82</v>
      </c>
      <c r="B90" s="2">
        <v>82</v>
      </c>
      <c r="C90" s="24">
        <v>3359.9999999999995</v>
      </c>
      <c r="D90" s="4">
        <f t="shared" si="1"/>
        <v>248.67326732673251</v>
      </c>
      <c r="E90" s="6"/>
      <c r="F90" s="3"/>
      <c r="G90" s="4"/>
      <c r="H90" s="6"/>
      <c r="L90" s="27">
        <v>3360</v>
      </c>
    </row>
    <row r="91" spans="1:12" x14ac:dyDescent="0.2">
      <c r="A91" s="31">
        <v>83</v>
      </c>
      <c r="B91" s="2">
        <v>83</v>
      </c>
      <c r="C91" s="24">
        <v>3527.9999999999995</v>
      </c>
      <c r="D91" s="4">
        <f t="shared" si="1"/>
        <v>261.1069306930691</v>
      </c>
      <c r="E91" s="6"/>
      <c r="F91" s="3"/>
      <c r="G91" s="4"/>
      <c r="H91" s="6"/>
      <c r="L91" s="27">
        <v>3528</v>
      </c>
    </row>
    <row r="92" spans="1:12" x14ac:dyDescent="0.2">
      <c r="A92" s="31">
        <v>84</v>
      </c>
      <c r="B92" s="2">
        <v>84</v>
      </c>
      <c r="C92" s="24">
        <v>3695.9999999999995</v>
      </c>
      <c r="D92" s="4">
        <f t="shared" si="1"/>
        <v>273.54059405940575</v>
      </c>
      <c r="E92" s="6"/>
      <c r="F92" s="3"/>
      <c r="G92" s="4"/>
      <c r="H92" s="6"/>
      <c r="L92" s="27">
        <v>3696</v>
      </c>
    </row>
    <row r="93" spans="1:12" x14ac:dyDescent="0.2">
      <c r="A93" s="31">
        <v>85</v>
      </c>
      <c r="B93" s="2">
        <v>85</v>
      </c>
      <c r="C93" s="24">
        <v>3863.9999999999991</v>
      </c>
      <c r="D93" s="4">
        <f t="shared" si="1"/>
        <v>285.97425742574234</v>
      </c>
      <c r="E93" s="6"/>
      <c r="F93" s="3"/>
      <c r="G93" s="4"/>
      <c r="H93" s="6"/>
      <c r="L93" s="27">
        <v>3864</v>
      </c>
    </row>
    <row r="94" spans="1:12" x14ac:dyDescent="0.2">
      <c r="A94" s="31">
        <v>86</v>
      </c>
      <c r="B94" s="2">
        <v>86</v>
      </c>
      <c r="C94" s="24">
        <v>4032</v>
      </c>
      <c r="D94" s="4">
        <f t="shared" si="1"/>
        <v>298.40792079207904</v>
      </c>
      <c r="E94" s="6"/>
      <c r="F94" s="3"/>
      <c r="G94" s="4"/>
      <c r="H94" s="6"/>
      <c r="L94" s="27">
        <v>4032</v>
      </c>
    </row>
    <row r="95" spans="1:12" x14ac:dyDescent="0.2">
      <c r="A95" s="31">
        <v>87</v>
      </c>
      <c r="B95" s="2">
        <v>87</v>
      </c>
      <c r="C95" s="24">
        <v>3905.9999999999995</v>
      </c>
      <c r="D95" s="4">
        <f t="shared" si="1"/>
        <v>289.08267326732653</v>
      </c>
      <c r="E95" s="6"/>
      <c r="F95" s="3"/>
      <c r="G95" s="4"/>
      <c r="H95" s="6"/>
      <c r="L95" s="27">
        <v>3906</v>
      </c>
    </row>
    <row r="96" spans="1:12" x14ac:dyDescent="0.2">
      <c r="A96" s="31">
        <v>88</v>
      </c>
      <c r="B96" s="2">
        <v>88</v>
      </c>
      <c r="C96" s="24">
        <v>4200</v>
      </c>
      <c r="D96" s="4">
        <f t="shared" si="1"/>
        <v>310.84158415841569</v>
      </c>
      <c r="E96" s="6"/>
      <c r="F96" s="3"/>
      <c r="G96" s="4"/>
      <c r="H96" s="6"/>
      <c r="L96" s="27">
        <v>4200</v>
      </c>
    </row>
    <row r="97" spans="1:12" x14ac:dyDescent="0.2">
      <c r="A97" s="31">
        <v>89</v>
      </c>
      <c r="B97" s="2">
        <v>89</v>
      </c>
      <c r="C97" s="24">
        <v>4494</v>
      </c>
      <c r="D97" s="4">
        <f t="shared" si="1"/>
        <v>332.60049504950479</v>
      </c>
      <c r="E97" s="6"/>
      <c r="F97" s="3"/>
      <c r="G97" s="4"/>
      <c r="H97" s="6"/>
      <c r="L97" s="27">
        <v>4494</v>
      </c>
    </row>
    <row r="98" spans="1:12" x14ac:dyDescent="0.2">
      <c r="A98" s="31">
        <v>90</v>
      </c>
      <c r="B98" s="2">
        <v>90</v>
      </c>
      <c r="C98" s="24">
        <v>4787.9999999999991</v>
      </c>
      <c r="D98" s="4">
        <f t="shared" si="1"/>
        <v>354.35940594059377</v>
      </c>
      <c r="E98" s="6"/>
      <c r="F98" s="3"/>
      <c r="G98" s="4"/>
      <c r="H98" s="6"/>
      <c r="L98" s="27">
        <v>4788</v>
      </c>
    </row>
    <row r="99" spans="1:12" x14ac:dyDescent="0.2">
      <c r="A99" s="31">
        <v>91</v>
      </c>
      <c r="B99" s="2">
        <v>91</v>
      </c>
      <c r="C99" s="24">
        <v>4441.5</v>
      </c>
      <c r="D99" s="4">
        <f t="shared" si="1"/>
        <v>328.71497524752459</v>
      </c>
      <c r="E99" s="6"/>
      <c r="F99" s="3"/>
      <c r="G99" s="4"/>
      <c r="H99" s="6"/>
      <c r="L99" s="27">
        <v>4441.5</v>
      </c>
    </row>
    <row r="100" spans="1:12" x14ac:dyDescent="0.2">
      <c r="A100" s="31">
        <v>92</v>
      </c>
      <c r="B100" s="2">
        <v>92</v>
      </c>
      <c r="C100" s="24">
        <v>4094.9999999999995</v>
      </c>
      <c r="D100" s="4">
        <f t="shared" si="1"/>
        <v>303.07054455445524</v>
      </c>
      <c r="E100" s="6"/>
      <c r="F100" s="3"/>
      <c r="G100" s="4"/>
      <c r="H100" s="6"/>
      <c r="L100" s="27">
        <v>4095</v>
      </c>
    </row>
    <row r="101" spans="1:12" x14ac:dyDescent="0.2">
      <c r="A101" s="31">
        <v>93</v>
      </c>
      <c r="B101" s="2">
        <v>93</v>
      </c>
      <c r="C101" s="24">
        <v>3748.5</v>
      </c>
      <c r="D101" s="4">
        <f t="shared" si="1"/>
        <v>277.426113861386</v>
      </c>
      <c r="E101" s="6"/>
      <c r="F101" s="3"/>
      <c r="G101" s="4"/>
      <c r="H101" s="6"/>
      <c r="L101" s="27">
        <v>3748.5</v>
      </c>
    </row>
    <row r="102" spans="1:12" x14ac:dyDescent="0.2">
      <c r="A102" s="31">
        <v>94</v>
      </c>
      <c r="B102" s="2">
        <v>94</v>
      </c>
      <c r="C102" s="24">
        <v>3402</v>
      </c>
      <c r="D102" s="4">
        <f t="shared" si="1"/>
        <v>251.7816831683167</v>
      </c>
      <c r="E102" s="6"/>
      <c r="F102" s="3"/>
      <c r="G102" s="4"/>
      <c r="H102" s="6"/>
      <c r="L102" s="27">
        <v>3402</v>
      </c>
    </row>
    <row r="103" spans="1:12" x14ac:dyDescent="0.2">
      <c r="A103" s="31">
        <v>95</v>
      </c>
      <c r="B103" s="2">
        <v>95</v>
      </c>
      <c r="C103" s="24">
        <v>3055.5000000000005</v>
      </c>
      <c r="D103" s="4">
        <f t="shared" si="1"/>
        <v>226.13725247524744</v>
      </c>
      <c r="E103" s="6"/>
      <c r="F103" s="3"/>
      <c r="G103" s="4"/>
      <c r="H103" s="6"/>
      <c r="L103" s="27">
        <v>3055.5</v>
      </c>
    </row>
    <row r="104" spans="1:12" x14ac:dyDescent="0.2">
      <c r="A104" s="31">
        <v>96</v>
      </c>
      <c r="B104" s="2">
        <v>96</v>
      </c>
      <c r="C104" s="24">
        <v>2519.9999999999995</v>
      </c>
      <c r="D104" s="4">
        <f t="shared" si="1"/>
        <v>186.50495049504937</v>
      </c>
      <c r="E104" s="6"/>
      <c r="F104" s="3"/>
      <c r="G104" s="4"/>
      <c r="H104" s="6"/>
      <c r="L104" s="27">
        <v>2520</v>
      </c>
    </row>
    <row r="105" spans="1:12" x14ac:dyDescent="0.2">
      <c r="A105" s="31">
        <v>97</v>
      </c>
      <c r="B105" s="2">
        <v>97</v>
      </c>
      <c r="C105" s="24">
        <v>2142</v>
      </c>
      <c r="D105" s="4">
        <f t="shared" si="1"/>
        <v>158.529207920792</v>
      </c>
      <c r="E105" s="6"/>
      <c r="F105" s="3"/>
      <c r="G105" s="4"/>
      <c r="H105" s="6"/>
      <c r="L105" s="27">
        <v>2142</v>
      </c>
    </row>
    <row r="106" spans="1:12" x14ac:dyDescent="0.2">
      <c r="A106" s="31">
        <v>98</v>
      </c>
      <c r="B106" s="2">
        <v>98</v>
      </c>
      <c r="C106" s="24">
        <v>2016</v>
      </c>
      <c r="D106" s="4">
        <f t="shared" si="1"/>
        <v>149.20396039603952</v>
      </c>
      <c r="E106" s="6"/>
      <c r="F106" s="3"/>
      <c r="G106" s="4"/>
      <c r="H106" s="6"/>
      <c r="L106" s="27">
        <v>2016</v>
      </c>
    </row>
    <row r="107" spans="1:12" x14ac:dyDescent="0.2">
      <c r="A107" s="31">
        <v>99</v>
      </c>
      <c r="B107" s="2">
        <v>99</v>
      </c>
      <c r="C107" s="24">
        <v>2142</v>
      </c>
      <c r="D107" s="4">
        <f t="shared" si="1"/>
        <v>158.529207920792</v>
      </c>
      <c r="E107" s="6"/>
      <c r="F107" s="3"/>
      <c r="G107" s="4"/>
      <c r="H107" s="6"/>
      <c r="L107" s="27">
        <v>2142</v>
      </c>
    </row>
    <row r="108" spans="1:12" x14ac:dyDescent="0.2">
      <c r="A108" s="31">
        <v>100</v>
      </c>
      <c r="B108" s="2">
        <v>100</v>
      </c>
      <c r="C108" s="24">
        <v>2268</v>
      </c>
      <c r="D108" s="4">
        <f t="shared" si="1"/>
        <v>167.85445544554446</v>
      </c>
      <c r="E108" s="6"/>
      <c r="F108" s="3"/>
      <c r="G108" s="4"/>
      <c r="H108" s="6"/>
      <c r="L108" s="27">
        <v>2268</v>
      </c>
    </row>
    <row r="109" spans="1:12" x14ac:dyDescent="0.2">
      <c r="A109" s="31">
        <v>101</v>
      </c>
      <c r="B109" s="2">
        <v>101</v>
      </c>
      <c r="C109" s="24">
        <v>2497.090909090909</v>
      </c>
      <c r="D109" s="4">
        <f t="shared" si="1"/>
        <v>184.8094509450944</v>
      </c>
      <c r="E109" s="6"/>
      <c r="F109" s="3"/>
      <c r="G109" s="4"/>
      <c r="H109" s="6"/>
      <c r="L109" s="27">
        <v>2497.1</v>
      </c>
    </row>
    <row r="110" spans="1:12" x14ac:dyDescent="0.2">
      <c r="A110" s="31">
        <v>102</v>
      </c>
      <c r="B110" s="2">
        <v>102</v>
      </c>
      <c r="C110" s="24">
        <v>2657.454545454545</v>
      </c>
      <c r="D110" s="4">
        <f t="shared" si="1"/>
        <v>196.67794779477936</v>
      </c>
      <c r="E110" s="6"/>
      <c r="F110" s="3"/>
      <c r="G110" s="4"/>
      <c r="H110" s="6"/>
      <c r="L110" s="27">
        <v>2657.5</v>
      </c>
    </row>
    <row r="111" spans="1:12" x14ac:dyDescent="0.2">
      <c r="A111" s="31">
        <v>103</v>
      </c>
      <c r="B111" s="2">
        <v>103</v>
      </c>
      <c r="C111" s="24">
        <v>2817.818181818182</v>
      </c>
      <c r="D111" s="4">
        <f t="shared" si="1"/>
        <v>208.54644464446434</v>
      </c>
      <c r="E111" s="6"/>
      <c r="F111" s="3"/>
      <c r="G111" s="4"/>
      <c r="H111" s="6"/>
      <c r="L111" s="27">
        <v>2817.8</v>
      </c>
    </row>
    <row r="112" spans="1:12" x14ac:dyDescent="0.2">
      <c r="A112" s="31">
        <v>104</v>
      </c>
      <c r="B112" s="2">
        <v>104</v>
      </c>
      <c r="C112" s="24">
        <v>2978.181818181818</v>
      </c>
      <c r="D112" s="4">
        <f t="shared" si="1"/>
        <v>220.41494149414928</v>
      </c>
      <c r="E112" s="6"/>
      <c r="F112" s="3"/>
      <c r="G112" s="4"/>
      <c r="H112" s="6"/>
      <c r="L112" s="27">
        <v>2978.2</v>
      </c>
    </row>
    <row r="113" spans="1:12" x14ac:dyDescent="0.2">
      <c r="A113" s="31">
        <v>105</v>
      </c>
      <c r="B113" s="2">
        <v>105</v>
      </c>
      <c r="C113" s="24">
        <v>3138.5454545454545</v>
      </c>
      <c r="D113" s="4">
        <f t="shared" si="1"/>
        <v>232.28343834383423</v>
      </c>
      <c r="E113" s="6"/>
      <c r="F113" s="3"/>
      <c r="G113" s="4"/>
      <c r="H113" s="6"/>
      <c r="L113" s="27">
        <v>3138.5</v>
      </c>
    </row>
    <row r="114" spans="1:12" x14ac:dyDescent="0.2">
      <c r="A114" s="31">
        <v>106</v>
      </c>
      <c r="B114" s="2">
        <v>106</v>
      </c>
      <c r="C114" s="24">
        <v>3298.9090909090905</v>
      </c>
      <c r="D114" s="4">
        <f t="shared" si="1"/>
        <v>244.15193519351919</v>
      </c>
      <c r="E114" s="6"/>
      <c r="F114" s="3"/>
      <c r="G114" s="4"/>
      <c r="H114" s="6"/>
      <c r="L114" s="27">
        <v>3298.9</v>
      </c>
    </row>
    <row r="115" spans="1:12" x14ac:dyDescent="0.2">
      <c r="A115" s="31">
        <v>107</v>
      </c>
      <c r="B115" s="2">
        <v>107</v>
      </c>
      <c r="C115" s="24">
        <v>3459.272727272727</v>
      </c>
      <c r="D115" s="4">
        <f t="shared" si="1"/>
        <v>256.02043204320415</v>
      </c>
      <c r="E115" s="6"/>
      <c r="F115" s="3"/>
      <c r="G115" s="4"/>
      <c r="H115" s="6"/>
      <c r="L115" s="27">
        <v>3459.3</v>
      </c>
    </row>
    <row r="116" spans="1:12" x14ac:dyDescent="0.2">
      <c r="A116" s="31">
        <v>108</v>
      </c>
      <c r="B116" s="2">
        <v>108</v>
      </c>
      <c r="C116" s="24">
        <v>3619.636363636364</v>
      </c>
      <c r="D116" s="4">
        <f t="shared" si="1"/>
        <v>267.88892889288917</v>
      </c>
      <c r="E116" s="6"/>
      <c r="F116" s="3"/>
      <c r="G116" s="4"/>
      <c r="H116" s="6"/>
      <c r="L116" s="27">
        <v>3619.6</v>
      </c>
    </row>
    <row r="117" spans="1:12" x14ac:dyDescent="0.2">
      <c r="A117" s="31">
        <v>109</v>
      </c>
      <c r="B117" s="2">
        <v>109</v>
      </c>
      <c r="C117" s="24">
        <v>3780.0000000000005</v>
      </c>
      <c r="D117" s="4">
        <f t="shared" si="1"/>
        <v>279.75742574257413</v>
      </c>
      <c r="E117" s="6"/>
      <c r="F117" s="3"/>
      <c r="G117" s="4"/>
      <c r="H117" s="6"/>
      <c r="L117" s="27">
        <v>3780</v>
      </c>
    </row>
    <row r="118" spans="1:12" x14ac:dyDescent="0.2">
      <c r="A118" s="31">
        <v>110</v>
      </c>
      <c r="B118" s="2">
        <v>110</v>
      </c>
      <c r="C118" s="24">
        <v>3708</v>
      </c>
      <c r="D118" s="4">
        <f t="shared" si="1"/>
        <v>274.42871287128696</v>
      </c>
      <c r="E118" s="6"/>
      <c r="F118" s="3"/>
      <c r="G118" s="4"/>
      <c r="H118" s="6"/>
      <c r="L118" s="27">
        <v>3708</v>
      </c>
    </row>
    <row r="119" spans="1:12" x14ac:dyDescent="0.2">
      <c r="A119" s="31">
        <v>111</v>
      </c>
      <c r="B119" s="2">
        <v>111</v>
      </c>
      <c r="C119" s="24">
        <v>3636.0000000000005</v>
      </c>
      <c r="D119" s="4">
        <f t="shared" si="1"/>
        <v>269.09999999999991</v>
      </c>
      <c r="E119" s="6"/>
      <c r="F119" s="3"/>
      <c r="G119" s="4"/>
      <c r="H119" s="6"/>
      <c r="L119" s="27">
        <v>3636</v>
      </c>
    </row>
    <row r="120" spans="1:12" x14ac:dyDescent="0.2">
      <c r="A120" s="31">
        <v>112</v>
      </c>
      <c r="B120" s="2">
        <v>112</v>
      </c>
      <c r="C120" s="24">
        <v>3564</v>
      </c>
      <c r="D120" s="4">
        <f t="shared" si="1"/>
        <v>263.77128712871274</v>
      </c>
      <c r="E120" s="6"/>
      <c r="F120" s="3"/>
      <c r="G120" s="4"/>
      <c r="H120" s="6"/>
      <c r="L120" s="27">
        <v>3564</v>
      </c>
    </row>
    <row r="121" spans="1:12" x14ac:dyDescent="0.2">
      <c r="A121" s="31">
        <v>113</v>
      </c>
      <c r="B121" s="2">
        <v>113</v>
      </c>
      <c r="C121" s="24">
        <v>3491.9999999999995</v>
      </c>
      <c r="D121" s="4">
        <f t="shared" si="1"/>
        <v>258.44257425742558</v>
      </c>
      <c r="E121" s="6"/>
      <c r="F121" s="3"/>
      <c r="G121" s="4"/>
      <c r="H121" s="6"/>
      <c r="L121" s="27">
        <v>3492</v>
      </c>
    </row>
    <row r="122" spans="1:12" x14ac:dyDescent="0.2">
      <c r="A122" s="31">
        <v>114</v>
      </c>
      <c r="B122" s="2">
        <v>114</v>
      </c>
      <c r="C122" s="24">
        <v>3420</v>
      </c>
      <c r="D122" s="4">
        <f t="shared" si="1"/>
        <v>253.11386138613847</v>
      </c>
      <c r="E122" s="6"/>
      <c r="F122" s="3"/>
      <c r="G122" s="4"/>
      <c r="H122" s="6"/>
      <c r="L122" s="27">
        <v>3420</v>
      </c>
    </row>
    <row r="123" spans="1:12" x14ac:dyDescent="0.2">
      <c r="A123" s="31">
        <v>115</v>
      </c>
      <c r="B123" s="2">
        <v>115</v>
      </c>
      <c r="C123" s="24">
        <v>3348.0000000000005</v>
      </c>
      <c r="D123" s="4">
        <f t="shared" si="1"/>
        <v>247.78514851485139</v>
      </c>
      <c r="E123" s="6"/>
      <c r="F123" s="3"/>
      <c r="G123" s="4"/>
      <c r="H123" s="6"/>
      <c r="L123" s="27">
        <v>3348</v>
      </c>
    </row>
    <row r="124" spans="1:12" x14ac:dyDescent="0.2">
      <c r="A124" s="31">
        <v>116</v>
      </c>
      <c r="B124" s="2">
        <v>116</v>
      </c>
      <c r="C124" s="24">
        <v>3276</v>
      </c>
      <c r="D124" s="4">
        <f t="shared" si="1"/>
        <v>242.45643564356422</v>
      </c>
      <c r="E124" s="6"/>
      <c r="F124" s="3"/>
      <c r="G124" s="4"/>
      <c r="H124" s="6"/>
      <c r="L124" s="27">
        <v>3276</v>
      </c>
    </row>
    <row r="125" spans="1:12" x14ac:dyDescent="0.2">
      <c r="A125" s="31">
        <v>117</v>
      </c>
      <c r="B125" s="2">
        <v>117</v>
      </c>
      <c r="C125" s="24">
        <v>3527.9999999999995</v>
      </c>
      <c r="D125" s="4">
        <f t="shared" si="1"/>
        <v>261.1069306930691</v>
      </c>
      <c r="E125" s="6"/>
      <c r="F125" s="3"/>
      <c r="G125" s="4"/>
      <c r="H125" s="6"/>
      <c r="L125" s="27">
        <v>3528</v>
      </c>
    </row>
    <row r="126" spans="1:12" x14ac:dyDescent="0.2">
      <c r="A126" s="31">
        <v>118</v>
      </c>
      <c r="B126" s="2">
        <v>118</v>
      </c>
      <c r="C126" s="24">
        <v>3149.9999999999995</v>
      </c>
      <c r="D126" s="4">
        <f t="shared" si="1"/>
        <v>233.13118811881171</v>
      </c>
      <c r="E126" s="6"/>
      <c r="F126" s="3"/>
      <c r="G126" s="4"/>
      <c r="H126" s="6"/>
      <c r="L126" s="27">
        <v>3150</v>
      </c>
    </row>
    <row r="127" spans="1:12" x14ac:dyDescent="0.2">
      <c r="A127" s="31">
        <v>119</v>
      </c>
      <c r="B127" s="2">
        <v>119</v>
      </c>
      <c r="C127" s="24">
        <v>2772</v>
      </c>
      <c r="D127" s="4">
        <f t="shared" si="1"/>
        <v>205.15544554455434</v>
      </c>
      <c r="E127" s="6"/>
      <c r="F127" s="3"/>
      <c r="G127" s="4"/>
      <c r="H127" s="6"/>
      <c r="L127" s="27">
        <v>2772</v>
      </c>
    </row>
    <row r="128" spans="1:12" x14ac:dyDescent="0.2">
      <c r="A128" s="31">
        <v>120</v>
      </c>
      <c r="B128" s="2">
        <v>120</v>
      </c>
      <c r="C128" s="24">
        <v>2393.9999999999995</v>
      </c>
      <c r="D128" s="4">
        <f t="shared" si="1"/>
        <v>177.17970297029689</v>
      </c>
      <c r="E128" s="6"/>
      <c r="F128" s="3"/>
      <c r="G128" s="4"/>
      <c r="H128" s="6"/>
      <c r="L128" s="27">
        <v>2394</v>
      </c>
    </row>
    <row r="129" spans="1:12" x14ac:dyDescent="0.2">
      <c r="A129" s="31">
        <v>121</v>
      </c>
      <c r="B129" s="2">
        <v>121</v>
      </c>
      <c r="C129" s="24">
        <v>2016</v>
      </c>
      <c r="D129" s="4">
        <f t="shared" si="1"/>
        <v>149.20396039603952</v>
      </c>
      <c r="E129" s="6"/>
      <c r="F129" s="3"/>
      <c r="G129" s="4"/>
      <c r="H129" s="6"/>
      <c r="L129" s="27">
        <v>2016</v>
      </c>
    </row>
    <row r="130" spans="1:12" x14ac:dyDescent="0.2">
      <c r="A130" s="31">
        <v>122</v>
      </c>
      <c r="B130" s="2">
        <v>122</v>
      </c>
      <c r="C130" s="24">
        <v>2016</v>
      </c>
      <c r="D130" s="4">
        <f t="shared" si="1"/>
        <v>149.20396039603952</v>
      </c>
      <c r="E130" s="6"/>
      <c r="F130" s="3"/>
      <c r="G130" s="4"/>
      <c r="H130" s="6"/>
      <c r="L130" s="27">
        <v>2016</v>
      </c>
    </row>
    <row r="131" spans="1:12" x14ac:dyDescent="0.2">
      <c r="A131" s="31">
        <v>123</v>
      </c>
      <c r="B131" s="2">
        <v>123</v>
      </c>
      <c r="C131" s="24">
        <v>2160</v>
      </c>
      <c r="D131" s="4">
        <f t="shared" si="1"/>
        <v>159.86138613861377</v>
      </c>
      <c r="E131" s="6"/>
      <c r="F131" s="3"/>
      <c r="G131" s="4"/>
      <c r="H131" s="6"/>
      <c r="L131" s="27">
        <v>2160</v>
      </c>
    </row>
    <row r="132" spans="1:12" x14ac:dyDescent="0.2">
      <c r="A132" s="31">
        <v>124</v>
      </c>
      <c r="B132" s="2">
        <v>124</v>
      </c>
      <c r="C132" s="24">
        <v>2304</v>
      </c>
      <c r="D132" s="4">
        <f t="shared" si="1"/>
        <v>170.51881188118801</v>
      </c>
      <c r="E132" s="6"/>
      <c r="F132" s="3"/>
      <c r="G132" s="4"/>
      <c r="H132" s="6"/>
      <c r="L132" s="27">
        <v>2304</v>
      </c>
    </row>
    <row r="133" spans="1:12" x14ac:dyDescent="0.2">
      <c r="A133" s="31">
        <v>125</v>
      </c>
      <c r="B133" s="2">
        <v>125</v>
      </c>
      <c r="C133" s="24">
        <v>2448</v>
      </c>
      <c r="D133" s="4">
        <f t="shared" si="1"/>
        <v>181.17623762376226</v>
      </c>
      <c r="E133" s="6"/>
      <c r="F133" s="3"/>
      <c r="G133" s="4"/>
      <c r="H133" s="6"/>
      <c r="L133" s="27">
        <v>2448</v>
      </c>
    </row>
    <row r="134" spans="1:12" x14ac:dyDescent="0.2">
      <c r="A134" s="31">
        <v>126</v>
      </c>
      <c r="B134" s="2">
        <v>126</v>
      </c>
      <c r="C134" s="24">
        <v>2592</v>
      </c>
      <c r="D134" s="4">
        <f t="shared" si="1"/>
        <v>191.83366336633654</v>
      </c>
      <c r="E134" s="6"/>
      <c r="F134" s="3"/>
      <c r="G134" s="4"/>
      <c r="H134" s="6"/>
      <c r="L134" s="27">
        <v>2592</v>
      </c>
    </row>
    <row r="135" spans="1:12" x14ac:dyDescent="0.2">
      <c r="A135" s="31">
        <v>127</v>
      </c>
      <c r="B135" s="2">
        <v>127</v>
      </c>
      <c r="C135" s="24">
        <v>2736</v>
      </c>
      <c r="D135" s="4">
        <f t="shared" si="1"/>
        <v>202.49108910891078</v>
      </c>
      <c r="E135" s="6"/>
      <c r="F135" s="3"/>
      <c r="G135" s="4"/>
      <c r="H135" s="6"/>
      <c r="L135" s="27">
        <v>2736</v>
      </c>
    </row>
    <row r="136" spans="1:12" x14ac:dyDescent="0.2">
      <c r="A136" s="31">
        <v>128</v>
      </c>
      <c r="B136" s="2">
        <v>128</v>
      </c>
      <c r="C136" s="24">
        <v>2880.0000000000005</v>
      </c>
      <c r="D136" s="4">
        <f t="shared" si="1"/>
        <v>213.14851485148506</v>
      </c>
      <c r="E136" s="6"/>
      <c r="F136" s="3"/>
      <c r="G136" s="4"/>
      <c r="H136" s="6"/>
      <c r="L136" s="27">
        <v>2880</v>
      </c>
    </row>
    <row r="137" spans="1:12" x14ac:dyDescent="0.2">
      <c r="A137" s="31">
        <v>129</v>
      </c>
      <c r="B137" s="2">
        <v>129</v>
      </c>
      <c r="C137" s="24">
        <v>3024</v>
      </c>
      <c r="D137" s="4">
        <f t="shared" si="1"/>
        <v>223.80594059405928</v>
      </c>
      <c r="E137" s="6"/>
      <c r="F137" s="3"/>
      <c r="G137" s="4"/>
      <c r="H137" s="6"/>
      <c r="L137" s="27">
        <v>3024</v>
      </c>
    </row>
    <row r="138" spans="1:12" x14ac:dyDescent="0.2">
      <c r="A138" s="31">
        <v>130</v>
      </c>
      <c r="B138" s="2">
        <v>130</v>
      </c>
      <c r="C138" s="24">
        <v>3168</v>
      </c>
      <c r="D138" s="4">
        <f t="shared" ref="D138:D201" si="2">$G$6*C138*(1/$G$8-1/$G$7)</f>
        <v>234.46336633663353</v>
      </c>
      <c r="E138" s="6"/>
      <c r="F138" s="3"/>
      <c r="G138" s="4"/>
      <c r="H138" s="6"/>
      <c r="L138" s="27">
        <v>3168</v>
      </c>
    </row>
    <row r="139" spans="1:12" x14ac:dyDescent="0.2">
      <c r="A139" s="31">
        <v>131</v>
      </c>
      <c r="B139" s="2">
        <v>131</v>
      </c>
      <c r="C139" s="24">
        <v>3312.0000000000005</v>
      </c>
      <c r="D139" s="4">
        <f t="shared" si="2"/>
        <v>245.1207920792078</v>
      </c>
      <c r="E139" s="6"/>
      <c r="F139" s="3"/>
      <c r="G139" s="4"/>
      <c r="H139" s="6"/>
      <c r="L139" s="27">
        <v>3312</v>
      </c>
    </row>
    <row r="140" spans="1:12" x14ac:dyDescent="0.2">
      <c r="A140" s="31">
        <v>132</v>
      </c>
      <c r="B140" s="2">
        <v>132</v>
      </c>
      <c r="C140" s="24">
        <v>3456.0000000000005</v>
      </c>
      <c r="D140" s="4">
        <f t="shared" si="2"/>
        <v>255.77821782178208</v>
      </c>
      <c r="E140" s="6"/>
      <c r="F140" s="3"/>
      <c r="G140" s="4"/>
      <c r="H140" s="6"/>
      <c r="L140" s="27">
        <v>3456</v>
      </c>
    </row>
    <row r="141" spans="1:12" x14ac:dyDescent="0.2">
      <c r="A141" s="31">
        <v>133</v>
      </c>
      <c r="B141" s="2">
        <v>133</v>
      </c>
      <c r="C141" s="24">
        <v>3527.9999999999995</v>
      </c>
      <c r="D141" s="4">
        <f t="shared" si="2"/>
        <v>261.1069306930691</v>
      </c>
      <c r="E141" s="6"/>
      <c r="F141" s="3"/>
      <c r="G141" s="4"/>
      <c r="H141" s="6"/>
      <c r="L141" s="27">
        <v>3528</v>
      </c>
    </row>
    <row r="142" spans="1:12" x14ac:dyDescent="0.2">
      <c r="A142" s="31">
        <v>134</v>
      </c>
      <c r="B142" s="2">
        <v>134</v>
      </c>
      <c r="C142" s="24">
        <v>3527.9999999999995</v>
      </c>
      <c r="D142" s="4">
        <f t="shared" si="2"/>
        <v>261.1069306930691</v>
      </c>
      <c r="E142" s="6"/>
      <c r="F142" s="3"/>
      <c r="G142" s="4"/>
      <c r="H142" s="6"/>
      <c r="L142" s="27">
        <v>3528</v>
      </c>
    </row>
    <row r="143" spans="1:12" x14ac:dyDescent="0.2">
      <c r="A143" s="31">
        <v>135</v>
      </c>
      <c r="B143" s="2">
        <v>135</v>
      </c>
      <c r="C143" s="24">
        <v>3888.0000000000005</v>
      </c>
      <c r="D143" s="4">
        <f t="shared" si="2"/>
        <v>287.75049504950488</v>
      </c>
      <c r="E143" s="6"/>
      <c r="F143" s="3"/>
      <c r="G143" s="4"/>
      <c r="H143" s="6"/>
      <c r="L143" s="27">
        <v>3888</v>
      </c>
    </row>
    <row r="144" spans="1:12" x14ac:dyDescent="0.2">
      <c r="A144" s="31">
        <v>136</v>
      </c>
      <c r="B144" s="2">
        <v>136</v>
      </c>
      <c r="C144" s="24">
        <v>4032</v>
      </c>
      <c r="D144" s="4">
        <f t="shared" si="2"/>
        <v>298.40792079207904</v>
      </c>
      <c r="E144" s="6"/>
      <c r="F144" s="3"/>
      <c r="G144" s="4"/>
      <c r="H144" s="6"/>
      <c r="L144" s="27">
        <v>4032</v>
      </c>
    </row>
    <row r="145" spans="1:12" x14ac:dyDescent="0.2">
      <c r="A145" s="31">
        <v>137</v>
      </c>
      <c r="B145" s="2">
        <v>137</v>
      </c>
      <c r="C145" s="24">
        <v>3830.4</v>
      </c>
      <c r="D145" s="4">
        <f t="shared" si="2"/>
        <v>283.48752475247511</v>
      </c>
      <c r="E145" s="6"/>
      <c r="F145" s="3"/>
      <c r="G145" s="4"/>
      <c r="H145" s="6"/>
      <c r="L145" s="27">
        <v>3830.4</v>
      </c>
    </row>
    <row r="146" spans="1:12" x14ac:dyDescent="0.2">
      <c r="A146" s="31">
        <v>138</v>
      </c>
      <c r="B146" s="2">
        <v>138</v>
      </c>
      <c r="C146" s="24">
        <v>3628.8</v>
      </c>
      <c r="D146" s="4">
        <f t="shared" si="2"/>
        <v>268.56712871287112</v>
      </c>
      <c r="E146" s="6"/>
      <c r="F146" s="3"/>
      <c r="G146" s="4"/>
      <c r="H146" s="6"/>
      <c r="L146" s="27">
        <v>3628.8</v>
      </c>
    </row>
    <row r="147" spans="1:12" x14ac:dyDescent="0.2">
      <c r="A147" s="31">
        <v>139</v>
      </c>
      <c r="B147" s="2">
        <v>139</v>
      </c>
      <c r="C147" s="24">
        <v>3527.9999999999995</v>
      </c>
      <c r="D147" s="4">
        <f t="shared" si="2"/>
        <v>261.1069306930691</v>
      </c>
      <c r="E147" s="6"/>
      <c r="F147" s="3"/>
      <c r="G147" s="4"/>
      <c r="H147" s="6"/>
      <c r="L147" s="27">
        <v>3528</v>
      </c>
    </row>
    <row r="148" spans="1:12" x14ac:dyDescent="0.2">
      <c r="A148" s="31">
        <v>140</v>
      </c>
      <c r="B148" s="2">
        <v>140</v>
      </c>
      <c r="C148" s="24">
        <v>3225.599999999999</v>
      </c>
      <c r="D148" s="4">
        <f t="shared" si="2"/>
        <v>238.72633663366315</v>
      </c>
      <c r="E148" s="6"/>
      <c r="F148" s="3"/>
      <c r="G148" s="4"/>
      <c r="H148" s="6"/>
      <c r="L148" s="27">
        <v>3225.6</v>
      </c>
    </row>
    <row r="149" spans="1:12" x14ac:dyDescent="0.2">
      <c r="A149" s="31">
        <v>141</v>
      </c>
      <c r="B149" s="2">
        <v>141</v>
      </c>
      <c r="C149" s="24">
        <v>3023.9999999999991</v>
      </c>
      <c r="D149" s="4">
        <f t="shared" si="2"/>
        <v>223.80594059405922</v>
      </c>
      <c r="E149" s="6"/>
      <c r="F149" s="3"/>
      <c r="G149" s="4"/>
      <c r="H149" s="6"/>
      <c r="L149" s="27">
        <v>3024</v>
      </c>
    </row>
    <row r="150" spans="1:12" x14ac:dyDescent="0.2">
      <c r="A150" s="31">
        <v>142</v>
      </c>
      <c r="B150" s="2">
        <v>142</v>
      </c>
      <c r="C150" s="24">
        <v>2822.3999999999996</v>
      </c>
      <c r="D150" s="4">
        <f t="shared" si="2"/>
        <v>208.88554455445532</v>
      </c>
      <c r="E150" s="6"/>
      <c r="F150" s="3"/>
      <c r="G150" s="4"/>
      <c r="H150" s="6"/>
      <c r="L150" s="27">
        <v>2822.4</v>
      </c>
    </row>
    <row r="151" spans="1:12" x14ac:dyDescent="0.2">
      <c r="A151" s="31">
        <v>143</v>
      </c>
      <c r="B151" s="2">
        <v>143</v>
      </c>
      <c r="C151" s="24">
        <v>2268</v>
      </c>
      <c r="D151" s="4">
        <f t="shared" si="2"/>
        <v>167.85445544554446</v>
      </c>
      <c r="E151" s="6"/>
      <c r="F151" s="3"/>
      <c r="G151" s="4"/>
      <c r="H151" s="6"/>
      <c r="L151" s="27">
        <v>2268</v>
      </c>
    </row>
    <row r="152" spans="1:12" x14ac:dyDescent="0.2">
      <c r="A152" s="31">
        <v>144</v>
      </c>
      <c r="B152" s="2">
        <v>144</v>
      </c>
      <c r="C152" s="24">
        <v>2142</v>
      </c>
      <c r="D152" s="4">
        <f t="shared" si="2"/>
        <v>158.529207920792</v>
      </c>
      <c r="E152" s="6"/>
      <c r="F152" s="3"/>
      <c r="G152" s="4"/>
      <c r="H152" s="6"/>
      <c r="L152" s="27">
        <v>2142</v>
      </c>
    </row>
    <row r="153" spans="1:12" x14ac:dyDescent="0.2">
      <c r="A153" s="31">
        <v>145</v>
      </c>
      <c r="B153" s="2">
        <v>145</v>
      </c>
      <c r="C153" s="24">
        <v>2016</v>
      </c>
      <c r="D153" s="4">
        <f t="shared" si="2"/>
        <v>149.20396039603952</v>
      </c>
      <c r="E153" s="6"/>
      <c r="F153" s="3"/>
      <c r="G153" s="4"/>
      <c r="H153" s="6"/>
      <c r="L153" s="27">
        <v>2016</v>
      </c>
    </row>
    <row r="154" spans="1:12" x14ac:dyDescent="0.2">
      <c r="A154" s="31">
        <v>146</v>
      </c>
      <c r="B154" s="2">
        <v>146</v>
      </c>
      <c r="C154" s="24">
        <v>2016</v>
      </c>
      <c r="D154" s="4">
        <f t="shared" si="2"/>
        <v>149.20396039603952</v>
      </c>
      <c r="E154" s="6"/>
      <c r="F154" s="3"/>
      <c r="G154" s="4"/>
      <c r="H154" s="6"/>
      <c r="L154" s="27">
        <v>2016</v>
      </c>
    </row>
    <row r="155" spans="1:12" x14ac:dyDescent="0.2">
      <c r="A155" s="31">
        <v>147</v>
      </c>
      <c r="B155" s="2">
        <v>147</v>
      </c>
      <c r="C155" s="24">
        <v>2142.0000000000005</v>
      </c>
      <c r="D155" s="4">
        <f t="shared" si="2"/>
        <v>158.52920792079203</v>
      </c>
      <c r="E155" s="6"/>
      <c r="F155" s="3"/>
      <c r="G155" s="4"/>
      <c r="H155" s="6"/>
      <c r="L155" s="27">
        <v>2142</v>
      </c>
    </row>
    <row r="156" spans="1:12" x14ac:dyDescent="0.2">
      <c r="A156" s="31">
        <v>148</v>
      </c>
      <c r="B156" s="2">
        <v>148</v>
      </c>
      <c r="C156" s="24">
        <v>2268</v>
      </c>
      <c r="D156" s="4">
        <f t="shared" si="2"/>
        <v>167.85445544554446</v>
      </c>
      <c r="E156" s="6"/>
      <c r="F156" s="3"/>
      <c r="G156" s="4"/>
      <c r="H156" s="6"/>
      <c r="L156" s="27">
        <v>2268</v>
      </c>
    </row>
    <row r="157" spans="1:12" x14ac:dyDescent="0.2">
      <c r="A157" s="31">
        <v>149</v>
      </c>
      <c r="B157" s="2">
        <v>149</v>
      </c>
      <c r="C157" s="24">
        <v>2393.9999999999995</v>
      </c>
      <c r="D157" s="4">
        <f t="shared" si="2"/>
        <v>177.17970297029689</v>
      </c>
      <c r="E157" s="6"/>
      <c r="F157" s="3"/>
      <c r="G157" s="4"/>
      <c r="H157" s="6"/>
      <c r="L157" s="27">
        <v>2394</v>
      </c>
    </row>
    <row r="158" spans="1:12" x14ac:dyDescent="0.2">
      <c r="A158" s="31">
        <v>150</v>
      </c>
      <c r="B158" s="2">
        <v>150</v>
      </c>
      <c r="C158" s="24">
        <v>2519.9999999999995</v>
      </c>
      <c r="D158" s="4">
        <f t="shared" si="2"/>
        <v>186.50495049504937</v>
      </c>
      <c r="E158" s="6"/>
      <c r="F158" s="3"/>
      <c r="G158" s="4"/>
      <c r="H158" s="6"/>
      <c r="L158" s="27">
        <v>2520</v>
      </c>
    </row>
    <row r="159" spans="1:12" x14ac:dyDescent="0.2">
      <c r="A159" s="31">
        <v>151</v>
      </c>
      <c r="B159" s="2">
        <v>151</v>
      </c>
      <c r="C159" s="24">
        <v>2646</v>
      </c>
      <c r="D159" s="4">
        <f t="shared" si="2"/>
        <v>195.83019801980188</v>
      </c>
      <c r="E159" s="6"/>
      <c r="F159" s="3"/>
      <c r="G159" s="4"/>
      <c r="H159" s="6"/>
      <c r="L159" s="27">
        <v>2646</v>
      </c>
    </row>
    <row r="160" spans="1:12" x14ac:dyDescent="0.2">
      <c r="A160" s="31">
        <v>152</v>
      </c>
      <c r="B160" s="2">
        <v>152</v>
      </c>
      <c r="C160" s="24">
        <v>2772</v>
      </c>
      <c r="D160" s="4">
        <f t="shared" si="2"/>
        <v>205.15544554455434</v>
      </c>
      <c r="E160" s="6"/>
      <c r="F160" s="3"/>
      <c r="G160" s="4"/>
      <c r="H160" s="6"/>
      <c r="L160" s="27">
        <v>2772</v>
      </c>
    </row>
    <row r="161" spans="1:12" x14ac:dyDescent="0.2">
      <c r="A161" s="31">
        <v>153</v>
      </c>
      <c r="B161" s="2">
        <v>153</v>
      </c>
      <c r="C161" s="24">
        <v>2898</v>
      </c>
      <c r="D161" s="4">
        <f t="shared" si="2"/>
        <v>214.48069306930682</v>
      </c>
      <c r="E161" s="6"/>
      <c r="F161" s="3"/>
      <c r="G161" s="4"/>
      <c r="H161" s="6"/>
      <c r="L161" s="27">
        <v>2898</v>
      </c>
    </row>
    <row r="162" spans="1:12" x14ac:dyDescent="0.2">
      <c r="A162" s="31">
        <v>154</v>
      </c>
      <c r="B162" s="2">
        <v>154</v>
      </c>
      <c r="C162" s="24">
        <v>3024</v>
      </c>
      <c r="D162" s="4">
        <f t="shared" si="2"/>
        <v>223.80594059405928</v>
      </c>
      <c r="E162" s="6"/>
      <c r="F162" s="3"/>
      <c r="G162" s="4"/>
      <c r="H162" s="6"/>
      <c r="L162" s="27">
        <v>3024</v>
      </c>
    </row>
    <row r="163" spans="1:12" x14ac:dyDescent="0.2">
      <c r="A163" s="31">
        <v>155</v>
      </c>
      <c r="B163" s="2">
        <v>155</v>
      </c>
      <c r="C163" s="24">
        <v>3150.0000000000005</v>
      </c>
      <c r="D163" s="4">
        <f t="shared" si="2"/>
        <v>233.13118811881179</v>
      </c>
      <c r="E163" s="6"/>
      <c r="F163" s="3"/>
      <c r="G163" s="4"/>
      <c r="H163" s="6"/>
      <c r="L163" s="27">
        <v>3150</v>
      </c>
    </row>
    <row r="164" spans="1:12" x14ac:dyDescent="0.2">
      <c r="A164" s="31">
        <v>156</v>
      </c>
      <c r="B164" s="2">
        <v>156</v>
      </c>
      <c r="C164" s="24">
        <v>3276.0000000000009</v>
      </c>
      <c r="D164" s="4">
        <f t="shared" si="2"/>
        <v>242.45643564356428</v>
      </c>
      <c r="E164" s="6"/>
      <c r="F164" s="3"/>
      <c r="G164" s="4"/>
      <c r="H164" s="6"/>
      <c r="L164" s="27">
        <v>3276</v>
      </c>
    </row>
    <row r="165" spans="1:12" x14ac:dyDescent="0.2">
      <c r="A165" s="31">
        <v>157</v>
      </c>
      <c r="B165" s="2">
        <v>157</v>
      </c>
      <c r="C165" s="24">
        <v>3402.0000000000005</v>
      </c>
      <c r="D165" s="4">
        <f t="shared" si="2"/>
        <v>251.78168316831673</v>
      </c>
      <c r="E165" s="6"/>
      <c r="F165" s="3"/>
      <c r="G165" s="4"/>
      <c r="H165" s="6"/>
      <c r="L165" s="27">
        <v>3402</v>
      </c>
    </row>
    <row r="166" spans="1:12" x14ac:dyDescent="0.2">
      <c r="A166" s="31">
        <v>158</v>
      </c>
      <c r="B166" s="2">
        <v>158</v>
      </c>
      <c r="C166" s="24">
        <v>3528.0000000000009</v>
      </c>
      <c r="D166" s="4">
        <f t="shared" si="2"/>
        <v>261.10693069306922</v>
      </c>
      <c r="E166" s="6"/>
      <c r="F166" s="3"/>
      <c r="G166" s="4"/>
      <c r="H166" s="6"/>
      <c r="L166" s="27">
        <v>3528</v>
      </c>
    </row>
    <row r="167" spans="1:12" x14ac:dyDescent="0.2">
      <c r="A167" s="31">
        <v>159</v>
      </c>
      <c r="B167" s="2">
        <v>159</v>
      </c>
      <c r="C167" s="24">
        <v>3402</v>
      </c>
      <c r="D167" s="4">
        <f t="shared" si="2"/>
        <v>251.7816831683167</v>
      </c>
      <c r="E167" s="6"/>
      <c r="F167" s="3"/>
      <c r="G167" s="4"/>
      <c r="H167" s="6"/>
      <c r="L167" s="27">
        <v>3402</v>
      </c>
    </row>
    <row r="168" spans="1:12" x14ac:dyDescent="0.2">
      <c r="A168" s="31">
        <v>160</v>
      </c>
      <c r="B168" s="2">
        <v>160</v>
      </c>
      <c r="C168" s="24">
        <v>3527.9999999999995</v>
      </c>
      <c r="D168" s="4">
        <f t="shared" si="2"/>
        <v>261.1069306930691</v>
      </c>
      <c r="E168" s="6"/>
      <c r="F168" s="3"/>
      <c r="G168" s="4"/>
      <c r="H168" s="6"/>
      <c r="L168" s="27">
        <v>3528</v>
      </c>
    </row>
    <row r="169" spans="1:12" x14ac:dyDescent="0.2">
      <c r="A169" s="31">
        <v>161</v>
      </c>
      <c r="B169" s="2">
        <v>161</v>
      </c>
      <c r="C169" s="24">
        <v>4032</v>
      </c>
      <c r="D169" s="4">
        <f t="shared" si="2"/>
        <v>298.40792079207904</v>
      </c>
      <c r="E169" s="6"/>
      <c r="F169" s="3"/>
      <c r="G169" s="4"/>
      <c r="H169" s="6"/>
      <c r="L169" s="27">
        <v>4032</v>
      </c>
    </row>
    <row r="170" spans="1:12" x14ac:dyDescent="0.2">
      <c r="A170" s="31">
        <v>162</v>
      </c>
      <c r="B170" s="2">
        <v>162</v>
      </c>
      <c r="C170" s="24">
        <v>3905.9999999999995</v>
      </c>
      <c r="D170" s="4">
        <f t="shared" si="2"/>
        <v>289.08267326732653</v>
      </c>
      <c r="E170" s="6"/>
      <c r="F170" s="3"/>
      <c r="G170" s="4"/>
      <c r="H170" s="6"/>
      <c r="L170" s="27">
        <v>3906</v>
      </c>
    </row>
    <row r="171" spans="1:12" x14ac:dyDescent="0.2">
      <c r="A171" s="31">
        <v>163</v>
      </c>
      <c r="B171" s="2">
        <v>163</v>
      </c>
      <c r="C171" s="24">
        <v>4157.9999999999991</v>
      </c>
      <c r="D171" s="4">
        <f t="shared" si="2"/>
        <v>307.73316831683144</v>
      </c>
      <c r="E171" s="6"/>
      <c r="F171" s="3"/>
      <c r="G171" s="4"/>
      <c r="H171" s="6"/>
      <c r="L171" s="27">
        <v>4158</v>
      </c>
    </row>
    <row r="172" spans="1:12" x14ac:dyDescent="0.2">
      <c r="A172" s="31">
        <v>164</v>
      </c>
      <c r="B172" s="2">
        <v>164</v>
      </c>
      <c r="C172" s="24">
        <v>3880.7999999999997</v>
      </c>
      <c r="D172" s="4">
        <f t="shared" si="2"/>
        <v>287.21762376237604</v>
      </c>
      <c r="E172" s="6"/>
      <c r="F172" s="3"/>
      <c r="G172" s="4"/>
      <c r="H172" s="6"/>
      <c r="L172" s="27">
        <v>3880.8</v>
      </c>
    </row>
    <row r="173" spans="1:12" x14ac:dyDescent="0.2">
      <c r="A173" s="31">
        <v>165</v>
      </c>
      <c r="B173" s="2">
        <v>165</v>
      </c>
      <c r="C173" s="24">
        <v>3603.6000000000004</v>
      </c>
      <c r="D173" s="4">
        <f t="shared" si="2"/>
        <v>266.70207920792063</v>
      </c>
      <c r="E173" s="6"/>
      <c r="F173" s="3"/>
      <c r="G173" s="4"/>
      <c r="H173" s="6"/>
      <c r="L173" s="27">
        <v>3603.6</v>
      </c>
    </row>
    <row r="174" spans="1:12" x14ac:dyDescent="0.2">
      <c r="A174" s="31">
        <v>166</v>
      </c>
      <c r="B174" s="2">
        <v>166</v>
      </c>
      <c r="C174" s="24">
        <v>3326.3999999999996</v>
      </c>
      <c r="D174" s="4">
        <f t="shared" si="2"/>
        <v>246.1865346534652</v>
      </c>
      <c r="E174" s="6"/>
      <c r="F174" s="3"/>
      <c r="G174" s="4"/>
      <c r="H174" s="6"/>
      <c r="L174" s="27">
        <v>3326.4</v>
      </c>
    </row>
    <row r="175" spans="1:12" x14ac:dyDescent="0.2">
      <c r="A175" s="31">
        <v>167</v>
      </c>
      <c r="B175" s="2">
        <v>167</v>
      </c>
      <c r="C175" s="24">
        <v>3049.2</v>
      </c>
      <c r="D175" s="4">
        <f t="shared" si="2"/>
        <v>225.67099009900977</v>
      </c>
      <c r="E175" s="6"/>
      <c r="F175" s="3"/>
      <c r="G175" s="4"/>
      <c r="H175" s="6"/>
      <c r="L175" s="27">
        <v>3049.2</v>
      </c>
    </row>
    <row r="176" spans="1:12" x14ac:dyDescent="0.2">
      <c r="A176" s="31">
        <v>168</v>
      </c>
      <c r="B176" s="2">
        <v>168</v>
      </c>
      <c r="C176" s="24">
        <v>2772</v>
      </c>
      <c r="D176" s="4">
        <f t="shared" si="2"/>
        <v>205.15544554455434</v>
      </c>
      <c r="E176" s="6"/>
      <c r="F176" s="3"/>
      <c r="G176" s="4"/>
      <c r="H176" s="6"/>
      <c r="L176" s="27">
        <v>2772</v>
      </c>
    </row>
    <row r="177" spans="1:12" x14ac:dyDescent="0.2">
      <c r="A177" s="31">
        <v>1</v>
      </c>
      <c r="B177" s="2">
        <v>169</v>
      </c>
      <c r="C177" s="24">
        <f>C9</f>
        <v>2142</v>
      </c>
      <c r="D177" s="4">
        <f t="shared" si="2"/>
        <v>158.529207920792</v>
      </c>
      <c r="E177" s="6"/>
      <c r="F177" s="3"/>
      <c r="G177" s="4"/>
      <c r="H177" s="6"/>
      <c r="L177" s="27">
        <v>2142</v>
      </c>
    </row>
    <row r="178" spans="1:12" x14ac:dyDescent="0.2">
      <c r="A178" s="31">
        <v>2</v>
      </c>
      <c r="B178" s="2">
        <v>170</v>
      </c>
      <c r="C178" s="24">
        <f t="shared" ref="C178:C241" si="3">C10</f>
        <v>2016</v>
      </c>
      <c r="D178" s="4">
        <f t="shared" si="2"/>
        <v>149.20396039603952</v>
      </c>
      <c r="E178" s="6"/>
      <c r="F178" s="3"/>
      <c r="G178" s="4"/>
      <c r="H178" s="6"/>
      <c r="L178" s="27">
        <v>2016</v>
      </c>
    </row>
    <row r="179" spans="1:12" x14ac:dyDescent="0.2">
      <c r="A179" s="31">
        <v>3</v>
      </c>
      <c r="B179" s="2">
        <v>171</v>
      </c>
      <c r="C179" s="24">
        <f t="shared" si="3"/>
        <v>2142</v>
      </c>
      <c r="D179" s="4">
        <f t="shared" si="2"/>
        <v>158.529207920792</v>
      </c>
      <c r="E179" s="6"/>
      <c r="F179" s="3"/>
      <c r="G179" s="4"/>
      <c r="H179" s="6"/>
      <c r="L179" s="27">
        <v>2142</v>
      </c>
    </row>
    <row r="180" spans="1:12" x14ac:dyDescent="0.2">
      <c r="A180" s="31">
        <v>4</v>
      </c>
      <c r="B180" s="2">
        <v>172</v>
      </c>
      <c r="C180" s="24">
        <f t="shared" si="3"/>
        <v>2268</v>
      </c>
      <c r="D180" s="4">
        <f t="shared" si="2"/>
        <v>167.85445544554446</v>
      </c>
      <c r="E180" s="6"/>
      <c r="F180" s="3"/>
      <c r="G180" s="4"/>
      <c r="H180" s="6"/>
      <c r="L180" s="27">
        <v>2268</v>
      </c>
    </row>
    <row r="181" spans="1:12" x14ac:dyDescent="0.2">
      <c r="A181" s="31">
        <v>5</v>
      </c>
      <c r="B181" s="2">
        <v>173</v>
      </c>
      <c r="C181" s="24">
        <f t="shared" si="3"/>
        <v>2582.9999999999995</v>
      </c>
      <c r="D181" s="4">
        <f t="shared" si="2"/>
        <v>191.1675742574256</v>
      </c>
      <c r="E181" s="6"/>
      <c r="F181" s="3"/>
      <c r="G181" s="4"/>
      <c r="H181" s="6"/>
      <c r="L181" s="27">
        <v>2583</v>
      </c>
    </row>
    <row r="182" spans="1:12" x14ac:dyDescent="0.2">
      <c r="A182" s="31">
        <v>6</v>
      </c>
      <c r="B182" s="2">
        <v>174</v>
      </c>
      <c r="C182" s="24">
        <f t="shared" si="3"/>
        <v>2771.9999999999995</v>
      </c>
      <c r="D182" s="4">
        <f t="shared" si="2"/>
        <v>205.15544554455431</v>
      </c>
      <c r="E182" s="6"/>
      <c r="F182" s="3"/>
      <c r="G182" s="4"/>
      <c r="H182" s="6"/>
      <c r="L182" s="27">
        <v>2772</v>
      </c>
    </row>
    <row r="183" spans="1:12" x14ac:dyDescent="0.2">
      <c r="A183" s="31">
        <v>7</v>
      </c>
      <c r="B183" s="2">
        <v>175</v>
      </c>
      <c r="C183" s="24">
        <f t="shared" si="3"/>
        <v>2960.9999999999995</v>
      </c>
      <c r="D183" s="4">
        <f t="shared" si="2"/>
        <v>219.14331683168302</v>
      </c>
      <c r="E183" s="6"/>
      <c r="F183" s="3"/>
      <c r="G183" s="4"/>
      <c r="H183" s="6"/>
      <c r="L183" s="27">
        <v>2961</v>
      </c>
    </row>
    <row r="184" spans="1:12" x14ac:dyDescent="0.2">
      <c r="A184" s="31">
        <v>8</v>
      </c>
      <c r="B184" s="2">
        <v>176</v>
      </c>
      <c r="C184" s="24">
        <f t="shared" si="3"/>
        <v>3149.9999999999991</v>
      </c>
      <c r="D184" s="4">
        <f t="shared" si="2"/>
        <v>233.13118811881168</v>
      </c>
      <c r="E184" s="6"/>
      <c r="F184" s="3"/>
      <c r="G184" s="4"/>
      <c r="H184" s="6"/>
      <c r="L184" s="27">
        <v>3150</v>
      </c>
    </row>
    <row r="185" spans="1:12" x14ac:dyDescent="0.2">
      <c r="A185" s="31">
        <v>9</v>
      </c>
      <c r="B185" s="2">
        <v>177</v>
      </c>
      <c r="C185" s="24">
        <f t="shared" si="3"/>
        <v>3338.9999999999991</v>
      </c>
      <c r="D185" s="4">
        <f t="shared" si="2"/>
        <v>247.11905940594039</v>
      </c>
      <c r="E185" s="6"/>
      <c r="F185" s="3"/>
      <c r="G185" s="4"/>
      <c r="H185" s="6"/>
      <c r="L185" s="27">
        <v>3339</v>
      </c>
    </row>
    <row r="186" spans="1:12" x14ac:dyDescent="0.2">
      <c r="A186" s="31">
        <v>10</v>
      </c>
      <c r="B186" s="2">
        <v>178</v>
      </c>
      <c r="C186" s="24">
        <f t="shared" si="3"/>
        <v>3527.9999999999986</v>
      </c>
      <c r="D186" s="4">
        <f t="shared" si="2"/>
        <v>261.10693069306905</v>
      </c>
      <c r="E186" s="6"/>
      <c r="F186" s="3"/>
      <c r="G186" s="4"/>
      <c r="H186" s="6"/>
      <c r="L186" s="27">
        <v>3528</v>
      </c>
    </row>
    <row r="187" spans="1:12" x14ac:dyDescent="0.2">
      <c r="A187" s="31">
        <v>11</v>
      </c>
      <c r="B187" s="2">
        <v>179</v>
      </c>
      <c r="C187" s="24">
        <f t="shared" si="3"/>
        <v>3716.9999999999986</v>
      </c>
      <c r="D187" s="4">
        <f t="shared" si="2"/>
        <v>275.09480198019776</v>
      </c>
      <c r="E187" s="6"/>
      <c r="F187" s="3"/>
      <c r="G187" s="4"/>
      <c r="H187" s="6"/>
      <c r="L187" s="27">
        <v>3717</v>
      </c>
    </row>
    <row r="188" spans="1:12" x14ac:dyDescent="0.2">
      <c r="A188" s="31">
        <v>12</v>
      </c>
      <c r="B188" s="2">
        <v>180</v>
      </c>
      <c r="C188" s="24">
        <f t="shared" si="3"/>
        <v>3905.9999999999986</v>
      </c>
      <c r="D188" s="4">
        <f t="shared" si="2"/>
        <v>289.08267326732647</v>
      </c>
      <c r="E188" s="6"/>
      <c r="F188" s="3"/>
      <c r="G188" s="4"/>
      <c r="H188" s="6"/>
      <c r="L188" s="27">
        <v>3906</v>
      </c>
    </row>
    <row r="189" spans="1:12" x14ac:dyDescent="0.2">
      <c r="A189" s="31">
        <v>13</v>
      </c>
      <c r="B189" s="2">
        <v>181</v>
      </c>
      <c r="C189" s="24">
        <f t="shared" si="3"/>
        <v>4094.9999999999995</v>
      </c>
      <c r="D189" s="4">
        <f t="shared" si="2"/>
        <v>303.07054455445524</v>
      </c>
      <c r="E189" s="6"/>
      <c r="F189" s="3"/>
      <c r="G189" s="4"/>
      <c r="H189" s="6"/>
      <c r="L189" s="27">
        <v>4095</v>
      </c>
    </row>
    <row r="190" spans="1:12" x14ac:dyDescent="0.2">
      <c r="A190" s="31">
        <v>14</v>
      </c>
      <c r="B190" s="2">
        <v>182</v>
      </c>
      <c r="C190" s="24">
        <f t="shared" si="3"/>
        <v>4284</v>
      </c>
      <c r="D190" s="4">
        <f t="shared" si="2"/>
        <v>317.05841584158401</v>
      </c>
      <c r="E190" s="6"/>
      <c r="F190" s="3"/>
      <c r="G190" s="4"/>
      <c r="H190" s="6"/>
      <c r="L190" s="27">
        <v>4284</v>
      </c>
    </row>
    <row r="191" spans="1:12" x14ac:dyDescent="0.2">
      <c r="A191" s="31">
        <v>15</v>
      </c>
      <c r="B191" s="2">
        <v>183</v>
      </c>
      <c r="C191" s="24">
        <f t="shared" si="3"/>
        <v>4157.9999999999991</v>
      </c>
      <c r="D191" s="4">
        <f t="shared" si="2"/>
        <v>307.73316831683144</v>
      </c>
      <c r="E191" s="6"/>
      <c r="F191" s="3"/>
      <c r="G191" s="4"/>
      <c r="H191" s="6"/>
      <c r="L191" s="27">
        <v>4158</v>
      </c>
    </row>
    <row r="192" spans="1:12" x14ac:dyDescent="0.2">
      <c r="A192" s="31">
        <v>16</v>
      </c>
      <c r="B192" s="2">
        <v>184</v>
      </c>
      <c r="C192" s="24">
        <f t="shared" si="3"/>
        <v>4326</v>
      </c>
      <c r="D192" s="4">
        <f t="shared" si="2"/>
        <v>320.16683168316814</v>
      </c>
      <c r="E192" s="6"/>
      <c r="F192" s="3"/>
      <c r="G192" s="4"/>
      <c r="H192" s="6"/>
      <c r="L192" s="27">
        <v>4326</v>
      </c>
    </row>
    <row r="193" spans="1:12" x14ac:dyDescent="0.2">
      <c r="A193" s="31">
        <v>17</v>
      </c>
      <c r="B193" s="2">
        <v>185</v>
      </c>
      <c r="C193" s="24">
        <f t="shared" si="3"/>
        <v>4914</v>
      </c>
      <c r="D193" s="4">
        <f t="shared" si="2"/>
        <v>363.68465346534634</v>
      </c>
      <c r="E193" s="6"/>
      <c r="F193" s="3"/>
      <c r="G193" s="4"/>
      <c r="H193" s="6"/>
      <c r="L193" s="27">
        <v>4914</v>
      </c>
    </row>
    <row r="194" spans="1:12" x14ac:dyDescent="0.2">
      <c r="A194" s="31">
        <v>18</v>
      </c>
      <c r="B194" s="2">
        <v>186</v>
      </c>
      <c r="C194" s="24">
        <f t="shared" si="3"/>
        <v>4787.9999999999991</v>
      </c>
      <c r="D194" s="4">
        <f t="shared" si="2"/>
        <v>354.35940594059377</v>
      </c>
      <c r="E194" s="6"/>
      <c r="F194" s="3"/>
      <c r="G194" s="4"/>
      <c r="H194" s="6"/>
      <c r="L194" s="27">
        <v>4788</v>
      </c>
    </row>
    <row r="195" spans="1:12" x14ac:dyDescent="0.2">
      <c r="A195" s="31">
        <v>19</v>
      </c>
      <c r="B195" s="2">
        <v>187</v>
      </c>
      <c r="C195" s="24">
        <f t="shared" si="3"/>
        <v>5039.9999999999991</v>
      </c>
      <c r="D195" s="4">
        <f t="shared" si="2"/>
        <v>373.00990099009874</v>
      </c>
      <c r="E195" s="6"/>
      <c r="F195" s="3"/>
      <c r="G195" s="4"/>
      <c r="H195" s="6"/>
      <c r="L195" s="27">
        <v>5040</v>
      </c>
    </row>
    <row r="196" spans="1:12" x14ac:dyDescent="0.2">
      <c r="A196" s="31">
        <v>20</v>
      </c>
      <c r="B196" s="2">
        <v>188</v>
      </c>
      <c r="C196" s="24">
        <f t="shared" si="3"/>
        <v>4787.9999999999991</v>
      </c>
      <c r="D196" s="4">
        <f t="shared" si="2"/>
        <v>354.35940594059377</v>
      </c>
      <c r="E196" s="6"/>
      <c r="F196" s="3"/>
      <c r="G196" s="4"/>
      <c r="H196" s="6"/>
      <c r="L196" s="27">
        <v>4788</v>
      </c>
    </row>
    <row r="197" spans="1:12" x14ac:dyDescent="0.2">
      <c r="A197" s="31">
        <v>21</v>
      </c>
      <c r="B197" s="2">
        <v>189</v>
      </c>
      <c r="C197" s="24">
        <f t="shared" si="3"/>
        <v>5165.9999999999991</v>
      </c>
      <c r="D197" s="4">
        <f t="shared" si="2"/>
        <v>382.3351485148512</v>
      </c>
      <c r="E197" s="6"/>
      <c r="F197" s="3"/>
      <c r="G197" s="4"/>
      <c r="H197" s="6"/>
      <c r="L197" s="27">
        <v>5166</v>
      </c>
    </row>
    <row r="198" spans="1:12" x14ac:dyDescent="0.2">
      <c r="A198" s="31">
        <v>22</v>
      </c>
      <c r="B198" s="2">
        <v>190</v>
      </c>
      <c r="C198" s="24">
        <f t="shared" si="3"/>
        <v>4536</v>
      </c>
      <c r="D198" s="4">
        <f t="shared" si="2"/>
        <v>335.70891089108892</v>
      </c>
      <c r="E198" s="6"/>
      <c r="F198" s="3"/>
      <c r="G198" s="4"/>
      <c r="H198" s="6"/>
      <c r="L198" s="27">
        <v>4536</v>
      </c>
    </row>
    <row r="199" spans="1:12" x14ac:dyDescent="0.2">
      <c r="A199" s="31">
        <v>23</v>
      </c>
      <c r="B199" s="2">
        <v>191</v>
      </c>
      <c r="C199" s="24">
        <f t="shared" si="3"/>
        <v>3905.9999999999986</v>
      </c>
      <c r="D199" s="4">
        <f t="shared" si="2"/>
        <v>289.08267326732647</v>
      </c>
      <c r="E199" s="6"/>
      <c r="F199" s="3"/>
      <c r="G199" s="4"/>
      <c r="H199" s="6"/>
      <c r="L199" s="27">
        <v>3906</v>
      </c>
    </row>
    <row r="200" spans="1:12" x14ac:dyDescent="0.2">
      <c r="A200" s="31">
        <v>24</v>
      </c>
      <c r="B200" s="2">
        <v>192</v>
      </c>
      <c r="C200" s="24">
        <f t="shared" si="3"/>
        <v>3275.9999999999991</v>
      </c>
      <c r="D200" s="4">
        <f t="shared" si="2"/>
        <v>242.45643564356416</v>
      </c>
      <c r="E200" s="6"/>
      <c r="F200" s="3"/>
      <c r="G200" s="4"/>
      <c r="H200" s="6"/>
      <c r="L200" s="27">
        <v>3276</v>
      </c>
    </row>
    <row r="201" spans="1:12" x14ac:dyDescent="0.2">
      <c r="A201" s="31">
        <v>25</v>
      </c>
      <c r="B201" s="2">
        <v>193</v>
      </c>
      <c r="C201" s="24">
        <f t="shared" si="3"/>
        <v>2142</v>
      </c>
      <c r="D201" s="4">
        <f t="shared" si="2"/>
        <v>158.529207920792</v>
      </c>
      <c r="E201" s="6"/>
      <c r="F201" s="3"/>
      <c r="G201" s="4"/>
      <c r="H201" s="6"/>
      <c r="L201" s="27">
        <v>2142</v>
      </c>
    </row>
    <row r="202" spans="1:12" x14ac:dyDescent="0.2">
      <c r="A202" s="31">
        <v>26</v>
      </c>
      <c r="B202" s="2">
        <v>194</v>
      </c>
      <c r="C202" s="24">
        <f t="shared" si="3"/>
        <v>2016</v>
      </c>
      <c r="D202" s="4">
        <f t="shared" ref="D202:D265" si="4">$G$6*C202*(1/$G$8-1/$G$7)</f>
        <v>149.20396039603952</v>
      </c>
      <c r="E202" s="6"/>
      <c r="F202" s="3"/>
      <c r="G202" s="4"/>
      <c r="H202" s="6"/>
      <c r="L202" s="27">
        <v>2016</v>
      </c>
    </row>
    <row r="203" spans="1:12" x14ac:dyDescent="0.2">
      <c r="A203" s="31">
        <v>27</v>
      </c>
      <c r="B203" s="2">
        <v>195</v>
      </c>
      <c r="C203" s="24">
        <f t="shared" si="3"/>
        <v>2167.1999999999998</v>
      </c>
      <c r="D203" s="4">
        <f t="shared" si="4"/>
        <v>160.39425742574247</v>
      </c>
      <c r="E203" s="6"/>
      <c r="F203" s="3"/>
      <c r="G203" s="4"/>
      <c r="H203" s="6"/>
      <c r="L203" s="27">
        <v>2167.1999999999998</v>
      </c>
    </row>
    <row r="204" spans="1:12" x14ac:dyDescent="0.2">
      <c r="A204" s="31">
        <v>28</v>
      </c>
      <c r="B204" s="2">
        <v>196</v>
      </c>
      <c r="C204" s="24">
        <f t="shared" si="3"/>
        <v>2268</v>
      </c>
      <c r="D204" s="4">
        <f t="shared" si="4"/>
        <v>167.85445544554446</v>
      </c>
      <c r="E204" s="6"/>
      <c r="F204" s="3"/>
      <c r="G204" s="4"/>
      <c r="H204" s="6"/>
      <c r="L204" s="27">
        <v>2268</v>
      </c>
    </row>
    <row r="205" spans="1:12" x14ac:dyDescent="0.2">
      <c r="A205" s="31">
        <v>29</v>
      </c>
      <c r="B205" s="2">
        <v>197</v>
      </c>
      <c r="C205" s="24">
        <f t="shared" si="3"/>
        <v>2502</v>
      </c>
      <c r="D205" s="4">
        <f t="shared" si="4"/>
        <v>185.17277227722761</v>
      </c>
      <c r="E205" s="6"/>
      <c r="F205" s="3"/>
      <c r="G205" s="4"/>
      <c r="H205" s="6"/>
      <c r="L205" s="27">
        <v>2502</v>
      </c>
    </row>
    <row r="206" spans="1:12" x14ac:dyDescent="0.2">
      <c r="A206" s="31">
        <v>30</v>
      </c>
      <c r="B206" s="2">
        <v>198</v>
      </c>
      <c r="C206" s="24">
        <f t="shared" si="3"/>
        <v>2664</v>
      </c>
      <c r="D206" s="4">
        <f t="shared" si="4"/>
        <v>197.16237623762365</v>
      </c>
      <c r="E206" s="6"/>
      <c r="F206" s="3"/>
      <c r="G206" s="4"/>
      <c r="H206" s="6"/>
      <c r="L206" s="27">
        <v>2664</v>
      </c>
    </row>
    <row r="207" spans="1:12" x14ac:dyDescent="0.2">
      <c r="A207" s="31">
        <v>31</v>
      </c>
      <c r="B207" s="2">
        <v>199</v>
      </c>
      <c r="C207" s="24">
        <f t="shared" si="3"/>
        <v>2825.9999999999995</v>
      </c>
      <c r="D207" s="4">
        <f t="shared" si="4"/>
        <v>209.15198019801966</v>
      </c>
      <c r="E207" s="6"/>
      <c r="F207" s="3"/>
      <c r="G207" s="4"/>
      <c r="H207" s="6"/>
      <c r="L207" s="27">
        <v>2826</v>
      </c>
    </row>
    <row r="208" spans="1:12" x14ac:dyDescent="0.2">
      <c r="A208" s="31">
        <v>32</v>
      </c>
      <c r="B208" s="2">
        <v>200</v>
      </c>
      <c r="C208" s="24">
        <f t="shared" si="3"/>
        <v>2988</v>
      </c>
      <c r="D208" s="4">
        <f t="shared" si="4"/>
        <v>221.14158415841572</v>
      </c>
      <c r="E208" s="6"/>
      <c r="F208" s="3"/>
      <c r="G208" s="4"/>
      <c r="H208" s="6"/>
      <c r="L208" s="27">
        <v>2988</v>
      </c>
    </row>
    <row r="209" spans="1:12" x14ac:dyDescent="0.2">
      <c r="A209" s="31">
        <v>33</v>
      </c>
      <c r="B209" s="2">
        <v>201</v>
      </c>
      <c r="C209" s="24">
        <f t="shared" si="3"/>
        <v>3149.9999999999995</v>
      </c>
      <c r="D209" s="4">
        <f t="shared" si="4"/>
        <v>233.13118811881171</v>
      </c>
      <c r="E209" s="6"/>
      <c r="F209" s="3"/>
      <c r="G209" s="4"/>
      <c r="H209" s="6"/>
      <c r="L209" s="27">
        <v>3150</v>
      </c>
    </row>
    <row r="210" spans="1:12" x14ac:dyDescent="0.2">
      <c r="A210" s="31">
        <v>34</v>
      </c>
      <c r="B210" s="2">
        <v>202</v>
      </c>
      <c r="C210" s="24">
        <f t="shared" si="3"/>
        <v>3312</v>
      </c>
      <c r="D210" s="4">
        <f t="shared" si="4"/>
        <v>245.12079207920777</v>
      </c>
      <c r="E210" s="6"/>
      <c r="F210" s="3"/>
      <c r="G210" s="4"/>
      <c r="H210" s="6"/>
      <c r="L210" s="27">
        <v>3312</v>
      </c>
    </row>
    <row r="211" spans="1:12" x14ac:dyDescent="0.2">
      <c r="A211" s="31">
        <v>35</v>
      </c>
      <c r="B211" s="2">
        <v>203</v>
      </c>
      <c r="C211" s="24">
        <f t="shared" si="3"/>
        <v>3473.9999999999995</v>
      </c>
      <c r="D211" s="4">
        <f t="shared" si="4"/>
        <v>257.11039603960381</v>
      </c>
      <c r="E211" s="6"/>
      <c r="F211" s="3"/>
      <c r="G211" s="4"/>
      <c r="H211" s="6"/>
      <c r="L211" s="27">
        <v>3474</v>
      </c>
    </row>
    <row r="212" spans="1:12" x14ac:dyDescent="0.2">
      <c r="A212" s="31">
        <v>36</v>
      </c>
      <c r="B212" s="2">
        <v>204</v>
      </c>
      <c r="C212" s="24">
        <f t="shared" si="3"/>
        <v>3635.9999999999995</v>
      </c>
      <c r="D212" s="4">
        <f t="shared" si="4"/>
        <v>269.0999999999998</v>
      </c>
      <c r="E212" s="6"/>
      <c r="F212" s="3"/>
      <c r="G212" s="4"/>
      <c r="H212" s="6"/>
      <c r="L212" s="27">
        <v>3636</v>
      </c>
    </row>
    <row r="213" spans="1:12" x14ac:dyDescent="0.2">
      <c r="A213" s="31">
        <v>37</v>
      </c>
      <c r="B213" s="2">
        <v>205</v>
      </c>
      <c r="C213" s="24">
        <f t="shared" si="3"/>
        <v>3797.9999999999991</v>
      </c>
      <c r="D213" s="4">
        <f t="shared" si="4"/>
        <v>281.08960396039583</v>
      </c>
      <c r="E213" s="6"/>
      <c r="F213" s="3"/>
      <c r="G213" s="4"/>
      <c r="H213" s="6"/>
      <c r="L213" s="27">
        <v>3798</v>
      </c>
    </row>
    <row r="214" spans="1:12" x14ac:dyDescent="0.2">
      <c r="A214" s="31">
        <v>38</v>
      </c>
      <c r="B214" s="2">
        <v>206</v>
      </c>
      <c r="C214" s="24">
        <f t="shared" si="3"/>
        <v>3959.9999999999995</v>
      </c>
      <c r="D214" s="4">
        <f t="shared" si="4"/>
        <v>293.07920792079187</v>
      </c>
      <c r="E214" s="6"/>
      <c r="F214" s="3"/>
      <c r="G214" s="4"/>
      <c r="H214" s="6"/>
      <c r="L214" s="27">
        <v>3960</v>
      </c>
    </row>
    <row r="215" spans="1:12" x14ac:dyDescent="0.2">
      <c r="A215" s="31">
        <v>39</v>
      </c>
      <c r="B215" s="2">
        <v>207</v>
      </c>
      <c r="C215" s="24">
        <f t="shared" si="3"/>
        <v>4122</v>
      </c>
      <c r="D215" s="4">
        <f t="shared" si="4"/>
        <v>305.06881188118797</v>
      </c>
      <c r="E215" s="6"/>
      <c r="F215" s="3"/>
      <c r="G215" s="4"/>
      <c r="H215" s="6"/>
      <c r="L215" s="27">
        <v>4122</v>
      </c>
    </row>
    <row r="216" spans="1:12" x14ac:dyDescent="0.2">
      <c r="A216" s="31">
        <v>40</v>
      </c>
      <c r="B216" s="2">
        <v>208</v>
      </c>
      <c r="C216" s="24">
        <f t="shared" si="3"/>
        <v>4284</v>
      </c>
      <c r="D216" s="4">
        <f t="shared" si="4"/>
        <v>317.05841584158401</v>
      </c>
      <c r="E216" s="6"/>
      <c r="F216" s="3"/>
      <c r="G216" s="4"/>
      <c r="H216" s="6"/>
      <c r="L216" s="27">
        <v>4284</v>
      </c>
    </row>
    <row r="217" spans="1:12" x14ac:dyDescent="0.2">
      <c r="A217" s="31">
        <v>41</v>
      </c>
      <c r="B217" s="2">
        <v>209</v>
      </c>
      <c r="C217" s="24">
        <f t="shared" si="3"/>
        <v>4157.9999999999991</v>
      </c>
      <c r="D217" s="4">
        <f t="shared" si="4"/>
        <v>307.73316831683144</v>
      </c>
      <c r="E217" s="6"/>
      <c r="F217" s="3"/>
      <c r="G217" s="4"/>
      <c r="H217" s="6"/>
      <c r="L217" s="27">
        <v>4158</v>
      </c>
    </row>
    <row r="218" spans="1:12" x14ac:dyDescent="0.2">
      <c r="A218" s="31">
        <v>42</v>
      </c>
      <c r="B218" s="2">
        <v>210</v>
      </c>
      <c r="C218" s="24">
        <f t="shared" si="3"/>
        <v>4410</v>
      </c>
      <c r="D218" s="4">
        <f t="shared" si="4"/>
        <v>326.38366336633646</v>
      </c>
      <c r="E218" s="6"/>
      <c r="F218" s="3"/>
      <c r="G218" s="4"/>
      <c r="H218" s="6"/>
      <c r="L218" s="27">
        <v>4410</v>
      </c>
    </row>
    <row r="219" spans="1:12" x14ac:dyDescent="0.2">
      <c r="A219" s="31">
        <v>43</v>
      </c>
      <c r="B219" s="2">
        <v>211</v>
      </c>
      <c r="C219" s="24">
        <f t="shared" si="3"/>
        <v>4662</v>
      </c>
      <c r="D219" s="4">
        <f t="shared" si="4"/>
        <v>345.03415841584138</v>
      </c>
      <c r="E219" s="6"/>
      <c r="F219" s="3"/>
      <c r="G219" s="4"/>
      <c r="H219" s="6"/>
      <c r="L219" s="27">
        <v>4662</v>
      </c>
    </row>
    <row r="220" spans="1:12" x14ac:dyDescent="0.2">
      <c r="A220" s="31">
        <v>44</v>
      </c>
      <c r="B220" s="2">
        <v>212</v>
      </c>
      <c r="C220" s="24">
        <f t="shared" si="3"/>
        <v>4787.9999999999991</v>
      </c>
      <c r="D220" s="4">
        <f t="shared" si="4"/>
        <v>354.35940594059377</v>
      </c>
      <c r="E220" s="6"/>
      <c r="F220" s="3"/>
      <c r="G220" s="4"/>
      <c r="H220" s="6"/>
      <c r="L220" s="27">
        <v>4788</v>
      </c>
    </row>
    <row r="221" spans="1:12" x14ac:dyDescent="0.2">
      <c r="A221" s="31">
        <v>45</v>
      </c>
      <c r="B221" s="2">
        <v>213</v>
      </c>
      <c r="C221" s="24">
        <f t="shared" si="3"/>
        <v>5165.9999999999991</v>
      </c>
      <c r="D221" s="4">
        <f t="shared" si="4"/>
        <v>382.3351485148512</v>
      </c>
      <c r="E221" s="6"/>
      <c r="F221" s="3"/>
      <c r="G221" s="4"/>
      <c r="H221" s="6"/>
      <c r="L221" s="27">
        <v>5166</v>
      </c>
    </row>
    <row r="222" spans="1:12" x14ac:dyDescent="0.2">
      <c r="A222" s="31">
        <v>46</v>
      </c>
      <c r="B222" s="2">
        <v>214</v>
      </c>
      <c r="C222" s="24">
        <f t="shared" si="3"/>
        <v>4536</v>
      </c>
      <c r="D222" s="4">
        <f t="shared" si="4"/>
        <v>335.70891089108892</v>
      </c>
      <c r="E222" s="6"/>
      <c r="F222" s="3"/>
      <c r="G222" s="4"/>
      <c r="H222" s="6"/>
      <c r="L222" s="27">
        <v>4536</v>
      </c>
    </row>
    <row r="223" spans="1:12" x14ac:dyDescent="0.2">
      <c r="A223" s="31">
        <v>47</v>
      </c>
      <c r="B223" s="2">
        <v>215</v>
      </c>
      <c r="C223" s="24">
        <f t="shared" si="3"/>
        <v>3905.9999999999986</v>
      </c>
      <c r="D223" s="4">
        <f t="shared" si="4"/>
        <v>289.08267326732647</v>
      </c>
      <c r="E223" s="6"/>
      <c r="F223" s="3"/>
      <c r="G223" s="4"/>
      <c r="H223" s="6"/>
      <c r="L223" s="27">
        <v>3906</v>
      </c>
    </row>
    <row r="224" spans="1:12" x14ac:dyDescent="0.2">
      <c r="A224" s="31">
        <v>48</v>
      </c>
      <c r="B224" s="2">
        <v>216</v>
      </c>
      <c r="C224" s="24">
        <f t="shared" si="3"/>
        <v>3275.9999999999991</v>
      </c>
      <c r="D224" s="4">
        <f t="shared" si="4"/>
        <v>242.45643564356416</v>
      </c>
      <c r="E224" s="6"/>
      <c r="F224" s="3"/>
      <c r="G224" s="4"/>
      <c r="H224" s="6"/>
      <c r="L224" s="27">
        <v>3276</v>
      </c>
    </row>
    <row r="225" spans="1:12" x14ac:dyDescent="0.2">
      <c r="A225" s="31">
        <v>49</v>
      </c>
      <c r="B225" s="2">
        <v>217</v>
      </c>
      <c r="C225" s="24">
        <f t="shared" si="3"/>
        <v>2142</v>
      </c>
      <c r="D225" s="4">
        <f t="shared" si="4"/>
        <v>158.529207920792</v>
      </c>
      <c r="E225" s="6"/>
      <c r="F225" s="3"/>
      <c r="G225" s="4"/>
      <c r="H225" s="6"/>
      <c r="L225" s="27">
        <v>2142</v>
      </c>
    </row>
    <row r="226" spans="1:12" x14ac:dyDescent="0.2">
      <c r="A226" s="31">
        <v>50</v>
      </c>
      <c r="B226" s="2">
        <v>218</v>
      </c>
      <c r="C226" s="24">
        <f t="shared" si="3"/>
        <v>2016</v>
      </c>
      <c r="D226" s="4">
        <f t="shared" si="4"/>
        <v>149.20396039603952</v>
      </c>
      <c r="E226" s="6"/>
      <c r="F226" s="3"/>
      <c r="G226" s="4"/>
      <c r="H226" s="6"/>
      <c r="L226" s="27">
        <v>2016</v>
      </c>
    </row>
    <row r="227" spans="1:12" x14ac:dyDescent="0.2">
      <c r="A227" s="31">
        <v>51</v>
      </c>
      <c r="B227" s="2">
        <v>219</v>
      </c>
      <c r="C227" s="24">
        <f t="shared" si="3"/>
        <v>2142</v>
      </c>
      <c r="D227" s="4">
        <f t="shared" si="4"/>
        <v>158.529207920792</v>
      </c>
      <c r="E227" s="6"/>
      <c r="F227" s="3"/>
      <c r="G227" s="4"/>
      <c r="H227" s="6"/>
      <c r="L227" s="27">
        <v>2142</v>
      </c>
    </row>
    <row r="228" spans="1:12" x14ac:dyDescent="0.2">
      <c r="A228" s="31">
        <v>52</v>
      </c>
      <c r="B228" s="2">
        <v>220</v>
      </c>
      <c r="C228" s="24">
        <f t="shared" si="3"/>
        <v>2268</v>
      </c>
      <c r="D228" s="4">
        <f t="shared" si="4"/>
        <v>167.85445544554446</v>
      </c>
      <c r="E228" s="6"/>
      <c r="F228" s="3"/>
      <c r="G228" s="4"/>
      <c r="H228" s="6"/>
      <c r="L228" s="27">
        <v>2268</v>
      </c>
    </row>
    <row r="229" spans="1:12" x14ac:dyDescent="0.2">
      <c r="A229" s="31">
        <v>53</v>
      </c>
      <c r="B229" s="2">
        <v>221</v>
      </c>
      <c r="C229" s="24">
        <f t="shared" si="3"/>
        <v>2539.3846153846148</v>
      </c>
      <c r="D229" s="4">
        <f t="shared" si="4"/>
        <v>187.93960396039591</v>
      </c>
      <c r="E229" s="6"/>
      <c r="F229" s="3"/>
      <c r="G229" s="4"/>
      <c r="H229" s="6"/>
      <c r="L229" s="27">
        <v>2539.4</v>
      </c>
    </row>
    <row r="230" spans="1:12" x14ac:dyDescent="0.2">
      <c r="A230" s="31">
        <v>54</v>
      </c>
      <c r="B230" s="2">
        <v>222</v>
      </c>
      <c r="C230" s="24">
        <f t="shared" si="3"/>
        <v>2713.8461538461538</v>
      </c>
      <c r="D230" s="4">
        <f t="shared" si="4"/>
        <v>200.85148514851474</v>
      </c>
      <c r="E230" s="6"/>
      <c r="F230" s="3"/>
      <c r="G230" s="4"/>
      <c r="H230" s="6"/>
      <c r="L230" s="27">
        <v>2713.8</v>
      </c>
    </row>
    <row r="231" spans="1:12" x14ac:dyDescent="0.2">
      <c r="A231" s="31">
        <v>55</v>
      </c>
      <c r="B231" s="2">
        <v>223</v>
      </c>
      <c r="C231" s="24">
        <f t="shared" si="3"/>
        <v>2888.3076923076919</v>
      </c>
      <c r="D231" s="4">
        <f t="shared" si="4"/>
        <v>213.76336633663351</v>
      </c>
      <c r="E231" s="6"/>
      <c r="F231" s="3"/>
      <c r="G231" s="4"/>
      <c r="H231" s="6"/>
      <c r="L231" s="27">
        <v>2888.3</v>
      </c>
    </row>
    <row r="232" spans="1:12" x14ac:dyDescent="0.2">
      <c r="A232" s="31">
        <v>56</v>
      </c>
      <c r="B232" s="2">
        <v>224</v>
      </c>
      <c r="C232" s="24">
        <f t="shared" si="3"/>
        <v>3062.7692307692296</v>
      </c>
      <c r="D232" s="4">
        <f t="shared" si="4"/>
        <v>226.67524752475225</v>
      </c>
      <c r="E232" s="6"/>
      <c r="F232" s="3"/>
      <c r="G232" s="4"/>
      <c r="H232" s="6"/>
      <c r="L232" s="27">
        <v>3062.8</v>
      </c>
    </row>
    <row r="233" spans="1:12" x14ac:dyDescent="0.2">
      <c r="A233" s="31">
        <v>57</v>
      </c>
      <c r="B233" s="2">
        <v>225</v>
      </c>
      <c r="C233" s="24">
        <f t="shared" si="3"/>
        <v>3237.2307692307686</v>
      </c>
      <c r="D233" s="4">
        <f t="shared" si="4"/>
        <v>239.58712871287113</v>
      </c>
      <c r="E233" s="6"/>
      <c r="F233" s="3"/>
      <c r="G233" s="4"/>
      <c r="H233" s="6"/>
      <c r="L233" s="27">
        <v>3237.2</v>
      </c>
    </row>
    <row r="234" spans="1:12" x14ac:dyDescent="0.2">
      <c r="A234" s="31">
        <v>58</v>
      </c>
      <c r="B234" s="2">
        <v>226</v>
      </c>
      <c r="C234" s="24">
        <f t="shared" si="3"/>
        <v>3411.6923076923072</v>
      </c>
      <c r="D234" s="4">
        <f t="shared" si="4"/>
        <v>252.49900990098993</v>
      </c>
      <c r="E234" s="6"/>
      <c r="F234" s="3"/>
      <c r="G234" s="4"/>
      <c r="H234" s="6"/>
      <c r="L234" s="27">
        <v>3411.7</v>
      </c>
    </row>
    <row r="235" spans="1:12" x14ac:dyDescent="0.2">
      <c r="A235" s="31">
        <v>59</v>
      </c>
      <c r="B235" s="2">
        <v>227</v>
      </c>
      <c r="C235" s="24">
        <f t="shared" si="3"/>
        <v>3586.1538461538457</v>
      </c>
      <c r="D235" s="4">
        <f t="shared" si="4"/>
        <v>265.41089108910876</v>
      </c>
      <c r="E235" s="6"/>
      <c r="F235" s="3"/>
      <c r="G235" s="4"/>
      <c r="H235" s="6"/>
      <c r="L235" s="27">
        <v>3586.2</v>
      </c>
    </row>
    <row r="236" spans="1:12" x14ac:dyDescent="0.2">
      <c r="A236" s="31">
        <v>60</v>
      </c>
      <c r="B236" s="2">
        <v>228</v>
      </c>
      <c r="C236" s="24">
        <f t="shared" si="3"/>
        <v>3760.6153846153838</v>
      </c>
      <c r="D236" s="4">
        <f t="shared" si="4"/>
        <v>278.3227722772275</v>
      </c>
      <c r="E236" s="6"/>
      <c r="F236" s="3"/>
      <c r="G236" s="4"/>
      <c r="H236" s="6"/>
      <c r="L236" s="27">
        <v>3760.6</v>
      </c>
    </row>
    <row r="237" spans="1:12" x14ac:dyDescent="0.2">
      <c r="A237" s="31">
        <v>61</v>
      </c>
      <c r="B237" s="2">
        <v>229</v>
      </c>
      <c r="C237" s="24">
        <f t="shared" si="3"/>
        <v>3935.076923076922</v>
      </c>
      <c r="D237" s="4">
        <f t="shared" si="4"/>
        <v>291.2346534653463</v>
      </c>
      <c r="E237" s="6"/>
      <c r="F237" s="3"/>
      <c r="G237" s="4"/>
      <c r="H237" s="6"/>
      <c r="L237" s="27">
        <v>3935.1</v>
      </c>
    </row>
    <row r="238" spans="1:12" x14ac:dyDescent="0.2">
      <c r="A238" s="31">
        <v>62</v>
      </c>
      <c r="B238" s="2">
        <v>230</v>
      </c>
      <c r="C238" s="24">
        <f t="shared" si="3"/>
        <v>4109.538461538461</v>
      </c>
      <c r="D238" s="4">
        <f t="shared" si="4"/>
        <v>304.1465346534651</v>
      </c>
      <c r="E238" s="6"/>
      <c r="F238" s="3"/>
      <c r="G238" s="4"/>
      <c r="H238" s="6"/>
      <c r="L238" s="27">
        <v>4109.5</v>
      </c>
    </row>
    <row r="239" spans="1:12" x14ac:dyDescent="0.2">
      <c r="A239" s="31">
        <v>63</v>
      </c>
      <c r="B239" s="2">
        <v>231</v>
      </c>
      <c r="C239" s="24">
        <f t="shared" si="3"/>
        <v>4284</v>
      </c>
      <c r="D239" s="4">
        <f t="shared" si="4"/>
        <v>317.05841584158401</v>
      </c>
      <c r="E239" s="6"/>
      <c r="F239" s="3"/>
      <c r="G239" s="4"/>
      <c r="H239" s="6"/>
      <c r="L239" s="27">
        <v>4284</v>
      </c>
    </row>
    <row r="240" spans="1:12" x14ac:dyDescent="0.2">
      <c r="A240" s="31">
        <v>64</v>
      </c>
      <c r="B240" s="2">
        <v>232</v>
      </c>
      <c r="C240" s="24">
        <f t="shared" si="3"/>
        <v>4157.9999999999991</v>
      </c>
      <c r="D240" s="4">
        <f t="shared" si="4"/>
        <v>307.73316831683144</v>
      </c>
      <c r="E240" s="6"/>
      <c r="F240" s="3"/>
      <c r="G240" s="4"/>
      <c r="H240" s="6"/>
      <c r="L240" s="27">
        <v>4158</v>
      </c>
    </row>
    <row r="241" spans="1:12" x14ac:dyDescent="0.2">
      <c r="A241" s="31">
        <v>65</v>
      </c>
      <c r="B241" s="2">
        <v>233</v>
      </c>
      <c r="C241" s="24">
        <f t="shared" si="3"/>
        <v>4384.8</v>
      </c>
      <c r="D241" s="4">
        <f t="shared" si="4"/>
        <v>324.51861386138597</v>
      </c>
      <c r="E241" s="6"/>
      <c r="F241" s="3"/>
      <c r="G241" s="4"/>
      <c r="H241" s="6"/>
      <c r="L241" s="27">
        <v>4384.8</v>
      </c>
    </row>
    <row r="242" spans="1:12" x14ac:dyDescent="0.2">
      <c r="A242" s="31">
        <v>66</v>
      </c>
      <c r="B242" s="2">
        <v>234</v>
      </c>
      <c r="C242" s="24">
        <f t="shared" ref="C242:C305" si="5">C74</f>
        <v>4611.6000000000004</v>
      </c>
      <c r="D242" s="4">
        <f t="shared" si="4"/>
        <v>341.30405940594039</v>
      </c>
      <c r="E242" s="6"/>
      <c r="F242" s="3"/>
      <c r="G242" s="4"/>
      <c r="H242" s="6"/>
      <c r="L242" s="27">
        <v>4611.6000000000004</v>
      </c>
    </row>
    <row r="243" spans="1:12" x14ac:dyDescent="0.2">
      <c r="A243" s="31">
        <v>67</v>
      </c>
      <c r="B243" s="2">
        <v>235</v>
      </c>
      <c r="C243" s="24">
        <f t="shared" si="5"/>
        <v>5039.9999999999991</v>
      </c>
      <c r="D243" s="4">
        <f t="shared" si="4"/>
        <v>373.00990099009874</v>
      </c>
      <c r="E243" s="6"/>
      <c r="F243" s="3"/>
      <c r="G243" s="4"/>
      <c r="H243" s="6"/>
      <c r="L243" s="27">
        <v>5040</v>
      </c>
    </row>
    <row r="244" spans="1:12" x14ac:dyDescent="0.2">
      <c r="A244" s="31">
        <v>68</v>
      </c>
      <c r="B244" s="2">
        <v>236</v>
      </c>
      <c r="C244" s="24">
        <f t="shared" si="5"/>
        <v>5039.9999999999991</v>
      </c>
      <c r="D244" s="4">
        <f t="shared" si="4"/>
        <v>373.00990099009874</v>
      </c>
      <c r="E244" s="6"/>
      <c r="F244" s="3"/>
      <c r="G244" s="4"/>
      <c r="H244" s="6"/>
      <c r="L244" s="27">
        <v>5040</v>
      </c>
    </row>
    <row r="245" spans="1:12" x14ac:dyDescent="0.2">
      <c r="A245" s="31">
        <v>69</v>
      </c>
      <c r="B245" s="2">
        <v>237</v>
      </c>
      <c r="C245" s="24">
        <f t="shared" si="5"/>
        <v>5292</v>
      </c>
      <c r="D245" s="4">
        <f t="shared" si="4"/>
        <v>391.66039603960377</v>
      </c>
      <c r="E245" s="6"/>
      <c r="F245" s="3"/>
      <c r="G245" s="4"/>
      <c r="H245" s="6"/>
      <c r="L245" s="27">
        <v>5292</v>
      </c>
    </row>
    <row r="246" spans="1:12" x14ac:dyDescent="0.2">
      <c r="A246" s="31">
        <v>70</v>
      </c>
      <c r="B246" s="2">
        <v>238</v>
      </c>
      <c r="C246" s="24">
        <f t="shared" si="5"/>
        <v>4636.8</v>
      </c>
      <c r="D246" s="4">
        <f t="shared" si="4"/>
        <v>343.16910891089094</v>
      </c>
      <c r="E246" s="6"/>
      <c r="F246" s="3"/>
      <c r="G246" s="4"/>
      <c r="H246" s="6"/>
      <c r="L246" s="27">
        <v>4636.8</v>
      </c>
    </row>
    <row r="247" spans="1:12" x14ac:dyDescent="0.2">
      <c r="A247" s="31">
        <v>71</v>
      </c>
      <c r="B247" s="2">
        <v>239</v>
      </c>
      <c r="C247" s="24">
        <f t="shared" si="5"/>
        <v>3981.6</v>
      </c>
      <c r="D247" s="4">
        <f t="shared" si="4"/>
        <v>294.67782178217806</v>
      </c>
      <c r="E247" s="6"/>
      <c r="F247" s="3"/>
      <c r="G247" s="4"/>
      <c r="H247" s="6"/>
      <c r="L247" s="27">
        <v>3981.6</v>
      </c>
    </row>
    <row r="248" spans="1:12" x14ac:dyDescent="0.2">
      <c r="A248" s="31">
        <v>72</v>
      </c>
      <c r="B248" s="2">
        <v>240</v>
      </c>
      <c r="C248" s="24">
        <f t="shared" si="5"/>
        <v>3326.3999999999996</v>
      </c>
      <c r="D248" s="4">
        <f t="shared" si="4"/>
        <v>246.1865346534652</v>
      </c>
      <c r="E248" s="6"/>
      <c r="F248" s="3"/>
      <c r="G248" s="4"/>
      <c r="H248" s="6"/>
      <c r="L248" s="27">
        <v>3326.4</v>
      </c>
    </row>
    <row r="249" spans="1:12" x14ac:dyDescent="0.2">
      <c r="A249" s="31">
        <v>73</v>
      </c>
      <c r="B249" s="2">
        <v>241</v>
      </c>
      <c r="C249" s="24">
        <f t="shared" si="5"/>
        <v>2142</v>
      </c>
      <c r="D249" s="4">
        <f t="shared" si="4"/>
        <v>158.529207920792</v>
      </c>
      <c r="E249" s="6"/>
      <c r="F249" s="3"/>
      <c r="G249" s="4"/>
      <c r="H249" s="6"/>
      <c r="L249" s="27">
        <v>2142</v>
      </c>
    </row>
    <row r="250" spans="1:12" x14ac:dyDescent="0.2">
      <c r="A250" s="31">
        <v>74</v>
      </c>
      <c r="B250" s="2">
        <v>242</v>
      </c>
      <c r="C250" s="24">
        <f t="shared" si="5"/>
        <v>2016</v>
      </c>
      <c r="D250" s="4">
        <f t="shared" si="4"/>
        <v>149.20396039603952</v>
      </c>
      <c r="E250" s="6"/>
      <c r="F250" s="3"/>
      <c r="G250" s="4"/>
      <c r="H250" s="6"/>
      <c r="L250" s="27">
        <v>2016</v>
      </c>
    </row>
    <row r="251" spans="1:12" x14ac:dyDescent="0.2">
      <c r="A251" s="31">
        <v>75</v>
      </c>
      <c r="B251" s="2">
        <v>243</v>
      </c>
      <c r="C251" s="24">
        <f t="shared" si="5"/>
        <v>2142</v>
      </c>
      <c r="D251" s="4">
        <f t="shared" si="4"/>
        <v>158.529207920792</v>
      </c>
      <c r="E251" s="6"/>
      <c r="F251" s="3"/>
      <c r="G251" s="4"/>
      <c r="H251" s="6"/>
      <c r="L251" s="27">
        <v>2142</v>
      </c>
    </row>
    <row r="252" spans="1:12" x14ac:dyDescent="0.2">
      <c r="A252" s="31">
        <v>76</v>
      </c>
      <c r="B252" s="2">
        <v>244</v>
      </c>
      <c r="C252" s="24">
        <f t="shared" si="5"/>
        <v>2268</v>
      </c>
      <c r="D252" s="4">
        <f t="shared" si="4"/>
        <v>167.85445544554446</v>
      </c>
      <c r="E252" s="6"/>
      <c r="F252" s="3"/>
      <c r="G252" s="4"/>
      <c r="H252" s="6"/>
      <c r="L252" s="27">
        <v>2268</v>
      </c>
    </row>
    <row r="253" spans="1:12" x14ac:dyDescent="0.2">
      <c r="A253" s="31">
        <v>77</v>
      </c>
      <c r="B253" s="2">
        <v>245</v>
      </c>
      <c r="C253" s="24">
        <f t="shared" si="5"/>
        <v>2519.9999999999995</v>
      </c>
      <c r="D253" s="4">
        <f t="shared" si="4"/>
        <v>186.50495049504937</v>
      </c>
      <c r="E253" s="6"/>
      <c r="F253" s="3"/>
      <c r="G253" s="4"/>
      <c r="H253" s="6"/>
      <c r="L253" s="27">
        <v>2520</v>
      </c>
    </row>
    <row r="254" spans="1:12" x14ac:dyDescent="0.2">
      <c r="A254" s="31">
        <v>78</v>
      </c>
      <c r="B254" s="2">
        <v>246</v>
      </c>
      <c r="C254" s="24">
        <f t="shared" si="5"/>
        <v>2687.9999999999995</v>
      </c>
      <c r="D254" s="4">
        <f t="shared" si="4"/>
        <v>198.93861386138599</v>
      </c>
      <c r="E254" s="6"/>
      <c r="F254" s="3"/>
      <c r="G254" s="4"/>
      <c r="H254" s="6"/>
      <c r="L254" s="27">
        <v>2688</v>
      </c>
    </row>
    <row r="255" spans="1:12" x14ac:dyDescent="0.2">
      <c r="A255" s="31">
        <v>79</v>
      </c>
      <c r="B255" s="2">
        <v>247</v>
      </c>
      <c r="C255" s="24">
        <f t="shared" si="5"/>
        <v>2855.9999999999995</v>
      </c>
      <c r="D255" s="4">
        <f t="shared" si="4"/>
        <v>211.37227722772263</v>
      </c>
      <c r="E255" s="6"/>
      <c r="F255" s="3"/>
      <c r="G255" s="4"/>
      <c r="H255" s="6"/>
      <c r="L255" s="27">
        <v>2856</v>
      </c>
    </row>
    <row r="256" spans="1:12" x14ac:dyDescent="0.2">
      <c r="A256" s="31">
        <v>80</v>
      </c>
      <c r="B256" s="2">
        <v>248</v>
      </c>
      <c r="C256" s="24">
        <f t="shared" si="5"/>
        <v>3023.9999999999995</v>
      </c>
      <c r="D256" s="4">
        <f t="shared" si="4"/>
        <v>223.80594059405925</v>
      </c>
      <c r="E256" s="6"/>
      <c r="F256" s="3"/>
      <c r="G256" s="4"/>
      <c r="H256" s="6"/>
      <c r="L256" s="27">
        <v>3024</v>
      </c>
    </row>
    <row r="257" spans="1:12" x14ac:dyDescent="0.2">
      <c r="A257" s="31">
        <v>81</v>
      </c>
      <c r="B257" s="2">
        <v>249</v>
      </c>
      <c r="C257" s="24">
        <f t="shared" si="5"/>
        <v>3191.9999999999991</v>
      </c>
      <c r="D257" s="4">
        <f t="shared" si="4"/>
        <v>236.23960396039584</v>
      </c>
      <c r="E257" s="6"/>
      <c r="F257" s="3"/>
      <c r="G257" s="4"/>
      <c r="H257" s="6"/>
      <c r="L257" s="27">
        <v>3192</v>
      </c>
    </row>
    <row r="258" spans="1:12" x14ac:dyDescent="0.2">
      <c r="A258" s="31">
        <v>82</v>
      </c>
      <c r="B258" s="2">
        <v>250</v>
      </c>
      <c r="C258" s="24">
        <f t="shared" si="5"/>
        <v>3359.9999999999995</v>
      </c>
      <c r="D258" s="4">
        <f t="shared" si="4"/>
        <v>248.67326732673251</v>
      </c>
      <c r="E258" s="6"/>
      <c r="F258" s="3"/>
      <c r="G258" s="4"/>
      <c r="H258" s="6"/>
      <c r="L258" s="27">
        <v>3360</v>
      </c>
    </row>
    <row r="259" spans="1:12" x14ac:dyDescent="0.2">
      <c r="A259" s="31">
        <v>83</v>
      </c>
      <c r="B259" s="2">
        <v>251</v>
      </c>
      <c r="C259" s="24">
        <f t="shared" si="5"/>
        <v>3527.9999999999995</v>
      </c>
      <c r="D259" s="4">
        <f t="shared" si="4"/>
        <v>261.1069306930691</v>
      </c>
      <c r="E259" s="6"/>
      <c r="F259" s="3"/>
      <c r="G259" s="4"/>
      <c r="H259" s="6"/>
      <c r="L259" s="27">
        <v>3528</v>
      </c>
    </row>
    <row r="260" spans="1:12" x14ac:dyDescent="0.2">
      <c r="A260" s="31">
        <v>84</v>
      </c>
      <c r="B260" s="2">
        <v>252</v>
      </c>
      <c r="C260" s="24">
        <f t="shared" si="5"/>
        <v>3695.9999999999995</v>
      </c>
      <c r="D260" s="4">
        <f t="shared" si="4"/>
        <v>273.54059405940575</v>
      </c>
      <c r="E260" s="6"/>
      <c r="F260" s="3"/>
      <c r="G260" s="4"/>
      <c r="H260" s="6"/>
      <c r="L260" s="27">
        <v>3696</v>
      </c>
    </row>
    <row r="261" spans="1:12" x14ac:dyDescent="0.2">
      <c r="A261" s="31">
        <v>85</v>
      </c>
      <c r="B261" s="2">
        <v>253</v>
      </c>
      <c r="C261" s="24">
        <f t="shared" si="5"/>
        <v>3863.9999999999991</v>
      </c>
      <c r="D261" s="4">
        <f t="shared" si="4"/>
        <v>285.97425742574234</v>
      </c>
      <c r="E261" s="6"/>
      <c r="F261" s="3"/>
      <c r="G261" s="4"/>
      <c r="H261" s="6"/>
      <c r="L261" s="27">
        <v>3864</v>
      </c>
    </row>
    <row r="262" spans="1:12" x14ac:dyDescent="0.2">
      <c r="A262" s="31">
        <v>86</v>
      </c>
      <c r="B262" s="2">
        <v>254</v>
      </c>
      <c r="C262" s="24">
        <f t="shared" si="5"/>
        <v>4032</v>
      </c>
      <c r="D262" s="4">
        <f t="shared" si="4"/>
        <v>298.40792079207904</v>
      </c>
      <c r="E262" s="6"/>
      <c r="F262" s="3"/>
      <c r="G262" s="4"/>
      <c r="H262" s="6"/>
      <c r="L262" s="27">
        <v>4032</v>
      </c>
    </row>
    <row r="263" spans="1:12" x14ac:dyDescent="0.2">
      <c r="A263" s="31">
        <v>87</v>
      </c>
      <c r="B263" s="2">
        <v>255</v>
      </c>
      <c r="C263" s="24">
        <f t="shared" si="5"/>
        <v>3905.9999999999995</v>
      </c>
      <c r="D263" s="4">
        <f t="shared" si="4"/>
        <v>289.08267326732653</v>
      </c>
      <c r="E263" s="6"/>
      <c r="F263" s="3"/>
      <c r="G263" s="4"/>
      <c r="H263" s="6"/>
      <c r="L263" s="27">
        <v>3906</v>
      </c>
    </row>
    <row r="264" spans="1:12" x14ac:dyDescent="0.2">
      <c r="A264" s="31">
        <v>88</v>
      </c>
      <c r="B264" s="2">
        <v>256</v>
      </c>
      <c r="C264" s="24">
        <f t="shared" si="5"/>
        <v>4200</v>
      </c>
      <c r="D264" s="4">
        <f t="shared" si="4"/>
        <v>310.84158415841569</v>
      </c>
      <c r="E264" s="6"/>
      <c r="F264" s="3"/>
      <c r="G264" s="4"/>
      <c r="H264" s="6"/>
      <c r="L264" s="27">
        <v>4200</v>
      </c>
    </row>
    <row r="265" spans="1:12" x14ac:dyDescent="0.2">
      <c r="A265" s="31">
        <v>89</v>
      </c>
      <c r="B265" s="2">
        <v>257</v>
      </c>
      <c r="C265" s="24">
        <f t="shared" si="5"/>
        <v>4494</v>
      </c>
      <c r="D265" s="4">
        <f t="shared" si="4"/>
        <v>332.60049504950479</v>
      </c>
      <c r="E265" s="6"/>
      <c r="F265" s="3"/>
      <c r="G265" s="4"/>
      <c r="H265" s="6"/>
      <c r="L265" s="27">
        <v>4494</v>
      </c>
    </row>
    <row r="266" spans="1:12" x14ac:dyDescent="0.2">
      <c r="A266" s="31">
        <v>90</v>
      </c>
      <c r="B266" s="2">
        <v>258</v>
      </c>
      <c r="C266" s="24">
        <f t="shared" si="5"/>
        <v>4787.9999999999991</v>
      </c>
      <c r="D266" s="4">
        <f t="shared" ref="D266:D329" si="6">$G$6*C266*(1/$G$8-1/$G$7)</f>
        <v>354.35940594059377</v>
      </c>
      <c r="E266" s="6"/>
      <c r="F266" s="3"/>
      <c r="G266" s="4"/>
      <c r="H266" s="6"/>
      <c r="L266" s="27">
        <v>4788</v>
      </c>
    </row>
    <row r="267" spans="1:12" x14ac:dyDescent="0.2">
      <c r="A267" s="31">
        <v>91</v>
      </c>
      <c r="B267" s="2">
        <v>259</v>
      </c>
      <c r="C267" s="24">
        <f t="shared" si="5"/>
        <v>4441.5</v>
      </c>
      <c r="D267" s="4">
        <f t="shared" si="6"/>
        <v>328.71497524752459</v>
      </c>
      <c r="E267" s="6"/>
      <c r="F267" s="3"/>
      <c r="G267" s="4"/>
      <c r="H267" s="6"/>
      <c r="L267" s="27">
        <v>4441.5</v>
      </c>
    </row>
    <row r="268" spans="1:12" x14ac:dyDescent="0.2">
      <c r="A268" s="31">
        <v>92</v>
      </c>
      <c r="B268" s="2">
        <v>260</v>
      </c>
      <c r="C268" s="24">
        <f t="shared" si="5"/>
        <v>4094.9999999999995</v>
      </c>
      <c r="D268" s="4">
        <f t="shared" si="6"/>
        <v>303.07054455445524</v>
      </c>
      <c r="E268" s="6"/>
      <c r="F268" s="3"/>
      <c r="G268" s="4"/>
      <c r="H268" s="6"/>
      <c r="L268" s="27">
        <v>4095</v>
      </c>
    </row>
    <row r="269" spans="1:12" x14ac:dyDescent="0.2">
      <c r="A269" s="31">
        <v>93</v>
      </c>
      <c r="B269" s="2">
        <v>261</v>
      </c>
      <c r="C269" s="24">
        <f t="shared" si="5"/>
        <v>3748.5</v>
      </c>
      <c r="D269" s="4">
        <f t="shared" si="6"/>
        <v>277.426113861386</v>
      </c>
      <c r="E269" s="6"/>
      <c r="F269" s="3"/>
      <c r="G269" s="4"/>
      <c r="H269" s="6"/>
      <c r="L269" s="27">
        <v>3748.5</v>
      </c>
    </row>
    <row r="270" spans="1:12" x14ac:dyDescent="0.2">
      <c r="A270" s="31">
        <v>94</v>
      </c>
      <c r="B270" s="2">
        <v>262</v>
      </c>
      <c r="C270" s="24">
        <f t="shared" si="5"/>
        <v>3402</v>
      </c>
      <c r="D270" s="4">
        <f t="shared" si="6"/>
        <v>251.7816831683167</v>
      </c>
      <c r="E270" s="6"/>
      <c r="F270" s="3"/>
      <c r="G270" s="4"/>
      <c r="H270" s="6"/>
      <c r="L270" s="27">
        <v>3402</v>
      </c>
    </row>
    <row r="271" spans="1:12" x14ac:dyDescent="0.2">
      <c r="A271" s="31">
        <v>95</v>
      </c>
      <c r="B271" s="2">
        <v>263</v>
      </c>
      <c r="C271" s="24">
        <f t="shared" si="5"/>
        <v>3055.5000000000005</v>
      </c>
      <c r="D271" s="4">
        <f t="shared" si="6"/>
        <v>226.13725247524744</v>
      </c>
      <c r="E271" s="6"/>
      <c r="F271" s="3"/>
      <c r="G271" s="4"/>
      <c r="H271" s="6"/>
      <c r="L271" s="27">
        <v>3055.5</v>
      </c>
    </row>
    <row r="272" spans="1:12" x14ac:dyDescent="0.2">
      <c r="A272" s="31">
        <v>96</v>
      </c>
      <c r="B272" s="2">
        <v>264</v>
      </c>
      <c r="C272" s="24">
        <f t="shared" si="5"/>
        <v>2519.9999999999995</v>
      </c>
      <c r="D272" s="4">
        <f t="shared" si="6"/>
        <v>186.50495049504937</v>
      </c>
      <c r="E272" s="6"/>
      <c r="F272" s="3"/>
      <c r="G272" s="4"/>
      <c r="H272" s="6"/>
      <c r="L272" s="27">
        <v>2520</v>
      </c>
    </row>
    <row r="273" spans="1:12" x14ac:dyDescent="0.2">
      <c r="A273" s="31">
        <v>97</v>
      </c>
      <c r="B273" s="2">
        <v>265</v>
      </c>
      <c r="C273" s="24">
        <f t="shared" si="5"/>
        <v>2142</v>
      </c>
      <c r="D273" s="4">
        <f t="shared" si="6"/>
        <v>158.529207920792</v>
      </c>
      <c r="E273" s="6"/>
      <c r="F273" s="3"/>
      <c r="G273" s="4"/>
      <c r="H273" s="6"/>
      <c r="L273" s="27">
        <v>2142</v>
      </c>
    </row>
    <row r="274" spans="1:12" x14ac:dyDescent="0.2">
      <c r="A274" s="31">
        <v>98</v>
      </c>
      <c r="B274" s="2">
        <v>266</v>
      </c>
      <c r="C274" s="24">
        <f t="shared" si="5"/>
        <v>2016</v>
      </c>
      <c r="D274" s="4">
        <f t="shared" si="6"/>
        <v>149.20396039603952</v>
      </c>
      <c r="E274" s="6"/>
      <c r="F274" s="3"/>
      <c r="G274" s="4"/>
      <c r="H274" s="6"/>
      <c r="L274" s="27">
        <v>2016</v>
      </c>
    </row>
    <row r="275" spans="1:12" x14ac:dyDescent="0.2">
      <c r="A275" s="31">
        <v>99</v>
      </c>
      <c r="B275" s="2">
        <v>267</v>
      </c>
      <c r="C275" s="24">
        <f t="shared" si="5"/>
        <v>2142</v>
      </c>
      <c r="D275" s="4">
        <f t="shared" si="6"/>
        <v>158.529207920792</v>
      </c>
      <c r="E275" s="6"/>
      <c r="F275" s="3"/>
      <c r="G275" s="4"/>
      <c r="H275" s="6"/>
      <c r="L275" s="27">
        <v>2142</v>
      </c>
    </row>
    <row r="276" spans="1:12" x14ac:dyDescent="0.2">
      <c r="A276" s="31">
        <v>100</v>
      </c>
      <c r="B276" s="2">
        <v>268</v>
      </c>
      <c r="C276" s="24">
        <f t="shared" si="5"/>
        <v>2268</v>
      </c>
      <c r="D276" s="4">
        <f t="shared" si="6"/>
        <v>167.85445544554446</v>
      </c>
      <c r="E276" s="6"/>
      <c r="F276" s="3"/>
      <c r="G276" s="4"/>
      <c r="H276" s="6"/>
      <c r="L276" s="27">
        <v>2268</v>
      </c>
    </row>
    <row r="277" spans="1:12" x14ac:dyDescent="0.2">
      <c r="A277" s="31">
        <v>101</v>
      </c>
      <c r="B277" s="2">
        <v>269</v>
      </c>
      <c r="C277" s="24">
        <f t="shared" si="5"/>
        <v>2497.090909090909</v>
      </c>
      <c r="D277" s="4">
        <f t="shared" si="6"/>
        <v>184.8094509450944</v>
      </c>
      <c r="E277" s="6"/>
      <c r="F277" s="3"/>
      <c r="G277" s="4"/>
      <c r="H277" s="6"/>
      <c r="L277" s="27">
        <v>2497.1</v>
      </c>
    </row>
    <row r="278" spans="1:12" x14ac:dyDescent="0.2">
      <c r="A278" s="31">
        <v>102</v>
      </c>
      <c r="B278" s="2">
        <v>270</v>
      </c>
      <c r="C278" s="24">
        <f t="shared" si="5"/>
        <v>2657.454545454545</v>
      </c>
      <c r="D278" s="4">
        <f t="shared" si="6"/>
        <v>196.67794779477936</v>
      </c>
      <c r="E278" s="6"/>
      <c r="F278" s="3"/>
      <c r="G278" s="4"/>
      <c r="H278" s="6"/>
      <c r="L278" s="27">
        <v>2657.5</v>
      </c>
    </row>
    <row r="279" spans="1:12" x14ac:dyDescent="0.2">
      <c r="A279" s="31">
        <v>103</v>
      </c>
      <c r="B279" s="2">
        <v>271</v>
      </c>
      <c r="C279" s="24">
        <f t="shared" si="5"/>
        <v>2817.818181818182</v>
      </c>
      <c r="D279" s="4">
        <f t="shared" si="6"/>
        <v>208.54644464446434</v>
      </c>
      <c r="E279" s="6"/>
      <c r="F279" s="3"/>
      <c r="G279" s="4"/>
      <c r="H279" s="6"/>
      <c r="L279" s="27">
        <v>2817.8</v>
      </c>
    </row>
    <row r="280" spans="1:12" x14ac:dyDescent="0.2">
      <c r="A280" s="31">
        <v>104</v>
      </c>
      <c r="B280" s="2">
        <v>272</v>
      </c>
      <c r="C280" s="24">
        <f t="shared" si="5"/>
        <v>2978.181818181818</v>
      </c>
      <c r="D280" s="4">
        <f t="shared" si="6"/>
        <v>220.41494149414928</v>
      </c>
      <c r="E280" s="6"/>
      <c r="F280" s="3"/>
      <c r="G280" s="4"/>
      <c r="H280" s="6"/>
      <c r="L280" s="27">
        <v>2978.2</v>
      </c>
    </row>
    <row r="281" spans="1:12" x14ac:dyDescent="0.2">
      <c r="A281" s="31">
        <v>105</v>
      </c>
      <c r="B281" s="2">
        <v>273</v>
      </c>
      <c r="C281" s="24">
        <f t="shared" si="5"/>
        <v>3138.5454545454545</v>
      </c>
      <c r="D281" s="4">
        <f t="shared" si="6"/>
        <v>232.28343834383423</v>
      </c>
      <c r="E281" s="6"/>
      <c r="F281" s="3"/>
      <c r="G281" s="4"/>
      <c r="H281" s="6"/>
      <c r="L281" s="27">
        <v>3138.5</v>
      </c>
    </row>
    <row r="282" spans="1:12" x14ac:dyDescent="0.2">
      <c r="A282" s="31">
        <v>106</v>
      </c>
      <c r="B282" s="2">
        <v>274</v>
      </c>
      <c r="C282" s="24">
        <f t="shared" si="5"/>
        <v>3298.9090909090905</v>
      </c>
      <c r="D282" s="4">
        <f t="shared" si="6"/>
        <v>244.15193519351919</v>
      </c>
      <c r="E282" s="6"/>
      <c r="F282" s="3"/>
      <c r="G282" s="4"/>
      <c r="H282" s="6"/>
      <c r="L282" s="27">
        <v>3298.9</v>
      </c>
    </row>
    <row r="283" spans="1:12" x14ac:dyDescent="0.2">
      <c r="A283" s="31">
        <v>107</v>
      </c>
      <c r="B283" s="2">
        <v>275</v>
      </c>
      <c r="C283" s="24">
        <f t="shared" si="5"/>
        <v>3459.272727272727</v>
      </c>
      <c r="D283" s="4">
        <f t="shared" si="6"/>
        <v>256.02043204320415</v>
      </c>
      <c r="E283" s="6"/>
      <c r="F283" s="3"/>
      <c r="G283" s="4"/>
      <c r="H283" s="6"/>
      <c r="L283" s="27">
        <v>3459.3</v>
      </c>
    </row>
    <row r="284" spans="1:12" x14ac:dyDescent="0.2">
      <c r="A284" s="31">
        <v>108</v>
      </c>
      <c r="B284" s="2">
        <v>276</v>
      </c>
      <c r="C284" s="24">
        <f t="shared" si="5"/>
        <v>3619.636363636364</v>
      </c>
      <c r="D284" s="4">
        <f t="shared" si="6"/>
        <v>267.88892889288917</v>
      </c>
      <c r="E284" s="6"/>
      <c r="F284" s="3"/>
      <c r="G284" s="4"/>
      <c r="H284" s="6"/>
      <c r="L284" s="27">
        <v>3619.6</v>
      </c>
    </row>
    <row r="285" spans="1:12" x14ac:dyDescent="0.2">
      <c r="A285" s="31">
        <v>109</v>
      </c>
      <c r="B285" s="2">
        <v>277</v>
      </c>
      <c r="C285" s="24">
        <f t="shared" si="5"/>
        <v>3780.0000000000005</v>
      </c>
      <c r="D285" s="4">
        <f t="shared" si="6"/>
        <v>279.75742574257413</v>
      </c>
      <c r="E285" s="6"/>
      <c r="F285" s="3"/>
      <c r="G285" s="4"/>
      <c r="H285" s="6"/>
      <c r="L285" s="27">
        <v>3780</v>
      </c>
    </row>
    <row r="286" spans="1:12" x14ac:dyDescent="0.2">
      <c r="A286" s="31">
        <v>110</v>
      </c>
      <c r="B286" s="2">
        <v>278</v>
      </c>
      <c r="C286" s="24">
        <f t="shared" si="5"/>
        <v>3708</v>
      </c>
      <c r="D286" s="4">
        <f t="shared" si="6"/>
        <v>274.42871287128696</v>
      </c>
      <c r="E286" s="6"/>
      <c r="F286" s="3"/>
      <c r="G286" s="4"/>
      <c r="H286" s="6"/>
      <c r="L286" s="27">
        <v>3708</v>
      </c>
    </row>
    <row r="287" spans="1:12" x14ac:dyDescent="0.2">
      <c r="A287" s="31">
        <v>111</v>
      </c>
      <c r="B287" s="2">
        <v>279</v>
      </c>
      <c r="C287" s="24">
        <f t="shared" si="5"/>
        <v>3636.0000000000005</v>
      </c>
      <c r="D287" s="4">
        <f t="shared" si="6"/>
        <v>269.09999999999991</v>
      </c>
      <c r="E287" s="6"/>
      <c r="F287" s="3"/>
      <c r="G287" s="4"/>
      <c r="H287" s="6"/>
      <c r="L287" s="27">
        <v>3636</v>
      </c>
    </row>
    <row r="288" spans="1:12" x14ac:dyDescent="0.2">
      <c r="A288" s="31">
        <v>112</v>
      </c>
      <c r="B288" s="2">
        <v>280</v>
      </c>
      <c r="C288" s="24">
        <f t="shared" si="5"/>
        <v>3564</v>
      </c>
      <c r="D288" s="4">
        <f t="shared" si="6"/>
        <v>263.77128712871274</v>
      </c>
      <c r="E288" s="6"/>
      <c r="F288" s="3"/>
      <c r="G288" s="4"/>
      <c r="H288" s="6"/>
      <c r="L288" s="27">
        <v>3564</v>
      </c>
    </row>
    <row r="289" spans="1:12" x14ac:dyDescent="0.2">
      <c r="A289" s="31">
        <v>113</v>
      </c>
      <c r="B289" s="2">
        <v>281</v>
      </c>
      <c r="C289" s="24">
        <f t="shared" si="5"/>
        <v>3491.9999999999995</v>
      </c>
      <c r="D289" s="4">
        <f t="shared" si="6"/>
        <v>258.44257425742558</v>
      </c>
      <c r="E289" s="6"/>
      <c r="F289" s="3"/>
      <c r="G289" s="4"/>
      <c r="H289" s="6"/>
      <c r="L289" s="27">
        <v>3492</v>
      </c>
    </row>
    <row r="290" spans="1:12" x14ac:dyDescent="0.2">
      <c r="A290" s="31">
        <v>114</v>
      </c>
      <c r="B290" s="2">
        <v>282</v>
      </c>
      <c r="C290" s="24">
        <f t="shared" si="5"/>
        <v>3420</v>
      </c>
      <c r="D290" s="4">
        <f t="shared" si="6"/>
        <v>253.11386138613847</v>
      </c>
      <c r="E290" s="6"/>
      <c r="F290" s="3"/>
      <c r="G290" s="4"/>
      <c r="H290" s="6"/>
      <c r="L290" s="27">
        <v>3420</v>
      </c>
    </row>
    <row r="291" spans="1:12" x14ac:dyDescent="0.2">
      <c r="A291" s="31">
        <v>115</v>
      </c>
      <c r="B291" s="2">
        <v>283</v>
      </c>
      <c r="C291" s="24">
        <f t="shared" si="5"/>
        <v>3348.0000000000005</v>
      </c>
      <c r="D291" s="4">
        <f t="shared" si="6"/>
        <v>247.78514851485139</v>
      </c>
      <c r="E291" s="6"/>
      <c r="F291" s="3"/>
      <c r="G291" s="4"/>
      <c r="H291" s="6"/>
      <c r="L291" s="27">
        <v>3348</v>
      </c>
    </row>
    <row r="292" spans="1:12" x14ac:dyDescent="0.2">
      <c r="A292" s="31">
        <v>116</v>
      </c>
      <c r="B292" s="2">
        <v>284</v>
      </c>
      <c r="C292" s="24">
        <f t="shared" si="5"/>
        <v>3276</v>
      </c>
      <c r="D292" s="4">
        <f t="shared" si="6"/>
        <v>242.45643564356422</v>
      </c>
      <c r="E292" s="6"/>
      <c r="F292" s="3"/>
      <c r="G292" s="4"/>
      <c r="H292" s="6"/>
      <c r="L292" s="27">
        <v>3276</v>
      </c>
    </row>
    <row r="293" spans="1:12" x14ac:dyDescent="0.2">
      <c r="A293" s="31">
        <v>117</v>
      </c>
      <c r="B293" s="2">
        <v>285</v>
      </c>
      <c r="C293" s="24">
        <f t="shared" si="5"/>
        <v>3527.9999999999995</v>
      </c>
      <c r="D293" s="4">
        <f t="shared" si="6"/>
        <v>261.1069306930691</v>
      </c>
      <c r="E293" s="6"/>
      <c r="F293" s="3"/>
      <c r="G293" s="4"/>
      <c r="H293" s="6"/>
      <c r="L293" s="27">
        <v>3528</v>
      </c>
    </row>
    <row r="294" spans="1:12" x14ac:dyDescent="0.2">
      <c r="A294" s="31">
        <v>118</v>
      </c>
      <c r="B294" s="2">
        <v>286</v>
      </c>
      <c r="C294" s="24">
        <f t="shared" si="5"/>
        <v>3149.9999999999995</v>
      </c>
      <c r="D294" s="4">
        <f t="shared" si="6"/>
        <v>233.13118811881171</v>
      </c>
      <c r="E294" s="6"/>
      <c r="F294" s="3"/>
      <c r="G294" s="4"/>
      <c r="H294" s="6"/>
      <c r="L294" s="27">
        <v>3150</v>
      </c>
    </row>
    <row r="295" spans="1:12" x14ac:dyDescent="0.2">
      <c r="A295" s="31">
        <v>119</v>
      </c>
      <c r="B295" s="2">
        <v>287</v>
      </c>
      <c r="C295" s="24">
        <f t="shared" si="5"/>
        <v>2772</v>
      </c>
      <c r="D295" s="4">
        <f t="shared" si="6"/>
        <v>205.15544554455434</v>
      </c>
      <c r="E295" s="6"/>
      <c r="F295" s="3"/>
      <c r="G295" s="4"/>
      <c r="H295" s="6"/>
      <c r="L295" s="27">
        <v>2772</v>
      </c>
    </row>
    <row r="296" spans="1:12" x14ac:dyDescent="0.2">
      <c r="A296" s="31">
        <v>120</v>
      </c>
      <c r="B296" s="2">
        <v>288</v>
      </c>
      <c r="C296" s="24">
        <f t="shared" si="5"/>
        <v>2393.9999999999995</v>
      </c>
      <c r="D296" s="4">
        <f t="shared" si="6"/>
        <v>177.17970297029689</v>
      </c>
      <c r="E296" s="6"/>
      <c r="F296" s="3"/>
      <c r="G296" s="4"/>
      <c r="H296" s="6"/>
      <c r="L296" s="27">
        <v>2394</v>
      </c>
    </row>
    <row r="297" spans="1:12" x14ac:dyDescent="0.2">
      <c r="A297" s="31">
        <v>121</v>
      </c>
      <c r="B297" s="2">
        <v>289</v>
      </c>
      <c r="C297" s="24">
        <f t="shared" si="5"/>
        <v>2016</v>
      </c>
      <c r="D297" s="4">
        <f t="shared" si="6"/>
        <v>149.20396039603952</v>
      </c>
      <c r="E297" s="6"/>
      <c r="F297" s="3"/>
      <c r="G297" s="4"/>
      <c r="H297" s="6"/>
      <c r="L297" s="27">
        <v>2016</v>
      </c>
    </row>
    <row r="298" spans="1:12" x14ac:dyDescent="0.2">
      <c r="A298" s="31">
        <v>122</v>
      </c>
      <c r="B298" s="2">
        <v>290</v>
      </c>
      <c r="C298" s="24">
        <f t="shared" si="5"/>
        <v>2016</v>
      </c>
      <c r="D298" s="4">
        <f t="shared" si="6"/>
        <v>149.20396039603952</v>
      </c>
      <c r="E298" s="6"/>
      <c r="F298" s="3"/>
      <c r="G298" s="4"/>
      <c r="H298" s="6"/>
      <c r="L298" s="27">
        <v>2016</v>
      </c>
    </row>
    <row r="299" spans="1:12" x14ac:dyDescent="0.2">
      <c r="A299" s="31">
        <v>123</v>
      </c>
      <c r="B299" s="2">
        <v>291</v>
      </c>
      <c r="C299" s="24">
        <f t="shared" si="5"/>
        <v>2160</v>
      </c>
      <c r="D299" s="4">
        <f t="shared" si="6"/>
        <v>159.86138613861377</v>
      </c>
      <c r="E299" s="6"/>
      <c r="F299" s="3"/>
      <c r="G299" s="4"/>
      <c r="H299" s="6"/>
      <c r="L299" s="27">
        <v>2160</v>
      </c>
    </row>
    <row r="300" spans="1:12" x14ac:dyDescent="0.2">
      <c r="A300" s="31">
        <v>124</v>
      </c>
      <c r="B300" s="2">
        <v>292</v>
      </c>
      <c r="C300" s="24">
        <f t="shared" si="5"/>
        <v>2304</v>
      </c>
      <c r="D300" s="4">
        <f t="shared" si="6"/>
        <v>170.51881188118801</v>
      </c>
      <c r="E300" s="6"/>
      <c r="F300" s="3"/>
      <c r="G300" s="4"/>
      <c r="H300" s="6"/>
      <c r="L300" s="27">
        <v>2304</v>
      </c>
    </row>
    <row r="301" spans="1:12" x14ac:dyDescent="0.2">
      <c r="A301" s="31">
        <v>125</v>
      </c>
      <c r="B301" s="2">
        <v>293</v>
      </c>
      <c r="C301" s="24">
        <f t="shared" si="5"/>
        <v>2448</v>
      </c>
      <c r="D301" s="4">
        <f t="shared" si="6"/>
        <v>181.17623762376226</v>
      </c>
      <c r="E301" s="6"/>
      <c r="F301" s="3"/>
      <c r="G301" s="4"/>
      <c r="H301" s="6"/>
      <c r="L301" s="27">
        <v>2448</v>
      </c>
    </row>
    <row r="302" spans="1:12" x14ac:dyDescent="0.2">
      <c r="A302" s="31">
        <v>126</v>
      </c>
      <c r="B302" s="2">
        <v>294</v>
      </c>
      <c r="C302" s="24">
        <f t="shared" si="5"/>
        <v>2592</v>
      </c>
      <c r="D302" s="4">
        <f t="shared" si="6"/>
        <v>191.83366336633654</v>
      </c>
      <c r="E302" s="6"/>
      <c r="F302" s="3"/>
      <c r="G302" s="4"/>
      <c r="H302" s="6"/>
      <c r="L302" s="27">
        <v>2592</v>
      </c>
    </row>
    <row r="303" spans="1:12" x14ac:dyDescent="0.2">
      <c r="A303" s="31">
        <v>127</v>
      </c>
      <c r="B303" s="2">
        <v>295</v>
      </c>
      <c r="C303" s="24">
        <f t="shared" si="5"/>
        <v>2736</v>
      </c>
      <c r="D303" s="4">
        <f t="shared" si="6"/>
        <v>202.49108910891078</v>
      </c>
      <c r="E303" s="6"/>
      <c r="F303" s="3"/>
      <c r="G303" s="4"/>
      <c r="H303" s="6"/>
      <c r="L303" s="27">
        <v>2736</v>
      </c>
    </row>
    <row r="304" spans="1:12" x14ac:dyDescent="0.2">
      <c r="A304" s="31">
        <v>128</v>
      </c>
      <c r="B304" s="2">
        <v>296</v>
      </c>
      <c r="C304" s="24">
        <f t="shared" si="5"/>
        <v>2880.0000000000005</v>
      </c>
      <c r="D304" s="4">
        <f t="shared" si="6"/>
        <v>213.14851485148506</v>
      </c>
      <c r="E304" s="6"/>
      <c r="F304" s="3"/>
      <c r="G304" s="4"/>
      <c r="H304" s="6"/>
      <c r="L304" s="27">
        <v>2880</v>
      </c>
    </row>
    <row r="305" spans="1:12" x14ac:dyDescent="0.2">
      <c r="A305" s="31">
        <v>129</v>
      </c>
      <c r="B305" s="2">
        <v>297</v>
      </c>
      <c r="C305" s="24">
        <f t="shared" si="5"/>
        <v>3024</v>
      </c>
      <c r="D305" s="4">
        <f t="shared" si="6"/>
        <v>223.80594059405928</v>
      </c>
      <c r="E305" s="6"/>
      <c r="F305" s="3"/>
      <c r="G305" s="4"/>
      <c r="H305" s="6"/>
      <c r="L305" s="27">
        <v>3024</v>
      </c>
    </row>
    <row r="306" spans="1:12" x14ac:dyDescent="0.2">
      <c r="A306" s="31">
        <v>130</v>
      </c>
      <c r="B306" s="2">
        <v>298</v>
      </c>
      <c r="C306" s="24">
        <f t="shared" ref="C306:C344" si="7">C138</f>
        <v>3168</v>
      </c>
      <c r="D306" s="4">
        <f t="shared" si="6"/>
        <v>234.46336633663353</v>
      </c>
      <c r="E306" s="6"/>
      <c r="F306" s="3"/>
      <c r="G306" s="4"/>
      <c r="H306" s="6"/>
      <c r="L306" s="27">
        <v>3168</v>
      </c>
    </row>
    <row r="307" spans="1:12" x14ac:dyDescent="0.2">
      <c r="A307" s="31">
        <v>131</v>
      </c>
      <c r="B307" s="2">
        <v>299</v>
      </c>
      <c r="C307" s="24">
        <f t="shared" si="7"/>
        <v>3312.0000000000005</v>
      </c>
      <c r="D307" s="4">
        <f t="shared" si="6"/>
        <v>245.1207920792078</v>
      </c>
      <c r="E307" s="6"/>
      <c r="F307" s="3"/>
      <c r="G307" s="4"/>
      <c r="H307" s="6"/>
      <c r="L307" s="27">
        <v>3312</v>
      </c>
    </row>
    <row r="308" spans="1:12" x14ac:dyDescent="0.2">
      <c r="A308" s="31">
        <v>132</v>
      </c>
      <c r="B308" s="2">
        <v>300</v>
      </c>
      <c r="C308" s="24">
        <f t="shared" si="7"/>
        <v>3456.0000000000005</v>
      </c>
      <c r="D308" s="4">
        <f t="shared" si="6"/>
        <v>255.77821782178208</v>
      </c>
      <c r="E308" s="6"/>
      <c r="F308" s="3"/>
      <c r="G308" s="4"/>
      <c r="H308" s="6"/>
      <c r="L308" s="27">
        <v>3456</v>
      </c>
    </row>
    <row r="309" spans="1:12" x14ac:dyDescent="0.2">
      <c r="A309" s="31">
        <v>133</v>
      </c>
      <c r="B309" s="2">
        <v>301</v>
      </c>
      <c r="C309" s="24">
        <f t="shared" si="7"/>
        <v>3527.9999999999995</v>
      </c>
      <c r="D309" s="4">
        <f t="shared" si="6"/>
        <v>261.1069306930691</v>
      </c>
      <c r="E309" s="6"/>
      <c r="F309" s="3"/>
      <c r="G309" s="4"/>
      <c r="H309" s="6"/>
      <c r="L309" s="27">
        <v>3528</v>
      </c>
    </row>
    <row r="310" spans="1:12" x14ac:dyDescent="0.2">
      <c r="A310" s="31">
        <v>134</v>
      </c>
      <c r="B310" s="2">
        <v>302</v>
      </c>
      <c r="C310" s="24">
        <f t="shared" si="7"/>
        <v>3527.9999999999995</v>
      </c>
      <c r="D310" s="4">
        <f t="shared" si="6"/>
        <v>261.1069306930691</v>
      </c>
      <c r="E310" s="6"/>
      <c r="F310" s="3"/>
      <c r="G310" s="4"/>
      <c r="H310" s="6"/>
      <c r="L310" s="27">
        <v>3528</v>
      </c>
    </row>
    <row r="311" spans="1:12" x14ac:dyDescent="0.2">
      <c r="A311" s="31">
        <v>135</v>
      </c>
      <c r="B311" s="2">
        <v>303</v>
      </c>
      <c r="C311" s="24">
        <f t="shared" si="7"/>
        <v>3888.0000000000005</v>
      </c>
      <c r="D311" s="4">
        <f t="shared" si="6"/>
        <v>287.75049504950488</v>
      </c>
      <c r="E311" s="6"/>
      <c r="F311" s="3"/>
      <c r="G311" s="4"/>
      <c r="H311" s="6"/>
      <c r="L311" s="27">
        <v>3888</v>
      </c>
    </row>
    <row r="312" spans="1:12" x14ac:dyDescent="0.2">
      <c r="A312" s="31">
        <v>136</v>
      </c>
      <c r="B312" s="2">
        <v>304</v>
      </c>
      <c r="C312" s="24">
        <f t="shared" si="7"/>
        <v>4032</v>
      </c>
      <c r="D312" s="4">
        <f t="shared" si="6"/>
        <v>298.40792079207904</v>
      </c>
      <c r="E312" s="6"/>
      <c r="F312" s="3"/>
      <c r="G312" s="4"/>
      <c r="H312" s="6"/>
      <c r="L312" s="27">
        <v>4032</v>
      </c>
    </row>
    <row r="313" spans="1:12" x14ac:dyDescent="0.2">
      <c r="A313" s="31">
        <v>137</v>
      </c>
      <c r="B313" s="2">
        <v>305</v>
      </c>
      <c r="C313" s="24">
        <f t="shared" si="7"/>
        <v>3830.4</v>
      </c>
      <c r="D313" s="4">
        <f t="shared" si="6"/>
        <v>283.48752475247511</v>
      </c>
      <c r="E313" s="6"/>
      <c r="F313" s="3"/>
      <c r="G313" s="4"/>
      <c r="H313" s="6"/>
      <c r="L313" s="27">
        <v>3830.4</v>
      </c>
    </row>
    <row r="314" spans="1:12" x14ac:dyDescent="0.2">
      <c r="A314" s="31">
        <v>138</v>
      </c>
      <c r="B314" s="2">
        <v>306</v>
      </c>
      <c r="C314" s="24">
        <f t="shared" si="7"/>
        <v>3628.8</v>
      </c>
      <c r="D314" s="4">
        <f t="shared" si="6"/>
        <v>268.56712871287112</v>
      </c>
      <c r="E314" s="6"/>
      <c r="F314" s="3"/>
      <c r="G314" s="4"/>
      <c r="H314" s="6"/>
      <c r="L314" s="27">
        <v>3628.8</v>
      </c>
    </row>
    <row r="315" spans="1:12" x14ac:dyDescent="0.2">
      <c r="A315" s="31">
        <v>139</v>
      </c>
      <c r="B315" s="2">
        <v>307</v>
      </c>
      <c r="C315" s="24">
        <f t="shared" si="7"/>
        <v>3527.9999999999995</v>
      </c>
      <c r="D315" s="4">
        <f t="shared" si="6"/>
        <v>261.1069306930691</v>
      </c>
      <c r="E315" s="6"/>
      <c r="F315" s="3"/>
      <c r="G315" s="4"/>
      <c r="H315" s="6"/>
      <c r="L315" s="27">
        <v>3528</v>
      </c>
    </row>
    <row r="316" spans="1:12" x14ac:dyDescent="0.2">
      <c r="A316" s="31">
        <v>140</v>
      </c>
      <c r="B316" s="2">
        <v>308</v>
      </c>
      <c r="C316" s="24">
        <f t="shared" si="7"/>
        <v>3225.599999999999</v>
      </c>
      <c r="D316" s="4">
        <f t="shared" si="6"/>
        <v>238.72633663366315</v>
      </c>
      <c r="E316" s="6"/>
      <c r="F316" s="3"/>
      <c r="G316" s="4"/>
      <c r="H316" s="6"/>
      <c r="L316" s="27">
        <v>3225.6</v>
      </c>
    </row>
    <row r="317" spans="1:12" x14ac:dyDescent="0.2">
      <c r="A317" s="31">
        <v>141</v>
      </c>
      <c r="B317" s="2">
        <v>309</v>
      </c>
      <c r="C317" s="24">
        <f t="shared" si="7"/>
        <v>3023.9999999999991</v>
      </c>
      <c r="D317" s="4">
        <f t="shared" si="6"/>
        <v>223.80594059405922</v>
      </c>
      <c r="E317" s="6"/>
      <c r="F317" s="3"/>
      <c r="G317" s="4"/>
      <c r="H317" s="6"/>
      <c r="L317" s="27">
        <v>3024</v>
      </c>
    </row>
    <row r="318" spans="1:12" x14ac:dyDescent="0.2">
      <c r="A318" s="31">
        <v>142</v>
      </c>
      <c r="B318" s="2">
        <v>310</v>
      </c>
      <c r="C318" s="24">
        <f t="shared" si="7"/>
        <v>2822.3999999999996</v>
      </c>
      <c r="D318" s="4">
        <f t="shared" si="6"/>
        <v>208.88554455445532</v>
      </c>
      <c r="E318" s="6"/>
      <c r="F318" s="3"/>
      <c r="G318" s="4"/>
      <c r="H318" s="6"/>
      <c r="L318" s="27">
        <v>2822.4</v>
      </c>
    </row>
    <row r="319" spans="1:12" x14ac:dyDescent="0.2">
      <c r="A319" s="31">
        <v>143</v>
      </c>
      <c r="B319" s="2">
        <v>311</v>
      </c>
      <c r="C319" s="24">
        <f t="shared" si="7"/>
        <v>2268</v>
      </c>
      <c r="D319" s="4">
        <f t="shared" si="6"/>
        <v>167.85445544554446</v>
      </c>
      <c r="E319" s="6"/>
      <c r="F319" s="3"/>
      <c r="G319" s="4"/>
      <c r="H319" s="6"/>
      <c r="L319" s="27">
        <v>2268</v>
      </c>
    </row>
    <row r="320" spans="1:12" x14ac:dyDescent="0.2">
      <c r="A320" s="31">
        <v>144</v>
      </c>
      <c r="B320" s="2">
        <v>312</v>
      </c>
      <c r="C320" s="24">
        <f t="shared" si="7"/>
        <v>2142</v>
      </c>
      <c r="D320" s="4">
        <f t="shared" si="6"/>
        <v>158.529207920792</v>
      </c>
      <c r="E320" s="6"/>
      <c r="F320" s="3"/>
      <c r="G320" s="4"/>
      <c r="H320" s="6"/>
      <c r="L320" s="27">
        <v>2142</v>
      </c>
    </row>
    <row r="321" spans="1:12" x14ac:dyDescent="0.2">
      <c r="A321" s="31">
        <v>145</v>
      </c>
      <c r="B321" s="2">
        <v>313</v>
      </c>
      <c r="C321" s="24">
        <f t="shared" si="7"/>
        <v>2016</v>
      </c>
      <c r="D321" s="4">
        <f t="shared" si="6"/>
        <v>149.20396039603952</v>
      </c>
      <c r="E321" s="6"/>
      <c r="F321" s="3"/>
      <c r="G321" s="4"/>
      <c r="H321" s="6"/>
      <c r="L321" s="27">
        <v>2016</v>
      </c>
    </row>
    <row r="322" spans="1:12" x14ac:dyDescent="0.2">
      <c r="A322" s="31">
        <v>146</v>
      </c>
      <c r="B322" s="2">
        <v>314</v>
      </c>
      <c r="C322" s="24">
        <f t="shared" si="7"/>
        <v>2016</v>
      </c>
      <c r="D322" s="4">
        <f t="shared" si="6"/>
        <v>149.20396039603952</v>
      </c>
      <c r="E322" s="6"/>
      <c r="F322" s="3"/>
      <c r="G322" s="4"/>
      <c r="H322" s="6"/>
      <c r="L322" s="27">
        <v>2016</v>
      </c>
    </row>
    <row r="323" spans="1:12" x14ac:dyDescent="0.2">
      <c r="A323" s="31">
        <v>147</v>
      </c>
      <c r="B323" s="2">
        <v>315</v>
      </c>
      <c r="C323" s="24">
        <f t="shared" si="7"/>
        <v>2142.0000000000005</v>
      </c>
      <c r="D323" s="4">
        <f t="shared" si="6"/>
        <v>158.52920792079203</v>
      </c>
      <c r="E323" s="6"/>
      <c r="F323" s="3"/>
      <c r="G323" s="4"/>
      <c r="H323" s="6"/>
      <c r="L323" s="27">
        <v>2142</v>
      </c>
    </row>
    <row r="324" spans="1:12" x14ac:dyDescent="0.2">
      <c r="A324" s="31">
        <v>148</v>
      </c>
      <c r="B324" s="2">
        <v>316</v>
      </c>
      <c r="C324" s="24">
        <f t="shared" si="7"/>
        <v>2268</v>
      </c>
      <c r="D324" s="4">
        <f t="shared" si="6"/>
        <v>167.85445544554446</v>
      </c>
      <c r="E324" s="6"/>
      <c r="F324" s="3"/>
      <c r="G324" s="4"/>
      <c r="H324" s="6"/>
      <c r="L324" s="27">
        <v>2268</v>
      </c>
    </row>
    <row r="325" spans="1:12" x14ac:dyDescent="0.2">
      <c r="A325" s="31">
        <v>149</v>
      </c>
      <c r="B325" s="2">
        <v>317</v>
      </c>
      <c r="C325" s="24">
        <f t="shared" si="7"/>
        <v>2393.9999999999995</v>
      </c>
      <c r="D325" s="4">
        <f t="shared" si="6"/>
        <v>177.17970297029689</v>
      </c>
      <c r="E325" s="6"/>
      <c r="F325" s="3"/>
      <c r="G325" s="4"/>
      <c r="H325" s="6"/>
      <c r="L325" s="27">
        <v>2394</v>
      </c>
    </row>
    <row r="326" spans="1:12" x14ac:dyDescent="0.2">
      <c r="A326" s="31">
        <v>150</v>
      </c>
      <c r="B326" s="2">
        <v>318</v>
      </c>
      <c r="C326" s="24">
        <f t="shared" si="7"/>
        <v>2519.9999999999995</v>
      </c>
      <c r="D326" s="4">
        <f t="shared" si="6"/>
        <v>186.50495049504937</v>
      </c>
      <c r="E326" s="6"/>
      <c r="F326" s="3"/>
      <c r="G326" s="4"/>
      <c r="H326" s="6"/>
      <c r="L326" s="27">
        <v>2520</v>
      </c>
    </row>
    <row r="327" spans="1:12" x14ac:dyDescent="0.2">
      <c r="A327" s="31">
        <v>151</v>
      </c>
      <c r="B327" s="2">
        <v>319</v>
      </c>
      <c r="C327" s="24">
        <f t="shared" si="7"/>
        <v>2646</v>
      </c>
      <c r="D327" s="4">
        <f t="shared" si="6"/>
        <v>195.83019801980188</v>
      </c>
      <c r="E327" s="6"/>
      <c r="F327" s="3"/>
      <c r="G327" s="4"/>
      <c r="H327" s="6"/>
      <c r="L327" s="27">
        <v>2646</v>
      </c>
    </row>
    <row r="328" spans="1:12" x14ac:dyDescent="0.2">
      <c r="A328" s="31">
        <v>152</v>
      </c>
      <c r="B328" s="2">
        <v>320</v>
      </c>
      <c r="C328" s="24">
        <f t="shared" si="7"/>
        <v>2772</v>
      </c>
      <c r="D328" s="4">
        <f t="shared" si="6"/>
        <v>205.15544554455434</v>
      </c>
      <c r="E328" s="6"/>
      <c r="F328" s="3"/>
      <c r="G328" s="4"/>
      <c r="H328" s="6"/>
      <c r="L328" s="27">
        <v>2772</v>
      </c>
    </row>
    <row r="329" spans="1:12" x14ac:dyDescent="0.2">
      <c r="A329" s="31">
        <v>153</v>
      </c>
      <c r="B329" s="2">
        <v>321</v>
      </c>
      <c r="C329" s="24">
        <f t="shared" si="7"/>
        <v>2898</v>
      </c>
      <c r="D329" s="4">
        <f t="shared" si="6"/>
        <v>214.48069306930682</v>
      </c>
      <c r="E329" s="6"/>
      <c r="F329" s="3"/>
      <c r="G329" s="4"/>
      <c r="H329" s="6"/>
      <c r="L329" s="27">
        <v>2898</v>
      </c>
    </row>
    <row r="330" spans="1:12" x14ac:dyDescent="0.2">
      <c r="A330" s="31">
        <v>154</v>
      </c>
      <c r="B330" s="2">
        <v>322</v>
      </c>
      <c r="C330" s="24">
        <f t="shared" si="7"/>
        <v>3024</v>
      </c>
      <c r="D330" s="4">
        <f t="shared" ref="D330:D393" si="8">$G$6*C330*(1/$G$8-1/$G$7)</f>
        <v>223.80594059405928</v>
      </c>
      <c r="E330" s="6"/>
      <c r="F330" s="3"/>
      <c r="G330" s="4"/>
      <c r="H330" s="6"/>
      <c r="L330" s="27">
        <v>3024</v>
      </c>
    </row>
    <row r="331" spans="1:12" x14ac:dyDescent="0.2">
      <c r="A331" s="31">
        <v>155</v>
      </c>
      <c r="B331" s="2">
        <v>323</v>
      </c>
      <c r="C331" s="24">
        <f t="shared" si="7"/>
        <v>3150.0000000000005</v>
      </c>
      <c r="D331" s="4">
        <f t="shared" si="8"/>
        <v>233.13118811881179</v>
      </c>
      <c r="E331" s="6"/>
      <c r="F331" s="3"/>
      <c r="G331" s="4"/>
      <c r="H331" s="6"/>
      <c r="L331" s="27">
        <v>3150</v>
      </c>
    </row>
    <row r="332" spans="1:12" x14ac:dyDescent="0.2">
      <c r="A332" s="31">
        <v>156</v>
      </c>
      <c r="B332" s="2">
        <v>324</v>
      </c>
      <c r="C332" s="24">
        <f t="shared" si="7"/>
        <v>3276.0000000000009</v>
      </c>
      <c r="D332" s="4">
        <f t="shared" si="8"/>
        <v>242.45643564356428</v>
      </c>
      <c r="E332" s="6"/>
      <c r="F332" s="3"/>
      <c r="G332" s="4"/>
      <c r="H332" s="6"/>
      <c r="L332" s="27">
        <v>3276</v>
      </c>
    </row>
    <row r="333" spans="1:12" x14ac:dyDescent="0.2">
      <c r="A333" s="31">
        <v>157</v>
      </c>
      <c r="B333" s="2">
        <v>325</v>
      </c>
      <c r="C333" s="24">
        <f t="shared" si="7"/>
        <v>3402.0000000000005</v>
      </c>
      <c r="D333" s="4">
        <f t="shared" si="8"/>
        <v>251.78168316831673</v>
      </c>
      <c r="E333" s="6"/>
      <c r="F333" s="3"/>
      <c r="G333" s="4"/>
      <c r="H333" s="6"/>
      <c r="L333" s="27">
        <v>3402</v>
      </c>
    </row>
    <row r="334" spans="1:12" x14ac:dyDescent="0.2">
      <c r="A334" s="31">
        <v>158</v>
      </c>
      <c r="B334" s="2">
        <v>326</v>
      </c>
      <c r="C334" s="24">
        <f t="shared" si="7"/>
        <v>3528.0000000000009</v>
      </c>
      <c r="D334" s="4">
        <f t="shared" si="8"/>
        <v>261.10693069306922</v>
      </c>
      <c r="E334" s="6"/>
      <c r="F334" s="3"/>
      <c r="G334" s="4"/>
      <c r="H334" s="6"/>
      <c r="L334" s="27">
        <v>3528</v>
      </c>
    </row>
    <row r="335" spans="1:12" x14ac:dyDescent="0.2">
      <c r="A335" s="31">
        <v>159</v>
      </c>
      <c r="B335" s="2">
        <v>327</v>
      </c>
      <c r="C335" s="24">
        <f t="shared" si="7"/>
        <v>3402</v>
      </c>
      <c r="D335" s="4">
        <f t="shared" si="8"/>
        <v>251.7816831683167</v>
      </c>
      <c r="E335" s="6"/>
      <c r="F335" s="3"/>
      <c r="G335" s="4"/>
      <c r="H335" s="6"/>
      <c r="L335" s="27">
        <v>3402</v>
      </c>
    </row>
    <row r="336" spans="1:12" x14ac:dyDescent="0.2">
      <c r="A336" s="31">
        <v>160</v>
      </c>
      <c r="B336" s="2">
        <v>328</v>
      </c>
      <c r="C336" s="24">
        <f t="shared" si="7"/>
        <v>3527.9999999999995</v>
      </c>
      <c r="D336" s="4">
        <f t="shared" si="8"/>
        <v>261.1069306930691</v>
      </c>
      <c r="E336" s="6"/>
      <c r="F336" s="3"/>
      <c r="G336" s="4"/>
      <c r="H336" s="6"/>
      <c r="L336" s="27">
        <v>3528</v>
      </c>
    </row>
    <row r="337" spans="1:12" x14ac:dyDescent="0.2">
      <c r="A337" s="31">
        <v>161</v>
      </c>
      <c r="B337" s="2">
        <v>329</v>
      </c>
      <c r="C337" s="24">
        <f t="shared" si="7"/>
        <v>4032</v>
      </c>
      <c r="D337" s="4">
        <f t="shared" si="8"/>
        <v>298.40792079207904</v>
      </c>
      <c r="E337" s="6"/>
      <c r="F337" s="3"/>
      <c r="G337" s="4"/>
      <c r="H337" s="6"/>
      <c r="L337" s="27">
        <v>4032</v>
      </c>
    </row>
    <row r="338" spans="1:12" x14ac:dyDescent="0.2">
      <c r="A338" s="31">
        <v>162</v>
      </c>
      <c r="B338" s="2">
        <v>330</v>
      </c>
      <c r="C338" s="24">
        <f t="shared" si="7"/>
        <v>3905.9999999999995</v>
      </c>
      <c r="D338" s="4">
        <f t="shared" si="8"/>
        <v>289.08267326732653</v>
      </c>
      <c r="E338" s="6"/>
      <c r="F338" s="3"/>
      <c r="G338" s="4"/>
      <c r="H338" s="6"/>
      <c r="L338" s="27">
        <v>3906</v>
      </c>
    </row>
    <row r="339" spans="1:12" x14ac:dyDescent="0.2">
      <c r="A339" s="31">
        <v>163</v>
      </c>
      <c r="B339" s="2">
        <v>331</v>
      </c>
      <c r="C339" s="24">
        <f t="shared" si="7"/>
        <v>4157.9999999999991</v>
      </c>
      <c r="D339" s="4">
        <f t="shared" si="8"/>
        <v>307.73316831683144</v>
      </c>
      <c r="E339" s="6"/>
      <c r="F339" s="3"/>
      <c r="G339" s="4"/>
      <c r="H339" s="6"/>
      <c r="L339" s="27">
        <v>4158</v>
      </c>
    </row>
    <row r="340" spans="1:12" x14ac:dyDescent="0.2">
      <c r="A340" s="31">
        <v>164</v>
      </c>
      <c r="B340" s="2">
        <v>332</v>
      </c>
      <c r="C340" s="24">
        <f t="shared" si="7"/>
        <v>3880.7999999999997</v>
      </c>
      <c r="D340" s="4">
        <f t="shared" si="8"/>
        <v>287.21762376237604</v>
      </c>
      <c r="E340" s="6"/>
      <c r="F340" s="3"/>
      <c r="G340" s="4"/>
      <c r="H340" s="6"/>
      <c r="L340" s="27">
        <v>3880.8</v>
      </c>
    </row>
    <row r="341" spans="1:12" x14ac:dyDescent="0.2">
      <c r="A341" s="31">
        <v>165</v>
      </c>
      <c r="B341" s="2">
        <v>333</v>
      </c>
      <c r="C341" s="24">
        <f t="shared" si="7"/>
        <v>3603.6000000000004</v>
      </c>
      <c r="D341" s="4">
        <f t="shared" si="8"/>
        <v>266.70207920792063</v>
      </c>
      <c r="E341" s="6"/>
      <c r="F341" s="3"/>
      <c r="G341" s="4"/>
      <c r="H341" s="6"/>
      <c r="L341" s="27">
        <v>3603.6</v>
      </c>
    </row>
    <row r="342" spans="1:12" x14ac:dyDescent="0.2">
      <c r="A342" s="31">
        <v>166</v>
      </c>
      <c r="B342" s="2">
        <v>334</v>
      </c>
      <c r="C342" s="24">
        <f t="shared" si="7"/>
        <v>3326.3999999999996</v>
      </c>
      <c r="D342" s="4">
        <f t="shared" si="8"/>
        <v>246.1865346534652</v>
      </c>
      <c r="E342" s="6"/>
      <c r="F342" s="3"/>
      <c r="G342" s="4"/>
      <c r="H342" s="6"/>
      <c r="L342" s="27">
        <v>3326.4</v>
      </c>
    </row>
    <row r="343" spans="1:12" x14ac:dyDescent="0.2">
      <c r="A343" s="31">
        <v>167</v>
      </c>
      <c r="B343" s="2">
        <v>335</v>
      </c>
      <c r="C343" s="24">
        <f t="shared" si="7"/>
        <v>3049.2</v>
      </c>
      <c r="D343" s="4">
        <f t="shared" si="8"/>
        <v>225.67099009900977</v>
      </c>
      <c r="E343" s="6"/>
      <c r="F343" s="3"/>
      <c r="G343" s="4"/>
      <c r="H343" s="6"/>
      <c r="L343" s="27">
        <v>3049.2</v>
      </c>
    </row>
    <row r="344" spans="1:12" x14ac:dyDescent="0.2">
      <c r="A344" s="31">
        <v>168</v>
      </c>
      <c r="B344" s="2">
        <v>336</v>
      </c>
      <c r="C344" s="24">
        <f t="shared" si="7"/>
        <v>2772</v>
      </c>
      <c r="D344" s="4">
        <f t="shared" si="8"/>
        <v>205.15544554455434</v>
      </c>
      <c r="E344" s="6"/>
      <c r="F344" s="3"/>
      <c r="G344" s="4"/>
      <c r="H344" s="6"/>
      <c r="L344" s="27">
        <v>2772</v>
      </c>
    </row>
    <row r="345" spans="1:12" x14ac:dyDescent="0.2">
      <c r="A345" s="31">
        <v>1</v>
      </c>
      <c r="B345" s="2">
        <v>337</v>
      </c>
      <c r="C345" s="24">
        <f>C9</f>
        <v>2142</v>
      </c>
      <c r="D345" s="4">
        <f t="shared" si="8"/>
        <v>158.529207920792</v>
      </c>
      <c r="E345" s="6"/>
      <c r="F345" s="3"/>
      <c r="G345" s="4"/>
      <c r="H345" s="6"/>
      <c r="L345" s="27">
        <v>2142</v>
      </c>
    </row>
    <row r="346" spans="1:12" x14ac:dyDescent="0.2">
      <c r="A346" s="31">
        <v>2</v>
      </c>
      <c r="B346" s="2">
        <v>338</v>
      </c>
      <c r="C346" s="24">
        <f t="shared" ref="C346:C409" si="9">C10</f>
        <v>2016</v>
      </c>
      <c r="D346" s="4">
        <f t="shared" si="8"/>
        <v>149.20396039603952</v>
      </c>
      <c r="E346" s="6"/>
      <c r="F346" s="3"/>
      <c r="G346" s="4"/>
      <c r="H346" s="6"/>
      <c r="L346" s="27">
        <v>2016</v>
      </c>
    </row>
    <row r="347" spans="1:12" x14ac:dyDescent="0.2">
      <c r="A347" s="31">
        <v>3</v>
      </c>
      <c r="B347" s="2">
        <v>339</v>
      </c>
      <c r="C347" s="24">
        <f t="shared" si="9"/>
        <v>2142</v>
      </c>
      <c r="D347" s="4">
        <f t="shared" si="8"/>
        <v>158.529207920792</v>
      </c>
      <c r="E347" s="6"/>
      <c r="F347" s="3"/>
      <c r="G347" s="4"/>
      <c r="H347" s="6"/>
      <c r="L347" s="27">
        <v>2142</v>
      </c>
    </row>
    <row r="348" spans="1:12" x14ac:dyDescent="0.2">
      <c r="A348" s="31">
        <v>4</v>
      </c>
      <c r="B348" s="2">
        <v>340</v>
      </c>
      <c r="C348" s="24">
        <f t="shared" si="9"/>
        <v>2268</v>
      </c>
      <c r="D348" s="4">
        <f t="shared" si="8"/>
        <v>167.85445544554446</v>
      </c>
      <c r="E348" s="6"/>
      <c r="F348" s="3"/>
      <c r="G348" s="4"/>
      <c r="H348" s="6"/>
      <c r="L348" s="27">
        <v>2268</v>
      </c>
    </row>
    <row r="349" spans="1:12" x14ac:dyDescent="0.2">
      <c r="A349" s="31">
        <v>5</v>
      </c>
      <c r="B349" s="2">
        <v>341</v>
      </c>
      <c r="C349" s="24">
        <f t="shared" si="9"/>
        <v>2582.9999999999995</v>
      </c>
      <c r="D349" s="4">
        <f t="shared" si="8"/>
        <v>191.1675742574256</v>
      </c>
      <c r="E349" s="6"/>
      <c r="F349" s="3"/>
      <c r="G349" s="4"/>
      <c r="H349" s="6"/>
      <c r="L349" s="27">
        <v>2583</v>
      </c>
    </row>
    <row r="350" spans="1:12" x14ac:dyDescent="0.2">
      <c r="A350" s="31">
        <v>6</v>
      </c>
      <c r="B350" s="2">
        <v>342</v>
      </c>
      <c r="C350" s="24">
        <f t="shared" si="9"/>
        <v>2771.9999999999995</v>
      </c>
      <c r="D350" s="4">
        <f t="shared" si="8"/>
        <v>205.15544554455431</v>
      </c>
      <c r="E350" s="6"/>
      <c r="F350" s="3"/>
      <c r="G350" s="4"/>
      <c r="H350" s="6"/>
      <c r="L350" s="27">
        <v>2772</v>
      </c>
    </row>
    <row r="351" spans="1:12" x14ac:dyDescent="0.2">
      <c r="A351" s="31">
        <v>7</v>
      </c>
      <c r="B351" s="2">
        <v>343</v>
      </c>
      <c r="C351" s="24">
        <f t="shared" si="9"/>
        <v>2960.9999999999995</v>
      </c>
      <c r="D351" s="4">
        <f t="shared" si="8"/>
        <v>219.14331683168302</v>
      </c>
      <c r="E351" s="6"/>
      <c r="F351" s="3"/>
      <c r="G351" s="4"/>
      <c r="H351" s="6"/>
      <c r="L351" s="27">
        <v>2961</v>
      </c>
    </row>
    <row r="352" spans="1:12" x14ac:dyDescent="0.2">
      <c r="A352" s="31">
        <v>8</v>
      </c>
      <c r="B352" s="2">
        <v>344</v>
      </c>
      <c r="C352" s="24">
        <f t="shared" si="9"/>
        <v>3149.9999999999991</v>
      </c>
      <c r="D352" s="4">
        <f t="shared" si="8"/>
        <v>233.13118811881168</v>
      </c>
      <c r="E352" s="6"/>
      <c r="F352" s="3"/>
      <c r="G352" s="4"/>
      <c r="H352" s="6"/>
      <c r="L352" s="27">
        <v>3150</v>
      </c>
    </row>
    <row r="353" spans="1:12" x14ac:dyDescent="0.2">
      <c r="A353" s="31">
        <v>9</v>
      </c>
      <c r="B353" s="2">
        <v>345</v>
      </c>
      <c r="C353" s="24">
        <f t="shared" si="9"/>
        <v>3338.9999999999991</v>
      </c>
      <c r="D353" s="4">
        <f t="shared" si="8"/>
        <v>247.11905940594039</v>
      </c>
      <c r="E353" s="6"/>
      <c r="F353" s="3"/>
      <c r="G353" s="4"/>
      <c r="H353" s="6"/>
      <c r="L353" s="27">
        <v>3339</v>
      </c>
    </row>
    <row r="354" spans="1:12" x14ac:dyDescent="0.2">
      <c r="A354" s="31">
        <v>10</v>
      </c>
      <c r="B354" s="2">
        <v>346</v>
      </c>
      <c r="C354" s="24">
        <f t="shared" si="9"/>
        <v>3527.9999999999986</v>
      </c>
      <c r="D354" s="4">
        <f t="shared" si="8"/>
        <v>261.10693069306905</v>
      </c>
      <c r="E354" s="6"/>
      <c r="F354" s="3"/>
      <c r="G354" s="4"/>
      <c r="H354" s="6"/>
      <c r="L354" s="27">
        <v>3528</v>
      </c>
    </row>
    <row r="355" spans="1:12" x14ac:dyDescent="0.2">
      <c r="A355" s="31">
        <v>11</v>
      </c>
      <c r="B355" s="2">
        <v>347</v>
      </c>
      <c r="C355" s="24">
        <f t="shared" si="9"/>
        <v>3716.9999999999986</v>
      </c>
      <c r="D355" s="4">
        <f t="shared" si="8"/>
        <v>275.09480198019776</v>
      </c>
      <c r="E355" s="6"/>
      <c r="F355" s="3"/>
      <c r="G355" s="4"/>
      <c r="H355" s="6"/>
      <c r="L355" s="27">
        <v>3717</v>
      </c>
    </row>
    <row r="356" spans="1:12" x14ac:dyDescent="0.2">
      <c r="A356" s="31">
        <v>12</v>
      </c>
      <c r="B356" s="2">
        <v>348</v>
      </c>
      <c r="C356" s="24">
        <f t="shared" si="9"/>
        <v>3905.9999999999986</v>
      </c>
      <c r="D356" s="4">
        <f t="shared" si="8"/>
        <v>289.08267326732647</v>
      </c>
      <c r="E356" s="6"/>
      <c r="F356" s="3"/>
      <c r="G356" s="4"/>
      <c r="H356" s="6"/>
      <c r="L356" s="27">
        <v>3906</v>
      </c>
    </row>
    <row r="357" spans="1:12" x14ac:dyDescent="0.2">
      <c r="A357" s="31">
        <v>13</v>
      </c>
      <c r="B357" s="2">
        <v>349</v>
      </c>
      <c r="C357" s="24">
        <f t="shared" si="9"/>
        <v>4094.9999999999995</v>
      </c>
      <c r="D357" s="4">
        <f t="shared" si="8"/>
        <v>303.07054455445524</v>
      </c>
      <c r="E357" s="6"/>
      <c r="F357" s="3"/>
      <c r="G357" s="4"/>
      <c r="H357" s="6"/>
      <c r="L357" s="27">
        <v>4095</v>
      </c>
    </row>
    <row r="358" spans="1:12" x14ac:dyDescent="0.2">
      <c r="A358" s="31">
        <v>14</v>
      </c>
      <c r="B358" s="2">
        <v>350</v>
      </c>
      <c r="C358" s="24">
        <f t="shared" si="9"/>
        <v>4284</v>
      </c>
      <c r="D358" s="4">
        <f t="shared" si="8"/>
        <v>317.05841584158401</v>
      </c>
      <c r="E358" s="6"/>
      <c r="F358" s="3"/>
      <c r="G358" s="4"/>
      <c r="H358" s="6"/>
      <c r="L358" s="27">
        <v>4284</v>
      </c>
    </row>
    <row r="359" spans="1:12" x14ac:dyDescent="0.2">
      <c r="A359" s="31">
        <v>15</v>
      </c>
      <c r="B359" s="2">
        <v>351</v>
      </c>
      <c r="C359" s="24">
        <f t="shared" si="9"/>
        <v>4157.9999999999991</v>
      </c>
      <c r="D359" s="4">
        <f t="shared" si="8"/>
        <v>307.73316831683144</v>
      </c>
      <c r="E359" s="6"/>
      <c r="F359" s="3"/>
      <c r="G359" s="4"/>
      <c r="H359" s="6"/>
      <c r="L359" s="27">
        <v>4158</v>
      </c>
    </row>
    <row r="360" spans="1:12" x14ac:dyDescent="0.2">
      <c r="A360" s="31">
        <v>16</v>
      </c>
      <c r="B360" s="2">
        <v>352</v>
      </c>
      <c r="C360" s="24">
        <f t="shared" si="9"/>
        <v>4326</v>
      </c>
      <c r="D360" s="4">
        <f t="shared" si="8"/>
        <v>320.16683168316814</v>
      </c>
      <c r="E360" s="6"/>
      <c r="F360" s="3"/>
      <c r="G360" s="4"/>
      <c r="H360" s="6"/>
      <c r="L360" s="27">
        <v>4326</v>
      </c>
    </row>
    <row r="361" spans="1:12" x14ac:dyDescent="0.2">
      <c r="A361" s="31">
        <v>17</v>
      </c>
      <c r="B361" s="2">
        <v>353</v>
      </c>
      <c r="C361" s="24">
        <f t="shared" si="9"/>
        <v>4914</v>
      </c>
      <c r="D361" s="4">
        <f t="shared" si="8"/>
        <v>363.68465346534634</v>
      </c>
      <c r="E361" s="6"/>
      <c r="F361" s="3"/>
      <c r="G361" s="4"/>
      <c r="H361" s="6"/>
      <c r="L361" s="27">
        <v>4914</v>
      </c>
    </row>
    <row r="362" spans="1:12" x14ac:dyDescent="0.2">
      <c r="A362" s="31">
        <v>18</v>
      </c>
      <c r="B362" s="2">
        <v>354</v>
      </c>
      <c r="C362" s="24">
        <f t="shared" si="9"/>
        <v>4787.9999999999991</v>
      </c>
      <c r="D362" s="4">
        <f t="shared" si="8"/>
        <v>354.35940594059377</v>
      </c>
      <c r="E362" s="6"/>
      <c r="F362" s="3"/>
      <c r="G362" s="4"/>
      <c r="H362" s="6"/>
      <c r="L362" s="27">
        <v>4788</v>
      </c>
    </row>
    <row r="363" spans="1:12" x14ac:dyDescent="0.2">
      <c r="A363" s="31">
        <v>19</v>
      </c>
      <c r="B363" s="2">
        <v>355</v>
      </c>
      <c r="C363" s="24">
        <f t="shared" si="9"/>
        <v>5039.9999999999991</v>
      </c>
      <c r="D363" s="4">
        <f t="shared" si="8"/>
        <v>373.00990099009874</v>
      </c>
      <c r="E363" s="6"/>
      <c r="F363" s="3"/>
      <c r="G363" s="4"/>
      <c r="H363" s="6"/>
      <c r="L363" s="27">
        <v>5040</v>
      </c>
    </row>
    <row r="364" spans="1:12" x14ac:dyDescent="0.2">
      <c r="A364" s="31">
        <v>20</v>
      </c>
      <c r="B364" s="2">
        <v>356</v>
      </c>
      <c r="C364" s="24">
        <f t="shared" si="9"/>
        <v>4787.9999999999991</v>
      </c>
      <c r="D364" s="4">
        <f t="shared" si="8"/>
        <v>354.35940594059377</v>
      </c>
      <c r="E364" s="6"/>
      <c r="F364" s="3"/>
      <c r="G364" s="4"/>
      <c r="H364" s="6"/>
      <c r="L364" s="27">
        <v>4788</v>
      </c>
    </row>
    <row r="365" spans="1:12" x14ac:dyDescent="0.2">
      <c r="A365" s="31">
        <v>21</v>
      </c>
      <c r="B365" s="2">
        <v>357</v>
      </c>
      <c r="C365" s="24">
        <f t="shared" si="9"/>
        <v>5165.9999999999991</v>
      </c>
      <c r="D365" s="4">
        <f t="shared" si="8"/>
        <v>382.3351485148512</v>
      </c>
      <c r="E365" s="6"/>
      <c r="F365" s="3"/>
      <c r="G365" s="4"/>
      <c r="H365" s="6"/>
      <c r="L365" s="27">
        <v>5166</v>
      </c>
    </row>
    <row r="366" spans="1:12" x14ac:dyDescent="0.2">
      <c r="A366" s="31">
        <v>22</v>
      </c>
      <c r="B366" s="2">
        <v>358</v>
      </c>
      <c r="C366" s="24">
        <f t="shared" si="9"/>
        <v>4536</v>
      </c>
      <c r="D366" s="4">
        <f t="shared" si="8"/>
        <v>335.70891089108892</v>
      </c>
      <c r="E366" s="6"/>
      <c r="F366" s="3"/>
      <c r="G366" s="4"/>
      <c r="H366" s="6"/>
      <c r="L366" s="27">
        <v>4536</v>
      </c>
    </row>
    <row r="367" spans="1:12" x14ac:dyDescent="0.2">
      <c r="A367" s="31">
        <v>23</v>
      </c>
      <c r="B367" s="2">
        <v>359</v>
      </c>
      <c r="C367" s="24">
        <f t="shared" si="9"/>
        <v>3905.9999999999986</v>
      </c>
      <c r="D367" s="4">
        <f t="shared" si="8"/>
        <v>289.08267326732647</v>
      </c>
      <c r="E367" s="6"/>
      <c r="F367" s="3"/>
      <c r="G367" s="4"/>
      <c r="H367" s="6"/>
      <c r="L367" s="27">
        <v>3906</v>
      </c>
    </row>
    <row r="368" spans="1:12" x14ac:dyDescent="0.2">
      <c r="A368" s="31">
        <v>24</v>
      </c>
      <c r="B368" s="2">
        <v>360</v>
      </c>
      <c r="C368" s="24">
        <f t="shared" si="9"/>
        <v>3275.9999999999991</v>
      </c>
      <c r="D368" s="4">
        <f t="shared" si="8"/>
        <v>242.45643564356416</v>
      </c>
      <c r="E368" s="6"/>
      <c r="F368" s="3"/>
      <c r="G368" s="4"/>
      <c r="H368" s="6"/>
      <c r="L368" s="27">
        <v>3276</v>
      </c>
    </row>
    <row r="369" spans="1:12" x14ac:dyDescent="0.2">
      <c r="A369" s="31">
        <v>25</v>
      </c>
      <c r="B369" s="2">
        <v>361</v>
      </c>
      <c r="C369" s="24">
        <f t="shared" si="9"/>
        <v>2142</v>
      </c>
      <c r="D369" s="4">
        <f t="shared" si="8"/>
        <v>158.529207920792</v>
      </c>
      <c r="E369" s="6"/>
      <c r="F369" s="3"/>
      <c r="G369" s="4"/>
      <c r="H369" s="6"/>
      <c r="L369" s="27">
        <v>2142</v>
      </c>
    </row>
    <row r="370" spans="1:12" x14ac:dyDescent="0.2">
      <c r="A370" s="31">
        <v>26</v>
      </c>
      <c r="B370" s="2">
        <v>362</v>
      </c>
      <c r="C370" s="24">
        <f t="shared" si="9"/>
        <v>2016</v>
      </c>
      <c r="D370" s="4">
        <f t="shared" si="8"/>
        <v>149.20396039603952</v>
      </c>
      <c r="E370" s="6"/>
      <c r="F370" s="3"/>
      <c r="G370" s="4"/>
      <c r="H370" s="6"/>
      <c r="L370" s="27">
        <v>2016</v>
      </c>
    </row>
    <row r="371" spans="1:12" x14ac:dyDescent="0.2">
      <c r="A371" s="31">
        <v>27</v>
      </c>
      <c r="B371" s="2">
        <v>363</v>
      </c>
      <c r="C371" s="24">
        <f t="shared" si="9"/>
        <v>2167.1999999999998</v>
      </c>
      <c r="D371" s="4">
        <f t="shared" si="8"/>
        <v>160.39425742574247</v>
      </c>
      <c r="E371" s="6"/>
      <c r="F371" s="3"/>
      <c r="G371" s="4"/>
      <c r="H371" s="6"/>
      <c r="L371" s="27">
        <v>2167.1999999999998</v>
      </c>
    </row>
    <row r="372" spans="1:12" x14ac:dyDescent="0.2">
      <c r="A372" s="31">
        <v>28</v>
      </c>
      <c r="B372" s="2">
        <v>364</v>
      </c>
      <c r="C372" s="24">
        <f t="shared" si="9"/>
        <v>2268</v>
      </c>
      <c r="D372" s="4">
        <f t="shared" si="8"/>
        <v>167.85445544554446</v>
      </c>
      <c r="E372" s="6"/>
      <c r="F372" s="3"/>
      <c r="G372" s="4"/>
      <c r="H372" s="6"/>
      <c r="L372" s="27">
        <v>2268</v>
      </c>
    </row>
    <row r="373" spans="1:12" x14ac:dyDescent="0.2">
      <c r="A373" s="31">
        <v>29</v>
      </c>
      <c r="B373" s="2">
        <v>365</v>
      </c>
      <c r="C373" s="24">
        <f t="shared" si="9"/>
        <v>2502</v>
      </c>
      <c r="D373" s="4">
        <f t="shared" si="8"/>
        <v>185.17277227722761</v>
      </c>
      <c r="E373" s="6"/>
      <c r="F373" s="3"/>
      <c r="G373" s="4"/>
      <c r="H373" s="6"/>
      <c r="L373" s="27">
        <v>2502</v>
      </c>
    </row>
    <row r="374" spans="1:12" x14ac:dyDescent="0.2">
      <c r="A374" s="31">
        <v>30</v>
      </c>
      <c r="B374" s="2">
        <v>366</v>
      </c>
      <c r="C374" s="24">
        <f t="shared" si="9"/>
        <v>2664</v>
      </c>
      <c r="D374" s="4">
        <f t="shared" si="8"/>
        <v>197.16237623762365</v>
      </c>
      <c r="E374" s="6"/>
      <c r="F374" s="3"/>
      <c r="G374" s="4"/>
      <c r="H374" s="6"/>
      <c r="L374" s="27">
        <v>2664</v>
      </c>
    </row>
    <row r="375" spans="1:12" x14ac:dyDescent="0.2">
      <c r="A375" s="31">
        <v>31</v>
      </c>
      <c r="B375" s="2">
        <v>367</v>
      </c>
      <c r="C375" s="24">
        <f t="shared" si="9"/>
        <v>2825.9999999999995</v>
      </c>
      <c r="D375" s="4">
        <f t="shared" si="8"/>
        <v>209.15198019801966</v>
      </c>
      <c r="E375" s="6"/>
      <c r="F375" s="3"/>
      <c r="G375" s="4"/>
      <c r="H375" s="6"/>
      <c r="L375" s="27">
        <v>2826</v>
      </c>
    </row>
    <row r="376" spans="1:12" x14ac:dyDescent="0.2">
      <c r="A376" s="31">
        <v>32</v>
      </c>
      <c r="B376" s="2">
        <v>368</v>
      </c>
      <c r="C376" s="24">
        <f t="shared" si="9"/>
        <v>2988</v>
      </c>
      <c r="D376" s="4">
        <f t="shared" si="8"/>
        <v>221.14158415841572</v>
      </c>
      <c r="E376" s="6"/>
      <c r="F376" s="3"/>
      <c r="G376" s="4"/>
      <c r="H376" s="6"/>
      <c r="L376" s="27">
        <v>2988</v>
      </c>
    </row>
    <row r="377" spans="1:12" x14ac:dyDescent="0.2">
      <c r="A377" s="31">
        <v>33</v>
      </c>
      <c r="B377" s="2">
        <v>369</v>
      </c>
      <c r="C377" s="24">
        <f t="shared" si="9"/>
        <v>3149.9999999999995</v>
      </c>
      <c r="D377" s="4">
        <f t="shared" si="8"/>
        <v>233.13118811881171</v>
      </c>
      <c r="E377" s="6"/>
      <c r="F377" s="3"/>
      <c r="G377" s="4"/>
      <c r="H377" s="6"/>
      <c r="L377" s="27">
        <v>3150</v>
      </c>
    </row>
    <row r="378" spans="1:12" x14ac:dyDescent="0.2">
      <c r="A378" s="31">
        <v>34</v>
      </c>
      <c r="B378" s="2">
        <v>370</v>
      </c>
      <c r="C378" s="24">
        <f t="shared" si="9"/>
        <v>3312</v>
      </c>
      <c r="D378" s="4">
        <f t="shared" si="8"/>
        <v>245.12079207920777</v>
      </c>
      <c r="E378" s="6"/>
      <c r="F378" s="3"/>
      <c r="G378" s="4"/>
      <c r="H378" s="6"/>
      <c r="L378" s="27">
        <v>3312</v>
      </c>
    </row>
    <row r="379" spans="1:12" x14ac:dyDescent="0.2">
      <c r="A379" s="31">
        <v>35</v>
      </c>
      <c r="B379" s="2">
        <v>371</v>
      </c>
      <c r="C379" s="24">
        <f t="shared" si="9"/>
        <v>3473.9999999999995</v>
      </c>
      <c r="D379" s="4">
        <f t="shared" si="8"/>
        <v>257.11039603960381</v>
      </c>
      <c r="E379" s="6"/>
      <c r="F379" s="3"/>
      <c r="G379" s="4"/>
      <c r="H379" s="6"/>
      <c r="L379" s="27">
        <v>3474</v>
      </c>
    </row>
    <row r="380" spans="1:12" x14ac:dyDescent="0.2">
      <c r="A380" s="31">
        <v>36</v>
      </c>
      <c r="B380" s="2">
        <v>372</v>
      </c>
      <c r="C380" s="24">
        <f t="shared" si="9"/>
        <v>3635.9999999999995</v>
      </c>
      <c r="D380" s="4">
        <f t="shared" si="8"/>
        <v>269.0999999999998</v>
      </c>
      <c r="E380" s="6"/>
      <c r="F380" s="3"/>
      <c r="G380" s="4"/>
      <c r="H380" s="6"/>
      <c r="L380" s="27">
        <v>3636</v>
      </c>
    </row>
    <row r="381" spans="1:12" x14ac:dyDescent="0.2">
      <c r="A381" s="31">
        <v>37</v>
      </c>
      <c r="B381" s="2">
        <v>373</v>
      </c>
      <c r="C381" s="24">
        <f t="shared" si="9"/>
        <v>3797.9999999999991</v>
      </c>
      <c r="D381" s="4">
        <f t="shared" si="8"/>
        <v>281.08960396039583</v>
      </c>
      <c r="E381" s="6"/>
      <c r="F381" s="3"/>
      <c r="G381" s="4"/>
      <c r="H381" s="6"/>
      <c r="L381" s="27">
        <v>3798</v>
      </c>
    </row>
    <row r="382" spans="1:12" x14ac:dyDescent="0.2">
      <c r="A382" s="31">
        <v>38</v>
      </c>
      <c r="B382" s="2">
        <v>374</v>
      </c>
      <c r="C382" s="24">
        <f t="shared" si="9"/>
        <v>3959.9999999999995</v>
      </c>
      <c r="D382" s="4">
        <f t="shared" si="8"/>
        <v>293.07920792079187</v>
      </c>
      <c r="E382" s="6"/>
      <c r="F382" s="3"/>
      <c r="G382" s="4"/>
      <c r="H382" s="6"/>
      <c r="L382" s="27">
        <v>3960</v>
      </c>
    </row>
    <row r="383" spans="1:12" x14ac:dyDescent="0.2">
      <c r="A383" s="31">
        <v>39</v>
      </c>
      <c r="B383" s="2">
        <v>375</v>
      </c>
      <c r="C383" s="24">
        <f t="shared" si="9"/>
        <v>4122</v>
      </c>
      <c r="D383" s="4">
        <f t="shared" si="8"/>
        <v>305.06881188118797</v>
      </c>
      <c r="E383" s="6"/>
      <c r="F383" s="3"/>
      <c r="G383" s="4"/>
      <c r="H383" s="6"/>
      <c r="L383" s="27">
        <v>4122</v>
      </c>
    </row>
    <row r="384" spans="1:12" x14ac:dyDescent="0.2">
      <c r="A384" s="31">
        <v>40</v>
      </c>
      <c r="B384" s="2">
        <v>376</v>
      </c>
      <c r="C384" s="24">
        <f t="shared" si="9"/>
        <v>4284</v>
      </c>
      <c r="D384" s="4">
        <f t="shared" si="8"/>
        <v>317.05841584158401</v>
      </c>
      <c r="E384" s="6"/>
      <c r="F384" s="3"/>
      <c r="G384" s="4"/>
      <c r="H384" s="6"/>
      <c r="L384" s="27">
        <v>4284</v>
      </c>
    </row>
    <row r="385" spans="1:12" x14ac:dyDescent="0.2">
      <c r="A385" s="31">
        <v>41</v>
      </c>
      <c r="B385" s="2">
        <v>377</v>
      </c>
      <c r="C385" s="24">
        <f t="shared" si="9"/>
        <v>4157.9999999999991</v>
      </c>
      <c r="D385" s="4">
        <f t="shared" si="8"/>
        <v>307.73316831683144</v>
      </c>
      <c r="E385" s="6"/>
      <c r="F385" s="3"/>
      <c r="G385" s="4"/>
      <c r="H385" s="6"/>
      <c r="L385" s="27">
        <v>4158</v>
      </c>
    </row>
    <row r="386" spans="1:12" x14ac:dyDescent="0.2">
      <c r="A386" s="31">
        <v>42</v>
      </c>
      <c r="B386" s="2">
        <v>378</v>
      </c>
      <c r="C386" s="24">
        <f t="shared" si="9"/>
        <v>4410</v>
      </c>
      <c r="D386" s="4">
        <f t="shared" si="8"/>
        <v>326.38366336633646</v>
      </c>
      <c r="E386" s="6"/>
      <c r="F386" s="3"/>
      <c r="G386" s="4"/>
      <c r="H386" s="6"/>
      <c r="L386" s="27">
        <v>4410</v>
      </c>
    </row>
    <row r="387" spans="1:12" x14ac:dyDescent="0.2">
      <c r="A387" s="31">
        <v>43</v>
      </c>
      <c r="B387" s="2">
        <v>379</v>
      </c>
      <c r="C387" s="24">
        <f t="shared" si="9"/>
        <v>4662</v>
      </c>
      <c r="D387" s="4">
        <f t="shared" si="8"/>
        <v>345.03415841584138</v>
      </c>
      <c r="E387" s="6"/>
      <c r="F387" s="3"/>
      <c r="G387" s="4"/>
      <c r="H387" s="6"/>
      <c r="L387" s="27">
        <v>4662</v>
      </c>
    </row>
    <row r="388" spans="1:12" x14ac:dyDescent="0.2">
      <c r="A388" s="31">
        <v>44</v>
      </c>
      <c r="B388" s="2">
        <v>380</v>
      </c>
      <c r="C388" s="24">
        <f t="shared" si="9"/>
        <v>4787.9999999999991</v>
      </c>
      <c r="D388" s="4">
        <f t="shared" si="8"/>
        <v>354.35940594059377</v>
      </c>
      <c r="E388" s="6"/>
      <c r="F388" s="3"/>
      <c r="G388" s="4"/>
      <c r="H388" s="6"/>
      <c r="L388" s="27">
        <v>4788</v>
      </c>
    </row>
    <row r="389" spans="1:12" x14ac:dyDescent="0.2">
      <c r="A389" s="31">
        <v>45</v>
      </c>
      <c r="B389" s="2">
        <v>381</v>
      </c>
      <c r="C389" s="24">
        <f t="shared" si="9"/>
        <v>5165.9999999999991</v>
      </c>
      <c r="D389" s="4">
        <f t="shared" si="8"/>
        <v>382.3351485148512</v>
      </c>
      <c r="E389" s="6"/>
      <c r="F389" s="3"/>
      <c r="G389" s="4"/>
      <c r="H389" s="6"/>
      <c r="L389" s="27">
        <v>5166</v>
      </c>
    </row>
    <row r="390" spans="1:12" x14ac:dyDescent="0.2">
      <c r="A390" s="31">
        <v>46</v>
      </c>
      <c r="B390" s="2">
        <v>382</v>
      </c>
      <c r="C390" s="24">
        <f t="shared" si="9"/>
        <v>4536</v>
      </c>
      <c r="D390" s="4">
        <f t="shared" si="8"/>
        <v>335.70891089108892</v>
      </c>
      <c r="E390" s="6"/>
      <c r="F390" s="3"/>
      <c r="G390" s="4"/>
      <c r="H390" s="6"/>
      <c r="L390" s="27">
        <v>4536</v>
      </c>
    </row>
    <row r="391" spans="1:12" x14ac:dyDescent="0.2">
      <c r="A391" s="31">
        <v>47</v>
      </c>
      <c r="B391" s="2">
        <v>383</v>
      </c>
      <c r="C391" s="24">
        <f t="shared" si="9"/>
        <v>3905.9999999999986</v>
      </c>
      <c r="D391" s="4">
        <f t="shared" si="8"/>
        <v>289.08267326732647</v>
      </c>
      <c r="E391" s="6"/>
      <c r="F391" s="3"/>
      <c r="G391" s="4"/>
      <c r="H391" s="6"/>
      <c r="L391" s="27">
        <v>3906</v>
      </c>
    </row>
    <row r="392" spans="1:12" x14ac:dyDescent="0.2">
      <c r="A392" s="31">
        <v>48</v>
      </c>
      <c r="B392" s="2">
        <v>384</v>
      </c>
      <c r="C392" s="24">
        <f t="shared" si="9"/>
        <v>3275.9999999999991</v>
      </c>
      <c r="D392" s="4">
        <f t="shared" si="8"/>
        <v>242.45643564356416</v>
      </c>
      <c r="E392" s="6"/>
      <c r="F392" s="3"/>
      <c r="G392" s="4"/>
      <c r="H392" s="6"/>
      <c r="L392" s="27">
        <v>3276</v>
      </c>
    </row>
    <row r="393" spans="1:12" x14ac:dyDescent="0.2">
      <c r="A393" s="31">
        <v>49</v>
      </c>
      <c r="B393" s="2">
        <v>385</v>
      </c>
      <c r="C393" s="24">
        <f t="shared" si="9"/>
        <v>2142</v>
      </c>
      <c r="D393" s="4">
        <f t="shared" si="8"/>
        <v>158.529207920792</v>
      </c>
      <c r="E393" s="6"/>
      <c r="F393" s="3"/>
      <c r="G393" s="4"/>
      <c r="H393" s="6"/>
      <c r="L393" s="27">
        <v>2142</v>
      </c>
    </row>
    <row r="394" spans="1:12" x14ac:dyDescent="0.2">
      <c r="A394" s="31">
        <v>50</v>
      </c>
      <c r="B394" s="2">
        <v>386</v>
      </c>
      <c r="C394" s="24">
        <f t="shared" si="9"/>
        <v>2016</v>
      </c>
      <c r="D394" s="4">
        <f t="shared" ref="D394:D457" si="10">$G$6*C394*(1/$G$8-1/$G$7)</f>
        <v>149.20396039603952</v>
      </c>
      <c r="E394" s="6"/>
      <c r="F394" s="3"/>
      <c r="G394" s="4"/>
      <c r="H394" s="6"/>
      <c r="L394" s="27">
        <v>2016</v>
      </c>
    </row>
    <row r="395" spans="1:12" x14ac:dyDescent="0.2">
      <c r="A395" s="31">
        <v>51</v>
      </c>
      <c r="B395" s="2">
        <v>387</v>
      </c>
      <c r="C395" s="24">
        <f t="shared" si="9"/>
        <v>2142</v>
      </c>
      <c r="D395" s="4">
        <f t="shared" si="10"/>
        <v>158.529207920792</v>
      </c>
      <c r="E395" s="6"/>
      <c r="F395" s="3"/>
      <c r="G395" s="4"/>
      <c r="H395" s="6"/>
      <c r="L395" s="27">
        <v>2142</v>
      </c>
    </row>
    <row r="396" spans="1:12" x14ac:dyDescent="0.2">
      <c r="A396" s="31">
        <v>52</v>
      </c>
      <c r="B396" s="2">
        <v>388</v>
      </c>
      <c r="C396" s="24">
        <f t="shared" si="9"/>
        <v>2268</v>
      </c>
      <c r="D396" s="4">
        <f t="shared" si="10"/>
        <v>167.85445544554446</v>
      </c>
      <c r="E396" s="6"/>
      <c r="F396" s="3"/>
      <c r="G396" s="4"/>
      <c r="H396" s="6"/>
      <c r="L396" s="27">
        <v>2268</v>
      </c>
    </row>
    <row r="397" spans="1:12" x14ac:dyDescent="0.2">
      <c r="A397" s="31">
        <v>53</v>
      </c>
      <c r="B397" s="2">
        <v>389</v>
      </c>
      <c r="C397" s="24">
        <f t="shared" si="9"/>
        <v>2539.3846153846148</v>
      </c>
      <c r="D397" s="4">
        <f t="shared" si="10"/>
        <v>187.93960396039591</v>
      </c>
      <c r="E397" s="6"/>
      <c r="F397" s="3"/>
      <c r="G397" s="4"/>
      <c r="H397" s="6"/>
      <c r="L397" s="27">
        <v>2539.4</v>
      </c>
    </row>
    <row r="398" spans="1:12" x14ac:dyDescent="0.2">
      <c r="A398" s="31">
        <v>54</v>
      </c>
      <c r="B398" s="2">
        <v>390</v>
      </c>
      <c r="C398" s="24">
        <f t="shared" si="9"/>
        <v>2713.8461538461538</v>
      </c>
      <c r="D398" s="4">
        <f t="shared" si="10"/>
        <v>200.85148514851474</v>
      </c>
      <c r="E398" s="6"/>
      <c r="F398" s="3"/>
      <c r="G398" s="4"/>
      <c r="H398" s="6"/>
      <c r="L398" s="27">
        <v>2713.8</v>
      </c>
    </row>
    <row r="399" spans="1:12" x14ac:dyDescent="0.2">
      <c r="A399" s="31">
        <v>55</v>
      </c>
      <c r="B399" s="2">
        <v>391</v>
      </c>
      <c r="C399" s="24">
        <f t="shared" si="9"/>
        <v>2888.3076923076919</v>
      </c>
      <c r="D399" s="4">
        <f t="shared" si="10"/>
        <v>213.76336633663351</v>
      </c>
      <c r="E399" s="6"/>
      <c r="F399" s="3"/>
      <c r="G399" s="4"/>
      <c r="H399" s="6"/>
      <c r="L399" s="27">
        <v>2888.3</v>
      </c>
    </row>
    <row r="400" spans="1:12" x14ac:dyDescent="0.2">
      <c r="A400" s="31">
        <v>56</v>
      </c>
      <c r="B400" s="2">
        <v>392</v>
      </c>
      <c r="C400" s="24">
        <f t="shared" si="9"/>
        <v>3062.7692307692296</v>
      </c>
      <c r="D400" s="4">
        <f t="shared" si="10"/>
        <v>226.67524752475225</v>
      </c>
      <c r="E400" s="6"/>
      <c r="F400" s="3"/>
      <c r="G400" s="4"/>
      <c r="H400" s="6"/>
      <c r="L400" s="27">
        <v>3062.8</v>
      </c>
    </row>
    <row r="401" spans="1:12" x14ac:dyDescent="0.2">
      <c r="A401" s="31">
        <v>57</v>
      </c>
      <c r="B401" s="2">
        <v>393</v>
      </c>
      <c r="C401" s="24">
        <f t="shared" si="9"/>
        <v>3237.2307692307686</v>
      </c>
      <c r="D401" s="4">
        <f t="shared" si="10"/>
        <v>239.58712871287113</v>
      </c>
      <c r="E401" s="6"/>
      <c r="F401" s="3"/>
      <c r="G401" s="4"/>
      <c r="H401" s="6"/>
      <c r="L401" s="27">
        <v>3237.2</v>
      </c>
    </row>
    <row r="402" spans="1:12" x14ac:dyDescent="0.2">
      <c r="A402" s="31">
        <v>58</v>
      </c>
      <c r="B402" s="2">
        <v>394</v>
      </c>
      <c r="C402" s="24">
        <f t="shared" si="9"/>
        <v>3411.6923076923072</v>
      </c>
      <c r="D402" s="4">
        <f t="shared" si="10"/>
        <v>252.49900990098993</v>
      </c>
      <c r="E402" s="6"/>
      <c r="F402" s="3"/>
      <c r="G402" s="4"/>
      <c r="H402" s="6"/>
      <c r="L402" s="27">
        <v>3411.7</v>
      </c>
    </row>
    <row r="403" spans="1:12" x14ac:dyDescent="0.2">
      <c r="A403" s="31">
        <v>59</v>
      </c>
      <c r="B403" s="2">
        <v>395</v>
      </c>
      <c r="C403" s="24">
        <f t="shared" si="9"/>
        <v>3586.1538461538457</v>
      </c>
      <c r="D403" s="4">
        <f t="shared" si="10"/>
        <v>265.41089108910876</v>
      </c>
      <c r="E403" s="6"/>
      <c r="F403" s="3"/>
      <c r="G403" s="4"/>
      <c r="H403" s="6"/>
      <c r="L403" s="27">
        <v>3586.2</v>
      </c>
    </row>
    <row r="404" spans="1:12" x14ac:dyDescent="0.2">
      <c r="A404" s="31">
        <v>60</v>
      </c>
      <c r="B404" s="2">
        <v>396</v>
      </c>
      <c r="C404" s="24">
        <f t="shared" si="9"/>
        <v>3760.6153846153838</v>
      </c>
      <c r="D404" s="4">
        <f t="shared" si="10"/>
        <v>278.3227722772275</v>
      </c>
      <c r="E404" s="6"/>
      <c r="F404" s="3"/>
      <c r="G404" s="4"/>
      <c r="H404" s="6"/>
      <c r="L404" s="27">
        <v>3760.6</v>
      </c>
    </row>
    <row r="405" spans="1:12" x14ac:dyDescent="0.2">
      <c r="A405" s="31">
        <v>61</v>
      </c>
      <c r="B405" s="2">
        <v>397</v>
      </c>
      <c r="C405" s="24">
        <f t="shared" si="9"/>
        <v>3935.076923076922</v>
      </c>
      <c r="D405" s="4">
        <f t="shared" si="10"/>
        <v>291.2346534653463</v>
      </c>
      <c r="E405" s="6"/>
      <c r="F405" s="3"/>
      <c r="G405" s="4"/>
      <c r="H405" s="6"/>
      <c r="L405" s="27">
        <v>3935.1</v>
      </c>
    </row>
    <row r="406" spans="1:12" x14ac:dyDescent="0.2">
      <c r="A406" s="31">
        <v>62</v>
      </c>
      <c r="B406" s="2">
        <v>398</v>
      </c>
      <c r="C406" s="24">
        <f t="shared" si="9"/>
        <v>4109.538461538461</v>
      </c>
      <c r="D406" s="4">
        <f t="shared" si="10"/>
        <v>304.1465346534651</v>
      </c>
      <c r="E406" s="6"/>
      <c r="F406" s="3"/>
      <c r="G406" s="4"/>
      <c r="H406" s="6"/>
      <c r="L406" s="27">
        <v>4109.5</v>
      </c>
    </row>
    <row r="407" spans="1:12" x14ac:dyDescent="0.2">
      <c r="A407" s="31">
        <v>63</v>
      </c>
      <c r="B407" s="2">
        <v>399</v>
      </c>
      <c r="C407" s="24">
        <f t="shared" si="9"/>
        <v>4284</v>
      </c>
      <c r="D407" s="4">
        <f t="shared" si="10"/>
        <v>317.05841584158401</v>
      </c>
      <c r="E407" s="6"/>
      <c r="F407" s="3"/>
      <c r="G407" s="4"/>
      <c r="H407" s="6"/>
      <c r="L407" s="27">
        <v>4284</v>
      </c>
    </row>
    <row r="408" spans="1:12" x14ac:dyDescent="0.2">
      <c r="A408" s="31">
        <v>64</v>
      </c>
      <c r="B408" s="2">
        <v>400</v>
      </c>
      <c r="C408" s="24">
        <f t="shared" si="9"/>
        <v>4157.9999999999991</v>
      </c>
      <c r="D408" s="4">
        <f t="shared" si="10"/>
        <v>307.73316831683144</v>
      </c>
      <c r="E408" s="6"/>
      <c r="F408" s="3"/>
      <c r="G408" s="4"/>
      <c r="H408" s="6"/>
      <c r="L408" s="27">
        <v>4158</v>
      </c>
    </row>
    <row r="409" spans="1:12" x14ac:dyDescent="0.2">
      <c r="A409" s="31">
        <v>65</v>
      </c>
      <c r="B409" s="2">
        <v>401</v>
      </c>
      <c r="C409" s="24">
        <f t="shared" si="9"/>
        <v>4384.8</v>
      </c>
      <c r="D409" s="4">
        <f t="shared" si="10"/>
        <v>324.51861386138597</v>
      </c>
      <c r="E409" s="6"/>
      <c r="F409" s="3"/>
      <c r="G409" s="4"/>
      <c r="H409" s="6"/>
      <c r="L409" s="27">
        <v>4384.8</v>
      </c>
    </row>
    <row r="410" spans="1:12" x14ac:dyDescent="0.2">
      <c r="A410" s="31">
        <v>66</v>
      </c>
      <c r="B410" s="2">
        <v>402</v>
      </c>
      <c r="C410" s="24">
        <f t="shared" ref="C410:C473" si="11">C74</f>
        <v>4611.6000000000004</v>
      </c>
      <c r="D410" s="4">
        <f t="shared" si="10"/>
        <v>341.30405940594039</v>
      </c>
      <c r="E410" s="6"/>
      <c r="F410" s="3"/>
      <c r="G410" s="4"/>
      <c r="H410" s="6"/>
      <c r="L410" s="27">
        <v>4611.6000000000004</v>
      </c>
    </row>
    <row r="411" spans="1:12" x14ac:dyDescent="0.2">
      <c r="A411" s="31">
        <v>67</v>
      </c>
      <c r="B411" s="2">
        <v>403</v>
      </c>
      <c r="C411" s="24">
        <f t="shared" si="11"/>
        <v>5039.9999999999991</v>
      </c>
      <c r="D411" s="4">
        <f t="shared" si="10"/>
        <v>373.00990099009874</v>
      </c>
      <c r="E411" s="6"/>
      <c r="F411" s="3"/>
      <c r="G411" s="4"/>
      <c r="H411" s="6"/>
      <c r="L411" s="27">
        <v>5040</v>
      </c>
    </row>
    <row r="412" spans="1:12" x14ac:dyDescent="0.2">
      <c r="A412" s="31">
        <v>68</v>
      </c>
      <c r="B412" s="2">
        <v>404</v>
      </c>
      <c r="C412" s="24">
        <f t="shared" si="11"/>
        <v>5039.9999999999991</v>
      </c>
      <c r="D412" s="4">
        <f t="shared" si="10"/>
        <v>373.00990099009874</v>
      </c>
      <c r="E412" s="6"/>
      <c r="F412" s="3"/>
      <c r="G412" s="4"/>
      <c r="H412" s="6"/>
      <c r="L412" s="27">
        <v>5040</v>
      </c>
    </row>
    <row r="413" spans="1:12" x14ac:dyDescent="0.2">
      <c r="A413" s="31">
        <v>69</v>
      </c>
      <c r="B413" s="2">
        <v>405</v>
      </c>
      <c r="C413" s="24">
        <f t="shared" si="11"/>
        <v>5292</v>
      </c>
      <c r="D413" s="4">
        <f t="shared" si="10"/>
        <v>391.66039603960377</v>
      </c>
      <c r="E413" s="6"/>
      <c r="F413" s="3"/>
      <c r="G413" s="4"/>
      <c r="H413" s="6"/>
      <c r="L413" s="27">
        <v>5292</v>
      </c>
    </row>
    <row r="414" spans="1:12" x14ac:dyDescent="0.2">
      <c r="A414" s="31">
        <v>70</v>
      </c>
      <c r="B414" s="2">
        <v>406</v>
      </c>
      <c r="C414" s="24">
        <f t="shared" si="11"/>
        <v>4636.8</v>
      </c>
      <c r="D414" s="4">
        <f t="shared" si="10"/>
        <v>343.16910891089094</v>
      </c>
      <c r="E414" s="6"/>
      <c r="F414" s="3"/>
      <c r="G414" s="4"/>
      <c r="H414" s="6"/>
      <c r="L414" s="27">
        <v>4636.8</v>
      </c>
    </row>
    <row r="415" spans="1:12" x14ac:dyDescent="0.2">
      <c r="A415" s="31">
        <v>71</v>
      </c>
      <c r="B415" s="2">
        <v>407</v>
      </c>
      <c r="C415" s="24">
        <f t="shared" si="11"/>
        <v>3981.6</v>
      </c>
      <c r="D415" s="4">
        <f t="shared" si="10"/>
        <v>294.67782178217806</v>
      </c>
      <c r="E415" s="6"/>
      <c r="F415" s="3"/>
      <c r="G415" s="4"/>
      <c r="H415" s="6"/>
      <c r="L415" s="27">
        <v>3981.6</v>
      </c>
    </row>
    <row r="416" spans="1:12" x14ac:dyDescent="0.2">
      <c r="A416" s="31">
        <v>72</v>
      </c>
      <c r="B416" s="2">
        <v>408</v>
      </c>
      <c r="C416" s="24">
        <f t="shared" si="11"/>
        <v>3326.3999999999996</v>
      </c>
      <c r="D416" s="4">
        <f t="shared" si="10"/>
        <v>246.1865346534652</v>
      </c>
      <c r="E416" s="6"/>
      <c r="F416" s="3"/>
      <c r="G416" s="4"/>
      <c r="H416" s="6"/>
      <c r="L416" s="27">
        <v>3326.4</v>
      </c>
    </row>
    <row r="417" spans="1:12" x14ac:dyDescent="0.2">
      <c r="A417" s="31">
        <v>73</v>
      </c>
      <c r="B417" s="2">
        <v>409</v>
      </c>
      <c r="C417" s="24">
        <f t="shared" si="11"/>
        <v>2142</v>
      </c>
      <c r="D417" s="4">
        <f t="shared" si="10"/>
        <v>158.529207920792</v>
      </c>
      <c r="E417" s="6"/>
      <c r="F417" s="3"/>
      <c r="G417" s="4"/>
      <c r="H417" s="6"/>
      <c r="L417" s="27">
        <v>2142</v>
      </c>
    </row>
    <row r="418" spans="1:12" x14ac:dyDescent="0.2">
      <c r="A418" s="31">
        <v>74</v>
      </c>
      <c r="B418" s="2">
        <v>410</v>
      </c>
      <c r="C418" s="24">
        <f t="shared" si="11"/>
        <v>2016</v>
      </c>
      <c r="D418" s="4">
        <f t="shared" si="10"/>
        <v>149.20396039603952</v>
      </c>
      <c r="E418" s="6"/>
      <c r="F418" s="3"/>
      <c r="G418" s="4"/>
      <c r="H418" s="6"/>
      <c r="L418" s="27">
        <v>2016</v>
      </c>
    </row>
    <row r="419" spans="1:12" x14ac:dyDescent="0.2">
      <c r="A419" s="31">
        <v>75</v>
      </c>
      <c r="B419" s="2">
        <v>411</v>
      </c>
      <c r="C419" s="24">
        <f t="shared" si="11"/>
        <v>2142</v>
      </c>
      <c r="D419" s="4">
        <f t="shared" si="10"/>
        <v>158.529207920792</v>
      </c>
      <c r="E419" s="6"/>
      <c r="F419" s="3"/>
      <c r="G419" s="4"/>
      <c r="H419" s="6"/>
      <c r="L419" s="27">
        <v>2142</v>
      </c>
    </row>
    <row r="420" spans="1:12" x14ac:dyDescent="0.2">
      <c r="A420" s="31">
        <v>76</v>
      </c>
      <c r="B420" s="2">
        <v>412</v>
      </c>
      <c r="C420" s="24">
        <f t="shared" si="11"/>
        <v>2268</v>
      </c>
      <c r="D420" s="4">
        <f t="shared" si="10"/>
        <v>167.85445544554446</v>
      </c>
      <c r="E420" s="6"/>
      <c r="F420" s="3"/>
      <c r="G420" s="4"/>
      <c r="H420" s="6"/>
      <c r="L420" s="27">
        <v>2268</v>
      </c>
    </row>
    <row r="421" spans="1:12" x14ac:dyDescent="0.2">
      <c r="A421" s="31">
        <v>77</v>
      </c>
      <c r="B421" s="2">
        <v>413</v>
      </c>
      <c r="C421" s="24">
        <f t="shared" si="11"/>
        <v>2519.9999999999995</v>
      </c>
      <c r="D421" s="4">
        <f t="shared" si="10"/>
        <v>186.50495049504937</v>
      </c>
      <c r="E421" s="6"/>
      <c r="F421" s="3"/>
      <c r="G421" s="4"/>
      <c r="H421" s="6"/>
      <c r="L421" s="27">
        <v>2520</v>
      </c>
    </row>
    <row r="422" spans="1:12" x14ac:dyDescent="0.2">
      <c r="A422" s="31">
        <v>78</v>
      </c>
      <c r="B422" s="2">
        <v>414</v>
      </c>
      <c r="C422" s="24">
        <f t="shared" si="11"/>
        <v>2687.9999999999995</v>
      </c>
      <c r="D422" s="4">
        <f t="shared" si="10"/>
        <v>198.93861386138599</v>
      </c>
      <c r="E422" s="6"/>
      <c r="F422" s="3"/>
      <c r="G422" s="4"/>
      <c r="H422" s="6"/>
      <c r="L422" s="27">
        <v>2688</v>
      </c>
    </row>
    <row r="423" spans="1:12" x14ac:dyDescent="0.2">
      <c r="A423" s="31">
        <v>79</v>
      </c>
      <c r="B423" s="2">
        <v>415</v>
      </c>
      <c r="C423" s="24">
        <f t="shared" si="11"/>
        <v>2855.9999999999995</v>
      </c>
      <c r="D423" s="4">
        <f t="shared" si="10"/>
        <v>211.37227722772263</v>
      </c>
      <c r="E423" s="6"/>
      <c r="F423" s="3"/>
      <c r="G423" s="4"/>
      <c r="H423" s="6"/>
      <c r="L423" s="27">
        <v>2856</v>
      </c>
    </row>
    <row r="424" spans="1:12" x14ac:dyDescent="0.2">
      <c r="A424" s="31">
        <v>80</v>
      </c>
      <c r="B424" s="2">
        <v>416</v>
      </c>
      <c r="C424" s="24">
        <f t="shared" si="11"/>
        <v>3023.9999999999995</v>
      </c>
      <c r="D424" s="4">
        <f t="shared" si="10"/>
        <v>223.80594059405925</v>
      </c>
      <c r="E424" s="6"/>
      <c r="F424" s="3"/>
      <c r="G424" s="4"/>
      <c r="H424" s="6"/>
      <c r="L424" s="27">
        <v>3024</v>
      </c>
    </row>
    <row r="425" spans="1:12" x14ac:dyDescent="0.2">
      <c r="A425" s="31">
        <v>81</v>
      </c>
      <c r="B425" s="2">
        <v>417</v>
      </c>
      <c r="C425" s="24">
        <f t="shared" si="11"/>
        <v>3191.9999999999991</v>
      </c>
      <c r="D425" s="4">
        <f t="shared" si="10"/>
        <v>236.23960396039584</v>
      </c>
      <c r="E425" s="6"/>
      <c r="F425" s="3"/>
      <c r="G425" s="4"/>
      <c r="H425" s="6"/>
      <c r="L425" s="27">
        <v>3192</v>
      </c>
    </row>
    <row r="426" spans="1:12" x14ac:dyDescent="0.2">
      <c r="A426" s="31">
        <v>82</v>
      </c>
      <c r="B426" s="2">
        <v>418</v>
      </c>
      <c r="C426" s="24">
        <f t="shared" si="11"/>
        <v>3359.9999999999995</v>
      </c>
      <c r="D426" s="4">
        <f t="shared" si="10"/>
        <v>248.67326732673251</v>
      </c>
      <c r="E426" s="6"/>
      <c r="F426" s="3"/>
      <c r="G426" s="4"/>
      <c r="H426" s="6"/>
      <c r="L426" s="27">
        <v>3360</v>
      </c>
    </row>
    <row r="427" spans="1:12" x14ac:dyDescent="0.2">
      <c r="A427" s="31">
        <v>83</v>
      </c>
      <c r="B427" s="2">
        <v>419</v>
      </c>
      <c r="C427" s="24">
        <f t="shared" si="11"/>
        <v>3527.9999999999995</v>
      </c>
      <c r="D427" s="4">
        <f t="shared" si="10"/>
        <v>261.1069306930691</v>
      </c>
      <c r="E427" s="6"/>
      <c r="F427" s="3"/>
      <c r="G427" s="4"/>
      <c r="H427" s="6"/>
      <c r="L427" s="27">
        <v>3528</v>
      </c>
    </row>
    <row r="428" spans="1:12" x14ac:dyDescent="0.2">
      <c r="A428" s="31">
        <v>84</v>
      </c>
      <c r="B428" s="2">
        <v>420</v>
      </c>
      <c r="C428" s="24">
        <f t="shared" si="11"/>
        <v>3695.9999999999995</v>
      </c>
      <c r="D428" s="4">
        <f t="shared" si="10"/>
        <v>273.54059405940575</v>
      </c>
      <c r="E428" s="6"/>
      <c r="F428" s="3"/>
      <c r="G428" s="4"/>
      <c r="H428" s="6"/>
      <c r="L428" s="27">
        <v>3696</v>
      </c>
    </row>
    <row r="429" spans="1:12" x14ac:dyDescent="0.2">
      <c r="A429" s="31">
        <v>85</v>
      </c>
      <c r="B429" s="2">
        <v>421</v>
      </c>
      <c r="C429" s="24">
        <f t="shared" si="11"/>
        <v>3863.9999999999991</v>
      </c>
      <c r="D429" s="4">
        <f t="shared" si="10"/>
        <v>285.97425742574234</v>
      </c>
      <c r="E429" s="6"/>
      <c r="F429" s="3"/>
      <c r="G429" s="4"/>
      <c r="H429" s="6"/>
      <c r="L429" s="27">
        <v>3864</v>
      </c>
    </row>
    <row r="430" spans="1:12" x14ac:dyDescent="0.2">
      <c r="A430" s="31">
        <v>86</v>
      </c>
      <c r="B430" s="2">
        <v>422</v>
      </c>
      <c r="C430" s="24">
        <f t="shared" si="11"/>
        <v>4032</v>
      </c>
      <c r="D430" s="4">
        <f t="shared" si="10"/>
        <v>298.40792079207904</v>
      </c>
      <c r="E430" s="6"/>
      <c r="F430" s="3"/>
      <c r="G430" s="4"/>
      <c r="H430" s="6"/>
      <c r="L430" s="27">
        <v>4032</v>
      </c>
    </row>
    <row r="431" spans="1:12" x14ac:dyDescent="0.2">
      <c r="A431" s="31">
        <v>87</v>
      </c>
      <c r="B431" s="2">
        <v>423</v>
      </c>
      <c r="C431" s="24">
        <f t="shared" si="11"/>
        <v>3905.9999999999995</v>
      </c>
      <c r="D431" s="4">
        <f t="shared" si="10"/>
        <v>289.08267326732653</v>
      </c>
      <c r="E431" s="6"/>
      <c r="F431" s="3"/>
      <c r="G431" s="4"/>
      <c r="H431" s="6"/>
      <c r="L431" s="27">
        <v>3906</v>
      </c>
    </row>
    <row r="432" spans="1:12" x14ac:dyDescent="0.2">
      <c r="A432" s="31">
        <v>88</v>
      </c>
      <c r="B432" s="2">
        <v>424</v>
      </c>
      <c r="C432" s="24">
        <f t="shared" si="11"/>
        <v>4200</v>
      </c>
      <c r="D432" s="4">
        <f t="shared" si="10"/>
        <v>310.84158415841569</v>
      </c>
      <c r="E432" s="6"/>
      <c r="F432" s="3"/>
      <c r="G432" s="4"/>
      <c r="H432" s="6"/>
      <c r="L432" s="27">
        <v>4200</v>
      </c>
    </row>
    <row r="433" spans="1:12" x14ac:dyDescent="0.2">
      <c r="A433" s="31">
        <v>89</v>
      </c>
      <c r="B433" s="2">
        <v>425</v>
      </c>
      <c r="C433" s="24">
        <f t="shared" si="11"/>
        <v>4494</v>
      </c>
      <c r="D433" s="4">
        <f t="shared" si="10"/>
        <v>332.60049504950479</v>
      </c>
      <c r="E433" s="6"/>
      <c r="F433" s="3"/>
      <c r="G433" s="4"/>
      <c r="H433" s="6"/>
      <c r="L433" s="27">
        <v>4494</v>
      </c>
    </row>
    <row r="434" spans="1:12" x14ac:dyDescent="0.2">
      <c r="A434" s="31">
        <v>90</v>
      </c>
      <c r="B434" s="2">
        <v>426</v>
      </c>
      <c r="C434" s="24">
        <f t="shared" si="11"/>
        <v>4787.9999999999991</v>
      </c>
      <c r="D434" s="4">
        <f t="shared" si="10"/>
        <v>354.35940594059377</v>
      </c>
      <c r="E434" s="6"/>
      <c r="F434" s="3"/>
      <c r="G434" s="4"/>
      <c r="H434" s="6"/>
      <c r="L434" s="27">
        <v>4788</v>
      </c>
    </row>
    <row r="435" spans="1:12" x14ac:dyDescent="0.2">
      <c r="A435" s="31">
        <v>91</v>
      </c>
      <c r="B435" s="2">
        <v>427</v>
      </c>
      <c r="C435" s="24">
        <f t="shared" si="11"/>
        <v>4441.5</v>
      </c>
      <c r="D435" s="4">
        <f t="shared" si="10"/>
        <v>328.71497524752459</v>
      </c>
      <c r="E435" s="6"/>
      <c r="F435" s="3"/>
      <c r="G435" s="4"/>
      <c r="H435" s="6"/>
      <c r="L435" s="27">
        <v>4441.5</v>
      </c>
    </row>
    <row r="436" spans="1:12" x14ac:dyDescent="0.2">
      <c r="A436" s="31">
        <v>92</v>
      </c>
      <c r="B436" s="2">
        <v>428</v>
      </c>
      <c r="C436" s="24">
        <f t="shared" si="11"/>
        <v>4094.9999999999995</v>
      </c>
      <c r="D436" s="4">
        <f t="shared" si="10"/>
        <v>303.07054455445524</v>
      </c>
      <c r="E436" s="6"/>
      <c r="F436" s="3"/>
      <c r="G436" s="4"/>
      <c r="H436" s="6"/>
      <c r="L436" s="27">
        <v>4095</v>
      </c>
    </row>
    <row r="437" spans="1:12" x14ac:dyDescent="0.2">
      <c r="A437" s="31">
        <v>93</v>
      </c>
      <c r="B437" s="2">
        <v>429</v>
      </c>
      <c r="C437" s="24">
        <f t="shared" si="11"/>
        <v>3748.5</v>
      </c>
      <c r="D437" s="4">
        <f t="shared" si="10"/>
        <v>277.426113861386</v>
      </c>
      <c r="E437" s="6"/>
      <c r="F437" s="3"/>
      <c r="G437" s="4"/>
      <c r="H437" s="6"/>
      <c r="L437" s="27">
        <v>3748.5</v>
      </c>
    </row>
    <row r="438" spans="1:12" x14ac:dyDescent="0.2">
      <c r="A438" s="31">
        <v>94</v>
      </c>
      <c r="B438" s="2">
        <v>430</v>
      </c>
      <c r="C438" s="24">
        <f t="shared" si="11"/>
        <v>3402</v>
      </c>
      <c r="D438" s="4">
        <f t="shared" si="10"/>
        <v>251.7816831683167</v>
      </c>
      <c r="E438" s="6"/>
      <c r="F438" s="3"/>
      <c r="G438" s="4"/>
      <c r="H438" s="6"/>
      <c r="L438" s="27">
        <v>3402</v>
      </c>
    </row>
    <row r="439" spans="1:12" x14ac:dyDescent="0.2">
      <c r="A439" s="31">
        <v>95</v>
      </c>
      <c r="B439" s="2">
        <v>431</v>
      </c>
      <c r="C439" s="24">
        <f t="shared" si="11"/>
        <v>3055.5000000000005</v>
      </c>
      <c r="D439" s="4">
        <f t="shared" si="10"/>
        <v>226.13725247524744</v>
      </c>
      <c r="E439" s="6"/>
      <c r="F439" s="3"/>
      <c r="G439" s="4"/>
      <c r="H439" s="6"/>
      <c r="L439" s="27">
        <v>3055.5</v>
      </c>
    </row>
    <row r="440" spans="1:12" x14ac:dyDescent="0.2">
      <c r="A440" s="31">
        <v>96</v>
      </c>
      <c r="B440" s="2">
        <v>432</v>
      </c>
      <c r="C440" s="24">
        <f t="shared" si="11"/>
        <v>2519.9999999999995</v>
      </c>
      <c r="D440" s="4">
        <f t="shared" si="10"/>
        <v>186.50495049504937</v>
      </c>
      <c r="E440" s="6"/>
      <c r="F440" s="3"/>
      <c r="G440" s="4"/>
      <c r="H440" s="6"/>
      <c r="L440" s="27">
        <v>2520</v>
      </c>
    </row>
    <row r="441" spans="1:12" x14ac:dyDescent="0.2">
      <c r="A441" s="31">
        <v>97</v>
      </c>
      <c r="B441" s="2">
        <v>433</v>
      </c>
      <c r="C441" s="24">
        <f t="shared" si="11"/>
        <v>2142</v>
      </c>
      <c r="D441" s="4">
        <f t="shared" si="10"/>
        <v>158.529207920792</v>
      </c>
      <c r="E441" s="6"/>
      <c r="F441" s="3"/>
      <c r="G441" s="4"/>
      <c r="H441" s="6"/>
      <c r="L441" s="27">
        <v>2142</v>
      </c>
    </row>
    <row r="442" spans="1:12" x14ac:dyDescent="0.2">
      <c r="A442" s="31">
        <v>98</v>
      </c>
      <c r="B442" s="2">
        <v>434</v>
      </c>
      <c r="C442" s="24">
        <f t="shared" si="11"/>
        <v>2016</v>
      </c>
      <c r="D442" s="4">
        <f t="shared" si="10"/>
        <v>149.20396039603952</v>
      </c>
      <c r="E442" s="6"/>
      <c r="F442" s="3"/>
      <c r="G442" s="4"/>
      <c r="H442" s="6"/>
      <c r="L442" s="27">
        <v>2016</v>
      </c>
    </row>
    <row r="443" spans="1:12" x14ac:dyDescent="0.2">
      <c r="A443" s="31">
        <v>99</v>
      </c>
      <c r="B443" s="2">
        <v>435</v>
      </c>
      <c r="C443" s="24">
        <f t="shared" si="11"/>
        <v>2142</v>
      </c>
      <c r="D443" s="4">
        <f t="shared" si="10"/>
        <v>158.529207920792</v>
      </c>
      <c r="E443" s="6"/>
      <c r="F443" s="3"/>
      <c r="G443" s="4"/>
      <c r="H443" s="6"/>
      <c r="L443" s="27">
        <v>2142</v>
      </c>
    </row>
    <row r="444" spans="1:12" x14ac:dyDescent="0.2">
      <c r="A444" s="31">
        <v>100</v>
      </c>
      <c r="B444" s="2">
        <v>436</v>
      </c>
      <c r="C444" s="24">
        <f t="shared" si="11"/>
        <v>2268</v>
      </c>
      <c r="D444" s="4">
        <f t="shared" si="10"/>
        <v>167.85445544554446</v>
      </c>
      <c r="E444" s="6"/>
      <c r="F444" s="3"/>
      <c r="G444" s="4"/>
      <c r="H444" s="6"/>
      <c r="L444" s="27">
        <v>2268</v>
      </c>
    </row>
    <row r="445" spans="1:12" x14ac:dyDescent="0.2">
      <c r="A445" s="31">
        <v>101</v>
      </c>
      <c r="B445" s="2">
        <v>437</v>
      </c>
      <c r="C445" s="24">
        <f t="shared" si="11"/>
        <v>2497.090909090909</v>
      </c>
      <c r="D445" s="4">
        <f t="shared" si="10"/>
        <v>184.8094509450944</v>
      </c>
      <c r="E445" s="6"/>
      <c r="F445" s="3"/>
      <c r="G445" s="4"/>
      <c r="H445" s="6"/>
      <c r="L445" s="27">
        <v>2497.1</v>
      </c>
    </row>
    <row r="446" spans="1:12" x14ac:dyDescent="0.2">
      <c r="A446" s="31">
        <v>102</v>
      </c>
      <c r="B446" s="2">
        <v>438</v>
      </c>
      <c r="C446" s="24">
        <f t="shared" si="11"/>
        <v>2657.454545454545</v>
      </c>
      <c r="D446" s="4">
        <f t="shared" si="10"/>
        <v>196.67794779477936</v>
      </c>
      <c r="E446" s="6"/>
      <c r="F446" s="3"/>
      <c r="G446" s="4"/>
      <c r="H446" s="6"/>
      <c r="L446" s="27">
        <v>2657.5</v>
      </c>
    </row>
    <row r="447" spans="1:12" x14ac:dyDescent="0.2">
      <c r="A447" s="31">
        <v>103</v>
      </c>
      <c r="B447" s="2">
        <v>439</v>
      </c>
      <c r="C447" s="24">
        <f t="shared" si="11"/>
        <v>2817.818181818182</v>
      </c>
      <c r="D447" s="4">
        <f t="shared" si="10"/>
        <v>208.54644464446434</v>
      </c>
      <c r="E447" s="6"/>
      <c r="F447" s="3"/>
      <c r="G447" s="4"/>
      <c r="H447" s="6"/>
      <c r="L447" s="27">
        <v>2817.8</v>
      </c>
    </row>
    <row r="448" spans="1:12" x14ac:dyDescent="0.2">
      <c r="A448" s="31">
        <v>104</v>
      </c>
      <c r="B448" s="2">
        <v>440</v>
      </c>
      <c r="C448" s="24">
        <f t="shared" si="11"/>
        <v>2978.181818181818</v>
      </c>
      <c r="D448" s="4">
        <f t="shared" si="10"/>
        <v>220.41494149414928</v>
      </c>
      <c r="E448" s="6"/>
      <c r="F448" s="3"/>
      <c r="G448" s="4"/>
      <c r="H448" s="6"/>
      <c r="L448" s="27">
        <v>2978.2</v>
      </c>
    </row>
    <row r="449" spans="1:12" x14ac:dyDescent="0.2">
      <c r="A449" s="31">
        <v>105</v>
      </c>
      <c r="B449" s="2">
        <v>441</v>
      </c>
      <c r="C449" s="24">
        <f t="shared" si="11"/>
        <v>3138.5454545454545</v>
      </c>
      <c r="D449" s="4">
        <f t="shared" si="10"/>
        <v>232.28343834383423</v>
      </c>
      <c r="E449" s="6"/>
      <c r="F449" s="3"/>
      <c r="G449" s="4"/>
      <c r="H449" s="6"/>
      <c r="L449" s="27">
        <v>3138.5</v>
      </c>
    </row>
    <row r="450" spans="1:12" x14ac:dyDescent="0.2">
      <c r="A450" s="31">
        <v>106</v>
      </c>
      <c r="B450" s="2">
        <v>442</v>
      </c>
      <c r="C450" s="24">
        <f t="shared" si="11"/>
        <v>3298.9090909090905</v>
      </c>
      <c r="D450" s="4">
        <f t="shared" si="10"/>
        <v>244.15193519351919</v>
      </c>
      <c r="E450" s="6"/>
      <c r="F450" s="3"/>
      <c r="G450" s="4"/>
      <c r="H450" s="6"/>
      <c r="L450" s="27">
        <v>3298.9</v>
      </c>
    </row>
    <row r="451" spans="1:12" x14ac:dyDescent="0.2">
      <c r="A451" s="31">
        <v>107</v>
      </c>
      <c r="B451" s="2">
        <v>443</v>
      </c>
      <c r="C451" s="24">
        <f t="shared" si="11"/>
        <v>3459.272727272727</v>
      </c>
      <c r="D451" s="4">
        <f t="shared" si="10"/>
        <v>256.02043204320415</v>
      </c>
      <c r="E451" s="6"/>
      <c r="F451" s="3"/>
      <c r="G451" s="4"/>
      <c r="H451" s="6"/>
      <c r="L451" s="27">
        <v>3459.3</v>
      </c>
    </row>
    <row r="452" spans="1:12" x14ac:dyDescent="0.2">
      <c r="A452" s="31">
        <v>108</v>
      </c>
      <c r="B452" s="2">
        <v>444</v>
      </c>
      <c r="C452" s="24">
        <f t="shared" si="11"/>
        <v>3619.636363636364</v>
      </c>
      <c r="D452" s="4">
        <f t="shared" si="10"/>
        <v>267.88892889288917</v>
      </c>
      <c r="E452" s="6"/>
      <c r="F452" s="3"/>
      <c r="G452" s="4"/>
      <c r="H452" s="6"/>
      <c r="L452" s="27">
        <v>3619.6</v>
      </c>
    </row>
    <row r="453" spans="1:12" x14ac:dyDescent="0.2">
      <c r="A453" s="31">
        <v>109</v>
      </c>
      <c r="B453" s="2">
        <v>445</v>
      </c>
      <c r="C453" s="24">
        <f t="shared" si="11"/>
        <v>3780.0000000000005</v>
      </c>
      <c r="D453" s="4">
        <f t="shared" si="10"/>
        <v>279.75742574257413</v>
      </c>
      <c r="E453" s="6"/>
      <c r="F453" s="3"/>
      <c r="G453" s="4"/>
      <c r="H453" s="6"/>
      <c r="L453" s="27">
        <v>3780</v>
      </c>
    </row>
    <row r="454" spans="1:12" x14ac:dyDescent="0.2">
      <c r="A454" s="31">
        <v>110</v>
      </c>
      <c r="B454" s="2">
        <v>446</v>
      </c>
      <c r="C454" s="24">
        <f t="shared" si="11"/>
        <v>3708</v>
      </c>
      <c r="D454" s="4">
        <f t="shared" si="10"/>
        <v>274.42871287128696</v>
      </c>
      <c r="E454" s="6"/>
      <c r="F454" s="3"/>
      <c r="G454" s="4"/>
      <c r="H454" s="6"/>
      <c r="L454" s="27">
        <v>3708</v>
      </c>
    </row>
    <row r="455" spans="1:12" x14ac:dyDescent="0.2">
      <c r="A455" s="31">
        <v>111</v>
      </c>
      <c r="B455" s="2">
        <v>447</v>
      </c>
      <c r="C455" s="24">
        <f t="shared" si="11"/>
        <v>3636.0000000000005</v>
      </c>
      <c r="D455" s="4">
        <f t="shared" si="10"/>
        <v>269.09999999999991</v>
      </c>
      <c r="E455" s="6"/>
      <c r="F455" s="3"/>
      <c r="G455" s="4"/>
      <c r="H455" s="6"/>
      <c r="L455" s="27">
        <v>3636</v>
      </c>
    </row>
    <row r="456" spans="1:12" x14ac:dyDescent="0.2">
      <c r="A456" s="31">
        <v>112</v>
      </c>
      <c r="B456" s="2">
        <v>448</v>
      </c>
      <c r="C456" s="24">
        <f t="shared" si="11"/>
        <v>3564</v>
      </c>
      <c r="D456" s="4">
        <f t="shared" si="10"/>
        <v>263.77128712871274</v>
      </c>
      <c r="E456" s="6"/>
      <c r="F456" s="3"/>
      <c r="G456" s="4"/>
      <c r="H456" s="6"/>
      <c r="L456" s="27">
        <v>3564</v>
      </c>
    </row>
    <row r="457" spans="1:12" x14ac:dyDescent="0.2">
      <c r="A457" s="31">
        <v>113</v>
      </c>
      <c r="B457" s="2">
        <v>449</v>
      </c>
      <c r="C457" s="24">
        <f t="shared" si="11"/>
        <v>3491.9999999999995</v>
      </c>
      <c r="D457" s="4">
        <f t="shared" si="10"/>
        <v>258.44257425742558</v>
      </c>
      <c r="E457" s="6"/>
      <c r="F457" s="3"/>
      <c r="G457" s="4"/>
      <c r="H457" s="6"/>
      <c r="L457" s="27">
        <v>3492</v>
      </c>
    </row>
    <row r="458" spans="1:12" x14ac:dyDescent="0.2">
      <c r="A458" s="31">
        <v>114</v>
      </c>
      <c r="B458" s="2">
        <v>450</v>
      </c>
      <c r="C458" s="24">
        <f t="shared" si="11"/>
        <v>3420</v>
      </c>
      <c r="D458" s="4">
        <f t="shared" ref="D458:D521" si="12">$G$6*C458*(1/$G$8-1/$G$7)</f>
        <v>253.11386138613847</v>
      </c>
      <c r="E458" s="6"/>
      <c r="F458" s="3"/>
      <c r="G458" s="4"/>
      <c r="H458" s="6"/>
      <c r="L458" s="27">
        <v>3420</v>
      </c>
    </row>
    <row r="459" spans="1:12" x14ac:dyDescent="0.2">
      <c r="A459" s="31">
        <v>115</v>
      </c>
      <c r="B459" s="2">
        <v>451</v>
      </c>
      <c r="C459" s="24">
        <f t="shared" si="11"/>
        <v>3348.0000000000005</v>
      </c>
      <c r="D459" s="4">
        <f t="shared" si="12"/>
        <v>247.78514851485139</v>
      </c>
      <c r="E459" s="6"/>
      <c r="F459" s="3"/>
      <c r="G459" s="4"/>
      <c r="H459" s="6"/>
      <c r="L459" s="27">
        <v>3348</v>
      </c>
    </row>
    <row r="460" spans="1:12" x14ac:dyDescent="0.2">
      <c r="A460" s="31">
        <v>116</v>
      </c>
      <c r="B460" s="2">
        <v>452</v>
      </c>
      <c r="C460" s="24">
        <f t="shared" si="11"/>
        <v>3276</v>
      </c>
      <c r="D460" s="4">
        <f t="shared" si="12"/>
        <v>242.45643564356422</v>
      </c>
      <c r="E460" s="6"/>
      <c r="F460" s="3"/>
      <c r="G460" s="4"/>
      <c r="H460" s="6"/>
      <c r="L460" s="27">
        <v>3276</v>
      </c>
    </row>
    <row r="461" spans="1:12" x14ac:dyDescent="0.2">
      <c r="A461" s="31">
        <v>117</v>
      </c>
      <c r="B461" s="2">
        <v>453</v>
      </c>
      <c r="C461" s="24">
        <f t="shared" si="11"/>
        <v>3527.9999999999995</v>
      </c>
      <c r="D461" s="4">
        <f t="shared" si="12"/>
        <v>261.1069306930691</v>
      </c>
      <c r="E461" s="6"/>
      <c r="F461" s="3"/>
      <c r="G461" s="4"/>
      <c r="H461" s="6"/>
      <c r="L461" s="27">
        <v>3528</v>
      </c>
    </row>
    <row r="462" spans="1:12" x14ac:dyDescent="0.2">
      <c r="A462" s="31">
        <v>118</v>
      </c>
      <c r="B462" s="2">
        <v>454</v>
      </c>
      <c r="C462" s="24">
        <f t="shared" si="11"/>
        <v>3149.9999999999995</v>
      </c>
      <c r="D462" s="4">
        <f t="shared" si="12"/>
        <v>233.13118811881171</v>
      </c>
      <c r="E462" s="6"/>
      <c r="F462" s="3"/>
      <c r="G462" s="4"/>
      <c r="H462" s="6"/>
      <c r="L462" s="27">
        <v>3150</v>
      </c>
    </row>
    <row r="463" spans="1:12" x14ac:dyDescent="0.2">
      <c r="A463" s="31">
        <v>119</v>
      </c>
      <c r="B463" s="2">
        <v>455</v>
      </c>
      <c r="C463" s="24">
        <f t="shared" si="11"/>
        <v>2772</v>
      </c>
      <c r="D463" s="4">
        <f t="shared" si="12"/>
        <v>205.15544554455434</v>
      </c>
      <c r="E463" s="6"/>
      <c r="F463" s="3"/>
      <c r="G463" s="4"/>
      <c r="H463" s="6"/>
      <c r="L463" s="27">
        <v>2772</v>
      </c>
    </row>
    <row r="464" spans="1:12" x14ac:dyDescent="0.2">
      <c r="A464" s="31">
        <v>120</v>
      </c>
      <c r="B464" s="2">
        <v>456</v>
      </c>
      <c r="C464" s="24">
        <f t="shared" si="11"/>
        <v>2393.9999999999995</v>
      </c>
      <c r="D464" s="4">
        <f t="shared" si="12"/>
        <v>177.17970297029689</v>
      </c>
      <c r="E464" s="6"/>
      <c r="F464" s="3"/>
      <c r="G464" s="4"/>
      <c r="H464" s="6"/>
      <c r="L464" s="27">
        <v>2394</v>
      </c>
    </row>
    <row r="465" spans="1:12" x14ac:dyDescent="0.2">
      <c r="A465" s="31">
        <v>121</v>
      </c>
      <c r="B465" s="2">
        <v>457</v>
      </c>
      <c r="C465" s="24">
        <f t="shared" si="11"/>
        <v>2016</v>
      </c>
      <c r="D465" s="4">
        <f t="shared" si="12"/>
        <v>149.20396039603952</v>
      </c>
      <c r="E465" s="6"/>
      <c r="F465" s="3"/>
      <c r="G465" s="4"/>
      <c r="H465" s="6"/>
      <c r="L465" s="27">
        <v>2016</v>
      </c>
    </row>
    <row r="466" spans="1:12" x14ac:dyDescent="0.2">
      <c r="A466" s="31">
        <v>122</v>
      </c>
      <c r="B466" s="2">
        <v>458</v>
      </c>
      <c r="C466" s="24">
        <f t="shared" si="11"/>
        <v>2016</v>
      </c>
      <c r="D466" s="4">
        <f t="shared" si="12"/>
        <v>149.20396039603952</v>
      </c>
      <c r="E466" s="6"/>
      <c r="F466" s="3"/>
      <c r="G466" s="4"/>
      <c r="H466" s="6"/>
      <c r="L466" s="27">
        <v>2016</v>
      </c>
    </row>
    <row r="467" spans="1:12" x14ac:dyDescent="0.2">
      <c r="A467" s="31">
        <v>123</v>
      </c>
      <c r="B467" s="2">
        <v>459</v>
      </c>
      <c r="C467" s="24">
        <f t="shared" si="11"/>
        <v>2160</v>
      </c>
      <c r="D467" s="4">
        <f t="shared" si="12"/>
        <v>159.86138613861377</v>
      </c>
      <c r="E467" s="6"/>
      <c r="F467" s="3"/>
      <c r="G467" s="4"/>
      <c r="H467" s="6"/>
      <c r="L467" s="27">
        <v>2160</v>
      </c>
    </row>
    <row r="468" spans="1:12" x14ac:dyDescent="0.2">
      <c r="A468" s="31">
        <v>124</v>
      </c>
      <c r="B468" s="2">
        <v>460</v>
      </c>
      <c r="C468" s="24">
        <f t="shared" si="11"/>
        <v>2304</v>
      </c>
      <c r="D468" s="4">
        <f t="shared" si="12"/>
        <v>170.51881188118801</v>
      </c>
      <c r="E468" s="6"/>
      <c r="F468" s="3"/>
      <c r="G468" s="4"/>
      <c r="H468" s="6"/>
      <c r="L468" s="27">
        <v>2304</v>
      </c>
    </row>
    <row r="469" spans="1:12" x14ac:dyDescent="0.2">
      <c r="A469" s="31">
        <v>125</v>
      </c>
      <c r="B469" s="2">
        <v>461</v>
      </c>
      <c r="C469" s="24">
        <f t="shared" si="11"/>
        <v>2448</v>
      </c>
      <c r="D469" s="4">
        <f t="shared" si="12"/>
        <v>181.17623762376226</v>
      </c>
      <c r="E469" s="6"/>
      <c r="F469" s="3"/>
      <c r="G469" s="4"/>
      <c r="H469" s="6"/>
      <c r="L469" s="27">
        <v>2448</v>
      </c>
    </row>
    <row r="470" spans="1:12" x14ac:dyDescent="0.2">
      <c r="A470" s="31">
        <v>126</v>
      </c>
      <c r="B470" s="2">
        <v>462</v>
      </c>
      <c r="C470" s="24">
        <f t="shared" si="11"/>
        <v>2592</v>
      </c>
      <c r="D470" s="4">
        <f t="shared" si="12"/>
        <v>191.83366336633654</v>
      </c>
      <c r="E470" s="6"/>
      <c r="F470" s="3"/>
      <c r="G470" s="4"/>
      <c r="H470" s="6"/>
      <c r="L470" s="27">
        <v>2592</v>
      </c>
    </row>
    <row r="471" spans="1:12" x14ac:dyDescent="0.2">
      <c r="A471" s="31">
        <v>127</v>
      </c>
      <c r="B471" s="2">
        <v>463</v>
      </c>
      <c r="C471" s="24">
        <f t="shared" si="11"/>
        <v>2736</v>
      </c>
      <c r="D471" s="4">
        <f t="shared" si="12"/>
        <v>202.49108910891078</v>
      </c>
      <c r="E471" s="6"/>
      <c r="F471" s="3"/>
      <c r="G471" s="4"/>
      <c r="H471" s="6"/>
      <c r="L471" s="27">
        <v>2736</v>
      </c>
    </row>
    <row r="472" spans="1:12" x14ac:dyDescent="0.2">
      <c r="A472" s="31">
        <v>128</v>
      </c>
      <c r="B472" s="2">
        <v>464</v>
      </c>
      <c r="C472" s="24">
        <f t="shared" si="11"/>
        <v>2880.0000000000005</v>
      </c>
      <c r="D472" s="4">
        <f t="shared" si="12"/>
        <v>213.14851485148506</v>
      </c>
      <c r="E472" s="6"/>
      <c r="F472" s="3"/>
      <c r="G472" s="4"/>
      <c r="H472" s="6"/>
      <c r="L472" s="27">
        <v>2880</v>
      </c>
    </row>
    <row r="473" spans="1:12" x14ac:dyDescent="0.2">
      <c r="A473" s="31">
        <v>129</v>
      </c>
      <c r="B473" s="2">
        <v>465</v>
      </c>
      <c r="C473" s="24">
        <f t="shared" si="11"/>
        <v>3024</v>
      </c>
      <c r="D473" s="4">
        <f t="shared" si="12"/>
        <v>223.80594059405928</v>
      </c>
      <c r="E473" s="6"/>
      <c r="F473" s="3"/>
      <c r="G473" s="4"/>
      <c r="H473" s="6"/>
      <c r="L473" s="27">
        <v>3024</v>
      </c>
    </row>
    <row r="474" spans="1:12" x14ac:dyDescent="0.2">
      <c r="A474" s="31">
        <v>130</v>
      </c>
      <c r="B474" s="2">
        <v>466</v>
      </c>
      <c r="C474" s="24">
        <f t="shared" ref="C474:C512" si="13">C138</f>
        <v>3168</v>
      </c>
      <c r="D474" s="4">
        <f t="shared" si="12"/>
        <v>234.46336633663353</v>
      </c>
      <c r="E474" s="6"/>
      <c r="F474" s="3"/>
      <c r="G474" s="4"/>
      <c r="H474" s="6"/>
      <c r="L474" s="27">
        <v>3168</v>
      </c>
    </row>
    <row r="475" spans="1:12" x14ac:dyDescent="0.2">
      <c r="A475" s="31">
        <v>131</v>
      </c>
      <c r="B475" s="2">
        <v>467</v>
      </c>
      <c r="C475" s="24">
        <f t="shared" si="13"/>
        <v>3312.0000000000005</v>
      </c>
      <c r="D475" s="4">
        <f t="shared" si="12"/>
        <v>245.1207920792078</v>
      </c>
      <c r="E475" s="6"/>
      <c r="F475" s="3"/>
      <c r="G475" s="4"/>
      <c r="H475" s="6"/>
      <c r="L475" s="27">
        <v>3312</v>
      </c>
    </row>
    <row r="476" spans="1:12" x14ac:dyDescent="0.2">
      <c r="A476" s="31">
        <v>132</v>
      </c>
      <c r="B476" s="2">
        <v>468</v>
      </c>
      <c r="C476" s="24">
        <f t="shared" si="13"/>
        <v>3456.0000000000005</v>
      </c>
      <c r="D476" s="4">
        <f t="shared" si="12"/>
        <v>255.77821782178208</v>
      </c>
      <c r="E476" s="6"/>
      <c r="F476" s="3"/>
      <c r="G476" s="4"/>
      <c r="H476" s="6"/>
      <c r="L476" s="27">
        <v>3456</v>
      </c>
    </row>
    <row r="477" spans="1:12" x14ac:dyDescent="0.2">
      <c r="A477" s="31">
        <v>133</v>
      </c>
      <c r="B477" s="2">
        <v>469</v>
      </c>
      <c r="C477" s="24">
        <f t="shared" si="13"/>
        <v>3527.9999999999995</v>
      </c>
      <c r="D477" s="4">
        <f t="shared" si="12"/>
        <v>261.1069306930691</v>
      </c>
      <c r="E477" s="6"/>
      <c r="F477" s="3"/>
      <c r="G477" s="4"/>
      <c r="H477" s="6"/>
      <c r="L477" s="27">
        <v>3528</v>
      </c>
    </row>
    <row r="478" spans="1:12" x14ac:dyDescent="0.2">
      <c r="A478" s="31">
        <v>134</v>
      </c>
      <c r="B478" s="2">
        <v>470</v>
      </c>
      <c r="C478" s="24">
        <f t="shared" si="13"/>
        <v>3527.9999999999995</v>
      </c>
      <c r="D478" s="4">
        <f t="shared" si="12"/>
        <v>261.1069306930691</v>
      </c>
      <c r="E478" s="6"/>
      <c r="F478" s="3"/>
      <c r="G478" s="4"/>
      <c r="H478" s="6"/>
      <c r="L478" s="27">
        <v>3528</v>
      </c>
    </row>
    <row r="479" spans="1:12" x14ac:dyDescent="0.2">
      <c r="A479" s="31">
        <v>135</v>
      </c>
      <c r="B479" s="2">
        <v>471</v>
      </c>
      <c r="C479" s="24">
        <f t="shared" si="13"/>
        <v>3888.0000000000005</v>
      </c>
      <c r="D479" s="4">
        <f t="shared" si="12"/>
        <v>287.75049504950488</v>
      </c>
      <c r="E479" s="6"/>
      <c r="F479" s="3"/>
      <c r="G479" s="4"/>
      <c r="H479" s="6"/>
      <c r="L479" s="27">
        <v>3888</v>
      </c>
    </row>
    <row r="480" spans="1:12" x14ac:dyDescent="0.2">
      <c r="A480" s="31">
        <v>136</v>
      </c>
      <c r="B480" s="2">
        <v>472</v>
      </c>
      <c r="C480" s="24">
        <f t="shared" si="13"/>
        <v>4032</v>
      </c>
      <c r="D480" s="4">
        <f t="shared" si="12"/>
        <v>298.40792079207904</v>
      </c>
      <c r="E480" s="6"/>
      <c r="F480" s="3"/>
      <c r="G480" s="4"/>
      <c r="H480" s="6"/>
      <c r="L480" s="27">
        <v>4032</v>
      </c>
    </row>
    <row r="481" spans="1:12" x14ac:dyDescent="0.2">
      <c r="A481" s="31">
        <v>137</v>
      </c>
      <c r="B481" s="2">
        <v>473</v>
      </c>
      <c r="C481" s="24">
        <f t="shared" si="13"/>
        <v>3830.4</v>
      </c>
      <c r="D481" s="4">
        <f t="shared" si="12"/>
        <v>283.48752475247511</v>
      </c>
      <c r="E481" s="6"/>
      <c r="F481" s="3"/>
      <c r="G481" s="4"/>
      <c r="H481" s="6"/>
      <c r="L481" s="27">
        <v>3830.4</v>
      </c>
    </row>
    <row r="482" spans="1:12" x14ac:dyDescent="0.2">
      <c r="A482" s="31">
        <v>138</v>
      </c>
      <c r="B482" s="2">
        <v>474</v>
      </c>
      <c r="C482" s="24">
        <f t="shared" si="13"/>
        <v>3628.8</v>
      </c>
      <c r="D482" s="4">
        <f t="shared" si="12"/>
        <v>268.56712871287112</v>
      </c>
      <c r="E482" s="6"/>
      <c r="F482" s="3"/>
      <c r="G482" s="4"/>
      <c r="H482" s="6"/>
      <c r="L482" s="27">
        <v>3628.8</v>
      </c>
    </row>
    <row r="483" spans="1:12" x14ac:dyDescent="0.2">
      <c r="A483" s="31">
        <v>139</v>
      </c>
      <c r="B483" s="2">
        <v>475</v>
      </c>
      <c r="C483" s="24">
        <f t="shared" si="13"/>
        <v>3527.9999999999995</v>
      </c>
      <c r="D483" s="4">
        <f t="shared" si="12"/>
        <v>261.1069306930691</v>
      </c>
      <c r="E483" s="6"/>
      <c r="F483" s="3"/>
      <c r="G483" s="4"/>
      <c r="H483" s="6"/>
      <c r="L483" s="27">
        <v>3528</v>
      </c>
    </row>
    <row r="484" spans="1:12" x14ac:dyDescent="0.2">
      <c r="A484" s="31">
        <v>140</v>
      </c>
      <c r="B484" s="2">
        <v>476</v>
      </c>
      <c r="C484" s="24">
        <f t="shared" si="13"/>
        <v>3225.599999999999</v>
      </c>
      <c r="D484" s="4">
        <f t="shared" si="12"/>
        <v>238.72633663366315</v>
      </c>
      <c r="E484" s="6"/>
      <c r="F484" s="3"/>
      <c r="G484" s="4"/>
      <c r="H484" s="6"/>
      <c r="L484" s="27">
        <v>3225.6</v>
      </c>
    </row>
    <row r="485" spans="1:12" x14ac:dyDescent="0.2">
      <c r="A485" s="31">
        <v>141</v>
      </c>
      <c r="B485" s="2">
        <v>477</v>
      </c>
      <c r="C485" s="24">
        <f t="shared" si="13"/>
        <v>3023.9999999999991</v>
      </c>
      <c r="D485" s="4">
        <f t="shared" si="12"/>
        <v>223.80594059405922</v>
      </c>
      <c r="E485" s="6"/>
      <c r="F485" s="3"/>
      <c r="G485" s="4"/>
      <c r="H485" s="6"/>
      <c r="L485" s="27">
        <v>3024</v>
      </c>
    </row>
    <row r="486" spans="1:12" x14ac:dyDescent="0.2">
      <c r="A486" s="31">
        <v>142</v>
      </c>
      <c r="B486" s="2">
        <v>478</v>
      </c>
      <c r="C486" s="24">
        <f t="shared" si="13"/>
        <v>2822.3999999999996</v>
      </c>
      <c r="D486" s="4">
        <f t="shared" si="12"/>
        <v>208.88554455445532</v>
      </c>
      <c r="E486" s="6"/>
      <c r="F486" s="3"/>
      <c r="G486" s="4"/>
      <c r="H486" s="6"/>
      <c r="L486" s="27">
        <v>2822.4</v>
      </c>
    </row>
    <row r="487" spans="1:12" x14ac:dyDescent="0.2">
      <c r="A487" s="31">
        <v>143</v>
      </c>
      <c r="B487" s="2">
        <v>479</v>
      </c>
      <c r="C487" s="24">
        <f t="shared" si="13"/>
        <v>2268</v>
      </c>
      <c r="D487" s="4">
        <f t="shared" si="12"/>
        <v>167.85445544554446</v>
      </c>
      <c r="E487" s="6"/>
      <c r="F487" s="3"/>
      <c r="G487" s="4"/>
      <c r="H487" s="6"/>
      <c r="L487" s="27">
        <v>2268</v>
      </c>
    </row>
    <row r="488" spans="1:12" x14ac:dyDescent="0.2">
      <c r="A488" s="31">
        <v>144</v>
      </c>
      <c r="B488" s="2">
        <v>480</v>
      </c>
      <c r="C488" s="24">
        <f t="shared" si="13"/>
        <v>2142</v>
      </c>
      <c r="D488" s="4">
        <f t="shared" si="12"/>
        <v>158.529207920792</v>
      </c>
      <c r="E488" s="6"/>
      <c r="F488" s="3"/>
      <c r="G488" s="4"/>
      <c r="H488" s="6"/>
      <c r="L488" s="27">
        <v>2142</v>
      </c>
    </row>
    <row r="489" spans="1:12" x14ac:dyDescent="0.2">
      <c r="A489" s="31">
        <v>145</v>
      </c>
      <c r="B489" s="2">
        <v>481</v>
      </c>
      <c r="C489" s="24">
        <f t="shared" si="13"/>
        <v>2016</v>
      </c>
      <c r="D489" s="4">
        <f t="shared" si="12"/>
        <v>149.20396039603952</v>
      </c>
      <c r="E489" s="6"/>
      <c r="F489" s="3"/>
      <c r="G489" s="4"/>
      <c r="H489" s="6"/>
      <c r="L489" s="27">
        <v>2016</v>
      </c>
    </row>
    <row r="490" spans="1:12" x14ac:dyDescent="0.2">
      <c r="A490" s="31">
        <v>146</v>
      </c>
      <c r="B490" s="2">
        <v>482</v>
      </c>
      <c r="C490" s="24">
        <f t="shared" si="13"/>
        <v>2016</v>
      </c>
      <c r="D490" s="4">
        <f t="shared" si="12"/>
        <v>149.20396039603952</v>
      </c>
      <c r="E490" s="6"/>
      <c r="F490" s="3"/>
      <c r="G490" s="4"/>
      <c r="H490" s="6"/>
      <c r="L490" s="27">
        <v>2016</v>
      </c>
    </row>
    <row r="491" spans="1:12" x14ac:dyDescent="0.2">
      <c r="A491" s="31">
        <v>147</v>
      </c>
      <c r="B491" s="2">
        <v>483</v>
      </c>
      <c r="C491" s="24">
        <f t="shared" si="13"/>
        <v>2142.0000000000005</v>
      </c>
      <c r="D491" s="4">
        <f t="shared" si="12"/>
        <v>158.52920792079203</v>
      </c>
      <c r="E491" s="6"/>
      <c r="F491" s="3"/>
      <c r="G491" s="4"/>
      <c r="H491" s="6"/>
      <c r="L491" s="27">
        <v>2142</v>
      </c>
    </row>
    <row r="492" spans="1:12" x14ac:dyDescent="0.2">
      <c r="A492" s="31">
        <v>148</v>
      </c>
      <c r="B492" s="2">
        <v>484</v>
      </c>
      <c r="C492" s="24">
        <f t="shared" si="13"/>
        <v>2268</v>
      </c>
      <c r="D492" s="4">
        <f t="shared" si="12"/>
        <v>167.85445544554446</v>
      </c>
      <c r="E492" s="6"/>
      <c r="F492" s="3"/>
      <c r="G492" s="4"/>
      <c r="H492" s="6"/>
      <c r="L492" s="27">
        <v>2268</v>
      </c>
    </row>
    <row r="493" spans="1:12" x14ac:dyDescent="0.2">
      <c r="A493" s="31">
        <v>149</v>
      </c>
      <c r="B493" s="2">
        <v>485</v>
      </c>
      <c r="C493" s="24">
        <f t="shared" si="13"/>
        <v>2393.9999999999995</v>
      </c>
      <c r="D493" s="4">
        <f t="shared" si="12"/>
        <v>177.17970297029689</v>
      </c>
      <c r="E493" s="6"/>
      <c r="F493" s="3"/>
      <c r="G493" s="4"/>
      <c r="H493" s="6"/>
      <c r="L493" s="27">
        <v>2394</v>
      </c>
    </row>
    <row r="494" spans="1:12" x14ac:dyDescent="0.2">
      <c r="A494" s="31">
        <v>150</v>
      </c>
      <c r="B494" s="2">
        <v>486</v>
      </c>
      <c r="C494" s="24">
        <f t="shared" si="13"/>
        <v>2519.9999999999995</v>
      </c>
      <c r="D494" s="4">
        <f t="shared" si="12"/>
        <v>186.50495049504937</v>
      </c>
      <c r="E494" s="6"/>
      <c r="F494" s="3"/>
      <c r="G494" s="4"/>
      <c r="H494" s="6"/>
      <c r="L494" s="27">
        <v>2520</v>
      </c>
    </row>
    <row r="495" spans="1:12" x14ac:dyDescent="0.2">
      <c r="A495" s="31">
        <v>151</v>
      </c>
      <c r="B495" s="2">
        <v>487</v>
      </c>
      <c r="C495" s="24">
        <f t="shared" si="13"/>
        <v>2646</v>
      </c>
      <c r="D495" s="4">
        <f t="shared" si="12"/>
        <v>195.83019801980188</v>
      </c>
      <c r="E495" s="6"/>
      <c r="F495" s="3"/>
      <c r="G495" s="4"/>
      <c r="H495" s="6"/>
      <c r="L495" s="27">
        <v>2646</v>
      </c>
    </row>
    <row r="496" spans="1:12" x14ac:dyDescent="0.2">
      <c r="A496" s="31">
        <v>152</v>
      </c>
      <c r="B496" s="2">
        <v>488</v>
      </c>
      <c r="C496" s="24">
        <f t="shared" si="13"/>
        <v>2772</v>
      </c>
      <c r="D496" s="4">
        <f t="shared" si="12"/>
        <v>205.15544554455434</v>
      </c>
      <c r="E496" s="6"/>
      <c r="F496" s="3"/>
      <c r="G496" s="4"/>
      <c r="H496" s="6"/>
      <c r="L496" s="27">
        <v>2772</v>
      </c>
    </row>
    <row r="497" spans="1:12" x14ac:dyDescent="0.2">
      <c r="A497" s="31">
        <v>153</v>
      </c>
      <c r="B497" s="2">
        <v>489</v>
      </c>
      <c r="C497" s="24">
        <f t="shared" si="13"/>
        <v>2898</v>
      </c>
      <c r="D497" s="4">
        <f t="shared" si="12"/>
        <v>214.48069306930682</v>
      </c>
      <c r="E497" s="6"/>
      <c r="F497" s="3"/>
      <c r="G497" s="4"/>
      <c r="H497" s="6"/>
      <c r="L497" s="27">
        <v>2898</v>
      </c>
    </row>
    <row r="498" spans="1:12" x14ac:dyDescent="0.2">
      <c r="A498" s="31">
        <v>154</v>
      </c>
      <c r="B498" s="2">
        <v>490</v>
      </c>
      <c r="C498" s="24">
        <f t="shared" si="13"/>
        <v>3024</v>
      </c>
      <c r="D498" s="4">
        <f t="shared" si="12"/>
        <v>223.80594059405928</v>
      </c>
      <c r="E498" s="6"/>
      <c r="F498" s="3"/>
      <c r="G498" s="4"/>
      <c r="H498" s="6"/>
      <c r="L498" s="27">
        <v>3024</v>
      </c>
    </row>
    <row r="499" spans="1:12" x14ac:dyDescent="0.2">
      <c r="A499" s="31">
        <v>155</v>
      </c>
      <c r="B499" s="2">
        <v>491</v>
      </c>
      <c r="C499" s="24">
        <f t="shared" si="13"/>
        <v>3150.0000000000005</v>
      </c>
      <c r="D499" s="4">
        <f t="shared" si="12"/>
        <v>233.13118811881179</v>
      </c>
      <c r="E499" s="6"/>
      <c r="F499" s="3"/>
      <c r="G499" s="4"/>
      <c r="H499" s="6"/>
      <c r="L499" s="27">
        <v>3150</v>
      </c>
    </row>
    <row r="500" spans="1:12" x14ac:dyDescent="0.2">
      <c r="A500" s="31">
        <v>156</v>
      </c>
      <c r="B500" s="2">
        <v>492</v>
      </c>
      <c r="C500" s="24">
        <f t="shared" si="13"/>
        <v>3276.0000000000009</v>
      </c>
      <c r="D500" s="4">
        <f t="shared" si="12"/>
        <v>242.45643564356428</v>
      </c>
      <c r="E500" s="6"/>
      <c r="F500" s="3"/>
      <c r="G500" s="4"/>
      <c r="H500" s="6"/>
      <c r="L500" s="27">
        <v>3276</v>
      </c>
    </row>
    <row r="501" spans="1:12" x14ac:dyDescent="0.2">
      <c r="A501" s="31">
        <v>157</v>
      </c>
      <c r="B501" s="2">
        <v>493</v>
      </c>
      <c r="C501" s="24">
        <f t="shared" si="13"/>
        <v>3402.0000000000005</v>
      </c>
      <c r="D501" s="4">
        <f t="shared" si="12"/>
        <v>251.78168316831673</v>
      </c>
      <c r="E501" s="6"/>
      <c r="F501" s="3"/>
      <c r="G501" s="4"/>
      <c r="H501" s="6"/>
      <c r="L501" s="27">
        <v>3402</v>
      </c>
    </row>
    <row r="502" spans="1:12" x14ac:dyDescent="0.2">
      <c r="A502" s="31">
        <v>158</v>
      </c>
      <c r="B502" s="2">
        <v>494</v>
      </c>
      <c r="C502" s="24">
        <f t="shared" si="13"/>
        <v>3528.0000000000009</v>
      </c>
      <c r="D502" s="4">
        <f t="shared" si="12"/>
        <v>261.10693069306922</v>
      </c>
      <c r="E502" s="6"/>
      <c r="F502" s="3"/>
      <c r="G502" s="4"/>
      <c r="H502" s="6"/>
      <c r="L502" s="27">
        <v>3528</v>
      </c>
    </row>
    <row r="503" spans="1:12" x14ac:dyDescent="0.2">
      <c r="A503" s="31">
        <v>159</v>
      </c>
      <c r="B503" s="2">
        <v>495</v>
      </c>
      <c r="C503" s="24">
        <f t="shared" si="13"/>
        <v>3402</v>
      </c>
      <c r="D503" s="4">
        <f t="shared" si="12"/>
        <v>251.7816831683167</v>
      </c>
      <c r="E503" s="6"/>
      <c r="F503" s="3"/>
      <c r="G503" s="4"/>
      <c r="H503" s="6"/>
      <c r="L503" s="27">
        <v>3402</v>
      </c>
    </row>
    <row r="504" spans="1:12" x14ac:dyDescent="0.2">
      <c r="A504" s="31">
        <v>160</v>
      </c>
      <c r="B504" s="2">
        <v>496</v>
      </c>
      <c r="C504" s="24">
        <f t="shared" si="13"/>
        <v>3527.9999999999995</v>
      </c>
      <c r="D504" s="4">
        <f t="shared" si="12"/>
        <v>261.1069306930691</v>
      </c>
      <c r="E504" s="6"/>
      <c r="F504" s="3"/>
      <c r="G504" s="4"/>
      <c r="H504" s="6"/>
      <c r="L504" s="27">
        <v>3528</v>
      </c>
    </row>
    <row r="505" spans="1:12" x14ac:dyDescent="0.2">
      <c r="A505" s="31">
        <v>161</v>
      </c>
      <c r="B505" s="2">
        <v>497</v>
      </c>
      <c r="C505" s="24">
        <f t="shared" si="13"/>
        <v>4032</v>
      </c>
      <c r="D505" s="4">
        <f t="shared" si="12"/>
        <v>298.40792079207904</v>
      </c>
      <c r="E505" s="6"/>
      <c r="F505" s="3"/>
      <c r="G505" s="4"/>
      <c r="H505" s="6"/>
      <c r="L505" s="27">
        <v>4032</v>
      </c>
    </row>
    <row r="506" spans="1:12" x14ac:dyDescent="0.2">
      <c r="A506" s="31">
        <v>162</v>
      </c>
      <c r="B506" s="2">
        <v>498</v>
      </c>
      <c r="C506" s="24">
        <f t="shared" si="13"/>
        <v>3905.9999999999995</v>
      </c>
      <c r="D506" s="4">
        <f t="shared" si="12"/>
        <v>289.08267326732653</v>
      </c>
      <c r="E506" s="6"/>
      <c r="F506" s="3"/>
      <c r="G506" s="4"/>
      <c r="H506" s="6"/>
      <c r="L506" s="27">
        <v>3906</v>
      </c>
    </row>
    <row r="507" spans="1:12" x14ac:dyDescent="0.2">
      <c r="A507" s="31">
        <v>163</v>
      </c>
      <c r="B507" s="2">
        <v>499</v>
      </c>
      <c r="C507" s="24">
        <f t="shared" si="13"/>
        <v>4157.9999999999991</v>
      </c>
      <c r="D507" s="4">
        <f t="shared" si="12"/>
        <v>307.73316831683144</v>
      </c>
      <c r="E507" s="6"/>
      <c r="F507" s="3"/>
      <c r="G507" s="4"/>
      <c r="H507" s="6"/>
      <c r="L507" s="27">
        <v>4158</v>
      </c>
    </row>
    <row r="508" spans="1:12" x14ac:dyDescent="0.2">
      <c r="A508" s="31">
        <v>164</v>
      </c>
      <c r="B508" s="2">
        <v>500</v>
      </c>
      <c r="C508" s="24">
        <f t="shared" si="13"/>
        <v>3880.7999999999997</v>
      </c>
      <c r="D508" s="4">
        <f t="shared" si="12"/>
        <v>287.21762376237604</v>
      </c>
      <c r="E508" s="6"/>
      <c r="F508" s="3"/>
      <c r="G508" s="4"/>
      <c r="H508" s="6"/>
      <c r="L508" s="27">
        <v>3880.8</v>
      </c>
    </row>
    <row r="509" spans="1:12" x14ac:dyDescent="0.2">
      <c r="A509" s="31">
        <v>165</v>
      </c>
      <c r="B509" s="2">
        <v>501</v>
      </c>
      <c r="C509" s="24">
        <f t="shared" si="13"/>
        <v>3603.6000000000004</v>
      </c>
      <c r="D509" s="4">
        <f t="shared" si="12"/>
        <v>266.70207920792063</v>
      </c>
      <c r="E509" s="6"/>
      <c r="F509" s="3"/>
      <c r="G509" s="4"/>
      <c r="H509" s="6"/>
      <c r="L509" s="27">
        <v>3603.6</v>
      </c>
    </row>
    <row r="510" spans="1:12" x14ac:dyDescent="0.2">
      <c r="A510" s="31">
        <v>166</v>
      </c>
      <c r="B510" s="2">
        <v>502</v>
      </c>
      <c r="C510" s="24">
        <f t="shared" si="13"/>
        <v>3326.3999999999996</v>
      </c>
      <c r="D510" s="4">
        <f t="shared" si="12"/>
        <v>246.1865346534652</v>
      </c>
      <c r="E510" s="6"/>
      <c r="F510" s="3"/>
      <c r="G510" s="4"/>
      <c r="H510" s="6"/>
      <c r="L510" s="27">
        <v>3326.4</v>
      </c>
    </row>
    <row r="511" spans="1:12" x14ac:dyDescent="0.2">
      <c r="A511" s="31">
        <v>167</v>
      </c>
      <c r="B511" s="2">
        <v>503</v>
      </c>
      <c r="C511" s="24">
        <f t="shared" si="13"/>
        <v>3049.2</v>
      </c>
      <c r="D511" s="4">
        <f t="shared" si="12"/>
        <v>225.67099009900977</v>
      </c>
      <c r="E511" s="6"/>
      <c r="F511" s="3"/>
      <c r="G511" s="4"/>
      <c r="H511" s="6"/>
      <c r="L511" s="27">
        <v>3049.2</v>
      </c>
    </row>
    <row r="512" spans="1:12" x14ac:dyDescent="0.2">
      <c r="A512" s="31">
        <v>168</v>
      </c>
      <c r="B512" s="2">
        <v>504</v>
      </c>
      <c r="C512" s="24">
        <f t="shared" si="13"/>
        <v>2772</v>
      </c>
      <c r="D512" s="4">
        <f t="shared" si="12"/>
        <v>205.15544554455434</v>
      </c>
      <c r="E512" s="6"/>
      <c r="F512" s="3"/>
      <c r="G512" s="4"/>
      <c r="H512" s="6"/>
      <c r="L512" s="27">
        <v>2772</v>
      </c>
    </row>
    <row r="513" spans="1:12" x14ac:dyDescent="0.2">
      <c r="A513" s="31">
        <v>1</v>
      </c>
      <c r="B513" s="2">
        <v>505</v>
      </c>
      <c r="C513" s="24">
        <f>C9</f>
        <v>2142</v>
      </c>
      <c r="D513" s="4">
        <f t="shared" si="12"/>
        <v>158.529207920792</v>
      </c>
      <c r="E513" s="6"/>
      <c r="F513" s="3"/>
      <c r="G513" s="4"/>
      <c r="H513" s="6"/>
      <c r="L513" s="27">
        <v>2142</v>
      </c>
    </row>
    <row r="514" spans="1:12" x14ac:dyDescent="0.2">
      <c r="A514" s="31">
        <v>2</v>
      </c>
      <c r="B514" s="2">
        <v>506</v>
      </c>
      <c r="C514" s="24">
        <f t="shared" ref="C514:C577" si="14">C10</f>
        <v>2016</v>
      </c>
      <c r="D514" s="4">
        <f t="shared" si="12"/>
        <v>149.20396039603952</v>
      </c>
      <c r="E514" s="6"/>
      <c r="F514" s="3"/>
      <c r="G514" s="4"/>
      <c r="H514" s="6"/>
      <c r="L514" s="27">
        <v>2016</v>
      </c>
    </row>
    <row r="515" spans="1:12" x14ac:dyDescent="0.2">
      <c r="A515" s="31">
        <v>3</v>
      </c>
      <c r="B515" s="2">
        <v>507</v>
      </c>
      <c r="C515" s="24">
        <f t="shared" si="14"/>
        <v>2142</v>
      </c>
      <c r="D515" s="4">
        <f t="shared" si="12"/>
        <v>158.529207920792</v>
      </c>
      <c r="E515" s="6"/>
      <c r="F515" s="3"/>
      <c r="G515" s="4"/>
      <c r="H515" s="6"/>
      <c r="L515" s="27">
        <v>2142</v>
      </c>
    </row>
    <row r="516" spans="1:12" x14ac:dyDescent="0.2">
      <c r="A516" s="31">
        <v>4</v>
      </c>
      <c r="B516" s="2">
        <v>508</v>
      </c>
      <c r="C516" s="24">
        <f t="shared" si="14"/>
        <v>2268</v>
      </c>
      <c r="D516" s="4">
        <f t="shared" si="12"/>
        <v>167.85445544554446</v>
      </c>
      <c r="E516" s="6"/>
      <c r="F516" s="3"/>
      <c r="G516" s="4"/>
      <c r="H516" s="6"/>
      <c r="L516" s="27">
        <v>2268</v>
      </c>
    </row>
    <row r="517" spans="1:12" x14ac:dyDescent="0.2">
      <c r="A517" s="31">
        <v>5</v>
      </c>
      <c r="B517" s="2">
        <v>509</v>
      </c>
      <c r="C517" s="24">
        <f t="shared" si="14"/>
        <v>2582.9999999999995</v>
      </c>
      <c r="D517" s="4">
        <f t="shared" si="12"/>
        <v>191.1675742574256</v>
      </c>
      <c r="E517" s="6"/>
      <c r="F517" s="3"/>
      <c r="G517" s="4"/>
      <c r="H517" s="6"/>
      <c r="L517" s="27">
        <v>2583</v>
      </c>
    </row>
    <row r="518" spans="1:12" x14ac:dyDescent="0.2">
      <c r="A518" s="31">
        <v>6</v>
      </c>
      <c r="B518" s="2">
        <v>510</v>
      </c>
      <c r="C518" s="24">
        <f t="shared" si="14"/>
        <v>2771.9999999999995</v>
      </c>
      <c r="D518" s="4">
        <f t="shared" si="12"/>
        <v>205.15544554455431</v>
      </c>
      <c r="E518" s="6"/>
      <c r="F518" s="3"/>
      <c r="G518" s="4"/>
      <c r="H518" s="6"/>
      <c r="L518" s="27">
        <v>2772</v>
      </c>
    </row>
    <row r="519" spans="1:12" x14ac:dyDescent="0.2">
      <c r="A519" s="31">
        <v>7</v>
      </c>
      <c r="B519" s="2">
        <v>511</v>
      </c>
      <c r="C519" s="24">
        <f t="shared" si="14"/>
        <v>2960.9999999999995</v>
      </c>
      <c r="D519" s="4">
        <f t="shared" si="12"/>
        <v>219.14331683168302</v>
      </c>
      <c r="E519" s="6"/>
      <c r="F519" s="3"/>
      <c r="G519" s="4"/>
      <c r="H519" s="6"/>
      <c r="L519" s="27">
        <v>2961</v>
      </c>
    </row>
    <row r="520" spans="1:12" x14ac:dyDescent="0.2">
      <c r="A520" s="31">
        <v>8</v>
      </c>
      <c r="B520" s="2">
        <v>512</v>
      </c>
      <c r="C520" s="24">
        <f t="shared" si="14"/>
        <v>3149.9999999999991</v>
      </c>
      <c r="D520" s="4">
        <f t="shared" si="12"/>
        <v>233.13118811881168</v>
      </c>
      <c r="E520" s="6"/>
      <c r="F520" s="3"/>
      <c r="G520" s="4"/>
      <c r="H520" s="6"/>
      <c r="L520" s="27">
        <v>3150</v>
      </c>
    </row>
    <row r="521" spans="1:12" x14ac:dyDescent="0.2">
      <c r="A521" s="31">
        <v>9</v>
      </c>
      <c r="B521" s="2">
        <v>513</v>
      </c>
      <c r="C521" s="24">
        <f t="shared" si="14"/>
        <v>3338.9999999999991</v>
      </c>
      <c r="D521" s="4">
        <f t="shared" si="12"/>
        <v>247.11905940594039</v>
      </c>
      <c r="E521" s="6"/>
      <c r="F521" s="3"/>
      <c r="G521" s="4"/>
      <c r="H521" s="6"/>
      <c r="L521" s="27">
        <v>3339</v>
      </c>
    </row>
    <row r="522" spans="1:12" x14ac:dyDescent="0.2">
      <c r="A522" s="31">
        <v>10</v>
      </c>
      <c r="B522" s="2">
        <v>514</v>
      </c>
      <c r="C522" s="24">
        <f t="shared" si="14"/>
        <v>3527.9999999999986</v>
      </c>
      <c r="D522" s="4">
        <f t="shared" ref="D522:D585" si="15">$G$6*C522*(1/$G$8-1/$G$7)</f>
        <v>261.10693069306905</v>
      </c>
      <c r="E522" s="6"/>
      <c r="F522" s="3"/>
      <c r="G522" s="4"/>
      <c r="H522" s="6"/>
      <c r="L522" s="27">
        <v>3528</v>
      </c>
    </row>
    <row r="523" spans="1:12" x14ac:dyDescent="0.2">
      <c r="A523" s="31">
        <v>11</v>
      </c>
      <c r="B523" s="2">
        <v>515</v>
      </c>
      <c r="C523" s="24">
        <f t="shared" si="14"/>
        <v>3716.9999999999986</v>
      </c>
      <c r="D523" s="4">
        <f t="shared" si="15"/>
        <v>275.09480198019776</v>
      </c>
      <c r="E523" s="6"/>
      <c r="F523" s="3"/>
      <c r="G523" s="4"/>
      <c r="H523" s="6"/>
      <c r="L523" s="27">
        <v>3717</v>
      </c>
    </row>
    <row r="524" spans="1:12" x14ac:dyDescent="0.2">
      <c r="A524" s="31">
        <v>12</v>
      </c>
      <c r="B524" s="2">
        <v>516</v>
      </c>
      <c r="C524" s="24">
        <f t="shared" si="14"/>
        <v>3905.9999999999986</v>
      </c>
      <c r="D524" s="4">
        <f t="shared" si="15"/>
        <v>289.08267326732647</v>
      </c>
      <c r="E524" s="6"/>
      <c r="F524" s="3"/>
      <c r="G524" s="4"/>
      <c r="H524" s="6"/>
      <c r="L524" s="27">
        <v>3906</v>
      </c>
    </row>
    <row r="525" spans="1:12" x14ac:dyDescent="0.2">
      <c r="A525" s="31">
        <v>13</v>
      </c>
      <c r="B525" s="2">
        <v>517</v>
      </c>
      <c r="C525" s="24">
        <f t="shared" si="14"/>
        <v>4094.9999999999995</v>
      </c>
      <c r="D525" s="4">
        <f t="shared" si="15"/>
        <v>303.07054455445524</v>
      </c>
      <c r="E525" s="6"/>
      <c r="F525" s="3"/>
      <c r="G525" s="4"/>
      <c r="H525" s="6"/>
      <c r="L525" s="27">
        <v>4095</v>
      </c>
    </row>
    <row r="526" spans="1:12" x14ac:dyDescent="0.2">
      <c r="A526" s="31">
        <v>14</v>
      </c>
      <c r="B526" s="2">
        <v>518</v>
      </c>
      <c r="C526" s="24">
        <f t="shared" si="14"/>
        <v>4284</v>
      </c>
      <c r="D526" s="4">
        <f t="shared" si="15"/>
        <v>317.05841584158401</v>
      </c>
      <c r="E526" s="6"/>
      <c r="F526" s="3"/>
      <c r="G526" s="4"/>
      <c r="H526" s="6"/>
      <c r="L526" s="27">
        <v>4284</v>
      </c>
    </row>
    <row r="527" spans="1:12" x14ac:dyDescent="0.2">
      <c r="A527" s="31">
        <v>15</v>
      </c>
      <c r="B527" s="2">
        <v>519</v>
      </c>
      <c r="C527" s="24">
        <f t="shared" si="14"/>
        <v>4157.9999999999991</v>
      </c>
      <c r="D527" s="4">
        <f t="shared" si="15"/>
        <v>307.73316831683144</v>
      </c>
      <c r="E527" s="6"/>
      <c r="F527" s="3"/>
      <c r="G527" s="4"/>
      <c r="H527" s="6"/>
      <c r="L527" s="27">
        <v>4158</v>
      </c>
    </row>
    <row r="528" spans="1:12" x14ac:dyDescent="0.2">
      <c r="A528" s="31">
        <v>16</v>
      </c>
      <c r="B528" s="2">
        <v>520</v>
      </c>
      <c r="C528" s="24">
        <f t="shared" si="14"/>
        <v>4326</v>
      </c>
      <c r="D528" s="4">
        <f t="shared" si="15"/>
        <v>320.16683168316814</v>
      </c>
      <c r="E528" s="6"/>
      <c r="F528" s="3"/>
      <c r="G528" s="4"/>
      <c r="H528" s="6"/>
      <c r="L528" s="27">
        <v>4326</v>
      </c>
    </row>
    <row r="529" spans="1:12" x14ac:dyDescent="0.2">
      <c r="A529" s="31">
        <v>17</v>
      </c>
      <c r="B529" s="2">
        <v>521</v>
      </c>
      <c r="C529" s="24">
        <f t="shared" si="14"/>
        <v>4914</v>
      </c>
      <c r="D529" s="4">
        <f t="shared" si="15"/>
        <v>363.68465346534634</v>
      </c>
      <c r="E529" s="6"/>
      <c r="F529" s="3"/>
      <c r="G529" s="4"/>
      <c r="H529" s="6"/>
      <c r="L529" s="27">
        <v>4914</v>
      </c>
    </row>
    <row r="530" spans="1:12" x14ac:dyDescent="0.2">
      <c r="A530" s="31">
        <v>18</v>
      </c>
      <c r="B530" s="2">
        <v>522</v>
      </c>
      <c r="C530" s="24">
        <f t="shared" si="14"/>
        <v>4787.9999999999991</v>
      </c>
      <c r="D530" s="4">
        <f t="shared" si="15"/>
        <v>354.35940594059377</v>
      </c>
      <c r="E530" s="6"/>
      <c r="F530" s="3"/>
      <c r="G530" s="4"/>
      <c r="H530" s="6"/>
      <c r="L530" s="27">
        <v>4788</v>
      </c>
    </row>
    <row r="531" spans="1:12" x14ac:dyDescent="0.2">
      <c r="A531" s="31">
        <v>19</v>
      </c>
      <c r="B531" s="2">
        <v>523</v>
      </c>
      <c r="C531" s="24">
        <f t="shared" si="14"/>
        <v>5039.9999999999991</v>
      </c>
      <c r="D531" s="4">
        <f t="shared" si="15"/>
        <v>373.00990099009874</v>
      </c>
      <c r="E531" s="6"/>
      <c r="F531" s="3"/>
      <c r="G531" s="4"/>
      <c r="H531" s="6"/>
      <c r="L531" s="27">
        <v>5040</v>
      </c>
    </row>
    <row r="532" spans="1:12" x14ac:dyDescent="0.2">
      <c r="A532" s="31">
        <v>20</v>
      </c>
      <c r="B532" s="2">
        <v>524</v>
      </c>
      <c r="C532" s="24">
        <f t="shared" si="14"/>
        <v>4787.9999999999991</v>
      </c>
      <c r="D532" s="4">
        <f t="shared" si="15"/>
        <v>354.35940594059377</v>
      </c>
      <c r="E532" s="6"/>
      <c r="F532" s="3"/>
      <c r="G532" s="4"/>
      <c r="H532" s="6"/>
      <c r="L532" s="27">
        <v>4788</v>
      </c>
    </row>
    <row r="533" spans="1:12" x14ac:dyDescent="0.2">
      <c r="A533" s="31">
        <v>21</v>
      </c>
      <c r="B533" s="2">
        <v>525</v>
      </c>
      <c r="C533" s="24">
        <f t="shared" si="14"/>
        <v>5165.9999999999991</v>
      </c>
      <c r="D533" s="4">
        <f t="shared" si="15"/>
        <v>382.3351485148512</v>
      </c>
      <c r="E533" s="6"/>
      <c r="F533" s="3"/>
      <c r="G533" s="4"/>
      <c r="H533" s="6"/>
      <c r="L533" s="27">
        <v>5166</v>
      </c>
    </row>
    <row r="534" spans="1:12" x14ac:dyDescent="0.2">
      <c r="A534" s="31">
        <v>22</v>
      </c>
      <c r="B534" s="2">
        <v>526</v>
      </c>
      <c r="C534" s="24">
        <f t="shared" si="14"/>
        <v>4536</v>
      </c>
      <c r="D534" s="4">
        <f t="shared" si="15"/>
        <v>335.70891089108892</v>
      </c>
      <c r="E534" s="6"/>
      <c r="F534" s="3"/>
      <c r="G534" s="4"/>
      <c r="H534" s="6"/>
      <c r="L534" s="27">
        <v>4536</v>
      </c>
    </row>
    <row r="535" spans="1:12" x14ac:dyDescent="0.2">
      <c r="A535" s="31">
        <v>23</v>
      </c>
      <c r="B535" s="2">
        <v>527</v>
      </c>
      <c r="C535" s="24">
        <f t="shared" si="14"/>
        <v>3905.9999999999986</v>
      </c>
      <c r="D535" s="4">
        <f t="shared" si="15"/>
        <v>289.08267326732647</v>
      </c>
      <c r="E535" s="6"/>
      <c r="F535" s="3"/>
      <c r="G535" s="4"/>
      <c r="H535" s="6"/>
      <c r="L535" s="27">
        <v>3906</v>
      </c>
    </row>
    <row r="536" spans="1:12" x14ac:dyDescent="0.2">
      <c r="A536" s="31">
        <v>24</v>
      </c>
      <c r="B536" s="2">
        <v>528</v>
      </c>
      <c r="C536" s="24">
        <f t="shared" si="14"/>
        <v>3275.9999999999991</v>
      </c>
      <c r="D536" s="4">
        <f t="shared" si="15"/>
        <v>242.45643564356416</v>
      </c>
      <c r="E536" s="6"/>
      <c r="F536" s="3"/>
      <c r="G536" s="4"/>
      <c r="H536" s="6"/>
      <c r="L536" s="27">
        <v>3276</v>
      </c>
    </row>
    <row r="537" spans="1:12" x14ac:dyDescent="0.2">
      <c r="A537" s="31">
        <v>25</v>
      </c>
      <c r="B537" s="2">
        <v>529</v>
      </c>
      <c r="C537" s="24">
        <f t="shared" si="14"/>
        <v>2142</v>
      </c>
      <c r="D537" s="4">
        <f t="shared" si="15"/>
        <v>158.529207920792</v>
      </c>
      <c r="E537" s="6"/>
      <c r="F537" s="3"/>
      <c r="G537" s="4"/>
      <c r="H537" s="6"/>
      <c r="L537" s="27">
        <v>2142</v>
      </c>
    </row>
    <row r="538" spans="1:12" x14ac:dyDescent="0.2">
      <c r="A538" s="31">
        <v>26</v>
      </c>
      <c r="B538" s="2">
        <v>530</v>
      </c>
      <c r="C538" s="24">
        <f t="shared" si="14"/>
        <v>2016</v>
      </c>
      <c r="D538" s="4">
        <f t="shared" si="15"/>
        <v>149.20396039603952</v>
      </c>
      <c r="E538" s="6"/>
      <c r="F538" s="3"/>
      <c r="G538" s="4"/>
      <c r="H538" s="6"/>
      <c r="L538" s="27">
        <v>2016</v>
      </c>
    </row>
    <row r="539" spans="1:12" x14ac:dyDescent="0.2">
      <c r="A539" s="31">
        <v>27</v>
      </c>
      <c r="B539" s="2">
        <v>531</v>
      </c>
      <c r="C539" s="24">
        <f t="shared" si="14"/>
        <v>2167.1999999999998</v>
      </c>
      <c r="D539" s="4">
        <f t="shared" si="15"/>
        <v>160.39425742574247</v>
      </c>
      <c r="E539" s="6"/>
      <c r="F539" s="3"/>
      <c r="G539" s="4"/>
      <c r="H539" s="6"/>
      <c r="L539" s="27">
        <v>2167.1999999999998</v>
      </c>
    </row>
    <row r="540" spans="1:12" x14ac:dyDescent="0.2">
      <c r="A540" s="31">
        <v>28</v>
      </c>
      <c r="B540" s="2">
        <v>532</v>
      </c>
      <c r="C540" s="24">
        <f t="shared" si="14"/>
        <v>2268</v>
      </c>
      <c r="D540" s="4">
        <f t="shared" si="15"/>
        <v>167.85445544554446</v>
      </c>
      <c r="E540" s="6"/>
      <c r="F540" s="3"/>
      <c r="G540" s="4"/>
      <c r="H540" s="6"/>
      <c r="L540" s="27">
        <v>2268</v>
      </c>
    </row>
    <row r="541" spans="1:12" x14ac:dyDescent="0.2">
      <c r="A541" s="31">
        <v>29</v>
      </c>
      <c r="B541" s="2">
        <v>533</v>
      </c>
      <c r="C541" s="24">
        <f t="shared" si="14"/>
        <v>2502</v>
      </c>
      <c r="D541" s="4">
        <f t="shared" si="15"/>
        <v>185.17277227722761</v>
      </c>
      <c r="E541" s="6"/>
      <c r="F541" s="3"/>
      <c r="G541" s="4"/>
      <c r="H541" s="6"/>
      <c r="L541" s="27">
        <v>2502</v>
      </c>
    </row>
    <row r="542" spans="1:12" x14ac:dyDescent="0.2">
      <c r="A542" s="31">
        <v>30</v>
      </c>
      <c r="B542" s="2">
        <v>534</v>
      </c>
      <c r="C542" s="24">
        <f t="shared" si="14"/>
        <v>2664</v>
      </c>
      <c r="D542" s="4">
        <f t="shared" si="15"/>
        <v>197.16237623762365</v>
      </c>
      <c r="E542" s="6"/>
      <c r="F542" s="3"/>
      <c r="G542" s="4"/>
      <c r="H542" s="6"/>
      <c r="L542" s="27">
        <v>2664</v>
      </c>
    </row>
    <row r="543" spans="1:12" x14ac:dyDescent="0.2">
      <c r="A543" s="31">
        <v>31</v>
      </c>
      <c r="B543" s="2">
        <v>535</v>
      </c>
      <c r="C543" s="24">
        <f t="shared" si="14"/>
        <v>2825.9999999999995</v>
      </c>
      <c r="D543" s="4">
        <f t="shared" si="15"/>
        <v>209.15198019801966</v>
      </c>
      <c r="E543" s="6"/>
      <c r="F543" s="3"/>
      <c r="G543" s="4"/>
      <c r="H543" s="6"/>
      <c r="L543" s="27">
        <v>2826</v>
      </c>
    </row>
    <row r="544" spans="1:12" x14ac:dyDescent="0.2">
      <c r="A544" s="31">
        <v>32</v>
      </c>
      <c r="B544" s="2">
        <v>536</v>
      </c>
      <c r="C544" s="24">
        <f t="shared" si="14"/>
        <v>2988</v>
      </c>
      <c r="D544" s="4">
        <f t="shared" si="15"/>
        <v>221.14158415841572</v>
      </c>
      <c r="E544" s="6"/>
      <c r="F544" s="3"/>
      <c r="G544" s="4"/>
      <c r="H544" s="6"/>
      <c r="L544" s="27">
        <v>2988</v>
      </c>
    </row>
    <row r="545" spans="1:12" x14ac:dyDescent="0.2">
      <c r="A545" s="31">
        <v>33</v>
      </c>
      <c r="B545" s="2">
        <v>537</v>
      </c>
      <c r="C545" s="24">
        <f t="shared" si="14"/>
        <v>3149.9999999999995</v>
      </c>
      <c r="D545" s="4">
        <f t="shared" si="15"/>
        <v>233.13118811881171</v>
      </c>
      <c r="E545" s="6"/>
      <c r="F545" s="3"/>
      <c r="G545" s="4"/>
      <c r="H545" s="6"/>
      <c r="L545" s="27">
        <v>3150</v>
      </c>
    </row>
    <row r="546" spans="1:12" x14ac:dyDescent="0.2">
      <c r="A546" s="31">
        <v>34</v>
      </c>
      <c r="B546" s="2">
        <v>538</v>
      </c>
      <c r="C546" s="24">
        <f t="shared" si="14"/>
        <v>3312</v>
      </c>
      <c r="D546" s="4">
        <f t="shared" si="15"/>
        <v>245.12079207920777</v>
      </c>
      <c r="E546" s="6"/>
      <c r="F546" s="3"/>
      <c r="G546" s="4"/>
      <c r="H546" s="6"/>
      <c r="L546" s="27">
        <v>3312</v>
      </c>
    </row>
    <row r="547" spans="1:12" x14ac:dyDescent="0.2">
      <c r="A547" s="31">
        <v>35</v>
      </c>
      <c r="B547" s="2">
        <v>539</v>
      </c>
      <c r="C547" s="24">
        <f t="shared" si="14"/>
        <v>3473.9999999999995</v>
      </c>
      <c r="D547" s="4">
        <f t="shared" si="15"/>
        <v>257.11039603960381</v>
      </c>
      <c r="E547" s="6"/>
      <c r="F547" s="3"/>
      <c r="G547" s="4"/>
      <c r="H547" s="6"/>
      <c r="L547" s="27">
        <v>3474</v>
      </c>
    </row>
    <row r="548" spans="1:12" x14ac:dyDescent="0.2">
      <c r="A548" s="31">
        <v>36</v>
      </c>
      <c r="B548" s="2">
        <v>540</v>
      </c>
      <c r="C548" s="24">
        <f t="shared" si="14"/>
        <v>3635.9999999999995</v>
      </c>
      <c r="D548" s="4">
        <f t="shared" si="15"/>
        <v>269.0999999999998</v>
      </c>
      <c r="E548" s="6"/>
      <c r="F548" s="3"/>
      <c r="G548" s="4"/>
      <c r="H548" s="6"/>
      <c r="L548" s="27">
        <v>3636</v>
      </c>
    </row>
    <row r="549" spans="1:12" x14ac:dyDescent="0.2">
      <c r="A549" s="31">
        <v>37</v>
      </c>
      <c r="B549" s="2">
        <v>541</v>
      </c>
      <c r="C549" s="24">
        <f t="shared" si="14"/>
        <v>3797.9999999999991</v>
      </c>
      <c r="D549" s="4">
        <f t="shared" si="15"/>
        <v>281.08960396039583</v>
      </c>
      <c r="E549" s="6"/>
      <c r="F549" s="3"/>
      <c r="G549" s="4"/>
      <c r="H549" s="6"/>
      <c r="L549" s="27">
        <v>3798</v>
      </c>
    </row>
    <row r="550" spans="1:12" x14ac:dyDescent="0.2">
      <c r="A550" s="31">
        <v>38</v>
      </c>
      <c r="B550" s="2">
        <v>542</v>
      </c>
      <c r="C550" s="24">
        <f t="shared" si="14"/>
        <v>3959.9999999999995</v>
      </c>
      <c r="D550" s="4">
        <f t="shared" si="15"/>
        <v>293.07920792079187</v>
      </c>
      <c r="E550" s="6"/>
      <c r="F550" s="3"/>
      <c r="G550" s="4"/>
      <c r="H550" s="6"/>
      <c r="L550" s="27">
        <v>3960</v>
      </c>
    </row>
    <row r="551" spans="1:12" x14ac:dyDescent="0.2">
      <c r="A551" s="31">
        <v>39</v>
      </c>
      <c r="B551" s="2">
        <v>543</v>
      </c>
      <c r="C551" s="24">
        <f t="shared" si="14"/>
        <v>4122</v>
      </c>
      <c r="D551" s="4">
        <f t="shared" si="15"/>
        <v>305.06881188118797</v>
      </c>
      <c r="E551" s="6"/>
      <c r="F551" s="3"/>
      <c r="G551" s="4"/>
      <c r="H551" s="6"/>
      <c r="L551" s="27">
        <v>4122</v>
      </c>
    </row>
    <row r="552" spans="1:12" x14ac:dyDescent="0.2">
      <c r="A552" s="31">
        <v>40</v>
      </c>
      <c r="B552" s="2">
        <v>544</v>
      </c>
      <c r="C552" s="24">
        <f t="shared" si="14"/>
        <v>4284</v>
      </c>
      <c r="D552" s="4">
        <f t="shared" si="15"/>
        <v>317.05841584158401</v>
      </c>
      <c r="E552" s="6"/>
      <c r="F552" s="3"/>
      <c r="G552" s="4"/>
      <c r="H552" s="6"/>
      <c r="L552" s="27">
        <v>4284</v>
      </c>
    </row>
    <row r="553" spans="1:12" x14ac:dyDescent="0.2">
      <c r="A553" s="31">
        <v>41</v>
      </c>
      <c r="B553" s="2">
        <v>545</v>
      </c>
      <c r="C553" s="24">
        <f t="shared" si="14"/>
        <v>4157.9999999999991</v>
      </c>
      <c r="D553" s="4">
        <f t="shared" si="15"/>
        <v>307.73316831683144</v>
      </c>
      <c r="E553" s="6"/>
      <c r="F553" s="3"/>
      <c r="G553" s="4"/>
      <c r="H553" s="6"/>
      <c r="L553" s="27">
        <v>4158</v>
      </c>
    </row>
    <row r="554" spans="1:12" x14ac:dyDescent="0.2">
      <c r="A554" s="31">
        <v>42</v>
      </c>
      <c r="B554" s="2">
        <v>546</v>
      </c>
      <c r="C554" s="24">
        <f t="shared" si="14"/>
        <v>4410</v>
      </c>
      <c r="D554" s="4">
        <f t="shared" si="15"/>
        <v>326.38366336633646</v>
      </c>
      <c r="E554" s="6"/>
      <c r="F554" s="3"/>
      <c r="G554" s="4"/>
      <c r="H554" s="6"/>
      <c r="L554" s="27">
        <v>4410</v>
      </c>
    </row>
    <row r="555" spans="1:12" x14ac:dyDescent="0.2">
      <c r="A555" s="31">
        <v>43</v>
      </c>
      <c r="B555" s="2">
        <v>547</v>
      </c>
      <c r="C555" s="24">
        <f t="shared" si="14"/>
        <v>4662</v>
      </c>
      <c r="D555" s="4">
        <f t="shared" si="15"/>
        <v>345.03415841584138</v>
      </c>
      <c r="E555" s="6"/>
      <c r="F555" s="3"/>
      <c r="G555" s="4"/>
      <c r="H555" s="6"/>
      <c r="L555" s="27">
        <v>4662</v>
      </c>
    </row>
    <row r="556" spans="1:12" x14ac:dyDescent="0.2">
      <c r="A556" s="31">
        <v>44</v>
      </c>
      <c r="B556" s="2">
        <v>548</v>
      </c>
      <c r="C556" s="24">
        <f t="shared" si="14"/>
        <v>4787.9999999999991</v>
      </c>
      <c r="D556" s="4">
        <f t="shared" si="15"/>
        <v>354.35940594059377</v>
      </c>
      <c r="E556" s="6"/>
      <c r="F556" s="3"/>
      <c r="G556" s="4"/>
      <c r="H556" s="6"/>
      <c r="L556" s="27">
        <v>4788</v>
      </c>
    </row>
    <row r="557" spans="1:12" x14ac:dyDescent="0.2">
      <c r="A557" s="31">
        <v>45</v>
      </c>
      <c r="B557" s="2">
        <v>549</v>
      </c>
      <c r="C557" s="24">
        <f t="shared" si="14"/>
        <v>5165.9999999999991</v>
      </c>
      <c r="D557" s="4">
        <f t="shared" si="15"/>
        <v>382.3351485148512</v>
      </c>
      <c r="E557" s="6"/>
      <c r="F557" s="3"/>
      <c r="G557" s="4"/>
      <c r="H557" s="6"/>
      <c r="L557" s="27">
        <v>5166</v>
      </c>
    </row>
    <row r="558" spans="1:12" x14ac:dyDescent="0.2">
      <c r="A558" s="31">
        <v>46</v>
      </c>
      <c r="B558" s="2">
        <v>550</v>
      </c>
      <c r="C558" s="24">
        <f t="shared" si="14"/>
        <v>4536</v>
      </c>
      <c r="D558" s="4">
        <f t="shared" si="15"/>
        <v>335.70891089108892</v>
      </c>
      <c r="E558" s="6"/>
      <c r="F558" s="3"/>
      <c r="G558" s="4"/>
      <c r="H558" s="6"/>
      <c r="L558" s="27">
        <v>4536</v>
      </c>
    </row>
    <row r="559" spans="1:12" x14ac:dyDescent="0.2">
      <c r="A559" s="31">
        <v>47</v>
      </c>
      <c r="B559" s="2">
        <v>551</v>
      </c>
      <c r="C559" s="24">
        <f t="shared" si="14"/>
        <v>3905.9999999999986</v>
      </c>
      <c r="D559" s="4">
        <f t="shared" si="15"/>
        <v>289.08267326732647</v>
      </c>
      <c r="E559" s="6"/>
      <c r="F559" s="3"/>
      <c r="G559" s="4"/>
      <c r="H559" s="6"/>
      <c r="L559" s="27">
        <v>3906</v>
      </c>
    </row>
    <row r="560" spans="1:12" x14ac:dyDescent="0.2">
      <c r="A560" s="31">
        <v>48</v>
      </c>
      <c r="B560" s="2">
        <v>552</v>
      </c>
      <c r="C560" s="24">
        <f t="shared" si="14"/>
        <v>3275.9999999999991</v>
      </c>
      <c r="D560" s="4">
        <f t="shared" si="15"/>
        <v>242.45643564356416</v>
      </c>
      <c r="E560" s="6"/>
      <c r="F560" s="3"/>
      <c r="G560" s="4"/>
      <c r="H560" s="6"/>
      <c r="L560" s="27">
        <v>3276</v>
      </c>
    </row>
    <row r="561" spans="1:12" x14ac:dyDescent="0.2">
      <c r="A561" s="31">
        <v>49</v>
      </c>
      <c r="B561" s="2">
        <v>553</v>
      </c>
      <c r="C561" s="24">
        <f t="shared" si="14"/>
        <v>2142</v>
      </c>
      <c r="D561" s="4">
        <f t="shared" si="15"/>
        <v>158.529207920792</v>
      </c>
      <c r="E561" s="6"/>
      <c r="F561" s="3"/>
      <c r="G561" s="4"/>
      <c r="H561" s="6"/>
      <c r="L561" s="27">
        <v>2142</v>
      </c>
    </row>
    <row r="562" spans="1:12" x14ac:dyDescent="0.2">
      <c r="A562" s="31">
        <v>50</v>
      </c>
      <c r="B562" s="2">
        <v>554</v>
      </c>
      <c r="C562" s="24">
        <f t="shared" si="14"/>
        <v>2016</v>
      </c>
      <c r="D562" s="4">
        <f t="shared" si="15"/>
        <v>149.20396039603952</v>
      </c>
      <c r="E562" s="6"/>
      <c r="F562" s="3"/>
      <c r="G562" s="4"/>
      <c r="H562" s="6"/>
      <c r="L562" s="27">
        <v>2016</v>
      </c>
    </row>
    <row r="563" spans="1:12" x14ac:dyDescent="0.2">
      <c r="A563" s="31">
        <v>51</v>
      </c>
      <c r="B563" s="2">
        <v>555</v>
      </c>
      <c r="C563" s="24">
        <f t="shared" si="14"/>
        <v>2142</v>
      </c>
      <c r="D563" s="4">
        <f t="shared" si="15"/>
        <v>158.529207920792</v>
      </c>
      <c r="E563" s="6"/>
      <c r="F563" s="3"/>
      <c r="G563" s="4"/>
      <c r="H563" s="6"/>
      <c r="L563" s="27">
        <v>2142</v>
      </c>
    </row>
    <row r="564" spans="1:12" x14ac:dyDescent="0.2">
      <c r="A564" s="31">
        <v>52</v>
      </c>
      <c r="B564" s="2">
        <v>556</v>
      </c>
      <c r="C564" s="24">
        <f t="shared" si="14"/>
        <v>2268</v>
      </c>
      <c r="D564" s="4">
        <f t="shared" si="15"/>
        <v>167.85445544554446</v>
      </c>
      <c r="E564" s="6"/>
      <c r="F564" s="3"/>
      <c r="G564" s="4"/>
      <c r="H564" s="6"/>
      <c r="L564" s="27">
        <v>2268</v>
      </c>
    </row>
    <row r="565" spans="1:12" x14ac:dyDescent="0.2">
      <c r="A565" s="31">
        <v>53</v>
      </c>
      <c r="B565" s="2">
        <v>557</v>
      </c>
      <c r="C565" s="24">
        <f t="shared" si="14"/>
        <v>2539.3846153846148</v>
      </c>
      <c r="D565" s="4">
        <f t="shared" si="15"/>
        <v>187.93960396039591</v>
      </c>
      <c r="E565" s="6"/>
      <c r="F565" s="3"/>
      <c r="G565" s="4"/>
      <c r="H565" s="6"/>
      <c r="L565" s="27">
        <v>2539.4</v>
      </c>
    </row>
    <row r="566" spans="1:12" x14ac:dyDescent="0.2">
      <c r="A566" s="31">
        <v>54</v>
      </c>
      <c r="B566" s="2">
        <v>558</v>
      </c>
      <c r="C566" s="24">
        <f t="shared" si="14"/>
        <v>2713.8461538461538</v>
      </c>
      <c r="D566" s="4">
        <f t="shared" si="15"/>
        <v>200.85148514851474</v>
      </c>
      <c r="E566" s="6"/>
      <c r="F566" s="3"/>
      <c r="G566" s="4"/>
      <c r="H566" s="6"/>
      <c r="L566" s="27">
        <v>2713.8</v>
      </c>
    </row>
    <row r="567" spans="1:12" x14ac:dyDescent="0.2">
      <c r="A567" s="31">
        <v>55</v>
      </c>
      <c r="B567" s="2">
        <v>559</v>
      </c>
      <c r="C567" s="24">
        <f t="shared" si="14"/>
        <v>2888.3076923076919</v>
      </c>
      <c r="D567" s="4">
        <f t="shared" si="15"/>
        <v>213.76336633663351</v>
      </c>
      <c r="E567" s="6"/>
      <c r="F567" s="3"/>
      <c r="G567" s="4"/>
      <c r="H567" s="6"/>
      <c r="L567" s="27">
        <v>2888.3</v>
      </c>
    </row>
    <row r="568" spans="1:12" x14ac:dyDescent="0.2">
      <c r="A568" s="31">
        <v>56</v>
      </c>
      <c r="B568" s="2">
        <v>560</v>
      </c>
      <c r="C568" s="24">
        <f t="shared" si="14"/>
        <v>3062.7692307692296</v>
      </c>
      <c r="D568" s="4">
        <f t="shared" si="15"/>
        <v>226.67524752475225</v>
      </c>
      <c r="E568" s="6"/>
      <c r="F568" s="3"/>
      <c r="G568" s="4"/>
      <c r="H568" s="6"/>
      <c r="L568" s="27">
        <v>3062.8</v>
      </c>
    </row>
    <row r="569" spans="1:12" x14ac:dyDescent="0.2">
      <c r="A569" s="31">
        <v>57</v>
      </c>
      <c r="B569" s="2">
        <v>561</v>
      </c>
      <c r="C569" s="24">
        <f t="shared" si="14"/>
        <v>3237.2307692307686</v>
      </c>
      <c r="D569" s="4">
        <f t="shared" si="15"/>
        <v>239.58712871287113</v>
      </c>
      <c r="E569" s="6"/>
      <c r="F569" s="3"/>
      <c r="G569" s="4"/>
      <c r="H569" s="6"/>
      <c r="L569" s="27">
        <v>3237.2</v>
      </c>
    </row>
    <row r="570" spans="1:12" x14ac:dyDescent="0.2">
      <c r="A570" s="31">
        <v>58</v>
      </c>
      <c r="B570" s="2">
        <v>562</v>
      </c>
      <c r="C570" s="24">
        <f t="shared" si="14"/>
        <v>3411.6923076923072</v>
      </c>
      <c r="D570" s="4">
        <f t="shared" si="15"/>
        <v>252.49900990098993</v>
      </c>
      <c r="E570" s="6"/>
      <c r="F570" s="3"/>
      <c r="G570" s="4"/>
      <c r="H570" s="6"/>
      <c r="L570" s="27">
        <v>3411.7</v>
      </c>
    </row>
    <row r="571" spans="1:12" x14ac:dyDescent="0.2">
      <c r="A571" s="31">
        <v>59</v>
      </c>
      <c r="B571" s="2">
        <v>563</v>
      </c>
      <c r="C571" s="24">
        <f t="shared" si="14"/>
        <v>3586.1538461538457</v>
      </c>
      <c r="D571" s="4">
        <f t="shared" si="15"/>
        <v>265.41089108910876</v>
      </c>
      <c r="E571" s="6"/>
      <c r="F571" s="3"/>
      <c r="G571" s="4"/>
      <c r="H571" s="6"/>
      <c r="L571" s="27">
        <v>3586.2</v>
      </c>
    </row>
    <row r="572" spans="1:12" x14ac:dyDescent="0.2">
      <c r="A572" s="31">
        <v>60</v>
      </c>
      <c r="B572" s="2">
        <v>564</v>
      </c>
      <c r="C572" s="24">
        <f t="shared" si="14"/>
        <v>3760.6153846153838</v>
      </c>
      <c r="D572" s="4">
        <f t="shared" si="15"/>
        <v>278.3227722772275</v>
      </c>
      <c r="E572" s="6"/>
      <c r="F572" s="3"/>
      <c r="G572" s="4"/>
      <c r="H572" s="6"/>
      <c r="L572" s="27">
        <v>3760.6</v>
      </c>
    </row>
    <row r="573" spans="1:12" x14ac:dyDescent="0.2">
      <c r="A573" s="31">
        <v>61</v>
      </c>
      <c r="B573" s="2">
        <v>565</v>
      </c>
      <c r="C573" s="24">
        <f t="shared" si="14"/>
        <v>3935.076923076922</v>
      </c>
      <c r="D573" s="4">
        <f t="shared" si="15"/>
        <v>291.2346534653463</v>
      </c>
      <c r="E573" s="6"/>
      <c r="F573" s="3"/>
      <c r="G573" s="4"/>
      <c r="H573" s="6"/>
      <c r="L573" s="27">
        <v>3935.1</v>
      </c>
    </row>
    <row r="574" spans="1:12" x14ac:dyDescent="0.2">
      <c r="A574" s="31">
        <v>62</v>
      </c>
      <c r="B574" s="2">
        <v>566</v>
      </c>
      <c r="C574" s="24">
        <f t="shared" si="14"/>
        <v>4109.538461538461</v>
      </c>
      <c r="D574" s="4">
        <f t="shared" si="15"/>
        <v>304.1465346534651</v>
      </c>
      <c r="E574" s="6"/>
      <c r="F574" s="3"/>
      <c r="G574" s="4"/>
      <c r="H574" s="6"/>
      <c r="L574" s="27">
        <v>4109.5</v>
      </c>
    </row>
    <row r="575" spans="1:12" x14ac:dyDescent="0.2">
      <c r="A575" s="31">
        <v>63</v>
      </c>
      <c r="B575" s="2">
        <v>567</v>
      </c>
      <c r="C575" s="24">
        <f t="shared" si="14"/>
        <v>4284</v>
      </c>
      <c r="D575" s="4">
        <f t="shared" si="15"/>
        <v>317.05841584158401</v>
      </c>
      <c r="E575" s="6"/>
      <c r="F575" s="3"/>
      <c r="G575" s="4"/>
      <c r="H575" s="6"/>
      <c r="L575" s="27">
        <v>4284</v>
      </c>
    </row>
    <row r="576" spans="1:12" x14ac:dyDescent="0.2">
      <c r="A576" s="31">
        <v>64</v>
      </c>
      <c r="B576" s="2">
        <v>568</v>
      </c>
      <c r="C576" s="24">
        <f t="shared" si="14"/>
        <v>4157.9999999999991</v>
      </c>
      <c r="D576" s="4">
        <f t="shared" si="15"/>
        <v>307.73316831683144</v>
      </c>
      <c r="E576" s="6"/>
      <c r="F576" s="3"/>
      <c r="G576" s="4"/>
      <c r="H576" s="6"/>
      <c r="L576" s="27">
        <v>4158</v>
      </c>
    </row>
    <row r="577" spans="1:12" x14ac:dyDescent="0.2">
      <c r="A577" s="31">
        <v>65</v>
      </c>
      <c r="B577" s="2">
        <v>569</v>
      </c>
      <c r="C577" s="24">
        <f t="shared" si="14"/>
        <v>4384.8</v>
      </c>
      <c r="D577" s="4">
        <f t="shared" si="15"/>
        <v>324.51861386138597</v>
      </c>
      <c r="E577" s="6"/>
      <c r="F577" s="3"/>
      <c r="G577" s="4"/>
      <c r="H577" s="6"/>
      <c r="L577" s="27">
        <v>4384.8</v>
      </c>
    </row>
    <row r="578" spans="1:12" x14ac:dyDescent="0.2">
      <c r="A578" s="31">
        <v>66</v>
      </c>
      <c r="B578" s="2">
        <v>570</v>
      </c>
      <c r="C578" s="24">
        <f t="shared" ref="C578:C641" si="16">C74</f>
        <v>4611.6000000000004</v>
      </c>
      <c r="D578" s="4">
        <f t="shared" si="15"/>
        <v>341.30405940594039</v>
      </c>
      <c r="E578" s="6"/>
      <c r="F578" s="3"/>
      <c r="G578" s="4"/>
      <c r="H578" s="6"/>
      <c r="L578" s="27">
        <v>4611.6000000000004</v>
      </c>
    </row>
    <row r="579" spans="1:12" x14ac:dyDescent="0.2">
      <c r="A579" s="31">
        <v>67</v>
      </c>
      <c r="B579" s="2">
        <v>571</v>
      </c>
      <c r="C579" s="24">
        <f t="shared" si="16"/>
        <v>5039.9999999999991</v>
      </c>
      <c r="D579" s="4">
        <f t="shared" si="15"/>
        <v>373.00990099009874</v>
      </c>
      <c r="E579" s="6"/>
      <c r="F579" s="3"/>
      <c r="G579" s="4"/>
      <c r="H579" s="6"/>
      <c r="L579" s="27">
        <v>5040</v>
      </c>
    </row>
    <row r="580" spans="1:12" x14ac:dyDescent="0.2">
      <c r="A580" s="31">
        <v>68</v>
      </c>
      <c r="B580" s="2">
        <v>572</v>
      </c>
      <c r="C580" s="24">
        <f t="shared" si="16"/>
        <v>5039.9999999999991</v>
      </c>
      <c r="D580" s="4">
        <f t="shared" si="15"/>
        <v>373.00990099009874</v>
      </c>
      <c r="E580" s="6"/>
      <c r="F580" s="3"/>
      <c r="G580" s="4"/>
      <c r="H580" s="6"/>
      <c r="L580" s="27">
        <v>5040</v>
      </c>
    </row>
    <row r="581" spans="1:12" x14ac:dyDescent="0.2">
      <c r="A581" s="31">
        <v>69</v>
      </c>
      <c r="B581" s="2">
        <v>573</v>
      </c>
      <c r="C581" s="24">
        <f t="shared" si="16"/>
        <v>5292</v>
      </c>
      <c r="D581" s="4">
        <f t="shared" si="15"/>
        <v>391.66039603960377</v>
      </c>
      <c r="E581" s="6"/>
      <c r="F581" s="3"/>
      <c r="G581" s="4"/>
      <c r="H581" s="6"/>
      <c r="L581" s="27">
        <v>5292</v>
      </c>
    </row>
    <row r="582" spans="1:12" x14ac:dyDescent="0.2">
      <c r="A582" s="31">
        <v>70</v>
      </c>
      <c r="B582" s="2">
        <v>574</v>
      </c>
      <c r="C582" s="24">
        <f t="shared" si="16"/>
        <v>4636.8</v>
      </c>
      <c r="D582" s="4">
        <f t="shared" si="15"/>
        <v>343.16910891089094</v>
      </c>
      <c r="E582" s="6"/>
      <c r="F582" s="3"/>
      <c r="G582" s="4"/>
      <c r="H582" s="6"/>
      <c r="L582" s="27">
        <v>4636.8</v>
      </c>
    </row>
    <row r="583" spans="1:12" x14ac:dyDescent="0.2">
      <c r="A583" s="31">
        <v>71</v>
      </c>
      <c r="B583" s="2">
        <v>575</v>
      </c>
      <c r="C583" s="24">
        <f t="shared" si="16"/>
        <v>3981.6</v>
      </c>
      <c r="D583" s="4">
        <f t="shared" si="15"/>
        <v>294.67782178217806</v>
      </c>
      <c r="E583" s="6"/>
      <c r="F583" s="3"/>
      <c r="G583" s="4"/>
      <c r="H583" s="6"/>
      <c r="L583" s="27">
        <v>3981.6</v>
      </c>
    </row>
    <row r="584" spans="1:12" x14ac:dyDescent="0.2">
      <c r="A584" s="31">
        <v>72</v>
      </c>
      <c r="B584" s="2">
        <v>576</v>
      </c>
      <c r="C584" s="24">
        <f t="shared" si="16"/>
        <v>3326.3999999999996</v>
      </c>
      <c r="D584" s="4">
        <f t="shared" si="15"/>
        <v>246.1865346534652</v>
      </c>
      <c r="E584" s="6"/>
      <c r="F584" s="3"/>
      <c r="G584" s="4"/>
      <c r="H584" s="6"/>
      <c r="L584" s="27">
        <v>3326.4</v>
      </c>
    </row>
    <row r="585" spans="1:12" x14ac:dyDescent="0.2">
      <c r="A585" s="31">
        <v>73</v>
      </c>
      <c r="B585" s="2">
        <v>577</v>
      </c>
      <c r="C585" s="24">
        <f t="shared" si="16"/>
        <v>2142</v>
      </c>
      <c r="D585" s="4">
        <f t="shared" si="15"/>
        <v>158.529207920792</v>
      </c>
      <c r="E585" s="6"/>
      <c r="F585" s="3"/>
      <c r="G585" s="4"/>
      <c r="H585" s="6"/>
      <c r="L585" s="27">
        <v>2142</v>
      </c>
    </row>
    <row r="586" spans="1:12" x14ac:dyDescent="0.2">
      <c r="A586" s="31">
        <v>74</v>
      </c>
      <c r="B586" s="2">
        <v>578</v>
      </c>
      <c r="C586" s="24">
        <f t="shared" si="16"/>
        <v>2016</v>
      </c>
      <c r="D586" s="4">
        <f t="shared" ref="D586:D649" si="17">$G$6*C586*(1/$G$8-1/$G$7)</f>
        <v>149.20396039603952</v>
      </c>
      <c r="E586" s="6"/>
      <c r="F586" s="3"/>
      <c r="G586" s="4"/>
      <c r="H586" s="6"/>
      <c r="L586" s="27">
        <v>2016</v>
      </c>
    </row>
    <row r="587" spans="1:12" x14ac:dyDescent="0.2">
      <c r="A587" s="31">
        <v>75</v>
      </c>
      <c r="B587" s="2">
        <v>579</v>
      </c>
      <c r="C587" s="24">
        <f t="shared" si="16"/>
        <v>2142</v>
      </c>
      <c r="D587" s="4">
        <f t="shared" si="17"/>
        <v>158.529207920792</v>
      </c>
      <c r="E587" s="6"/>
      <c r="F587" s="3"/>
      <c r="G587" s="4"/>
      <c r="H587" s="6"/>
      <c r="L587" s="27">
        <v>2142</v>
      </c>
    </row>
    <row r="588" spans="1:12" x14ac:dyDescent="0.2">
      <c r="A588" s="31">
        <v>76</v>
      </c>
      <c r="B588" s="2">
        <v>580</v>
      </c>
      <c r="C588" s="24">
        <f t="shared" si="16"/>
        <v>2268</v>
      </c>
      <c r="D588" s="4">
        <f t="shared" si="17"/>
        <v>167.85445544554446</v>
      </c>
      <c r="E588" s="6"/>
      <c r="F588" s="3"/>
      <c r="G588" s="4"/>
      <c r="H588" s="6"/>
      <c r="L588" s="27">
        <v>2268</v>
      </c>
    </row>
    <row r="589" spans="1:12" x14ac:dyDescent="0.2">
      <c r="A589" s="31">
        <v>77</v>
      </c>
      <c r="B589" s="2">
        <v>581</v>
      </c>
      <c r="C589" s="24">
        <f t="shared" si="16"/>
        <v>2519.9999999999995</v>
      </c>
      <c r="D589" s="4">
        <f t="shared" si="17"/>
        <v>186.50495049504937</v>
      </c>
      <c r="E589" s="6"/>
      <c r="F589" s="3"/>
      <c r="G589" s="4"/>
      <c r="H589" s="6"/>
      <c r="L589" s="27">
        <v>2520</v>
      </c>
    </row>
    <row r="590" spans="1:12" x14ac:dyDescent="0.2">
      <c r="A590" s="31">
        <v>78</v>
      </c>
      <c r="B590" s="2">
        <v>582</v>
      </c>
      <c r="C590" s="24">
        <f t="shared" si="16"/>
        <v>2687.9999999999995</v>
      </c>
      <c r="D590" s="4">
        <f t="shared" si="17"/>
        <v>198.93861386138599</v>
      </c>
      <c r="E590" s="6"/>
      <c r="F590" s="3"/>
      <c r="G590" s="4"/>
      <c r="H590" s="6"/>
      <c r="L590" s="27">
        <v>2688</v>
      </c>
    </row>
    <row r="591" spans="1:12" x14ac:dyDescent="0.2">
      <c r="A591" s="31">
        <v>79</v>
      </c>
      <c r="B591" s="2">
        <v>583</v>
      </c>
      <c r="C591" s="24">
        <f t="shared" si="16"/>
        <v>2855.9999999999995</v>
      </c>
      <c r="D591" s="4">
        <f t="shared" si="17"/>
        <v>211.37227722772263</v>
      </c>
      <c r="E591" s="6"/>
      <c r="F591" s="3"/>
      <c r="G591" s="4"/>
      <c r="H591" s="6"/>
      <c r="L591" s="27">
        <v>2856</v>
      </c>
    </row>
    <row r="592" spans="1:12" x14ac:dyDescent="0.2">
      <c r="A592" s="31">
        <v>80</v>
      </c>
      <c r="B592" s="2">
        <v>584</v>
      </c>
      <c r="C592" s="24">
        <f t="shared" si="16"/>
        <v>3023.9999999999995</v>
      </c>
      <c r="D592" s="4">
        <f t="shared" si="17"/>
        <v>223.80594059405925</v>
      </c>
      <c r="E592" s="6"/>
      <c r="F592" s="3"/>
      <c r="G592" s="4"/>
      <c r="H592" s="6"/>
      <c r="L592" s="27">
        <v>3024</v>
      </c>
    </row>
    <row r="593" spans="1:12" x14ac:dyDescent="0.2">
      <c r="A593" s="31">
        <v>81</v>
      </c>
      <c r="B593" s="2">
        <v>585</v>
      </c>
      <c r="C593" s="24">
        <f t="shared" si="16"/>
        <v>3191.9999999999991</v>
      </c>
      <c r="D593" s="4">
        <f t="shared" si="17"/>
        <v>236.23960396039584</v>
      </c>
      <c r="E593" s="6"/>
      <c r="F593" s="3"/>
      <c r="G593" s="4"/>
      <c r="H593" s="6"/>
      <c r="L593" s="27">
        <v>3192</v>
      </c>
    </row>
    <row r="594" spans="1:12" x14ac:dyDescent="0.2">
      <c r="A594" s="31">
        <v>82</v>
      </c>
      <c r="B594" s="2">
        <v>586</v>
      </c>
      <c r="C594" s="24">
        <f t="shared" si="16"/>
        <v>3359.9999999999995</v>
      </c>
      <c r="D594" s="4">
        <f t="shared" si="17"/>
        <v>248.67326732673251</v>
      </c>
      <c r="E594" s="6"/>
      <c r="F594" s="3"/>
      <c r="G594" s="4"/>
      <c r="H594" s="6"/>
      <c r="L594" s="27">
        <v>3360</v>
      </c>
    </row>
    <row r="595" spans="1:12" x14ac:dyDescent="0.2">
      <c r="A595" s="31">
        <v>83</v>
      </c>
      <c r="B595" s="2">
        <v>587</v>
      </c>
      <c r="C595" s="24">
        <f t="shared" si="16"/>
        <v>3527.9999999999995</v>
      </c>
      <c r="D595" s="4">
        <f t="shared" si="17"/>
        <v>261.1069306930691</v>
      </c>
      <c r="E595" s="6"/>
      <c r="F595" s="3"/>
      <c r="G595" s="4"/>
      <c r="H595" s="6"/>
      <c r="L595" s="27">
        <v>3528</v>
      </c>
    </row>
    <row r="596" spans="1:12" x14ac:dyDescent="0.2">
      <c r="A596" s="31">
        <v>84</v>
      </c>
      <c r="B596" s="2">
        <v>588</v>
      </c>
      <c r="C596" s="24">
        <f t="shared" si="16"/>
        <v>3695.9999999999995</v>
      </c>
      <c r="D596" s="4">
        <f t="shared" si="17"/>
        <v>273.54059405940575</v>
      </c>
      <c r="E596" s="6"/>
      <c r="F596" s="3"/>
      <c r="G596" s="4"/>
      <c r="H596" s="6"/>
      <c r="L596" s="27">
        <v>3696</v>
      </c>
    </row>
    <row r="597" spans="1:12" x14ac:dyDescent="0.2">
      <c r="A597" s="31">
        <v>85</v>
      </c>
      <c r="B597" s="2">
        <v>589</v>
      </c>
      <c r="C597" s="24">
        <f t="shared" si="16"/>
        <v>3863.9999999999991</v>
      </c>
      <c r="D597" s="4">
        <f t="shared" si="17"/>
        <v>285.97425742574234</v>
      </c>
      <c r="E597" s="6"/>
      <c r="F597" s="3"/>
      <c r="G597" s="4"/>
      <c r="H597" s="6"/>
      <c r="L597" s="27">
        <v>3864</v>
      </c>
    </row>
    <row r="598" spans="1:12" x14ac:dyDescent="0.2">
      <c r="A598" s="31">
        <v>86</v>
      </c>
      <c r="B598" s="2">
        <v>590</v>
      </c>
      <c r="C598" s="24">
        <f t="shared" si="16"/>
        <v>4032</v>
      </c>
      <c r="D598" s="4">
        <f t="shared" si="17"/>
        <v>298.40792079207904</v>
      </c>
      <c r="E598" s="6"/>
      <c r="F598" s="3"/>
      <c r="G598" s="4"/>
      <c r="H598" s="6"/>
      <c r="L598" s="27">
        <v>4032</v>
      </c>
    </row>
    <row r="599" spans="1:12" x14ac:dyDescent="0.2">
      <c r="A599" s="31">
        <v>87</v>
      </c>
      <c r="B599" s="2">
        <v>591</v>
      </c>
      <c r="C599" s="24">
        <f t="shared" si="16"/>
        <v>3905.9999999999995</v>
      </c>
      <c r="D599" s="4">
        <f t="shared" si="17"/>
        <v>289.08267326732653</v>
      </c>
      <c r="E599" s="6"/>
      <c r="F599" s="3"/>
      <c r="G599" s="4"/>
      <c r="H599" s="6"/>
      <c r="L599" s="27">
        <v>3906</v>
      </c>
    </row>
    <row r="600" spans="1:12" x14ac:dyDescent="0.2">
      <c r="A600" s="31">
        <v>88</v>
      </c>
      <c r="B600" s="2">
        <v>592</v>
      </c>
      <c r="C600" s="24">
        <f t="shared" si="16"/>
        <v>4200</v>
      </c>
      <c r="D600" s="4">
        <f t="shared" si="17"/>
        <v>310.84158415841569</v>
      </c>
      <c r="E600" s="6"/>
      <c r="F600" s="3"/>
      <c r="G600" s="4"/>
      <c r="H600" s="6"/>
      <c r="L600" s="27">
        <v>4200</v>
      </c>
    </row>
    <row r="601" spans="1:12" x14ac:dyDescent="0.2">
      <c r="A601" s="31">
        <v>89</v>
      </c>
      <c r="B601" s="2">
        <v>593</v>
      </c>
      <c r="C601" s="24">
        <f t="shared" si="16"/>
        <v>4494</v>
      </c>
      <c r="D601" s="4">
        <f t="shared" si="17"/>
        <v>332.60049504950479</v>
      </c>
      <c r="E601" s="6"/>
      <c r="F601" s="3"/>
      <c r="G601" s="4"/>
      <c r="H601" s="6"/>
      <c r="L601" s="27">
        <v>4494</v>
      </c>
    </row>
    <row r="602" spans="1:12" x14ac:dyDescent="0.2">
      <c r="A602" s="31">
        <v>90</v>
      </c>
      <c r="B602" s="2">
        <v>594</v>
      </c>
      <c r="C602" s="24">
        <f t="shared" si="16"/>
        <v>4787.9999999999991</v>
      </c>
      <c r="D602" s="4">
        <f t="shared" si="17"/>
        <v>354.35940594059377</v>
      </c>
      <c r="E602" s="6"/>
      <c r="F602" s="3"/>
      <c r="G602" s="4"/>
      <c r="H602" s="6"/>
      <c r="L602" s="27">
        <v>4788</v>
      </c>
    </row>
    <row r="603" spans="1:12" x14ac:dyDescent="0.2">
      <c r="A603" s="31">
        <v>91</v>
      </c>
      <c r="B603" s="2">
        <v>595</v>
      </c>
      <c r="C603" s="24">
        <f t="shared" si="16"/>
        <v>4441.5</v>
      </c>
      <c r="D603" s="4">
        <f t="shared" si="17"/>
        <v>328.71497524752459</v>
      </c>
      <c r="E603" s="6"/>
      <c r="F603" s="3"/>
      <c r="G603" s="4"/>
      <c r="H603" s="6"/>
      <c r="L603" s="27">
        <v>4441.5</v>
      </c>
    </row>
    <row r="604" spans="1:12" x14ac:dyDescent="0.2">
      <c r="A604" s="31">
        <v>92</v>
      </c>
      <c r="B604" s="2">
        <v>596</v>
      </c>
      <c r="C604" s="24">
        <f t="shared" si="16"/>
        <v>4094.9999999999995</v>
      </c>
      <c r="D604" s="4">
        <f t="shared" si="17"/>
        <v>303.07054455445524</v>
      </c>
      <c r="E604" s="6"/>
      <c r="F604" s="3"/>
      <c r="G604" s="4"/>
      <c r="H604" s="6"/>
      <c r="L604" s="27">
        <v>4095</v>
      </c>
    </row>
    <row r="605" spans="1:12" x14ac:dyDescent="0.2">
      <c r="A605" s="31">
        <v>93</v>
      </c>
      <c r="B605" s="2">
        <v>597</v>
      </c>
      <c r="C605" s="24">
        <f t="shared" si="16"/>
        <v>3748.5</v>
      </c>
      <c r="D605" s="4">
        <f t="shared" si="17"/>
        <v>277.426113861386</v>
      </c>
      <c r="E605" s="6"/>
      <c r="F605" s="3"/>
      <c r="G605" s="4"/>
      <c r="H605" s="6"/>
      <c r="L605" s="27">
        <v>3748.5</v>
      </c>
    </row>
    <row r="606" spans="1:12" x14ac:dyDescent="0.2">
      <c r="A606" s="31">
        <v>94</v>
      </c>
      <c r="B606" s="2">
        <v>598</v>
      </c>
      <c r="C606" s="24">
        <f t="shared" si="16"/>
        <v>3402</v>
      </c>
      <c r="D606" s="4">
        <f t="shared" si="17"/>
        <v>251.7816831683167</v>
      </c>
      <c r="E606" s="6"/>
      <c r="F606" s="3"/>
      <c r="G606" s="4"/>
      <c r="H606" s="6"/>
      <c r="L606" s="27">
        <v>3402</v>
      </c>
    </row>
    <row r="607" spans="1:12" x14ac:dyDescent="0.2">
      <c r="A607" s="31">
        <v>95</v>
      </c>
      <c r="B607" s="2">
        <v>599</v>
      </c>
      <c r="C607" s="24">
        <f t="shared" si="16"/>
        <v>3055.5000000000005</v>
      </c>
      <c r="D607" s="4">
        <f t="shared" si="17"/>
        <v>226.13725247524744</v>
      </c>
      <c r="E607" s="6"/>
      <c r="F607" s="3"/>
      <c r="G607" s="4"/>
      <c r="H607" s="6"/>
      <c r="L607" s="27">
        <v>3055.5</v>
      </c>
    </row>
    <row r="608" spans="1:12" x14ac:dyDescent="0.2">
      <c r="A608" s="31">
        <v>96</v>
      </c>
      <c r="B608" s="2">
        <v>600</v>
      </c>
      <c r="C608" s="24">
        <f t="shared" si="16"/>
        <v>2519.9999999999995</v>
      </c>
      <c r="D608" s="4">
        <f t="shared" si="17"/>
        <v>186.50495049504937</v>
      </c>
      <c r="E608" s="6"/>
      <c r="F608" s="3"/>
      <c r="G608" s="4"/>
      <c r="H608" s="6"/>
      <c r="L608" s="27">
        <v>2520</v>
      </c>
    </row>
    <row r="609" spans="1:12" x14ac:dyDescent="0.2">
      <c r="A609" s="31">
        <v>97</v>
      </c>
      <c r="B609" s="2">
        <v>601</v>
      </c>
      <c r="C609" s="24">
        <f t="shared" si="16"/>
        <v>2142</v>
      </c>
      <c r="D609" s="4">
        <f t="shared" si="17"/>
        <v>158.529207920792</v>
      </c>
      <c r="E609" s="6"/>
      <c r="F609" s="3"/>
      <c r="G609" s="4"/>
      <c r="H609" s="6"/>
      <c r="L609" s="27">
        <v>2142</v>
      </c>
    </row>
    <row r="610" spans="1:12" x14ac:dyDescent="0.2">
      <c r="A610" s="31">
        <v>98</v>
      </c>
      <c r="B610" s="2">
        <v>602</v>
      </c>
      <c r="C610" s="24">
        <f t="shared" si="16"/>
        <v>2016</v>
      </c>
      <c r="D610" s="4">
        <f t="shared" si="17"/>
        <v>149.20396039603952</v>
      </c>
      <c r="E610" s="6"/>
      <c r="F610" s="3"/>
      <c r="G610" s="4"/>
      <c r="H610" s="6"/>
      <c r="L610" s="27">
        <v>2016</v>
      </c>
    </row>
    <row r="611" spans="1:12" x14ac:dyDescent="0.2">
      <c r="A611" s="31">
        <v>99</v>
      </c>
      <c r="B611" s="2">
        <v>603</v>
      </c>
      <c r="C611" s="24">
        <f t="shared" si="16"/>
        <v>2142</v>
      </c>
      <c r="D611" s="4">
        <f t="shared" si="17"/>
        <v>158.529207920792</v>
      </c>
      <c r="E611" s="6"/>
      <c r="F611" s="3"/>
      <c r="G611" s="4"/>
      <c r="H611" s="6"/>
      <c r="L611" s="27">
        <v>2142</v>
      </c>
    </row>
    <row r="612" spans="1:12" x14ac:dyDescent="0.2">
      <c r="A612" s="31">
        <v>100</v>
      </c>
      <c r="B612" s="2">
        <v>604</v>
      </c>
      <c r="C612" s="24">
        <f t="shared" si="16"/>
        <v>2268</v>
      </c>
      <c r="D612" s="4">
        <f t="shared" si="17"/>
        <v>167.85445544554446</v>
      </c>
      <c r="E612" s="6"/>
      <c r="F612" s="3"/>
      <c r="G612" s="4"/>
      <c r="H612" s="6"/>
      <c r="L612" s="27">
        <v>2268</v>
      </c>
    </row>
    <row r="613" spans="1:12" x14ac:dyDescent="0.2">
      <c r="A613" s="31">
        <v>101</v>
      </c>
      <c r="B613" s="2">
        <v>605</v>
      </c>
      <c r="C613" s="24">
        <f t="shared" si="16"/>
        <v>2497.090909090909</v>
      </c>
      <c r="D613" s="4">
        <f t="shared" si="17"/>
        <v>184.8094509450944</v>
      </c>
      <c r="E613" s="6"/>
      <c r="F613" s="3"/>
      <c r="G613" s="4"/>
      <c r="H613" s="6"/>
      <c r="L613" s="27">
        <v>2497.1</v>
      </c>
    </row>
    <row r="614" spans="1:12" x14ac:dyDescent="0.2">
      <c r="A614" s="31">
        <v>102</v>
      </c>
      <c r="B614" s="2">
        <v>606</v>
      </c>
      <c r="C614" s="24">
        <f t="shared" si="16"/>
        <v>2657.454545454545</v>
      </c>
      <c r="D614" s="4">
        <f t="shared" si="17"/>
        <v>196.67794779477936</v>
      </c>
      <c r="E614" s="6"/>
      <c r="F614" s="3"/>
      <c r="G614" s="4"/>
      <c r="H614" s="6"/>
      <c r="L614" s="27">
        <v>2657.5</v>
      </c>
    </row>
    <row r="615" spans="1:12" x14ac:dyDescent="0.2">
      <c r="A615" s="31">
        <v>103</v>
      </c>
      <c r="B615" s="2">
        <v>607</v>
      </c>
      <c r="C615" s="24">
        <f t="shared" si="16"/>
        <v>2817.818181818182</v>
      </c>
      <c r="D615" s="4">
        <f t="shared" si="17"/>
        <v>208.54644464446434</v>
      </c>
      <c r="E615" s="6"/>
      <c r="F615" s="3"/>
      <c r="G615" s="4"/>
      <c r="H615" s="6"/>
      <c r="L615" s="27">
        <v>2817.8</v>
      </c>
    </row>
    <row r="616" spans="1:12" x14ac:dyDescent="0.2">
      <c r="A616" s="31">
        <v>104</v>
      </c>
      <c r="B616" s="2">
        <v>608</v>
      </c>
      <c r="C616" s="24">
        <f t="shared" si="16"/>
        <v>2978.181818181818</v>
      </c>
      <c r="D616" s="4">
        <f t="shared" si="17"/>
        <v>220.41494149414928</v>
      </c>
      <c r="E616" s="6"/>
      <c r="F616" s="3"/>
      <c r="G616" s="4"/>
      <c r="H616" s="6"/>
      <c r="L616" s="27">
        <v>2978.2</v>
      </c>
    </row>
    <row r="617" spans="1:12" x14ac:dyDescent="0.2">
      <c r="A617" s="31">
        <v>105</v>
      </c>
      <c r="B617" s="2">
        <v>609</v>
      </c>
      <c r="C617" s="24">
        <f t="shared" si="16"/>
        <v>3138.5454545454545</v>
      </c>
      <c r="D617" s="4">
        <f t="shared" si="17"/>
        <v>232.28343834383423</v>
      </c>
      <c r="E617" s="6"/>
      <c r="F617" s="3"/>
      <c r="G617" s="4"/>
      <c r="H617" s="6"/>
      <c r="L617" s="27">
        <v>3138.5</v>
      </c>
    </row>
    <row r="618" spans="1:12" x14ac:dyDescent="0.2">
      <c r="A618" s="31">
        <v>106</v>
      </c>
      <c r="B618" s="2">
        <v>610</v>
      </c>
      <c r="C618" s="24">
        <f t="shared" si="16"/>
        <v>3298.9090909090905</v>
      </c>
      <c r="D618" s="4">
        <f t="shared" si="17"/>
        <v>244.15193519351919</v>
      </c>
      <c r="E618" s="6"/>
      <c r="F618" s="3"/>
      <c r="G618" s="4"/>
      <c r="H618" s="6"/>
      <c r="L618" s="27">
        <v>3298.9</v>
      </c>
    </row>
    <row r="619" spans="1:12" x14ac:dyDescent="0.2">
      <c r="A619" s="31">
        <v>107</v>
      </c>
      <c r="B619" s="2">
        <v>611</v>
      </c>
      <c r="C619" s="24">
        <f t="shared" si="16"/>
        <v>3459.272727272727</v>
      </c>
      <c r="D619" s="4">
        <f t="shared" si="17"/>
        <v>256.02043204320415</v>
      </c>
      <c r="E619" s="6"/>
      <c r="F619" s="3"/>
      <c r="G619" s="4"/>
      <c r="H619" s="6"/>
      <c r="L619" s="27">
        <v>3459.3</v>
      </c>
    </row>
    <row r="620" spans="1:12" x14ac:dyDescent="0.2">
      <c r="A620" s="31">
        <v>108</v>
      </c>
      <c r="B620" s="2">
        <v>612</v>
      </c>
      <c r="C620" s="24">
        <f t="shared" si="16"/>
        <v>3619.636363636364</v>
      </c>
      <c r="D620" s="4">
        <f t="shared" si="17"/>
        <v>267.88892889288917</v>
      </c>
      <c r="E620" s="6"/>
      <c r="F620" s="3"/>
      <c r="G620" s="4"/>
      <c r="H620" s="6"/>
      <c r="L620" s="27">
        <v>3619.6</v>
      </c>
    </row>
    <row r="621" spans="1:12" x14ac:dyDescent="0.2">
      <c r="A621" s="31">
        <v>109</v>
      </c>
      <c r="B621" s="2">
        <v>613</v>
      </c>
      <c r="C621" s="24">
        <f t="shared" si="16"/>
        <v>3780.0000000000005</v>
      </c>
      <c r="D621" s="4">
        <f t="shared" si="17"/>
        <v>279.75742574257413</v>
      </c>
      <c r="E621" s="6"/>
      <c r="F621" s="3"/>
      <c r="G621" s="4"/>
      <c r="H621" s="6"/>
      <c r="L621" s="27">
        <v>3780</v>
      </c>
    </row>
    <row r="622" spans="1:12" x14ac:dyDescent="0.2">
      <c r="A622" s="31">
        <v>110</v>
      </c>
      <c r="B622" s="2">
        <v>614</v>
      </c>
      <c r="C622" s="24">
        <f t="shared" si="16"/>
        <v>3708</v>
      </c>
      <c r="D622" s="4">
        <f t="shared" si="17"/>
        <v>274.42871287128696</v>
      </c>
      <c r="E622" s="6"/>
      <c r="F622" s="3"/>
      <c r="G622" s="4"/>
      <c r="H622" s="6"/>
      <c r="L622" s="27">
        <v>3708</v>
      </c>
    </row>
    <row r="623" spans="1:12" x14ac:dyDescent="0.2">
      <c r="A623" s="31">
        <v>111</v>
      </c>
      <c r="B623" s="2">
        <v>615</v>
      </c>
      <c r="C623" s="24">
        <f t="shared" si="16"/>
        <v>3636.0000000000005</v>
      </c>
      <c r="D623" s="4">
        <f t="shared" si="17"/>
        <v>269.09999999999991</v>
      </c>
      <c r="E623" s="6"/>
      <c r="F623" s="3"/>
      <c r="G623" s="4"/>
      <c r="H623" s="6"/>
      <c r="L623" s="27">
        <v>3636</v>
      </c>
    </row>
    <row r="624" spans="1:12" x14ac:dyDescent="0.2">
      <c r="A624" s="31">
        <v>112</v>
      </c>
      <c r="B624" s="2">
        <v>616</v>
      </c>
      <c r="C624" s="24">
        <f t="shared" si="16"/>
        <v>3564</v>
      </c>
      <c r="D624" s="4">
        <f t="shared" si="17"/>
        <v>263.77128712871274</v>
      </c>
      <c r="E624" s="6"/>
      <c r="F624" s="3"/>
      <c r="G624" s="4"/>
      <c r="H624" s="6"/>
      <c r="L624" s="27">
        <v>3564</v>
      </c>
    </row>
    <row r="625" spans="1:12" x14ac:dyDescent="0.2">
      <c r="A625" s="31">
        <v>113</v>
      </c>
      <c r="B625" s="2">
        <v>617</v>
      </c>
      <c r="C625" s="24">
        <f t="shared" si="16"/>
        <v>3491.9999999999995</v>
      </c>
      <c r="D625" s="4">
        <f t="shared" si="17"/>
        <v>258.44257425742558</v>
      </c>
      <c r="E625" s="6"/>
      <c r="F625" s="3"/>
      <c r="G625" s="4"/>
      <c r="H625" s="6"/>
      <c r="L625" s="27">
        <v>3492</v>
      </c>
    </row>
    <row r="626" spans="1:12" x14ac:dyDescent="0.2">
      <c r="A626" s="31">
        <v>114</v>
      </c>
      <c r="B626" s="2">
        <v>618</v>
      </c>
      <c r="C626" s="24">
        <f t="shared" si="16"/>
        <v>3420</v>
      </c>
      <c r="D626" s="4">
        <f t="shared" si="17"/>
        <v>253.11386138613847</v>
      </c>
      <c r="E626" s="6"/>
      <c r="F626" s="3"/>
      <c r="G626" s="4"/>
      <c r="H626" s="6"/>
      <c r="L626" s="27">
        <v>3420</v>
      </c>
    </row>
    <row r="627" spans="1:12" x14ac:dyDescent="0.2">
      <c r="A627" s="31">
        <v>115</v>
      </c>
      <c r="B627" s="2">
        <v>619</v>
      </c>
      <c r="C627" s="24">
        <f t="shared" si="16"/>
        <v>3348.0000000000005</v>
      </c>
      <c r="D627" s="4">
        <f t="shared" si="17"/>
        <v>247.78514851485139</v>
      </c>
      <c r="E627" s="6"/>
      <c r="F627" s="3"/>
      <c r="G627" s="4"/>
      <c r="H627" s="6"/>
      <c r="L627" s="27">
        <v>3348</v>
      </c>
    </row>
    <row r="628" spans="1:12" x14ac:dyDescent="0.2">
      <c r="A628" s="31">
        <v>116</v>
      </c>
      <c r="B628" s="2">
        <v>620</v>
      </c>
      <c r="C628" s="24">
        <f t="shared" si="16"/>
        <v>3276</v>
      </c>
      <c r="D628" s="4">
        <f t="shared" si="17"/>
        <v>242.45643564356422</v>
      </c>
      <c r="E628" s="6"/>
      <c r="F628" s="3"/>
      <c r="G628" s="4"/>
      <c r="H628" s="6"/>
      <c r="L628" s="27">
        <v>3276</v>
      </c>
    </row>
    <row r="629" spans="1:12" x14ac:dyDescent="0.2">
      <c r="A629" s="31">
        <v>117</v>
      </c>
      <c r="B629" s="2">
        <v>621</v>
      </c>
      <c r="C629" s="24">
        <f t="shared" si="16"/>
        <v>3527.9999999999995</v>
      </c>
      <c r="D629" s="4">
        <f t="shared" si="17"/>
        <v>261.1069306930691</v>
      </c>
      <c r="E629" s="6"/>
      <c r="F629" s="3"/>
      <c r="G629" s="4"/>
      <c r="H629" s="6"/>
      <c r="L629" s="27">
        <v>3528</v>
      </c>
    </row>
    <row r="630" spans="1:12" x14ac:dyDescent="0.2">
      <c r="A630" s="31">
        <v>118</v>
      </c>
      <c r="B630" s="2">
        <v>622</v>
      </c>
      <c r="C630" s="24">
        <f t="shared" si="16"/>
        <v>3149.9999999999995</v>
      </c>
      <c r="D630" s="4">
        <f t="shared" si="17"/>
        <v>233.13118811881171</v>
      </c>
      <c r="E630" s="6"/>
      <c r="F630" s="3"/>
      <c r="G630" s="4"/>
      <c r="H630" s="6"/>
      <c r="L630" s="27">
        <v>3150</v>
      </c>
    </row>
    <row r="631" spans="1:12" x14ac:dyDescent="0.2">
      <c r="A631" s="31">
        <v>119</v>
      </c>
      <c r="B631" s="2">
        <v>623</v>
      </c>
      <c r="C631" s="24">
        <f t="shared" si="16"/>
        <v>2772</v>
      </c>
      <c r="D631" s="4">
        <f t="shared" si="17"/>
        <v>205.15544554455434</v>
      </c>
      <c r="E631" s="6"/>
      <c r="F631" s="3"/>
      <c r="G631" s="4"/>
      <c r="H631" s="6"/>
      <c r="L631" s="27">
        <v>2772</v>
      </c>
    </row>
    <row r="632" spans="1:12" x14ac:dyDescent="0.2">
      <c r="A632" s="31">
        <v>120</v>
      </c>
      <c r="B632" s="2">
        <v>624</v>
      </c>
      <c r="C632" s="24">
        <f t="shared" si="16"/>
        <v>2393.9999999999995</v>
      </c>
      <c r="D632" s="4">
        <f t="shared" si="17"/>
        <v>177.17970297029689</v>
      </c>
      <c r="E632" s="6"/>
      <c r="F632" s="3"/>
      <c r="G632" s="4"/>
      <c r="H632" s="6"/>
      <c r="L632" s="27">
        <v>2394</v>
      </c>
    </row>
    <row r="633" spans="1:12" x14ac:dyDescent="0.2">
      <c r="A633" s="31">
        <v>121</v>
      </c>
      <c r="B633" s="2">
        <v>625</v>
      </c>
      <c r="C633" s="24">
        <f t="shared" si="16"/>
        <v>2016</v>
      </c>
      <c r="D633" s="4">
        <f t="shared" si="17"/>
        <v>149.20396039603952</v>
      </c>
      <c r="E633" s="6"/>
      <c r="F633" s="3"/>
      <c r="G633" s="4"/>
      <c r="H633" s="6"/>
      <c r="L633" s="27">
        <v>2016</v>
      </c>
    </row>
    <row r="634" spans="1:12" x14ac:dyDescent="0.2">
      <c r="A634" s="31">
        <v>122</v>
      </c>
      <c r="B634" s="2">
        <v>626</v>
      </c>
      <c r="C634" s="24">
        <f t="shared" si="16"/>
        <v>2016</v>
      </c>
      <c r="D634" s="4">
        <f t="shared" si="17"/>
        <v>149.20396039603952</v>
      </c>
      <c r="E634" s="6"/>
      <c r="F634" s="3"/>
      <c r="G634" s="4"/>
      <c r="H634" s="6"/>
      <c r="L634" s="27">
        <v>2016</v>
      </c>
    </row>
    <row r="635" spans="1:12" x14ac:dyDescent="0.2">
      <c r="A635" s="31">
        <v>123</v>
      </c>
      <c r="B635" s="2">
        <v>627</v>
      </c>
      <c r="C635" s="24">
        <f t="shared" si="16"/>
        <v>2160</v>
      </c>
      <c r="D635" s="4">
        <f t="shared" si="17"/>
        <v>159.86138613861377</v>
      </c>
      <c r="E635" s="6"/>
      <c r="F635" s="3"/>
      <c r="G635" s="4"/>
      <c r="H635" s="6"/>
      <c r="L635" s="27">
        <v>2160</v>
      </c>
    </row>
    <row r="636" spans="1:12" x14ac:dyDescent="0.2">
      <c r="A636" s="31">
        <v>124</v>
      </c>
      <c r="B636" s="2">
        <v>628</v>
      </c>
      <c r="C636" s="24">
        <f t="shared" si="16"/>
        <v>2304</v>
      </c>
      <c r="D636" s="4">
        <f t="shared" si="17"/>
        <v>170.51881188118801</v>
      </c>
      <c r="E636" s="6"/>
      <c r="F636" s="3"/>
      <c r="G636" s="4"/>
      <c r="H636" s="6"/>
      <c r="L636" s="27">
        <v>2304</v>
      </c>
    </row>
    <row r="637" spans="1:12" x14ac:dyDescent="0.2">
      <c r="A637" s="31">
        <v>125</v>
      </c>
      <c r="B637" s="2">
        <v>629</v>
      </c>
      <c r="C637" s="24">
        <f t="shared" si="16"/>
        <v>2448</v>
      </c>
      <c r="D637" s="4">
        <f t="shared" si="17"/>
        <v>181.17623762376226</v>
      </c>
      <c r="E637" s="6"/>
      <c r="F637" s="3"/>
      <c r="G637" s="4"/>
      <c r="H637" s="6"/>
      <c r="L637" s="27">
        <v>2448</v>
      </c>
    </row>
    <row r="638" spans="1:12" x14ac:dyDescent="0.2">
      <c r="A638" s="31">
        <v>126</v>
      </c>
      <c r="B638" s="2">
        <v>630</v>
      </c>
      <c r="C638" s="24">
        <f t="shared" si="16"/>
        <v>2592</v>
      </c>
      <c r="D638" s="4">
        <f t="shared" si="17"/>
        <v>191.83366336633654</v>
      </c>
      <c r="E638" s="6"/>
      <c r="F638" s="3"/>
      <c r="G638" s="4"/>
      <c r="H638" s="6"/>
      <c r="L638" s="27">
        <v>2592</v>
      </c>
    </row>
    <row r="639" spans="1:12" x14ac:dyDescent="0.2">
      <c r="A639" s="31">
        <v>127</v>
      </c>
      <c r="B639" s="2">
        <v>631</v>
      </c>
      <c r="C639" s="24">
        <f t="shared" si="16"/>
        <v>2736</v>
      </c>
      <c r="D639" s="4">
        <f t="shared" si="17"/>
        <v>202.49108910891078</v>
      </c>
      <c r="E639" s="6"/>
      <c r="F639" s="3"/>
      <c r="G639" s="4"/>
      <c r="H639" s="6"/>
      <c r="L639" s="27">
        <v>2736</v>
      </c>
    </row>
    <row r="640" spans="1:12" x14ac:dyDescent="0.2">
      <c r="A640" s="31">
        <v>128</v>
      </c>
      <c r="B640" s="2">
        <v>632</v>
      </c>
      <c r="C640" s="24">
        <f t="shared" si="16"/>
        <v>2880.0000000000005</v>
      </c>
      <c r="D640" s="4">
        <f t="shared" si="17"/>
        <v>213.14851485148506</v>
      </c>
      <c r="E640" s="6"/>
      <c r="F640" s="3"/>
      <c r="G640" s="4"/>
      <c r="H640" s="6"/>
      <c r="L640" s="27">
        <v>2880</v>
      </c>
    </row>
    <row r="641" spans="1:12" x14ac:dyDescent="0.2">
      <c r="A641" s="31">
        <v>129</v>
      </c>
      <c r="B641" s="2">
        <v>633</v>
      </c>
      <c r="C641" s="24">
        <f t="shared" si="16"/>
        <v>3024</v>
      </c>
      <c r="D641" s="4">
        <f t="shared" si="17"/>
        <v>223.80594059405928</v>
      </c>
      <c r="E641" s="6"/>
      <c r="F641" s="3"/>
      <c r="G641" s="4"/>
      <c r="H641" s="6"/>
      <c r="L641" s="27">
        <v>3024</v>
      </c>
    </row>
    <row r="642" spans="1:12" x14ac:dyDescent="0.2">
      <c r="A642" s="31">
        <v>130</v>
      </c>
      <c r="B642" s="2">
        <v>634</v>
      </c>
      <c r="C642" s="24">
        <f t="shared" ref="C642:C680" si="18">C138</f>
        <v>3168</v>
      </c>
      <c r="D642" s="4">
        <f t="shared" si="17"/>
        <v>234.46336633663353</v>
      </c>
      <c r="E642" s="6"/>
      <c r="F642" s="3"/>
      <c r="G642" s="4"/>
      <c r="H642" s="6"/>
      <c r="L642" s="27">
        <v>3168</v>
      </c>
    </row>
    <row r="643" spans="1:12" x14ac:dyDescent="0.2">
      <c r="A643" s="31">
        <v>131</v>
      </c>
      <c r="B643" s="2">
        <v>635</v>
      </c>
      <c r="C643" s="24">
        <f t="shared" si="18"/>
        <v>3312.0000000000005</v>
      </c>
      <c r="D643" s="4">
        <f t="shared" si="17"/>
        <v>245.1207920792078</v>
      </c>
      <c r="E643" s="6"/>
      <c r="F643" s="3"/>
      <c r="G643" s="4"/>
      <c r="H643" s="6"/>
      <c r="L643" s="27">
        <v>3312</v>
      </c>
    </row>
    <row r="644" spans="1:12" x14ac:dyDescent="0.2">
      <c r="A644" s="31">
        <v>132</v>
      </c>
      <c r="B644" s="2">
        <v>636</v>
      </c>
      <c r="C644" s="24">
        <f t="shared" si="18"/>
        <v>3456.0000000000005</v>
      </c>
      <c r="D644" s="4">
        <f t="shared" si="17"/>
        <v>255.77821782178208</v>
      </c>
      <c r="E644" s="6"/>
      <c r="F644" s="3"/>
      <c r="G644" s="4"/>
      <c r="H644" s="6"/>
      <c r="L644" s="27">
        <v>3456</v>
      </c>
    </row>
    <row r="645" spans="1:12" x14ac:dyDescent="0.2">
      <c r="A645" s="31">
        <v>133</v>
      </c>
      <c r="B645" s="2">
        <v>637</v>
      </c>
      <c r="C645" s="24">
        <f t="shared" si="18"/>
        <v>3527.9999999999995</v>
      </c>
      <c r="D645" s="4">
        <f t="shared" si="17"/>
        <v>261.1069306930691</v>
      </c>
      <c r="E645" s="6"/>
      <c r="F645" s="3"/>
      <c r="G645" s="4"/>
      <c r="H645" s="6"/>
      <c r="L645" s="27">
        <v>3528</v>
      </c>
    </row>
    <row r="646" spans="1:12" x14ac:dyDescent="0.2">
      <c r="A646" s="31">
        <v>134</v>
      </c>
      <c r="B646" s="2">
        <v>638</v>
      </c>
      <c r="C646" s="24">
        <f t="shared" si="18"/>
        <v>3527.9999999999995</v>
      </c>
      <c r="D646" s="4">
        <f t="shared" si="17"/>
        <v>261.1069306930691</v>
      </c>
      <c r="E646" s="6"/>
      <c r="F646" s="3"/>
      <c r="G646" s="4"/>
      <c r="H646" s="6"/>
      <c r="L646" s="27">
        <v>3528</v>
      </c>
    </row>
    <row r="647" spans="1:12" x14ac:dyDescent="0.2">
      <c r="A647" s="31">
        <v>135</v>
      </c>
      <c r="B647" s="2">
        <v>639</v>
      </c>
      <c r="C647" s="24">
        <f t="shared" si="18"/>
        <v>3888.0000000000005</v>
      </c>
      <c r="D647" s="4">
        <f t="shared" si="17"/>
        <v>287.75049504950488</v>
      </c>
      <c r="E647" s="6"/>
      <c r="F647" s="3"/>
      <c r="G647" s="4"/>
      <c r="H647" s="6"/>
      <c r="L647" s="27">
        <v>3888</v>
      </c>
    </row>
    <row r="648" spans="1:12" x14ac:dyDescent="0.2">
      <c r="A648" s="31">
        <v>136</v>
      </c>
      <c r="B648" s="2">
        <v>640</v>
      </c>
      <c r="C648" s="24">
        <f t="shared" si="18"/>
        <v>4032</v>
      </c>
      <c r="D648" s="4">
        <f t="shared" si="17"/>
        <v>298.40792079207904</v>
      </c>
      <c r="E648" s="6"/>
      <c r="F648" s="3"/>
      <c r="G648" s="4"/>
      <c r="H648" s="6"/>
      <c r="L648" s="27">
        <v>4032</v>
      </c>
    </row>
    <row r="649" spans="1:12" x14ac:dyDescent="0.2">
      <c r="A649" s="31">
        <v>137</v>
      </c>
      <c r="B649" s="2">
        <v>641</v>
      </c>
      <c r="C649" s="24">
        <f t="shared" si="18"/>
        <v>3830.4</v>
      </c>
      <c r="D649" s="4">
        <f t="shared" si="17"/>
        <v>283.48752475247511</v>
      </c>
      <c r="E649" s="6"/>
      <c r="F649" s="3"/>
      <c r="G649" s="4"/>
      <c r="H649" s="6"/>
      <c r="L649" s="27">
        <v>3830.4</v>
      </c>
    </row>
    <row r="650" spans="1:12" x14ac:dyDescent="0.2">
      <c r="A650" s="31">
        <v>138</v>
      </c>
      <c r="B650" s="2">
        <v>642</v>
      </c>
      <c r="C650" s="24">
        <f t="shared" si="18"/>
        <v>3628.8</v>
      </c>
      <c r="D650" s="4">
        <f t="shared" ref="D650:D680" si="19">$G$6*C650*(1/$G$8-1/$G$7)</f>
        <v>268.56712871287112</v>
      </c>
      <c r="E650" s="6"/>
      <c r="F650" s="3"/>
      <c r="G650" s="4"/>
      <c r="H650" s="6"/>
      <c r="L650" s="27">
        <v>3628.8</v>
      </c>
    </row>
    <row r="651" spans="1:12" x14ac:dyDescent="0.2">
      <c r="A651" s="31">
        <v>139</v>
      </c>
      <c r="B651" s="2">
        <v>643</v>
      </c>
      <c r="C651" s="24">
        <f t="shared" si="18"/>
        <v>3527.9999999999995</v>
      </c>
      <c r="D651" s="4">
        <f t="shared" si="19"/>
        <v>261.1069306930691</v>
      </c>
      <c r="E651" s="6"/>
      <c r="F651" s="3"/>
      <c r="G651" s="4"/>
      <c r="H651" s="6"/>
      <c r="L651" s="27">
        <v>3528</v>
      </c>
    </row>
    <row r="652" spans="1:12" x14ac:dyDescent="0.2">
      <c r="A652" s="31">
        <v>140</v>
      </c>
      <c r="B652" s="2">
        <v>644</v>
      </c>
      <c r="C652" s="24">
        <f t="shared" si="18"/>
        <v>3225.599999999999</v>
      </c>
      <c r="D652" s="4">
        <f t="shared" si="19"/>
        <v>238.72633663366315</v>
      </c>
      <c r="E652" s="6"/>
      <c r="F652" s="3"/>
      <c r="G652" s="4"/>
      <c r="H652" s="6"/>
      <c r="L652" s="27">
        <v>3225.6</v>
      </c>
    </row>
    <row r="653" spans="1:12" x14ac:dyDescent="0.2">
      <c r="A653" s="31">
        <v>141</v>
      </c>
      <c r="B653" s="2">
        <v>645</v>
      </c>
      <c r="C653" s="24">
        <f t="shared" si="18"/>
        <v>3023.9999999999991</v>
      </c>
      <c r="D653" s="4">
        <f t="shared" si="19"/>
        <v>223.80594059405922</v>
      </c>
      <c r="E653" s="6"/>
      <c r="F653" s="3"/>
      <c r="G653" s="4"/>
      <c r="H653" s="6"/>
      <c r="L653" s="27">
        <v>3024</v>
      </c>
    </row>
    <row r="654" spans="1:12" x14ac:dyDescent="0.2">
      <c r="A654" s="31">
        <v>142</v>
      </c>
      <c r="B654" s="2">
        <v>646</v>
      </c>
      <c r="C654" s="24">
        <f t="shared" si="18"/>
        <v>2822.3999999999996</v>
      </c>
      <c r="D654" s="4">
        <f t="shared" si="19"/>
        <v>208.88554455445532</v>
      </c>
      <c r="E654" s="6"/>
      <c r="F654" s="3"/>
      <c r="G654" s="4"/>
      <c r="H654" s="6"/>
      <c r="L654" s="27">
        <v>2822.4</v>
      </c>
    </row>
    <row r="655" spans="1:12" x14ac:dyDescent="0.2">
      <c r="A655" s="31">
        <v>143</v>
      </c>
      <c r="B655" s="2">
        <v>647</v>
      </c>
      <c r="C655" s="24">
        <f t="shared" si="18"/>
        <v>2268</v>
      </c>
      <c r="D655" s="4">
        <f t="shared" si="19"/>
        <v>167.85445544554446</v>
      </c>
      <c r="E655" s="6"/>
      <c r="F655" s="3"/>
      <c r="G655" s="4"/>
      <c r="H655" s="6"/>
      <c r="L655" s="27">
        <v>2268</v>
      </c>
    </row>
    <row r="656" spans="1:12" x14ac:dyDescent="0.2">
      <c r="A656" s="31">
        <v>144</v>
      </c>
      <c r="B656" s="2">
        <v>648</v>
      </c>
      <c r="C656" s="24">
        <f t="shared" si="18"/>
        <v>2142</v>
      </c>
      <c r="D656" s="4">
        <f t="shared" si="19"/>
        <v>158.529207920792</v>
      </c>
      <c r="E656" s="6"/>
      <c r="F656" s="3"/>
      <c r="G656" s="4"/>
      <c r="H656" s="6"/>
      <c r="L656" s="27">
        <v>2142</v>
      </c>
    </row>
    <row r="657" spans="1:12" x14ac:dyDescent="0.2">
      <c r="A657" s="31">
        <v>145</v>
      </c>
      <c r="B657" s="2">
        <v>649</v>
      </c>
      <c r="C657" s="24">
        <f t="shared" si="18"/>
        <v>2016</v>
      </c>
      <c r="D657" s="4">
        <f t="shared" si="19"/>
        <v>149.20396039603952</v>
      </c>
      <c r="E657" s="6"/>
      <c r="F657" s="3"/>
      <c r="G657" s="4"/>
      <c r="H657" s="6"/>
      <c r="L657" s="27">
        <v>2016</v>
      </c>
    </row>
    <row r="658" spans="1:12" x14ac:dyDescent="0.2">
      <c r="A658" s="31">
        <v>146</v>
      </c>
      <c r="B658" s="2">
        <v>650</v>
      </c>
      <c r="C658" s="24">
        <f t="shared" si="18"/>
        <v>2016</v>
      </c>
      <c r="D658" s="4">
        <f t="shared" si="19"/>
        <v>149.20396039603952</v>
      </c>
      <c r="E658" s="6"/>
      <c r="F658" s="3"/>
      <c r="G658" s="4"/>
      <c r="H658" s="6"/>
      <c r="L658" s="27">
        <v>2016</v>
      </c>
    </row>
    <row r="659" spans="1:12" x14ac:dyDescent="0.2">
      <c r="A659" s="31">
        <v>147</v>
      </c>
      <c r="B659" s="2">
        <v>651</v>
      </c>
      <c r="C659" s="24">
        <f t="shared" si="18"/>
        <v>2142.0000000000005</v>
      </c>
      <c r="D659" s="4">
        <f t="shared" si="19"/>
        <v>158.52920792079203</v>
      </c>
      <c r="E659" s="6"/>
      <c r="F659" s="3"/>
      <c r="G659" s="4"/>
      <c r="H659" s="6"/>
      <c r="L659" s="27">
        <v>2142</v>
      </c>
    </row>
    <row r="660" spans="1:12" x14ac:dyDescent="0.2">
      <c r="A660" s="31">
        <v>148</v>
      </c>
      <c r="B660" s="2">
        <v>652</v>
      </c>
      <c r="C660" s="24">
        <f t="shared" si="18"/>
        <v>2268</v>
      </c>
      <c r="D660" s="4">
        <f t="shared" si="19"/>
        <v>167.85445544554446</v>
      </c>
      <c r="E660" s="6"/>
      <c r="F660" s="3"/>
      <c r="G660" s="4"/>
      <c r="H660" s="6"/>
      <c r="L660" s="27">
        <v>2268</v>
      </c>
    </row>
    <row r="661" spans="1:12" x14ac:dyDescent="0.2">
      <c r="A661" s="31">
        <v>149</v>
      </c>
      <c r="B661" s="2">
        <v>653</v>
      </c>
      <c r="C661" s="24">
        <f t="shared" si="18"/>
        <v>2393.9999999999995</v>
      </c>
      <c r="D661" s="4">
        <f t="shared" si="19"/>
        <v>177.17970297029689</v>
      </c>
      <c r="E661" s="6"/>
      <c r="F661" s="3"/>
      <c r="G661" s="4"/>
      <c r="H661" s="6"/>
      <c r="L661" s="27">
        <v>2394</v>
      </c>
    </row>
    <row r="662" spans="1:12" x14ac:dyDescent="0.2">
      <c r="A662" s="31">
        <v>150</v>
      </c>
      <c r="B662" s="2">
        <v>654</v>
      </c>
      <c r="C662" s="24">
        <f t="shared" si="18"/>
        <v>2519.9999999999995</v>
      </c>
      <c r="D662" s="4">
        <f t="shared" si="19"/>
        <v>186.50495049504937</v>
      </c>
      <c r="E662" s="6"/>
      <c r="F662" s="3"/>
      <c r="G662" s="4"/>
      <c r="H662" s="6"/>
      <c r="L662" s="27">
        <v>2520</v>
      </c>
    </row>
    <row r="663" spans="1:12" x14ac:dyDescent="0.2">
      <c r="A663" s="31">
        <v>151</v>
      </c>
      <c r="B663" s="2">
        <v>655</v>
      </c>
      <c r="C663" s="24">
        <f t="shared" si="18"/>
        <v>2646</v>
      </c>
      <c r="D663" s="4">
        <f t="shared" si="19"/>
        <v>195.83019801980188</v>
      </c>
      <c r="E663" s="6"/>
      <c r="F663" s="3"/>
      <c r="G663" s="4"/>
      <c r="H663" s="6"/>
      <c r="L663" s="27">
        <v>2646</v>
      </c>
    </row>
    <row r="664" spans="1:12" x14ac:dyDescent="0.2">
      <c r="A664" s="31">
        <v>152</v>
      </c>
      <c r="B664" s="2">
        <v>656</v>
      </c>
      <c r="C664" s="24">
        <f t="shared" si="18"/>
        <v>2772</v>
      </c>
      <c r="D664" s="4">
        <f t="shared" si="19"/>
        <v>205.15544554455434</v>
      </c>
      <c r="E664" s="6"/>
      <c r="F664" s="3"/>
      <c r="G664" s="4"/>
      <c r="H664" s="6"/>
      <c r="L664" s="27">
        <v>2772</v>
      </c>
    </row>
    <row r="665" spans="1:12" x14ac:dyDescent="0.2">
      <c r="A665" s="31">
        <v>153</v>
      </c>
      <c r="B665" s="2">
        <v>657</v>
      </c>
      <c r="C665" s="24">
        <f t="shared" si="18"/>
        <v>2898</v>
      </c>
      <c r="D665" s="4">
        <f t="shared" si="19"/>
        <v>214.48069306930682</v>
      </c>
      <c r="E665" s="6"/>
      <c r="F665" s="3"/>
      <c r="G665" s="4"/>
      <c r="H665" s="6"/>
      <c r="L665" s="27">
        <v>2898</v>
      </c>
    </row>
    <row r="666" spans="1:12" x14ac:dyDescent="0.2">
      <c r="A666" s="31">
        <v>154</v>
      </c>
      <c r="B666" s="2">
        <v>658</v>
      </c>
      <c r="C666" s="24">
        <f t="shared" si="18"/>
        <v>3024</v>
      </c>
      <c r="D666" s="4">
        <f t="shared" si="19"/>
        <v>223.80594059405928</v>
      </c>
      <c r="E666" s="6"/>
      <c r="F666" s="3"/>
      <c r="G666" s="4"/>
      <c r="H666" s="6"/>
      <c r="L666" s="27">
        <v>3024</v>
      </c>
    </row>
    <row r="667" spans="1:12" x14ac:dyDescent="0.2">
      <c r="A667" s="31">
        <v>155</v>
      </c>
      <c r="B667" s="2">
        <v>659</v>
      </c>
      <c r="C667" s="24">
        <f t="shared" si="18"/>
        <v>3150.0000000000005</v>
      </c>
      <c r="D667" s="4">
        <f t="shared" si="19"/>
        <v>233.13118811881179</v>
      </c>
      <c r="E667" s="6"/>
      <c r="F667" s="3"/>
      <c r="G667" s="4"/>
      <c r="H667" s="6"/>
      <c r="L667" s="27">
        <v>3150</v>
      </c>
    </row>
    <row r="668" spans="1:12" x14ac:dyDescent="0.2">
      <c r="A668" s="31">
        <v>156</v>
      </c>
      <c r="B668" s="2">
        <v>660</v>
      </c>
      <c r="C668" s="24">
        <f t="shared" si="18"/>
        <v>3276.0000000000009</v>
      </c>
      <c r="D668" s="4">
        <f t="shared" si="19"/>
        <v>242.45643564356428</v>
      </c>
      <c r="E668" s="6"/>
      <c r="F668" s="3"/>
      <c r="G668" s="4"/>
      <c r="H668" s="6"/>
      <c r="L668" s="27">
        <v>3276</v>
      </c>
    </row>
    <row r="669" spans="1:12" x14ac:dyDescent="0.2">
      <c r="A669" s="31">
        <v>157</v>
      </c>
      <c r="B669" s="2">
        <v>661</v>
      </c>
      <c r="C669" s="24">
        <f t="shared" si="18"/>
        <v>3402.0000000000005</v>
      </c>
      <c r="D669" s="4">
        <f t="shared" si="19"/>
        <v>251.78168316831673</v>
      </c>
      <c r="E669" s="6"/>
      <c r="F669" s="3"/>
      <c r="G669" s="4"/>
      <c r="H669" s="6"/>
      <c r="L669" s="27">
        <v>3402</v>
      </c>
    </row>
    <row r="670" spans="1:12" x14ac:dyDescent="0.2">
      <c r="A670" s="31">
        <v>158</v>
      </c>
      <c r="B670" s="2">
        <v>662</v>
      </c>
      <c r="C670" s="24">
        <f t="shared" si="18"/>
        <v>3528.0000000000009</v>
      </c>
      <c r="D670" s="4">
        <f t="shared" si="19"/>
        <v>261.10693069306922</v>
      </c>
      <c r="E670" s="6"/>
      <c r="F670" s="3"/>
      <c r="G670" s="4"/>
      <c r="H670" s="6"/>
      <c r="L670" s="27">
        <v>3528</v>
      </c>
    </row>
    <row r="671" spans="1:12" x14ac:dyDescent="0.2">
      <c r="A671" s="31">
        <v>159</v>
      </c>
      <c r="B671" s="2">
        <v>663</v>
      </c>
      <c r="C671" s="24">
        <f t="shared" si="18"/>
        <v>3402</v>
      </c>
      <c r="D671" s="4">
        <f t="shared" si="19"/>
        <v>251.7816831683167</v>
      </c>
      <c r="E671" s="6"/>
      <c r="F671" s="3"/>
      <c r="G671" s="4"/>
      <c r="H671" s="6"/>
      <c r="L671" s="27">
        <v>3402</v>
      </c>
    </row>
    <row r="672" spans="1:12" x14ac:dyDescent="0.2">
      <c r="A672" s="31">
        <v>160</v>
      </c>
      <c r="B672" s="2">
        <v>664</v>
      </c>
      <c r="C672" s="24">
        <f t="shared" si="18"/>
        <v>3527.9999999999995</v>
      </c>
      <c r="D672" s="4">
        <f t="shared" si="19"/>
        <v>261.1069306930691</v>
      </c>
      <c r="E672" s="6"/>
      <c r="F672" s="3"/>
      <c r="G672" s="4"/>
      <c r="H672" s="6"/>
      <c r="L672" s="27">
        <v>3528</v>
      </c>
    </row>
    <row r="673" spans="1:12" x14ac:dyDescent="0.2">
      <c r="A673" s="31">
        <v>161</v>
      </c>
      <c r="B673" s="2">
        <v>665</v>
      </c>
      <c r="C673" s="24">
        <f t="shared" si="18"/>
        <v>4032</v>
      </c>
      <c r="D673" s="4">
        <f t="shared" si="19"/>
        <v>298.40792079207904</v>
      </c>
      <c r="E673" s="6"/>
      <c r="F673" s="3"/>
      <c r="G673" s="4"/>
      <c r="H673" s="6"/>
      <c r="L673" s="27">
        <v>4032</v>
      </c>
    </row>
    <row r="674" spans="1:12" x14ac:dyDescent="0.2">
      <c r="A674" s="31">
        <v>162</v>
      </c>
      <c r="B674" s="2">
        <v>666</v>
      </c>
      <c r="C674" s="24">
        <f t="shared" si="18"/>
        <v>3905.9999999999995</v>
      </c>
      <c r="D674" s="4">
        <f t="shared" si="19"/>
        <v>289.08267326732653</v>
      </c>
      <c r="E674" s="6"/>
      <c r="F674" s="3"/>
      <c r="G674" s="4"/>
      <c r="H674" s="6"/>
      <c r="L674" s="27">
        <v>3906</v>
      </c>
    </row>
    <row r="675" spans="1:12" x14ac:dyDescent="0.2">
      <c r="A675" s="31">
        <v>163</v>
      </c>
      <c r="B675" s="2">
        <v>667</v>
      </c>
      <c r="C675" s="24">
        <f t="shared" si="18"/>
        <v>4157.9999999999991</v>
      </c>
      <c r="D675" s="4">
        <f t="shared" si="19"/>
        <v>307.73316831683144</v>
      </c>
      <c r="E675" s="6"/>
      <c r="F675" s="3"/>
      <c r="G675" s="4"/>
      <c r="H675" s="6"/>
      <c r="L675" s="27">
        <v>4158</v>
      </c>
    </row>
    <row r="676" spans="1:12" x14ac:dyDescent="0.2">
      <c r="A676" s="31">
        <v>164</v>
      </c>
      <c r="B676" s="2">
        <v>668</v>
      </c>
      <c r="C676" s="24">
        <f t="shared" si="18"/>
        <v>3880.7999999999997</v>
      </c>
      <c r="D676" s="4">
        <f t="shared" si="19"/>
        <v>287.21762376237604</v>
      </c>
      <c r="E676" s="6"/>
      <c r="F676" s="3"/>
      <c r="G676" s="4"/>
      <c r="H676" s="6"/>
      <c r="L676" s="27">
        <v>3880.8</v>
      </c>
    </row>
    <row r="677" spans="1:12" x14ac:dyDescent="0.2">
      <c r="A677" s="31">
        <v>165</v>
      </c>
      <c r="B677" s="2">
        <v>669</v>
      </c>
      <c r="C677" s="24">
        <f t="shared" si="18"/>
        <v>3603.6000000000004</v>
      </c>
      <c r="D677" s="4">
        <f t="shared" si="19"/>
        <v>266.70207920792063</v>
      </c>
      <c r="E677" s="6"/>
      <c r="F677" s="3"/>
      <c r="G677" s="4"/>
      <c r="H677" s="6"/>
      <c r="L677" s="27">
        <v>3603.6</v>
      </c>
    </row>
    <row r="678" spans="1:12" x14ac:dyDescent="0.2">
      <c r="A678" s="31">
        <v>166</v>
      </c>
      <c r="B678" s="2">
        <v>670</v>
      </c>
      <c r="C678" s="24">
        <f t="shared" si="18"/>
        <v>3326.3999999999996</v>
      </c>
      <c r="D678" s="4">
        <f t="shared" si="19"/>
        <v>246.1865346534652</v>
      </c>
      <c r="E678" s="6"/>
      <c r="F678" s="3"/>
      <c r="G678" s="4"/>
      <c r="H678" s="6"/>
      <c r="L678" s="27">
        <v>3326.4</v>
      </c>
    </row>
    <row r="679" spans="1:12" x14ac:dyDescent="0.2">
      <c r="A679" s="31">
        <v>167</v>
      </c>
      <c r="B679" s="2">
        <v>671</v>
      </c>
      <c r="C679" s="24">
        <f t="shared" si="18"/>
        <v>3049.2</v>
      </c>
      <c r="D679" s="4">
        <f t="shared" si="19"/>
        <v>225.67099009900977</v>
      </c>
      <c r="E679" s="6"/>
      <c r="F679" s="3"/>
      <c r="G679" s="4"/>
      <c r="H679" s="6"/>
      <c r="L679" s="27">
        <v>3049.2</v>
      </c>
    </row>
    <row r="680" spans="1:12" x14ac:dyDescent="0.2">
      <c r="A680" s="31">
        <v>168</v>
      </c>
      <c r="B680" s="2">
        <v>672</v>
      </c>
      <c r="C680" s="24">
        <f t="shared" si="18"/>
        <v>2772</v>
      </c>
      <c r="D680" s="4">
        <f t="shared" si="19"/>
        <v>205.15544554455434</v>
      </c>
      <c r="E680" s="6"/>
      <c r="F680" s="3"/>
      <c r="G680" s="4"/>
      <c r="H680" s="6"/>
      <c r="L680" s="27">
        <v>2772</v>
      </c>
    </row>
    <row r="681" spans="1:12" x14ac:dyDescent="0.2">
      <c r="C681" s="24"/>
      <c r="F681" s="3"/>
      <c r="L681" s="27"/>
    </row>
    <row r="682" spans="1:12" x14ac:dyDescent="0.2">
      <c r="C682" s="24"/>
      <c r="L682" s="27"/>
    </row>
    <row r="683" spans="1:12" x14ac:dyDescent="0.2">
      <c r="C683" s="24"/>
      <c r="L683" s="2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D67-BB82-7545-89CE-137E1C815650}">
  <dimension ref="A1:J678"/>
  <sheetViews>
    <sheetView zoomScale="160" zoomScaleNormal="160" workbookViewId="0">
      <selection activeCell="J11" sqref="J11"/>
    </sheetView>
  </sheetViews>
  <sheetFormatPr baseColWidth="10" defaultRowHeight="16" x14ac:dyDescent="0.2"/>
  <cols>
    <col min="1" max="1" width="10.83203125" style="31"/>
    <col min="2" max="2" width="10.83203125" style="2"/>
    <col min="3" max="3" width="13.1640625" bestFit="1" customWidth="1"/>
    <col min="6" max="6" width="11.6640625" customWidth="1"/>
    <col min="7" max="7" width="11.6640625" style="14" bestFit="1" customWidth="1"/>
    <col min="9" max="9" width="11" bestFit="1" customWidth="1"/>
  </cols>
  <sheetData>
    <row r="1" spans="1:10" x14ac:dyDescent="0.2">
      <c r="G1"/>
    </row>
    <row r="2" spans="1:10" s="12" customFormat="1" ht="34" x14ac:dyDescent="0.2">
      <c r="A2" s="32"/>
      <c r="C2" s="13" t="s">
        <v>7</v>
      </c>
    </row>
    <row r="3" spans="1:10" s="12" customFormat="1" ht="19" x14ac:dyDescent="0.25">
      <c r="A3" s="32"/>
      <c r="C3" s="13" t="s">
        <v>14</v>
      </c>
      <c r="D3" s="13" t="s">
        <v>12</v>
      </c>
      <c r="F3" t="s">
        <v>13</v>
      </c>
      <c r="G3">
        <f>Properties!$D$9</f>
        <v>273</v>
      </c>
      <c r="H3" t="s">
        <v>1</v>
      </c>
    </row>
    <row r="4" spans="1:10" ht="18" x14ac:dyDescent="0.25">
      <c r="B4" s="2" t="s">
        <v>2</v>
      </c>
      <c r="C4" s="16">
        <f>SUM(C6:C677)</f>
        <v>2439877.7834165837</v>
      </c>
      <c r="D4" s="16">
        <f>SUM(D6:D677)</f>
        <v>112088.42929966237</v>
      </c>
      <c r="E4" s="6"/>
      <c r="F4" t="s">
        <v>9</v>
      </c>
      <c r="G4">
        <f>Properties!$D$10</f>
        <v>303</v>
      </c>
      <c r="H4" t="s">
        <v>1</v>
      </c>
      <c r="I4" s="19"/>
      <c r="J4" s="17"/>
    </row>
    <row r="5" spans="1:10" ht="18" x14ac:dyDescent="0.25">
      <c r="B5" s="2" t="s">
        <v>6</v>
      </c>
      <c r="C5" t="s">
        <v>11</v>
      </c>
      <c r="D5" s="7" t="s">
        <v>11</v>
      </c>
      <c r="E5" s="7"/>
      <c r="F5" t="s">
        <v>8</v>
      </c>
      <c r="G5">
        <f>Properties!$F$14</f>
        <v>288.3</v>
      </c>
      <c r="H5" t="s">
        <v>1</v>
      </c>
    </row>
    <row r="6" spans="1:10" x14ac:dyDescent="0.2">
      <c r="A6" s="31">
        <f>Winter!A9</f>
        <v>1</v>
      </c>
      <c r="B6" s="2">
        <v>1</v>
      </c>
      <c r="C6" s="3">
        <v>2346</v>
      </c>
      <c r="D6" s="4">
        <f>$G$3*C6*(1/$G$5-1/$G$4)</f>
        <v>107.7756668486826</v>
      </c>
      <c r="E6" s="4"/>
      <c r="F6" s="6"/>
      <c r="G6" s="3"/>
      <c r="H6" s="4"/>
      <c r="I6" s="6"/>
    </row>
    <row r="7" spans="1:10" x14ac:dyDescent="0.2">
      <c r="A7" s="31">
        <f>Winter!A10</f>
        <v>2</v>
      </c>
      <c r="B7" s="2">
        <v>2</v>
      </c>
      <c r="C7" s="3">
        <v>2208</v>
      </c>
      <c r="D7" s="4">
        <f t="shared" ref="D7:D70" si="0">$G$3*C7*(1/$G$5-1/$G$4)</f>
        <v>101.43592173993656</v>
      </c>
      <c r="E7" s="4"/>
      <c r="F7" s="6"/>
      <c r="G7" s="3"/>
      <c r="H7" s="4"/>
      <c r="I7" s="6"/>
    </row>
    <row r="8" spans="1:10" x14ac:dyDescent="0.2">
      <c r="A8" s="31">
        <f>Winter!A11</f>
        <v>3</v>
      </c>
      <c r="B8" s="2">
        <v>3</v>
      </c>
      <c r="C8" s="3">
        <v>2346</v>
      </c>
      <c r="D8" s="4">
        <f t="shared" si="0"/>
        <v>107.7756668486826</v>
      </c>
      <c r="E8" s="4"/>
      <c r="F8" s="6"/>
      <c r="G8" s="3"/>
      <c r="H8" s="4"/>
      <c r="I8" s="6"/>
    </row>
    <row r="9" spans="1:10" x14ac:dyDescent="0.2">
      <c r="A9" s="31">
        <f>Winter!A12</f>
        <v>4</v>
      </c>
      <c r="B9" s="2">
        <v>4</v>
      </c>
      <c r="C9" s="3">
        <v>2484</v>
      </c>
      <c r="D9" s="4">
        <f t="shared" si="0"/>
        <v>114.11541195742863</v>
      </c>
      <c r="E9" s="4"/>
      <c r="F9" s="6"/>
      <c r="G9" s="3"/>
      <c r="H9" s="4"/>
      <c r="I9" s="6"/>
    </row>
    <row r="10" spans="1:10" x14ac:dyDescent="0.2">
      <c r="A10" s="31">
        <f>Winter!A13</f>
        <v>5</v>
      </c>
      <c r="B10" s="2">
        <v>5</v>
      </c>
      <c r="C10" s="3">
        <v>2828.9999999999995</v>
      </c>
      <c r="D10" s="4">
        <f t="shared" si="0"/>
        <v>129.96477472929371</v>
      </c>
      <c r="E10" s="4"/>
      <c r="F10" s="6"/>
      <c r="G10" s="3"/>
      <c r="H10" s="4"/>
      <c r="I10" s="6"/>
    </row>
    <row r="11" spans="1:10" x14ac:dyDescent="0.2">
      <c r="A11" s="31">
        <f>Winter!A14</f>
        <v>6</v>
      </c>
      <c r="B11" s="2">
        <v>6</v>
      </c>
      <c r="C11" s="3">
        <v>3035.9999999999995</v>
      </c>
      <c r="D11" s="4">
        <f t="shared" si="0"/>
        <v>139.47439239241277</v>
      </c>
      <c r="E11" s="4"/>
      <c r="F11" s="6"/>
      <c r="G11" s="3"/>
      <c r="H11" s="4"/>
      <c r="I11" s="6"/>
    </row>
    <row r="12" spans="1:10" x14ac:dyDescent="0.2">
      <c r="A12" s="31">
        <f>Winter!A15</f>
        <v>7</v>
      </c>
      <c r="B12" s="2">
        <v>7</v>
      </c>
      <c r="C12" s="3">
        <v>3242.9999999999995</v>
      </c>
      <c r="D12" s="4">
        <f t="shared" si="0"/>
        <v>148.9840100555318</v>
      </c>
      <c r="E12" s="4"/>
      <c r="F12" s="6"/>
      <c r="G12" s="3"/>
      <c r="H12" s="4"/>
      <c r="I12" s="6"/>
    </row>
    <row r="13" spans="1:10" x14ac:dyDescent="0.2">
      <c r="A13" s="31">
        <f>Winter!A16</f>
        <v>8</v>
      </c>
      <c r="B13" s="2">
        <v>8</v>
      </c>
      <c r="C13" s="3">
        <v>3449.9999999999986</v>
      </c>
      <c r="D13" s="4">
        <f t="shared" si="0"/>
        <v>158.49362771865083</v>
      </c>
      <c r="E13" s="4"/>
      <c r="F13" s="6"/>
      <c r="G13" s="3"/>
      <c r="H13" s="4"/>
      <c r="I13" s="6"/>
    </row>
    <row r="14" spans="1:10" x14ac:dyDescent="0.2">
      <c r="A14" s="31">
        <f>Winter!A17</f>
        <v>9</v>
      </c>
      <c r="B14" s="2">
        <v>9</v>
      </c>
      <c r="C14" s="3">
        <v>3656.9999999999991</v>
      </c>
      <c r="D14" s="4">
        <f t="shared" si="0"/>
        <v>168.00324538176989</v>
      </c>
      <c r="E14" s="4"/>
      <c r="F14" s="6"/>
      <c r="G14" s="3"/>
      <c r="H14" s="4"/>
      <c r="I14" s="6"/>
    </row>
    <row r="15" spans="1:10" x14ac:dyDescent="0.2">
      <c r="A15" s="31">
        <f>Winter!A18</f>
        <v>10</v>
      </c>
      <c r="B15" s="2">
        <v>10</v>
      </c>
      <c r="C15" s="3">
        <v>3863.9999999999991</v>
      </c>
      <c r="D15" s="4">
        <f t="shared" si="0"/>
        <v>177.51286304488895</v>
      </c>
      <c r="E15" s="4"/>
      <c r="F15" s="6"/>
      <c r="G15" s="3"/>
      <c r="H15" s="4"/>
      <c r="I15" s="6"/>
    </row>
    <row r="16" spans="1:10" x14ac:dyDescent="0.2">
      <c r="A16" s="31">
        <f>Winter!A19</f>
        <v>11</v>
      </c>
      <c r="B16" s="2">
        <v>11</v>
      </c>
      <c r="C16" s="3">
        <v>4070.9999999999986</v>
      </c>
      <c r="D16" s="4">
        <f t="shared" si="0"/>
        <v>187.02248070800795</v>
      </c>
      <c r="E16" s="4"/>
      <c r="F16" s="6"/>
      <c r="G16" s="3"/>
      <c r="H16" s="4"/>
      <c r="I16" s="6"/>
    </row>
    <row r="17" spans="1:9" x14ac:dyDescent="0.2">
      <c r="A17" s="31">
        <f>Winter!A20</f>
        <v>12</v>
      </c>
      <c r="B17" s="2">
        <v>12</v>
      </c>
      <c r="C17" s="3">
        <v>4277.9999999999991</v>
      </c>
      <c r="D17" s="4">
        <f t="shared" si="0"/>
        <v>196.53209837112706</v>
      </c>
      <c r="E17" s="4"/>
      <c r="F17" s="6"/>
      <c r="G17" s="3"/>
      <c r="H17" s="4"/>
      <c r="I17" s="6"/>
    </row>
    <row r="18" spans="1:9" x14ac:dyDescent="0.2">
      <c r="A18" s="31">
        <f>Winter!A21</f>
        <v>13</v>
      </c>
      <c r="B18" s="2">
        <v>13</v>
      </c>
      <c r="C18" s="3">
        <v>4485</v>
      </c>
      <c r="D18" s="4">
        <f t="shared" si="0"/>
        <v>206.04171603424615</v>
      </c>
      <c r="E18" s="4"/>
      <c r="F18" s="6"/>
      <c r="G18" s="3"/>
      <c r="H18" s="4"/>
      <c r="I18" s="6"/>
    </row>
    <row r="19" spans="1:9" x14ac:dyDescent="0.2">
      <c r="A19" s="31">
        <f>Winter!A22</f>
        <v>14</v>
      </c>
      <c r="B19" s="2">
        <v>14</v>
      </c>
      <c r="C19" s="3">
        <v>4692</v>
      </c>
      <c r="D19" s="4">
        <f t="shared" si="0"/>
        <v>215.55133369736521</v>
      </c>
      <c r="E19" s="4"/>
      <c r="F19" s="6"/>
      <c r="G19" s="3"/>
      <c r="H19" s="4"/>
      <c r="I19" s="6"/>
    </row>
    <row r="20" spans="1:9" x14ac:dyDescent="0.2">
      <c r="A20" s="31">
        <f>Winter!A23</f>
        <v>15</v>
      </c>
      <c r="B20" s="2">
        <v>15</v>
      </c>
      <c r="C20" s="3">
        <v>4553.9999999999991</v>
      </c>
      <c r="D20" s="4">
        <f t="shared" si="0"/>
        <v>209.21158858861912</v>
      </c>
      <c r="E20" s="4"/>
      <c r="F20" s="6"/>
      <c r="G20" s="3"/>
      <c r="H20" s="4"/>
      <c r="I20" s="6"/>
    </row>
    <row r="21" spans="1:9" x14ac:dyDescent="0.2">
      <c r="A21" s="31">
        <f>Winter!A24</f>
        <v>16</v>
      </c>
      <c r="B21" s="2">
        <v>16</v>
      </c>
      <c r="C21" s="3">
        <v>4738</v>
      </c>
      <c r="D21" s="4">
        <f t="shared" si="0"/>
        <v>217.66458206694722</v>
      </c>
      <c r="E21" s="4"/>
      <c r="F21" s="6"/>
      <c r="G21" s="3"/>
      <c r="H21" s="4"/>
      <c r="I21" s="6"/>
    </row>
    <row r="22" spans="1:9" x14ac:dyDescent="0.2">
      <c r="A22" s="31">
        <f>Winter!A25</f>
        <v>17</v>
      </c>
      <c r="B22" s="2">
        <v>17</v>
      </c>
      <c r="C22" s="3">
        <v>5382</v>
      </c>
      <c r="D22" s="4">
        <f t="shared" si="0"/>
        <v>247.25005924109539</v>
      </c>
      <c r="E22" s="4"/>
      <c r="F22" s="6"/>
      <c r="G22" s="3"/>
      <c r="H22" s="4"/>
      <c r="I22" s="6"/>
    </row>
    <row r="23" spans="1:9" x14ac:dyDescent="0.2">
      <c r="A23" s="31">
        <f>Winter!A26</f>
        <v>18</v>
      </c>
      <c r="B23" s="2">
        <v>18</v>
      </c>
      <c r="C23" s="3">
        <v>5244</v>
      </c>
      <c r="D23" s="4">
        <f t="shared" si="0"/>
        <v>240.91031413234933</v>
      </c>
      <c r="E23" s="4"/>
      <c r="F23" s="6"/>
      <c r="G23" s="3"/>
      <c r="H23" s="4"/>
      <c r="I23" s="6"/>
    </row>
    <row r="24" spans="1:9" x14ac:dyDescent="0.2">
      <c r="A24" s="31">
        <f>Winter!A27</f>
        <v>19</v>
      </c>
      <c r="B24" s="2">
        <v>19</v>
      </c>
      <c r="C24" s="3">
        <v>5520</v>
      </c>
      <c r="D24" s="4">
        <f t="shared" si="0"/>
        <v>253.58980434984142</v>
      </c>
      <c r="E24" s="4"/>
      <c r="F24" s="6"/>
      <c r="G24" s="3"/>
      <c r="H24" s="4"/>
      <c r="I24" s="6"/>
    </row>
    <row r="25" spans="1:9" x14ac:dyDescent="0.2">
      <c r="A25" s="31">
        <f>Winter!A28</f>
        <v>20</v>
      </c>
      <c r="B25" s="2">
        <v>20</v>
      </c>
      <c r="C25" s="3">
        <v>5244</v>
      </c>
      <c r="D25" s="4">
        <f t="shared" si="0"/>
        <v>240.91031413234933</v>
      </c>
      <c r="E25" s="4"/>
      <c r="F25" s="6"/>
      <c r="G25" s="3"/>
      <c r="H25" s="4"/>
      <c r="I25" s="6"/>
    </row>
    <row r="26" spans="1:9" x14ac:dyDescent="0.2">
      <c r="A26" s="31">
        <f>Winter!A29</f>
        <v>21</v>
      </c>
      <c r="B26" s="2">
        <v>21</v>
      </c>
      <c r="C26" s="3">
        <v>5657.9999999999991</v>
      </c>
      <c r="D26" s="4">
        <f t="shared" si="0"/>
        <v>259.92954945858742</v>
      </c>
      <c r="E26" s="4"/>
      <c r="F26" s="6"/>
      <c r="G26" s="3"/>
      <c r="H26" s="4"/>
      <c r="I26" s="6"/>
    </row>
    <row r="27" spans="1:9" x14ac:dyDescent="0.2">
      <c r="A27" s="31">
        <f>Winter!A30</f>
        <v>22</v>
      </c>
      <c r="B27" s="2">
        <v>22</v>
      </c>
      <c r="C27" s="3">
        <v>4968</v>
      </c>
      <c r="D27" s="4">
        <f t="shared" si="0"/>
        <v>228.23082391485727</v>
      </c>
      <c r="E27" s="4"/>
      <c r="F27" s="6"/>
      <c r="G27" s="3"/>
      <c r="H27" s="4"/>
      <c r="I27" s="6"/>
    </row>
    <row r="28" spans="1:9" x14ac:dyDescent="0.2">
      <c r="A28" s="31">
        <f>Winter!A31</f>
        <v>23</v>
      </c>
      <c r="B28" s="2">
        <v>23</v>
      </c>
      <c r="C28" s="3">
        <v>4277.9999999999991</v>
      </c>
      <c r="D28" s="4">
        <f t="shared" si="0"/>
        <v>196.53209837112706</v>
      </c>
      <c r="E28" s="4"/>
      <c r="F28" s="6"/>
      <c r="G28" s="3"/>
      <c r="H28" s="4"/>
      <c r="I28" s="6"/>
    </row>
    <row r="29" spans="1:9" x14ac:dyDescent="0.2">
      <c r="A29" s="31">
        <f>Winter!A32</f>
        <v>24</v>
      </c>
      <c r="B29" s="2">
        <v>24</v>
      </c>
      <c r="C29" s="3">
        <v>3587.9999999999991</v>
      </c>
      <c r="D29" s="4">
        <f t="shared" si="0"/>
        <v>164.83337282739689</v>
      </c>
      <c r="E29" s="4"/>
      <c r="F29" s="6"/>
      <c r="G29" s="3"/>
      <c r="H29" s="4"/>
      <c r="I29" s="6"/>
    </row>
    <row r="30" spans="1:9" x14ac:dyDescent="0.2">
      <c r="A30" s="31">
        <f>Winter!A33</f>
        <v>25</v>
      </c>
      <c r="B30" s="2">
        <v>25</v>
      </c>
      <c r="C30" s="3">
        <v>2346</v>
      </c>
      <c r="D30" s="4">
        <f t="shared" si="0"/>
        <v>107.7756668486826</v>
      </c>
      <c r="E30" s="4"/>
      <c r="F30" s="6"/>
      <c r="G30" s="3"/>
      <c r="H30" s="4"/>
      <c r="I30" s="6"/>
    </row>
    <row r="31" spans="1:9" x14ac:dyDescent="0.2">
      <c r="A31" s="31">
        <f>Winter!A34</f>
        <v>26</v>
      </c>
      <c r="B31" s="2">
        <v>26</v>
      </c>
      <c r="C31" s="3">
        <v>2208</v>
      </c>
      <c r="D31" s="4">
        <f t="shared" si="0"/>
        <v>101.43592173993656</v>
      </c>
      <c r="E31" s="4"/>
      <c r="F31" s="6"/>
      <c r="G31" s="3"/>
      <c r="H31" s="4"/>
      <c r="I31" s="6"/>
    </row>
    <row r="32" spans="1:9" x14ac:dyDescent="0.2">
      <c r="A32" s="31">
        <f>Winter!A35</f>
        <v>27</v>
      </c>
      <c r="B32" s="2">
        <v>27</v>
      </c>
      <c r="C32" s="3">
        <v>2373.6</v>
      </c>
      <c r="D32" s="4">
        <f t="shared" si="0"/>
        <v>109.04361587043179</v>
      </c>
      <c r="E32" s="4"/>
      <c r="F32" s="6"/>
      <c r="G32" s="3"/>
      <c r="H32" s="4"/>
      <c r="I32" s="6"/>
    </row>
    <row r="33" spans="1:9" x14ac:dyDescent="0.2">
      <c r="A33" s="31">
        <f>Winter!A36</f>
        <v>28</v>
      </c>
      <c r="B33" s="2">
        <v>28</v>
      </c>
      <c r="C33" s="3">
        <v>2484</v>
      </c>
      <c r="D33" s="4">
        <f t="shared" si="0"/>
        <v>114.11541195742863</v>
      </c>
      <c r="E33" s="4"/>
      <c r="F33" s="6"/>
      <c r="G33" s="3"/>
      <c r="H33" s="4"/>
      <c r="I33" s="6"/>
    </row>
    <row r="34" spans="1:9" x14ac:dyDescent="0.2">
      <c r="A34" s="31">
        <f>Winter!A37</f>
        <v>29</v>
      </c>
      <c r="B34" s="2">
        <v>29</v>
      </c>
      <c r="C34" s="3">
        <v>2740.2857142857142</v>
      </c>
      <c r="D34" s="4">
        <f t="shared" si="0"/>
        <v>125.8892243022427</v>
      </c>
      <c r="E34" s="4"/>
      <c r="F34" s="6"/>
      <c r="G34" s="3"/>
      <c r="H34" s="4"/>
      <c r="I34" s="6"/>
    </row>
    <row r="35" spans="1:9" x14ac:dyDescent="0.2">
      <c r="A35" s="31">
        <f>Winter!A38</f>
        <v>30</v>
      </c>
      <c r="B35" s="2">
        <v>30</v>
      </c>
      <c r="C35" s="3">
        <v>2917.7142857142858</v>
      </c>
      <c r="D35" s="4">
        <f t="shared" si="0"/>
        <v>134.04032515634475</v>
      </c>
      <c r="E35" s="4"/>
      <c r="F35" s="6"/>
      <c r="G35" s="3"/>
      <c r="H35" s="4"/>
      <c r="I35" s="6"/>
    </row>
    <row r="36" spans="1:9" x14ac:dyDescent="0.2">
      <c r="A36" s="31">
        <f>Winter!A39</f>
        <v>31</v>
      </c>
      <c r="B36" s="2">
        <v>31</v>
      </c>
      <c r="C36" s="3">
        <v>3095.1428571428573</v>
      </c>
      <c r="D36" s="4">
        <f t="shared" si="0"/>
        <v>142.19142601044678</v>
      </c>
      <c r="E36" s="4"/>
      <c r="F36" s="6"/>
      <c r="G36" s="3"/>
      <c r="H36" s="4"/>
      <c r="I36" s="6"/>
    </row>
    <row r="37" spans="1:9" x14ac:dyDescent="0.2">
      <c r="A37" s="31">
        <f>Winter!A40</f>
        <v>32</v>
      </c>
      <c r="B37" s="2">
        <v>32</v>
      </c>
      <c r="C37" s="3">
        <v>3272.5714285714289</v>
      </c>
      <c r="D37" s="4">
        <f t="shared" si="0"/>
        <v>150.34252686454886</v>
      </c>
      <c r="E37" s="4"/>
      <c r="F37" s="6"/>
      <c r="G37" s="3"/>
      <c r="H37" s="4"/>
      <c r="I37" s="6"/>
    </row>
    <row r="38" spans="1:9" x14ac:dyDescent="0.2">
      <c r="A38" s="31">
        <f>Winter!A41</f>
        <v>33</v>
      </c>
      <c r="B38" s="2">
        <v>33</v>
      </c>
      <c r="C38" s="3">
        <v>3449.9999999999995</v>
      </c>
      <c r="D38" s="4">
        <f t="shared" si="0"/>
        <v>158.49362771865086</v>
      </c>
      <c r="E38" s="4"/>
      <c r="F38" s="6"/>
      <c r="G38" s="3"/>
      <c r="H38" s="4"/>
      <c r="I38" s="6"/>
    </row>
    <row r="39" spans="1:9" x14ac:dyDescent="0.2">
      <c r="A39" s="31">
        <f>Winter!A42</f>
        <v>34</v>
      </c>
      <c r="B39" s="2">
        <v>34</v>
      </c>
      <c r="C39" s="3">
        <v>3627.4285714285711</v>
      </c>
      <c r="D39" s="4">
        <f t="shared" si="0"/>
        <v>166.64472857275291</v>
      </c>
      <c r="E39" s="4"/>
      <c r="F39" s="6"/>
      <c r="G39" s="3"/>
      <c r="H39" s="4"/>
      <c r="I39" s="6"/>
    </row>
    <row r="40" spans="1:9" x14ac:dyDescent="0.2">
      <c r="A40" s="31">
        <f>Winter!A43</f>
        <v>35</v>
      </c>
      <c r="B40" s="2">
        <v>35</v>
      </c>
      <c r="C40" s="3">
        <v>3804.8571428571427</v>
      </c>
      <c r="D40" s="4">
        <f t="shared" si="0"/>
        <v>174.79582942685497</v>
      </c>
      <c r="E40" s="4"/>
      <c r="F40" s="6"/>
      <c r="G40" s="3"/>
      <c r="H40" s="4"/>
      <c r="I40" s="6"/>
    </row>
    <row r="41" spans="1:9" x14ac:dyDescent="0.2">
      <c r="A41" s="31">
        <f>Winter!A44</f>
        <v>36</v>
      </c>
      <c r="B41" s="2">
        <v>36</v>
      </c>
      <c r="C41" s="3">
        <v>3982.2857142857147</v>
      </c>
      <c r="D41" s="4">
        <f t="shared" si="0"/>
        <v>182.94693028095702</v>
      </c>
      <c r="E41" s="4"/>
      <c r="F41" s="6"/>
      <c r="G41" s="3"/>
      <c r="H41" s="4"/>
      <c r="I41" s="6"/>
    </row>
    <row r="42" spans="1:9" x14ac:dyDescent="0.2">
      <c r="A42" s="31">
        <f>Winter!A45</f>
        <v>37</v>
      </c>
      <c r="B42" s="2">
        <v>37</v>
      </c>
      <c r="C42" s="3">
        <v>4159.7142857142853</v>
      </c>
      <c r="D42" s="4">
        <f t="shared" si="0"/>
        <v>191.09803113505907</v>
      </c>
      <c r="E42" s="4"/>
      <c r="F42" s="6"/>
      <c r="G42" s="3"/>
      <c r="H42" s="4"/>
      <c r="I42" s="6"/>
    </row>
    <row r="43" spans="1:9" x14ac:dyDescent="0.2">
      <c r="A43" s="31">
        <f>Winter!A46</f>
        <v>38</v>
      </c>
      <c r="B43" s="2">
        <v>38</v>
      </c>
      <c r="C43" s="3">
        <v>4337.1428571428569</v>
      </c>
      <c r="D43" s="4">
        <f t="shared" si="0"/>
        <v>199.2491319891611</v>
      </c>
      <c r="E43" s="4"/>
      <c r="F43" s="6"/>
      <c r="G43" s="3"/>
      <c r="H43" s="4"/>
      <c r="I43" s="6"/>
    </row>
    <row r="44" spans="1:9" x14ac:dyDescent="0.2">
      <c r="A44" s="31">
        <f>Winter!A47</f>
        <v>39</v>
      </c>
      <c r="B44" s="2">
        <v>39</v>
      </c>
      <c r="C44" s="3">
        <v>4514.5714285714284</v>
      </c>
      <c r="D44" s="4">
        <f t="shared" si="0"/>
        <v>207.40023284326315</v>
      </c>
      <c r="E44" s="4"/>
      <c r="F44" s="6"/>
      <c r="G44" s="3"/>
      <c r="H44" s="4"/>
      <c r="I44" s="6"/>
    </row>
    <row r="45" spans="1:9" x14ac:dyDescent="0.2">
      <c r="A45" s="31">
        <f>Winter!A48</f>
        <v>40</v>
      </c>
      <c r="B45" s="2">
        <v>40</v>
      </c>
      <c r="C45" s="3">
        <v>4692</v>
      </c>
      <c r="D45" s="4">
        <f t="shared" si="0"/>
        <v>215.55133369736521</v>
      </c>
      <c r="E45" s="4"/>
      <c r="F45" s="6"/>
      <c r="G45" s="3"/>
      <c r="H45" s="4"/>
      <c r="I45" s="6"/>
    </row>
    <row r="46" spans="1:9" x14ac:dyDescent="0.2">
      <c r="A46" s="31">
        <f>Winter!A49</f>
        <v>41</v>
      </c>
      <c r="B46" s="2">
        <v>41</v>
      </c>
      <c r="C46" s="3">
        <v>4553.9999999999991</v>
      </c>
      <c r="D46" s="4">
        <f t="shared" si="0"/>
        <v>209.21158858861912</v>
      </c>
      <c r="E46" s="4"/>
      <c r="F46" s="6"/>
      <c r="G46" s="3"/>
      <c r="H46" s="4"/>
      <c r="I46" s="6"/>
    </row>
    <row r="47" spans="1:9" x14ac:dyDescent="0.2">
      <c r="A47" s="31">
        <f>Winter!A50</f>
        <v>42</v>
      </c>
      <c r="B47" s="2">
        <v>42</v>
      </c>
      <c r="C47" s="3">
        <v>4830</v>
      </c>
      <c r="D47" s="4">
        <f t="shared" si="0"/>
        <v>221.89107880611124</v>
      </c>
      <c r="E47" s="4"/>
      <c r="F47" s="6"/>
      <c r="G47" s="3"/>
      <c r="H47" s="4"/>
      <c r="I47" s="6"/>
    </row>
    <row r="48" spans="1:9" x14ac:dyDescent="0.2">
      <c r="A48" s="31">
        <f>Winter!A51</f>
        <v>43</v>
      </c>
      <c r="B48" s="2">
        <v>43</v>
      </c>
      <c r="C48" s="3">
        <v>5106</v>
      </c>
      <c r="D48" s="4">
        <f t="shared" si="0"/>
        <v>234.5705690236033</v>
      </c>
      <c r="E48" s="4"/>
      <c r="F48" s="6"/>
      <c r="G48" s="3"/>
      <c r="H48" s="4"/>
      <c r="I48" s="6"/>
    </row>
    <row r="49" spans="1:9" x14ac:dyDescent="0.2">
      <c r="A49" s="31">
        <f>Winter!A52</f>
        <v>44</v>
      </c>
      <c r="B49" s="2">
        <v>44</v>
      </c>
      <c r="C49" s="3">
        <v>5244</v>
      </c>
      <c r="D49" s="4">
        <f t="shared" si="0"/>
        <v>240.91031413234933</v>
      </c>
      <c r="E49" s="4"/>
      <c r="F49" s="6"/>
      <c r="G49" s="3"/>
      <c r="H49" s="4"/>
      <c r="I49" s="6"/>
    </row>
    <row r="50" spans="1:9" x14ac:dyDescent="0.2">
      <c r="A50" s="31">
        <f>Winter!A53</f>
        <v>45</v>
      </c>
      <c r="B50" s="2">
        <v>45</v>
      </c>
      <c r="C50" s="3">
        <v>5657.9999999999991</v>
      </c>
      <c r="D50" s="4">
        <f t="shared" si="0"/>
        <v>259.92954945858742</v>
      </c>
      <c r="E50" s="4"/>
      <c r="F50" s="6"/>
      <c r="G50" s="3"/>
      <c r="H50" s="4"/>
      <c r="I50" s="6"/>
    </row>
    <row r="51" spans="1:9" x14ac:dyDescent="0.2">
      <c r="A51" s="31">
        <f>Winter!A54</f>
        <v>46</v>
      </c>
      <c r="B51" s="2">
        <v>46</v>
      </c>
      <c r="C51" s="3">
        <v>4968</v>
      </c>
      <c r="D51" s="4">
        <f t="shared" si="0"/>
        <v>228.23082391485727</v>
      </c>
      <c r="E51" s="4"/>
      <c r="F51" s="6"/>
      <c r="G51" s="3"/>
      <c r="H51" s="4"/>
      <c r="I51" s="6"/>
    </row>
    <row r="52" spans="1:9" x14ac:dyDescent="0.2">
      <c r="A52" s="31">
        <f>Winter!A55</f>
        <v>47</v>
      </c>
      <c r="B52" s="2">
        <v>47</v>
      </c>
      <c r="C52" s="3">
        <v>4277.9999999999991</v>
      </c>
      <c r="D52" s="4">
        <f t="shared" si="0"/>
        <v>196.53209837112706</v>
      </c>
      <c r="E52" s="4"/>
      <c r="F52" s="6"/>
      <c r="G52" s="3"/>
      <c r="H52" s="4"/>
      <c r="I52" s="6"/>
    </row>
    <row r="53" spans="1:9" x14ac:dyDescent="0.2">
      <c r="A53" s="31">
        <f>Winter!A56</f>
        <v>48</v>
      </c>
      <c r="B53" s="2">
        <v>48</v>
      </c>
      <c r="C53" s="3">
        <v>3587.9999999999991</v>
      </c>
      <c r="D53" s="4">
        <f t="shared" si="0"/>
        <v>164.83337282739689</v>
      </c>
      <c r="E53" s="4"/>
      <c r="F53" s="6"/>
      <c r="G53" s="3"/>
      <c r="H53" s="4"/>
      <c r="I53" s="6"/>
    </row>
    <row r="54" spans="1:9" x14ac:dyDescent="0.2">
      <c r="A54" s="31">
        <f>Winter!A57</f>
        <v>49</v>
      </c>
      <c r="B54" s="2">
        <v>49</v>
      </c>
      <c r="C54" s="3">
        <v>2346</v>
      </c>
      <c r="D54" s="4">
        <f t="shared" si="0"/>
        <v>107.7756668486826</v>
      </c>
      <c r="E54" s="4"/>
      <c r="F54" s="6"/>
      <c r="G54" s="3"/>
      <c r="H54" s="4"/>
      <c r="I54" s="6"/>
    </row>
    <row r="55" spans="1:9" x14ac:dyDescent="0.2">
      <c r="A55" s="31">
        <f>Winter!A58</f>
        <v>50</v>
      </c>
      <c r="B55" s="2">
        <v>50</v>
      </c>
      <c r="C55" s="3">
        <v>2208</v>
      </c>
      <c r="D55" s="4">
        <f t="shared" si="0"/>
        <v>101.43592173993656</v>
      </c>
      <c r="E55" s="4"/>
      <c r="F55" s="6"/>
      <c r="G55" s="3"/>
      <c r="H55" s="4"/>
      <c r="I55" s="6"/>
    </row>
    <row r="56" spans="1:9" x14ac:dyDescent="0.2">
      <c r="A56" s="31">
        <f>Winter!A59</f>
        <v>51</v>
      </c>
      <c r="B56" s="2">
        <v>51</v>
      </c>
      <c r="C56" s="3">
        <v>2346</v>
      </c>
      <c r="D56" s="4">
        <f t="shared" si="0"/>
        <v>107.7756668486826</v>
      </c>
      <c r="E56" s="4"/>
      <c r="F56" s="6"/>
      <c r="G56" s="3"/>
      <c r="H56" s="4"/>
      <c r="I56" s="6"/>
    </row>
    <row r="57" spans="1:9" x14ac:dyDescent="0.2">
      <c r="A57" s="31">
        <f>Winter!A60</f>
        <v>52</v>
      </c>
      <c r="B57" s="2">
        <v>52</v>
      </c>
      <c r="C57" s="3">
        <v>2484</v>
      </c>
      <c r="D57" s="4">
        <f t="shared" si="0"/>
        <v>114.11541195742863</v>
      </c>
      <c r="E57" s="4"/>
      <c r="F57" s="6"/>
      <c r="G57" s="3"/>
      <c r="H57" s="4"/>
      <c r="I57" s="6"/>
    </row>
    <row r="58" spans="1:9" x14ac:dyDescent="0.2">
      <c r="A58" s="31">
        <f>Winter!A61</f>
        <v>53</v>
      </c>
      <c r="B58" s="2">
        <v>53</v>
      </c>
      <c r="C58" s="3">
        <v>2781.2307692307691</v>
      </c>
      <c r="D58" s="4">
        <f t="shared" si="0"/>
        <v>127.77024757626624</v>
      </c>
      <c r="E58" s="4"/>
      <c r="F58" s="6"/>
      <c r="G58" s="3"/>
      <c r="H58" s="4"/>
      <c r="I58" s="6"/>
    </row>
    <row r="59" spans="1:9" x14ac:dyDescent="0.2">
      <c r="A59" s="31">
        <f>Winter!A62</f>
        <v>54</v>
      </c>
      <c r="B59" s="2">
        <v>54</v>
      </c>
      <c r="C59" s="3">
        <v>2972.3076923076924</v>
      </c>
      <c r="D59" s="4">
        <f t="shared" si="0"/>
        <v>136.54835618837615</v>
      </c>
      <c r="E59" s="4"/>
      <c r="F59" s="6"/>
      <c r="G59" s="3"/>
      <c r="H59" s="4"/>
      <c r="I59" s="6"/>
    </row>
    <row r="60" spans="1:9" x14ac:dyDescent="0.2">
      <c r="A60" s="31">
        <f>Winter!A63</f>
        <v>55</v>
      </c>
      <c r="B60" s="2">
        <v>55</v>
      </c>
      <c r="C60" s="3">
        <v>3163.3846153846152</v>
      </c>
      <c r="D60" s="4">
        <f t="shared" si="0"/>
        <v>145.32646480048604</v>
      </c>
      <c r="E60" s="4"/>
      <c r="F60" s="6"/>
      <c r="G60" s="3"/>
      <c r="H60" s="4"/>
      <c r="I60" s="6"/>
    </row>
    <row r="61" spans="1:9" x14ac:dyDescent="0.2">
      <c r="A61" s="31">
        <f>Winter!A64</f>
        <v>56</v>
      </c>
      <c r="B61" s="2">
        <v>56</v>
      </c>
      <c r="C61" s="3">
        <v>3354.4615384615377</v>
      </c>
      <c r="D61" s="4">
        <f t="shared" si="0"/>
        <v>154.1045734125959</v>
      </c>
      <c r="E61" s="4"/>
      <c r="F61" s="6"/>
      <c r="G61" s="3"/>
      <c r="H61" s="4"/>
      <c r="I61" s="6"/>
    </row>
    <row r="62" spans="1:9" x14ac:dyDescent="0.2">
      <c r="A62" s="31">
        <f>Winter!A65</f>
        <v>57</v>
      </c>
      <c r="B62" s="2">
        <v>57</v>
      </c>
      <c r="C62" s="3">
        <v>3545.538461538461</v>
      </c>
      <c r="D62" s="4">
        <f t="shared" si="0"/>
        <v>162.88268202470582</v>
      </c>
      <c r="E62" s="4"/>
      <c r="F62" s="6"/>
      <c r="G62" s="3"/>
      <c r="H62" s="4"/>
      <c r="I62" s="6"/>
    </row>
    <row r="63" spans="1:9" x14ac:dyDescent="0.2">
      <c r="A63" s="31">
        <f>Winter!A66</f>
        <v>58</v>
      </c>
      <c r="B63" s="2">
        <v>58</v>
      </c>
      <c r="C63" s="3">
        <v>3736.6153846153838</v>
      </c>
      <c r="D63" s="4">
        <f t="shared" si="0"/>
        <v>171.66079063681568</v>
      </c>
      <c r="E63" s="4"/>
      <c r="F63" s="6"/>
      <c r="G63" s="3"/>
      <c r="H63" s="4"/>
      <c r="I63" s="6"/>
    </row>
    <row r="64" spans="1:9" x14ac:dyDescent="0.2">
      <c r="A64" s="31">
        <f>Winter!A67</f>
        <v>59</v>
      </c>
      <c r="B64" s="2">
        <v>59</v>
      </c>
      <c r="C64" s="3">
        <v>3927.6923076923072</v>
      </c>
      <c r="D64" s="4">
        <f t="shared" si="0"/>
        <v>180.43889924892557</v>
      </c>
      <c r="E64" s="4"/>
      <c r="F64" s="6"/>
      <c r="G64" s="3"/>
      <c r="H64" s="4"/>
      <c r="I64" s="6"/>
    </row>
    <row r="65" spans="1:9" x14ac:dyDescent="0.2">
      <c r="A65" s="31">
        <f>Winter!A68</f>
        <v>60</v>
      </c>
      <c r="B65" s="2">
        <v>60</v>
      </c>
      <c r="C65" s="3">
        <v>4118.7692307692305</v>
      </c>
      <c r="D65" s="4">
        <f t="shared" si="0"/>
        <v>189.21700786103551</v>
      </c>
      <c r="E65" s="4"/>
      <c r="F65" s="6"/>
      <c r="G65" s="3"/>
      <c r="H65" s="4"/>
      <c r="I65" s="6"/>
    </row>
    <row r="66" spans="1:9" x14ac:dyDescent="0.2">
      <c r="A66" s="31">
        <f>Winter!A69</f>
        <v>61</v>
      </c>
      <c r="B66" s="2">
        <v>61</v>
      </c>
      <c r="C66" s="3">
        <v>4309.8461538461534</v>
      </c>
      <c r="D66" s="4">
        <f t="shared" si="0"/>
        <v>197.99511647314537</v>
      </c>
      <c r="E66" s="4"/>
      <c r="F66" s="6"/>
      <c r="G66" s="3"/>
      <c r="H66" s="4"/>
      <c r="I66" s="6"/>
    </row>
    <row r="67" spans="1:9" x14ac:dyDescent="0.2">
      <c r="A67" s="31">
        <f>Winter!A70</f>
        <v>62</v>
      </c>
      <c r="B67" s="2">
        <v>62</v>
      </c>
      <c r="C67" s="3">
        <v>4500.9230769230771</v>
      </c>
      <c r="D67" s="4">
        <f t="shared" si="0"/>
        <v>206.77322508525529</v>
      </c>
      <c r="E67" s="4"/>
      <c r="F67" s="6"/>
      <c r="G67" s="3"/>
      <c r="H67" s="4"/>
      <c r="I67" s="6"/>
    </row>
    <row r="68" spans="1:9" x14ac:dyDescent="0.2">
      <c r="A68" s="31">
        <f>Winter!A71</f>
        <v>63</v>
      </c>
      <c r="B68" s="2">
        <v>63</v>
      </c>
      <c r="C68" s="3">
        <v>4692</v>
      </c>
      <c r="D68" s="4">
        <f t="shared" si="0"/>
        <v>215.55133369736521</v>
      </c>
      <c r="E68" s="4"/>
      <c r="F68" s="6"/>
      <c r="G68" s="3"/>
      <c r="H68" s="4"/>
      <c r="I68" s="6"/>
    </row>
    <row r="69" spans="1:9" x14ac:dyDescent="0.2">
      <c r="A69" s="31">
        <f>Winter!A72</f>
        <v>64</v>
      </c>
      <c r="B69" s="2">
        <v>64</v>
      </c>
      <c r="C69" s="3">
        <v>4553.9999999999991</v>
      </c>
      <c r="D69" s="4">
        <f t="shared" si="0"/>
        <v>209.21158858861912</v>
      </c>
      <c r="E69" s="4"/>
      <c r="F69" s="6"/>
      <c r="G69" s="3"/>
      <c r="H69" s="4"/>
      <c r="I69" s="6"/>
    </row>
    <row r="70" spans="1:9" x14ac:dyDescent="0.2">
      <c r="A70" s="31">
        <f>Winter!A73</f>
        <v>65</v>
      </c>
      <c r="B70" s="2">
        <v>65</v>
      </c>
      <c r="C70" s="3">
        <v>4802.4000000000005</v>
      </c>
      <c r="D70" s="4">
        <f t="shared" si="0"/>
        <v>220.62312978436205</v>
      </c>
      <c r="E70" s="4"/>
      <c r="F70" s="6"/>
      <c r="G70" s="3"/>
      <c r="H70" s="4"/>
      <c r="I70" s="6"/>
    </row>
    <row r="71" spans="1:9" x14ac:dyDescent="0.2">
      <c r="A71" s="31">
        <f>Winter!A74</f>
        <v>66</v>
      </c>
      <c r="B71" s="2">
        <v>66</v>
      </c>
      <c r="C71" s="3">
        <v>5050.8</v>
      </c>
      <c r="D71" s="4">
        <f t="shared" ref="D71:D134" si="1">$G$3*C71*(1/$G$5-1/$G$4)</f>
        <v>232.03467098010492</v>
      </c>
      <c r="E71" s="4"/>
      <c r="F71" s="6"/>
      <c r="G71" s="3"/>
      <c r="H71" s="4"/>
      <c r="I71" s="6"/>
    </row>
    <row r="72" spans="1:9" x14ac:dyDescent="0.2">
      <c r="A72" s="31">
        <f>Winter!A75</f>
        <v>67</v>
      </c>
      <c r="B72" s="2">
        <v>67</v>
      </c>
      <c r="C72" s="3">
        <v>5520</v>
      </c>
      <c r="D72" s="4">
        <f t="shared" si="1"/>
        <v>253.58980434984142</v>
      </c>
      <c r="E72" s="4"/>
      <c r="F72" s="6"/>
      <c r="G72" s="3"/>
      <c r="H72" s="4"/>
      <c r="I72" s="6"/>
    </row>
    <row r="73" spans="1:9" x14ac:dyDescent="0.2">
      <c r="A73" s="31">
        <f>Winter!A76</f>
        <v>68</v>
      </c>
      <c r="B73" s="2">
        <v>68</v>
      </c>
      <c r="C73" s="3">
        <v>5520</v>
      </c>
      <c r="D73" s="4">
        <f t="shared" si="1"/>
        <v>253.58980434984142</v>
      </c>
      <c r="E73" s="4"/>
      <c r="F73" s="6"/>
      <c r="G73" s="3"/>
      <c r="H73" s="4"/>
      <c r="I73" s="6"/>
    </row>
    <row r="74" spans="1:9" x14ac:dyDescent="0.2">
      <c r="A74" s="31">
        <f>Winter!A77</f>
        <v>69</v>
      </c>
      <c r="B74" s="2">
        <v>69</v>
      </c>
      <c r="C74" s="3">
        <v>5796</v>
      </c>
      <c r="D74" s="4">
        <f t="shared" si="1"/>
        <v>266.26929456733347</v>
      </c>
      <c r="E74" s="4"/>
      <c r="F74" s="6"/>
      <c r="G74" s="3"/>
      <c r="H74" s="4"/>
      <c r="I74" s="6"/>
    </row>
    <row r="75" spans="1:9" x14ac:dyDescent="0.2">
      <c r="A75" s="31">
        <f>Winter!A78</f>
        <v>70</v>
      </c>
      <c r="B75" s="2">
        <v>70</v>
      </c>
      <c r="C75" s="3">
        <v>5078.4000000000005</v>
      </c>
      <c r="D75" s="4">
        <f t="shared" si="1"/>
        <v>233.30262000185414</v>
      </c>
      <c r="E75" s="4"/>
      <c r="F75" s="6"/>
      <c r="G75" s="3"/>
      <c r="H75" s="4"/>
      <c r="I75" s="6"/>
    </row>
    <row r="76" spans="1:9" x14ac:dyDescent="0.2">
      <c r="A76" s="31">
        <f>Winter!A79</f>
        <v>71</v>
      </c>
      <c r="B76" s="2">
        <v>71</v>
      </c>
      <c r="C76" s="3">
        <v>4360.8</v>
      </c>
      <c r="D76" s="4">
        <f t="shared" si="1"/>
        <v>200.33594543637474</v>
      </c>
      <c r="E76" s="4"/>
      <c r="F76" s="6"/>
      <c r="G76" s="3"/>
      <c r="H76" s="4"/>
      <c r="I76" s="6"/>
    </row>
    <row r="77" spans="1:9" x14ac:dyDescent="0.2">
      <c r="A77" s="31">
        <f>Winter!A80</f>
        <v>72</v>
      </c>
      <c r="B77" s="2">
        <v>72</v>
      </c>
      <c r="C77" s="3">
        <v>3643.2</v>
      </c>
      <c r="D77" s="4">
        <f t="shared" si="1"/>
        <v>167.36927087089532</v>
      </c>
      <c r="E77" s="4"/>
      <c r="F77" s="6"/>
      <c r="G77" s="3"/>
      <c r="H77" s="4"/>
      <c r="I77" s="6"/>
    </row>
    <row r="78" spans="1:9" x14ac:dyDescent="0.2">
      <c r="A78" s="31">
        <f>Winter!A81</f>
        <v>73</v>
      </c>
      <c r="B78" s="2">
        <v>73</v>
      </c>
      <c r="C78" s="3">
        <v>2346</v>
      </c>
      <c r="D78" s="4">
        <f t="shared" si="1"/>
        <v>107.7756668486826</v>
      </c>
      <c r="E78" s="4"/>
      <c r="F78" s="6"/>
      <c r="G78" s="3"/>
      <c r="H78" s="4"/>
      <c r="I78" s="6"/>
    </row>
    <row r="79" spans="1:9" x14ac:dyDescent="0.2">
      <c r="A79" s="31">
        <f>Winter!A82</f>
        <v>74</v>
      </c>
      <c r="B79" s="2">
        <v>74</v>
      </c>
      <c r="C79" s="3">
        <v>2208</v>
      </c>
      <c r="D79" s="4">
        <f t="shared" si="1"/>
        <v>101.43592173993656</v>
      </c>
      <c r="E79" s="4"/>
      <c r="F79" s="6"/>
      <c r="G79" s="3"/>
      <c r="H79" s="4"/>
      <c r="I79" s="6"/>
    </row>
    <row r="80" spans="1:9" x14ac:dyDescent="0.2">
      <c r="A80" s="31">
        <f>Winter!A83</f>
        <v>75</v>
      </c>
      <c r="B80" s="2">
        <v>75</v>
      </c>
      <c r="C80" s="3">
        <v>2346</v>
      </c>
      <c r="D80" s="4">
        <f t="shared" si="1"/>
        <v>107.7756668486826</v>
      </c>
      <c r="E80" s="4"/>
      <c r="F80" s="6"/>
      <c r="G80" s="3"/>
      <c r="H80" s="4"/>
      <c r="I80" s="6"/>
    </row>
    <row r="81" spans="1:9" x14ac:dyDescent="0.2">
      <c r="A81" s="31">
        <f>Winter!A84</f>
        <v>76</v>
      </c>
      <c r="B81" s="2">
        <v>76</v>
      </c>
      <c r="C81" s="3">
        <v>2484</v>
      </c>
      <c r="D81" s="4">
        <f t="shared" si="1"/>
        <v>114.11541195742863</v>
      </c>
      <c r="E81" s="4"/>
      <c r="F81" s="6"/>
      <c r="G81" s="3"/>
      <c r="H81" s="4"/>
      <c r="I81" s="6"/>
    </row>
    <row r="82" spans="1:9" x14ac:dyDescent="0.2">
      <c r="A82" s="31">
        <f>Winter!A85</f>
        <v>77</v>
      </c>
      <c r="B82" s="2">
        <v>77</v>
      </c>
      <c r="C82" s="3">
        <v>2760</v>
      </c>
      <c r="D82" s="4">
        <f t="shared" si="1"/>
        <v>126.79490217492071</v>
      </c>
      <c r="E82" s="4"/>
      <c r="F82" s="6"/>
      <c r="G82" s="3"/>
      <c r="H82" s="4"/>
      <c r="I82" s="6"/>
    </row>
    <row r="83" spans="1:9" x14ac:dyDescent="0.2">
      <c r="A83" s="31">
        <f>Winter!A86</f>
        <v>78</v>
      </c>
      <c r="B83" s="2">
        <v>78</v>
      </c>
      <c r="C83" s="3">
        <v>2944</v>
      </c>
      <c r="D83" s="4">
        <f t="shared" si="1"/>
        <v>135.24789565324875</v>
      </c>
      <c r="E83" s="4"/>
      <c r="F83" s="6"/>
      <c r="G83" s="3"/>
      <c r="H83" s="4"/>
      <c r="I83" s="6"/>
    </row>
    <row r="84" spans="1:9" x14ac:dyDescent="0.2">
      <c r="A84" s="31">
        <f>Winter!A87</f>
        <v>79</v>
      </c>
      <c r="B84" s="2">
        <v>79</v>
      </c>
      <c r="C84" s="3">
        <v>3127.9999999999995</v>
      </c>
      <c r="D84" s="4">
        <f t="shared" si="1"/>
        <v>143.70088913157679</v>
      </c>
      <c r="E84" s="4"/>
      <c r="F84" s="6"/>
      <c r="G84" s="3"/>
      <c r="H84" s="4"/>
      <c r="I84" s="6"/>
    </row>
    <row r="85" spans="1:9" x14ac:dyDescent="0.2">
      <c r="A85" s="31">
        <f>Winter!A88</f>
        <v>80</v>
      </c>
      <c r="B85" s="2">
        <v>80</v>
      </c>
      <c r="C85" s="3">
        <v>3312</v>
      </c>
      <c r="D85" s="4">
        <f t="shared" si="1"/>
        <v>152.15388260990485</v>
      </c>
      <c r="E85" s="4"/>
      <c r="F85" s="6"/>
      <c r="G85" s="3"/>
      <c r="H85" s="4"/>
      <c r="I85" s="6"/>
    </row>
    <row r="86" spans="1:9" x14ac:dyDescent="0.2">
      <c r="A86" s="31">
        <f>Winter!A89</f>
        <v>81</v>
      </c>
      <c r="B86" s="2">
        <v>81</v>
      </c>
      <c r="C86" s="3">
        <v>3495.9999999999995</v>
      </c>
      <c r="D86" s="4">
        <f t="shared" si="1"/>
        <v>160.60687608823287</v>
      </c>
      <c r="E86" s="4"/>
      <c r="F86" s="6"/>
      <c r="G86" s="3"/>
      <c r="H86" s="4"/>
      <c r="I86" s="6"/>
    </row>
    <row r="87" spans="1:9" x14ac:dyDescent="0.2">
      <c r="A87" s="31">
        <f>Winter!A90</f>
        <v>82</v>
      </c>
      <c r="B87" s="2">
        <v>82</v>
      </c>
      <c r="C87" s="3">
        <v>3679.9999999999995</v>
      </c>
      <c r="D87" s="4">
        <f t="shared" si="1"/>
        <v>169.05986956656091</v>
      </c>
      <c r="E87" s="4"/>
      <c r="F87" s="6"/>
      <c r="G87" s="3"/>
      <c r="H87" s="4"/>
      <c r="I87" s="6"/>
    </row>
    <row r="88" spans="1:9" x14ac:dyDescent="0.2">
      <c r="A88" s="31">
        <f>Winter!A91</f>
        <v>83</v>
      </c>
      <c r="B88" s="2">
        <v>83</v>
      </c>
      <c r="C88" s="3">
        <v>3864</v>
      </c>
      <c r="D88" s="4">
        <f t="shared" si="1"/>
        <v>177.51286304488897</v>
      </c>
      <c r="E88" s="4"/>
      <c r="F88" s="6"/>
      <c r="G88" s="3"/>
      <c r="H88" s="4"/>
      <c r="I88" s="6"/>
    </row>
    <row r="89" spans="1:9" x14ac:dyDescent="0.2">
      <c r="A89" s="31">
        <f>Winter!A92</f>
        <v>84</v>
      </c>
      <c r="B89" s="2">
        <v>84</v>
      </c>
      <c r="C89" s="3">
        <v>4048</v>
      </c>
      <c r="D89" s="4">
        <f t="shared" si="1"/>
        <v>185.96585652321704</v>
      </c>
      <c r="E89" s="4"/>
      <c r="F89" s="6"/>
      <c r="G89" s="3"/>
      <c r="H89" s="4"/>
      <c r="I89" s="6"/>
    </row>
    <row r="90" spans="1:9" x14ac:dyDescent="0.2">
      <c r="A90" s="31">
        <f>Winter!A93</f>
        <v>85</v>
      </c>
      <c r="B90" s="2">
        <v>85</v>
      </c>
      <c r="C90" s="3">
        <v>4231.9999999999991</v>
      </c>
      <c r="D90" s="4">
        <f t="shared" si="1"/>
        <v>194.41885000154505</v>
      </c>
      <c r="E90" s="4"/>
      <c r="F90" s="6"/>
      <c r="G90" s="3"/>
      <c r="H90" s="4"/>
      <c r="I90" s="6"/>
    </row>
    <row r="91" spans="1:9" x14ac:dyDescent="0.2">
      <c r="A91" s="31">
        <f>Winter!A94</f>
        <v>86</v>
      </c>
      <c r="B91" s="2">
        <v>86</v>
      </c>
      <c r="C91" s="3">
        <v>4416</v>
      </c>
      <c r="D91" s="4">
        <f t="shared" si="1"/>
        <v>202.87184347987312</v>
      </c>
      <c r="E91" s="4"/>
      <c r="F91" s="6"/>
      <c r="G91" s="3"/>
      <c r="H91" s="4"/>
      <c r="I91" s="6"/>
    </row>
    <row r="92" spans="1:9" x14ac:dyDescent="0.2">
      <c r="A92" s="31">
        <f>Winter!A95</f>
        <v>87</v>
      </c>
      <c r="B92" s="2">
        <v>87</v>
      </c>
      <c r="C92" s="3">
        <v>4278</v>
      </c>
      <c r="D92" s="4">
        <f t="shared" si="1"/>
        <v>196.53209837112709</v>
      </c>
      <c r="E92" s="4"/>
      <c r="F92" s="6"/>
      <c r="G92" s="3"/>
      <c r="H92" s="4"/>
      <c r="I92" s="6"/>
    </row>
    <row r="93" spans="1:9" x14ac:dyDescent="0.2">
      <c r="A93" s="31">
        <f>Winter!A96</f>
        <v>88</v>
      </c>
      <c r="B93" s="2">
        <v>88</v>
      </c>
      <c r="C93" s="3">
        <v>4600.0000000000009</v>
      </c>
      <c r="D93" s="4">
        <f t="shared" si="1"/>
        <v>211.32483695820122</v>
      </c>
      <c r="E93" s="4"/>
      <c r="F93" s="6"/>
      <c r="G93" s="3"/>
      <c r="H93" s="4"/>
      <c r="I93" s="6"/>
    </row>
    <row r="94" spans="1:9" x14ac:dyDescent="0.2">
      <c r="A94" s="31">
        <f>Winter!A97</f>
        <v>89</v>
      </c>
      <c r="B94" s="2">
        <v>89</v>
      </c>
      <c r="C94" s="3">
        <v>4922</v>
      </c>
      <c r="D94" s="4">
        <f t="shared" si="1"/>
        <v>226.11757554527526</v>
      </c>
      <c r="E94" s="4"/>
      <c r="F94" s="6"/>
      <c r="G94" s="3"/>
      <c r="H94" s="4"/>
      <c r="I94" s="6"/>
    </row>
    <row r="95" spans="1:9" x14ac:dyDescent="0.2">
      <c r="A95" s="31">
        <f>Winter!A98</f>
        <v>90</v>
      </c>
      <c r="B95" s="2">
        <v>90</v>
      </c>
      <c r="C95" s="3">
        <v>5244</v>
      </c>
      <c r="D95" s="4">
        <f t="shared" si="1"/>
        <v>240.91031413234933</v>
      </c>
      <c r="E95" s="4"/>
      <c r="F95" s="6"/>
      <c r="G95" s="3"/>
      <c r="H95" s="4"/>
      <c r="I95" s="6"/>
    </row>
    <row r="96" spans="1:9" x14ac:dyDescent="0.2">
      <c r="A96" s="31">
        <f>Winter!A99</f>
        <v>91</v>
      </c>
      <c r="B96" s="2">
        <v>91</v>
      </c>
      <c r="C96" s="3">
        <v>4864.5</v>
      </c>
      <c r="D96" s="4">
        <f t="shared" si="1"/>
        <v>223.47601508329774</v>
      </c>
      <c r="E96" s="4"/>
      <c r="F96" s="6"/>
      <c r="G96" s="3"/>
      <c r="H96" s="4"/>
      <c r="I96" s="6"/>
    </row>
    <row r="97" spans="1:9" x14ac:dyDescent="0.2">
      <c r="A97" s="31">
        <f>Winter!A100</f>
        <v>92</v>
      </c>
      <c r="B97" s="2">
        <v>92</v>
      </c>
      <c r="C97" s="3">
        <v>4485</v>
      </c>
      <c r="D97" s="4">
        <f t="shared" si="1"/>
        <v>206.04171603424615</v>
      </c>
      <c r="E97" s="4"/>
      <c r="F97" s="6"/>
      <c r="G97" s="3"/>
      <c r="H97" s="4"/>
      <c r="I97" s="6"/>
    </row>
    <row r="98" spans="1:9" x14ac:dyDescent="0.2">
      <c r="A98" s="31">
        <f>Winter!A101</f>
        <v>93</v>
      </c>
      <c r="B98" s="2">
        <v>93</v>
      </c>
      <c r="C98" s="3">
        <v>4105.5</v>
      </c>
      <c r="D98" s="4">
        <f t="shared" si="1"/>
        <v>188.60741698519453</v>
      </c>
      <c r="E98" s="4"/>
      <c r="F98" s="6"/>
      <c r="G98" s="3"/>
      <c r="H98" s="4"/>
      <c r="I98" s="6"/>
    </row>
    <row r="99" spans="1:9" x14ac:dyDescent="0.2">
      <c r="A99" s="31">
        <f>Winter!A102</f>
        <v>94</v>
      </c>
      <c r="B99" s="2">
        <v>94</v>
      </c>
      <c r="C99" s="3">
        <v>3726.0000000000005</v>
      </c>
      <c r="D99" s="4">
        <f t="shared" si="1"/>
        <v>171.17311793614297</v>
      </c>
      <c r="E99" s="4"/>
      <c r="F99" s="6"/>
      <c r="G99" s="3"/>
      <c r="H99" s="4"/>
      <c r="I99" s="6"/>
    </row>
    <row r="100" spans="1:9" x14ac:dyDescent="0.2">
      <c r="A100" s="31">
        <f>Winter!A103</f>
        <v>95</v>
      </c>
      <c r="B100" s="2">
        <v>95</v>
      </c>
      <c r="C100" s="3">
        <v>3346.5000000000009</v>
      </c>
      <c r="D100" s="4">
        <f t="shared" si="1"/>
        <v>153.73881888709138</v>
      </c>
      <c r="E100" s="4"/>
      <c r="F100" s="6"/>
      <c r="G100" s="3"/>
      <c r="H100" s="4"/>
      <c r="I100" s="6"/>
    </row>
    <row r="101" spans="1:9" x14ac:dyDescent="0.2">
      <c r="A101" s="31">
        <f>Winter!A104</f>
        <v>96</v>
      </c>
      <c r="B101" s="2">
        <v>96</v>
      </c>
      <c r="C101" s="3">
        <v>2760</v>
      </c>
      <c r="D101" s="4">
        <f t="shared" si="1"/>
        <v>126.79490217492071</v>
      </c>
      <c r="E101" s="4"/>
      <c r="F101" s="6"/>
      <c r="G101" s="3"/>
      <c r="H101" s="4"/>
      <c r="I101" s="6"/>
    </row>
    <row r="102" spans="1:9" x14ac:dyDescent="0.2">
      <c r="A102" s="31">
        <f>Winter!A105</f>
        <v>97</v>
      </c>
      <c r="B102" s="2">
        <v>97</v>
      </c>
      <c r="C102" s="3">
        <v>2346</v>
      </c>
      <c r="D102" s="4">
        <f t="shared" si="1"/>
        <v>107.7756668486826</v>
      </c>
      <c r="E102" s="4"/>
      <c r="F102" s="6"/>
      <c r="G102" s="3"/>
      <c r="H102" s="4"/>
      <c r="I102" s="6"/>
    </row>
    <row r="103" spans="1:9" x14ac:dyDescent="0.2">
      <c r="A103" s="31">
        <f>Winter!A106</f>
        <v>98</v>
      </c>
      <c r="B103" s="2">
        <v>98</v>
      </c>
      <c r="C103" s="3">
        <v>2208</v>
      </c>
      <c r="D103" s="4">
        <f t="shared" si="1"/>
        <v>101.43592173993656</v>
      </c>
      <c r="E103" s="4"/>
      <c r="F103" s="6"/>
      <c r="G103" s="3"/>
      <c r="H103" s="4"/>
      <c r="I103" s="6"/>
    </row>
    <row r="104" spans="1:9" x14ac:dyDescent="0.2">
      <c r="A104" s="31">
        <f>Winter!A107</f>
        <v>99</v>
      </c>
      <c r="B104" s="2">
        <v>99</v>
      </c>
      <c r="C104" s="3">
        <v>2346</v>
      </c>
      <c r="D104" s="4">
        <f t="shared" si="1"/>
        <v>107.7756668486826</v>
      </c>
      <c r="E104" s="4"/>
      <c r="F104" s="6"/>
      <c r="G104" s="3"/>
      <c r="H104" s="4"/>
      <c r="I104" s="6"/>
    </row>
    <row r="105" spans="1:9" x14ac:dyDescent="0.2">
      <c r="A105" s="31">
        <f>Winter!A108</f>
        <v>100</v>
      </c>
      <c r="B105" s="2">
        <v>100</v>
      </c>
      <c r="C105" s="3">
        <v>2484</v>
      </c>
      <c r="D105" s="4">
        <f t="shared" si="1"/>
        <v>114.11541195742863</v>
      </c>
      <c r="E105" s="4"/>
      <c r="F105" s="6"/>
      <c r="G105" s="3"/>
      <c r="H105" s="4"/>
      <c r="I105" s="6"/>
    </row>
    <row r="106" spans="1:9" x14ac:dyDescent="0.2">
      <c r="A106" s="31">
        <f>Winter!A109</f>
        <v>101</v>
      </c>
      <c r="B106" s="2">
        <v>101</v>
      </c>
      <c r="C106" s="3">
        <v>2734.909090909091</v>
      </c>
      <c r="D106" s="4">
        <f t="shared" si="1"/>
        <v>125.6422212460578</v>
      </c>
      <c r="E106" s="4"/>
      <c r="F106" s="6"/>
      <c r="G106" s="3"/>
      <c r="H106" s="4"/>
      <c r="I106" s="6"/>
    </row>
    <row r="107" spans="1:9" x14ac:dyDescent="0.2">
      <c r="A107" s="31">
        <f>Winter!A110</f>
        <v>102</v>
      </c>
      <c r="B107" s="2">
        <v>102</v>
      </c>
      <c r="C107" s="3">
        <v>2910.5454545454545</v>
      </c>
      <c r="D107" s="4">
        <f t="shared" si="1"/>
        <v>133.7109877480982</v>
      </c>
      <c r="E107" s="4"/>
      <c r="F107" s="6"/>
      <c r="G107" s="3"/>
      <c r="H107" s="4"/>
      <c r="I107" s="6"/>
    </row>
    <row r="108" spans="1:9" x14ac:dyDescent="0.2">
      <c r="A108" s="31">
        <f>Winter!A111</f>
        <v>103</v>
      </c>
      <c r="B108" s="2">
        <v>103</v>
      </c>
      <c r="C108" s="3">
        <v>3086.181818181818</v>
      </c>
      <c r="D108" s="4">
        <f t="shared" si="1"/>
        <v>141.77975425013861</v>
      </c>
      <c r="E108" s="4"/>
      <c r="F108" s="6"/>
      <c r="G108" s="3"/>
      <c r="H108" s="4"/>
      <c r="I108" s="6"/>
    </row>
    <row r="109" spans="1:9" x14ac:dyDescent="0.2">
      <c r="A109" s="31">
        <f>Winter!A112</f>
        <v>104</v>
      </c>
      <c r="B109" s="2">
        <v>104</v>
      </c>
      <c r="C109" s="3">
        <v>3261.818181818182</v>
      </c>
      <c r="D109" s="4">
        <f t="shared" si="1"/>
        <v>149.84852075217901</v>
      </c>
      <c r="E109" s="4"/>
      <c r="F109" s="6"/>
      <c r="G109" s="3"/>
      <c r="H109" s="4"/>
      <c r="I109" s="6"/>
    </row>
    <row r="110" spans="1:9" x14ac:dyDescent="0.2">
      <c r="A110" s="31">
        <f>Winter!A113</f>
        <v>105</v>
      </c>
      <c r="B110" s="2">
        <v>105</v>
      </c>
      <c r="C110" s="3">
        <v>3437.454545454546</v>
      </c>
      <c r="D110" s="4">
        <f t="shared" si="1"/>
        <v>157.91728725421945</v>
      </c>
      <c r="E110" s="4"/>
      <c r="F110" s="6"/>
      <c r="G110" s="3"/>
      <c r="H110" s="4"/>
      <c r="I110" s="6"/>
    </row>
    <row r="111" spans="1:9" x14ac:dyDescent="0.2">
      <c r="A111" s="31">
        <f>Winter!A114</f>
        <v>106</v>
      </c>
      <c r="B111" s="2">
        <v>106</v>
      </c>
      <c r="C111" s="3">
        <v>3613.090909090909</v>
      </c>
      <c r="D111" s="4">
        <f t="shared" si="1"/>
        <v>165.98605375625982</v>
      </c>
      <c r="E111" s="4"/>
      <c r="F111" s="6"/>
      <c r="G111" s="3"/>
      <c r="H111" s="4"/>
      <c r="I111" s="6"/>
    </row>
    <row r="112" spans="1:9" x14ac:dyDescent="0.2">
      <c r="A112" s="31">
        <f>Winter!A115</f>
        <v>107</v>
      </c>
      <c r="B112" s="2">
        <v>107</v>
      </c>
      <c r="C112" s="3">
        <v>3788.7272727272725</v>
      </c>
      <c r="D112" s="4">
        <f t="shared" si="1"/>
        <v>174.05482025830023</v>
      </c>
      <c r="E112" s="4"/>
      <c r="F112" s="6"/>
      <c r="G112" s="3"/>
      <c r="H112" s="4"/>
      <c r="I112" s="6"/>
    </row>
    <row r="113" spans="1:9" x14ac:dyDescent="0.2">
      <c r="A113" s="31">
        <f>Winter!A116</f>
        <v>108</v>
      </c>
      <c r="B113" s="2">
        <v>108</v>
      </c>
      <c r="C113" s="3">
        <v>3964.3636363636369</v>
      </c>
      <c r="D113" s="4">
        <f t="shared" si="1"/>
        <v>182.12358676034069</v>
      </c>
      <c r="E113" s="4"/>
      <c r="F113" s="6"/>
      <c r="G113" s="3"/>
      <c r="H113" s="4"/>
      <c r="I113" s="6"/>
    </row>
    <row r="114" spans="1:9" x14ac:dyDescent="0.2">
      <c r="A114" s="31">
        <f>Winter!A117</f>
        <v>109</v>
      </c>
      <c r="B114" s="2">
        <v>109</v>
      </c>
      <c r="C114" s="3">
        <v>4140.0000000000009</v>
      </c>
      <c r="D114" s="4">
        <f t="shared" si="1"/>
        <v>190.19235326238109</v>
      </c>
      <c r="E114" s="4"/>
      <c r="F114" s="6"/>
      <c r="G114" s="3"/>
      <c r="H114" s="4"/>
      <c r="I114" s="6"/>
    </row>
    <row r="115" spans="1:9" x14ac:dyDescent="0.2">
      <c r="A115" s="31">
        <f>Winter!A118</f>
        <v>110</v>
      </c>
      <c r="B115" s="2">
        <v>110</v>
      </c>
      <c r="C115" s="3">
        <v>4061.1428571428573</v>
      </c>
      <c r="D115" s="4">
        <f t="shared" si="1"/>
        <v>186.56964177166904</v>
      </c>
      <c r="E115" s="4"/>
      <c r="F115" s="6"/>
      <c r="G115" s="3"/>
      <c r="H115" s="4"/>
      <c r="I115" s="6"/>
    </row>
    <row r="116" spans="1:9" x14ac:dyDescent="0.2">
      <c r="A116" s="31">
        <f>Winter!A119</f>
        <v>111</v>
      </c>
      <c r="B116" s="2">
        <v>111</v>
      </c>
      <c r="C116" s="3">
        <v>3982.2857142857151</v>
      </c>
      <c r="D116" s="4">
        <f t="shared" si="1"/>
        <v>182.94693028095705</v>
      </c>
      <c r="E116" s="4"/>
      <c r="F116" s="6"/>
      <c r="G116" s="3"/>
      <c r="H116" s="4"/>
      <c r="I116" s="6"/>
    </row>
    <row r="117" spans="1:9" x14ac:dyDescent="0.2">
      <c r="A117" s="31">
        <f>Winter!A120</f>
        <v>112</v>
      </c>
      <c r="B117" s="2">
        <v>112</v>
      </c>
      <c r="C117" s="3">
        <v>3903.428571428572</v>
      </c>
      <c r="D117" s="4">
        <f t="shared" si="1"/>
        <v>179.32421879024503</v>
      </c>
      <c r="E117" s="4"/>
      <c r="F117" s="6"/>
      <c r="G117" s="3"/>
      <c r="H117" s="4"/>
      <c r="I117" s="6"/>
    </row>
    <row r="118" spans="1:9" x14ac:dyDescent="0.2">
      <c r="A118" s="31">
        <f>Winter!A121</f>
        <v>113</v>
      </c>
      <c r="B118" s="2">
        <v>113</v>
      </c>
      <c r="C118" s="3">
        <v>3824.5714285714289</v>
      </c>
      <c r="D118" s="4">
        <f t="shared" si="1"/>
        <v>175.70150729953301</v>
      </c>
      <c r="E118" s="4"/>
      <c r="F118" s="6"/>
      <c r="G118" s="3"/>
      <c r="H118" s="4"/>
      <c r="I118" s="6"/>
    </row>
    <row r="119" spans="1:9" x14ac:dyDescent="0.2">
      <c r="A119" s="31">
        <f>Winter!A122</f>
        <v>114</v>
      </c>
      <c r="B119" s="2">
        <v>114</v>
      </c>
      <c r="C119" s="3">
        <v>3745.7142857142858</v>
      </c>
      <c r="D119" s="4">
        <f t="shared" si="1"/>
        <v>172.07879580882096</v>
      </c>
      <c r="E119" s="4"/>
      <c r="F119" s="6"/>
      <c r="G119" s="3"/>
      <c r="H119" s="4"/>
      <c r="I119" s="6"/>
    </row>
    <row r="120" spans="1:9" x14ac:dyDescent="0.2">
      <c r="A120" s="31">
        <f>Winter!A123</f>
        <v>115</v>
      </c>
      <c r="B120" s="2">
        <v>115</v>
      </c>
      <c r="C120" s="3">
        <v>3666.8571428571431</v>
      </c>
      <c r="D120" s="4">
        <f t="shared" si="1"/>
        <v>168.45608431810896</v>
      </c>
      <c r="E120" s="4"/>
      <c r="F120" s="6"/>
      <c r="G120" s="3"/>
      <c r="H120" s="4"/>
      <c r="I120" s="6"/>
    </row>
    <row r="121" spans="1:9" x14ac:dyDescent="0.2">
      <c r="A121" s="31">
        <f>Winter!A124</f>
        <v>116</v>
      </c>
      <c r="B121" s="2">
        <v>116</v>
      </c>
      <c r="C121" s="3">
        <v>3588</v>
      </c>
      <c r="D121" s="4">
        <f t="shared" si="1"/>
        <v>164.83337282739691</v>
      </c>
      <c r="E121" s="4"/>
      <c r="F121" s="6"/>
      <c r="G121" s="3"/>
      <c r="H121" s="4"/>
      <c r="I121" s="6"/>
    </row>
    <row r="122" spans="1:9" x14ac:dyDescent="0.2">
      <c r="A122" s="31">
        <f>Winter!A125</f>
        <v>117</v>
      </c>
      <c r="B122" s="2">
        <v>117</v>
      </c>
      <c r="C122" s="3">
        <v>3864</v>
      </c>
      <c r="D122" s="4">
        <f t="shared" si="1"/>
        <v>177.51286304488897</v>
      </c>
      <c r="E122" s="4"/>
      <c r="F122" s="6"/>
      <c r="G122" s="3"/>
      <c r="H122" s="4"/>
      <c r="I122" s="6"/>
    </row>
    <row r="123" spans="1:9" x14ac:dyDescent="0.2">
      <c r="A123" s="31">
        <f>Winter!A126</f>
        <v>118</v>
      </c>
      <c r="B123" s="2">
        <v>118</v>
      </c>
      <c r="C123" s="3">
        <v>3449.9999999999995</v>
      </c>
      <c r="D123" s="4">
        <f t="shared" si="1"/>
        <v>158.49362771865086</v>
      </c>
      <c r="E123" s="4"/>
      <c r="F123" s="6"/>
      <c r="G123" s="3"/>
      <c r="H123" s="4"/>
      <c r="I123" s="6"/>
    </row>
    <row r="124" spans="1:9" x14ac:dyDescent="0.2">
      <c r="A124" s="31">
        <f>Winter!A127</f>
        <v>119</v>
      </c>
      <c r="B124" s="2">
        <v>119</v>
      </c>
      <c r="C124" s="3">
        <v>3036</v>
      </c>
      <c r="D124" s="4">
        <f t="shared" si="1"/>
        <v>139.47439239241277</v>
      </c>
      <c r="E124" s="4"/>
      <c r="F124" s="6"/>
      <c r="G124" s="3"/>
      <c r="H124" s="4"/>
      <c r="I124" s="6"/>
    </row>
    <row r="125" spans="1:9" x14ac:dyDescent="0.2">
      <c r="A125" s="31">
        <f>Winter!A128</f>
        <v>120</v>
      </c>
      <c r="B125" s="2">
        <v>120</v>
      </c>
      <c r="C125" s="3">
        <v>2622</v>
      </c>
      <c r="D125" s="4">
        <f t="shared" si="1"/>
        <v>120.45515706617466</v>
      </c>
      <c r="E125" s="4"/>
      <c r="F125" s="6"/>
      <c r="G125" s="3"/>
      <c r="H125" s="4"/>
      <c r="I125" s="6"/>
    </row>
    <row r="126" spans="1:9" x14ac:dyDescent="0.2">
      <c r="A126" s="31">
        <f>Winter!A129</f>
        <v>121</v>
      </c>
      <c r="B126" s="2">
        <v>121</v>
      </c>
      <c r="C126" s="3">
        <v>2208</v>
      </c>
      <c r="D126" s="4">
        <f t="shared" si="1"/>
        <v>101.43592173993656</v>
      </c>
      <c r="E126" s="4"/>
      <c r="F126" s="6"/>
      <c r="G126" s="3"/>
      <c r="H126" s="4"/>
      <c r="I126" s="6"/>
    </row>
    <row r="127" spans="1:9" x14ac:dyDescent="0.2">
      <c r="A127" s="31">
        <f>Winter!A130</f>
        <v>122</v>
      </c>
      <c r="B127" s="2">
        <v>122</v>
      </c>
      <c r="C127" s="3">
        <v>2208</v>
      </c>
      <c r="D127" s="4">
        <f t="shared" si="1"/>
        <v>101.43592173993656</v>
      </c>
      <c r="E127" s="4"/>
      <c r="F127" s="6"/>
      <c r="G127" s="3"/>
      <c r="H127" s="4"/>
      <c r="I127" s="6"/>
    </row>
    <row r="128" spans="1:9" x14ac:dyDescent="0.2">
      <c r="A128" s="31">
        <f>Winter!A131</f>
        <v>123</v>
      </c>
      <c r="B128" s="2">
        <v>123</v>
      </c>
      <c r="C128" s="3">
        <v>2365.7142857142862</v>
      </c>
      <c r="D128" s="4">
        <f t="shared" si="1"/>
        <v>108.68134472136062</v>
      </c>
      <c r="E128" s="4"/>
      <c r="F128" s="6"/>
      <c r="G128" s="3"/>
      <c r="H128" s="4"/>
      <c r="I128" s="6"/>
    </row>
    <row r="129" spans="1:9" x14ac:dyDescent="0.2">
      <c r="A129" s="31">
        <f>Winter!A132</f>
        <v>124</v>
      </c>
      <c r="B129" s="2">
        <v>124</v>
      </c>
      <c r="C129" s="3">
        <v>2523.4285714285716</v>
      </c>
      <c r="D129" s="4">
        <f t="shared" si="1"/>
        <v>115.92676770278464</v>
      </c>
      <c r="E129" s="4"/>
      <c r="F129" s="6"/>
      <c r="G129" s="3"/>
      <c r="H129" s="4"/>
      <c r="I129" s="6"/>
    </row>
    <row r="130" spans="1:9" x14ac:dyDescent="0.2">
      <c r="A130" s="31">
        <f>Winter!A133</f>
        <v>125</v>
      </c>
      <c r="B130" s="2">
        <v>125</v>
      </c>
      <c r="C130" s="3">
        <v>2681.1428571428573</v>
      </c>
      <c r="D130" s="4">
        <f t="shared" si="1"/>
        <v>123.17219068420869</v>
      </c>
      <c r="E130" s="4"/>
      <c r="F130" s="6"/>
      <c r="G130" s="3"/>
      <c r="H130" s="4"/>
      <c r="I130" s="6"/>
    </row>
    <row r="131" spans="1:9" x14ac:dyDescent="0.2">
      <c r="A131" s="31">
        <f>Winter!A134</f>
        <v>126</v>
      </c>
      <c r="B131" s="2">
        <v>126</v>
      </c>
      <c r="C131" s="3">
        <v>2838.8571428571436</v>
      </c>
      <c r="D131" s="4">
        <f t="shared" si="1"/>
        <v>130.41761366563276</v>
      </c>
      <c r="E131" s="4"/>
      <c r="F131" s="6"/>
      <c r="G131" s="3"/>
      <c r="H131" s="4"/>
      <c r="I131" s="6"/>
    </row>
    <row r="132" spans="1:9" x14ac:dyDescent="0.2">
      <c r="A132" s="31">
        <f>Winter!A135</f>
        <v>127</v>
      </c>
      <c r="B132" s="2">
        <v>127</v>
      </c>
      <c r="C132" s="3">
        <v>2996.5714285714289</v>
      </c>
      <c r="D132" s="4">
        <f t="shared" si="1"/>
        <v>137.66303664705677</v>
      </c>
      <c r="E132" s="4"/>
      <c r="F132" s="6"/>
      <c r="G132" s="3"/>
      <c r="H132" s="4"/>
      <c r="I132" s="6"/>
    </row>
    <row r="133" spans="1:9" x14ac:dyDescent="0.2">
      <c r="A133" s="31">
        <f>Winter!A136</f>
        <v>128</v>
      </c>
      <c r="B133" s="2">
        <v>128</v>
      </c>
      <c r="C133" s="3">
        <v>3154.2857142857147</v>
      </c>
      <c r="D133" s="4">
        <f t="shared" si="1"/>
        <v>144.90845962848081</v>
      </c>
      <c r="E133" s="4"/>
      <c r="F133" s="6"/>
      <c r="G133" s="3"/>
      <c r="H133" s="4"/>
      <c r="I133" s="6"/>
    </row>
    <row r="134" spans="1:9" x14ac:dyDescent="0.2">
      <c r="A134" s="31">
        <f>Winter!A137</f>
        <v>129</v>
      </c>
      <c r="B134" s="2">
        <v>129</v>
      </c>
      <c r="C134" s="3">
        <v>3312.0000000000005</v>
      </c>
      <c r="D134" s="4">
        <f t="shared" si="1"/>
        <v>152.15388260990485</v>
      </c>
      <c r="E134" s="4"/>
      <c r="F134" s="6"/>
      <c r="G134" s="3"/>
      <c r="H134" s="4"/>
      <c r="I134" s="6"/>
    </row>
    <row r="135" spans="1:9" x14ac:dyDescent="0.2">
      <c r="A135" s="31">
        <f>Winter!A138</f>
        <v>130</v>
      </c>
      <c r="B135" s="2">
        <v>130</v>
      </c>
      <c r="C135" s="3">
        <v>3469.7142857142862</v>
      </c>
      <c r="D135" s="4">
        <f t="shared" ref="D135:D198" si="2">$G$3*C135*(1/$G$5-1/$G$4)</f>
        <v>159.3993055913289</v>
      </c>
      <c r="E135" s="4"/>
      <c r="F135" s="6"/>
      <c r="G135" s="3"/>
      <c r="H135" s="4"/>
      <c r="I135" s="6"/>
    </row>
    <row r="136" spans="1:9" x14ac:dyDescent="0.2">
      <c r="A136" s="31">
        <f>Winter!A139</f>
        <v>131</v>
      </c>
      <c r="B136" s="2">
        <v>131</v>
      </c>
      <c r="C136" s="3">
        <v>3627.428571428572</v>
      </c>
      <c r="D136" s="4">
        <f t="shared" si="2"/>
        <v>166.64472857275294</v>
      </c>
      <c r="E136" s="4"/>
      <c r="F136" s="6"/>
      <c r="G136" s="3"/>
      <c r="H136" s="4"/>
      <c r="I136" s="6"/>
    </row>
    <row r="137" spans="1:9" x14ac:dyDescent="0.2">
      <c r="A137" s="31">
        <f>Winter!A140</f>
        <v>132</v>
      </c>
      <c r="B137" s="2">
        <v>132</v>
      </c>
      <c r="C137" s="3">
        <v>3785.1428571428582</v>
      </c>
      <c r="D137" s="4">
        <f t="shared" si="2"/>
        <v>173.89015155417704</v>
      </c>
      <c r="E137" s="4"/>
      <c r="F137" s="6"/>
      <c r="G137" s="3"/>
      <c r="H137" s="4"/>
      <c r="I137" s="6"/>
    </row>
    <row r="138" spans="1:9" x14ac:dyDescent="0.2">
      <c r="A138" s="31">
        <f>Winter!A141</f>
        <v>133</v>
      </c>
      <c r="B138" s="2">
        <v>133</v>
      </c>
      <c r="C138" s="3">
        <v>3864</v>
      </c>
      <c r="D138" s="4">
        <f t="shared" si="2"/>
        <v>177.51286304488897</v>
      </c>
      <c r="E138" s="4"/>
      <c r="F138" s="6"/>
      <c r="G138" s="3"/>
      <c r="H138" s="4"/>
      <c r="I138" s="6"/>
    </row>
    <row r="139" spans="1:9" x14ac:dyDescent="0.2">
      <c r="A139" s="31">
        <f>Winter!A142</f>
        <v>134</v>
      </c>
      <c r="B139" s="2">
        <v>134</v>
      </c>
      <c r="C139" s="3">
        <v>3864</v>
      </c>
      <c r="D139" s="4">
        <f t="shared" si="2"/>
        <v>177.51286304488897</v>
      </c>
      <c r="E139" s="4"/>
      <c r="F139" s="6"/>
      <c r="G139" s="3"/>
      <c r="H139" s="4"/>
      <c r="I139" s="6"/>
    </row>
    <row r="140" spans="1:9" x14ac:dyDescent="0.2">
      <c r="A140" s="31">
        <f>Winter!A143</f>
        <v>135</v>
      </c>
      <c r="B140" s="2">
        <v>135</v>
      </c>
      <c r="C140" s="3">
        <v>4258.2857142857147</v>
      </c>
      <c r="D140" s="4">
        <f t="shared" si="2"/>
        <v>195.62642049844908</v>
      </c>
      <c r="E140" s="4"/>
      <c r="F140" s="6"/>
      <c r="G140" s="3"/>
      <c r="H140" s="4"/>
      <c r="I140" s="6"/>
    </row>
    <row r="141" spans="1:9" x14ac:dyDescent="0.2">
      <c r="A141" s="31">
        <f>Winter!A144</f>
        <v>136</v>
      </c>
      <c r="B141" s="2">
        <v>136</v>
      </c>
      <c r="C141" s="3">
        <v>4416</v>
      </c>
      <c r="D141" s="4">
        <f t="shared" si="2"/>
        <v>202.87184347987312</v>
      </c>
      <c r="E141" s="4"/>
      <c r="F141" s="6"/>
      <c r="G141" s="3"/>
      <c r="H141" s="4"/>
      <c r="I141" s="6"/>
    </row>
    <row r="142" spans="1:9" x14ac:dyDescent="0.2">
      <c r="A142" s="31">
        <f>Winter!A145</f>
        <v>137</v>
      </c>
      <c r="B142" s="2">
        <v>137</v>
      </c>
      <c r="C142" s="3">
        <v>4195.2</v>
      </c>
      <c r="D142" s="4">
        <f t="shared" si="2"/>
        <v>192.72825130587944</v>
      </c>
      <c r="E142" s="4"/>
      <c r="F142" s="6"/>
      <c r="G142" s="3"/>
      <c r="H142" s="4"/>
      <c r="I142" s="6"/>
    </row>
    <row r="143" spans="1:9" x14ac:dyDescent="0.2">
      <c r="A143" s="31">
        <f>Winter!A146</f>
        <v>138</v>
      </c>
      <c r="B143" s="2">
        <v>138</v>
      </c>
      <c r="C143" s="3">
        <v>3974.4</v>
      </c>
      <c r="D143" s="4">
        <f t="shared" si="2"/>
        <v>182.58465913188581</v>
      </c>
      <c r="E143" s="4"/>
      <c r="F143" s="6"/>
      <c r="G143" s="3"/>
      <c r="H143" s="4"/>
      <c r="I143" s="6"/>
    </row>
    <row r="144" spans="1:9" x14ac:dyDescent="0.2">
      <c r="A144" s="31">
        <f>Winter!A147</f>
        <v>139</v>
      </c>
      <c r="B144" s="2">
        <v>139</v>
      </c>
      <c r="C144" s="3">
        <v>3864</v>
      </c>
      <c r="D144" s="4">
        <f t="shared" si="2"/>
        <v>177.51286304488897</v>
      </c>
      <c r="E144" s="4"/>
      <c r="F144" s="6"/>
      <c r="G144" s="3"/>
      <c r="H144" s="4"/>
      <c r="I144" s="6"/>
    </row>
    <row r="145" spans="1:9" x14ac:dyDescent="0.2">
      <c r="A145" s="31">
        <f>Winter!A148</f>
        <v>140</v>
      </c>
      <c r="B145" s="2">
        <v>140</v>
      </c>
      <c r="C145" s="3">
        <v>3532.7999999999993</v>
      </c>
      <c r="D145" s="4">
        <f t="shared" si="2"/>
        <v>162.29747478389848</v>
      </c>
      <c r="E145" s="4"/>
      <c r="F145" s="6"/>
      <c r="G145" s="3"/>
      <c r="H145" s="4"/>
      <c r="I145" s="6"/>
    </row>
    <row r="146" spans="1:9" x14ac:dyDescent="0.2">
      <c r="A146" s="31">
        <f>Winter!A149</f>
        <v>141</v>
      </c>
      <c r="B146" s="2">
        <v>141</v>
      </c>
      <c r="C146" s="3">
        <v>3311.9999999999995</v>
      </c>
      <c r="D146" s="4">
        <f t="shared" si="2"/>
        <v>152.15388260990483</v>
      </c>
      <c r="E146" s="4"/>
      <c r="F146" s="6"/>
      <c r="G146" s="3"/>
      <c r="H146" s="4"/>
      <c r="I146" s="6"/>
    </row>
    <row r="147" spans="1:9" x14ac:dyDescent="0.2">
      <c r="A147" s="31">
        <f>Winter!A150</f>
        <v>142</v>
      </c>
      <c r="B147" s="2">
        <v>142</v>
      </c>
      <c r="C147" s="3">
        <v>3091.2</v>
      </c>
      <c r="D147" s="4">
        <f t="shared" si="2"/>
        <v>142.01029043591117</v>
      </c>
      <c r="E147" s="4"/>
      <c r="F147" s="6"/>
      <c r="G147" s="3"/>
      <c r="H147" s="4"/>
      <c r="I147" s="6"/>
    </row>
    <row r="148" spans="1:9" x14ac:dyDescent="0.2">
      <c r="A148" s="31">
        <f>Winter!A151</f>
        <v>143</v>
      </c>
      <c r="B148" s="2">
        <v>143</v>
      </c>
      <c r="C148" s="3">
        <v>2484</v>
      </c>
      <c r="D148" s="4">
        <f t="shared" si="2"/>
        <v>114.11541195742863</v>
      </c>
      <c r="E148" s="4"/>
      <c r="F148" s="6"/>
      <c r="G148" s="3"/>
      <c r="H148" s="4"/>
      <c r="I148" s="6"/>
    </row>
    <row r="149" spans="1:9" x14ac:dyDescent="0.2">
      <c r="A149" s="31">
        <f>Winter!A152</f>
        <v>144</v>
      </c>
      <c r="B149" s="2">
        <v>144</v>
      </c>
      <c r="C149" s="3">
        <v>2346</v>
      </c>
      <c r="D149" s="4">
        <f t="shared" si="2"/>
        <v>107.7756668486826</v>
      </c>
      <c r="E149" s="4"/>
      <c r="F149" s="6"/>
      <c r="G149" s="3"/>
      <c r="H149" s="4"/>
      <c r="I149" s="6"/>
    </row>
    <row r="150" spans="1:9" x14ac:dyDescent="0.2">
      <c r="A150" s="31">
        <f>Winter!A153</f>
        <v>145</v>
      </c>
      <c r="B150" s="2">
        <v>145</v>
      </c>
      <c r="C150" s="3">
        <v>2208</v>
      </c>
      <c r="D150" s="4">
        <f t="shared" si="2"/>
        <v>101.43592173993656</v>
      </c>
      <c r="E150" s="4"/>
      <c r="F150" s="6"/>
      <c r="G150" s="3"/>
      <c r="H150" s="4"/>
      <c r="I150" s="6"/>
    </row>
    <row r="151" spans="1:9" x14ac:dyDescent="0.2">
      <c r="A151" s="31">
        <f>Winter!A154</f>
        <v>146</v>
      </c>
      <c r="B151" s="2">
        <v>146</v>
      </c>
      <c r="C151" s="3">
        <v>2208</v>
      </c>
      <c r="D151" s="4">
        <f t="shared" si="2"/>
        <v>101.43592173993656</v>
      </c>
      <c r="E151" s="4"/>
      <c r="F151" s="6"/>
      <c r="G151" s="3"/>
      <c r="H151" s="4"/>
      <c r="I151" s="6"/>
    </row>
    <row r="152" spans="1:9" x14ac:dyDescent="0.2">
      <c r="A152" s="31">
        <f>Winter!A155</f>
        <v>147</v>
      </c>
      <c r="B152" s="2">
        <v>147</v>
      </c>
      <c r="C152" s="3">
        <v>2346.0000000000005</v>
      </c>
      <c r="D152" s="4">
        <f t="shared" si="2"/>
        <v>107.77566684868262</v>
      </c>
      <c r="E152" s="4"/>
      <c r="F152" s="6"/>
      <c r="G152" s="3"/>
      <c r="H152" s="4"/>
      <c r="I152" s="6"/>
    </row>
    <row r="153" spans="1:9" x14ac:dyDescent="0.2">
      <c r="A153" s="31">
        <f>Winter!A156</f>
        <v>148</v>
      </c>
      <c r="B153" s="2">
        <v>148</v>
      </c>
      <c r="C153" s="3">
        <v>2484</v>
      </c>
      <c r="D153" s="4">
        <f t="shared" si="2"/>
        <v>114.11541195742863</v>
      </c>
      <c r="E153" s="4"/>
      <c r="F153" s="6"/>
      <c r="G153" s="3"/>
      <c r="H153" s="4"/>
      <c r="I153" s="6"/>
    </row>
    <row r="154" spans="1:9" x14ac:dyDescent="0.2">
      <c r="A154" s="31">
        <f>Winter!A157</f>
        <v>149</v>
      </c>
      <c r="B154" s="2">
        <v>149</v>
      </c>
      <c r="C154" s="3">
        <v>2622</v>
      </c>
      <c r="D154" s="4">
        <f t="shared" si="2"/>
        <v>120.45515706617466</v>
      </c>
      <c r="E154" s="4"/>
      <c r="F154" s="6"/>
      <c r="G154" s="3"/>
      <c r="H154" s="4"/>
      <c r="I154" s="6"/>
    </row>
    <row r="155" spans="1:9" x14ac:dyDescent="0.2">
      <c r="A155" s="31">
        <f>Winter!A158</f>
        <v>150</v>
      </c>
      <c r="B155" s="2">
        <v>150</v>
      </c>
      <c r="C155" s="3">
        <v>2760</v>
      </c>
      <c r="D155" s="4">
        <f t="shared" si="2"/>
        <v>126.79490217492071</v>
      </c>
      <c r="E155" s="4"/>
      <c r="F155" s="6"/>
      <c r="G155" s="3"/>
      <c r="H155" s="4"/>
      <c r="I155" s="6"/>
    </row>
    <row r="156" spans="1:9" x14ac:dyDescent="0.2">
      <c r="A156" s="31">
        <f>Winter!A159</f>
        <v>151</v>
      </c>
      <c r="B156" s="2">
        <v>151</v>
      </c>
      <c r="C156" s="3">
        <v>2898</v>
      </c>
      <c r="D156" s="4">
        <f t="shared" si="2"/>
        <v>133.13464728366674</v>
      </c>
      <c r="E156" s="4"/>
      <c r="F156" s="6"/>
      <c r="G156" s="3"/>
      <c r="H156" s="4"/>
      <c r="I156" s="6"/>
    </row>
    <row r="157" spans="1:9" x14ac:dyDescent="0.2">
      <c r="A157" s="31">
        <f>Winter!A160</f>
        <v>152</v>
      </c>
      <c r="B157" s="2">
        <v>152</v>
      </c>
      <c r="C157" s="3">
        <v>3036</v>
      </c>
      <c r="D157" s="4">
        <f t="shared" si="2"/>
        <v>139.47439239241277</v>
      </c>
      <c r="E157" s="4"/>
      <c r="F157" s="6"/>
      <c r="G157" s="3"/>
      <c r="H157" s="4"/>
      <c r="I157" s="6"/>
    </row>
    <row r="158" spans="1:9" x14ac:dyDescent="0.2">
      <c r="A158" s="31">
        <f>Winter!A161</f>
        <v>153</v>
      </c>
      <c r="B158" s="2">
        <v>153</v>
      </c>
      <c r="C158" s="3">
        <v>3174.0000000000005</v>
      </c>
      <c r="D158" s="4">
        <f t="shared" si="2"/>
        <v>145.81413750115883</v>
      </c>
      <c r="E158" s="4"/>
      <c r="F158" s="6"/>
      <c r="G158" s="3"/>
      <c r="H158" s="4"/>
      <c r="I158" s="6"/>
    </row>
    <row r="159" spans="1:9" x14ac:dyDescent="0.2">
      <c r="A159" s="31">
        <f>Winter!A162</f>
        <v>154</v>
      </c>
      <c r="B159" s="2">
        <v>154</v>
      </c>
      <c r="C159" s="3">
        <v>3312.0000000000005</v>
      </c>
      <c r="D159" s="4">
        <f t="shared" si="2"/>
        <v>152.15388260990485</v>
      </c>
      <c r="E159" s="4"/>
      <c r="F159" s="6"/>
      <c r="G159" s="3"/>
      <c r="H159" s="4"/>
      <c r="I159" s="6"/>
    </row>
    <row r="160" spans="1:9" x14ac:dyDescent="0.2">
      <c r="A160" s="31">
        <f>Winter!A163</f>
        <v>155</v>
      </c>
      <c r="B160" s="2">
        <v>155</v>
      </c>
      <c r="C160" s="3">
        <v>3450.0000000000005</v>
      </c>
      <c r="D160" s="4">
        <f t="shared" si="2"/>
        <v>158.49362771865091</v>
      </c>
      <c r="E160" s="4"/>
      <c r="F160" s="6"/>
      <c r="G160" s="3"/>
      <c r="H160" s="4"/>
      <c r="I160" s="6"/>
    </row>
    <row r="161" spans="1:9" x14ac:dyDescent="0.2">
      <c r="A161" s="31">
        <f>Winter!A164</f>
        <v>156</v>
      </c>
      <c r="B161" s="2">
        <v>156</v>
      </c>
      <c r="C161" s="3">
        <v>3588.0000000000009</v>
      </c>
      <c r="D161" s="4">
        <f t="shared" si="2"/>
        <v>164.83337282739694</v>
      </c>
      <c r="E161" s="4"/>
      <c r="F161" s="6"/>
      <c r="G161" s="3"/>
      <c r="H161" s="4"/>
      <c r="I161" s="6"/>
    </row>
    <row r="162" spans="1:9" x14ac:dyDescent="0.2">
      <c r="A162" s="31">
        <f>Winter!A165</f>
        <v>157</v>
      </c>
      <c r="B162" s="2">
        <v>157</v>
      </c>
      <c r="C162" s="3">
        <v>3726.0000000000009</v>
      </c>
      <c r="D162" s="4">
        <f t="shared" si="2"/>
        <v>171.173117936143</v>
      </c>
      <c r="E162" s="4"/>
      <c r="F162" s="6"/>
      <c r="G162" s="3"/>
      <c r="H162" s="4"/>
      <c r="I162" s="6"/>
    </row>
    <row r="163" spans="1:9" x14ac:dyDescent="0.2">
      <c r="A163" s="31">
        <f>Winter!A166</f>
        <v>158</v>
      </c>
      <c r="B163" s="2">
        <v>158</v>
      </c>
      <c r="C163" s="3">
        <v>3864.0000000000014</v>
      </c>
      <c r="D163" s="4">
        <f t="shared" si="2"/>
        <v>177.51286304488906</v>
      </c>
      <c r="E163" s="4"/>
      <c r="F163" s="6"/>
      <c r="G163" s="3"/>
      <c r="H163" s="4"/>
      <c r="I163" s="6"/>
    </row>
    <row r="164" spans="1:9" x14ac:dyDescent="0.2">
      <c r="A164" s="31">
        <f>Winter!A167</f>
        <v>159</v>
      </c>
      <c r="B164" s="2">
        <v>159</v>
      </c>
      <c r="C164" s="3">
        <v>3726.0000000000005</v>
      </c>
      <c r="D164" s="4">
        <f t="shared" si="2"/>
        <v>171.17311793614297</v>
      </c>
      <c r="E164" s="4"/>
      <c r="F164" s="6"/>
      <c r="G164" s="3"/>
      <c r="H164" s="4"/>
      <c r="I164" s="6"/>
    </row>
    <row r="165" spans="1:9" x14ac:dyDescent="0.2">
      <c r="A165" s="31">
        <f>Winter!A168</f>
        <v>160</v>
      </c>
      <c r="B165" s="2">
        <v>160</v>
      </c>
      <c r="C165" s="3">
        <v>3864</v>
      </c>
      <c r="D165" s="4">
        <f t="shared" si="2"/>
        <v>177.51286304488897</v>
      </c>
      <c r="E165" s="4"/>
      <c r="F165" s="6"/>
      <c r="G165" s="3"/>
      <c r="H165" s="4"/>
      <c r="I165" s="6"/>
    </row>
    <row r="166" spans="1:9" x14ac:dyDescent="0.2">
      <c r="A166" s="31">
        <f>Winter!A169</f>
        <v>161</v>
      </c>
      <c r="B166" s="2">
        <v>161</v>
      </c>
      <c r="C166" s="3">
        <v>4416</v>
      </c>
      <c r="D166" s="4">
        <f t="shared" si="2"/>
        <v>202.87184347987312</v>
      </c>
      <c r="E166" s="4"/>
      <c r="F166" s="6"/>
      <c r="G166" s="3"/>
      <c r="H166" s="4"/>
      <c r="I166" s="6"/>
    </row>
    <row r="167" spans="1:9" x14ac:dyDescent="0.2">
      <c r="A167" s="31">
        <f>Winter!A170</f>
        <v>162</v>
      </c>
      <c r="B167" s="2">
        <v>162</v>
      </c>
      <c r="C167" s="3">
        <v>4278</v>
      </c>
      <c r="D167" s="4">
        <f t="shared" si="2"/>
        <v>196.53209837112709</v>
      </c>
      <c r="E167" s="4"/>
      <c r="F167" s="6"/>
      <c r="G167" s="3"/>
      <c r="H167" s="4"/>
      <c r="I167" s="6"/>
    </row>
    <row r="168" spans="1:9" x14ac:dyDescent="0.2">
      <c r="A168" s="31">
        <f>Winter!A171</f>
        <v>163</v>
      </c>
      <c r="B168" s="2">
        <v>163</v>
      </c>
      <c r="C168" s="3">
        <v>4553.9999999999991</v>
      </c>
      <c r="D168" s="4">
        <f t="shared" si="2"/>
        <v>209.21158858861912</v>
      </c>
      <c r="E168" s="4"/>
      <c r="F168" s="6"/>
      <c r="G168" s="3"/>
      <c r="H168" s="4"/>
      <c r="I168" s="6"/>
    </row>
    <row r="169" spans="1:9" x14ac:dyDescent="0.2">
      <c r="A169" s="31">
        <f>Winter!A172</f>
        <v>164</v>
      </c>
      <c r="B169" s="2">
        <v>164</v>
      </c>
      <c r="C169" s="3">
        <v>4250.3999999999996</v>
      </c>
      <c r="D169" s="4">
        <f t="shared" si="2"/>
        <v>195.26414934937787</v>
      </c>
      <c r="E169" s="4"/>
      <c r="F169" s="6"/>
      <c r="G169" s="3"/>
      <c r="H169" s="4"/>
      <c r="I169" s="6"/>
    </row>
    <row r="170" spans="1:9" x14ac:dyDescent="0.2">
      <c r="A170" s="31">
        <f>Winter!A173</f>
        <v>165</v>
      </c>
      <c r="B170" s="2">
        <v>165</v>
      </c>
      <c r="C170" s="3">
        <v>3946.8</v>
      </c>
      <c r="D170" s="4">
        <f t="shared" si="2"/>
        <v>181.31671011013663</v>
      </c>
      <c r="E170" s="4"/>
      <c r="F170" s="6"/>
      <c r="G170" s="3"/>
      <c r="H170" s="4"/>
      <c r="I170" s="6"/>
    </row>
    <row r="171" spans="1:9" x14ac:dyDescent="0.2">
      <c r="A171" s="31">
        <f>Winter!A174</f>
        <v>166</v>
      </c>
      <c r="B171" s="2">
        <v>166</v>
      </c>
      <c r="C171" s="3">
        <v>3643.2</v>
      </c>
      <c r="D171" s="4">
        <f t="shared" si="2"/>
        <v>167.36927087089532</v>
      </c>
      <c r="E171" s="4"/>
      <c r="F171" s="6"/>
      <c r="G171" s="3"/>
      <c r="H171" s="4"/>
      <c r="I171" s="6"/>
    </row>
    <row r="172" spans="1:9" x14ac:dyDescent="0.2">
      <c r="A172" s="31">
        <f>Winter!A175</f>
        <v>167</v>
      </c>
      <c r="B172" s="2">
        <v>167</v>
      </c>
      <c r="C172" s="3">
        <v>3339.6000000000004</v>
      </c>
      <c r="D172" s="4">
        <f t="shared" si="2"/>
        <v>153.42183163165407</v>
      </c>
      <c r="E172" s="4"/>
      <c r="F172" s="6"/>
      <c r="G172" s="3"/>
      <c r="H172" s="4"/>
      <c r="I172" s="6"/>
    </row>
    <row r="173" spans="1:9" x14ac:dyDescent="0.2">
      <c r="A173" s="31">
        <f>Winter!A176</f>
        <v>168</v>
      </c>
      <c r="B173" s="2">
        <v>168</v>
      </c>
      <c r="C173" s="3">
        <v>3036</v>
      </c>
      <c r="D173" s="4">
        <f t="shared" si="2"/>
        <v>139.47439239241277</v>
      </c>
      <c r="E173" s="4"/>
      <c r="F173" s="6"/>
      <c r="G173" s="3"/>
      <c r="H173" s="4"/>
      <c r="I173" s="6"/>
    </row>
    <row r="174" spans="1:9" x14ac:dyDescent="0.2">
      <c r="A174" s="31">
        <f>Winter!A177</f>
        <v>1</v>
      </c>
      <c r="B174" s="2">
        <v>169</v>
      </c>
      <c r="C174" s="3">
        <f>C6</f>
        <v>2346</v>
      </c>
      <c r="D174" s="4">
        <f t="shared" si="2"/>
        <v>107.7756668486826</v>
      </c>
      <c r="E174" s="4"/>
      <c r="F174" s="6"/>
      <c r="G174" s="3"/>
      <c r="H174" s="4"/>
      <c r="I174" s="6"/>
    </row>
    <row r="175" spans="1:9" x14ac:dyDescent="0.2">
      <c r="A175" s="31">
        <f>Winter!A178</f>
        <v>2</v>
      </c>
      <c r="B175" s="2">
        <v>170</v>
      </c>
      <c r="C175" s="3">
        <f t="shared" ref="C175:C238" si="3">C7</f>
        <v>2208</v>
      </c>
      <c r="D175" s="4">
        <f t="shared" si="2"/>
        <v>101.43592173993656</v>
      </c>
      <c r="E175" s="4"/>
      <c r="F175" s="6"/>
      <c r="G175" s="3"/>
      <c r="H175" s="4"/>
      <c r="I175" s="6"/>
    </row>
    <row r="176" spans="1:9" x14ac:dyDescent="0.2">
      <c r="A176" s="31">
        <f>Winter!A179</f>
        <v>3</v>
      </c>
      <c r="B176" s="2">
        <v>171</v>
      </c>
      <c r="C176" s="3">
        <f t="shared" si="3"/>
        <v>2346</v>
      </c>
      <c r="D176" s="4">
        <f t="shared" si="2"/>
        <v>107.7756668486826</v>
      </c>
      <c r="E176" s="4"/>
      <c r="F176" s="6"/>
      <c r="G176" s="3"/>
      <c r="H176" s="4"/>
      <c r="I176" s="6"/>
    </row>
    <row r="177" spans="1:9" x14ac:dyDescent="0.2">
      <c r="A177" s="31">
        <f>Winter!A180</f>
        <v>4</v>
      </c>
      <c r="B177" s="2">
        <v>172</v>
      </c>
      <c r="C177" s="3">
        <f t="shared" si="3"/>
        <v>2484</v>
      </c>
      <c r="D177" s="4">
        <f t="shared" si="2"/>
        <v>114.11541195742863</v>
      </c>
      <c r="E177" s="4"/>
      <c r="F177" s="6"/>
      <c r="G177" s="3"/>
      <c r="H177" s="4"/>
      <c r="I177" s="6"/>
    </row>
    <row r="178" spans="1:9" x14ac:dyDescent="0.2">
      <c r="A178" s="31">
        <f>Winter!A181</f>
        <v>5</v>
      </c>
      <c r="B178" s="2">
        <v>173</v>
      </c>
      <c r="C178" s="3">
        <f t="shared" si="3"/>
        <v>2828.9999999999995</v>
      </c>
      <c r="D178" s="4">
        <f t="shared" si="2"/>
        <v>129.96477472929371</v>
      </c>
      <c r="E178" s="4"/>
      <c r="F178" s="6"/>
      <c r="G178" s="3"/>
      <c r="H178" s="4"/>
      <c r="I178" s="6"/>
    </row>
    <row r="179" spans="1:9" x14ac:dyDescent="0.2">
      <c r="A179" s="31">
        <f>Winter!A182</f>
        <v>6</v>
      </c>
      <c r="B179" s="2">
        <v>174</v>
      </c>
      <c r="C179" s="3">
        <f t="shared" si="3"/>
        <v>3035.9999999999995</v>
      </c>
      <c r="D179" s="4">
        <f t="shared" si="2"/>
        <v>139.47439239241277</v>
      </c>
      <c r="E179" s="4"/>
      <c r="F179" s="6"/>
      <c r="G179" s="3"/>
      <c r="H179" s="4"/>
      <c r="I179" s="6"/>
    </row>
    <row r="180" spans="1:9" x14ac:dyDescent="0.2">
      <c r="A180" s="31">
        <f>Winter!A183</f>
        <v>7</v>
      </c>
      <c r="B180" s="2">
        <v>175</v>
      </c>
      <c r="C180" s="3">
        <f t="shared" si="3"/>
        <v>3242.9999999999995</v>
      </c>
      <c r="D180" s="4">
        <f t="shared" si="2"/>
        <v>148.9840100555318</v>
      </c>
      <c r="E180" s="4"/>
      <c r="F180" s="6"/>
      <c r="G180" s="3"/>
      <c r="H180" s="4"/>
      <c r="I180" s="6"/>
    </row>
    <row r="181" spans="1:9" x14ac:dyDescent="0.2">
      <c r="A181" s="31">
        <f>Winter!A184</f>
        <v>8</v>
      </c>
      <c r="B181" s="2">
        <v>176</v>
      </c>
      <c r="C181" s="3">
        <f t="shared" si="3"/>
        <v>3449.9999999999986</v>
      </c>
      <c r="D181" s="4">
        <f t="shared" si="2"/>
        <v>158.49362771865083</v>
      </c>
      <c r="E181" s="4"/>
      <c r="F181" s="6"/>
      <c r="G181" s="3"/>
      <c r="H181" s="4"/>
      <c r="I181" s="6"/>
    </row>
    <row r="182" spans="1:9" x14ac:dyDescent="0.2">
      <c r="A182" s="31">
        <f>Winter!A185</f>
        <v>9</v>
      </c>
      <c r="B182" s="2">
        <v>177</v>
      </c>
      <c r="C182" s="3">
        <f t="shared" si="3"/>
        <v>3656.9999999999991</v>
      </c>
      <c r="D182" s="4">
        <f t="shared" si="2"/>
        <v>168.00324538176989</v>
      </c>
      <c r="E182" s="4"/>
      <c r="F182" s="6"/>
      <c r="G182" s="3"/>
      <c r="H182" s="4"/>
      <c r="I182" s="6"/>
    </row>
    <row r="183" spans="1:9" x14ac:dyDescent="0.2">
      <c r="A183" s="31">
        <f>Winter!A186</f>
        <v>10</v>
      </c>
      <c r="B183" s="2">
        <v>178</v>
      </c>
      <c r="C183" s="3">
        <f t="shared" si="3"/>
        <v>3863.9999999999991</v>
      </c>
      <c r="D183" s="4">
        <f t="shared" si="2"/>
        <v>177.51286304488895</v>
      </c>
      <c r="E183" s="4"/>
      <c r="F183" s="6"/>
      <c r="G183" s="3"/>
      <c r="H183" s="4"/>
      <c r="I183" s="6"/>
    </row>
    <row r="184" spans="1:9" x14ac:dyDescent="0.2">
      <c r="A184" s="31">
        <f>Winter!A187</f>
        <v>11</v>
      </c>
      <c r="B184" s="2">
        <v>179</v>
      </c>
      <c r="C184" s="3">
        <f t="shared" si="3"/>
        <v>4070.9999999999986</v>
      </c>
      <c r="D184" s="4">
        <f t="shared" si="2"/>
        <v>187.02248070800795</v>
      </c>
      <c r="E184" s="4"/>
      <c r="F184" s="6"/>
      <c r="G184" s="3"/>
      <c r="H184" s="4"/>
      <c r="I184" s="6"/>
    </row>
    <row r="185" spans="1:9" x14ac:dyDescent="0.2">
      <c r="A185" s="31">
        <f>Winter!A188</f>
        <v>12</v>
      </c>
      <c r="B185" s="2">
        <v>180</v>
      </c>
      <c r="C185" s="3">
        <f t="shared" si="3"/>
        <v>4277.9999999999991</v>
      </c>
      <c r="D185" s="4">
        <f t="shared" si="2"/>
        <v>196.53209837112706</v>
      </c>
      <c r="E185" s="4"/>
      <c r="F185" s="6"/>
      <c r="G185" s="3"/>
      <c r="H185" s="4"/>
      <c r="I185" s="6"/>
    </row>
    <row r="186" spans="1:9" x14ac:dyDescent="0.2">
      <c r="A186" s="31">
        <f>Winter!A189</f>
        <v>13</v>
      </c>
      <c r="B186" s="2">
        <v>181</v>
      </c>
      <c r="C186" s="3">
        <f t="shared" si="3"/>
        <v>4485</v>
      </c>
      <c r="D186" s="4">
        <f t="shared" si="2"/>
        <v>206.04171603424615</v>
      </c>
      <c r="E186" s="4"/>
      <c r="F186" s="6"/>
      <c r="G186" s="3"/>
      <c r="H186" s="4"/>
      <c r="I186" s="6"/>
    </row>
    <row r="187" spans="1:9" x14ac:dyDescent="0.2">
      <c r="A187" s="31">
        <f>Winter!A190</f>
        <v>14</v>
      </c>
      <c r="B187" s="2">
        <v>182</v>
      </c>
      <c r="C187" s="3">
        <f t="shared" si="3"/>
        <v>4692</v>
      </c>
      <c r="D187" s="4">
        <f t="shared" si="2"/>
        <v>215.55133369736521</v>
      </c>
      <c r="E187" s="4"/>
      <c r="F187" s="6"/>
      <c r="G187" s="3"/>
      <c r="H187" s="4"/>
      <c r="I187" s="6"/>
    </row>
    <row r="188" spans="1:9" x14ac:dyDescent="0.2">
      <c r="A188" s="31">
        <f>Winter!A191</f>
        <v>15</v>
      </c>
      <c r="B188" s="2">
        <v>183</v>
      </c>
      <c r="C188" s="3">
        <f t="shared" si="3"/>
        <v>4553.9999999999991</v>
      </c>
      <c r="D188" s="4">
        <f t="shared" si="2"/>
        <v>209.21158858861912</v>
      </c>
      <c r="E188" s="4"/>
      <c r="F188" s="6"/>
      <c r="G188" s="3"/>
      <c r="H188" s="4"/>
      <c r="I188" s="6"/>
    </row>
    <row r="189" spans="1:9" x14ac:dyDescent="0.2">
      <c r="A189" s="31">
        <f>Winter!A192</f>
        <v>16</v>
      </c>
      <c r="B189" s="2">
        <v>184</v>
      </c>
      <c r="C189" s="3">
        <f t="shared" si="3"/>
        <v>4738</v>
      </c>
      <c r="D189" s="4">
        <f t="shared" si="2"/>
        <v>217.66458206694722</v>
      </c>
      <c r="E189" s="4"/>
      <c r="F189" s="6"/>
      <c r="G189" s="3"/>
      <c r="H189" s="4"/>
      <c r="I189" s="6"/>
    </row>
    <row r="190" spans="1:9" x14ac:dyDescent="0.2">
      <c r="A190" s="31">
        <f>Winter!A193</f>
        <v>17</v>
      </c>
      <c r="B190" s="2">
        <v>185</v>
      </c>
      <c r="C190" s="3">
        <f t="shared" si="3"/>
        <v>5382</v>
      </c>
      <c r="D190" s="4">
        <f t="shared" si="2"/>
        <v>247.25005924109539</v>
      </c>
      <c r="E190" s="4"/>
      <c r="F190" s="6"/>
      <c r="G190" s="3"/>
      <c r="H190" s="4"/>
      <c r="I190" s="6"/>
    </row>
    <row r="191" spans="1:9" x14ac:dyDescent="0.2">
      <c r="A191" s="31">
        <f>Winter!A194</f>
        <v>18</v>
      </c>
      <c r="B191" s="2">
        <v>186</v>
      </c>
      <c r="C191" s="3">
        <f t="shared" si="3"/>
        <v>5244</v>
      </c>
      <c r="D191" s="4">
        <f t="shared" si="2"/>
        <v>240.91031413234933</v>
      </c>
      <c r="E191" s="4"/>
      <c r="F191" s="6"/>
      <c r="G191" s="3"/>
      <c r="H191" s="4"/>
      <c r="I191" s="6"/>
    </row>
    <row r="192" spans="1:9" x14ac:dyDescent="0.2">
      <c r="A192" s="31">
        <f>Winter!A195</f>
        <v>19</v>
      </c>
      <c r="B192" s="2">
        <v>187</v>
      </c>
      <c r="C192" s="3">
        <f t="shared" si="3"/>
        <v>5520</v>
      </c>
      <c r="D192" s="4">
        <f t="shared" si="2"/>
        <v>253.58980434984142</v>
      </c>
      <c r="E192" s="4"/>
      <c r="F192" s="6"/>
      <c r="G192" s="3"/>
      <c r="H192" s="4"/>
      <c r="I192" s="6"/>
    </row>
    <row r="193" spans="1:9" x14ac:dyDescent="0.2">
      <c r="A193" s="31">
        <f>Winter!A196</f>
        <v>20</v>
      </c>
      <c r="B193" s="2">
        <v>188</v>
      </c>
      <c r="C193" s="3">
        <f t="shared" si="3"/>
        <v>5244</v>
      </c>
      <c r="D193" s="4">
        <f t="shared" si="2"/>
        <v>240.91031413234933</v>
      </c>
      <c r="E193" s="4"/>
      <c r="F193" s="6"/>
      <c r="G193" s="3"/>
      <c r="H193" s="4"/>
      <c r="I193" s="6"/>
    </row>
    <row r="194" spans="1:9" x14ac:dyDescent="0.2">
      <c r="A194" s="31">
        <f>Winter!A197</f>
        <v>21</v>
      </c>
      <c r="B194" s="2">
        <v>189</v>
      </c>
      <c r="C194" s="3">
        <f t="shared" si="3"/>
        <v>5657.9999999999991</v>
      </c>
      <c r="D194" s="4">
        <f t="shared" si="2"/>
        <v>259.92954945858742</v>
      </c>
      <c r="E194" s="4"/>
      <c r="F194" s="6"/>
      <c r="G194" s="3"/>
      <c r="H194" s="4"/>
      <c r="I194" s="6"/>
    </row>
    <row r="195" spans="1:9" x14ac:dyDescent="0.2">
      <c r="A195" s="31">
        <f>Winter!A198</f>
        <v>22</v>
      </c>
      <c r="B195" s="2">
        <v>190</v>
      </c>
      <c r="C195" s="3">
        <f t="shared" si="3"/>
        <v>4968</v>
      </c>
      <c r="D195" s="4">
        <f t="shared" si="2"/>
        <v>228.23082391485727</v>
      </c>
      <c r="E195" s="4"/>
      <c r="F195" s="6"/>
      <c r="G195" s="3"/>
      <c r="H195" s="4"/>
      <c r="I195" s="6"/>
    </row>
    <row r="196" spans="1:9" x14ac:dyDescent="0.2">
      <c r="A196" s="31">
        <f>Winter!A199</f>
        <v>23</v>
      </c>
      <c r="B196" s="2">
        <v>191</v>
      </c>
      <c r="C196" s="3">
        <f t="shared" si="3"/>
        <v>4277.9999999999991</v>
      </c>
      <c r="D196" s="4">
        <f t="shared" si="2"/>
        <v>196.53209837112706</v>
      </c>
      <c r="E196" s="4"/>
      <c r="F196" s="6"/>
      <c r="G196" s="3"/>
      <c r="H196" s="4"/>
      <c r="I196" s="6"/>
    </row>
    <row r="197" spans="1:9" x14ac:dyDescent="0.2">
      <c r="A197" s="31">
        <f>Winter!A200</f>
        <v>24</v>
      </c>
      <c r="B197" s="2">
        <v>192</v>
      </c>
      <c r="C197" s="3">
        <f t="shared" si="3"/>
        <v>3587.9999999999991</v>
      </c>
      <c r="D197" s="4">
        <f t="shared" si="2"/>
        <v>164.83337282739689</v>
      </c>
      <c r="E197" s="4"/>
      <c r="F197" s="6"/>
      <c r="G197" s="3"/>
      <c r="H197" s="4"/>
      <c r="I197" s="6"/>
    </row>
    <row r="198" spans="1:9" x14ac:dyDescent="0.2">
      <c r="A198" s="31">
        <f>Winter!A201</f>
        <v>25</v>
      </c>
      <c r="B198" s="2">
        <v>193</v>
      </c>
      <c r="C198" s="3">
        <f t="shared" si="3"/>
        <v>2346</v>
      </c>
      <c r="D198" s="4">
        <f t="shared" si="2"/>
        <v>107.7756668486826</v>
      </c>
      <c r="E198" s="4"/>
      <c r="F198" s="6"/>
      <c r="G198" s="3"/>
      <c r="H198" s="4"/>
      <c r="I198" s="6"/>
    </row>
    <row r="199" spans="1:9" x14ac:dyDescent="0.2">
      <c r="A199" s="31">
        <f>Winter!A202</f>
        <v>26</v>
      </c>
      <c r="B199" s="2">
        <v>194</v>
      </c>
      <c r="C199" s="3">
        <f t="shared" si="3"/>
        <v>2208</v>
      </c>
      <c r="D199" s="4">
        <f t="shared" ref="D199:D262" si="4">$G$3*C199*(1/$G$5-1/$G$4)</f>
        <v>101.43592173993656</v>
      </c>
      <c r="E199" s="4"/>
      <c r="F199" s="6"/>
      <c r="G199" s="3"/>
      <c r="H199" s="4"/>
      <c r="I199" s="6"/>
    </row>
    <row r="200" spans="1:9" x14ac:dyDescent="0.2">
      <c r="A200" s="31">
        <f>Winter!A203</f>
        <v>27</v>
      </c>
      <c r="B200" s="2">
        <v>195</v>
      </c>
      <c r="C200" s="3">
        <f t="shared" si="3"/>
        <v>2373.6</v>
      </c>
      <c r="D200" s="4">
        <f t="shared" si="4"/>
        <v>109.04361587043179</v>
      </c>
      <c r="E200" s="4"/>
      <c r="F200" s="6"/>
      <c r="G200" s="3"/>
      <c r="H200" s="4"/>
      <c r="I200" s="6"/>
    </row>
    <row r="201" spans="1:9" x14ac:dyDescent="0.2">
      <c r="A201" s="31">
        <f>Winter!A204</f>
        <v>28</v>
      </c>
      <c r="B201" s="2">
        <v>196</v>
      </c>
      <c r="C201" s="3">
        <f t="shared" si="3"/>
        <v>2484</v>
      </c>
      <c r="D201" s="4">
        <f t="shared" si="4"/>
        <v>114.11541195742863</v>
      </c>
      <c r="E201" s="4"/>
      <c r="F201" s="6"/>
      <c r="G201" s="3"/>
      <c r="H201" s="4"/>
      <c r="I201" s="6"/>
    </row>
    <row r="202" spans="1:9" x14ac:dyDescent="0.2">
      <c r="A202" s="31">
        <f>Winter!A205</f>
        <v>29</v>
      </c>
      <c r="B202" s="2">
        <v>197</v>
      </c>
      <c r="C202" s="3">
        <f t="shared" si="3"/>
        <v>2740.2857142857142</v>
      </c>
      <c r="D202" s="4">
        <f t="shared" si="4"/>
        <v>125.8892243022427</v>
      </c>
      <c r="E202" s="4"/>
      <c r="F202" s="6"/>
      <c r="G202" s="3"/>
      <c r="H202" s="4"/>
      <c r="I202" s="6"/>
    </row>
    <row r="203" spans="1:9" x14ac:dyDescent="0.2">
      <c r="A203" s="31">
        <f>Winter!A206</f>
        <v>30</v>
      </c>
      <c r="B203" s="2">
        <v>198</v>
      </c>
      <c r="C203" s="3">
        <f t="shared" si="3"/>
        <v>2917.7142857142858</v>
      </c>
      <c r="D203" s="4">
        <f t="shared" si="4"/>
        <v>134.04032515634475</v>
      </c>
      <c r="E203" s="4"/>
      <c r="F203" s="6"/>
      <c r="G203" s="3"/>
      <c r="H203" s="4"/>
      <c r="I203" s="6"/>
    </row>
    <row r="204" spans="1:9" x14ac:dyDescent="0.2">
      <c r="A204" s="31">
        <f>Winter!A207</f>
        <v>31</v>
      </c>
      <c r="B204" s="2">
        <v>199</v>
      </c>
      <c r="C204" s="3">
        <f t="shared" si="3"/>
        <v>3095.1428571428573</v>
      </c>
      <c r="D204" s="4">
        <f t="shared" si="4"/>
        <v>142.19142601044678</v>
      </c>
      <c r="E204" s="4"/>
      <c r="F204" s="6"/>
      <c r="G204" s="3"/>
      <c r="H204" s="4"/>
      <c r="I204" s="6"/>
    </row>
    <row r="205" spans="1:9" x14ac:dyDescent="0.2">
      <c r="A205" s="31">
        <f>Winter!A208</f>
        <v>32</v>
      </c>
      <c r="B205" s="2">
        <v>200</v>
      </c>
      <c r="C205" s="3">
        <f t="shared" si="3"/>
        <v>3272.5714285714289</v>
      </c>
      <c r="D205" s="4">
        <f t="shared" si="4"/>
        <v>150.34252686454886</v>
      </c>
      <c r="E205" s="4"/>
      <c r="F205" s="6"/>
      <c r="G205" s="3"/>
      <c r="H205" s="4"/>
      <c r="I205" s="6"/>
    </row>
    <row r="206" spans="1:9" x14ac:dyDescent="0.2">
      <c r="A206" s="31">
        <f>Winter!A209</f>
        <v>33</v>
      </c>
      <c r="B206" s="2">
        <v>201</v>
      </c>
      <c r="C206" s="3">
        <f t="shared" si="3"/>
        <v>3449.9999999999995</v>
      </c>
      <c r="D206" s="4">
        <f t="shared" si="4"/>
        <v>158.49362771865086</v>
      </c>
      <c r="E206" s="4"/>
      <c r="F206" s="6"/>
      <c r="G206" s="3"/>
      <c r="H206" s="4"/>
      <c r="I206" s="6"/>
    </row>
    <row r="207" spans="1:9" x14ac:dyDescent="0.2">
      <c r="A207" s="31">
        <f>Winter!A210</f>
        <v>34</v>
      </c>
      <c r="B207" s="2">
        <v>202</v>
      </c>
      <c r="C207" s="3">
        <f t="shared" si="3"/>
        <v>3627.4285714285711</v>
      </c>
      <c r="D207" s="4">
        <f t="shared" si="4"/>
        <v>166.64472857275291</v>
      </c>
      <c r="E207" s="4"/>
      <c r="F207" s="6"/>
      <c r="G207" s="3"/>
      <c r="H207" s="4"/>
      <c r="I207" s="6"/>
    </row>
    <row r="208" spans="1:9" x14ac:dyDescent="0.2">
      <c r="A208" s="31">
        <f>Winter!A211</f>
        <v>35</v>
      </c>
      <c r="B208" s="2">
        <v>203</v>
      </c>
      <c r="C208" s="3">
        <f t="shared" si="3"/>
        <v>3804.8571428571427</v>
      </c>
      <c r="D208" s="4">
        <f t="shared" si="4"/>
        <v>174.79582942685497</v>
      </c>
      <c r="E208" s="4"/>
      <c r="F208" s="6"/>
      <c r="G208" s="3"/>
      <c r="H208" s="4"/>
      <c r="I208" s="6"/>
    </row>
    <row r="209" spans="1:9" x14ac:dyDescent="0.2">
      <c r="A209" s="31">
        <f>Winter!A212</f>
        <v>36</v>
      </c>
      <c r="B209" s="2">
        <v>204</v>
      </c>
      <c r="C209" s="3">
        <f t="shared" si="3"/>
        <v>3982.2857142857147</v>
      </c>
      <c r="D209" s="4">
        <f t="shared" si="4"/>
        <v>182.94693028095702</v>
      </c>
      <c r="E209" s="4"/>
      <c r="F209" s="6"/>
      <c r="G209" s="3"/>
      <c r="H209" s="4"/>
      <c r="I209" s="6"/>
    </row>
    <row r="210" spans="1:9" x14ac:dyDescent="0.2">
      <c r="A210" s="31">
        <f>Winter!A213</f>
        <v>37</v>
      </c>
      <c r="B210" s="2">
        <v>205</v>
      </c>
      <c r="C210" s="3">
        <f t="shared" si="3"/>
        <v>4159.7142857142853</v>
      </c>
      <c r="D210" s="4">
        <f t="shared" si="4"/>
        <v>191.09803113505907</v>
      </c>
      <c r="E210" s="4"/>
      <c r="F210" s="6"/>
      <c r="G210" s="3"/>
      <c r="H210" s="4"/>
      <c r="I210" s="6"/>
    </row>
    <row r="211" spans="1:9" x14ac:dyDescent="0.2">
      <c r="A211" s="31">
        <f>Winter!A214</f>
        <v>38</v>
      </c>
      <c r="B211" s="2">
        <v>206</v>
      </c>
      <c r="C211" s="3">
        <f t="shared" si="3"/>
        <v>4337.1428571428569</v>
      </c>
      <c r="D211" s="4">
        <f t="shared" si="4"/>
        <v>199.2491319891611</v>
      </c>
      <c r="E211" s="4"/>
      <c r="F211" s="6"/>
      <c r="G211" s="3"/>
      <c r="H211" s="4"/>
      <c r="I211" s="6"/>
    </row>
    <row r="212" spans="1:9" x14ac:dyDescent="0.2">
      <c r="A212" s="31">
        <f>Winter!A215</f>
        <v>39</v>
      </c>
      <c r="B212" s="2">
        <v>207</v>
      </c>
      <c r="C212" s="3">
        <f t="shared" si="3"/>
        <v>4514.5714285714284</v>
      </c>
      <c r="D212" s="4">
        <f t="shared" si="4"/>
        <v>207.40023284326315</v>
      </c>
      <c r="E212" s="4"/>
      <c r="F212" s="6"/>
      <c r="G212" s="3"/>
      <c r="H212" s="4"/>
      <c r="I212" s="6"/>
    </row>
    <row r="213" spans="1:9" x14ac:dyDescent="0.2">
      <c r="A213" s="31">
        <f>Winter!A216</f>
        <v>40</v>
      </c>
      <c r="B213" s="2">
        <v>208</v>
      </c>
      <c r="C213" s="3">
        <f t="shared" si="3"/>
        <v>4692</v>
      </c>
      <c r="D213" s="4">
        <f t="shared" si="4"/>
        <v>215.55133369736521</v>
      </c>
      <c r="E213" s="4"/>
      <c r="F213" s="6"/>
      <c r="G213" s="3"/>
      <c r="H213" s="4"/>
      <c r="I213" s="6"/>
    </row>
    <row r="214" spans="1:9" x14ac:dyDescent="0.2">
      <c r="A214" s="31">
        <f>Winter!A217</f>
        <v>41</v>
      </c>
      <c r="B214" s="2">
        <v>209</v>
      </c>
      <c r="C214" s="3">
        <f t="shared" si="3"/>
        <v>4553.9999999999991</v>
      </c>
      <c r="D214" s="4">
        <f t="shared" si="4"/>
        <v>209.21158858861912</v>
      </c>
      <c r="E214" s="4"/>
      <c r="F214" s="6"/>
      <c r="G214" s="3"/>
      <c r="H214" s="4"/>
      <c r="I214" s="6"/>
    </row>
    <row r="215" spans="1:9" x14ac:dyDescent="0.2">
      <c r="A215" s="31">
        <f>Winter!A218</f>
        <v>42</v>
      </c>
      <c r="B215" s="2">
        <v>210</v>
      </c>
      <c r="C215" s="3">
        <f t="shared" si="3"/>
        <v>4830</v>
      </c>
      <c r="D215" s="4">
        <f t="shared" si="4"/>
        <v>221.89107880611124</v>
      </c>
      <c r="E215" s="4"/>
      <c r="F215" s="6"/>
      <c r="G215" s="3"/>
      <c r="H215" s="4"/>
      <c r="I215" s="6"/>
    </row>
    <row r="216" spans="1:9" x14ac:dyDescent="0.2">
      <c r="A216" s="31">
        <f>Winter!A219</f>
        <v>43</v>
      </c>
      <c r="B216" s="2">
        <v>211</v>
      </c>
      <c r="C216" s="3">
        <f t="shared" si="3"/>
        <v>5106</v>
      </c>
      <c r="D216" s="4">
        <f t="shared" si="4"/>
        <v>234.5705690236033</v>
      </c>
      <c r="E216" s="4"/>
      <c r="F216" s="6"/>
      <c r="G216" s="3"/>
      <c r="H216" s="4"/>
      <c r="I216" s="6"/>
    </row>
    <row r="217" spans="1:9" x14ac:dyDescent="0.2">
      <c r="A217" s="31">
        <f>Winter!A220</f>
        <v>44</v>
      </c>
      <c r="B217" s="2">
        <v>212</v>
      </c>
      <c r="C217" s="3">
        <f t="shared" si="3"/>
        <v>5244</v>
      </c>
      <c r="D217" s="4">
        <f t="shared" si="4"/>
        <v>240.91031413234933</v>
      </c>
      <c r="E217" s="4"/>
      <c r="F217" s="6"/>
      <c r="G217" s="3"/>
      <c r="H217" s="4"/>
      <c r="I217" s="6"/>
    </row>
    <row r="218" spans="1:9" x14ac:dyDescent="0.2">
      <c r="A218" s="31">
        <f>Winter!A221</f>
        <v>45</v>
      </c>
      <c r="B218" s="2">
        <v>213</v>
      </c>
      <c r="C218" s="3">
        <f t="shared" si="3"/>
        <v>5657.9999999999991</v>
      </c>
      <c r="D218" s="4">
        <f t="shared" si="4"/>
        <v>259.92954945858742</v>
      </c>
      <c r="E218" s="4"/>
      <c r="F218" s="6"/>
      <c r="G218" s="3"/>
      <c r="H218" s="4"/>
      <c r="I218" s="6"/>
    </row>
    <row r="219" spans="1:9" x14ac:dyDescent="0.2">
      <c r="A219" s="31">
        <f>Winter!A222</f>
        <v>46</v>
      </c>
      <c r="B219" s="2">
        <v>214</v>
      </c>
      <c r="C219" s="3">
        <f t="shared" si="3"/>
        <v>4968</v>
      </c>
      <c r="D219" s="4">
        <f t="shared" si="4"/>
        <v>228.23082391485727</v>
      </c>
      <c r="E219" s="4"/>
      <c r="F219" s="6"/>
      <c r="G219" s="3"/>
      <c r="H219" s="4"/>
      <c r="I219" s="6"/>
    </row>
    <row r="220" spans="1:9" x14ac:dyDescent="0.2">
      <c r="A220" s="31">
        <f>Winter!A223</f>
        <v>47</v>
      </c>
      <c r="B220" s="2">
        <v>215</v>
      </c>
      <c r="C220" s="3">
        <f t="shared" si="3"/>
        <v>4277.9999999999991</v>
      </c>
      <c r="D220" s="4">
        <f t="shared" si="4"/>
        <v>196.53209837112706</v>
      </c>
      <c r="E220" s="4"/>
      <c r="F220" s="6"/>
      <c r="G220" s="3"/>
      <c r="H220" s="4"/>
      <c r="I220" s="6"/>
    </row>
    <row r="221" spans="1:9" x14ac:dyDescent="0.2">
      <c r="A221" s="31">
        <f>Winter!A224</f>
        <v>48</v>
      </c>
      <c r="B221" s="2">
        <v>216</v>
      </c>
      <c r="C221" s="3">
        <f t="shared" si="3"/>
        <v>3587.9999999999991</v>
      </c>
      <c r="D221" s="4">
        <f t="shared" si="4"/>
        <v>164.83337282739689</v>
      </c>
      <c r="E221" s="4"/>
      <c r="F221" s="6"/>
      <c r="G221" s="3"/>
      <c r="H221" s="4"/>
      <c r="I221" s="6"/>
    </row>
    <row r="222" spans="1:9" x14ac:dyDescent="0.2">
      <c r="A222" s="31">
        <f>Winter!A225</f>
        <v>49</v>
      </c>
      <c r="B222" s="2">
        <v>217</v>
      </c>
      <c r="C222" s="3">
        <f t="shared" si="3"/>
        <v>2346</v>
      </c>
      <c r="D222" s="4">
        <f t="shared" si="4"/>
        <v>107.7756668486826</v>
      </c>
      <c r="E222" s="4"/>
      <c r="F222" s="6"/>
      <c r="G222" s="3"/>
      <c r="H222" s="4"/>
      <c r="I222" s="6"/>
    </row>
    <row r="223" spans="1:9" x14ac:dyDescent="0.2">
      <c r="A223" s="31">
        <f>Winter!A226</f>
        <v>50</v>
      </c>
      <c r="B223" s="2">
        <v>218</v>
      </c>
      <c r="C223" s="3">
        <f t="shared" si="3"/>
        <v>2208</v>
      </c>
      <c r="D223" s="4">
        <f t="shared" si="4"/>
        <v>101.43592173993656</v>
      </c>
      <c r="E223" s="4"/>
      <c r="F223" s="6"/>
      <c r="G223" s="3"/>
      <c r="H223" s="4"/>
      <c r="I223" s="6"/>
    </row>
    <row r="224" spans="1:9" x14ac:dyDescent="0.2">
      <c r="A224" s="31">
        <f>Winter!A227</f>
        <v>51</v>
      </c>
      <c r="B224" s="2">
        <v>219</v>
      </c>
      <c r="C224" s="3">
        <f t="shared" si="3"/>
        <v>2346</v>
      </c>
      <c r="D224" s="4">
        <f t="shared" si="4"/>
        <v>107.7756668486826</v>
      </c>
      <c r="E224" s="4"/>
      <c r="F224" s="6"/>
      <c r="G224" s="3"/>
      <c r="H224" s="4"/>
      <c r="I224" s="6"/>
    </row>
    <row r="225" spans="1:9" x14ac:dyDescent="0.2">
      <c r="A225" s="31">
        <f>Winter!A228</f>
        <v>52</v>
      </c>
      <c r="B225" s="2">
        <v>220</v>
      </c>
      <c r="C225" s="3">
        <f t="shared" si="3"/>
        <v>2484</v>
      </c>
      <c r="D225" s="4">
        <f t="shared" si="4"/>
        <v>114.11541195742863</v>
      </c>
      <c r="E225" s="4"/>
      <c r="F225" s="6"/>
      <c r="G225" s="3"/>
      <c r="H225" s="4"/>
      <c r="I225" s="6"/>
    </row>
    <row r="226" spans="1:9" x14ac:dyDescent="0.2">
      <c r="A226" s="31">
        <f>Winter!A229</f>
        <v>53</v>
      </c>
      <c r="B226" s="2">
        <v>221</v>
      </c>
      <c r="C226" s="3">
        <f t="shared" si="3"/>
        <v>2781.2307692307691</v>
      </c>
      <c r="D226" s="4">
        <f t="shared" si="4"/>
        <v>127.77024757626624</v>
      </c>
      <c r="E226" s="4"/>
      <c r="F226" s="6"/>
      <c r="G226" s="3"/>
      <c r="H226" s="4"/>
      <c r="I226" s="6"/>
    </row>
    <row r="227" spans="1:9" x14ac:dyDescent="0.2">
      <c r="A227" s="31">
        <f>Winter!A230</f>
        <v>54</v>
      </c>
      <c r="B227" s="2">
        <v>222</v>
      </c>
      <c r="C227" s="3">
        <f t="shared" si="3"/>
        <v>2972.3076923076924</v>
      </c>
      <c r="D227" s="4">
        <f t="shared" si="4"/>
        <v>136.54835618837615</v>
      </c>
      <c r="E227" s="4"/>
      <c r="F227" s="6"/>
      <c r="G227" s="3"/>
      <c r="H227" s="4"/>
      <c r="I227" s="6"/>
    </row>
    <row r="228" spans="1:9" x14ac:dyDescent="0.2">
      <c r="A228" s="31">
        <f>Winter!A231</f>
        <v>55</v>
      </c>
      <c r="B228" s="2">
        <v>223</v>
      </c>
      <c r="C228" s="3">
        <f t="shared" si="3"/>
        <v>3163.3846153846152</v>
      </c>
      <c r="D228" s="4">
        <f t="shared" si="4"/>
        <v>145.32646480048604</v>
      </c>
      <c r="E228" s="4"/>
      <c r="F228" s="6"/>
      <c r="G228" s="3"/>
      <c r="H228" s="4"/>
      <c r="I228" s="6"/>
    </row>
    <row r="229" spans="1:9" x14ac:dyDescent="0.2">
      <c r="A229" s="31">
        <f>Winter!A232</f>
        <v>56</v>
      </c>
      <c r="B229" s="2">
        <v>224</v>
      </c>
      <c r="C229" s="3">
        <f t="shared" si="3"/>
        <v>3354.4615384615377</v>
      </c>
      <c r="D229" s="4">
        <f t="shared" si="4"/>
        <v>154.1045734125959</v>
      </c>
      <c r="E229" s="4"/>
      <c r="F229" s="6"/>
      <c r="G229" s="3"/>
      <c r="H229" s="4"/>
      <c r="I229" s="6"/>
    </row>
    <row r="230" spans="1:9" x14ac:dyDescent="0.2">
      <c r="A230" s="31">
        <f>Winter!A233</f>
        <v>57</v>
      </c>
      <c r="B230" s="2">
        <v>225</v>
      </c>
      <c r="C230" s="3">
        <f t="shared" si="3"/>
        <v>3545.538461538461</v>
      </c>
      <c r="D230" s="4">
        <f t="shared" si="4"/>
        <v>162.88268202470582</v>
      </c>
      <c r="E230" s="4"/>
      <c r="F230" s="6"/>
      <c r="G230" s="3"/>
      <c r="H230" s="4"/>
      <c r="I230" s="6"/>
    </row>
    <row r="231" spans="1:9" x14ac:dyDescent="0.2">
      <c r="A231" s="31">
        <f>Winter!A234</f>
        <v>58</v>
      </c>
      <c r="B231" s="2">
        <v>226</v>
      </c>
      <c r="C231" s="3">
        <f t="shared" si="3"/>
        <v>3736.6153846153838</v>
      </c>
      <c r="D231" s="4">
        <f t="shared" si="4"/>
        <v>171.66079063681568</v>
      </c>
      <c r="E231" s="4"/>
      <c r="F231" s="6"/>
      <c r="G231" s="3"/>
      <c r="H231" s="4"/>
      <c r="I231" s="6"/>
    </row>
    <row r="232" spans="1:9" x14ac:dyDescent="0.2">
      <c r="A232" s="31">
        <f>Winter!A235</f>
        <v>59</v>
      </c>
      <c r="B232" s="2">
        <v>227</v>
      </c>
      <c r="C232" s="3">
        <f t="shared" si="3"/>
        <v>3927.6923076923072</v>
      </c>
      <c r="D232" s="4">
        <f t="shared" si="4"/>
        <v>180.43889924892557</v>
      </c>
      <c r="E232" s="4"/>
      <c r="F232" s="6"/>
      <c r="G232" s="3"/>
      <c r="H232" s="4"/>
      <c r="I232" s="6"/>
    </row>
    <row r="233" spans="1:9" x14ac:dyDescent="0.2">
      <c r="A233" s="31">
        <f>Winter!A236</f>
        <v>60</v>
      </c>
      <c r="B233" s="2">
        <v>228</v>
      </c>
      <c r="C233" s="3">
        <f t="shared" si="3"/>
        <v>4118.7692307692305</v>
      </c>
      <c r="D233" s="4">
        <f t="shared" si="4"/>
        <v>189.21700786103551</v>
      </c>
      <c r="E233" s="4"/>
      <c r="F233" s="6"/>
      <c r="G233" s="3"/>
      <c r="H233" s="4"/>
      <c r="I233" s="6"/>
    </row>
    <row r="234" spans="1:9" x14ac:dyDescent="0.2">
      <c r="A234" s="31">
        <f>Winter!A237</f>
        <v>61</v>
      </c>
      <c r="B234" s="2">
        <v>229</v>
      </c>
      <c r="C234" s="3">
        <f t="shared" si="3"/>
        <v>4309.8461538461534</v>
      </c>
      <c r="D234" s="4">
        <f t="shared" si="4"/>
        <v>197.99511647314537</v>
      </c>
      <c r="E234" s="4"/>
      <c r="F234" s="6"/>
      <c r="G234" s="3"/>
      <c r="H234" s="4"/>
      <c r="I234" s="6"/>
    </row>
    <row r="235" spans="1:9" x14ac:dyDescent="0.2">
      <c r="A235" s="31">
        <f>Winter!A238</f>
        <v>62</v>
      </c>
      <c r="B235" s="2">
        <v>230</v>
      </c>
      <c r="C235" s="3">
        <f t="shared" si="3"/>
        <v>4500.9230769230771</v>
      </c>
      <c r="D235" s="4">
        <f t="shared" si="4"/>
        <v>206.77322508525529</v>
      </c>
      <c r="E235" s="4"/>
      <c r="F235" s="6"/>
      <c r="G235" s="3"/>
      <c r="H235" s="4"/>
      <c r="I235" s="6"/>
    </row>
    <row r="236" spans="1:9" x14ac:dyDescent="0.2">
      <c r="A236" s="31">
        <f>Winter!A239</f>
        <v>63</v>
      </c>
      <c r="B236" s="2">
        <v>231</v>
      </c>
      <c r="C236" s="3">
        <f t="shared" si="3"/>
        <v>4692</v>
      </c>
      <c r="D236" s="4">
        <f t="shared" si="4"/>
        <v>215.55133369736521</v>
      </c>
      <c r="E236" s="4"/>
      <c r="F236" s="6"/>
      <c r="G236" s="3"/>
      <c r="H236" s="4"/>
      <c r="I236" s="6"/>
    </row>
    <row r="237" spans="1:9" x14ac:dyDescent="0.2">
      <c r="A237" s="31">
        <f>Winter!A240</f>
        <v>64</v>
      </c>
      <c r="B237" s="2">
        <v>232</v>
      </c>
      <c r="C237" s="3">
        <f t="shared" si="3"/>
        <v>4553.9999999999991</v>
      </c>
      <c r="D237" s="4">
        <f t="shared" si="4"/>
        <v>209.21158858861912</v>
      </c>
      <c r="E237" s="4"/>
      <c r="F237" s="6"/>
      <c r="G237" s="3"/>
      <c r="H237" s="4"/>
      <c r="I237" s="6"/>
    </row>
    <row r="238" spans="1:9" x14ac:dyDescent="0.2">
      <c r="A238" s="31">
        <f>Winter!A241</f>
        <v>65</v>
      </c>
      <c r="B238" s="2">
        <v>233</v>
      </c>
      <c r="C238" s="3">
        <f t="shared" si="3"/>
        <v>4802.4000000000005</v>
      </c>
      <c r="D238" s="4">
        <f t="shared" si="4"/>
        <v>220.62312978436205</v>
      </c>
      <c r="E238" s="4"/>
      <c r="F238" s="6"/>
      <c r="G238" s="3"/>
      <c r="H238" s="4"/>
      <c r="I238" s="6"/>
    </row>
    <row r="239" spans="1:9" x14ac:dyDescent="0.2">
      <c r="A239" s="31">
        <f>Winter!A242</f>
        <v>66</v>
      </c>
      <c r="B239" s="2">
        <v>234</v>
      </c>
      <c r="C239" s="3">
        <f t="shared" ref="C239:C302" si="5">C71</f>
        <v>5050.8</v>
      </c>
      <c r="D239" s="4">
        <f t="shared" si="4"/>
        <v>232.03467098010492</v>
      </c>
      <c r="E239" s="4"/>
      <c r="F239" s="6"/>
      <c r="G239" s="3"/>
      <c r="H239" s="4"/>
      <c r="I239" s="6"/>
    </row>
    <row r="240" spans="1:9" x14ac:dyDescent="0.2">
      <c r="A240" s="31">
        <f>Winter!A243</f>
        <v>67</v>
      </c>
      <c r="B240" s="2">
        <v>235</v>
      </c>
      <c r="C240" s="3">
        <f t="shared" si="5"/>
        <v>5520</v>
      </c>
      <c r="D240" s="4">
        <f t="shared" si="4"/>
        <v>253.58980434984142</v>
      </c>
      <c r="E240" s="4"/>
      <c r="F240" s="6"/>
      <c r="G240" s="3"/>
      <c r="H240" s="4"/>
      <c r="I240" s="6"/>
    </row>
    <row r="241" spans="1:9" x14ac:dyDescent="0.2">
      <c r="A241" s="31">
        <f>Winter!A244</f>
        <v>68</v>
      </c>
      <c r="B241" s="2">
        <v>236</v>
      </c>
      <c r="C241" s="3">
        <f t="shared" si="5"/>
        <v>5520</v>
      </c>
      <c r="D241" s="4">
        <f t="shared" si="4"/>
        <v>253.58980434984142</v>
      </c>
      <c r="E241" s="4"/>
      <c r="F241" s="6"/>
      <c r="G241" s="3"/>
      <c r="H241" s="4"/>
      <c r="I241" s="6"/>
    </row>
    <row r="242" spans="1:9" x14ac:dyDescent="0.2">
      <c r="A242" s="31">
        <f>Winter!A245</f>
        <v>69</v>
      </c>
      <c r="B242" s="2">
        <v>237</v>
      </c>
      <c r="C242" s="3">
        <f t="shared" si="5"/>
        <v>5796</v>
      </c>
      <c r="D242" s="4">
        <f t="shared" si="4"/>
        <v>266.26929456733347</v>
      </c>
      <c r="E242" s="4"/>
      <c r="F242" s="6"/>
      <c r="G242" s="3"/>
      <c r="H242" s="4"/>
      <c r="I242" s="6"/>
    </row>
    <row r="243" spans="1:9" x14ac:dyDescent="0.2">
      <c r="A243" s="31">
        <f>Winter!A246</f>
        <v>70</v>
      </c>
      <c r="B243" s="2">
        <v>238</v>
      </c>
      <c r="C243" s="3">
        <f t="shared" si="5"/>
        <v>5078.4000000000005</v>
      </c>
      <c r="D243" s="4">
        <f t="shared" si="4"/>
        <v>233.30262000185414</v>
      </c>
      <c r="E243" s="4"/>
      <c r="F243" s="6"/>
      <c r="G243" s="3"/>
      <c r="H243" s="4"/>
      <c r="I243" s="6"/>
    </row>
    <row r="244" spans="1:9" x14ac:dyDescent="0.2">
      <c r="A244" s="31">
        <f>Winter!A247</f>
        <v>71</v>
      </c>
      <c r="B244" s="2">
        <v>239</v>
      </c>
      <c r="C244" s="3">
        <f t="shared" si="5"/>
        <v>4360.8</v>
      </c>
      <c r="D244" s="4">
        <f t="shared" si="4"/>
        <v>200.33594543637474</v>
      </c>
      <c r="E244" s="4"/>
      <c r="F244" s="6"/>
      <c r="G244" s="3"/>
      <c r="H244" s="4"/>
      <c r="I244" s="6"/>
    </row>
    <row r="245" spans="1:9" x14ac:dyDescent="0.2">
      <c r="A245" s="31">
        <f>Winter!A248</f>
        <v>72</v>
      </c>
      <c r="B245" s="2">
        <v>240</v>
      </c>
      <c r="C245" s="3">
        <f t="shared" si="5"/>
        <v>3643.2</v>
      </c>
      <c r="D245" s="4">
        <f t="shared" si="4"/>
        <v>167.36927087089532</v>
      </c>
      <c r="E245" s="4"/>
      <c r="F245" s="6"/>
      <c r="G245" s="3"/>
      <c r="H245" s="4"/>
      <c r="I245" s="6"/>
    </row>
    <row r="246" spans="1:9" x14ac:dyDescent="0.2">
      <c r="A246" s="31">
        <f>Winter!A249</f>
        <v>73</v>
      </c>
      <c r="B246" s="2">
        <v>241</v>
      </c>
      <c r="C246" s="3">
        <f t="shared" si="5"/>
        <v>2346</v>
      </c>
      <c r="D246" s="4">
        <f t="shared" si="4"/>
        <v>107.7756668486826</v>
      </c>
      <c r="E246" s="4"/>
      <c r="F246" s="6"/>
      <c r="G246" s="3"/>
      <c r="H246" s="4"/>
      <c r="I246" s="6"/>
    </row>
    <row r="247" spans="1:9" x14ac:dyDescent="0.2">
      <c r="A247" s="31">
        <f>Winter!A250</f>
        <v>74</v>
      </c>
      <c r="B247" s="2">
        <v>242</v>
      </c>
      <c r="C247" s="3">
        <f t="shared" si="5"/>
        <v>2208</v>
      </c>
      <c r="D247" s="4">
        <f t="shared" si="4"/>
        <v>101.43592173993656</v>
      </c>
      <c r="E247" s="4"/>
      <c r="F247" s="6"/>
      <c r="G247" s="3"/>
      <c r="H247" s="4"/>
      <c r="I247" s="6"/>
    </row>
    <row r="248" spans="1:9" x14ac:dyDescent="0.2">
      <c r="A248" s="31">
        <f>Winter!A251</f>
        <v>75</v>
      </c>
      <c r="B248" s="2">
        <v>243</v>
      </c>
      <c r="C248" s="3">
        <f t="shared" si="5"/>
        <v>2346</v>
      </c>
      <c r="D248" s="4">
        <f t="shared" si="4"/>
        <v>107.7756668486826</v>
      </c>
      <c r="E248" s="4"/>
      <c r="F248" s="6"/>
      <c r="G248" s="3"/>
      <c r="H248" s="4"/>
      <c r="I248" s="6"/>
    </row>
    <row r="249" spans="1:9" x14ac:dyDescent="0.2">
      <c r="A249" s="31">
        <f>Winter!A252</f>
        <v>76</v>
      </c>
      <c r="B249" s="2">
        <v>244</v>
      </c>
      <c r="C249" s="3">
        <f t="shared" si="5"/>
        <v>2484</v>
      </c>
      <c r="D249" s="4">
        <f t="shared" si="4"/>
        <v>114.11541195742863</v>
      </c>
      <c r="E249" s="4"/>
      <c r="F249" s="6"/>
      <c r="G249" s="3"/>
      <c r="H249" s="4"/>
      <c r="I249" s="6"/>
    </row>
    <row r="250" spans="1:9" x14ac:dyDescent="0.2">
      <c r="A250" s="31">
        <f>Winter!A253</f>
        <v>77</v>
      </c>
      <c r="B250" s="2">
        <v>245</v>
      </c>
      <c r="C250" s="3">
        <f t="shared" si="5"/>
        <v>2760</v>
      </c>
      <c r="D250" s="4">
        <f t="shared" si="4"/>
        <v>126.79490217492071</v>
      </c>
      <c r="E250" s="4"/>
      <c r="F250" s="6"/>
      <c r="G250" s="3"/>
      <c r="H250" s="4"/>
      <c r="I250" s="6"/>
    </row>
    <row r="251" spans="1:9" x14ac:dyDescent="0.2">
      <c r="A251" s="31">
        <f>Winter!A254</f>
        <v>78</v>
      </c>
      <c r="B251" s="2">
        <v>246</v>
      </c>
      <c r="C251" s="3">
        <f t="shared" si="5"/>
        <v>2944</v>
      </c>
      <c r="D251" s="4">
        <f t="shared" si="4"/>
        <v>135.24789565324875</v>
      </c>
      <c r="E251" s="4"/>
      <c r="F251" s="6"/>
      <c r="G251" s="3"/>
      <c r="H251" s="4"/>
      <c r="I251" s="6"/>
    </row>
    <row r="252" spans="1:9" x14ac:dyDescent="0.2">
      <c r="A252" s="31">
        <f>Winter!A255</f>
        <v>79</v>
      </c>
      <c r="B252" s="2">
        <v>247</v>
      </c>
      <c r="C252" s="3">
        <f t="shared" si="5"/>
        <v>3127.9999999999995</v>
      </c>
      <c r="D252" s="4">
        <f t="shared" si="4"/>
        <v>143.70088913157679</v>
      </c>
      <c r="E252" s="4"/>
      <c r="F252" s="6"/>
      <c r="G252" s="3"/>
      <c r="H252" s="4"/>
      <c r="I252" s="6"/>
    </row>
    <row r="253" spans="1:9" x14ac:dyDescent="0.2">
      <c r="A253" s="31">
        <f>Winter!A256</f>
        <v>80</v>
      </c>
      <c r="B253" s="2">
        <v>248</v>
      </c>
      <c r="C253" s="3">
        <f t="shared" si="5"/>
        <v>3312</v>
      </c>
      <c r="D253" s="4">
        <f t="shared" si="4"/>
        <v>152.15388260990485</v>
      </c>
      <c r="E253" s="4"/>
      <c r="F253" s="6"/>
      <c r="G253" s="3"/>
      <c r="H253" s="4"/>
      <c r="I253" s="6"/>
    </row>
    <row r="254" spans="1:9" x14ac:dyDescent="0.2">
      <c r="A254" s="31">
        <f>Winter!A257</f>
        <v>81</v>
      </c>
      <c r="B254" s="2">
        <v>249</v>
      </c>
      <c r="C254" s="3">
        <f t="shared" si="5"/>
        <v>3495.9999999999995</v>
      </c>
      <c r="D254" s="4">
        <f t="shared" si="4"/>
        <v>160.60687608823287</v>
      </c>
      <c r="E254" s="4"/>
      <c r="F254" s="6"/>
      <c r="G254" s="3"/>
      <c r="H254" s="4"/>
      <c r="I254" s="6"/>
    </row>
    <row r="255" spans="1:9" x14ac:dyDescent="0.2">
      <c r="A255" s="31">
        <f>Winter!A258</f>
        <v>82</v>
      </c>
      <c r="B255" s="2">
        <v>250</v>
      </c>
      <c r="C255" s="3">
        <f t="shared" si="5"/>
        <v>3679.9999999999995</v>
      </c>
      <c r="D255" s="4">
        <f t="shared" si="4"/>
        <v>169.05986956656091</v>
      </c>
      <c r="E255" s="4"/>
      <c r="F255" s="6"/>
      <c r="G255" s="3"/>
      <c r="H255" s="4"/>
      <c r="I255" s="6"/>
    </row>
    <row r="256" spans="1:9" x14ac:dyDescent="0.2">
      <c r="A256" s="31">
        <f>Winter!A259</f>
        <v>83</v>
      </c>
      <c r="B256" s="2">
        <v>251</v>
      </c>
      <c r="C256" s="3">
        <f t="shared" si="5"/>
        <v>3864</v>
      </c>
      <c r="D256" s="4">
        <f t="shared" si="4"/>
        <v>177.51286304488897</v>
      </c>
      <c r="E256" s="4"/>
      <c r="F256" s="6"/>
      <c r="G256" s="3"/>
      <c r="H256" s="4"/>
      <c r="I256" s="6"/>
    </row>
    <row r="257" spans="1:9" x14ac:dyDescent="0.2">
      <c r="A257" s="31">
        <f>Winter!A260</f>
        <v>84</v>
      </c>
      <c r="B257" s="2">
        <v>252</v>
      </c>
      <c r="C257" s="3">
        <f t="shared" si="5"/>
        <v>4048</v>
      </c>
      <c r="D257" s="4">
        <f t="shared" si="4"/>
        <v>185.96585652321704</v>
      </c>
      <c r="E257" s="4"/>
      <c r="F257" s="6"/>
      <c r="G257" s="3"/>
      <c r="H257" s="4"/>
      <c r="I257" s="6"/>
    </row>
    <row r="258" spans="1:9" x14ac:dyDescent="0.2">
      <c r="A258" s="31">
        <f>Winter!A261</f>
        <v>85</v>
      </c>
      <c r="B258" s="2">
        <v>253</v>
      </c>
      <c r="C258" s="3">
        <f t="shared" si="5"/>
        <v>4231.9999999999991</v>
      </c>
      <c r="D258" s="4">
        <f t="shared" si="4"/>
        <v>194.41885000154505</v>
      </c>
      <c r="E258" s="4"/>
      <c r="F258" s="6"/>
      <c r="G258" s="3"/>
      <c r="H258" s="4"/>
      <c r="I258" s="6"/>
    </row>
    <row r="259" spans="1:9" x14ac:dyDescent="0.2">
      <c r="A259" s="31">
        <f>Winter!A262</f>
        <v>86</v>
      </c>
      <c r="B259" s="2">
        <v>254</v>
      </c>
      <c r="C259" s="3">
        <f t="shared" si="5"/>
        <v>4416</v>
      </c>
      <c r="D259" s="4">
        <f t="shared" si="4"/>
        <v>202.87184347987312</v>
      </c>
      <c r="E259" s="4"/>
      <c r="F259" s="6"/>
      <c r="G259" s="3"/>
      <c r="H259" s="4"/>
      <c r="I259" s="6"/>
    </row>
    <row r="260" spans="1:9" x14ac:dyDescent="0.2">
      <c r="A260" s="31">
        <f>Winter!A263</f>
        <v>87</v>
      </c>
      <c r="B260" s="2">
        <v>255</v>
      </c>
      <c r="C260" s="3">
        <f t="shared" si="5"/>
        <v>4278</v>
      </c>
      <c r="D260" s="4">
        <f t="shared" si="4"/>
        <v>196.53209837112709</v>
      </c>
      <c r="E260" s="4"/>
      <c r="F260" s="6"/>
      <c r="G260" s="3"/>
      <c r="H260" s="4"/>
      <c r="I260" s="6"/>
    </row>
    <row r="261" spans="1:9" x14ac:dyDescent="0.2">
      <c r="A261" s="31">
        <f>Winter!A264</f>
        <v>88</v>
      </c>
      <c r="B261" s="2">
        <v>256</v>
      </c>
      <c r="C261" s="3">
        <f t="shared" si="5"/>
        <v>4600.0000000000009</v>
      </c>
      <c r="D261" s="4">
        <f t="shared" si="4"/>
        <v>211.32483695820122</v>
      </c>
      <c r="E261" s="4"/>
      <c r="F261" s="6"/>
      <c r="G261" s="3"/>
      <c r="H261" s="4"/>
      <c r="I261" s="6"/>
    </row>
    <row r="262" spans="1:9" x14ac:dyDescent="0.2">
      <c r="A262" s="31">
        <f>Winter!A265</f>
        <v>89</v>
      </c>
      <c r="B262" s="2">
        <v>257</v>
      </c>
      <c r="C262" s="3">
        <f t="shared" si="5"/>
        <v>4922</v>
      </c>
      <c r="D262" s="4">
        <f t="shared" si="4"/>
        <v>226.11757554527526</v>
      </c>
      <c r="E262" s="4"/>
      <c r="F262" s="6"/>
      <c r="G262" s="3"/>
      <c r="H262" s="4"/>
      <c r="I262" s="6"/>
    </row>
    <row r="263" spans="1:9" x14ac:dyDescent="0.2">
      <c r="A263" s="31">
        <f>Winter!A266</f>
        <v>90</v>
      </c>
      <c r="B263" s="2">
        <v>258</v>
      </c>
      <c r="C263" s="3">
        <f t="shared" si="5"/>
        <v>5244</v>
      </c>
      <c r="D263" s="4">
        <f t="shared" ref="D263:D326" si="6">$G$3*C263*(1/$G$5-1/$G$4)</f>
        <v>240.91031413234933</v>
      </c>
      <c r="E263" s="4"/>
      <c r="F263" s="6"/>
      <c r="G263" s="3"/>
      <c r="H263" s="4"/>
      <c r="I263" s="6"/>
    </row>
    <row r="264" spans="1:9" x14ac:dyDescent="0.2">
      <c r="A264" s="31">
        <f>Winter!A267</f>
        <v>91</v>
      </c>
      <c r="B264" s="2">
        <v>259</v>
      </c>
      <c r="C264" s="3">
        <f t="shared" si="5"/>
        <v>4864.5</v>
      </c>
      <c r="D264" s="4">
        <f t="shared" si="6"/>
        <v>223.47601508329774</v>
      </c>
      <c r="E264" s="4"/>
      <c r="F264" s="6"/>
      <c r="G264" s="3"/>
      <c r="H264" s="4"/>
      <c r="I264" s="6"/>
    </row>
    <row r="265" spans="1:9" x14ac:dyDescent="0.2">
      <c r="A265" s="31">
        <f>Winter!A268</f>
        <v>92</v>
      </c>
      <c r="B265" s="2">
        <v>260</v>
      </c>
      <c r="C265" s="3">
        <f t="shared" si="5"/>
        <v>4485</v>
      </c>
      <c r="D265" s="4">
        <f t="shared" si="6"/>
        <v>206.04171603424615</v>
      </c>
      <c r="E265" s="4"/>
      <c r="F265" s="6"/>
      <c r="G265" s="3"/>
      <c r="H265" s="4"/>
      <c r="I265" s="6"/>
    </row>
    <row r="266" spans="1:9" x14ac:dyDescent="0.2">
      <c r="A266" s="31">
        <f>Winter!A269</f>
        <v>93</v>
      </c>
      <c r="B266" s="2">
        <v>261</v>
      </c>
      <c r="C266" s="3">
        <f t="shared" si="5"/>
        <v>4105.5</v>
      </c>
      <c r="D266" s="4">
        <f t="shared" si="6"/>
        <v>188.60741698519453</v>
      </c>
      <c r="E266" s="4"/>
      <c r="F266" s="6"/>
      <c r="G266" s="3"/>
      <c r="H266" s="4"/>
      <c r="I266" s="6"/>
    </row>
    <row r="267" spans="1:9" x14ac:dyDescent="0.2">
      <c r="A267" s="31">
        <f>Winter!A270</f>
        <v>94</v>
      </c>
      <c r="B267" s="2">
        <v>262</v>
      </c>
      <c r="C267" s="3">
        <f t="shared" si="5"/>
        <v>3726.0000000000005</v>
      </c>
      <c r="D267" s="4">
        <f t="shared" si="6"/>
        <v>171.17311793614297</v>
      </c>
      <c r="E267" s="4"/>
      <c r="F267" s="6"/>
      <c r="G267" s="3"/>
      <c r="H267" s="4"/>
      <c r="I267" s="6"/>
    </row>
    <row r="268" spans="1:9" x14ac:dyDescent="0.2">
      <c r="A268" s="31">
        <f>Winter!A271</f>
        <v>95</v>
      </c>
      <c r="B268" s="2">
        <v>263</v>
      </c>
      <c r="C268" s="3">
        <f t="shared" si="5"/>
        <v>3346.5000000000009</v>
      </c>
      <c r="D268" s="4">
        <f t="shared" si="6"/>
        <v>153.73881888709138</v>
      </c>
      <c r="E268" s="4"/>
      <c r="F268" s="6"/>
      <c r="G268" s="3"/>
      <c r="H268" s="4"/>
      <c r="I268" s="6"/>
    </row>
    <row r="269" spans="1:9" x14ac:dyDescent="0.2">
      <c r="A269" s="31">
        <f>Winter!A272</f>
        <v>96</v>
      </c>
      <c r="B269" s="2">
        <v>264</v>
      </c>
      <c r="C269" s="3">
        <f t="shared" si="5"/>
        <v>2760</v>
      </c>
      <c r="D269" s="4">
        <f t="shared" si="6"/>
        <v>126.79490217492071</v>
      </c>
      <c r="E269" s="4"/>
      <c r="F269" s="6"/>
      <c r="G269" s="3"/>
      <c r="H269" s="4"/>
      <c r="I269" s="6"/>
    </row>
    <row r="270" spans="1:9" x14ac:dyDescent="0.2">
      <c r="A270" s="31">
        <f>Winter!A273</f>
        <v>97</v>
      </c>
      <c r="B270" s="2">
        <v>265</v>
      </c>
      <c r="C270" s="3">
        <f t="shared" si="5"/>
        <v>2346</v>
      </c>
      <c r="D270" s="4">
        <f t="shared" si="6"/>
        <v>107.7756668486826</v>
      </c>
      <c r="E270" s="4"/>
      <c r="F270" s="6"/>
      <c r="G270" s="3"/>
      <c r="H270" s="4"/>
      <c r="I270" s="6"/>
    </row>
    <row r="271" spans="1:9" x14ac:dyDescent="0.2">
      <c r="A271" s="31">
        <f>Winter!A274</f>
        <v>98</v>
      </c>
      <c r="B271" s="2">
        <v>266</v>
      </c>
      <c r="C271" s="3">
        <f t="shared" si="5"/>
        <v>2208</v>
      </c>
      <c r="D271" s="4">
        <f t="shared" si="6"/>
        <v>101.43592173993656</v>
      </c>
      <c r="E271" s="4"/>
      <c r="F271" s="6"/>
      <c r="G271" s="3"/>
      <c r="H271" s="4"/>
      <c r="I271" s="6"/>
    </row>
    <row r="272" spans="1:9" x14ac:dyDescent="0.2">
      <c r="A272" s="31">
        <f>Winter!A275</f>
        <v>99</v>
      </c>
      <c r="B272" s="2">
        <v>267</v>
      </c>
      <c r="C272" s="3">
        <f t="shared" si="5"/>
        <v>2346</v>
      </c>
      <c r="D272" s="4">
        <f t="shared" si="6"/>
        <v>107.7756668486826</v>
      </c>
      <c r="E272" s="4"/>
      <c r="F272" s="6"/>
      <c r="G272" s="3"/>
      <c r="H272" s="4"/>
      <c r="I272" s="6"/>
    </row>
    <row r="273" spans="1:9" x14ac:dyDescent="0.2">
      <c r="A273" s="31">
        <f>Winter!A276</f>
        <v>100</v>
      </c>
      <c r="B273" s="2">
        <v>268</v>
      </c>
      <c r="C273" s="3">
        <f t="shared" si="5"/>
        <v>2484</v>
      </c>
      <c r="D273" s="4">
        <f t="shared" si="6"/>
        <v>114.11541195742863</v>
      </c>
      <c r="E273" s="4"/>
      <c r="F273" s="6"/>
      <c r="G273" s="3"/>
      <c r="H273" s="4"/>
      <c r="I273" s="6"/>
    </row>
    <row r="274" spans="1:9" x14ac:dyDescent="0.2">
      <c r="A274" s="31">
        <f>Winter!A277</f>
        <v>101</v>
      </c>
      <c r="B274" s="2">
        <v>269</v>
      </c>
      <c r="C274" s="3">
        <f t="shared" si="5"/>
        <v>2734.909090909091</v>
      </c>
      <c r="D274" s="4">
        <f t="shared" si="6"/>
        <v>125.6422212460578</v>
      </c>
      <c r="E274" s="4"/>
      <c r="F274" s="6"/>
      <c r="G274" s="3"/>
      <c r="H274" s="4"/>
      <c r="I274" s="6"/>
    </row>
    <row r="275" spans="1:9" x14ac:dyDescent="0.2">
      <c r="A275" s="31">
        <f>Winter!A278</f>
        <v>102</v>
      </c>
      <c r="B275" s="2">
        <v>270</v>
      </c>
      <c r="C275" s="3">
        <f t="shared" si="5"/>
        <v>2910.5454545454545</v>
      </c>
      <c r="D275" s="4">
        <f t="shared" si="6"/>
        <v>133.7109877480982</v>
      </c>
      <c r="E275" s="4"/>
      <c r="F275" s="6"/>
      <c r="G275" s="3"/>
      <c r="H275" s="4"/>
      <c r="I275" s="6"/>
    </row>
    <row r="276" spans="1:9" x14ac:dyDescent="0.2">
      <c r="A276" s="31">
        <f>Winter!A279</f>
        <v>103</v>
      </c>
      <c r="B276" s="2">
        <v>271</v>
      </c>
      <c r="C276" s="3">
        <f t="shared" si="5"/>
        <v>3086.181818181818</v>
      </c>
      <c r="D276" s="4">
        <f t="shared" si="6"/>
        <v>141.77975425013861</v>
      </c>
      <c r="E276" s="4"/>
      <c r="F276" s="6"/>
      <c r="G276" s="3"/>
      <c r="H276" s="4"/>
      <c r="I276" s="6"/>
    </row>
    <row r="277" spans="1:9" x14ac:dyDescent="0.2">
      <c r="A277" s="31">
        <f>Winter!A280</f>
        <v>104</v>
      </c>
      <c r="B277" s="2">
        <v>272</v>
      </c>
      <c r="C277" s="3">
        <f t="shared" si="5"/>
        <v>3261.818181818182</v>
      </c>
      <c r="D277" s="4">
        <f t="shared" si="6"/>
        <v>149.84852075217901</v>
      </c>
      <c r="E277" s="4"/>
      <c r="F277" s="6"/>
      <c r="G277" s="3"/>
      <c r="H277" s="4"/>
      <c r="I277" s="6"/>
    </row>
    <row r="278" spans="1:9" x14ac:dyDescent="0.2">
      <c r="A278" s="31">
        <f>Winter!A281</f>
        <v>105</v>
      </c>
      <c r="B278" s="2">
        <v>273</v>
      </c>
      <c r="C278" s="3">
        <f t="shared" si="5"/>
        <v>3437.454545454546</v>
      </c>
      <c r="D278" s="4">
        <f t="shared" si="6"/>
        <v>157.91728725421945</v>
      </c>
      <c r="E278" s="4"/>
      <c r="F278" s="6"/>
      <c r="G278" s="3"/>
      <c r="H278" s="4"/>
      <c r="I278" s="6"/>
    </row>
    <row r="279" spans="1:9" x14ac:dyDescent="0.2">
      <c r="A279" s="31">
        <f>Winter!A282</f>
        <v>106</v>
      </c>
      <c r="B279" s="2">
        <v>274</v>
      </c>
      <c r="C279" s="3">
        <f t="shared" si="5"/>
        <v>3613.090909090909</v>
      </c>
      <c r="D279" s="4">
        <f t="shared" si="6"/>
        <v>165.98605375625982</v>
      </c>
      <c r="E279" s="4"/>
      <c r="F279" s="6"/>
      <c r="G279" s="3"/>
      <c r="H279" s="4"/>
      <c r="I279" s="6"/>
    </row>
    <row r="280" spans="1:9" x14ac:dyDescent="0.2">
      <c r="A280" s="31">
        <f>Winter!A283</f>
        <v>107</v>
      </c>
      <c r="B280" s="2">
        <v>275</v>
      </c>
      <c r="C280" s="3">
        <f t="shared" si="5"/>
        <v>3788.7272727272725</v>
      </c>
      <c r="D280" s="4">
        <f t="shared" si="6"/>
        <v>174.05482025830023</v>
      </c>
      <c r="E280" s="4"/>
      <c r="F280" s="6"/>
      <c r="G280" s="3"/>
      <c r="H280" s="4"/>
      <c r="I280" s="6"/>
    </row>
    <row r="281" spans="1:9" x14ac:dyDescent="0.2">
      <c r="A281" s="31">
        <f>Winter!A284</f>
        <v>108</v>
      </c>
      <c r="B281" s="2">
        <v>276</v>
      </c>
      <c r="C281" s="3">
        <f t="shared" si="5"/>
        <v>3964.3636363636369</v>
      </c>
      <c r="D281" s="4">
        <f t="shared" si="6"/>
        <v>182.12358676034069</v>
      </c>
      <c r="E281" s="4"/>
      <c r="F281" s="6"/>
      <c r="G281" s="3"/>
      <c r="H281" s="4"/>
      <c r="I281" s="6"/>
    </row>
    <row r="282" spans="1:9" x14ac:dyDescent="0.2">
      <c r="A282" s="31">
        <f>Winter!A285</f>
        <v>109</v>
      </c>
      <c r="B282" s="2">
        <v>277</v>
      </c>
      <c r="C282" s="3">
        <f t="shared" si="5"/>
        <v>4140.0000000000009</v>
      </c>
      <c r="D282" s="4">
        <f t="shared" si="6"/>
        <v>190.19235326238109</v>
      </c>
      <c r="E282" s="4"/>
      <c r="F282" s="6"/>
      <c r="G282" s="3"/>
      <c r="H282" s="4"/>
      <c r="I282" s="6"/>
    </row>
    <row r="283" spans="1:9" x14ac:dyDescent="0.2">
      <c r="A283" s="31">
        <f>Winter!A286</f>
        <v>110</v>
      </c>
      <c r="B283" s="2">
        <v>278</v>
      </c>
      <c r="C283" s="3">
        <f t="shared" si="5"/>
        <v>4061.1428571428573</v>
      </c>
      <c r="D283" s="4">
        <f t="shared" si="6"/>
        <v>186.56964177166904</v>
      </c>
      <c r="E283" s="4"/>
      <c r="F283" s="6"/>
      <c r="G283" s="3"/>
      <c r="H283" s="4"/>
      <c r="I283" s="6"/>
    </row>
    <row r="284" spans="1:9" x14ac:dyDescent="0.2">
      <c r="A284" s="31">
        <f>Winter!A287</f>
        <v>111</v>
      </c>
      <c r="B284" s="2">
        <v>279</v>
      </c>
      <c r="C284" s="3">
        <f t="shared" si="5"/>
        <v>3982.2857142857151</v>
      </c>
      <c r="D284" s="4">
        <f t="shared" si="6"/>
        <v>182.94693028095705</v>
      </c>
      <c r="E284" s="4"/>
      <c r="F284" s="6"/>
      <c r="G284" s="3"/>
      <c r="H284" s="4"/>
      <c r="I284" s="6"/>
    </row>
    <row r="285" spans="1:9" x14ac:dyDescent="0.2">
      <c r="A285" s="31">
        <f>Winter!A288</f>
        <v>112</v>
      </c>
      <c r="B285" s="2">
        <v>280</v>
      </c>
      <c r="C285" s="3">
        <f t="shared" si="5"/>
        <v>3903.428571428572</v>
      </c>
      <c r="D285" s="4">
        <f t="shared" si="6"/>
        <v>179.32421879024503</v>
      </c>
      <c r="E285" s="4"/>
      <c r="F285" s="6"/>
      <c r="G285" s="3"/>
      <c r="H285" s="4"/>
      <c r="I285" s="6"/>
    </row>
    <row r="286" spans="1:9" x14ac:dyDescent="0.2">
      <c r="A286" s="31">
        <f>Winter!A289</f>
        <v>113</v>
      </c>
      <c r="B286" s="2">
        <v>281</v>
      </c>
      <c r="C286" s="3">
        <f t="shared" si="5"/>
        <v>3824.5714285714289</v>
      </c>
      <c r="D286" s="4">
        <f t="shared" si="6"/>
        <v>175.70150729953301</v>
      </c>
      <c r="E286" s="4"/>
      <c r="F286" s="6"/>
      <c r="G286" s="3"/>
      <c r="H286" s="4"/>
      <c r="I286" s="6"/>
    </row>
    <row r="287" spans="1:9" x14ac:dyDescent="0.2">
      <c r="A287" s="31">
        <f>Winter!A290</f>
        <v>114</v>
      </c>
      <c r="B287" s="2">
        <v>282</v>
      </c>
      <c r="C287" s="3">
        <f t="shared" si="5"/>
        <v>3745.7142857142858</v>
      </c>
      <c r="D287" s="4">
        <f t="shared" si="6"/>
        <v>172.07879580882096</v>
      </c>
      <c r="E287" s="4"/>
      <c r="F287" s="6"/>
      <c r="G287" s="3"/>
      <c r="H287" s="4"/>
      <c r="I287" s="6"/>
    </row>
    <row r="288" spans="1:9" x14ac:dyDescent="0.2">
      <c r="A288" s="31">
        <f>Winter!A291</f>
        <v>115</v>
      </c>
      <c r="B288" s="2">
        <v>283</v>
      </c>
      <c r="C288" s="3">
        <f t="shared" si="5"/>
        <v>3666.8571428571431</v>
      </c>
      <c r="D288" s="4">
        <f t="shared" si="6"/>
        <v>168.45608431810896</v>
      </c>
      <c r="E288" s="4"/>
      <c r="F288" s="6"/>
      <c r="G288" s="3"/>
      <c r="H288" s="4"/>
      <c r="I288" s="6"/>
    </row>
    <row r="289" spans="1:9" x14ac:dyDescent="0.2">
      <c r="A289" s="31">
        <f>Winter!A292</f>
        <v>116</v>
      </c>
      <c r="B289" s="2">
        <v>284</v>
      </c>
      <c r="C289" s="3">
        <f t="shared" si="5"/>
        <v>3588</v>
      </c>
      <c r="D289" s="4">
        <f t="shared" si="6"/>
        <v>164.83337282739691</v>
      </c>
      <c r="E289" s="4"/>
      <c r="F289" s="6"/>
      <c r="G289" s="3"/>
      <c r="H289" s="4"/>
      <c r="I289" s="6"/>
    </row>
    <row r="290" spans="1:9" x14ac:dyDescent="0.2">
      <c r="A290" s="31">
        <f>Winter!A293</f>
        <v>117</v>
      </c>
      <c r="B290" s="2">
        <v>285</v>
      </c>
      <c r="C290" s="3">
        <f t="shared" si="5"/>
        <v>3864</v>
      </c>
      <c r="D290" s="4">
        <f t="shared" si="6"/>
        <v>177.51286304488897</v>
      </c>
      <c r="E290" s="4"/>
      <c r="F290" s="6"/>
      <c r="G290" s="3"/>
      <c r="H290" s="4"/>
      <c r="I290" s="6"/>
    </row>
    <row r="291" spans="1:9" x14ac:dyDescent="0.2">
      <c r="A291" s="31">
        <f>Winter!A294</f>
        <v>118</v>
      </c>
      <c r="B291" s="2">
        <v>286</v>
      </c>
      <c r="C291" s="3">
        <f t="shared" si="5"/>
        <v>3449.9999999999995</v>
      </c>
      <c r="D291" s="4">
        <f t="shared" si="6"/>
        <v>158.49362771865086</v>
      </c>
      <c r="E291" s="4"/>
      <c r="F291" s="6"/>
      <c r="G291" s="3"/>
      <c r="H291" s="4"/>
      <c r="I291" s="6"/>
    </row>
    <row r="292" spans="1:9" x14ac:dyDescent="0.2">
      <c r="A292" s="31">
        <f>Winter!A295</f>
        <v>119</v>
      </c>
      <c r="B292" s="2">
        <v>287</v>
      </c>
      <c r="C292" s="3">
        <f t="shared" si="5"/>
        <v>3036</v>
      </c>
      <c r="D292" s="4">
        <f t="shared" si="6"/>
        <v>139.47439239241277</v>
      </c>
      <c r="E292" s="4"/>
      <c r="F292" s="6"/>
      <c r="G292" s="3"/>
      <c r="H292" s="4"/>
      <c r="I292" s="6"/>
    </row>
    <row r="293" spans="1:9" x14ac:dyDescent="0.2">
      <c r="A293" s="31">
        <f>Winter!A296</f>
        <v>120</v>
      </c>
      <c r="B293" s="2">
        <v>288</v>
      </c>
      <c r="C293" s="3">
        <f t="shared" si="5"/>
        <v>2622</v>
      </c>
      <c r="D293" s="4">
        <f t="shared" si="6"/>
        <v>120.45515706617466</v>
      </c>
      <c r="E293" s="4"/>
      <c r="F293" s="6"/>
      <c r="G293" s="3"/>
      <c r="H293" s="4"/>
      <c r="I293" s="6"/>
    </row>
    <row r="294" spans="1:9" x14ac:dyDescent="0.2">
      <c r="A294" s="31">
        <f>Winter!A297</f>
        <v>121</v>
      </c>
      <c r="B294" s="2">
        <v>289</v>
      </c>
      <c r="C294" s="3">
        <f t="shared" si="5"/>
        <v>2208</v>
      </c>
      <c r="D294" s="4">
        <f t="shared" si="6"/>
        <v>101.43592173993656</v>
      </c>
      <c r="E294" s="4"/>
      <c r="F294" s="6"/>
      <c r="G294" s="3"/>
      <c r="H294" s="4"/>
      <c r="I294" s="6"/>
    </row>
    <row r="295" spans="1:9" x14ac:dyDescent="0.2">
      <c r="A295" s="31">
        <f>Winter!A298</f>
        <v>122</v>
      </c>
      <c r="B295" s="2">
        <v>290</v>
      </c>
      <c r="C295" s="3">
        <f t="shared" si="5"/>
        <v>2208</v>
      </c>
      <c r="D295" s="4">
        <f t="shared" si="6"/>
        <v>101.43592173993656</v>
      </c>
      <c r="E295" s="4"/>
      <c r="F295" s="6"/>
      <c r="G295" s="3"/>
      <c r="H295" s="4"/>
      <c r="I295" s="6"/>
    </row>
    <row r="296" spans="1:9" x14ac:dyDescent="0.2">
      <c r="A296" s="31">
        <f>Winter!A299</f>
        <v>123</v>
      </c>
      <c r="B296" s="2">
        <v>291</v>
      </c>
      <c r="C296" s="3">
        <f t="shared" si="5"/>
        <v>2365.7142857142862</v>
      </c>
      <c r="D296" s="4">
        <f t="shared" si="6"/>
        <v>108.68134472136062</v>
      </c>
      <c r="E296" s="4"/>
      <c r="F296" s="6"/>
      <c r="G296" s="3"/>
      <c r="H296" s="4"/>
      <c r="I296" s="6"/>
    </row>
    <row r="297" spans="1:9" x14ac:dyDescent="0.2">
      <c r="A297" s="31">
        <f>Winter!A300</f>
        <v>124</v>
      </c>
      <c r="B297" s="2">
        <v>292</v>
      </c>
      <c r="C297" s="3">
        <f t="shared" si="5"/>
        <v>2523.4285714285716</v>
      </c>
      <c r="D297" s="4">
        <f t="shared" si="6"/>
        <v>115.92676770278464</v>
      </c>
      <c r="E297" s="4"/>
      <c r="F297" s="6"/>
      <c r="G297" s="3"/>
      <c r="H297" s="4"/>
      <c r="I297" s="6"/>
    </row>
    <row r="298" spans="1:9" x14ac:dyDescent="0.2">
      <c r="A298" s="31">
        <f>Winter!A301</f>
        <v>125</v>
      </c>
      <c r="B298" s="2">
        <v>293</v>
      </c>
      <c r="C298" s="3">
        <f t="shared" si="5"/>
        <v>2681.1428571428573</v>
      </c>
      <c r="D298" s="4">
        <f t="shared" si="6"/>
        <v>123.17219068420869</v>
      </c>
      <c r="E298" s="4"/>
      <c r="F298" s="6"/>
      <c r="G298" s="3"/>
      <c r="H298" s="4"/>
      <c r="I298" s="6"/>
    </row>
    <row r="299" spans="1:9" x14ac:dyDescent="0.2">
      <c r="A299" s="31">
        <f>Winter!A302</f>
        <v>126</v>
      </c>
      <c r="B299" s="2">
        <v>294</v>
      </c>
      <c r="C299" s="3">
        <f t="shared" si="5"/>
        <v>2838.8571428571436</v>
      </c>
      <c r="D299" s="4">
        <f t="shared" si="6"/>
        <v>130.41761366563276</v>
      </c>
      <c r="E299" s="4"/>
      <c r="F299" s="6"/>
      <c r="G299" s="3"/>
      <c r="H299" s="4"/>
      <c r="I299" s="6"/>
    </row>
    <row r="300" spans="1:9" x14ac:dyDescent="0.2">
      <c r="A300" s="31">
        <f>Winter!A303</f>
        <v>127</v>
      </c>
      <c r="B300" s="2">
        <v>295</v>
      </c>
      <c r="C300" s="3">
        <f t="shared" si="5"/>
        <v>2996.5714285714289</v>
      </c>
      <c r="D300" s="4">
        <f t="shared" si="6"/>
        <v>137.66303664705677</v>
      </c>
      <c r="E300" s="4"/>
      <c r="F300" s="6"/>
      <c r="G300" s="3"/>
      <c r="H300" s="4"/>
      <c r="I300" s="6"/>
    </row>
    <row r="301" spans="1:9" x14ac:dyDescent="0.2">
      <c r="A301" s="31">
        <f>Winter!A304</f>
        <v>128</v>
      </c>
      <c r="B301" s="2">
        <v>296</v>
      </c>
      <c r="C301" s="3">
        <f t="shared" si="5"/>
        <v>3154.2857142857147</v>
      </c>
      <c r="D301" s="4">
        <f t="shared" si="6"/>
        <v>144.90845962848081</v>
      </c>
      <c r="E301" s="4"/>
      <c r="F301" s="6"/>
      <c r="G301" s="3"/>
      <c r="H301" s="4"/>
      <c r="I301" s="6"/>
    </row>
    <row r="302" spans="1:9" x14ac:dyDescent="0.2">
      <c r="A302" s="31">
        <f>Winter!A305</f>
        <v>129</v>
      </c>
      <c r="B302" s="2">
        <v>297</v>
      </c>
      <c r="C302" s="3">
        <f t="shared" si="5"/>
        <v>3312.0000000000005</v>
      </c>
      <c r="D302" s="4">
        <f t="shared" si="6"/>
        <v>152.15388260990485</v>
      </c>
      <c r="E302" s="4"/>
      <c r="F302" s="6"/>
      <c r="G302" s="3"/>
      <c r="H302" s="4"/>
      <c r="I302" s="6"/>
    </row>
    <row r="303" spans="1:9" x14ac:dyDescent="0.2">
      <c r="A303" s="31">
        <f>Winter!A306</f>
        <v>130</v>
      </c>
      <c r="B303" s="2">
        <v>298</v>
      </c>
      <c r="C303" s="3">
        <f t="shared" ref="C303:C341" si="7">C135</f>
        <v>3469.7142857142862</v>
      </c>
      <c r="D303" s="4">
        <f t="shared" si="6"/>
        <v>159.3993055913289</v>
      </c>
      <c r="E303" s="4"/>
      <c r="F303" s="6"/>
      <c r="G303" s="3"/>
      <c r="H303" s="4"/>
      <c r="I303" s="6"/>
    </row>
    <row r="304" spans="1:9" x14ac:dyDescent="0.2">
      <c r="A304" s="31">
        <f>Winter!A307</f>
        <v>131</v>
      </c>
      <c r="B304" s="2">
        <v>299</v>
      </c>
      <c r="C304" s="3">
        <f t="shared" si="7"/>
        <v>3627.428571428572</v>
      </c>
      <c r="D304" s="4">
        <f t="shared" si="6"/>
        <v>166.64472857275294</v>
      </c>
      <c r="E304" s="4"/>
      <c r="F304" s="6"/>
      <c r="G304" s="3"/>
      <c r="H304" s="4"/>
      <c r="I304" s="6"/>
    </row>
    <row r="305" spans="1:9" x14ac:dyDescent="0.2">
      <c r="A305" s="31">
        <f>Winter!A308</f>
        <v>132</v>
      </c>
      <c r="B305" s="2">
        <v>300</v>
      </c>
      <c r="C305" s="3">
        <f t="shared" si="7"/>
        <v>3785.1428571428582</v>
      </c>
      <c r="D305" s="4">
        <f t="shared" si="6"/>
        <v>173.89015155417704</v>
      </c>
      <c r="E305" s="4"/>
      <c r="F305" s="6"/>
      <c r="G305" s="3"/>
      <c r="H305" s="4"/>
      <c r="I305" s="6"/>
    </row>
    <row r="306" spans="1:9" x14ac:dyDescent="0.2">
      <c r="A306" s="31">
        <f>Winter!A309</f>
        <v>133</v>
      </c>
      <c r="B306" s="2">
        <v>301</v>
      </c>
      <c r="C306" s="3">
        <f t="shared" si="7"/>
        <v>3864</v>
      </c>
      <c r="D306" s="4">
        <f t="shared" si="6"/>
        <v>177.51286304488897</v>
      </c>
      <c r="E306" s="4"/>
      <c r="F306" s="6"/>
      <c r="G306" s="3"/>
      <c r="H306" s="4"/>
      <c r="I306" s="6"/>
    </row>
    <row r="307" spans="1:9" x14ac:dyDescent="0.2">
      <c r="A307" s="31">
        <f>Winter!A310</f>
        <v>134</v>
      </c>
      <c r="B307" s="2">
        <v>302</v>
      </c>
      <c r="C307" s="3">
        <f t="shared" si="7"/>
        <v>3864</v>
      </c>
      <c r="D307" s="4">
        <f t="shared" si="6"/>
        <v>177.51286304488897</v>
      </c>
      <c r="E307" s="4"/>
      <c r="F307" s="6"/>
      <c r="G307" s="3"/>
      <c r="H307" s="4"/>
      <c r="I307" s="6"/>
    </row>
    <row r="308" spans="1:9" x14ac:dyDescent="0.2">
      <c r="A308" s="31">
        <f>Winter!A311</f>
        <v>135</v>
      </c>
      <c r="B308" s="2">
        <v>303</v>
      </c>
      <c r="C308" s="3">
        <f t="shared" si="7"/>
        <v>4258.2857142857147</v>
      </c>
      <c r="D308" s="4">
        <f t="shared" si="6"/>
        <v>195.62642049844908</v>
      </c>
      <c r="E308" s="4"/>
      <c r="F308" s="6"/>
      <c r="G308" s="3"/>
      <c r="H308" s="4"/>
      <c r="I308" s="6"/>
    </row>
    <row r="309" spans="1:9" x14ac:dyDescent="0.2">
      <c r="A309" s="31">
        <f>Winter!A312</f>
        <v>136</v>
      </c>
      <c r="B309" s="2">
        <v>304</v>
      </c>
      <c r="C309" s="3">
        <f t="shared" si="7"/>
        <v>4416</v>
      </c>
      <c r="D309" s="4">
        <f t="shared" si="6"/>
        <v>202.87184347987312</v>
      </c>
      <c r="E309" s="4"/>
      <c r="F309" s="6"/>
      <c r="G309" s="3"/>
      <c r="H309" s="4"/>
      <c r="I309" s="6"/>
    </row>
    <row r="310" spans="1:9" x14ac:dyDescent="0.2">
      <c r="A310" s="31">
        <f>Winter!A313</f>
        <v>137</v>
      </c>
      <c r="B310" s="2">
        <v>305</v>
      </c>
      <c r="C310" s="3">
        <f t="shared" si="7"/>
        <v>4195.2</v>
      </c>
      <c r="D310" s="4">
        <f t="shared" si="6"/>
        <v>192.72825130587944</v>
      </c>
      <c r="E310" s="4"/>
      <c r="F310" s="6"/>
      <c r="G310" s="3"/>
      <c r="H310" s="4"/>
      <c r="I310" s="6"/>
    </row>
    <row r="311" spans="1:9" x14ac:dyDescent="0.2">
      <c r="A311" s="31">
        <f>Winter!A314</f>
        <v>138</v>
      </c>
      <c r="B311" s="2">
        <v>306</v>
      </c>
      <c r="C311" s="3">
        <f t="shared" si="7"/>
        <v>3974.4</v>
      </c>
      <c r="D311" s="4">
        <f t="shared" si="6"/>
        <v>182.58465913188581</v>
      </c>
      <c r="E311" s="4"/>
      <c r="F311" s="6"/>
      <c r="G311" s="3"/>
      <c r="H311" s="4"/>
      <c r="I311" s="6"/>
    </row>
    <row r="312" spans="1:9" x14ac:dyDescent="0.2">
      <c r="A312" s="31">
        <f>Winter!A315</f>
        <v>139</v>
      </c>
      <c r="B312" s="2">
        <v>307</v>
      </c>
      <c r="C312" s="3">
        <f t="shared" si="7"/>
        <v>3864</v>
      </c>
      <c r="D312" s="4">
        <f t="shared" si="6"/>
        <v>177.51286304488897</v>
      </c>
      <c r="E312" s="4"/>
      <c r="F312" s="6"/>
      <c r="G312" s="3"/>
      <c r="H312" s="4"/>
      <c r="I312" s="6"/>
    </row>
    <row r="313" spans="1:9" x14ac:dyDescent="0.2">
      <c r="A313" s="31">
        <f>Winter!A316</f>
        <v>140</v>
      </c>
      <c r="B313" s="2">
        <v>308</v>
      </c>
      <c r="C313" s="3">
        <f t="shared" si="7"/>
        <v>3532.7999999999993</v>
      </c>
      <c r="D313" s="4">
        <f t="shared" si="6"/>
        <v>162.29747478389848</v>
      </c>
      <c r="E313" s="4"/>
      <c r="F313" s="6"/>
      <c r="G313" s="3"/>
      <c r="H313" s="4"/>
      <c r="I313" s="6"/>
    </row>
    <row r="314" spans="1:9" x14ac:dyDescent="0.2">
      <c r="A314" s="31">
        <f>Winter!A317</f>
        <v>141</v>
      </c>
      <c r="B314" s="2">
        <v>309</v>
      </c>
      <c r="C314" s="3">
        <f t="shared" si="7"/>
        <v>3311.9999999999995</v>
      </c>
      <c r="D314" s="4">
        <f t="shared" si="6"/>
        <v>152.15388260990483</v>
      </c>
      <c r="E314" s="4"/>
      <c r="F314" s="6"/>
      <c r="G314" s="3"/>
      <c r="H314" s="4"/>
      <c r="I314" s="6"/>
    </row>
    <row r="315" spans="1:9" x14ac:dyDescent="0.2">
      <c r="A315" s="31">
        <f>Winter!A318</f>
        <v>142</v>
      </c>
      <c r="B315" s="2">
        <v>310</v>
      </c>
      <c r="C315" s="3">
        <f t="shared" si="7"/>
        <v>3091.2</v>
      </c>
      <c r="D315" s="4">
        <f t="shared" si="6"/>
        <v>142.01029043591117</v>
      </c>
      <c r="E315" s="4"/>
      <c r="F315" s="6"/>
      <c r="G315" s="3"/>
      <c r="H315" s="4"/>
      <c r="I315" s="6"/>
    </row>
    <row r="316" spans="1:9" x14ac:dyDescent="0.2">
      <c r="A316" s="31">
        <f>Winter!A319</f>
        <v>143</v>
      </c>
      <c r="B316" s="2">
        <v>311</v>
      </c>
      <c r="C316" s="3">
        <f t="shared" si="7"/>
        <v>2484</v>
      </c>
      <c r="D316" s="4">
        <f t="shared" si="6"/>
        <v>114.11541195742863</v>
      </c>
      <c r="E316" s="4"/>
      <c r="F316" s="6"/>
      <c r="G316" s="3"/>
      <c r="H316" s="4"/>
      <c r="I316" s="6"/>
    </row>
    <row r="317" spans="1:9" x14ac:dyDescent="0.2">
      <c r="A317" s="31">
        <f>Winter!A320</f>
        <v>144</v>
      </c>
      <c r="B317" s="2">
        <v>312</v>
      </c>
      <c r="C317" s="3">
        <f t="shared" si="7"/>
        <v>2346</v>
      </c>
      <c r="D317" s="4">
        <f t="shared" si="6"/>
        <v>107.7756668486826</v>
      </c>
      <c r="E317" s="4"/>
      <c r="F317" s="6"/>
      <c r="G317" s="3"/>
      <c r="H317" s="4"/>
      <c r="I317" s="6"/>
    </row>
    <row r="318" spans="1:9" x14ac:dyDescent="0.2">
      <c r="A318" s="31">
        <f>Winter!A321</f>
        <v>145</v>
      </c>
      <c r="B318" s="2">
        <v>313</v>
      </c>
      <c r="C318" s="3">
        <f t="shared" si="7"/>
        <v>2208</v>
      </c>
      <c r="D318" s="4">
        <f t="shared" si="6"/>
        <v>101.43592173993656</v>
      </c>
      <c r="E318" s="4"/>
      <c r="F318" s="6"/>
      <c r="G318" s="3"/>
      <c r="H318" s="4"/>
      <c r="I318" s="6"/>
    </row>
    <row r="319" spans="1:9" x14ac:dyDescent="0.2">
      <c r="A319" s="31">
        <f>Winter!A322</f>
        <v>146</v>
      </c>
      <c r="B319" s="2">
        <v>314</v>
      </c>
      <c r="C319" s="3">
        <f t="shared" si="7"/>
        <v>2208</v>
      </c>
      <c r="D319" s="4">
        <f t="shared" si="6"/>
        <v>101.43592173993656</v>
      </c>
      <c r="E319" s="4"/>
      <c r="F319" s="6"/>
      <c r="G319" s="3"/>
      <c r="H319" s="4"/>
      <c r="I319" s="6"/>
    </row>
    <row r="320" spans="1:9" x14ac:dyDescent="0.2">
      <c r="A320" s="31">
        <f>Winter!A323</f>
        <v>147</v>
      </c>
      <c r="B320" s="2">
        <v>315</v>
      </c>
      <c r="C320" s="3">
        <f t="shared" si="7"/>
        <v>2346.0000000000005</v>
      </c>
      <c r="D320" s="4">
        <f t="shared" si="6"/>
        <v>107.77566684868262</v>
      </c>
      <c r="E320" s="4"/>
      <c r="F320" s="6"/>
      <c r="G320" s="3"/>
      <c r="H320" s="4"/>
      <c r="I320" s="6"/>
    </row>
    <row r="321" spans="1:9" x14ac:dyDescent="0.2">
      <c r="A321" s="31">
        <f>Winter!A324</f>
        <v>148</v>
      </c>
      <c r="B321" s="2">
        <v>316</v>
      </c>
      <c r="C321" s="3">
        <f t="shared" si="7"/>
        <v>2484</v>
      </c>
      <c r="D321" s="4">
        <f t="shared" si="6"/>
        <v>114.11541195742863</v>
      </c>
      <c r="E321" s="4"/>
      <c r="F321" s="6"/>
      <c r="G321" s="3"/>
      <c r="H321" s="4"/>
      <c r="I321" s="6"/>
    </row>
    <row r="322" spans="1:9" x14ac:dyDescent="0.2">
      <c r="A322" s="31">
        <f>Winter!A325</f>
        <v>149</v>
      </c>
      <c r="B322" s="2">
        <v>317</v>
      </c>
      <c r="C322" s="3">
        <f t="shared" si="7"/>
        <v>2622</v>
      </c>
      <c r="D322" s="4">
        <f t="shared" si="6"/>
        <v>120.45515706617466</v>
      </c>
      <c r="E322" s="4"/>
      <c r="F322" s="6"/>
      <c r="G322" s="3"/>
      <c r="H322" s="4"/>
      <c r="I322" s="6"/>
    </row>
    <row r="323" spans="1:9" x14ac:dyDescent="0.2">
      <c r="A323" s="31">
        <f>Winter!A326</f>
        <v>150</v>
      </c>
      <c r="B323" s="2">
        <v>318</v>
      </c>
      <c r="C323" s="3">
        <f t="shared" si="7"/>
        <v>2760</v>
      </c>
      <c r="D323" s="4">
        <f t="shared" si="6"/>
        <v>126.79490217492071</v>
      </c>
      <c r="E323" s="4"/>
      <c r="F323" s="6"/>
      <c r="G323" s="3"/>
      <c r="H323" s="4"/>
      <c r="I323" s="6"/>
    </row>
    <row r="324" spans="1:9" x14ac:dyDescent="0.2">
      <c r="A324" s="31">
        <f>Winter!A327</f>
        <v>151</v>
      </c>
      <c r="B324" s="2">
        <v>319</v>
      </c>
      <c r="C324" s="3">
        <f t="shared" si="7"/>
        <v>2898</v>
      </c>
      <c r="D324" s="4">
        <f t="shared" si="6"/>
        <v>133.13464728366674</v>
      </c>
      <c r="E324" s="4"/>
      <c r="F324" s="6"/>
      <c r="G324" s="3"/>
      <c r="H324" s="4"/>
      <c r="I324" s="6"/>
    </row>
    <row r="325" spans="1:9" x14ac:dyDescent="0.2">
      <c r="A325" s="31">
        <f>Winter!A328</f>
        <v>152</v>
      </c>
      <c r="B325" s="2">
        <v>320</v>
      </c>
      <c r="C325" s="3">
        <f t="shared" si="7"/>
        <v>3036</v>
      </c>
      <c r="D325" s="4">
        <f t="shared" si="6"/>
        <v>139.47439239241277</v>
      </c>
      <c r="E325" s="4"/>
      <c r="F325" s="6"/>
      <c r="G325" s="3"/>
      <c r="H325" s="4"/>
      <c r="I325" s="6"/>
    </row>
    <row r="326" spans="1:9" x14ac:dyDescent="0.2">
      <c r="A326" s="31">
        <f>Winter!A329</f>
        <v>153</v>
      </c>
      <c r="B326" s="2">
        <v>321</v>
      </c>
      <c r="C326" s="3">
        <f t="shared" si="7"/>
        <v>3174.0000000000005</v>
      </c>
      <c r="D326" s="4">
        <f t="shared" si="6"/>
        <v>145.81413750115883</v>
      </c>
      <c r="E326" s="4"/>
      <c r="F326" s="6"/>
      <c r="G326" s="3"/>
      <c r="H326" s="4"/>
      <c r="I326" s="6"/>
    </row>
    <row r="327" spans="1:9" x14ac:dyDescent="0.2">
      <c r="A327" s="31">
        <f>Winter!A330</f>
        <v>154</v>
      </c>
      <c r="B327" s="2">
        <v>322</v>
      </c>
      <c r="C327" s="3">
        <f t="shared" si="7"/>
        <v>3312.0000000000005</v>
      </c>
      <c r="D327" s="4">
        <f t="shared" ref="D327:D390" si="8">$G$3*C327*(1/$G$5-1/$G$4)</f>
        <v>152.15388260990485</v>
      </c>
      <c r="E327" s="4"/>
      <c r="F327" s="6"/>
      <c r="G327" s="3"/>
      <c r="H327" s="4"/>
      <c r="I327" s="6"/>
    </row>
    <row r="328" spans="1:9" x14ac:dyDescent="0.2">
      <c r="A328" s="31">
        <f>Winter!A331</f>
        <v>155</v>
      </c>
      <c r="B328" s="2">
        <v>323</v>
      </c>
      <c r="C328" s="3">
        <f t="shared" si="7"/>
        <v>3450.0000000000005</v>
      </c>
      <c r="D328" s="4">
        <f t="shared" si="8"/>
        <v>158.49362771865091</v>
      </c>
      <c r="E328" s="4"/>
      <c r="F328" s="6"/>
      <c r="G328" s="3"/>
      <c r="H328" s="4"/>
      <c r="I328" s="6"/>
    </row>
    <row r="329" spans="1:9" x14ac:dyDescent="0.2">
      <c r="A329" s="31">
        <f>Winter!A332</f>
        <v>156</v>
      </c>
      <c r="B329" s="2">
        <v>324</v>
      </c>
      <c r="C329" s="3">
        <f t="shared" si="7"/>
        <v>3588.0000000000009</v>
      </c>
      <c r="D329" s="4">
        <f t="shared" si="8"/>
        <v>164.83337282739694</v>
      </c>
      <c r="E329" s="4"/>
      <c r="F329" s="6"/>
      <c r="G329" s="3"/>
      <c r="H329" s="4"/>
      <c r="I329" s="6"/>
    </row>
    <row r="330" spans="1:9" x14ac:dyDescent="0.2">
      <c r="A330" s="31">
        <f>Winter!A333</f>
        <v>157</v>
      </c>
      <c r="B330" s="2">
        <v>325</v>
      </c>
      <c r="C330" s="3">
        <f t="shared" si="7"/>
        <v>3726.0000000000009</v>
      </c>
      <c r="D330" s="4">
        <f t="shared" si="8"/>
        <v>171.173117936143</v>
      </c>
      <c r="E330" s="4"/>
      <c r="F330" s="6"/>
      <c r="G330" s="3"/>
      <c r="H330" s="4"/>
      <c r="I330" s="6"/>
    </row>
    <row r="331" spans="1:9" x14ac:dyDescent="0.2">
      <c r="A331" s="31">
        <f>Winter!A334</f>
        <v>158</v>
      </c>
      <c r="B331" s="2">
        <v>326</v>
      </c>
      <c r="C331" s="3">
        <f t="shared" si="7"/>
        <v>3864.0000000000014</v>
      </c>
      <c r="D331" s="4">
        <f t="shared" si="8"/>
        <v>177.51286304488906</v>
      </c>
      <c r="E331" s="4"/>
      <c r="F331" s="6"/>
      <c r="G331" s="3"/>
      <c r="H331" s="4"/>
      <c r="I331" s="6"/>
    </row>
    <row r="332" spans="1:9" x14ac:dyDescent="0.2">
      <c r="A332" s="31">
        <f>Winter!A335</f>
        <v>159</v>
      </c>
      <c r="B332" s="2">
        <v>327</v>
      </c>
      <c r="C332" s="3">
        <f t="shared" si="7"/>
        <v>3726.0000000000005</v>
      </c>
      <c r="D332" s="4">
        <f t="shared" si="8"/>
        <v>171.17311793614297</v>
      </c>
      <c r="E332" s="4"/>
      <c r="F332" s="6"/>
      <c r="G332" s="3"/>
      <c r="H332" s="4"/>
      <c r="I332" s="6"/>
    </row>
    <row r="333" spans="1:9" x14ac:dyDescent="0.2">
      <c r="A333" s="31">
        <f>Winter!A336</f>
        <v>160</v>
      </c>
      <c r="B333" s="2">
        <v>328</v>
      </c>
      <c r="C333" s="3">
        <f t="shared" si="7"/>
        <v>3864</v>
      </c>
      <c r="D333" s="4">
        <f t="shared" si="8"/>
        <v>177.51286304488897</v>
      </c>
      <c r="E333" s="4"/>
      <c r="F333" s="6"/>
      <c r="G333" s="3"/>
      <c r="H333" s="4"/>
      <c r="I333" s="6"/>
    </row>
    <row r="334" spans="1:9" x14ac:dyDescent="0.2">
      <c r="A334" s="31">
        <f>Winter!A337</f>
        <v>161</v>
      </c>
      <c r="B334" s="2">
        <v>329</v>
      </c>
      <c r="C334" s="3">
        <f t="shared" si="7"/>
        <v>4416</v>
      </c>
      <c r="D334" s="4">
        <f t="shared" si="8"/>
        <v>202.87184347987312</v>
      </c>
      <c r="E334" s="4"/>
      <c r="F334" s="6"/>
      <c r="G334" s="3"/>
      <c r="H334" s="4"/>
      <c r="I334" s="6"/>
    </row>
    <row r="335" spans="1:9" x14ac:dyDescent="0.2">
      <c r="A335" s="31">
        <f>Winter!A338</f>
        <v>162</v>
      </c>
      <c r="B335" s="2">
        <v>330</v>
      </c>
      <c r="C335" s="3">
        <f t="shared" si="7"/>
        <v>4278</v>
      </c>
      <c r="D335" s="4">
        <f t="shared" si="8"/>
        <v>196.53209837112709</v>
      </c>
      <c r="E335" s="4"/>
      <c r="F335" s="6"/>
      <c r="G335" s="3"/>
      <c r="H335" s="4"/>
      <c r="I335" s="6"/>
    </row>
    <row r="336" spans="1:9" x14ac:dyDescent="0.2">
      <c r="A336" s="31">
        <f>Winter!A339</f>
        <v>163</v>
      </c>
      <c r="B336" s="2">
        <v>331</v>
      </c>
      <c r="C336" s="3">
        <f t="shared" si="7"/>
        <v>4553.9999999999991</v>
      </c>
      <c r="D336" s="4">
        <f t="shared" si="8"/>
        <v>209.21158858861912</v>
      </c>
      <c r="E336" s="4"/>
      <c r="F336" s="6"/>
      <c r="G336" s="3"/>
      <c r="H336" s="4"/>
      <c r="I336" s="6"/>
    </row>
    <row r="337" spans="1:9" x14ac:dyDescent="0.2">
      <c r="A337" s="31">
        <f>Winter!A340</f>
        <v>164</v>
      </c>
      <c r="B337" s="2">
        <v>332</v>
      </c>
      <c r="C337" s="3">
        <f t="shared" si="7"/>
        <v>4250.3999999999996</v>
      </c>
      <c r="D337" s="4">
        <f t="shared" si="8"/>
        <v>195.26414934937787</v>
      </c>
      <c r="E337" s="4"/>
      <c r="F337" s="6"/>
      <c r="G337" s="3"/>
      <c r="H337" s="4"/>
      <c r="I337" s="6"/>
    </row>
    <row r="338" spans="1:9" x14ac:dyDescent="0.2">
      <c r="A338" s="31">
        <f>Winter!A341</f>
        <v>165</v>
      </c>
      <c r="B338" s="2">
        <v>333</v>
      </c>
      <c r="C338" s="3">
        <f t="shared" si="7"/>
        <v>3946.8</v>
      </c>
      <c r="D338" s="4">
        <f t="shared" si="8"/>
        <v>181.31671011013663</v>
      </c>
      <c r="E338" s="4"/>
      <c r="F338" s="6"/>
      <c r="G338" s="3"/>
      <c r="H338" s="4"/>
      <c r="I338" s="6"/>
    </row>
    <row r="339" spans="1:9" x14ac:dyDescent="0.2">
      <c r="A339" s="31">
        <f>Winter!A342</f>
        <v>166</v>
      </c>
      <c r="B339" s="2">
        <v>334</v>
      </c>
      <c r="C339" s="3">
        <f t="shared" si="7"/>
        <v>3643.2</v>
      </c>
      <c r="D339" s="4">
        <f t="shared" si="8"/>
        <v>167.36927087089532</v>
      </c>
      <c r="E339" s="4"/>
      <c r="F339" s="6"/>
      <c r="G339" s="3"/>
      <c r="H339" s="4"/>
      <c r="I339" s="6"/>
    </row>
    <row r="340" spans="1:9" x14ac:dyDescent="0.2">
      <c r="A340" s="31">
        <f>Winter!A343</f>
        <v>167</v>
      </c>
      <c r="B340" s="2">
        <v>335</v>
      </c>
      <c r="C340" s="3">
        <f t="shared" si="7"/>
        <v>3339.6000000000004</v>
      </c>
      <c r="D340" s="4">
        <f t="shared" si="8"/>
        <v>153.42183163165407</v>
      </c>
      <c r="E340" s="4"/>
      <c r="F340" s="6"/>
      <c r="G340" s="3"/>
      <c r="H340" s="4"/>
      <c r="I340" s="6"/>
    </row>
    <row r="341" spans="1:9" x14ac:dyDescent="0.2">
      <c r="A341" s="31">
        <f>Winter!A344</f>
        <v>168</v>
      </c>
      <c r="B341" s="2">
        <v>336</v>
      </c>
      <c r="C341" s="3">
        <f t="shared" si="7"/>
        <v>3036</v>
      </c>
      <c r="D341" s="4">
        <f t="shared" si="8"/>
        <v>139.47439239241277</v>
      </c>
      <c r="E341" s="4"/>
      <c r="F341" s="6"/>
      <c r="G341" s="3"/>
      <c r="H341" s="4"/>
      <c r="I341" s="6"/>
    </row>
    <row r="342" spans="1:9" x14ac:dyDescent="0.2">
      <c r="A342" s="31">
        <f>Winter!A345</f>
        <v>1</v>
      </c>
      <c r="B342" s="2">
        <v>337</v>
      </c>
      <c r="C342" s="3">
        <f>C6</f>
        <v>2346</v>
      </c>
      <c r="D342" s="4">
        <f t="shared" si="8"/>
        <v>107.7756668486826</v>
      </c>
      <c r="E342" s="4"/>
      <c r="F342" s="6"/>
      <c r="G342" s="3"/>
      <c r="H342" s="4"/>
      <c r="I342" s="6"/>
    </row>
    <row r="343" spans="1:9" x14ac:dyDescent="0.2">
      <c r="A343" s="31">
        <f>Winter!A346</f>
        <v>2</v>
      </c>
      <c r="B343" s="2">
        <v>338</v>
      </c>
      <c r="C343" s="3">
        <f t="shared" ref="C343:C406" si="9">C7</f>
        <v>2208</v>
      </c>
      <c r="D343" s="4">
        <f t="shared" si="8"/>
        <v>101.43592173993656</v>
      </c>
      <c r="E343" s="4"/>
      <c r="F343" s="6"/>
      <c r="G343" s="3"/>
      <c r="H343" s="4"/>
      <c r="I343" s="6"/>
    </row>
    <row r="344" spans="1:9" x14ac:dyDescent="0.2">
      <c r="A344" s="31">
        <f>Winter!A347</f>
        <v>3</v>
      </c>
      <c r="B344" s="2">
        <v>339</v>
      </c>
      <c r="C344" s="3">
        <f t="shared" si="9"/>
        <v>2346</v>
      </c>
      <c r="D344" s="4">
        <f t="shared" si="8"/>
        <v>107.7756668486826</v>
      </c>
      <c r="E344" s="4"/>
      <c r="F344" s="6"/>
      <c r="G344" s="3"/>
      <c r="H344" s="4"/>
      <c r="I344" s="6"/>
    </row>
    <row r="345" spans="1:9" x14ac:dyDescent="0.2">
      <c r="A345" s="31">
        <f>Winter!A348</f>
        <v>4</v>
      </c>
      <c r="B345" s="2">
        <v>340</v>
      </c>
      <c r="C345" s="3">
        <f t="shared" si="9"/>
        <v>2484</v>
      </c>
      <c r="D345" s="4">
        <f t="shared" si="8"/>
        <v>114.11541195742863</v>
      </c>
      <c r="E345" s="4"/>
      <c r="F345" s="6"/>
      <c r="G345" s="3"/>
      <c r="H345" s="4"/>
      <c r="I345" s="6"/>
    </row>
    <row r="346" spans="1:9" x14ac:dyDescent="0.2">
      <c r="A346" s="31">
        <f>Winter!A349</f>
        <v>5</v>
      </c>
      <c r="B346" s="2">
        <v>341</v>
      </c>
      <c r="C346" s="3">
        <f t="shared" si="9"/>
        <v>2828.9999999999995</v>
      </c>
      <c r="D346" s="4">
        <f t="shared" si="8"/>
        <v>129.96477472929371</v>
      </c>
      <c r="E346" s="4"/>
      <c r="F346" s="6"/>
      <c r="G346" s="3"/>
      <c r="H346" s="4"/>
      <c r="I346" s="6"/>
    </row>
    <row r="347" spans="1:9" x14ac:dyDescent="0.2">
      <c r="A347" s="31">
        <f>Winter!A350</f>
        <v>6</v>
      </c>
      <c r="B347" s="2">
        <v>342</v>
      </c>
      <c r="C347" s="3">
        <f t="shared" si="9"/>
        <v>3035.9999999999995</v>
      </c>
      <c r="D347" s="4">
        <f t="shared" si="8"/>
        <v>139.47439239241277</v>
      </c>
      <c r="E347" s="4"/>
      <c r="F347" s="6"/>
      <c r="G347" s="3"/>
      <c r="H347" s="4"/>
      <c r="I347" s="6"/>
    </row>
    <row r="348" spans="1:9" x14ac:dyDescent="0.2">
      <c r="A348" s="31">
        <f>Winter!A351</f>
        <v>7</v>
      </c>
      <c r="B348" s="2">
        <v>343</v>
      </c>
      <c r="C348" s="3">
        <f t="shared" si="9"/>
        <v>3242.9999999999995</v>
      </c>
      <c r="D348" s="4">
        <f t="shared" si="8"/>
        <v>148.9840100555318</v>
      </c>
      <c r="E348" s="4"/>
      <c r="F348" s="6"/>
      <c r="G348" s="3"/>
      <c r="H348" s="4"/>
      <c r="I348" s="6"/>
    </row>
    <row r="349" spans="1:9" x14ac:dyDescent="0.2">
      <c r="A349" s="31">
        <f>Winter!A352</f>
        <v>8</v>
      </c>
      <c r="B349" s="2">
        <v>344</v>
      </c>
      <c r="C349" s="3">
        <f t="shared" si="9"/>
        <v>3449.9999999999986</v>
      </c>
      <c r="D349" s="4">
        <f t="shared" si="8"/>
        <v>158.49362771865083</v>
      </c>
      <c r="E349" s="4"/>
      <c r="F349" s="6"/>
      <c r="G349" s="3"/>
      <c r="H349" s="4"/>
      <c r="I349" s="6"/>
    </row>
    <row r="350" spans="1:9" x14ac:dyDescent="0.2">
      <c r="A350" s="31">
        <f>Winter!A353</f>
        <v>9</v>
      </c>
      <c r="B350" s="2">
        <v>345</v>
      </c>
      <c r="C350" s="3">
        <f t="shared" si="9"/>
        <v>3656.9999999999991</v>
      </c>
      <c r="D350" s="4">
        <f t="shared" si="8"/>
        <v>168.00324538176989</v>
      </c>
      <c r="E350" s="4"/>
      <c r="F350" s="6"/>
      <c r="G350" s="3"/>
      <c r="H350" s="4"/>
      <c r="I350" s="6"/>
    </row>
    <row r="351" spans="1:9" x14ac:dyDescent="0.2">
      <c r="A351" s="31">
        <f>Winter!A354</f>
        <v>10</v>
      </c>
      <c r="B351" s="2">
        <v>346</v>
      </c>
      <c r="C351" s="3">
        <f t="shared" si="9"/>
        <v>3863.9999999999991</v>
      </c>
      <c r="D351" s="4">
        <f t="shared" si="8"/>
        <v>177.51286304488895</v>
      </c>
      <c r="E351" s="4"/>
      <c r="F351" s="6"/>
      <c r="G351" s="3"/>
      <c r="H351" s="4"/>
      <c r="I351" s="6"/>
    </row>
    <row r="352" spans="1:9" x14ac:dyDescent="0.2">
      <c r="A352" s="31">
        <f>Winter!A355</f>
        <v>11</v>
      </c>
      <c r="B352" s="2">
        <v>347</v>
      </c>
      <c r="C352" s="3">
        <f t="shared" si="9"/>
        <v>4070.9999999999986</v>
      </c>
      <c r="D352" s="4">
        <f t="shared" si="8"/>
        <v>187.02248070800795</v>
      </c>
      <c r="E352" s="4"/>
      <c r="F352" s="6"/>
      <c r="G352" s="3"/>
      <c r="H352" s="4"/>
      <c r="I352" s="6"/>
    </row>
    <row r="353" spans="1:9" x14ac:dyDescent="0.2">
      <c r="A353" s="31">
        <f>Winter!A356</f>
        <v>12</v>
      </c>
      <c r="B353" s="2">
        <v>348</v>
      </c>
      <c r="C353" s="3">
        <f t="shared" si="9"/>
        <v>4277.9999999999991</v>
      </c>
      <c r="D353" s="4">
        <f t="shared" si="8"/>
        <v>196.53209837112706</v>
      </c>
      <c r="E353" s="4"/>
      <c r="F353" s="6"/>
      <c r="G353" s="3"/>
      <c r="H353" s="4"/>
      <c r="I353" s="6"/>
    </row>
    <row r="354" spans="1:9" x14ac:dyDescent="0.2">
      <c r="A354" s="31">
        <f>Winter!A357</f>
        <v>13</v>
      </c>
      <c r="B354" s="2">
        <v>349</v>
      </c>
      <c r="C354" s="3">
        <f t="shared" si="9"/>
        <v>4485</v>
      </c>
      <c r="D354" s="4">
        <f t="shared" si="8"/>
        <v>206.04171603424615</v>
      </c>
      <c r="E354" s="4"/>
      <c r="F354" s="6"/>
      <c r="G354" s="3"/>
      <c r="H354" s="4"/>
      <c r="I354" s="6"/>
    </row>
    <row r="355" spans="1:9" x14ac:dyDescent="0.2">
      <c r="A355" s="31">
        <f>Winter!A358</f>
        <v>14</v>
      </c>
      <c r="B355" s="2">
        <v>350</v>
      </c>
      <c r="C355" s="3">
        <f t="shared" si="9"/>
        <v>4692</v>
      </c>
      <c r="D355" s="4">
        <f t="shared" si="8"/>
        <v>215.55133369736521</v>
      </c>
      <c r="E355" s="4"/>
      <c r="F355" s="6"/>
      <c r="G355" s="3"/>
      <c r="H355" s="4"/>
      <c r="I355" s="6"/>
    </row>
    <row r="356" spans="1:9" x14ac:dyDescent="0.2">
      <c r="A356" s="31">
        <f>Winter!A359</f>
        <v>15</v>
      </c>
      <c r="B356" s="2">
        <v>351</v>
      </c>
      <c r="C356" s="3">
        <f t="shared" si="9"/>
        <v>4553.9999999999991</v>
      </c>
      <c r="D356" s="4">
        <f t="shared" si="8"/>
        <v>209.21158858861912</v>
      </c>
      <c r="E356" s="4"/>
      <c r="F356" s="6"/>
      <c r="G356" s="3"/>
      <c r="H356" s="4"/>
      <c r="I356" s="6"/>
    </row>
    <row r="357" spans="1:9" x14ac:dyDescent="0.2">
      <c r="A357" s="31">
        <f>Winter!A360</f>
        <v>16</v>
      </c>
      <c r="B357" s="2">
        <v>352</v>
      </c>
      <c r="C357" s="3">
        <f t="shared" si="9"/>
        <v>4738</v>
      </c>
      <c r="D357" s="4">
        <f t="shared" si="8"/>
        <v>217.66458206694722</v>
      </c>
      <c r="E357" s="4"/>
      <c r="F357" s="6"/>
      <c r="G357" s="3"/>
      <c r="H357" s="4"/>
      <c r="I357" s="6"/>
    </row>
    <row r="358" spans="1:9" x14ac:dyDescent="0.2">
      <c r="A358" s="31">
        <f>Winter!A361</f>
        <v>17</v>
      </c>
      <c r="B358" s="2">
        <v>353</v>
      </c>
      <c r="C358" s="3">
        <f t="shared" si="9"/>
        <v>5382</v>
      </c>
      <c r="D358" s="4">
        <f t="shared" si="8"/>
        <v>247.25005924109539</v>
      </c>
      <c r="E358" s="4"/>
      <c r="F358" s="6"/>
      <c r="G358" s="3"/>
      <c r="H358" s="4"/>
      <c r="I358" s="6"/>
    </row>
    <row r="359" spans="1:9" x14ac:dyDescent="0.2">
      <c r="A359" s="31">
        <f>Winter!A362</f>
        <v>18</v>
      </c>
      <c r="B359" s="2">
        <v>354</v>
      </c>
      <c r="C359" s="3">
        <f t="shared" si="9"/>
        <v>5244</v>
      </c>
      <c r="D359" s="4">
        <f t="shared" si="8"/>
        <v>240.91031413234933</v>
      </c>
      <c r="E359" s="4"/>
      <c r="F359" s="6"/>
      <c r="G359" s="3"/>
      <c r="H359" s="4"/>
      <c r="I359" s="6"/>
    </row>
    <row r="360" spans="1:9" x14ac:dyDescent="0.2">
      <c r="A360" s="31">
        <f>Winter!A363</f>
        <v>19</v>
      </c>
      <c r="B360" s="2">
        <v>355</v>
      </c>
      <c r="C360" s="3">
        <f t="shared" si="9"/>
        <v>5520</v>
      </c>
      <c r="D360" s="4">
        <f t="shared" si="8"/>
        <v>253.58980434984142</v>
      </c>
      <c r="E360" s="4"/>
      <c r="F360" s="6"/>
      <c r="G360" s="3"/>
      <c r="H360" s="4"/>
      <c r="I360" s="6"/>
    </row>
    <row r="361" spans="1:9" x14ac:dyDescent="0.2">
      <c r="A361" s="31">
        <f>Winter!A364</f>
        <v>20</v>
      </c>
      <c r="B361" s="2">
        <v>356</v>
      </c>
      <c r="C361" s="3">
        <f t="shared" si="9"/>
        <v>5244</v>
      </c>
      <c r="D361" s="4">
        <f t="shared" si="8"/>
        <v>240.91031413234933</v>
      </c>
      <c r="E361" s="4"/>
      <c r="F361" s="6"/>
      <c r="G361" s="3"/>
      <c r="H361" s="4"/>
      <c r="I361" s="6"/>
    </row>
    <row r="362" spans="1:9" x14ac:dyDescent="0.2">
      <c r="A362" s="31">
        <f>Winter!A365</f>
        <v>21</v>
      </c>
      <c r="B362" s="2">
        <v>357</v>
      </c>
      <c r="C362" s="3">
        <f t="shared" si="9"/>
        <v>5657.9999999999991</v>
      </c>
      <c r="D362" s="4">
        <f t="shared" si="8"/>
        <v>259.92954945858742</v>
      </c>
      <c r="E362" s="4"/>
      <c r="F362" s="6"/>
      <c r="G362" s="3"/>
      <c r="H362" s="4"/>
      <c r="I362" s="6"/>
    </row>
    <row r="363" spans="1:9" x14ac:dyDescent="0.2">
      <c r="A363" s="31">
        <f>Winter!A366</f>
        <v>22</v>
      </c>
      <c r="B363" s="2">
        <v>358</v>
      </c>
      <c r="C363" s="3">
        <f t="shared" si="9"/>
        <v>4968</v>
      </c>
      <c r="D363" s="4">
        <f t="shared" si="8"/>
        <v>228.23082391485727</v>
      </c>
      <c r="E363" s="4"/>
      <c r="F363" s="6"/>
      <c r="G363" s="3"/>
      <c r="H363" s="4"/>
      <c r="I363" s="6"/>
    </row>
    <row r="364" spans="1:9" x14ac:dyDescent="0.2">
      <c r="A364" s="31">
        <f>Winter!A367</f>
        <v>23</v>
      </c>
      <c r="B364" s="2">
        <v>359</v>
      </c>
      <c r="C364" s="3">
        <f t="shared" si="9"/>
        <v>4277.9999999999991</v>
      </c>
      <c r="D364" s="4">
        <f t="shared" si="8"/>
        <v>196.53209837112706</v>
      </c>
      <c r="E364" s="4"/>
      <c r="F364" s="6"/>
      <c r="G364" s="3"/>
      <c r="H364" s="4"/>
      <c r="I364" s="6"/>
    </row>
    <row r="365" spans="1:9" x14ac:dyDescent="0.2">
      <c r="A365" s="31">
        <f>Winter!A368</f>
        <v>24</v>
      </c>
      <c r="B365" s="2">
        <v>360</v>
      </c>
      <c r="C365" s="3">
        <f t="shared" si="9"/>
        <v>3587.9999999999991</v>
      </c>
      <c r="D365" s="4">
        <f t="shared" si="8"/>
        <v>164.83337282739689</v>
      </c>
      <c r="E365" s="4"/>
      <c r="F365" s="6"/>
      <c r="G365" s="3"/>
      <c r="H365" s="4"/>
      <c r="I365" s="6"/>
    </row>
    <row r="366" spans="1:9" x14ac:dyDescent="0.2">
      <c r="A366" s="31">
        <f>Winter!A369</f>
        <v>25</v>
      </c>
      <c r="B366" s="2">
        <v>361</v>
      </c>
      <c r="C366" s="3">
        <f t="shared" si="9"/>
        <v>2346</v>
      </c>
      <c r="D366" s="4">
        <f t="shared" si="8"/>
        <v>107.7756668486826</v>
      </c>
      <c r="E366" s="4"/>
      <c r="F366" s="6"/>
      <c r="G366" s="3"/>
      <c r="H366" s="4"/>
      <c r="I366" s="6"/>
    </row>
    <row r="367" spans="1:9" x14ac:dyDescent="0.2">
      <c r="A367" s="31">
        <f>Winter!A370</f>
        <v>26</v>
      </c>
      <c r="B367" s="2">
        <v>362</v>
      </c>
      <c r="C367" s="3">
        <f t="shared" si="9"/>
        <v>2208</v>
      </c>
      <c r="D367" s="4">
        <f t="shared" si="8"/>
        <v>101.43592173993656</v>
      </c>
      <c r="E367" s="4"/>
      <c r="F367" s="6"/>
      <c r="G367" s="3"/>
      <c r="H367" s="4"/>
      <c r="I367" s="6"/>
    </row>
    <row r="368" spans="1:9" x14ac:dyDescent="0.2">
      <c r="A368" s="31">
        <f>Winter!A371</f>
        <v>27</v>
      </c>
      <c r="B368" s="2">
        <v>363</v>
      </c>
      <c r="C368" s="3">
        <f t="shared" si="9"/>
        <v>2373.6</v>
      </c>
      <c r="D368" s="4">
        <f t="shared" si="8"/>
        <v>109.04361587043179</v>
      </c>
      <c r="E368" s="4"/>
      <c r="F368" s="6"/>
      <c r="G368" s="3"/>
      <c r="H368" s="4"/>
      <c r="I368" s="6"/>
    </row>
    <row r="369" spans="1:9" x14ac:dyDescent="0.2">
      <c r="A369" s="31">
        <f>Winter!A372</f>
        <v>28</v>
      </c>
      <c r="B369" s="2">
        <v>364</v>
      </c>
      <c r="C369" s="3">
        <f t="shared" si="9"/>
        <v>2484</v>
      </c>
      <c r="D369" s="4">
        <f t="shared" si="8"/>
        <v>114.11541195742863</v>
      </c>
      <c r="E369" s="4"/>
      <c r="F369" s="6"/>
      <c r="G369" s="3"/>
      <c r="H369" s="4"/>
      <c r="I369" s="6"/>
    </row>
    <row r="370" spans="1:9" x14ac:dyDescent="0.2">
      <c r="A370" s="31">
        <f>Winter!A373</f>
        <v>29</v>
      </c>
      <c r="B370" s="2">
        <v>365</v>
      </c>
      <c r="C370" s="3">
        <f t="shared" si="9"/>
        <v>2740.2857142857142</v>
      </c>
      <c r="D370" s="4">
        <f t="shared" si="8"/>
        <v>125.8892243022427</v>
      </c>
      <c r="E370" s="4"/>
      <c r="F370" s="6"/>
      <c r="G370" s="3"/>
      <c r="H370" s="4"/>
      <c r="I370" s="6"/>
    </row>
    <row r="371" spans="1:9" x14ac:dyDescent="0.2">
      <c r="A371" s="31">
        <f>Winter!A374</f>
        <v>30</v>
      </c>
      <c r="B371" s="2">
        <v>366</v>
      </c>
      <c r="C371" s="3">
        <f t="shared" si="9"/>
        <v>2917.7142857142858</v>
      </c>
      <c r="D371" s="4">
        <f t="shared" si="8"/>
        <v>134.04032515634475</v>
      </c>
      <c r="E371" s="4"/>
      <c r="F371" s="6"/>
      <c r="G371" s="3"/>
      <c r="H371" s="4"/>
      <c r="I371" s="6"/>
    </row>
    <row r="372" spans="1:9" x14ac:dyDescent="0.2">
      <c r="A372" s="31">
        <f>Winter!A375</f>
        <v>31</v>
      </c>
      <c r="B372" s="2">
        <v>367</v>
      </c>
      <c r="C372" s="3">
        <f t="shared" si="9"/>
        <v>3095.1428571428573</v>
      </c>
      <c r="D372" s="4">
        <f t="shared" si="8"/>
        <v>142.19142601044678</v>
      </c>
      <c r="E372" s="4"/>
      <c r="F372" s="6"/>
      <c r="G372" s="3"/>
      <c r="H372" s="4"/>
      <c r="I372" s="6"/>
    </row>
    <row r="373" spans="1:9" x14ac:dyDescent="0.2">
      <c r="A373" s="31">
        <f>Winter!A376</f>
        <v>32</v>
      </c>
      <c r="B373" s="2">
        <v>368</v>
      </c>
      <c r="C373" s="3">
        <f t="shared" si="9"/>
        <v>3272.5714285714289</v>
      </c>
      <c r="D373" s="4">
        <f t="shared" si="8"/>
        <v>150.34252686454886</v>
      </c>
      <c r="E373" s="4"/>
      <c r="F373" s="6"/>
      <c r="G373" s="3"/>
      <c r="H373" s="4"/>
      <c r="I373" s="6"/>
    </row>
    <row r="374" spans="1:9" x14ac:dyDescent="0.2">
      <c r="A374" s="31">
        <f>Winter!A377</f>
        <v>33</v>
      </c>
      <c r="B374" s="2">
        <v>369</v>
      </c>
      <c r="C374" s="3">
        <f t="shared" si="9"/>
        <v>3449.9999999999995</v>
      </c>
      <c r="D374" s="4">
        <f t="shared" si="8"/>
        <v>158.49362771865086</v>
      </c>
      <c r="E374" s="4"/>
      <c r="F374" s="6"/>
      <c r="G374" s="3"/>
      <c r="H374" s="4"/>
      <c r="I374" s="6"/>
    </row>
    <row r="375" spans="1:9" x14ac:dyDescent="0.2">
      <c r="A375" s="31">
        <f>Winter!A378</f>
        <v>34</v>
      </c>
      <c r="B375" s="2">
        <v>370</v>
      </c>
      <c r="C375" s="3">
        <f t="shared" si="9"/>
        <v>3627.4285714285711</v>
      </c>
      <c r="D375" s="4">
        <f t="shared" si="8"/>
        <v>166.64472857275291</v>
      </c>
      <c r="E375" s="4"/>
      <c r="F375" s="6"/>
      <c r="G375" s="3"/>
      <c r="H375" s="4"/>
      <c r="I375" s="6"/>
    </row>
    <row r="376" spans="1:9" x14ac:dyDescent="0.2">
      <c r="A376" s="31">
        <f>Winter!A379</f>
        <v>35</v>
      </c>
      <c r="B376" s="2">
        <v>371</v>
      </c>
      <c r="C376" s="3">
        <f t="shared" si="9"/>
        <v>3804.8571428571427</v>
      </c>
      <c r="D376" s="4">
        <f t="shared" si="8"/>
        <v>174.79582942685497</v>
      </c>
      <c r="E376" s="4"/>
      <c r="F376" s="6"/>
      <c r="G376" s="3"/>
      <c r="H376" s="4"/>
      <c r="I376" s="6"/>
    </row>
    <row r="377" spans="1:9" x14ac:dyDescent="0.2">
      <c r="A377" s="31">
        <f>Winter!A380</f>
        <v>36</v>
      </c>
      <c r="B377" s="2">
        <v>372</v>
      </c>
      <c r="C377" s="3">
        <f t="shared" si="9"/>
        <v>3982.2857142857147</v>
      </c>
      <c r="D377" s="4">
        <f t="shared" si="8"/>
        <v>182.94693028095702</v>
      </c>
      <c r="E377" s="4"/>
      <c r="F377" s="6"/>
      <c r="G377" s="3"/>
      <c r="H377" s="4"/>
      <c r="I377" s="6"/>
    </row>
    <row r="378" spans="1:9" x14ac:dyDescent="0.2">
      <c r="A378" s="31">
        <f>Winter!A381</f>
        <v>37</v>
      </c>
      <c r="B378" s="2">
        <v>373</v>
      </c>
      <c r="C378" s="3">
        <f t="shared" si="9"/>
        <v>4159.7142857142853</v>
      </c>
      <c r="D378" s="4">
        <f t="shared" si="8"/>
        <v>191.09803113505907</v>
      </c>
      <c r="E378" s="4"/>
      <c r="F378" s="6"/>
      <c r="G378" s="3"/>
      <c r="H378" s="4"/>
      <c r="I378" s="6"/>
    </row>
    <row r="379" spans="1:9" x14ac:dyDescent="0.2">
      <c r="A379" s="31">
        <f>Winter!A382</f>
        <v>38</v>
      </c>
      <c r="B379" s="2">
        <v>374</v>
      </c>
      <c r="C379" s="3">
        <f t="shared" si="9"/>
        <v>4337.1428571428569</v>
      </c>
      <c r="D379" s="4">
        <f t="shared" si="8"/>
        <v>199.2491319891611</v>
      </c>
      <c r="E379" s="4"/>
      <c r="F379" s="6"/>
      <c r="G379" s="3"/>
      <c r="H379" s="4"/>
      <c r="I379" s="6"/>
    </row>
    <row r="380" spans="1:9" x14ac:dyDescent="0.2">
      <c r="A380" s="31">
        <f>Winter!A383</f>
        <v>39</v>
      </c>
      <c r="B380" s="2">
        <v>375</v>
      </c>
      <c r="C380" s="3">
        <f t="shared" si="9"/>
        <v>4514.5714285714284</v>
      </c>
      <c r="D380" s="4">
        <f t="shared" si="8"/>
        <v>207.40023284326315</v>
      </c>
      <c r="E380" s="4"/>
      <c r="F380" s="6"/>
      <c r="G380" s="3"/>
      <c r="H380" s="4"/>
      <c r="I380" s="6"/>
    </row>
    <row r="381" spans="1:9" x14ac:dyDescent="0.2">
      <c r="A381" s="31">
        <f>Winter!A384</f>
        <v>40</v>
      </c>
      <c r="B381" s="2">
        <v>376</v>
      </c>
      <c r="C381" s="3">
        <f t="shared" si="9"/>
        <v>4692</v>
      </c>
      <c r="D381" s="4">
        <f t="shared" si="8"/>
        <v>215.55133369736521</v>
      </c>
      <c r="E381" s="4"/>
      <c r="F381" s="6"/>
      <c r="G381" s="3"/>
      <c r="H381" s="4"/>
      <c r="I381" s="6"/>
    </row>
    <row r="382" spans="1:9" x14ac:dyDescent="0.2">
      <c r="A382" s="31">
        <f>Winter!A385</f>
        <v>41</v>
      </c>
      <c r="B382" s="2">
        <v>377</v>
      </c>
      <c r="C382" s="3">
        <f t="shared" si="9"/>
        <v>4553.9999999999991</v>
      </c>
      <c r="D382" s="4">
        <f t="shared" si="8"/>
        <v>209.21158858861912</v>
      </c>
      <c r="E382" s="4"/>
      <c r="F382" s="6"/>
      <c r="G382" s="3"/>
      <c r="H382" s="4"/>
      <c r="I382" s="6"/>
    </row>
    <row r="383" spans="1:9" x14ac:dyDescent="0.2">
      <c r="A383" s="31">
        <f>Winter!A386</f>
        <v>42</v>
      </c>
      <c r="B383" s="2">
        <v>378</v>
      </c>
      <c r="C383" s="3">
        <f t="shared" si="9"/>
        <v>4830</v>
      </c>
      <c r="D383" s="4">
        <f t="shared" si="8"/>
        <v>221.89107880611124</v>
      </c>
      <c r="E383" s="4"/>
      <c r="F383" s="6"/>
      <c r="G383" s="3"/>
      <c r="H383" s="4"/>
      <c r="I383" s="6"/>
    </row>
    <row r="384" spans="1:9" x14ac:dyDescent="0.2">
      <c r="A384" s="31">
        <f>Winter!A387</f>
        <v>43</v>
      </c>
      <c r="B384" s="2">
        <v>379</v>
      </c>
      <c r="C384" s="3">
        <f t="shared" si="9"/>
        <v>5106</v>
      </c>
      <c r="D384" s="4">
        <f t="shared" si="8"/>
        <v>234.5705690236033</v>
      </c>
      <c r="E384" s="4"/>
      <c r="F384" s="6"/>
      <c r="G384" s="3"/>
      <c r="H384" s="4"/>
      <c r="I384" s="6"/>
    </row>
    <row r="385" spans="1:9" x14ac:dyDescent="0.2">
      <c r="A385" s="31">
        <f>Winter!A388</f>
        <v>44</v>
      </c>
      <c r="B385" s="2">
        <v>380</v>
      </c>
      <c r="C385" s="3">
        <f t="shared" si="9"/>
        <v>5244</v>
      </c>
      <c r="D385" s="4">
        <f t="shared" si="8"/>
        <v>240.91031413234933</v>
      </c>
      <c r="E385" s="4"/>
      <c r="F385" s="6"/>
      <c r="G385" s="3"/>
      <c r="H385" s="4"/>
      <c r="I385" s="6"/>
    </row>
    <row r="386" spans="1:9" x14ac:dyDescent="0.2">
      <c r="A386" s="31">
        <f>Winter!A389</f>
        <v>45</v>
      </c>
      <c r="B386" s="2">
        <v>381</v>
      </c>
      <c r="C386" s="3">
        <f t="shared" si="9"/>
        <v>5657.9999999999991</v>
      </c>
      <c r="D386" s="4">
        <f t="shared" si="8"/>
        <v>259.92954945858742</v>
      </c>
      <c r="E386" s="4"/>
      <c r="F386" s="6"/>
      <c r="G386" s="3"/>
      <c r="H386" s="4"/>
      <c r="I386" s="6"/>
    </row>
    <row r="387" spans="1:9" x14ac:dyDescent="0.2">
      <c r="A387" s="31">
        <f>Winter!A390</f>
        <v>46</v>
      </c>
      <c r="B387" s="2">
        <v>382</v>
      </c>
      <c r="C387" s="3">
        <f t="shared" si="9"/>
        <v>4968</v>
      </c>
      <c r="D387" s="4">
        <f t="shared" si="8"/>
        <v>228.23082391485727</v>
      </c>
      <c r="E387" s="4"/>
      <c r="F387" s="6"/>
      <c r="G387" s="3"/>
      <c r="H387" s="4"/>
      <c r="I387" s="6"/>
    </row>
    <row r="388" spans="1:9" x14ac:dyDescent="0.2">
      <c r="A388" s="31">
        <f>Winter!A391</f>
        <v>47</v>
      </c>
      <c r="B388" s="2">
        <v>383</v>
      </c>
      <c r="C388" s="3">
        <f t="shared" si="9"/>
        <v>4277.9999999999991</v>
      </c>
      <c r="D388" s="4">
        <f t="shared" si="8"/>
        <v>196.53209837112706</v>
      </c>
      <c r="E388" s="4"/>
      <c r="F388" s="6"/>
      <c r="G388" s="3"/>
      <c r="H388" s="4"/>
      <c r="I388" s="6"/>
    </row>
    <row r="389" spans="1:9" x14ac:dyDescent="0.2">
      <c r="A389" s="31">
        <f>Winter!A392</f>
        <v>48</v>
      </c>
      <c r="B389" s="2">
        <v>384</v>
      </c>
      <c r="C389" s="3">
        <f t="shared" si="9"/>
        <v>3587.9999999999991</v>
      </c>
      <c r="D389" s="4">
        <f t="shared" si="8"/>
        <v>164.83337282739689</v>
      </c>
      <c r="E389" s="4"/>
      <c r="F389" s="6"/>
      <c r="G389" s="3"/>
      <c r="H389" s="4"/>
      <c r="I389" s="6"/>
    </row>
    <row r="390" spans="1:9" x14ac:dyDescent="0.2">
      <c r="A390" s="31">
        <f>Winter!A393</f>
        <v>49</v>
      </c>
      <c r="B390" s="2">
        <v>385</v>
      </c>
      <c r="C390" s="3">
        <f t="shared" si="9"/>
        <v>2346</v>
      </c>
      <c r="D390" s="4">
        <f t="shared" si="8"/>
        <v>107.7756668486826</v>
      </c>
      <c r="E390" s="4"/>
      <c r="F390" s="6"/>
      <c r="G390" s="3"/>
      <c r="H390" s="4"/>
      <c r="I390" s="6"/>
    </row>
    <row r="391" spans="1:9" x14ac:dyDescent="0.2">
      <c r="A391" s="31">
        <f>Winter!A394</f>
        <v>50</v>
      </c>
      <c r="B391" s="2">
        <v>386</v>
      </c>
      <c r="C391" s="3">
        <f t="shared" si="9"/>
        <v>2208</v>
      </c>
      <c r="D391" s="4">
        <f t="shared" ref="D391:D454" si="10">$G$3*C391*(1/$G$5-1/$G$4)</f>
        <v>101.43592173993656</v>
      </c>
      <c r="E391" s="4"/>
      <c r="F391" s="6"/>
      <c r="G391" s="3"/>
      <c r="H391" s="4"/>
      <c r="I391" s="6"/>
    </row>
    <row r="392" spans="1:9" x14ac:dyDescent="0.2">
      <c r="A392" s="31">
        <f>Winter!A395</f>
        <v>51</v>
      </c>
      <c r="B392" s="2">
        <v>387</v>
      </c>
      <c r="C392" s="3">
        <f t="shared" si="9"/>
        <v>2346</v>
      </c>
      <c r="D392" s="4">
        <f t="shared" si="10"/>
        <v>107.7756668486826</v>
      </c>
      <c r="E392" s="4"/>
      <c r="F392" s="6"/>
      <c r="G392" s="3"/>
      <c r="H392" s="4"/>
      <c r="I392" s="6"/>
    </row>
    <row r="393" spans="1:9" x14ac:dyDescent="0.2">
      <c r="A393" s="31">
        <f>Winter!A396</f>
        <v>52</v>
      </c>
      <c r="B393" s="2">
        <v>388</v>
      </c>
      <c r="C393" s="3">
        <f t="shared" si="9"/>
        <v>2484</v>
      </c>
      <c r="D393" s="4">
        <f t="shared" si="10"/>
        <v>114.11541195742863</v>
      </c>
      <c r="E393" s="4"/>
      <c r="F393" s="6"/>
      <c r="G393" s="3"/>
      <c r="H393" s="4"/>
      <c r="I393" s="6"/>
    </row>
    <row r="394" spans="1:9" x14ac:dyDescent="0.2">
      <c r="A394" s="31">
        <f>Winter!A397</f>
        <v>53</v>
      </c>
      <c r="B394" s="2">
        <v>389</v>
      </c>
      <c r="C394" s="3">
        <f t="shared" si="9"/>
        <v>2781.2307692307691</v>
      </c>
      <c r="D394" s="4">
        <f t="shared" si="10"/>
        <v>127.77024757626624</v>
      </c>
      <c r="E394" s="4"/>
      <c r="F394" s="6"/>
      <c r="G394" s="3"/>
      <c r="H394" s="4"/>
      <c r="I394" s="6"/>
    </row>
    <row r="395" spans="1:9" x14ac:dyDescent="0.2">
      <c r="A395" s="31">
        <f>Winter!A398</f>
        <v>54</v>
      </c>
      <c r="B395" s="2">
        <v>390</v>
      </c>
      <c r="C395" s="3">
        <f t="shared" si="9"/>
        <v>2972.3076923076924</v>
      </c>
      <c r="D395" s="4">
        <f t="shared" si="10"/>
        <v>136.54835618837615</v>
      </c>
      <c r="E395" s="4"/>
      <c r="F395" s="6"/>
      <c r="G395" s="3"/>
      <c r="H395" s="4"/>
      <c r="I395" s="6"/>
    </row>
    <row r="396" spans="1:9" x14ac:dyDescent="0.2">
      <c r="A396" s="31">
        <f>Winter!A399</f>
        <v>55</v>
      </c>
      <c r="B396" s="2">
        <v>391</v>
      </c>
      <c r="C396" s="3">
        <f t="shared" si="9"/>
        <v>3163.3846153846152</v>
      </c>
      <c r="D396" s="4">
        <f t="shared" si="10"/>
        <v>145.32646480048604</v>
      </c>
      <c r="E396" s="4"/>
      <c r="F396" s="6"/>
      <c r="G396" s="3"/>
      <c r="H396" s="4"/>
      <c r="I396" s="6"/>
    </row>
    <row r="397" spans="1:9" x14ac:dyDescent="0.2">
      <c r="A397" s="31">
        <f>Winter!A400</f>
        <v>56</v>
      </c>
      <c r="B397" s="2">
        <v>392</v>
      </c>
      <c r="C397" s="3">
        <f t="shared" si="9"/>
        <v>3354.4615384615377</v>
      </c>
      <c r="D397" s="4">
        <f t="shared" si="10"/>
        <v>154.1045734125959</v>
      </c>
      <c r="E397" s="4"/>
      <c r="F397" s="6"/>
      <c r="G397" s="3"/>
      <c r="H397" s="4"/>
      <c r="I397" s="6"/>
    </row>
    <row r="398" spans="1:9" x14ac:dyDescent="0.2">
      <c r="A398" s="31">
        <f>Winter!A401</f>
        <v>57</v>
      </c>
      <c r="B398" s="2">
        <v>393</v>
      </c>
      <c r="C398" s="3">
        <f t="shared" si="9"/>
        <v>3545.538461538461</v>
      </c>
      <c r="D398" s="4">
        <f t="shared" si="10"/>
        <v>162.88268202470582</v>
      </c>
      <c r="E398" s="4"/>
      <c r="F398" s="6"/>
      <c r="G398" s="3"/>
      <c r="H398" s="4"/>
      <c r="I398" s="6"/>
    </row>
    <row r="399" spans="1:9" x14ac:dyDescent="0.2">
      <c r="A399" s="31">
        <f>Winter!A402</f>
        <v>58</v>
      </c>
      <c r="B399" s="2">
        <v>394</v>
      </c>
      <c r="C399" s="3">
        <f t="shared" si="9"/>
        <v>3736.6153846153838</v>
      </c>
      <c r="D399" s="4">
        <f t="shared" si="10"/>
        <v>171.66079063681568</v>
      </c>
      <c r="E399" s="4"/>
      <c r="F399" s="6"/>
      <c r="G399" s="3"/>
      <c r="H399" s="4"/>
      <c r="I399" s="6"/>
    </row>
    <row r="400" spans="1:9" x14ac:dyDescent="0.2">
      <c r="A400" s="31">
        <f>Winter!A403</f>
        <v>59</v>
      </c>
      <c r="B400" s="2">
        <v>395</v>
      </c>
      <c r="C400" s="3">
        <f t="shared" si="9"/>
        <v>3927.6923076923072</v>
      </c>
      <c r="D400" s="4">
        <f t="shared" si="10"/>
        <v>180.43889924892557</v>
      </c>
      <c r="E400" s="4"/>
      <c r="F400" s="6"/>
      <c r="G400" s="3"/>
      <c r="H400" s="4"/>
      <c r="I400" s="6"/>
    </row>
    <row r="401" spans="1:9" x14ac:dyDescent="0.2">
      <c r="A401" s="31">
        <f>Winter!A404</f>
        <v>60</v>
      </c>
      <c r="B401" s="2">
        <v>396</v>
      </c>
      <c r="C401" s="3">
        <f t="shared" si="9"/>
        <v>4118.7692307692305</v>
      </c>
      <c r="D401" s="4">
        <f t="shared" si="10"/>
        <v>189.21700786103551</v>
      </c>
      <c r="E401" s="4"/>
      <c r="F401" s="6"/>
      <c r="G401" s="3"/>
      <c r="H401" s="4"/>
      <c r="I401" s="6"/>
    </row>
    <row r="402" spans="1:9" x14ac:dyDescent="0.2">
      <c r="A402" s="31">
        <f>Winter!A405</f>
        <v>61</v>
      </c>
      <c r="B402" s="2">
        <v>397</v>
      </c>
      <c r="C402" s="3">
        <f t="shared" si="9"/>
        <v>4309.8461538461534</v>
      </c>
      <c r="D402" s="4">
        <f t="shared" si="10"/>
        <v>197.99511647314537</v>
      </c>
      <c r="E402" s="4"/>
      <c r="F402" s="6"/>
      <c r="G402" s="3"/>
      <c r="H402" s="4"/>
      <c r="I402" s="6"/>
    </row>
    <row r="403" spans="1:9" x14ac:dyDescent="0.2">
      <c r="A403" s="31">
        <f>Winter!A406</f>
        <v>62</v>
      </c>
      <c r="B403" s="2">
        <v>398</v>
      </c>
      <c r="C403" s="3">
        <f t="shared" si="9"/>
        <v>4500.9230769230771</v>
      </c>
      <c r="D403" s="4">
        <f t="shared" si="10"/>
        <v>206.77322508525529</v>
      </c>
      <c r="E403" s="4"/>
      <c r="F403" s="6"/>
      <c r="G403" s="3"/>
      <c r="H403" s="4"/>
      <c r="I403" s="6"/>
    </row>
    <row r="404" spans="1:9" x14ac:dyDescent="0.2">
      <c r="A404" s="31">
        <f>Winter!A407</f>
        <v>63</v>
      </c>
      <c r="B404" s="2">
        <v>399</v>
      </c>
      <c r="C404" s="3">
        <f t="shared" si="9"/>
        <v>4692</v>
      </c>
      <c r="D404" s="4">
        <f t="shared" si="10"/>
        <v>215.55133369736521</v>
      </c>
      <c r="E404" s="4"/>
      <c r="F404" s="6"/>
      <c r="G404" s="3"/>
      <c r="H404" s="4"/>
      <c r="I404" s="6"/>
    </row>
    <row r="405" spans="1:9" x14ac:dyDescent="0.2">
      <c r="A405" s="31">
        <f>Winter!A408</f>
        <v>64</v>
      </c>
      <c r="B405" s="2">
        <v>400</v>
      </c>
      <c r="C405" s="3">
        <f t="shared" si="9"/>
        <v>4553.9999999999991</v>
      </c>
      <c r="D405" s="4">
        <f t="shared" si="10"/>
        <v>209.21158858861912</v>
      </c>
      <c r="E405" s="4"/>
      <c r="F405" s="6"/>
      <c r="G405" s="3"/>
      <c r="H405" s="4"/>
      <c r="I405" s="6"/>
    </row>
    <row r="406" spans="1:9" x14ac:dyDescent="0.2">
      <c r="A406" s="31">
        <f>Winter!A409</f>
        <v>65</v>
      </c>
      <c r="B406" s="2">
        <v>401</v>
      </c>
      <c r="C406" s="3">
        <f t="shared" si="9"/>
        <v>4802.4000000000005</v>
      </c>
      <c r="D406" s="4">
        <f t="shared" si="10"/>
        <v>220.62312978436205</v>
      </c>
      <c r="E406" s="4"/>
      <c r="F406" s="6"/>
      <c r="G406" s="3"/>
      <c r="H406" s="4"/>
      <c r="I406" s="6"/>
    </row>
    <row r="407" spans="1:9" x14ac:dyDescent="0.2">
      <c r="A407" s="31">
        <f>Winter!A410</f>
        <v>66</v>
      </c>
      <c r="B407" s="2">
        <v>402</v>
      </c>
      <c r="C407" s="3">
        <f t="shared" ref="C407:C470" si="11">C71</f>
        <v>5050.8</v>
      </c>
      <c r="D407" s="4">
        <f t="shared" si="10"/>
        <v>232.03467098010492</v>
      </c>
      <c r="E407" s="4"/>
      <c r="F407" s="6"/>
      <c r="G407" s="3"/>
      <c r="H407" s="4"/>
      <c r="I407" s="6"/>
    </row>
    <row r="408" spans="1:9" x14ac:dyDescent="0.2">
      <c r="A408" s="31">
        <f>Winter!A411</f>
        <v>67</v>
      </c>
      <c r="B408" s="2">
        <v>403</v>
      </c>
      <c r="C408" s="3">
        <f t="shared" si="11"/>
        <v>5520</v>
      </c>
      <c r="D408" s="4">
        <f t="shared" si="10"/>
        <v>253.58980434984142</v>
      </c>
      <c r="E408" s="4"/>
      <c r="F408" s="6"/>
      <c r="G408" s="3"/>
      <c r="H408" s="4"/>
      <c r="I408" s="6"/>
    </row>
    <row r="409" spans="1:9" x14ac:dyDescent="0.2">
      <c r="A409" s="31">
        <f>Winter!A412</f>
        <v>68</v>
      </c>
      <c r="B409" s="2">
        <v>404</v>
      </c>
      <c r="C409" s="3">
        <f t="shared" si="11"/>
        <v>5520</v>
      </c>
      <c r="D409" s="4">
        <f t="shared" si="10"/>
        <v>253.58980434984142</v>
      </c>
      <c r="E409" s="4"/>
      <c r="F409" s="6"/>
      <c r="G409" s="3"/>
      <c r="H409" s="4"/>
      <c r="I409" s="6"/>
    </row>
    <row r="410" spans="1:9" x14ac:dyDescent="0.2">
      <c r="A410" s="31">
        <f>Winter!A413</f>
        <v>69</v>
      </c>
      <c r="B410" s="2">
        <v>405</v>
      </c>
      <c r="C410" s="3">
        <f t="shared" si="11"/>
        <v>5796</v>
      </c>
      <c r="D410" s="4">
        <f t="shared" si="10"/>
        <v>266.26929456733347</v>
      </c>
      <c r="E410" s="4"/>
      <c r="F410" s="6"/>
      <c r="G410" s="3"/>
      <c r="H410" s="4"/>
      <c r="I410" s="6"/>
    </row>
    <row r="411" spans="1:9" x14ac:dyDescent="0.2">
      <c r="A411" s="31">
        <f>Winter!A414</f>
        <v>70</v>
      </c>
      <c r="B411" s="2">
        <v>406</v>
      </c>
      <c r="C411" s="3">
        <f t="shared" si="11"/>
        <v>5078.4000000000005</v>
      </c>
      <c r="D411" s="4">
        <f t="shared" si="10"/>
        <v>233.30262000185414</v>
      </c>
      <c r="E411" s="4"/>
      <c r="F411" s="6"/>
      <c r="G411" s="3"/>
      <c r="H411" s="4"/>
      <c r="I411" s="6"/>
    </row>
    <row r="412" spans="1:9" x14ac:dyDescent="0.2">
      <c r="A412" s="31">
        <f>Winter!A415</f>
        <v>71</v>
      </c>
      <c r="B412" s="2">
        <v>407</v>
      </c>
      <c r="C412" s="3">
        <f t="shared" si="11"/>
        <v>4360.8</v>
      </c>
      <c r="D412" s="4">
        <f t="shared" si="10"/>
        <v>200.33594543637474</v>
      </c>
      <c r="E412" s="4"/>
      <c r="F412" s="6"/>
      <c r="G412" s="3"/>
      <c r="H412" s="4"/>
      <c r="I412" s="6"/>
    </row>
    <row r="413" spans="1:9" x14ac:dyDescent="0.2">
      <c r="A413" s="31">
        <f>Winter!A416</f>
        <v>72</v>
      </c>
      <c r="B413" s="2">
        <v>408</v>
      </c>
      <c r="C413" s="3">
        <f t="shared" si="11"/>
        <v>3643.2</v>
      </c>
      <c r="D413" s="4">
        <f t="shared" si="10"/>
        <v>167.36927087089532</v>
      </c>
      <c r="E413" s="4"/>
      <c r="F413" s="6"/>
      <c r="G413" s="3"/>
      <c r="H413" s="4"/>
      <c r="I413" s="6"/>
    </row>
    <row r="414" spans="1:9" x14ac:dyDescent="0.2">
      <c r="A414" s="31">
        <f>Winter!A417</f>
        <v>73</v>
      </c>
      <c r="B414" s="2">
        <v>409</v>
      </c>
      <c r="C414" s="3">
        <f t="shared" si="11"/>
        <v>2346</v>
      </c>
      <c r="D414" s="4">
        <f t="shared" si="10"/>
        <v>107.7756668486826</v>
      </c>
      <c r="E414" s="4"/>
      <c r="F414" s="6"/>
      <c r="G414" s="3"/>
      <c r="H414" s="4"/>
      <c r="I414" s="6"/>
    </row>
    <row r="415" spans="1:9" x14ac:dyDescent="0.2">
      <c r="A415" s="31">
        <f>Winter!A418</f>
        <v>74</v>
      </c>
      <c r="B415" s="2">
        <v>410</v>
      </c>
      <c r="C415" s="3">
        <f t="shared" si="11"/>
        <v>2208</v>
      </c>
      <c r="D415" s="4">
        <f t="shared" si="10"/>
        <v>101.43592173993656</v>
      </c>
      <c r="E415" s="4"/>
      <c r="F415" s="6"/>
      <c r="G415" s="3"/>
      <c r="H415" s="4"/>
      <c r="I415" s="6"/>
    </row>
    <row r="416" spans="1:9" x14ac:dyDescent="0.2">
      <c r="A416" s="31">
        <f>Winter!A419</f>
        <v>75</v>
      </c>
      <c r="B416" s="2">
        <v>411</v>
      </c>
      <c r="C416" s="3">
        <f t="shared" si="11"/>
        <v>2346</v>
      </c>
      <c r="D416" s="4">
        <f t="shared" si="10"/>
        <v>107.7756668486826</v>
      </c>
      <c r="E416" s="4"/>
      <c r="F416" s="6"/>
      <c r="G416" s="3"/>
      <c r="H416" s="4"/>
      <c r="I416" s="6"/>
    </row>
    <row r="417" spans="1:9" x14ac:dyDescent="0.2">
      <c r="A417" s="31">
        <f>Winter!A420</f>
        <v>76</v>
      </c>
      <c r="B417" s="2">
        <v>412</v>
      </c>
      <c r="C417" s="3">
        <f t="shared" si="11"/>
        <v>2484</v>
      </c>
      <c r="D417" s="4">
        <f t="shared" si="10"/>
        <v>114.11541195742863</v>
      </c>
      <c r="E417" s="4"/>
      <c r="F417" s="6"/>
      <c r="G417" s="3"/>
      <c r="H417" s="4"/>
      <c r="I417" s="6"/>
    </row>
    <row r="418" spans="1:9" x14ac:dyDescent="0.2">
      <c r="A418" s="31">
        <f>Winter!A421</f>
        <v>77</v>
      </c>
      <c r="B418" s="2">
        <v>413</v>
      </c>
      <c r="C418" s="3">
        <f t="shared" si="11"/>
        <v>2760</v>
      </c>
      <c r="D418" s="4">
        <f t="shared" si="10"/>
        <v>126.79490217492071</v>
      </c>
      <c r="E418" s="4"/>
      <c r="F418" s="6"/>
      <c r="G418" s="3"/>
      <c r="H418" s="4"/>
      <c r="I418" s="6"/>
    </row>
    <row r="419" spans="1:9" x14ac:dyDescent="0.2">
      <c r="A419" s="31">
        <f>Winter!A422</f>
        <v>78</v>
      </c>
      <c r="B419" s="2">
        <v>414</v>
      </c>
      <c r="C419" s="3">
        <f t="shared" si="11"/>
        <v>2944</v>
      </c>
      <c r="D419" s="4">
        <f t="shared" si="10"/>
        <v>135.24789565324875</v>
      </c>
      <c r="E419" s="4"/>
      <c r="F419" s="6"/>
      <c r="G419" s="3"/>
      <c r="H419" s="4"/>
      <c r="I419" s="6"/>
    </row>
    <row r="420" spans="1:9" x14ac:dyDescent="0.2">
      <c r="A420" s="31">
        <f>Winter!A423</f>
        <v>79</v>
      </c>
      <c r="B420" s="2">
        <v>415</v>
      </c>
      <c r="C420" s="3">
        <f t="shared" si="11"/>
        <v>3127.9999999999995</v>
      </c>
      <c r="D420" s="4">
        <f t="shared" si="10"/>
        <v>143.70088913157679</v>
      </c>
      <c r="E420" s="4"/>
      <c r="F420" s="6"/>
      <c r="G420" s="3"/>
      <c r="H420" s="4"/>
      <c r="I420" s="6"/>
    </row>
    <row r="421" spans="1:9" x14ac:dyDescent="0.2">
      <c r="A421" s="31">
        <f>Winter!A424</f>
        <v>80</v>
      </c>
      <c r="B421" s="2">
        <v>416</v>
      </c>
      <c r="C421" s="3">
        <f t="shared" si="11"/>
        <v>3312</v>
      </c>
      <c r="D421" s="4">
        <f t="shared" si="10"/>
        <v>152.15388260990485</v>
      </c>
      <c r="E421" s="4"/>
      <c r="F421" s="6"/>
      <c r="G421" s="3"/>
      <c r="H421" s="4"/>
      <c r="I421" s="6"/>
    </row>
    <row r="422" spans="1:9" x14ac:dyDescent="0.2">
      <c r="A422" s="31">
        <f>Winter!A425</f>
        <v>81</v>
      </c>
      <c r="B422" s="2">
        <v>417</v>
      </c>
      <c r="C422" s="3">
        <f t="shared" si="11"/>
        <v>3495.9999999999995</v>
      </c>
      <c r="D422" s="4">
        <f t="shared" si="10"/>
        <v>160.60687608823287</v>
      </c>
      <c r="E422" s="4"/>
      <c r="F422" s="6"/>
      <c r="G422" s="3"/>
      <c r="H422" s="4"/>
      <c r="I422" s="6"/>
    </row>
    <row r="423" spans="1:9" x14ac:dyDescent="0.2">
      <c r="A423" s="31">
        <f>Winter!A426</f>
        <v>82</v>
      </c>
      <c r="B423" s="2">
        <v>418</v>
      </c>
      <c r="C423" s="3">
        <f t="shared" si="11"/>
        <v>3679.9999999999995</v>
      </c>
      <c r="D423" s="4">
        <f t="shared" si="10"/>
        <v>169.05986956656091</v>
      </c>
      <c r="E423" s="4"/>
      <c r="F423" s="6"/>
      <c r="G423" s="3"/>
      <c r="H423" s="4"/>
      <c r="I423" s="6"/>
    </row>
    <row r="424" spans="1:9" x14ac:dyDescent="0.2">
      <c r="A424" s="31">
        <f>Winter!A427</f>
        <v>83</v>
      </c>
      <c r="B424" s="2">
        <v>419</v>
      </c>
      <c r="C424" s="3">
        <f t="shared" si="11"/>
        <v>3864</v>
      </c>
      <c r="D424" s="4">
        <f t="shared" si="10"/>
        <v>177.51286304488897</v>
      </c>
      <c r="E424" s="4"/>
      <c r="F424" s="6"/>
      <c r="G424" s="3"/>
      <c r="H424" s="4"/>
      <c r="I424" s="6"/>
    </row>
    <row r="425" spans="1:9" x14ac:dyDescent="0.2">
      <c r="A425" s="31">
        <f>Winter!A428</f>
        <v>84</v>
      </c>
      <c r="B425" s="2">
        <v>420</v>
      </c>
      <c r="C425" s="3">
        <f t="shared" si="11"/>
        <v>4048</v>
      </c>
      <c r="D425" s="4">
        <f t="shared" si="10"/>
        <v>185.96585652321704</v>
      </c>
      <c r="E425" s="4"/>
      <c r="F425" s="6"/>
      <c r="G425" s="3"/>
      <c r="H425" s="4"/>
      <c r="I425" s="6"/>
    </row>
    <row r="426" spans="1:9" x14ac:dyDescent="0.2">
      <c r="A426" s="31">
        <f>Winter!A429</f>
        <v>85</v>
      </c>
      <c r="B426" s="2">
        <v>421</v>
      </c>
      <c r="C426" s="3">
        <f t="shared" si="11"/>
        <v>4231.9999999999991</v>
      </c>
      <c r="D426" s="4">
        <f t="shared" si="10"/>
        <v>194.41885000154505</v>
      </c>
      <c r="E426" s="4"/>
      <c r="F426" s="6"/>
      <c r="G426" s="3"/>
      <c r="H426" s="4"/>
      <c r="I426" s="6"/>
    </row>
    <row r="427" spans="1:9" x14ac:dyDescent="0.2">
      <c r="A427" s="31">
        <f>Winter!A430</f>
        <v>86</v>
      </c>
      <c r="B427" s="2">
        <v>422</v>
      </c>
      <c r="C427" s="3">
        <f t="shared" si="11"/>
        <v>4416</v>
      </c>
      <c r="D427" s="4">
        <f t="shared" si="10"/>
        <v>202.87184347987312</v>
      </c>
      <c r="E427" s="4"/>
      <c r="F427" s="6"/>
      <c r="G427" s="3"/>
      <c r="H427" s="4"/>
      <c r="I427" s="6"/>
    </row>
    <row r="428" spans="1:9" x14ac:dyDescent="0.2">
      <c r="A428" s="31">
        <f>Winter!A431</f>
        <v>87</v>
      </c>
      <c r="B428" s="2">
        <v>423</v>
      </c>
      <c r="C428" s="3">
        <f t="shared" si="11"/>
        <v>4278</v>
      </c>
      <c r="D428" s="4">
        <f t="shared" si="10"/>
        <v>196.53209837112709</v>
      </c>
      <c r="E428" s="4"/>
      <c r="F428" s="6"/>
      <c r="G428" s="3"/>
      <c r="H428" s="4"/>
      <c r="I428" s="6"/>
    </row>
    <row r="429" spans="1:9" x14ac:dyDescent="0.2">
      <c r="A429" s="31">
        <f>Winter!A432</f>
        <v>88</v>
      </c>
      <c r="B429" s="2">
        <v>424</v>
      </c>
      <c r="C429" s="3">
        <f t="shared" si="11"/>
        <v>4600.0000000000009</v>
      </c>
      <c r="D429" s="4">
        <f t="shared" si="10"/>
        <v>211.32483695820122</v>
      </c>
      <c r="E429" s="4"/>
      <c r="F429" s="6"/>
      <c r="G429" s="3"/>
      <c r="H429" s="4"/>
      <c r="I429" s="6"/>
    </row>
    <row r="430" spans="1:9" x14ac:dyDescent="0.2">
      <c r="A430" s="31">
        <f>Winter!A433</f>
        <v>89</v>
      </c>
      <c r="B430" s="2">
        <v>425</v>
      </c>
      <c r="C430" s="3">
        <f t="shared" si="11"/>
        <v>4922</v>
      </c>
      <c r="D430" s="4">
        <f t="shared" si="10"/>
        <v>226.11757554527526</v>
      </c>
      <c r="E430" s="4"/>
      <c r="F430" s="6"/>
      <c r="G430" s="3"/>
      <c r="H430" s="4"/>
      <c r="I430" s="6"/>
    </row>
    <row r="431" spans="1:9" x14ac:dyDescent="0.2">
      <c r="A431" s="31">
        <f>Winter!A434</f>
        <v>90</v>
      </c>
      <c r="B431" s="2">
        <v>426</v>
      </c>
      <c r="C431" s="3">
        <f t="shared" si="11"/>
        <v>5244</v>
      </c>
      <c r="D431" s="4">
        <f t="shared" si="10"/>
        <v>240.91031413234933</v>
      </c>
      <c r="E431" s="4"/>
      <c r="F431" s="6"/>
      <c r="G431" s="3"/>
      <c r="H431" s="4"/>
      <c r="I431" s="6"/>
    </row>
    <row r="432" spans="1:9" x14ac:dyDescent="0.2">
      <c r="A432" s="31">
        <f>Winter!A435</f>
        <v>91</v>
      </c>
      <c r="B432" s="2">
        <v>427</v>
      </c>
      <c r="C432" s="3">
        <f t="shared" si="11"/>
        <v>4864.5</v>
      </c>
      <c r="D432" s="4">
        <f t="shared" si="10"/>
        <v>223.47601508329774</v>
      </c>
      <c r="E432" s="4"/>
      <c r="F432" s="6"/>
      <c r="G432" s="3"/>
      <c r="H432" s="4"/>
      <c r="I432" s="6"/>
    </row>
    <row r="433" spans="1:9" x14ac:dyDescent="0.2">
      <c r="A433" s="31">
        <f>Winter!A436</f>
        <v>92</v>
      </c>
      <c r="B433" s="2">
        <v>428</v>
      </c>
      <c r="C433" s="3">
        <f t="shared" si="11"/>
        <v>4485</v>
      </c>
      <c r="D433" s="4">
        <f t="shared" si="10"/>
        <v>206.04171603424615</v>
      </c>
      <c r="E433" s="4"/>
      <c r="F433" s="6"/>
      <c r="G433" s="3"/>
      <c r="H433" s="4"/>
      <c r="I433" s="6"/>
    </row>
    <row r="434" spans="1:9" x14ac:dyDescent="0.2">
      <c r="A434" s="31">
        <f>Winter!A437</f>
        <v>93</v>
      </c>
      <c r="B434" s="2">
        <v>429</v>
      </c>
      <c r="C434" s="3">
        <f t="shared" si="11"/>
        <v>4105.5</v>
      </c>
      <c r="D434" s="4">
        <f t="shared" si="10"/>
        <v>188.60741698519453</v>
      </c>
      <c r="E434" s="4"/>
      <c r="F434" s="6"/>
      <c r="G434" s="3"/>
      <c r="H434" s="4"/>
      <c r="I434" s="6"/>
    </row>
    <row r="435" spans="1:9" x14ac:dyDescent="0.2">
      <c r="A435" s="31">
        <f>Winter!A438</f>
        <v>94</v>
      </c>
      <c r="B435" s="2">
        <v>430</v>
      </c>
      <c r="C435" s="3">
        <f t="shared" si="11"/>
        <v>3726.0000000000005</v>
      </c>
      <c r="D435" s="4">
        <f t="shared" si="10"/>
        <v>171.17311793614297</v>
      </c>
      <c r="E435" s="4"/>
      <c r="F435" s="6"/>
      <c r="G435" s="3"/>
      <c r="H435" s="4"/>
      <c r="I435" s="6"/>
    </row>
    <row r="436" spans="1:9" x14ac:dyDescent="0.2">
      <c r="A436" s="31">
        <f>Winter!A439</f>
        <v>95</v>
      </c>
      <c r="B436" s="2">
        <v>431</v>
      </c>
      <c r="C436" s="3">
        <f t="shared" si="11"/>
        <v>3346.5000000000009</v>
      </c>
      <c r="D436" s="4">
        <f t="shared" si="10"/>
        <v>153.73881888709138</v>
      </c>
      <c r="E436" s="4"/>
      <c r="F436" s="6"/>
      <c r="G436" s="3"/>
      <c r="H436" s="4"/>
      <c r="I436" s="6"/>
    </row>
    <row r="437" spans="1:9" x14ac:dyDescent="0.2">
      <c r="A437" s="31">
        <f>Winter!A440</f>
        <v>96</v>
      </c>
      <c r="B437" s="2">
        <v>432</v>
      </c>
      <c r="C437" s="3">
        <f t="shared" si="11"/>
        <v>2760</v>
      </c>
      <c r="D437" s="4">
        <f t="shared" si="10"/>
        <v>126.79490217492071</v>
      </c>
      <c r="E437" s="4"/>
      <c r="F437" s="6"/>
      <c r="G437" s="3"/>
      <c r="H437" s="4"/>
      <c r="I437" s="6"/>
    </row>
    <row r="438" spans="1:9" x14ac:dyDescent="0.2">
      <c r="A438" s="31">
        <f>Winter!A441</f>
        <v>97</v>
      </c>
      <c r="B438" s="2">
        <v>433</v>
      </c>
      <c r="C438" s="3">
        <f t="shared" si="11"/>
        <v>2346</v>
      </c>
      <c r="D438" s="4">
        <f t="shared" si="10"/>
        <v>107.7756668486826</v>
      </c>
      <c r="E438" s="4"/>
      <c r="F438" s="6"/>
      <c r="G438" s="3"/>
      <c r="H438" s="4"/>
      <c r="I438" s="6"/>
    </row>
    <row r="439" spans="1:9" x14ac:dyDescent="0.2">
      <c r="A439" s="31">
        <f>Winter!A442</f>
        <v>98</v>
      </c>
      <c r="B439" s="2">
        <v>434</v>
      </c>
      <c r="C439" s="3">
        <f t="shared" si="11"/>
        <v>2208</v>
      </c>
      <c r="D439" s="4">
        <f t="shared" si="10"/>
        <v>101.43592173993656</v>
      </c>
      <c r="E439" s="4"/>
      <c r="F439" s="6"/>
      <c r="G439" s="3"/>
      <c r="H439" s="4"/>
      <c r="I439" s="6"/>
    </row>
    <row r="440" spans="1:9" x14ac:dyDescent="0.2">
      <c r="A440" s="31">
        <f>Winter!A443</f>
        <v>99</v>
      </c>
      <c r="B440" s="2">
        <v>435</v>
      </c>
      <c r="C440" s="3">
        <f t="shared" si="11"/>
        <v>2346</v>
      </c>
      <c r="D440" s="4">
        <f t="shared" si="10"/>
        <v>107.7756668486826</v>
      </c>
      <c r="E440" s="4"/>
      <c r="F440" s="6"/>
      <c r="G440" s="3"/>
      <c r="H440" s="4"/>
      <c r="I440" s="6"/>
    </row>
    <row r="441" spans="1:9" x14ac:dyDescent="0.2">
      <c r="A441" s="31">
        <f>Winter!A444</f>
        <v>100</v>
      </c>
      <c r="B441" s="2">
        <v>436</v>
      </c>
      <c r="C441" s="3">
        <f t="shared" si="11"/>
        <v>2484</v>
      </c>
      <c r="D441" s="4">
        <f t="shared" si="10"/>
        <v>114.11541195742863</v>
      </c>
      <c r="E441" s="4"/>
      <c r="F441" s="6"/>
      <c r="G441" s="3"/>
      <c r="H441" s="4"/>
      <c r="I441" s="6"/>
    </row>
    <row r="442" spans="1:9" x14ac:dyDescent="0.2">
      <c r="A442" s="31">
        <f>Winter!A445</f>
        <v>101</v>
      </c>
      <c r="B442" s="2">
        <v>437</v>
      </c>
      <c r="C442" s="3">
        <f t="shared" si="11"/>
        <v>2734.909090909091</v>
      </c>
      <c r="D442" s="4">
        <f t="shared" si="10"/>
        <v>125.6422212460578</v>
      </c>
      <c r="E442" s="4"/>
      <c r="F442" s="6"/>
      <c r="G442" s="3"/>
      <c r="H442" s="4"/>
      <c r="I442" s="6"/>
    </row>
    <row r="443" spans="1:9" x14ac:dyDescent="0.2">
      <c r="A443" s="31">
        <f>Winter!A446</f>
        <v>102</v>
      </c>
      <c r="B443" s="2">
        <v>438</v>
      </c>
      <c r="C443" s="3">
        <f t="shared" si="11"/>
        <v>2910.5454545454545</v>
      </c>
      <c r="D443" s="4">
        <f t="shared" si="10"/>
        <v>133.7109877480982</v>
      </c>
      <c r="E443" s="4"/>
      <c r="F443" s="6"/>
      <c r="G443" s="3"/>
      <c r="H443" s="4"/>
      <c r="I443" s="6"/>
    </row>
    <row r="444" spans="1:9" x14ac:dyDescent="0.2">
      <c r="A444" s="31">
        <f>Winter!A447</f>
        <v>103</v>
      </c>
      <c r="B444" s="2">
        <v>439</v>
      </c>
      <c r="C444" s="3">
        <f t="shared" si="11"/>
        <v>3086.181818181818</v>
      </c>
      <c r="D444" s="4">
        <f t="shared" si="10"/>
        <v>141.77975425013861</v>
      </c>
      <c r="E444" s="4"/>
      <c r="F444" s="6"/>
      <c r="G444" s="3"/>
      <c r="H444" s="4"/>
      <c r="I444" s="6"/>
    </row>
    <row r="445" spans="1:9" x14ac:dyDescent="0.2">
      <c r="A445" s="31">
        <f>Winter!A448</f>
        <v>104</v>
      </c>
      <c r="B445" s="2">
        <v>440</v>
      </c>
      <c r="C445" s="3">
        <f t="shared" si="11"/>
        <v>3261.818181818182</v>
      </c>
      <c r="D445" s="4">
        <f t="shared" si="10"/>
        <v>149.84852075217901</v>
      </c>
      <c r="E445" s="4"/>
      <c r="F445" s="6"/>
      <c r="G445" s="3"/>
      <c r="H445" s="4"/>
      <c r="I445" s="6"/>
    </row>
    <row r="446" spans="1:9" x14ac:dyDescent="0.2">
      <c r="A446" s="31">
        <f>Winter!A449</f>
        <v>105</v>
      </c>
      <c r="B446" s="2">
        <v>441</v>
      </c>
      <c r="C446" s="3">
        <f t="shared" si="11"/>
        <v>3437.454545454546</v>
      </c>
      <c r="D446" s="4">
        <f t="shared" si="10"/>
        <v>157.91728725421945</v>
      </c>
      <c r="E446" s="4"/>
      <c r="F446" s="6"/>
      <c r="G446" s="3"/>
      <c r="H446" s="4"/>
      <c r="I446" s="6"/>
    </row>
    <row r="447" spans="1:9" x14ac:dyDescent="0.2">
      <c r="A447" s="31">
        <f>Winter!A450</f>
        <v>106</v>
      </c>
      <c r="B447" s="2">
        <v>442</v>
      </c>
      <c r="C447" s="3">
        <f t="shared" si="11"/>
        <v>3613.090909090909</v>
      </c>
      <c r="D447" s="4">
        <f t="shared" si="10"/>
        <v>165.98605375625982</v>
      </c>
      <c r="E447" s="4"/>
      <c r="F447" s="6"/>
      <c r="G447" s="3"/>
      <c r="H447" s="4"/>
      <c r="I447" s="6"/>
    </row>
    <row r="448" spans="1:9" x14ac:dyDescent="0.2">
      <c r="A448" s="31">
        <f>Winter!A451</f>
        <v>107</v>
      </c>
      <c r="B448" s="2">
        <v>443</v>
      </c>
      <c r="C448" s="3">
        <f t="shared" si="11"/>
        <v>3788.7272727272725</v>
      </c>
      <c r="D448" s="4">
        <f t="shared" si="10"/>
        <v>174.05482025830023</v>
      </c>
      <c r="E448" s="4"/>
      <c r="F448" s="6"/>
      <c r="G448" s="3"/>
      <c r="H448" s="4"/>
      <c r="I448" s="6"/>
    </row>
    <row r="449" spans="1:9" x14ac:dyDescent="0.2">
      <c r="A449" s="31">
        <f>Winter!A452</f>
        <v>108</v>
      </c>
      <c r="B449" s="2">
        <v>444</v>
      </c>
      <c r="C449" s="3">
        <f t="shared" si="11"/>
        <v>3964.3636363636369</v>
      </c>
      <c r="D449" s="4">
        <f t="shared" si="10"/>
        <v>182.12358676034069</v>
      </c>
      <c r="E449" s="4"/>
      <c r="F449" s="6"/>
      <c r="G449" s="3"/>
      <c r="H449" s="4"/>
      <c r="I449" s="6"/>
    </row>
    <row r="450" spans="1:9" x14ac:dyDescent="0.2">
      <c r="A450" s="31">
        <f>Winter!A453</f>
        <v>109</v>
      </c>
      <c r="B450" s="2">
        <v>445</v>
      </c>
      <c r="C450" s="3">
        <f t="shared" si="11"/>
        <v>4140.0000000000009</v>
      </c>
      <c r="D450" s="4">
        <f t="shared" si="10"/>
        <v>190.19235326238109</v>
      </c>
      <c r="E450" s="4"/>
      <c r="F450" s="6"/>
      <c r="G450" s="3"/>
      <c r="H450" s="4"/>
      <c r="I450" s="6"/>
    </row>
    <row r="451" spans="1:9" x14ac:dyDescent="0.2">
      <c r="A451" s="31">
        <f>Winter!A454</f>
        <v>110</v>
      </c>
      <c r="B451" s="2">
        <v>446</v>
      </c>
      <c r="C451" s="3">
        <f t="shared" si="11"/>
        <v>4061.1428571428573</v>
      </c>
      <c r="D451" s="4">
        <f t="shared" si="10"/>
        <v>186.56964177166904</v>
      </c>
      <c r="E451" s="4"/>
      <c r="F451" s="6"/>
      <c r="G451" s="3"/>
      <c r="H451" s="4"/>
      <c r="I451" s="6"/>
    </row>
    <row r="452" spans="1:9" x14ac:dyDescent="0.2">
      <c r="A452" s="31">
        <f>Winter!A455</f>
        <v>111</v>
      </c>
      <c r="B452" s="2">
        <v>447</v>
      </c>
      <c r="C452" s="3">
        <f t="shared" si="11"/>
        <v>3982.2857142857151</v>
      </c>
      <c r="D452" s="4">
        <f t="shared" si="10"/>
        <v>182.94693028095705</v>
      </c>
      <c r="E452" s="4"/>
      <c r="F452" s="6"/>
      <c r="G452" s="3"/>
      <c r="H452" s="4"/>
      <c r="I452" s="6"/>
    </row>
    <row r="453" spans="1:9" x14ac:dyDescent="0.2">
      <c r="A453" s="31">
        <f>Winter!A456</f>
        <v>112</v>
      </c>
      <c r="B453" s="2">
        <v>448</v>
      </c>
      <c r="C453" s="3">
        <f t="shared" si="11"/>
        <v>3903.428571428572</v>
      </c>
      <c r="D453" s="4">
        <f t="shared" si="10"/>
        <v>179.32421879024503</v>
      </c>
      <c r="E453" s="4"/>
      <c r="F453" s="6"/>
      <c r="G453" s="3"/>
      <c r="H453" s="4"/>
      <c r="I453" s="6"/>
    </row>
    <row r="454" spans="1:9" x14ac:dyDescent="0.2">
      <c r="A454" s="31">
        <f>Winter!A457</f>
        <v>113</v>
      </c>
      <c r="B454" s="2">
        <v>449</v>
      </c>
      <c r="C454" s="3">
        <f t="shared" si="11"/>
        <v>3824.5714285714289</v>
      </c>
      <c r="D454" s="4">
        <f t="shared" si="10"/>
        <v>175.70150729953301</v>
      </c>
      <c r="E454" s="4"/>
      <c r="F454" s="6"/>
      <c r="G454" s="3"/>
      <c r="H454" s="4"/>
      <c r="I454" s="6"/>
    </row>
    <row r="455" spans="1:9" x14ac:dyDescent="0.2">
      <c r="A455" s="31">
        <f>Winter!A458</f>
        <v>114</v>
      </c>
      <c r="B455" s="2">
        <v>450</v>
      </c>
      <c r="C455" s="3">
        <f t="shared" si="11"/>
        <v>3745.7142857142858</v>
      </c>
      <c r="D455" s="4">
        <f t="shared" ref="D455:D518" si="12">$G$3*C455*(1/$G$5-1/$G$4)</f>
        <v>172.07879580882096</v>
      </c>
      <c r="E455" s="4"/>
      <c r="F455" s="6"/>
      <c r="G455" s="3"/>
      <c r="H455" s="4"/>
      <c r="I455" s="6"/>
    </row>
    <row r="456" spans="1:9" x14ac:dyDescent="0.2">
      <c r="A456" s="31">
        <f>Winter!A459</f>
        <v>115</v>
      </c>
      <c r="B456" s="2">
        <v>451</v>
      </c>
      <c r="C456" s="3">
        <f t="shared" si="11"/>
        <v>3666.8571428571431</v>
      </c>
      <c r="D456" s="4">
        <f t="shared" si="12"/>
        <v>168.45608431810896</v>
      </c>
      <c r="E456" s="4"/>
      <c r="F456" s="6"/>
      <c r="G456" s="3"/>
      <c r="H456" s="4"/>
      <c r="I456" s="6"/>
    </row>
    <row r="457" spans="1:9" x14ac:dyDescent="0.2">
      <c r="A457" s="31">
        <f>Winter!A460</f>
        <v>116</v>
      </c>
      <c r="B457" s="2">
        <v>452</v>
      </c>
      <c r="C457" s="3">
        <f t="shared" si="11"/>
        <v>3588</v>
      </c>
      <c r="D457" s="4">
        <f t="shared" si="12"/>
        <v>164.83337282739691</v>
      </c>
      <c r="E457" s="4"/>
      <c r="F457" s="6"/>
      <c r="G457" s="3"/>
      <c r="H457" s="4"/>
      <c r="I457" s="6"/>
    </row>
    <row r="458" spans="1:9" x14ac:dyDescent="0.2">
      <c r="A458" s="31">
        <f>Winter!A461</f>
        <v>117</v>
      </c>
      <c r="B458" s="2">
        <v>453</v>
      </c>
      <c r="C458" s="3">
        <f t="shared" si="11"/>
        <v>3864</v>
      </c>
      <c r="D458" s="4">
        <f t="shared" si="12"/>
        <v>177.51286304488897</v>
      </c>
      <c r="E458" s="4"/>
      <c r="F458" s="6"/>
      <c r="G458" s="3"/>
      <c r="H458" s="4"/>
      <c r="I458" s="6"/>
    </row>
    <row r="459" spans="1:9" x14ac:dyDescent="0.2">
      <c r="A459" s="31">
        <f>Winter!A462</f>
        <v>118</v>
      </c>
      <c r="B459" s="2">
        <v>454</v>
      </c>
      <c r="C459" s="3">
        <f t="shared" si="11"/>
        <v>3449.9999999999995</v>
      </c>
      <c r="D459" s="4">
        <f t="shared" si="12"/>
        <v>158.49362771865086</v>
      </c>
      <c r="E459" s="4"/>
      <c r="F459" s="6"/>
      <c r="G459" s="3"/>
      <c r="H459" s="4"/>
      <c r="I459" s="6"/>
    </row>
    <row r="460" spans="1:9" x14ac:dyDescent="0.2">
      <c r="A460" s="31">
        <f>Winter!A463</f>
        <v>119</v>
      </c>
      <c r="B460" s="2">
        <v>455</v>
      </c>
      <c r="C460" s="3">
        <f t="shared" si="11"/>
        <v>3036</v>
      </c>
      <c r="D460" s="4">
        <f t="shared" si="12"/>
        <v>139.47439239241277</v>
      </c>
      <c r="E460" s="4"/>
      <c r="F460" s="6"/>
      <c r="G460" s="3"/>
      <c r="H460" s="4"/>
      <c r="I460" s="6"/>
    </row>
    <row r="461" spans="1:9" x14ac:dyDescent="0.2">
      <c r="A461" s="31">
        <f>Winter!A464</f>
        <v>120</v>
      </c>
      <c r="B461" s="2">
        <v>456</v>
      </c>
      <c r="C461" s="3">
        <f t="shared" si="11"/>
        <v>2622</v>
      </c>
      <c r="D461" s="4">
        <f t="shared" si="12"/>
        <v>120.45515706617466</v>
      </c>
      <c r="E461" s="4"/>
      <c r="F461" s="6"/>
      <c r="G461" s="3"/>
      <c r="H461" s="4"/>
      <c r="I461" s="6"/>
    </row>
    <row r="462" spans="1:9" x14ac:dyDescent="0.2">
      <c r="A462" s="31">
        <f>Winter!A465</f>
        <v>121</v>
      </c>
      <c r="B462" s="2">
        <v>457</v>
      </c>
      <c r="C462" s="3">
        <f t="shared" si="11"/>
        <v>2208</v>
      </c>
      <c r="D462" s="4">
        <f t="shared" si="12"/>
        <v>101.43592173993656</v>
      </c>
      <c r="E462" s="4"/>
      <c r="F462" s="6"/>
      <c r="G462" s="3"/>
      <c r="H462" s="4"/>
      <c r="I462" s="6"/>
    </row>
    <row r="463" spans="1:9" x14ac:dyDescent="0.2">
      <c r="A463" s="31">
        <f>Winter!A466</f>
        <v>122</v>
      </c>
      <c r="B463" s="2">
        <v>458</v>
      </c>
      <c r="C463" s="3">
        <f t="shared" si="11"/>
        <v>2208</v>
      </c>
      <c r="D463" s="4">
        <f t="shared" si="12"/>
        <v>101.43592173993656</v>
      </c>
      <c r="E463" s="4"/>
      <c r="F463" s="6"/>
      <c r="G463" s="3"/>
      <c r="H463" s="4"/>
      <c r="I463" s="6"/>
    </row>
    <row r="464" spans="1:9" x14ac:dyDescent="0.2">
      <c r="A464" s="31">
        <f>Winter!A467</f>
        <v>123</v>
      </c>
      <c r="B464" s="2">
        <v>459</v>
      </c>
      <c r="C464" s="3">
        <f t="shared" si="11"/>
        <v>2365.7142857142862</v>
      </c>
      <c r="D464" s="4">
        <f t="shared" si="12"/>
        <v>108.68134472136062</v>
      </c>
      <c r="E464" s="4"/>
      <c r="F464" s="6"/>
      <c r="G464" s="3"/>
      <c r="H464" s="4"/>
      <c r="I464" s="6"/>
    </row>
    <row r="465" spans="1:9" x14ac:dyDescent="0.2">
      <c r="A465" s="31">
        <f>Winter!A468</f>
        <v>124</v>
      </c>
      <c r="B465" s="2">
        <v>460</v>
      </c>
      <c r="C465" s="3">
        <f t="shared" si="11"/>
        <v>2523.4285714285716</v>
      </c>
      <c r="D465" s="4">
        <f t="shared" si="12"/>
        <v>115.92676770278464</v>
      </c>
      <c r="E465" s="4"/>
      <c r="F465" s="6"/>
      <c r="G465" s="3"/>
      <c r="H465" s="4"/>
      <c r="I465" s="6"/>
    </row>
    <row r="466" spans="1:9" x14ac:dyDescent="0.2">
      <c r="A466" s="31">
        <f>Winter!A469</f>
        <v>125</v>
      </c>
      <c r="B466" s="2">
        <v>461</v>
      </c>
      <c r="C466" s="3">
        <f t="shared" si="11"/>
        <v>2681.1428571428573</v>
      </c>
      <c r="D466" s="4">
        <f t="shared" si="12"/>
        <v>123.17219068420869</v>
      </c>
      <c r="E466" s="4"/>
      <c r="F466" s="6"/>
      <c r="G466" s="3"/>
      <c r="H466" s="4"/>
      <c r="I466" s="6"/>
    </row>
    <row r="467" spans="1:9" x14ac:dyDescent="0.2">
      <c r="A467" s="31">
        <f>Winter!A470</f>
        <v>126</v>
      </c>
      <c r="B467" s="2">
        <v>462</v>
      </c>
      <c r="C467" s="3">
        <f t="shared" si="11"/>
        <v>2838.8571428571436</v>
      </c>
      <c r="D467" s="4">
        <f t="shared" si="12"/>
        <v>130.41761366563276</v>
      </c>
      <c r="E467" s="4"/>
      <c r="F467" s="6"/>
      <c r="G467" s="3"/>
      <c r="H467" s="4"/>
      <c r="I467" s="6"/>
    </row>
    <row r="468" spans="1:9" x14ac:dyDescent="0.2">
      <c r="A468" s="31">
        <f>Winter!A471</f>
        <v>127</v>
      </c>
      <c r="B468" s="2">
        <v>463</v>
      </c>
      <c r="C468" s="3">
        <f t="shared" si="11"/>
        <v>2996.5714285714289</v>
      </c>
      <c r="D468" s="4">
        <f t="shared" si="12"/>
        <v>137.66303664705677</v>
      </c>
      <c r="E468" s="4"/>
      <c r="F468" s="6"/>
      <c r="G468" s="3"/>
      <c r="H468" s="4"/>
      <c r="I468" s="6"/>
    </row>
    <row r="469" spans="1:9" x14ac:dyDescent="0.2">
      <c r="A469" s="31">
        <f>Winter!A472</f>
        <v>128</v>
      </c>
      <c r="B469" s="2">
        <v>464</v>
      </c>
      <c r="C469" s="3">
        <f t="shared" si="11"/>
        <v>3154.2857142857147</v>
      </c>
      <c r="D469" s="4">
        <f t="shared" si="12"/>
        <v>144.90845962848081</v>
      </c>
      <c r="E469" s="4"/>
      <c r="F469" s="6"/>
      <c r="G469" s="3"/>
      <c r="H469" s="4"/>
      <c r="I469" s="6"/>
    </row>
    <row r="470" spans="1:9" x14ac:dyDescent="0.2">
      <c r="A470" s="31">
        <f>Winter!A473</f>
        <v>129</v>
      </c>
      <c r="B470" s="2">
        <v>465</v>
      </c>
      <c r="C470" s="3">
        <f t="shared" si="11"/>
        <v>3312.0000000000005</v>
      </c>
      <c r="D470" s="4">
        <f t="shared" si="12"/>
        <v>152.15388260990485</v>
      </c>
      <c r="E470" s="4"/>
      <c r="F470" s="6"/>
      <c r="G470" s="3"/>
      <c r="H470" s="4"/>
      <c r="I470" s="6"/>
    </row>
    <row r="471" spans="1:9" x14ac:dyDescent="0.2">
      <c r="A471" s="31">
        <f>Winter!A474</f>
        <v>130</v>
      </c>
      <c r="B471" s="2">
        <v>466</v>
      </c>
      <c r="C471" s="3">
        <f t="shared" ref="C471:C509" si="13">C135</f>
        <v>3469.7142857142862</v>
      </c>
      <c r="D471" s="4">
        <f t="shared" si="12"/>
        <v>159.3993055913289</v>
      </c>
      <c r="E471" s="4"/>
      <c r="F471" s="6"/>
      <c r="G471" s="3"/>
      <c r="H471" s="4"/>
      <c r="I471" s="6"/>
    </row>
    <row r="472" spans="1:9" x14ac:dyDescent="0.2">
      <c r="A472" s="31">
        <f>Winter!A475</f>
        <v>131</v>
      </c>
      <c r="B472" s="2">
        <v>467</v>
      </c>
      <c r="C472" s="3">
        <f t="shared" si="13"/>
        <v>3627.428571428572</v>
      </c>
      <c r="D472" s="4">
        <f t="shared" si="12"/>
        <v>166.64472857275294</v>
      </c>
      <c r="E472" s="4"/>
      <c r="F472" s="6"/>
      <c r="G472" s="3"/>
      <c r="H472" s="4"/>
      <c r="I472" s="6"/>
    </row>
    <row r="473" spans="1:9" x14ac:dyDescent="0.2">
      <c r="A473" s="31">
        <f>Winter!A476</f>
        <v>132</v>
      </c>
      <c r="B473" s="2">
        <v>468</v>
      </c>
      <c r="C473" s="3">
        <f t="shared" si="13"/>
        <v>3785.1428571428582</v>
      </c>
      <c r="D473" s="4">
        <f t="shared" si="12"/>
        <v>173.89015155417704</v>
      </c>
      <c r="E473" s="4"/>
      <c r="F473" s="6"/>
      <c r="G473" s="3"/>
      <c r="H473" s="4"/>
      <c r="I473" s="6"/>
    </row>
    <row r="474" spans="1:9" x14ac:dyDescent="0.2">
      <c r="A474" s="31">
        <f>Winter!A477</f>
        <v>133</v>
      </c>
      <c r="B474" s="2">
        <v>469</v>
      </c>
      <c r="C474" s="3">
        <f t="shared" si="13"/>
        <v>3864</v>
      </c>
      <c r="D474" s="4">
        <f t="shared" si="12"/>
        <v>177.51286304488897</v>
      </c>
      <c r="E474" s="4"/>
      <c r="F474" s="6"/>
      <c r="G474" s="3"/>
      <c r="H474" s="4"/>
      <c r="I474" s="6"/>
    </row>
    <row r="475" spans="1:9" x14ac:dyDescent="0.2">
      <c r="A475" s="31">
        <f>Winter!A478</f>
        <v>134</v>
      </c>
      <c r="B475" s="2">
        <v>470</v>
      </c>
      <c r="C475" s="3">
        <f t="shared" si="13"/>
        <v>3864</v>
      </c>
      <c r="D475" s="4">
        <f t="shared" si="12"/>
        <v>177.51286304488897</v>
      </c>
      <c r="E475" s="4"/>
      <c r="F475" s="6"/>
      <c r="G475" s="3"/>
      <c r="H475" s="4"/>
      <c r="I475" s="6"/>
    </row>
    <row r="476" spans="1:9" x14ac:dyDescent="0.2">
      <c r="A476" s="31">
        <f>Winter!A479</f>
        <v>135</v>
      </c>
      <c r="B476" s="2">
        <v>471</v>
      </c>
      <c r="C476" s="3">
        <f t="shared" si="13"/>
        <v>4258.2857142857147</v>
      </c>
      <c r="D476" s="4">
        <f t="shared" si="12"/>
        <v>195.62642049844908</v>
      </c>
      <c r="E476" s="4"/>
      <c r="F476" s="6"/>
      <c r="G476" s="3"/>
      <c r="H476" s="4"/>
      <c r="I476" s="6"/>
    </row>
    <row r="477" spans="1:9" x14ac:dyDescent="0.2">
      <c r="A477" s="31">
        <f>Winter!A480</f>
        <v>136</v>
      </c>
      <c r="B477" s="2">
        <v>472</v>
      </c>
      <c r="C477" s="3">
        <f t="shared" si="13"/>
        <v>4416</v>
      </c>
      <c r="D477" s="4">
        <f t="shared" si="12"/>
        <v>202.87184347987312</v>
      </c>
      <c r="E477" s="4"/>
      <c r="F477" s="6"/>
      <c r="G477" s="3"/>
      <c r="H477" s="4"/>
      <c r="I477" s="6"/>
    </row>
    <row r="478" spans="1:9" x14ac:dyDescent="0.2">
      <c r="A478" s="31">
        <f>Winter!A481</f>
        <v>137</v>
      </c>
      <c r="B478" s="2">
        <v>473</v>
      </c>
      <c r="C478" s="3">
        <f t="shared" si="13"/>
        <v>4195.2</v>
      </c>
      <c r="D478" s="4">
        <f t="shared" si="12"/>
        <v>192.72825130587944</v>
      </c>
      <c r="E478" s="4"/>
      <c r="F478" s="6"/>
      <c r="G478" s="3"/>
      <c r="H478" s="4"/>
      <c r="I478" s="6"/>
    </row>
    <row r="479" spans="1:9" x14ac:dyDescent="0.2">
      <c r="A479" s="31">
        <f>Winter!A482</f>
        <v>138</v>
      </c>
      <c r="B479" s="2">
        <v>474</v>
      </c>
      <c r="C479" s="3">
        <f t="shared" si="13"/>
        <v>3974.4</v>
      </c>
      <c r="D479" s="4">
        <f t="shared" si="12"/>
        <v>182.58465913188581</v>
      </c>
      <c r="E479" s="4"/>
      <c r="F479" s="6"/>
      <c r="G479" s="3"/>
      <c r="H479" s="4"/>
      <c r="I479" s="6"/>
    </row>
    <row r="480" spans="1:9" x14ac:dyDescent="0.2">
      <c r="A480" s="31">
        <f>Winter!A483</f>
        <v>139</v>
      </c>
      <c r="B480" s="2">
        <v>475</v>
      </c>
      <c r="C480" s="3">
        <f t="shared" si="13"/>
        <v>3864</v>
      </c>
      <c r="D480" s="4">
        <f t="shared" si="12"/>
        <v>177.51286304488897</v>
      </c>
      <c r="E480" s="4"/>
      <c r="F480" s="6"/>
      <c r="G480" s="3"/>
      <c r="H480" s="4"/>
      <c r="I480" s="6"/>
    </row>
    <row r="481" spans="1:9" x14ac:dyDescent="0.2">
      <c r="A481" s="31">
        <f>Winter!A484</f>
        <v>140</v>
      </c>
      <c r="B481" s="2">
        <v>476</v>
      </c>
      <c r="C481" s="3">
        <f t="shared" si="13"/>
        <v>3532.7999999999993</v>
      </c>
      <c r="D481" s="4">
        <f t="shared" si="12"/>
        <v>162.29747478389848</v>
      </c>
      <c r="E481" s="4"/>
      <c r="F481" s="6"/>
      <c r="G481" s="3"/>
      <c r="H481" s="4"/>
      <c r="I481" s="6"/>
    </row>
    <row r="482" spans="1:9" x14ac:dyDescent="0.2">
      <c r="A482" s="31">
        <f>Winter!A485</f>
        <v>141</v>
      </c>
      <c r="B482" s="2">
        <v>477</v>
      </c>
      <c r="C482" s="3">
        <f t="shared" si="13"/>
        <v>3311.9999999999995</v>
      </c>
      <c r="D482" s="4">
        <f t="shared" si="12"/>
        <v>152.15388260990483</v>
      </c>
      <c r="E482" s="4"/>
      <c r="F482" s="6"/>
      <c r="G482" s="3"/>
      <c r="H482" s="4"/>
      <c r="I482" s="6"/>
    </row>
    <row r="483" spans="1:9" x14ac:dyDescent="0.2">
      <c r="A483" s="31">
        <f>Winter!A486</f>
        <v>142</v>
      </c>
      <c r="B483" s="2">
        <v>478</v>
      </c>
      <c r="C483" s="3">
        <f t="shared" si="13"/>
        <v>3091.2</v>
      </c>
      <c r="D483" s="4">
        <f t="shared" si="12"/>
        <v>142.01029043591117</v>
      </c>
      <c r="E483" s="4"/>
      <c r="F483" s="6"/>
      <c r="G483" s="3"/>
      <c r="H483" s="4"/>
      <c r="I483" s="6"/>
    </row>
    <row r="484" spans="1:9" x14ac:dyDescent="0.2">
      <c r="A484" s="31">
        <f>Winter!A487</f>
        <v>143</v>
      </c>
      <c r="B484" s="2">
        <v>479</v>
      </c>
      <c r="C484" s="3">
        <f t="shared" si="13"/>
        <v>2484</v>
      </c>
      <c r="D484" s="4">
        <f t="shared" si="12"/>
        <v>114.11541195742863</v>
      </c>
      <c r="E484" s="4"/>
      <c r="F484" s="6"/>
      <c r="G484" s="3"/>
      <c r="H484" s="4"/>
      <c r="I484" s="6"/>
    </row>
    <row r="485" spans="1:9" x14ac:dyDescent="0.2">
      <c r="A485" s="31">
        <f>Winter!A488</f>
        <v>144</v>
      </c>
      <c r="B485" s="2">
        <v>480</v>
      </c>
      <c r="C485" s="3">
        <f t="shared" si="13"/>
        <v>2346</v>
      </c>
      <c r="D485" s="4">
        <f t="shared" si="12"/>
        <v>107.7756668486826</v>
      </c>
      <c r="E485" s="4"/>
      <c r="F485" s="6"/>
      <c r="G485" s="3"/>
      <c r="H485" s="4"/>
      <c r="I485" s="6"/>
    </row>
    <row r="486" spans="1:9" x14ac:dyDescent="0.2">
      <c r="A486" s="31">
        <f>Winter!A489</f>
        <v>145</v>
      </c>
      <c r="B486" s="2">
        <v>481</v>
      </c>
      <c r="C486" s="3">
        <f t="shared" si="13"/>
        <v>2208</v>
      </c>
      <c r="D486" s="4">
        <f t="shared" si="12"/>
        <v>101.43592173993656</v>
      </c>
      <c r="E486" s="4"/>
      <c r="F486" s="6"/>
      <c r="G486" s="3"/>
      <c r="H486" s="4"/>
      <c r="I486" s="6"/>
    </row>
    <row r="487" spans="1:9" x14ac:dyDescent="0.2">
      <c r="A487" s="31">
        <f>Winter!A490</f>
        <v>146</v>
      </c>
      <c r="B487" s="2">
        <v>482</v>
      </c>
      <c r="C487" s="3">
        <f t="shared" si="13"/>
        <v>2208</v>
      </c>
      <c r="D487" s="4">
        <f t="shared" si="12"/>
        <v>101.43592173993656</v>
      </c>
      <c r="E487" s="4"/>
      <c r="F487" s="6"/>
      <c r="G487" s="3"/>
      <c r="H487" s="4"/>
      <c r="I487" s="6"/>
    </row>
    <row r="488" spans="1:9" x14ac:dyDescent="0.2">
      <c r="A488" s="31">
        <f>Winter!A491</f>
        <v>147</v>
      </c>
      <c r="B488" s="2">
        <v>483</v>
      </c>
      <c r="C488" s="3">
        <f t="shared" si="13"/>
        <v>2346.0000000000005</v>
      </c>
      <c r="D488" s="4">
        <f t="shared" si="12"/>
        <v>107.77566684868262</v>
      </c>
      <c r="E488" s="4"/>
      <c r="F488" s="6"/>
      <c r="G488" s="3"/>
      <c r="H488" s="4"/>
      <c r="I488" s="6"/>
    </row>
    <row r="489" spans="1:9" x14ac:dyDescent="0.2">
      <c r="A489" s="31">
        <f>Winter!A492</f>
        <v>148</v>
      </c>
      <c r="B489" s="2">
        <v>484</v>
      </c>
      <c r="C489" s="3">
        <f t="shared" si="13"/>
        <v>2484</v>
      </c>
      <c r="D489" s="4">
        <f t="shared" si="12"/>
        <v>114.11541195742863</v>
      </c>
      <c r="E489" s="4"/>
      <c r="F489" s="6"/>
      <c r="G489" s="3"/>
      <c r="H489" s="4"/>
      <c r="I489" s="6"/>
    </row>
    <row r="490" spans="1:9" x14ac:dyDescent="0.2">
      <c r="A490" s="31">
        <f>Winter!A493</f>
        <v>149</v>
      </c>
      <c r="B490" s="2">
        <v>485</v>
      </c>
      <c r="C490" s="3">
        <f t="shared" si="13"/>
        <v>2622</v>
      </c>
      <c r="D490" s="4">
        <f t="shared" si="12"/>
        <v>120.45515706617466</v>
      </c>
      <c r="E490" s="4"/>
      <c r="F490" s="6"/>
      <c r="G490" s="3"/>
      <c r="H490" s="4"/>
      <c r="I490" s="6"/>
    </row>
    <row r="491" spans="1:9" x14ac:dyDescent="0.2">
      <c r="A491" s="31">
        <f>Winter!A494</f>
        <v>150</v>
      </c>
      <c r="B491" s="2">
        <v>486</v>
      </c>
      <c r="C491" s="3">
        <f t="shared" si="13"/>
        <v>2760</v>
      </c>
      <c r="D491" s="4">
        <f t="shared" si="12"/>
        <v>126.79490217492071</v>
      </c>
      <c r="E491" s="4"/>
      <c r="F491" s="6"/>
      <c r="G491" s="3"/>
      <c r="H491" s="4"/>
      <c r="I491" s="6"/>
    </row>
    <row r="492" spans="1:9" x14ac:dyDescent="0.2">
      <c r="A492" s="31">
        <f>Winter!A495</f>
        <v>151</v>
      </c>
      <c r="B492" s="2">
        <v>487</v>
      </c>
      <c r="C492" s="3">
        <f t="shared" si="13"/>
        <v>2898</v>
      </c>
      <c r="D492" s="4">
        <f t="shared" si="12"/>
        <v>133.13464728366674</v>
      </c>
      <c r="E492" s="4"/>
      <c r="F492" s="6"/>
      <c r="G492" s="3"/>
      <c r="H492" s="4"/>
      <c r="I492" s="6"/>
    </row>
    <row r="493" spans="1:9" x14ac:dyDescent="0.2">
      <c r="A493" s="31">
        <f>Winter!A496</f>
        <v>152</v>
      </c>
      <c r="B493" s="2">
        <v>488</v>
      </c>
      <c r="C493" s="3">
        <f t="shared" si="13"/>
        <v>3036</v>
      </c>
      <c r="D493" s="4">
        <f t="shared" si="12"/>
        <v>139.47439239241277</v>
      </c>
      <c r="E493" s="4"/>
      <c r="F493" s="6"/>
      <c r="G493" s="3"/>
      <c r="H493" s="4"/>
      <c r="I493" s="6"/>
    </row>
    <row r="494" spans="1:9" x14ac:dyDescent="0.2">
      <c r="A494" s="31">
        <f>Winter!A497</f>
        <v>153</v>
      </c>
      <c r="B494" s="2">
        <v>489</v>
      </c>
      <c r="C494" s="3">
        <f t="shared" si="13"/>
        <v>3174.0000000000005</v>
      </c>
      <c r="D494" s="4">
        <f t="shared" si="12"/>
        <v>145.81413750115883</v>
      </c>
      <c r="E494" s="4"/>
      <c r="F494" s="6"/>
      <c r="G494" s="3"/>
      <c r="H494" s="4"/>
      <c r="I494" s="6"/>
    </row>
    <row r="495" spans="1:9" x14ac:dyDescent="0.2">
      <c r="A495" s="31">
        <f>Winter!A498</f>
        <v>154</v>
      </c>
      <c r="B495" s="2">
        <v>490</v>
      </c>
      <c r="C495" s="3">
        <f t="shared" si="13"/>
        <v>3312.0000000000005</v>
      </c>
      <c r="D495" s="4">
        <f t="shared" si="12"/>
        <v>152.15388260990485</v>
      </c>
      <c r="E495" s="4"/>
      <c r="F495" s="6"/>
      <c r="G495" s="3"/>
      <c r="H495" s="4"/>
      <c r="I495" s="6"/>
    </row>
    <row r="496" spans="1:9" x14ac:dyDescent="0.2">
      <c r="A496" s="31">
        <f>Winter!A499</f>
        <v>155</v>
      </c>
      <c r="B496" s="2">
        <v>491</v>
      </c>
      <c r="C496" s="3">
        <f t="shared" si="13"/>
        <v>3450.0000000000005</v>
      </c>
      <c r="D496" s="4">
        <f t="shared" si="12"/>
        <v>158.49362771865091</v>
      </c>
      <c r="E496" s="4"/>
      <c r="F496" s="6"/>
      <c r="G496" s="3"/>
      <c r="H496" s="4"/>
      <c r="I496" s="6"/>
    </row>
    <row r="497" spans="1:9" x14ac:dyDescent="0.2">
      <c r="A497" s="31">
        <f>Winter!A500</f>
        <v>156</v>
      </c>
      <c r="B497" s="2">
        <v>492</v>
      </c>
      <c r="C497" s="3">
        <f t="shared" si="13"/>
        <v>3588.0000000000009</v>
      </c>
      <c r="D497" s="4">
        <f t="shared" si="12"/>
        <v>164.83337282739694</v>
      </c>
      <c r="E497" s="4"/>
      <c r="F497" s="6"/>
      <c r="G497" s="3"/>
      <c r="H497" s="4"/>
      <c r="I497" s="6"/>
    </row>
    <row r="498" spans="1:9" x14ac:dyDescent="0.2">
      <c r="A498" s="31">
        <f>Winter!A501</f>
        <v>157</v>
      </c>
      <c r="B498" s="2">
        <v>493</v>
      </c>
      <c r="C498" s="3">
        <f t="shared" si="13"/>
        <v>3726.0000000000009</v>
      </c>
      <c r="D498" s="4">
        <f t="shared" si="12"/>
        <v>171.173117936143</v>
      </c>
      <c r="E498" s="4"/>
      <c r="F498" s="6"/>
      <c r="G498" s="3"/>
      <c r="H498" s="4"/>
      <c r="I498" s="6"/>
    </row>
    <row r="499" spans="1:9" x14ac:dyDescent="0.2">
      <c r="A499" s="31">
        <f>Winter!A502</f>
        <v>158</v>
      </c>
      <c r="B499" s="2">
        <v>494</v>
      </c>
      <c r="C499" s="3">
        <f t="shared" si="13"/>
        <v>3864.0000000000014</v>
      </c>
      <c r="D499" s="4">
        <f t="shared" si="12"/>
        <v>177.51286304488906</v>
      </c>
      <c r="E499" s="4"/>
      <c r="F499" s="6"/>
      <c r="G499" s="3"/>
      <c r="H499" s="4"/>
      <c r="I499" s="6"/>
    </row>
    <row r="500" spans="1:9" x14ac:dyDescent="0.2">
      <c r="A500" s="31">
        <f>Winter!A503</f>
        <v>159</v>
      </c>
      <c r="B500" s="2">
        <v>495</v>
      </c>
      <c r="C500" s="3">
        <f t="shared" si="13"/>
        <v>3726.0000000000005</v>
      </c>
      <c r="D500" s="4">
        <f t="shared" si="12"/>
        <v>171.17311793614297</v>
      </c>
      <c r="E500" s="4"/>
      <c r="F500" s="6"/>
      <c r="G500" s="3"/>
      <c r="H500" s="4"/>
      <c r="I500" s="6"/>
    </row>
    <row r="501" spans="1:9" x14ac:dyDescent="0.2">
      <c r="A501" s="31">
        <f>Winter!A504</f>
        <v>160</v>
      </c>
      <c r="B501" s="2">
        <v>496</v>
      </c>
      <c r="C501" s="3">
        <f t="shared" si="13"/>
        <v>3864</v>
      </c>
      <c r="D501" s="4">
        <f t="shared" si="12"/>
        <v>177.51286304488897</v>
      </c>
      <c r="E501" s="4"/>
      <c r="F501" s="6"/>
      <c r="G501" s="3"/>
      <c r="H501" s="4"/>
      <c r="I501" s="6"/>
    </row>
    <row r="502" spans="1:9" x14ac:dyDescent="0.2">
      <c r="A502" s="31">
        <f>Winter!A505</f>
        <v>161</v>
      </c>
      <c r="B502" s="2">
        <v>497</v>
      </c>
      <c r="C502" s="3">
        <f t="shared" si="13"/>
        <v>4416</v>
      </c>
      <c r="D502" s="4">
        <f t="shared" si="12"/>
        <v>202.87184347987312</v>
      </c>
      <c r="E502" s="4"/>
      <c r="F502" s="6"/>
      <c r="G502" s="3"/>
      <c r="H502" s="4"/>
      <c r="I502" s="6"/>
    </row>
    <row r="503" spans="1:9" x14ac:dyDescent="0.2">
      <c r="A503" s="31">
        <f>Winter!A506</f>
        <v>162</v>
      </c>
      <c r="B503" s="2">
        <v>498</v>
      </c>
      <c r="C503" s="3">
        <f t="shared" si="13"/>
        <v>4278</v>
      </c>
      <c r="D503" s="4">
        <f t="shared" si="12"/>
        <v>196.53209837112709</v>
      </c>
      <c r="E503" s="4"/>
      <c r="F503" s="6"/>
      <c r="G503" s="3"/>
      <c r="H503" s="4"/>
      <c r="I503" s="6"/>
    </row>
    <row r="504" spans="1:9" x14ac:dyDescent="0.2">
      <c r="A504" s="31">
        <f>Winter!A507</f>
        <v>163</v>
      </c>
      <c r="B504" s="2">
        <v>499</v>
      </c>
      <c r="C504" s="3">
        <f t="shared" si="13"/>
        <v>4553.9999999999991</v>
      </c>
      <c r="D504" s="4">
        <f t="shared" si="12"/>
        <v>209.21158858861912</v>
      </c>
      <c r="E504" s="4"/>
      <c r="F504" s="6"/>
      <c r="G504" s="3"/>
      <c r="H504" s="4"/>
      <c r="I504" s="6"/>
    </row>
    <row r="505" spans="1:9" x14ac:dyDescent="0.2">
      <c r="A505" s="31">
        <f>Winter!A508</f>
        <v>164</v>
      </c>
      <c r="B505" s="2">
        <v>500</v>
      </c>
      <c r="C505" s="3">
        <f t="shared" si="13"/>
        <v>4250.3999999999996</v>
      </c>
      <c r="D505" s="4">
        <f t="shared" si="12"/>
        <v>195.26414934937787</v>
      </c>
      <c r="E505" s="4"/>
      <c r="F505" s="6"/>
      <c r="G505" s="3"/>
      <c r="H505" s="4"/>
      <c r="I505" s="6"/>
    </row>
    <row r="506" spans="1:9" x14ac:dyDescent="0.2">
      <c r="A506" s="31">
        <f>Winter!A509</f>
        <v>165</v>
      </c>
      <c r="B506" s="2">
        <v>501</v>
      </c>
      <c r="C506" s="3">
        <f t="shared" si="13"/>
        <v>3946.8</v>
      </c>
      <c r="D506" s="4">
        <f t="shared" si="12"/>
        <v>181.31671011013663</v>
      </c>
      <c r="E506" s="4"/>
      <c r="F506" s="6"/>
      <c r="G506" s="3"/>
      <c r="H506" s="4"/>
      <c r="I506" s="6"/>
    </row>
    <row r="507" spans="1:9" x14ac:dyDescent="0.2">
      <c r="A507" s="31">
        <f>Winter!A510</f>
        <v>166</v>
      </c>
      <c r="B507" s="2">
        <v>502</v>
      </c>
      <c r="C507" s="3">
        <f t="shared" si="13"/>
        <v>3643.2</v>
      </c>
      <c r="D507" s="4">
        <f t="shared" si="12"/>
        <v>167.36927087089532</v>
      </c>
      <c r="E507" s="4"/>
      <c r="F507" s="6"/>
      <c r="G507" s="3"/>
      <c r="H507" s="4"/>
      <c r="I507" s="6"/>
    </row>
    <row r="508" spans="1:9" x14ac:dyDescent="0.2">
      <c r="A508" s="31">
        <f>Winter!A511</f>
        <v>167</v>
      </c>
      <c r="B508" s="2">
        <v>503</v>
      </c>
      <c r="C508" s="3">
        <f t="shared" si="13"/>
        <v>3339.6000000000004</v>
      </c>
      <c r="D508" s="4">
        <f t="shared" si="12"/>
        <v>153.42183163165407</v>
      </c>
      <c r="E508" s="4"/>
      <c r="F508" s="6"/>
      <c r="G508" s="3"/>
      <c r="H508" s="4"/>
      <c r="I508" s="6"/>
    </row>
    <row r="509" spans="1:9" x14ac:dyDescent="0.2">
      <c r="A509" s="31">
        <f>Winter!A512</f>
        <v>168</v>
      </c>
      <c r="B509" s="2">
        <v>504</v>
      </c>
      <c r="C509" s="3">
        <f t="shared" si="13"/>
        <v>3036</v>
      </c>
      <c r="D509" s="4">
        <f t="shared" si="12"/>
        <v>139.47439239241277</v>
      </c>
      <c r="E509" s="4"/>
      <c r="F509" s="6"/>
      <c r="G509" s="3"/>
      <c r="H509" s="4"/>
      <c r="I509" s="6"/>
    </row>
    <row r="510" spans="1:9" x14ac:dyDescent="0.2">
      <c r="A510" s="31">
        <f>Winter!A513</f>
        <v>1</v>
      </c>
      <c r="B510" s="2">
        <v>505</v>
      </c>
      <c r="C510" s="3">
        <f>C6</f>
        <v>2346</v>
      </c>
      <c r="D510" s="4">
        <f t="shared" si="12"/>
        <v>107.7756668486826</v>
      </c>
      <c r="E510" s="4"/>
      <c r="F510" s="6"/>
      <c r="G510" s="3"/>
      <c r="H510" s="4"/>
      <c r="I510" s="6"/>
    </row>
    <row r="511" spans="1:9" x14ac:dyDescent="0.2">
      <c r="A511" s="31">
        <f>Winter!A514</f>
        <v>2</v>
      </c>
      <c r="B511" s="2">
        <v>506</v>
      </c>
      <c r="C511" s="3">
        <f t="shared" ref="C511:C574" si="14">C7</f>
        <v>2208</v>
      </c>
      <c r="D511" s="4">
        <f t="shared" si="12"/>
        <v>101.43592173993656</v>
      </c>
      <c r="E511" s="4"/>
      <c r="F511" s="6"/>
      <c r="G511" s="3"/>
      <c r="H511" s="4"/>
      <c r="I511" s="6"/>
    </row>
    <row r="512" spans="1:9" x14ac:dyDescent="0.2">
      <c r="A512" s="31">
        <f>Winter!A515</f>
        <v>3</v>
      </c>
      <c r="B512" s="2">
        <v>507</v>
      </c>
      <c r="C512" s="3">
        <f t="shared" si="14"/>
        <v>2346</v>
      </c>
      <c r="D512" s="4">
        <f t="shared" si="12"/>
        <v>107.7756668486826</v>
      </c>
      <c r="E512" s="4"/>
      <c r="F512" s="6"/>
      <c r="G512" s="3"/>
      <c r="H512" s="4"/>
      <c r="I512" s="6"/>
    </row>
    <row r="513" spans="1:9" x14ac:dyDescent="0.2">
      <c r="A513" s="31">
        <f>Winter!A516</f>
        <v>4</v>
      </c>
      <c r="B513" s="2">
        <v>508</v>
      </c>
      <c r="C513" s="3">
        <f t="shared" si="14"/>
        <v>2484</v>
      </c>
      <c r="D513" s="4">
        <f t="shared" si="12"/>
        <v>114.11541195742863</v>
      </c>
      <c r="E513" s="4"/>
      <c r="F513" s="6"/>
      <c r="G513" s="3"/>
      <c r="H513" s="4"/>
      <c r="I513" s="6"/>
    </row>
    <row r="514" spans="1:9" x14ac:dyDescent="0.2">
      <c r="A514" s="31">
        <f>Winter!A517</f>
        <v>5</v>
      </c>
      <c r="B514" s="2">
        <v>509</v>
      </c>
      <c r="C514" s="3">
        <f t="shared" si="14"/>
        <v>2828.9999999999995</v>
      </c>
      <c r="D514" s="4">
        <f t="shared" si="12"/>
        <v>129.96477472929371</v>
      </c>
      <c r="E514" s="4"/>
      <c r="F514" s="6"/>
      <c r="G514" s="3"/>
      <c r="H514" s="4"/>
      <c r="I514" s="6"/>
    </row>
    <row r="515" spans="1:9" x14ac:dyDescent="0.2">
      <c r="A515" s="31">
        <f>Winter!A518</f>
        <v>6</v>
      </c>
      <c r="B515" s="2">
        <v>510</v>
      </c>
      <c r="C515" s="3">
        <f t="shared" si="14"/>
        <v>3035.9999999999995</v>
      </c>
      <c r="D515" s="4">
        <f t="shared" si="12"/>
        <v>139.47439239241277</v>
      </c>
      <c r="E515" s="4"/>
      <c r="F515" s="6"/>
      <c r="G515" s="3"/>
      <c r="H515" s="4"/>
      <c r="I515" s="6"/>
    </row>
    <row r="516" spans="1:9" x14ac:dyDescent="0.2">
      <c r="A516" s="31">
        <f>Winter!A519</f>
        <v>7</v>
      </c>
      <c r="B516" s="2">
        <v>511</v>
      </c>
      <c r="C516" s="3">
        <f t="shared" si="14"/>
        <v>3242.9999999999995</v>
      </c>
      <c r="D516" s="4">
        <f t="shared" si="12"/>
        <v>148.9840100555318</v>
      </c>
      <c r="E516" s="4"/>
      <c r="F516" s="6"/>
      <c r="G516" s="3"/>
      <c r="H516" s="4"/>
      <c r="I516" s="6"/>
    </row>
    <row r="517" spans="1:9" x14ac:dyDescent="0.2">
      <c r="A517" s="31">
        <f>Winter!A520</f>
        <v>8</v>
      </c>
      <c r="B517" s="2">
        <v>512</v>
      </c>
      <c r="C517" s="3">
        <f t="shared" si="14"/>
        <v>3449.9999999999986</v>
      </c>
      <c r="D517" s="4">
        <f t="shared" si="12"/>
        <v>158.49362771865083</v>
      </c>
      <c r="E517" s="4"/>
      <c r="F517" s="6"/>
      <c r="G517" s="3"/>
      <c r="H517" s="4"/>
      <c r="I517" s="6"/>
    </row>
    <row r="518" spans="1:9" x14ac:dyDescent="0.2">
      <c r="A518" s="31">
        <f>Winter!A521</f>
        <v>9</v>
      </c>
      <c r="B518" s="2">
        <v>513</v>
      </c>
      <c r="C518" s="3">
        <f t="shared" si="14"/>
        <v>3656.9999999999991</v>
      </c>
      <c r="D518" s="4">
        <f t="shared" si="12"/>
        <v>168.00324538176989</v>
      </c>
      <c r="E518" s="4"/>
      <c r="F518" s="6"/>
      <c r="G518" s="3"/>
      <c r="H518" s="4"/>
      <c r="I518" s="6"/>
    </row>
    <row r="519" spans="1:9" x14ac:dyDescent="0.2">
      <c r="A519" s="31">
        <f>Winter!A522</f>
        <v>10</v>
      </c>
      <c r="B519" s="2">
        <v>514</v>
      </c>
      <c r="C519" s="3">
        <f t="shared" si="14"/>
        <v>3863.9999999999991</v>
      </c>
      <c r="D519" s="4">
        <f t="shared" ref="D519:D582" si="15">$G$3*C519*(1/$G$5-1/$G$4)</f>
        <v>177.51286304488895</v>
      </c>
      <c r="E519" s="4"/>
      <c r="F519" s="6"/>
      <c r="G519" s="3"/>
      <c r="H519" s="4"/>
      <c r="I519" s="6"/>
    </row>
    <row r="520" spans="1:9" x14ac:dyDescent="0.2">
      <c r="A520" s="31">
        <f>Winter!A523</f>
        <v>11</v>
      </c>
      <c r="B520" s="2">
        <v>515</v>
      </c>
      <c r="C520" s="3">
        <f t="shared" si="14"/>
        <v>4070.9999999999986</v>
      </c>
      <c r="D520" s="4">
        <f t="shared" si="15"/>
        <v>187.02248070800795</v>
      </c>
      <c r="E520" s="4"/>
      <c r="F520" s="6"/>
      <c r="G520" s="3"/>
      <c r="H520" s="4"/>
      <c r="I520" s="6"/>
    </row>
    <row r="521" spans="1:9" x14ac:dyDescent="0.2">
      <c r="A521" s="31">
        <f>Winter!A524</f>
        <v>12</v>
      </c>
      <c r="B521" s="2">
        <v>516</v>
      </c>
      <c r="C521" s="3">
        <f t="shared" si="14"/>
        <v>4277.9999999999991</v>
      </c>
      <c r="D521" s="4">
        <f t="shared" si="15"/>
        <v>196.53209837112706</v>
      </c>
      <c r="E521" s="4"/>
      <c r="F521" s="6"/>
      <c r="G521" s="3"/>
      <c r="H521" s="4"/>
      <c r="I521" s="6"/>
    </row>
    <row r="522" spans="1:9" x14ac:dyDescent="0.2">
      <c r="A522" s="31">
        <f>Winter!A525</f>
        <v>13</v>
      </c>
      <c r="B522" s="2">
        <v>517</v>
      </c>
      <c r="C522" s="3">
        <f t="shared" si="14"/>
        <v>4485</v>
      </c>
      <c r="D522" s="4">
        <f t="shared" si="15"/>
        <v>206.04171603424615</v>
      </c>
      <c r="E522" s="4"/>
      <c r="F522" s="6"/>
      <c r="G522" s="3"/>
      <c r="H522" s="4"/>
      <c r="I522" s="6"/>
    </row>
    <row r="523" spans="1:9" x14ac:dyDescent="0.2">
      <c r="A523" s="31">
        <f>Winter!A526</f>
        <v>14</v>
      </c>
      <c r="B523" s="2">
        <v>518</v>
      </c>
      <c r="C523" s="3">
        <f t="shared" si="14"/>
        <v>4692</v>
      </c>
      <c r="D523" s="4">
        <f t="shared" si="15"/>
        <v>215.55133369736521</v>
      </c>
      <c r="E523" s="4"/>
      <c r="F523" s="6"/>
      <c r="G523" s="3"/>
      <c r="H523" s="4"/>
      <c r="I523" s="6"/>
    </row>
    <row r="524" spans="1:9" x14ac:dyDescent="0.2">
      <c r="A524" s="31">
        <f>Winter!A527</f>
        <v>15</v>
      </c>
      <c r="B524" s="2">
        <v>519</v>
      </c>
      <c r="C524" s="3">
        <f t="shared" si="14"/>
        <v>4553.9999999999991</v>
      </c>
      <c r="D524" s="4">
        <f t="shared" si="15"/>
        <v>209.21158858861912</v>
      </c>
      <c r="E524" s="4"/>
      <c r="F524" s="6"/>
      <c r="G524" s="3"/>
      <c r="H524" s="4"/>
      <c r="I524" s="6"/>
    </row>
    <row r="525" spans="1:9" x14ac:dyDescent="0.2">
      <c r="A525" s="31">
        <f>Winter!A528</f>
        <v>16</v>
      </c>
      <c r="B525" s="2">
        <v>520</v>
      </c>
      <c r="C525" s="3">
        <f t="shared" si="14"/>
        <v>4738</v>
      </c>
      <c r="D525" s="4">
        <f t="shared" si="15"/>
        <v>217.66458206694722</v>
      </c>
      <c r="E525" s="4"/>
      <c r="F525" s="6"/>
      <c r="G525" s="3"/>
      <c r="H525" s="4"/>
      <c r="I525" s="6"/>
    </row>
    <row r="526" spans="1:9" x14ac:dyDescent="0.2">
      <c r="A526" s="31">
        <f>Winter!A529</f>
        <v>17</v>
      </c>
      <c r="B526" s="2">
        <v>521</v>
      </c>
      <c r="C526" s="3">
        <f t="shared" si="14"/>
        <v>5382</v>
      </c>
      <c r="D526" s="4">
        <f t="shared" si="15"/>
        <v>247.25005924109539</v>
      </c>
      <c r="E526" s="4"/>
      <c r="F526" s="6"/>
      <c r="G526" s="3"/>
      <c r="H526" s="4"/>
      <c r="I526" s="6"/>
    </row>
    <row r="527" spans="1:9" x14ac:dyDescent="0.2">
      <c r="A527" s="31">
        <f>Winter!A530</f>
        <v>18</v>
      </c>
      <c r="B527" s="2">
        <v>522</v>
      </c>
      <c r="C527" s="3">
        <f t="shared" si="14"/>
        <v>5244</v>
      </c>
      <c r="D527" s="4">
        <f t="shared" si="15"/>
        <v>240.91031413234933</v>
      </c>
      <c r="E527" s="4"/>
      <c r="F527" s="6"/>
      <c r="G527" s="3"/>
      <c r="H527" s="4"/>
      <c r="I527" s="6"/>
    </row>
    <row r="528" spans="1:9" x14ac:dyDescent="0.2">
      <c r="A528" s="31">
        <f>Winter!A531</f>
        <v>19</v>
      </c>
      <c r="B528" s="2">
        <v>523</v>
      </c>
      <c r="C528" s="3">
        <f t="shared" si="14"/>
        <v>5520</v>
      </c>
      <c r="D528" s="4">
        <f t="shared" si="15"/>
        <v>253.58980434984142</v>
      </c>
      <c r="E528" s="4"/>
      <c r="F528" s="6"/>
      <c r="G528" s="3"/>
      <c r="H528" s="4"/>
      <c r="I528" s="6"/>
    </row>
    <row r="529" spans="1:9" x14ac:dyDescent="0.2">
      <c r="A529" s="31">
        <f>Winter!A532</f>
        <v>20</v>
      </c>
      <c r="B529" s="2">
        <v>524</v>
      </c>
      <c r="C529" s="3">
        <f t="shared" si="14"/>
        <v>5244</v>
      </c>
      <c r="D529" s="4">
        <f t="shared" si="15"/>
        <v>240.91031413234933</v>
      </c>
      <c r="E529" s="4"/>
      <c r="F529" s="6"/>
      <c r="G529" s="3"/>
      <c r="H529" s="4"/>
      <c r="I529" s="6"/>
    </row>
    <row r="530" spans="1:9" x14ac:dyDescent="0.2">
      <c r="A530" s="31">
        <f>Winter!A533</f>
        <v>21</v>
      </c>
      <c r="B530" s="2">
        <v>525</v>
      </c>
      <c r="C530" s="3">
        <f t="shared" si="14"/>
        <v>5657.9999999999991</v>
      </c>
      <c r="D530" s="4">
        <f t="shared" si="15"/>
        <v>259.92954945858742</v>
      </c>
      <c r="E530" s="4"/>
      <c r="F530" s="6"/>
      <c r="G530" s="3"/>
      <c r="H530" s="4"/>
      <c r="I530" s="6"/>
    </row>
    <row r="531" spans="1:9" x14ac:dyDescent="0.2">
      <c r="A531" s="31">
        <f>Winter!A534</f>
        <v>22</v>
      </c>
      <c r="B531" s="2">
        <v>526</v>
      </c>
      <c r="C531" s="3">
        <f t="shared" si="14"/>
        <v>4968</v>
      </c>
      <c r="D531" s="4">
        <f t="shared" si="15"/>
        <v>228.23082391485727</v>
      </c>
      <c r="E531" s="4"/>
      <c r="F531" s="6"/>
      <c r="G531" s="3"/>
      <c r="H531" s="4"/>
      <c r="I531" s="6"/>
    </row>
    <row r="532" spans="1:9" x14ac:dyDescent="0.2">
      <c r="A532" s="31">
        <f>Winter!A535</f>
        <v>23</v>
      </c>
      <c r="B532" s="2">
        <v>527</v>
      </c>
      <c r="C532" s="3">
        <f t="shared" si="14"/>
        <v>4277.9999999999991</v>
      </c>
      <c r="D532" s="4">
        <f t="shared" si="15"/>
        <v>196.53209837112706</v>
      </c>
      <c r="E532" s="4"/>
      <c r="F532" s="6"/>
      <c r="G532" s="3"/>
      <c r="H532" s="4"/>
      <c r="I532" s="6"/>
    </row>
    <row r="533" spans="1:9" x14ac:dyDescent="0.2">
      <c r="A533" s="31">
        <f>Winter!A536</f>
        <v>24</v>
      </c>
      <c r="B533" s="2">
        <v>528</v>
      </c>
      <c r="C533" s="3">
        <f t="shared" si="14"/>
        <v>3587.9999999999991</v>
      </c>
      <c r="D533" s="4">
        <f t="shared" si="15"/>
        <v>164.83337282739689</v>
      </c>
      <c r="E533" s="4"/>
      <c r="F533" s="6"/>
      <c r="G533" s="3"/>
      <c r="H533" s="4"/>
      <c r="I533" s="6"/>
    </row>
    <row r="534" spans="1:9" x14ac:dyDescent="0.2">
      <c r="A534" s="31">
        <f>Winter!A537</f>
        <v>25</v>
      </c>
      <c r="B534" s="2">
        <v>529</v>
      </c>
      <c r="C534" s="3">
        <f t="shared" si="14"/>
        <v>2346</v>
      </c>
      <c r="D534" s="4">
        <f t="shared" si="15"/>
        <v>107.7756668486826</v>
      </c>
      <c r="E534" s="4"/>
      <c r="F534" s="6"/>
      <c r="G534" s="3"/>
      <c r="H534" s="4"/>
      <c r="I534" s="6"/>
    </row>
    <row r="535" spans="1:9" x14ac:dyDescent="0.2">
      <c r="A535" s="31">
        <f>Winter!A538</f>
        <v>26</v>
      </c>
      <c r="B535" s="2">
        <v>530</v>
      </c>
      <c r="C535" s="3">
        <f t="shared" si="14"/>
        <v>2208</v>
      </c>
      <c r="D535" s="4">
        <f t="shared" si="15"/>
        <v>101.43592173993656</v>
      </c>
      <c r="E535" s="4"/>
      <c r="F535" s="6"/>
      <c r="G535" s="3"/>
      <c r="H535" s="4"/>
      <c r="I535" s="6"/>
    </row>
    <row r="536" spans="1:9" x14ac:dyDescent="0.2">
      <c r="A536" s="31">
        <f>Winter!A539</f>
        <v>27</v>
      </c>
      <c r="B536" s="2">
        <v>531</v>
      </c>
      <c r="C536" s="3">
        <f t="shared" si="14"/>
        <v>2373.6</v>
      </c>
      <c r="D536" s="4">
        <f t="shared" si="15"/>
        <v>109.04361587043179</v>
      </c>
      <c r="E536" s="4"/>
      <c r="F536" s="6"/>
      <c r="G536" s="3"/>
      <c r="H536" s="4"/>
      <c r="I536" s="6"/>
    </row>
    <row r="537" spans="1:9" x14ac:dyDescent="0.2">
      <c r="A537" s="31">
        <f>Winter!A540</f>
        <v>28</v>
      </c>
      <c r="B537" s="2">
        <v>532</v>
      </c>
      <c r="C537" s="3">
        <f t="shared" si="14"/>
        <v>2484</v>
      </c>
      <c r="D537" s="4">
        <f t="shared" si="15"/>
        <v>114.11541195742863</v>
      </c>
      <c r="E537" s="4"/>
      <c r="F537" s="6"/>
      <c r="G537" s="3"/>
      <c r="H537" s="4"/>
      <c r="I537" s="6"/>
    </row>
    <row r="538" spans="1:9" x14ac:dyDescent="0.2">
      <c r="A538" s="31">
        <f>Winter!A541</f>
        <v>29</v>
      </c>
      <c r="B538" s="2">
        <v>533</v>
      </c>
      <c r="C538" s="3">
        <f t="shared" si="14"/>
        <v>2740.2857142857142</v>
      </c>
      <c r="D538" s="4">
        <f t="shared" si="15"/>
        <v>125.8892243022427</v>
      </c>
      <c r="E538" s="4"/>
      <c r="F538" s="6"/>
      <c r="G538" s="3"/>
      <c r="H538" s="4"/>
      <c r="I538" s="6"/>
    </row>
    <row r="539" spans="1:9" x14ac:dyDescent="0.2">
      <c r="A539" s="31">
        <f>Winter!A542</f>
        <v>30</v>
      </c>
      <c r="B539" s="2">
        <v>534</v>
      </c>
      <c r="C539" s="3">
        <f t="shared" si="14"/>
        <v>2917.7142857142858</v>
      </c>
      <c r="D539" s="4">
        <f t="shared" si="15"/>
        <v>134.04032515634475</v>
      </c>
      <c r="E539" s="4"/>
      <c r="F539" s="6"/>
      <c r="G539" s="3"/>
      <c r="H539" s="4"/>
      <c r="I539" s="6"/>
    </row>
    <row r="540" spans="1:9" x14ac:dyDescent="0.2">
      <c r="A540" s="31">
        <f>Winter!A543</f>
        <v>31</v>
      </c>
      <c r="B540" s="2">
        <v>535</v>
      </c>
      <c r="C540" s="3">
        <f t="shared" si="14"/>
        <v>3095.1428571428573</v>
      </c>
      <c r="D540" s="4">
        <f t="shared" si="15"/>
        <v>142.19142601044678</v>
      </c>
      <c r="E540" s="4"/>
      <c r="F540" s="6"/>
      <c r="G540" s="3"/>
      <c r="H540" s="4"/>
      <c r="I540" s="6"/>
    </row>
    <row r="541" spans="1:9" x14ac:dyDescent="0.2">
      <c r="A541" s="31">
        <f>Winter!A544</f>
        <v>32</v>
      </c>
      <c r="B541" s="2">
        <v>536</v>
      </c>
      <c r="C541" s="3">
        <f t="shared" si="14"/>
        <v>3272.5714285714289</v>
      </c>
      <c r="D541" s="4">
        <f t="shared" si="15"/>
        <v>150.34252686454886</v>
      </c>
      <c r="E541" s="4"/>
      <c r="F541" s="6"/>
      <c r="G541" s="3"/>
      <c r="H541" s="4"/>
      <c r="I541" s="6"/>
    </row>
    <row r="542" spans="1:9" x14ac:dyDescent="0.2">
      <c r="A542" s="31">
        <f>Winter!A545</f>
        <v>33</v>
      </c>
      <c r="B542" s="2">
        <v>537</v>
      </c>
      <c r="C542" s="3">
        <f t="shared" si="14"/>
        <v>3449.9999999999995</v>
      </c>
      <c r="D542" s="4">
        <f t="shared" si="15"/>
        <v>158.49362771865086</v>
      </c>
      <c r="E542" s="4"/>
      <c r="F542" s="6"/>
      <c r="G542" s="3"/>
      <c r="H542" s="4"/>
      <c r="I542" s="6"/>
    </row>
    <row r="543" spans="1:9" x14ac:dyDescent="0.2">
      <c r="A543" s="31">
        <f>Winter!A546</f>
        <v>34</v>
      </c>
      <c r="B543" s="2">
        <v>538</v>
      </c>
      <c r="C543" s="3">
        <f t="shared" si="14"/>
        <v>3627.4285714285711</v>
      </c>
      <c r="D543" s="4">
        <f t="shared" si="15"/>
        <v>166.64472857275291</v>
      </c>
      <c r="E543" s="4"/>
      <c r="F543" s="6"/>
      <c r="G543" s="3"/>
      <c r="H543" s="4"/>
      <c r="I543" s="6"/>
    </row>
    <row r="544" spans="1:9" x14ac:dyDescent="0.2">
      <c r="A544" s="31">
        <f>Winter!A547</f>
        <v>35</v>
      </c>
      <c r="B544" s="2">
        <v>539</v>
      </c>
      <c r="C544" s="3">
        <f t="shared" si="14"/>
        <v>3804.8571428571427</v>
      </c>
      <c r="D544" s="4">
        <f t="shared" si="15"/>
        <v>174.79582942685497</v>
      </c>
      <c r="E544" s="4"/>
      <c r="F544" s="6"/>
      <c r="G544" s="3"/>
      <c r="H544" s="4"/>
      <c r="I544" s="6"/>
    </row>
    <row r="545" spans="1:9" x14ac:dyDescent="0.2">
      <c r="A545" s="31">
        <f>Winter!A548</f>
        <v>36</v>
      </c>
      <c r="B545" s="2">
        <v>540</v>
      </c>
      <c r="C545" s="3">
        <f t="shared" si="14"/>
        <v>3982.2857142857147</v>
      </c>
      <c r="D545" s="4">
        <f t="shared" si="15"/>
        <v>182.94693028095702</v>
      </c>
      <c r="E545" s="4"/>
      <c r="F545" s="6"/>
      <c r="G545" s="3"/>
      <c r="H545" s="4"/>
      <c r="I545" s="6"/>
    </row>
    <row r="546" spans="1:9" x14ac:dyDescent="0.2">
      <c r="A546" s="31">
        <f>Winter!A549</f>
        <v>37</v>
      </c>
      <c r="B546" s="2">
        <v>541</v>
      </c>
      <c r="C546" s="3">
        <f t="shared" si="14"/>
        <v>4159.7142857142853</v>
      </c>
      <c r="D546" s="4">
        <f t="shared" si="15"/>
        <v>191.09803113505907</v>
      </c>
      <c r="E546" s="4"/>
      <c r="F546" s="6"/>
      <c r="G546" s="3"/>
      <c r="H546" s="4"/>
      <c r="I546" s="6"/>
    </row>
    <row r="547" spans="1:9" x14ac:dyDescent="0.2">
      <c r="A547" s="31">
        <f>Winter!A550</f>
        <v>38</v>
      </c>
      <c r="B547" s="2">
        <v>542</v>
      </c>
      <c r="C547" s="3">
        <f t="shared" si="14"/>
        <v>4337.1428571428569</v>
      </c>
      <c r="D547" s="4">
        <f t="shared" si="15"/>
        <v>199.2491319891611</v>
      </c>
      <c r="E547" s="4"/>
      <c r="F547" s="6"/>
      <c r="G547" s="3"/>
      <c r="H547" s="4"/>
      <c r="I547" s="6"/>
    </row>
    <row r="548" spans="1:9" x14ac:dyDescent="0.2">
      <c r="A548" s="31">
        <f>Winter!A551</f>
        <v>39</v>
      </c>
      <c r="B548" s="2">
        <v>543</v>
      </c>
      <c r="C548" s="3">
        <f t="shared" si="14"/>
        <v>4514.5714285714284</v>
      </c>
      <c r="D548" s="4">
        <f t="shared" si="15"/>
        <v>207.40023284326315</v>
      </c>
      <c r="E548" s="4"/>
      <c r="F548" s="6"/>
      <c r="G548" s="3"/>
      <c r="H548" s="4"/>
      <c r="I548" s="6"/>
    </row>
    <row r="549" spans="1:9" x14ac:dyDescent="0.2">
      <c r="A549" s="31">
        <f>Winter!A552</f>
        <v>40</v>
      </c>
      <c r="B549" s="2">
        <v>544</v>
      </c>
      <c r="C549" s="3">
        <f t="shared" si="14"/>
        <v>4692</v>
      </c>
      <c r="D549" s="4">
        <f t="shared" si="15"/>
        <v>215.55133369736521</v>
      </c>
      <c r="E549" s="4"/>
      <c r="F549" s="6"/>
      <c r="G549" s="3"/>
      <c r="H549" s="4"/>
      <c r="I549" s="6"/>
    </row>
    <row r="550" spans="1:9" x14ac:dyDescent="0.2">
      <c r="A550" s="31">
        <f>Winter!A553</f>
        <v>41</v>
      </c>
      <c r="B550" s="2">
        <v>545</v>
      </c>
      <c r="C550" s="3">
        <f t="shared" si="14"/>
        <v>4553.9999999999991</v>
      </c>
      <c r="D550" s="4">
        <f t="shared" si="15"/>
        <v>209.21158858861912</v>
      </c>
      <c r="E550" s="4"/>
      <c r="F550" s="6"/>
      <c r="G550" s="3"/>
      <c r="H550" s="4"/>
      <c r="I550" s="6"/>
    </row>
    <row r="551" spans="1:9" x14ac:dyDescent="0.2">
      <c r="A551" s="31">
        <f>Winter!A554</f>
        <v>42</v>
      </c>
      <c r="B551" s="2">
        <v>546</v>
      </c>
      <c r="C551" s="3">
        <f t="shared" si="14"/>
        <v>4830</v>
      </c>
      <c r="D551" s="4">
        <f t="shared" si="15"/>
        <v>221.89107880611124</v>
      </c>
      <c r="E551" s="4"/>
      <c r="F551" s="6"/>
      <c r="G551" s="3"/>
      <c r="H551" s="4"/>
      <c r="I551" s="6"/>
    </row>
    <row r="552" spans="1:9" x14ac:dyDescent="0.2">
      <c r="A552" s="31">
        <f>Winter!A555</f>
        <v>43</v>
      </c>
      <c r="B552" s="2">
        <v>547</v>
      </c>
      <c r="C552" s="3">
        <f t="shared" si="14"/>
        <v>5106</v>
      </c>
      <c r="D552" s="4">
        <f t="shared" si="15"/>
        <v>234.5705690236033</v>
      </c>
      <c r="E552" s="4"/>
      <c r="F552" s="6"/>
      <c r="G552" s="3"/>
      <c r="H552" s="4"/>
      <c r="I552" s="6"/>
    </row>
    <row r="553" spans="1:9" x14ac:dyDescent="0.2">
      <c r="A553" s="31">
        <f>Winter!A556</f>
        <v>44</v>
      </c>
      <c r="B553" s="2">
        <v>548</v>
      </c>
      <c r="C553" s="3">
        <f t="shared" si="14"/>
        <v>5244</v>
      </c>
      <c r="D553" s="4">
        <f t="shared" si="15"/>
        <v>240.91031413234933</v>
      </c>
      <c r="E553" s="4"/>
      <c r="F553" s="6"/>
      <c r="G553" s="3"/>
      <c r="H553" s="4"/>
      <c r="I553" s="6"/>
    </row>
    <row r="554" spans="1:9" x14ac:dyDescent="0.2">
      <c r="A554" s="31">
        <f>Winter!A557</f>
        <v>45</v>
      </c>
      <c r="B554" s="2">
        <v>549</v>
      </c>
      <c r="C554" s="3">
        <f t="shared" si="14"/>
        <v>5657.9999999999991</v>
      </c>
      <c r="D554" s="4">
        <f t="shared" si="15"/>
        <v>259.92954945858742</v>
      </c>
      <c r="E554" s="4"/>
      <c r="F554" s="6"/>
      <c r="G554" s="3"/>
      <c r="H554" s="4"/>
      <c r="I554" s="6"/>
    </row>
    <row r="555" spans="1:9" x14ac:dyDescent="0.2">
      <c r="A555" s="31">
        <f>Winter!A558</f>
        <v>46</v>
      </c>
      <c r="B555" s="2">
        <v>550</v>
      </c>
      <c r="C555" s="3">
        <f t="shared" si="14"/>
        <v>4968</v>
      </c>
      <c r="D555" s="4">
        <f t="shared" si="15"/>
        <v>228.23082391485727</v>
      </c>
      <c r="E555" s="4"/>
      <c r="F555" s="6"/>
      <c r="G555" s="3"/>
      <c r="H555" s="4"/>
      <c r="I555" s="6"/>
    </row>
    <row r="556" spans="1:9" x14ac:dyDescent="0.2">
      <c r="A556" s="31">
        <f>Winter!A559</f>
        <v>47</v>
      </c>
      <c r="B556" s="2">
        <v>551</v>
      </c>
      <c r="C556" s="3">
        <f t="shared" si="14"/>
        <v>4277.9999999999991</v>
      </c>
      <c r="D556" s="4">
        <f t="shared" si="15"/>
        <v>196.53209837112706</v>
      </c>
      <c r="E556" s="4"/>
      <c r="F556" s="6"/>
      <c r="G556" s="3"/>
      <c r="H556" s="4"/>
      <c r="I556" s="6"/>
    </row>
    <row r="557" spans="1:9" x14ac:dyDescent="0.2">
      <c r="A557" s="31">
        <f>Winter!A560</f>
        <v>48</v>
      </c>
      <c r="B557" s="2">
        <v>552</v>
      </c>
      <c r="C557" s="3">
        <f t="shared" si="14"/>
        <v>3587.9999999999991</v>
      </c>
      <c r="D557" s="4">
        <f t="shared" si="15"/>
        <v>164.83337282739689</v>
      </c>
      <c r="E557" s="4"/>
      <c r="F557" s="6"/>
      <c r="G557" s="3"/>
      <c r="H557" s="4"/>
      <c r="I557" s="6"/>
    </row>
    <row r="558" spans="1:9" x14ac:dyDescent="0.2">
      <c r="A558" s="31">
        <f>Winter!A561</f>
        <v>49</v>
      </c>
      <c r="B558" s="2">
        <v>553</v>
      </c>
      <c r="C558" s="3">
        <f t="shared" si="14"/>
        <v>2346</v>
      </c>
      <c r="D558" s="4">
        <f t="shared" si="15"/>
        <v>107.7756668486826</v>
      </c>
      <c r="E558" s="4"/>
      <c r="F558" s="6"/>
      <c r="G558" s="3"/>
      <c r="H558" s="4"/>
      <c r="I558" s="6"/>
    </row>
    <row r="559" spans="1:9" x14ac:dyDescent="0.2">
      <c r="A559" s="31">
        <f>Winter!A562</f>
        <v>50</v>
      </c>
      <c r="B559" s="2">
        <v>554</v>
      </c>
      <c r="C559" s="3">
        <f t="shared" si="14"/>
        <v>2208</v>
      </c>
      <c r="D559" s="4">
        <f t="shared" si="15"/>
        <v>101.43592173993656</v>
      </c>
      <c r="E559" s="4"/>
      <c r="F559" s="6"/>
      <c r="G559" s="3"/>
      <c r="H559" s="4"/>
      <c r="I559" s="6"/>
    </row>
    <row r="560" spans="1:9" x14ac:dyDescent="0.2">
      <c r="A560" s="31">
        <f>Winter!A563</f>
        <v>51</v>
      </c>
      <c r="B560" s="2">
        <v>555</v>
      </c>
      <c r="C560" s="3">
        <f t="shared" si="14"/>
        <v>2346</v>
      </c>
      <c r="D560" s="4">
        <f t="shared" si="15"/>
        <v>107.7756668486826</v>
      </c>
      <c r="E560" s="4"/>
      <c r="F560" s="6"/>
      <c r="G560" s="3"/>
      <c r="H560" s="4"/>
      <c r="I560" s="6"/>
    </row>
    <row r="561" spans="1:9" x14ac:dyDescent="0.2">
      <c r="A561" s="31">
        <f>Winter!A564</f>
        <v>52</v>
      </c>
      <c r="B561" s="2">
        <v>556</v>
      </c>
      <c r="C561" s="3">
        <f t="shared" si="14"/>
        <v>2484</v>
      </c>
      <c r="D561" s="4">
        <f t="shared" si="15"/>
        <v>114.11541195742863</v>
      </c>
      <c r="E561" s="4"/>
      <c r="F561" s="6"/>
      <c r="G561" s="3"/>
      <c r="H561" s="4"/>
      <c r="I561" s="6"/>
    </row>
    <row r="562" spans="1:9" x14ac:dyDescent="0.2">
      <c r="A562" s="31">
        <f>Winter!A565</f>
        <v>53</v>
      </c>
      <c r="B562" s="2">
        <v>557</v>
      </c>
      <c r="C562" s="3">
        <f t="shared" si="14"/>
        <v>2781.2307692307691</v>
      </c>
      <c r="D562" s="4">
        <f t="shared" si="15"/>
        <v>127.77024757626624</v>
      </c>
      <c r="E562" s="4"/>
      <c r="F562" s="6"/>
      <c r="G562" s="3"/>
      <c r="H562" s="4"/>
      <c r="I562" s="6"/>
    </row>
    <row r="563" spans="1:9" x14ac:dyDescent="0.2">
      <c r="A563" s="31">
        <f>Winter!A566</f>
        <v>54</v>
      </c>
      <c r="B563" s="2">
        <v>558</v>
      </c>
      <c r="C563" s="3">
        <f t="shared" si="14"/>
        <v>2972.3076923076924</v>
      </c>
      <c r="D563" s="4">
        <f t="shared" si="15"/>
        <v>136.54835618837615</v>
      </c>
      <c r="E563" s="4"/>
      <c r="F563" s="6"/>
      <c r="G563" s="3"/>
      <c r="H563" s="4"/>
      <c r="I563" s="6"/>
    </row>
    <row r="564" spans="1:9" x14ac:dyDescent="0.2">
      <c r="A564" s="31">
        <f>Winter!A567</f>
        <v>55</v>
      </c>
      <c r="B564" s="2">
        <v>559</v>
      </c>
      <c r="C564" s="3">
        <f t="shared" si="14"/>
        <v>3163.3846153846152</v>
      </c>
      <c r="D564" s="4">
        <f t="shared" si="15"/>
        <v>145.32646480048604</v>
      </c>
      <c r="E564" s="4"/>
      <c r="F564" s="6"/>
      <c r="G564" s="3"/>
      <c r="H564" s="4"/>
      <c r="I564" s="6"/>
    </row>
    <row r="565" spans="1:9" x14ac:dyDescent="0.2">
      <c r="A565" s="31">
        <f>Winter!A568</f>
        <v>56</v>
      </c>
      <c r="B565" s="2">
        <v>560</v>
      </c>
      <c r="C565" s="3">
        <f t="shared" si="14"/>
        <v>3354.4615384615377</v>
      </c>
      <c r="D565" s="4">
        <f t="shared" si="15"/>
        <v>154.1045734125959</v>
      </c>
      <c r="E565" s="4"/>
      <c r="F565" s="6"/>
      <c r="G565" s="3"/>
      <c r="H565" s="4"/>
      <c r="I565" s="6"/>
    </row>
    <row r="566" spans="1:9" x14ac:dyDescent="0.2">
      <c r="A566" s="31">
        <f>Winter!A569</f>
        <v>57</v>
      </c>
      <c r="B566" s="2">
        <v>561</v>
      </c>
      <c r="C566" s="3">
        <f t="shared" si="14"/>
        <v>3545.538461538461</v>
      </c>
      <c r="D566" s="4">
        <f t="shared" si="15"/>
        <v>162.88268202470582</v>
      </c>
      <c r="E566" s="4"/>
      <c r="F566" s="6"/>
      <c r="G566" s="3"/>
      <c r="H566" s="4"/>
      <c r="I566" s="6"/>
    </row>
    <row r="567" spans="1:9" x14ac:dyDescent="0.2">
      <c r="A567" s="31">
        <f>Winter!A570</f>
        <v>58</v>
      </c>
      <c r="B567" s="2">
        <v>562</v>
      </c>
      <c r="C567" s="3">
        <f t="shared" si="14"/>
        <v>3736.6153846153838</v>
      </c>
      <c r="D567" s="4">
        <f t="shared" si="15"/>
        <v>171.66079063681568</v>
      </c>
      <c r="E567" s="4"/>
      <c r="F567" s="6"/>
      <c r="G567" s="3"/>
      <c r="H567" s="4"/>
      <c r="I567" s="6"/>
    </row>
    <row r="568" spans="1:9" x14ac:dyDescent="0.2">
      <c r="A568" s="31">
        <f>Winter!A571</f>
        <v>59</v>
      </c>
      <c r="B568" s="2">
        <v>563</v>
      </c>
      <c r="C568" s="3">
        <f t="shared" si="14"/>
        <v>3927.6923076923072</v>
      </c>
      <c r="D568" s="4">
        <f t="shared" si="15"/>
        <v>180.43889924892557</v>
      </c>
      <c r="E568" s="4"/>
      <c r="F568" s="6"/>
      <c r="G568" s="3"/>
      <c r="H568" s="4"/>
      <c r="I568" s="6"/>
    </row>
    <row r="569" spans="1:9" x14ac:dyDescent="0.2">
      <c r="A569" s="31">
        <f>Winter!A572</f>
        <v>60</v>
      </c>
      <c r="B569" s="2">
        <v>564</v>
      </c>
      <c r="C569" s="3">
        <f t="shared" si="14"/>
        <v>4118.7692307692305</v>
      </c>
      <c r="D569" s="4">
        <f t="shared" si="15"/>
        <v>189.21700786103551</v>
      </c>
      <c r="E569" s="4"/>
      <c r="F569" s="6"/>
      <c r="G569" s="3"/>
      <c r="H569" s="4"/>
      <c r="I569" s="6"/>
    </row>
    <row r="570" spans="1:9" x14ac:dyDescent="0.2">
      <c r="A570" s="31">
        <f>Winter!A573</f>
        <v>61</v>
      </c>
      <c r="B570" s="2">
        <v>565</v>
      </c>
      <c r="C570" s="3">
        <f t="shared" si="14"/>
        <v>4309.8461538461534</v>
      </c>
      <c r="D570" s="4">
        <f t="shared" si="15"/>
        <v>197.99511647314537</v>
      </c>
      <c r="E570" s="4"/>
      <c r="F570" s="6"/>
      <c r="G570" s="3"/>
      <c r="H570" s="4"/>
      <c r="I570" s="6"/>
    </row>
    <row r="571" spans="1:9" x14ac:dyDescent="0.2">
      <c r="A571" s="31">
        <f>Winter!A574</f>
        <v>62</v>
      </c>
      <c r="B571" s="2">
        <v>566</v>
      </c>
      <c r="C571" s="3">
        <f t="shared" si="14"/>
        <v>4500.9230769230771</v>
      </c>
      <c r="D571" s="4">
        <f t="shared" si="15"/>
        <v>206.77322508525529</v>
      </c>
      <c r="E571" s="4"/>
      <c r="F571" s="6"/>
      <c r="G571" s="3"/>
      <c r="H571" s="4"/>
      <c r="I571" s="6"/>
    </row>
    <row r="572" spans="1:9" x14ac:dyDescent="0.2">
      <c r="A572" s="31">
        <f>Winter!A575</f>
        <v>63</v>
      </c>
      <c r="B572" s="2">
        <v>567</v>
      </c>
      <c r="C572" s="3">
        <f t="shared" si="14"/>
        <v>4692</v>
      </c>
      <c r="D572" s="4">
        <f t="shared" si="15"/>
        <v>215.55133369736521</v>
      </c>
      <c r="E572" s="4"/>
      <c r="F572" s="6"/>
      <c r="G572" s="3"/>
      <c r="H572" s="4"/>
      <c r="I572" s="6"/>
    </row>
    <row r="573" spans="1:9" x14ac:dyDescent="0.2">
      <c r="A573" s="31">
        <f>Winter!A576</f>
        <v>64</v>
      </c>
      <c r="B573" s="2">
        <v>568</v>
      </c>
      <c r="C573" s="3">
        <f t="shared" si="14"/>
        <v>4553.9999999999991</v>
      </c>
      <c r="D573" s="4">
        <f t="shared" si="15"/>
        <v>209.21158858861912</v>
      </c>
      <c r="E573" s="4"/>
      <c r="F573" s="6"/>
      <c r="G573" s="3"/>
      <c r="H573" s="4"/>
      <c r="I573" s="6"/>
    </row>
    <row r="574" spans="1:9" x14ac:dyDescent="0.2">
      <c r="A574" s="31">
        <f>Winter!A577</f>
        <v>65</v>
      </c>
      <c r="B574" s="2">
        <v>569</v>
      </c>
      <c r="C574" s="3">
        <f t="shared" si="14"/>
        <v>4802.4000000000005</v>
      </c>
      <c r="D574" s="4">
        <f t="shared" si="15"/>
        <v>220.62312978436205</v>
      </c>
      <c r="E574" s="4"/>
      <c r="F574" s="6"/>
      <c r="G574" s="3"/>
      <c r="H574" s="4"/>
      <c r="I574" s="6"/>
    </row>
    <row r="575" spans="1:9" x14ac:dyDescent="0.2">
      <c r="A575" s="31">
        <f>Winter!A578</f>
        <v>66</v>
      </c>
      <c r="B575" s="2">
        <v>570</v>
      </c>
      <c r="C575" s="3">
        <f t="shared" ref="C575:C638" si="16">C71</f>
        <v>5050.8</v>
      </c>
      <c r="D575" s="4">
        <f t="shared" si="15"/>
        <v>232.03467098010492</v>
      </c>
      <c r="E575" s="4"/>
      <c r="F575" s="6"/>
      <c r="G575" s="3"/>
      <c r="H575" s="4"/>
      <c r="I575" s="6"/>
    </row>
    <row r="576" spans="1:9" x14ac:dyDescent="0.2">
      <c r="A576" s="31">
        <f>Winter!A579</f>
        <v>67</v>
      </c>
      <c r="B576" s="2">
        <v>571</v>
      </c>
      <c r="C576" s="3">
        <f t="shared" si="16"/>
        <v>5520</v>
      </c>
      <c r="D576" s="4">
        <f t="shared" si="15"/>
        <v>253.58980434984142</v>
      </c>
      <c r="E576" s="4"/>
      <c r="F576" s="6"/>
      <c r="G576" s="3"/>
      <c r="H576" s="4"/>
      <c r="I576" s="6"/>
    </row>
    <row r="577" spans="1:9" x14ac:dyDescent="0.2">
      <c r="A577" s="31">
        <f>Winter!A580</f>
        <v>68</v>
      </c>
      <c r="B577" s="2">
        <v>572</v>
      </c>
      <c r="C577" s="3">
        <f t="shared" si="16"/>
        <v>5520</v>
      </c>
      <c r="D577" s="4">
        <f t="shared" si="15"/>
        <v>253.58980434984142</v>
      </c>
      <c r="E577" s="4"/>
      <c r="F577" s="6"/>
      <c r="G577" s="3"/>
      <c r="H577" s="4"/>
      <c r="I577" s="6"/>
    </row>
    <row r="578" spans="1:9" x14ac:dyDescent="0.2">
      <c r="A578" s="31">
        <f>Winter!A581</f>
        <v>69</v>
      </c>
      <c r="B578" s="2">
        <v>573</v>
      </c>
      <c r="C578" s="3">
        <f t="shared" si="16"/>
        <v>5796</v>
      </c>
      <c r="D578" s="4">
        <f t="shared" si="15"/>
        <v>266.26929456733347</v>
      </c>
      <c r="E578" s="4"/>
      <c r="F578" s="6"/>
      <c r="G578" s="3"/>
      <c r="H578" s="4"/>
      <c r="I578" s="6"/>
    </row>
    <row r="579" spans="1:9" x14ac:dyDescent="0.2">
      <c r="A579" s="31">
        <f>Winter!A582</f>
        <v>70</v>
      </c>
      <c r="B579" s="2">
        <v>574</v>
      </c>
      <c r="C579" s="3">
        <f t="shared" si="16"/>
        <v>5078.4000000000005</v>
      </c>
      <c r="D579" s="4">
        <f t="shared" si="15"/>
        <v>233.30262000185414</v>
      </c>
      <c r="E579" s="4"/>
      <c r="F579" s="6"/>
      <c r="G579" s="3"/>
      <c r="H579" s="4"/>
      <c r="I579" s="6"/>
    </row>
    <row r="580" spans="1:9" x14ac:dyDescent="0.2">
      <c r="A580" s="31">
        <f>Winter!A583</f>
        <v>71</v>
      </c>
      <c r="B580" s="2">
        <v>575</v>
      </c>
      <c r="C580" s="3">
        <f t="shared" si="16"/>
        <v>4360.8</v>
      </c>
      <c r="D580" s="4">
        <f t="shared" si="15"/>
        <v>200.33594543637474</v>
      </c>
      <c r="E580" s="4"/>
      <c r="F580" s="6"/>
      <c r="G580" s="3"/>
      <c r="H580" s="4"/>
      <c r="I580" s="6"/>
    </row>
    <row r="581" spans="1:9" x14ac:dyDescent="0.2">
      <c r="A581" s="31">
        <f>Winter!A584</f>
        <v>72</v>
      </c>
      <c r="B581" s="2">
        <v>576</v>
      </c>
      <c r="C581" s="3">
        <f t="shared" si="16"/>
        <v>3643.2</v>
      </c>
      <c r="D581" s="4">
        <f t="shared" si="15"/>
        <v>167.36927087089532</v>
      </c>
      <c r="E581" s="4"/>
      <c r="F581" s="6"/>
      <c r="G581" s="3"/>
      <c r="H581" s="4"/>
      <c r="I581" s="6"/>
    </row>
    <row r="582" spans="1:9" x14ac:dyDescent="0.2">
      <c r="A582" s="31">
        <f>Winter!A585</f>
        <v>73</v>
      </c>
      <c r="B582" s="2">
        <v>577</v>
      </c>
      <c r="C582" s="3">
        <f t="shared" si="16"/>
        <v>2346</v>
      </c>
      <c r="D582" s="4">
        <f t="shared" si="15"/>
        <v>107.7756668486826</v>
      </c>
      <c r="E582" s="4"/>
      <c r="F582" s="6"/>
      <c r="G582" s="3"/>
      <c r="H582" s="4"/>
      <c r="I582" s="6"/>
    </row>
    <row r="583" spans="1:9" x14ac:dyDescent="0.2">
      <c r="A583" s="31">
        <f>Winter!A586</f>
        <v>74</v>
      </c>
      <c r="B583" s="2">
        <v>578</v>
      </c>
      <c r="C583" s="3">
        <f t="shared" si="16"/>
        <v>2208</v>
      </c>
      <c r="D583" s="4">
        <f t="shared" ref="D583:D646" si="17">$G$3*C583*(1/$G$5-1/$G$4)</f>
        <v>101.43592173993656</v>
      </c>
      <c r="E583" s="4"/>
      <c r="F583" s="6"/>
      <c r="G583" s="3"/>
      <c r="H583" s="4"/>
      <c r="I583" s="6"/>
    </row>
    <row r="584" spans="1:9" x14ac:dyDescent="0.2">
      <c r="A584" s="31">
        <f>Winter!A587</f>
        <v>75</v>
      </c>
      <c r="B584" s="2">
        <v>579</v>
      </c>
      <c r="C584" s="3">
        <f t="shared" si="16"/>
        <v>2346</v>
      </c>
      <c r="D584" s="4">
        <f t="shared" si="17"/>
        <v>107.7756668486826</v>
      </c>
      <c r="E584" s="4"/>
      <c r="F584" s="6"/>
      <c r="G584" s="3"/>
      <c r="H584" s="4"/>
      <c r="I584" s="6"/>
    </row>
    <row r="585" spans="1:9" x14ac:dyDescent="0.2">
      <c r="A585" s="31">
        <f>Winter!A588</f>
        <v>76</v>
      </c>
      <c r="B585" s="2">
        <v>580</v>
      </c>
      <c r="C585" s="3">
        <f t="shared" si="16"/>
        <v>2484</v>
      </c>
      <c r="D585" s="4">
        <f t="shared" si="17"/>
        <v>114.11541195742863</v>
      </c>
      <c r="E585" s="4"/>
      <c r="F585" s="6"/>
      <c r="G585" s="3"/>
      <c r="H585" s="4"/>
      <c r="I585" s="6"/>
    </row>
    <row r="586" spans="1:9" x14ac:dyDescent="0.2">
      <c r="A586" s="31">
        <f>Winter!A589</f>
        <v>77</v>
      </c>
      <c r="B586" s="2">
        <v>581</v>
      </c>
      <c r="C586" s="3">
        <f t="shared" si="16"/>
        <v>2760</v>
      </c>
      <c r="D586" s="4">
        <f t="shared" si="17"/>
        <v>126.79490217492071</v>
      </c>
      <c r="E586" s="4"/>
      <c r="F586" s="6"/>
      <c r="G586" s="3"/>
      <c r="H586" s="4"/>
      <c r="I586" s="6"/>
    </row>
    <row r="587" spans="1:9" x14ac:dyDescent="0.2">
      <c r="A587" s="31">
        <f>Winter!A590</f>
        <v>78</v>
      </c>
      <c r="B587" s="2">
        <v>582</v>
      </c>
      <c r="C587" s="3">
        <f t="shared" si="16"/>
        <v>2944</v>
      </c>
      <c r="D587" s="4">
        <f t="shared" si="17"/>
        <v>135.24789565324875</v>
      </c>
      <c r="E587" s="4"/>
      <c r="F587" s="6"/>
      <c r="G587" s="3"/>
      <c r="H587" s="4"/>
      <c r="I587" s="6"/>
    </row>
    <row r="588" spans="1:9" x14ac:dyDescent="0.2">
      <c r="A588" s="31">
        <f>Winter!A591</f>
        <v>79</v>
      </c>
      <c r="B588" s="2">
        <v>583</v>
      </c>
      <c r="C588" s="3">
        <f t="shared" si="16"/>
        <v>3127.9999999999995</v>
      </c>
      <c r="D588" s="4">
        <f t="shared" si="17"/>
        <v>143.70088913157679</v>
      </c>
      <c r="E588" s="4"/>
      <c r="F588" s="6"/>
      <c r="G588" s="3"/>
      <c r="H588" s="4"/>
      <c r="I588" s="6"/>
    </row>
    <row r="589" spans="1:9" x14ac:dyDescent="0.2">
      <c r="A589" s="31">
        <f>Winter!A592</f>
        <v>80</v>
      </c>
      <c r="B589" s="2">
        <v>584</v>
      </c>
      <c r="C589" s="3">
        <f t="shared" si="16"/>
        <v>3312</v>
      </c>
      <c r="D589" s="4">
        <f t="shared" si="17"/>
        <v>152.15388260990485</v>
      </c>
      <c r="E589" s="4"/>
      <c r="F589" s="6"/>
      <c r="G589" s="3"/>
      <c r="H589" s="4"/>
      <c r="I589" s="6"/>
    </row>
    <row r="590" spans="1:9" x14ac:dyDescent="0.2">
      <c r="A590" s="31">
        <f>Winter!A593</f>
        <v>81</v>
      </c>
      <c r="B590" s="2">
        <v>585</v>
      </c>
      <c r="C590" s="3">
        <f t="shared" si="16"/>
        <v>3495.9999999999995</v>
      </c>
      <c r="D590" s="4">
        <f t="shared" si="17"/>
        <v>160.60687608823287</v>
      </c>
      <c r="E590" s="4"/>
      <c r="F590" s="6"/>
      <c r="G590" s="3"/>
      <c r="H590" s="4"/>
      <c r="I590" s="6"/>
    </row>
    <row r="591" spans="1:9" x14ac:dyDescent="0.2">
      <c r="A591" s="31">
        <f>Winter!A594</f>
        <v>82</v>
      </c>
      <c r="B591" s="2">
        <v>586</v>
      </c>
      <c r="C591" s="3">
        <f t="shared" si="16"/>
        <v>3679.9999999999995</v>
      </c>
      <c r="D591" s="4">
        <f t="shared" si="17"/>
        <v>169.05986956656091</v>
      </c>
      <c r="E591" s="4"/>
      <c r="F591" s="6"/>
      <c r="G591" s="3"/>
      <c r="H591" s="4"/>
      <c r="I591" s="6"/>
    </row>
    <row r="592" spans="1:9" x14ac:dyDescent="0.2">
      <c r="A592" s="31">
        <f>Winter!A595</f>
        <v>83</v>
      </c>
      <c r="B592" s="2">
        <v>587</v>
      </c>
      <c r="C592" s="3">
        <f t="shared" si="16"/>
        <v>3864</v>
      </c>
      <c r="D592" s="4">
        <f t="shared" si="17"/>
        <v>177.51286304488897</v>
      </c>
      <c r="E592" s="4"/>
      <c r="F592" s="6"/>
      <c r="G592" s="3"/>
      <c r="H592" s="4"/>
      <c r="I592" s="6"/>
    </row>
    <row r="593" spans="1:9" x14ac:dyDescent="0.2">
      <c r="A593" s="31">
        <f>Winter!A596</f>
        <v>84</v>
      </c>
      <c r="B593" s="2">
        <v>588</v>
      </c>
      <c r="C593" s="3">
        <f t="shared" si="16"/>
        <v>4048</v>
      </c>
      <c r="D593" s="4">
        <f t="shared" si="17"/>
        <v>185.96585652321704</v>
      </c>
      <c r="E593" s="4"/>
      <c r="F593" s="6"/>
      <c r="G593" s="3"/>
      <c r="H593" s="4"/>
      <c r="I593" s="6"/>
    </row>
    <row r="594" spans="1:9" x14ac:dyDescent="0.2">
      <c r="A594" s="31">
        <f>Winter!A597</f>
        <v>85</v>
      </c>
      <c r="B594" s="2">
        <v>589</v>
      </c>
      <c r="C594" s="3">
        <f t="shared" si="16"/>
        <v>4231.9999999999991</v>
      </c>
      <c r="D594" s="4">
        <f t="shared" si="17"/>
        <v>194.41885000154505</v>
      </c>
      <c r="E594" s="4"/>
      <c r="F594" s="6"/>
      <c r="G594" s="3"/>
      <c r="H594" s="4"/>
      <c r="I594" s="6"/>
    </row>
    <row r="595" spans="1:9" x14ac:dyDescent="0.2">
      <c r="A595" s="31">
        <f>Winter!A598</f>
        <v>86</v>
      </c>
      <c r="B595" s="2">
        <v>590</v>
      </c>
      <c r="C595" s="3">
        <f t="shared" si="16"/>
        <v>4416</v>
      </c>
      <c r="D595" s="4">
        <f t="shared" si="17"/>
        <v>202.87184347987312</v>
      </c>
      <c r="E595" s="4"/>
      <c r="F595" s="6"/>
      <c r="G595" s="3"/>
      <c r="H595" s="4"/>
      <c r="I595" s="6"/>
    </row>
    <row r="596" spans="1:9" x14ac:dyDescent="0.2">
      <c r="A596" s="31">
        <f>Winter!A599</f>
        <v>87</v>
      </c>
      <c r="B596" s="2">
        <v>591</v>
      </c>
      <c r="C596" s="3">
        <f t="shared" si="16"/>
        <v>4278</v>
      </c>
      <c r="D596" s="4">
        <f t="shared" si="17"/>
        <v>196.53209837112709</v>
      </c>
      <c r="E596" s="4"/>
      <c r="F596" s="6"/>
      <c r="G596" s="3"/>
      <c r="H596" s="4"/>
      <c r="I596" s="6"/>
    </row>
    <row r="597" spans="1:9" x14ac:dyDescent="0.2">
      <c r="A597" s="31">
        <f>Winter!A600</f>
        <v>88</v>
      </c>
      <c r="B597" s="2">
        <v>592</v>
      </c>
      <c r="C597" s="3">
        <f t="shared" si="16"/>
        <v>4600.0000000000009</v>
      </c>
      <c r="D597" s="4">
        <f t="shared" si="17"/>
        <v>211.32483695820122</v>
      </c>
      <c r="E597" s="4"/>
      <c r="F597" s="6"/>
      <c r="G597" s="3"/>
      <c r="H597" s="4"/>
      <c r="I597" s="6"/>
    </row>
    <row r="598" spans="1:9" x14ac:dyDescent="0.2">
      <c r="A598" s="31">
        <f>Winter!A601</f>
        <v>89</v>
      </c>
      <c r="B598" s="2">
        <v>593</v>
      </c>
      <c r="C598" s="3">
        <f t="shared" si="16"/>
        <v>4922</v>
      </c>
      <c r="D598" s="4">
        <f t="shared" si="17"/>
        <v>226.11757554527526</v>
      </c>
      <c r="E598" s="4"/>
      <c r="F598" s="6"/>
      <c r="G598" s="3"/>
      <c r="H598" s="4"/>
      <c r="I598" s="6"/>
    </row>
    <row r="599" spans="1:9" x14ac:dyDescent="0.2">
      <c r="A599" s="31">
        <f>Winter!A602</f>
        <v>90</v>
      </c>
      <c r="B599" s="2">
        <v>594</v>
      </c>
      <c r="C599" s="3">
        <f t="shared" si="16"/>
        <v>5244</v>
      </c>
      <c r="D599" s="4">
        <f t="shared" si="17"/>
        <v>240.91031413234933</v>
      </c>
      <c r="E599" s="4"/>
      <c r="F599" s="6"/>
      <c r="G599" s="3"/>
      <c r="H599" s="4"/>
      <c r="I599" s="6"/>
    </row>
    <row r="600" spans="1:9" x14ac:dyDescent="0.2">
      <c r="A600" s="31">
        <f>Winter!A603</f>
        <v>91</v>
      </c>
      <c r="B600" s="2">
        <v>595</v>
      </c>
      <c r="C600" s="3">
        <f t="shared" si="16"/>
        <v>4864.5</v>
      </c>
      <c r="D600" s="4">
        <f t="shared" si="17"/>
        <v>223.47601508329774</v>
      </c>
      <c r="E600" s="4"/>
      <c r="F600" s="6"/>
      <c r="G600" s="3"/>
      <c r="H600" s="4"/>
      <c r="I600" s="6"/>
    </row>
    <row r="601" spans="1:9" x14ac:dyDescent="0.2">
      <c r="A601" s="31">
        <f>Winter!A604</f>
        <v>92</v>
      </c>
      <c r="B601" s="2">
        <v>596</v>
      </c>
      <c r="C601" s="3">
        <f t="shared" si="16"/>
        <v>4485</v>
      </c>
      <c r="D601" s="4">
        <f t="shared" si="17"/>
        <v>206.04171603424615</v>
      </c>
      <c r="E601" s="4"/>
      <c r="F601" s="6"/>
      <c r="G601" s="3"/>
      <c r="H601" s="4"/>
      <c r="I601" s="6"/>
    </row>
    <row r="602" spans="1:9" x14ac:dyDescent="0.2">
      <c r="A602" s="31">
        <f>Winter!A605</f>
        <v>93</v>
      </c>
      <c r="B602" s="2">
        <v>597</v>
      </c>
      <c r="C602" s="3">
        <f t="shared" si="16"/>
        <v>4105.5</v>
      </c>
      <c r="D602" s="4">
        <f t="shared" si="17"/>
        <v>188.60741698519453</v>
      </c>
      <c r="E602" s="4"/>
      <c r="F602" s="6"/>
      <c r="G602" s="3"/>
      <c r="H602" s="4"/>
      <c r="I602" s="6"/>
    </row>
    <row r="603" spans="1:9" x14ac:dyDescent="0.2">
      <c r="A603" s="31">
        <f>Winter!A606</f>
        <v>94</v>
      </c>
      <c r="B603" s="2">
        <v>598</v>
      </c>
      <c r="C603" s="3">
        <f t="shared" si="16"/>
        <v>3726.0000000000005</v>
      </c>
      <c r="D603" s="4">
        <f t="shared" si="17"/>
        <v>171.17311793614297</v>
      </c>
      <c r="E603" s="4"/>
      <c r="F603" s="6"/>
      <c r="G603" s="3"/>
      <c r="H603" s="4"/>
      <c r="I603" s="6"/>
    </row>
    <row r="604" spans="1:9" x14ac:dyDescent="0.2">
      <c r="A604" s="31">
        <f>Winter!A607</f>
        <v>95</v>
      </c>
      <c r="B604" s="2">
        <v>599</v>
      </c>
      <c r="C604" s="3">
        <f t="shared" si="16"/>
        <v>3346.5000000000009</v>
      </c>
      <c r="D604" s="4">
        <f t="shared" si="17"/>
        <v>153.73881888709138</v>
      </c>
      <c r="E604" s="4"/>
      <c r="F604" s="6"/>
      <c r="G604" s="3"/>
      <c r="H604" s="4"/>
      <c r="I604" s="6"/>
    </row>
    <row r="605" spans="1:9" x14ac:dyDescent="0.2">
      <c r="A605" s="31">
        <f>Winter!A608</f>
        <v>96</v>
      </c>
      <c r="B605" s="2">
        <v>600</v>
      </c>
      <c r="C605" s="3">
        <f t="shared" si="16"/>
        <v>2760</v>
      </c>
      <c r="D605" s="4">
        <f t="shared" si="17"/>
        <v>126.79490217492071</v>
      </c>
      <c r="E605" s="4"/>
      <c r="F605" s="6"/>
      <c r="G605" s="3"/>
      <c r="H605" s="4"/>
      <c r="I605" s="6"/>
    </row>
    <row r="606" spans="1:9" x14ac:dyDescent="0.2">
      <c r="A606" s="31">
        <f>Winter!A609</f>
        <v>97</v>
      </c>
      <c r="B606" s="2">
        <v>601</v>
      </c>
      <c r="C606" s="3">
        <f t="shared" si="16"/>
        <v>2346</v>
      </c>
      <c r="D606" s="4">
        <f t="shared" si="17"/>
        <v>107.7756668486826</v>
      </c>
      <c r="E606" s="4"/>
      <c r="F606" s="6"/>
      <c r="G606" s="3"/>
      <c r="H606" s="4"/>
      <c r="I606" s="6"/>
    </row>
    <row r="607" spans="1:9" x14ac:dyDescent="0.2">
      <c r="A607" s="31">
        <f>Winter!A610</f>
        <v>98</v>
      </c>
      <c r="B607" s="2">
        <v>602</v>
      </c>
      <c r="C607" s="3">
        <f t="shared" si="16"/>
        <v>2208</v>
      </c>
      <c r="D607" s="4">
        <f t="shared" si="17"/>
        <v>101.43592173993656</v>
      </c>
      <c r="E607" s="4"/>
      <c r="F607" s="6"/>
      <c r="G607" s="3"/>
      <c r="H607" s="4"/>
      <c r="I607" s="6"/>
    </row>
    <row r="608" spans="1:9" x14ac:dyDescent="0.2">
      <c r="A608" s="31">
        <f>Winter!A611</f>
        <v>99</v>
      </c>
      <c r="B608" s="2">
        <v>603</v>
      </c>
      <c r="C608" s="3">
        <f t="shared" si="16"/>
        <v>2346</v>
      </c>
      <c r="D608" s="4">
        <f t="shared" si="17"/>
        <v>107.7756668486826</v>
      </c>
      <c r="E608" s="4"/>
      <c r="F608" s="6"/>
      <c r="G608" s="3"/>
      <c r="H608" s="4"/>
      <c r="I608" s="6"/>
    </row>
    <row r="609" spans="1:9" x14ac:dyDescent="0.2">
      <c r="A609" s="31">
        <f>Winter!A612</f>
        <v>100</v>
      </c>
      <c r="B609" s="2">
        <v>604</v>
      </c>
      <c r="C609" s="3">
        <f t="shared" si="16"/>
        <v>2484</v>
      </c>
      <c r="D609" s="4">
        <f t="shared" si="17"/>
        <v>114.11541195742863</v>
      </c>
      <c r="E609" s="4"/>
      <c r="F609" s="6"/>
      <c r="G609" s="3"/>
      <c r="H609" s="4"/>
      <c r="I609" s="6"/>
    </row>
    <row r="610" spans="1:9" x14ac:dyDescent="0.2">
      <c r="A610" s="31">
        <f>Winter!A613</f>
        <v>101</v>
      </c>
      <c r="B610" s="2">
        <v>605</v>
      </c>
      <c r="C610" s="3">
        <f t="shared" si="16"/>
        <v>2734.909090909091</v>
      </c>
      <c r="D610" s="4">
        <f t="shared" si="17"/>
        <v>125.6422212460578</v>
      </c>
      <c r="E610" s="4"/>
      <c r="F610" s="6"/>
      <c r="G610" s="3"/>
      <c r="H610" s="4"/>
      <c r="I610" s="6"/>
    </row>
    <row r="611" spans="1:9" x14ac:dyDescent="0.2">
      <c r="A611" s="31">
        <f>Winter!A614</f>
        <v>102</v>
      </c>
      <c r="B611" s="2">
        <v>606</v>
      </c>
      <c r="C611" s="3">
        <f t="shared" si="16"/>
        <v>2910.5454545454545</v>
      </c>
      <c r="D611" s="4">
        <f t="shared" si="17"/>
        <v>133.7109877480982</v>
      </c>
      <c r="E611" s="4"/>
      <c r="F611" s="6"/>
      <c r="G611" s="3"/>
      <c r="H611" s="4"/>
      <c r="I611" s="6"/>
    </row>
    <row r="612" spans="1:9" x14ac:dyDescent="0.2">
      <c r="A612" s="31">
        <f>Winter!A615</f>
        <v>103</v>
      </c>
      <c r="B612" s="2">
        <v>607</v>
      </c>
      <c r="C612" s="3">
        <f t="shared" si="16"/>
        <v>3086.181818181818</v>
      </c>
      <c r="D612" s="4">
        <f t="shared" si="17"/>
        <v>141.77975425013861</v>
      </c>
      <c r="E612" s="4"/>
      <c r="F612" s="6"/>
      <c r="G612" s="3"/>
      <c r="H612" s="4"/>
      <c r="I612" s="6"/>
    </row>
    <row r="613" spans="1:9" x14ac:dyDescent="0.2">
      <c r="A613" s="31">
        <f>Winter!A616</f>
        <v>104</v>
      </c>
      <c r="B613" s="2">
        <v>608</v>
      </c>
      <c r="C613" s="3">
        <f t="shared" si="16"/>
        <v>3261.818181818182</v>
      </c>
      <c r="D613" s="4">
        <f t="shared" si="17"/>
        <v>149.84852075217901</v>
      </c>
      <c r="E613" s="4"/>
      <c r="F613" s="6"/>
      <c r="G613" s="3"/>
      <c r="H613" s="4"/>
      <c r="I613" s="6"/>
    </row>
    <row r="614" spans="1:9" x14ac:dyDescent="0.2">
      <c r="A614" s="31">
        <f>Winter!A617</f>
        <v>105</v>
      </c>
      <c r="B614" s="2">
        <v>609</v>
      </c>
      <c r="C614" s="3">
        <f t="shared" si="16"/>
        <v>3437.454545454546</v>
      </c>
      <c r="D614" s="4">
        <f t="shared" si="17"/>
        <v>157.91728725421945</v>
      </c>
      <c r="E614" s="4"/>
      <c r="F614" s="6"/>
      <c r="G614" s="3"/>
      <c r="H614" s="4"/>
      <c r="I614" s="6"/>
    </row>
    <row r="615" spans="1:9" x14ac:dyDescent="0.2">
      <c r="A615" s="31">
        <f>Winter!A618</f>
        <v>106</v>
      </c>
      <c r="B615" s="2">
        <v>610</v>
      </c>
      <c r="C615" s="3">
        <f t="shared" si="16"/>
        <v>3613.090909090909</v>
      </c>
      <c r="D615" s="4">
        <f t="shared" si="17"/>
        <v>165.98605375625982</v>
      </c>
      <c r="E615" s="4"/>
      <c r="F615" s="6"/>
      <c r="G615" s="3"/>
      <c r="H615" s="4"/>
      <c r="I615" s="6"/>
    </row>
    <row r="616" spans="1:9" x14ac:dyDescent="0.2">
      <c r="A616" s="31">
        <f>Winter!A619</f>
        <v>107</v>
      </c>
      <c r="B616" s="2">
        <v>611</v>
      </c>
      <c r="C616" s="3">
        <f t="shared" si="16"/>
        <v>3788.7272727272725</v>
      </c>
      <c r="D616" s="4">
        <f t="shared" si="17"/>
        <v>174.05482025830023</v>
      </c>
      <c r="E616" s="4"/>
      <c r="F616" s="6"/>
      <c r="G616" s="3"/>
      <c r="H616" s="4"/>
      <c r="I616" s="6"/>
    </row>
    <row r="617" spans="1:9" x14ac:dyDescent="0.2">
      <c r="A617" s="31">
        <f>Winter!A620</f>
        <v>108</v>
      </c>
      <c r="B617" s="2">
        <v>612</v>
      </c>
      <c r="C617" s="3">
        <f t="shared" si="16"/>
        <v>3964.3636363636369</v>
      </c>
      <c r="D617" s="4">
        <f t="shared" si="17"/>
        <v>182.12358676034069</v>
      </c>
      <c r="E617" s="4"/>
      <c r="F617" s="6"/>
      <c r="G617" s="3"/>
      <c r="H617" s="4"/>
      <c r="I617" s="6"/>
    </row>
    <row r="618" spans="1:9" x14ac:dyDescent="0.2">
      <c r="A618" s="31">
        <f>Winter!A621</f>
        <v>109</v>
      </c>
      <c r="B618" s="2">
        <v>613</v>
      </c>
      <c r="C618" s="3">
        <f t="shared" si="16"/>
        <v>4140.0000000000009</v>
      </c>
      <c r="D618" s="4">
        <f t="shared" si="17"/>
        <v>190.19235326238109</v>
      </c>
      <c r="E618" s="4"/>
      <c r="F618" s="6"/>
      <c r="G618" s="3"/>
      <c r="H618" s="4"/>
      <c r="I618" s="6"/>
    </row>
    <row r="619" spans="1:9" x14ac:dyDescent="0.2">
      <c r="A619" s="31">
        <f>Winter!A622</f>
        <v>110</v>
      </c>
      <c r="B619" s="2">
        <v>614</v>
      </c>
      <c r="C619" s="3">
        <f t="shared" si="16"/>
        <v>4061.1428571428573</v>
      </c>
      <c r="D619" s="4">
        <f t="shared" si="17"/>
        <v>186.56964177166904</v>
      </c>
      <c r="E619" s="4"/>
      <c r="F619" s="6"/>
      <c r="G619" s="3"/>
      <c r="H619" s="4"/>
      <c r="I619" s="6"/>
    </row>
    <row r="620" spans="1:9" x14ac:dyDescent="0.2">
      <c r="A620" s="31">
        <f>Winter!A623</f>
        <v>111</v>
      </c>
      <c r="B620" s="2">
        <v>615</v>
      </c>
      <c r="C620" s="3">
        <f t="shared" si="16"/>
        <v>3982.2857142857151</v>
      </c>
      <c r="D620" s="4">
        <f t="shared" si="17"/>
        <v>182.94693028095705</v>
      </c>
      <c r="E620" s="4"/>
      <c r="F620" s="6"/>
      <c r="G620" s="3"/>
      <c r="H620" s="4"/>
      <c r="I620" s="6"/>
    </row>
    <row r="621" spans="1:9" x14ac:dyDescent="0.2">
      <c r="A621" s="31">
        <f>Winter!A624</f>
        <v>112</v>
      </c>
      <c r="B621" s="2">
        <v>616</v>
      </c>
      <c r="C621" s="3">
        <f t="shared" si="16"/>
        <v>3903.428571428572</v>
      </c>
      <c r="D621" s="4">
        <f t="shared" si="17"/>
        <v>179.32421879024503</v>
      </c>
      <c r="E621" s="4"/>
      <c r="F621" s="6"/>
      <c r="G621" s="3"/>
      <c r="H621" s="4"/>
      <c r="I621" s="6"/>
    </row>
    <row r="622" spans="1:9" x14ac:dyDescent="0.2">
      <c r="A622" s="31">
        <f>Winter!A625</f>
        <v>113</v>
      </c>
      <c r="B622" s="2">
        <v>617</v>
      </c>
      <c r="C622" s="3">
        <f t="shared" si="16"/>
        <v>3824.5714285714289</v>
      </c>
      <c r="D622" s="4">
        <f t="shared" si="17"/>
        <v>175.70150729953301</v>
      </c>
      <c r="E622" s="4"/>
      <c r="F622" s="6"/>
      <c r="G622" s="3"/>
      <c r="H622" s="4"/>
      <c r="I622" s="6"/>
    </row>
    <row r="623" spans="1:9" x14ac:dyDescent="0.2">
      <c r="A623" s="31">
        <f>Winter!A626</f>
        <v>114</v>
      </c>
      <c r="B623" s="2">
        <v>618</v>
      </c>
      <c r="C623" s="3">
        <f t="shared" si="16"/>
        <v>3745.7142857142858</v>
      </c>
      <c r="D623" s="4">
        <f t="shared" si="17"/>
        <v>172.07879580882096</v>
      </c>
      <c r="E623" s="4"/>
      <c r="F623" s="6"/>
      <c r="G623" s="3"/>
      <c r="H623" s="4"/>
      <c r="I623" s="6"/>
    </row>
    <row r="624" spans="1:9" x14ac:dyDescent="0.2">
      <c r="A624" s="31">
        <f>Winter!A627</f>
        <v>115</v>
      </c>
      <c r="B624" s="2">
        <v>619</v>
      </c>
      <c r="C624" s="3">
        <f t="shared" si="16"/>
        <v>3666.8571428571431</v>
      </c>
      <c r="D624" s="4">
        <f t="shared" si="17"/>
        <v>168.45608431810896</v>
      </c>
      <c r="E624" s="4"/>
      <c r="F624" s="6"/>
      <c r="G624" s="3"/>
      <c r="H624" s="4"/>
      <c r="I624" s="6"/>
    </row>
    <row r="625" spans="1:9" x14ac:dyDescent="0.2">
      <c r="A625" s="31">
        <f>Winter!A628</f>
        <v>116</v>
      </c>
      <c r="B625" s="2">
        <v>620</v>
      </c>
      <c r="C625" s="3">
        <f t="shared" si="16"/>
        <v>3588</v>
      </c>
      <c r="D625" s="4">
        <f t="shared" si="17"/>
        <v>164.83337282739691</v>
      </c>
      <c r="E625" s="4"/>
      <c r="F625" s="6"/>
      <c r="G625" s="3"/>
      <c r="H625" s="4"/>
      <c r="I625" s="6"/>
    </row>
    <row r="626" spans="1:9" x14ac:dyDescent="0.2">
      <c r="A626" s="31">
        <f>Winter!A629</f>
        <v>117</v>
      </c>
      <c r="B626" s="2">
        <v>621</v>
      </c>
      <c r="C626" s="3">
        <f t="shared" si="16"/>
        <v>3864</v>
      </c>
      <c r="D626" s="4">
        <f t="shared" si="17"/>
        <v>177.51286304488897</v>
      </c>
      <c r="E626" s="4"/>
      <c r="F626" s="6"/>
      <c r="G626" s="3"/>
      <c r="H626" s="4"/>
      <c r="I626" s="6"/>
    </row>
    <row r="627" spans="1:9" x14ac:dyDescent="0.2">
      <c r="A627" s="31">
        <f>Winter!A630</f>
        <v>118</v>
      </c>
      <c r="B627" s="2">
        <v>622</v>
      </c>
      <c r="C627" s="3">
        <f t="shared" si="16"/>
        <v>3449.9999999999995</v>
      </c>
      <c r="D627" s="4">
        <f t="shared" si="17"/>
        <v>158.49362771865086</v>
      </c>
      <c r="E627" s="4"/>
      <c r="F627" s="6"/>
      <c r="G627" s="3"/>
      <c r="H627" s="4"/>
      <c r="I627" s="6"/>
    </row>
    <row r="628" spans="1:9" x14ac:dyDescent="0.2">
      <c r="A628" s="31">
        <f>Winter!A631</f>
        <v>119</v>
      </c>
      <c r="B628" s="2">
        <v>623</v>
      </c>
      <c r="C628" s="3">
        <f t="shared" si="16"/>
        <v>3036</v>
      </c>
      <c r="D628" s="4">
        <f t="shared" si="17"/>
        <v>139.47439239241277</v>
      </c>
      <c r="E628" s="4"/>
      <c r="F628" s="6"/>
      <c r="G628" s="3"/>
      <c r="H628" s="4"/>
      <c r="I628" s="6"/>
    </row>
    <row r="629" spans="1:9" x14ac:dyDescent="0.2">
      <c r="A629" s="31">
        <f>Winter!A632</f>
        <v>120</v>
      </c>
      <c r="B629" s="2">
        <v>624</v>
      </c>
      <c r="C629" s="3">
        <f t="shared" si="16"/>
        <v>2622</v>
      </c>
      <c r="D629" s="4">
        <f t="shared" si="17"/>
        <v>120.45515706617466</v>
      </c>
      <c r="E629" s="4"/>
      <c r="F629" s="6"/>
      <c r="G629" s="3"/>
      <c r="H629" s="4"/>
      <c r="I629" s="6"/>
    </row>
    <row r="630" spans="1:9" x14ac:dyDescent="0.2">
      <c r="A630" s="31">
        <f>Winter!A633</f>
        <v>121</v>
      </c>
      <c r="B630" s="2">
        <v>625</v>
      </c>
      <c r="C630" s="3">
        <f t="shared" si="16"/>
        <v>2208</v>
      </c>
      <c r="D630" s="4">
        <f t="shared" si="17"/>
        <v>101.43592173993656</v>
      </c>
      <c r="E630" s="4"/>
      <c r="F630" s="6"/>
      <c r="G630" s="3"/>
      <c r="H630" s="4"/>
      <c r="I630" s="6"/>
    </row>
    <row r="631" spans="1:9" x14ac:dyDescent="0.2">
      <c r="A631" s="31">
        <f>Winter!A634</f>
        <v>122</v>
      </c>
      <c r="B631" s="2">
        <v>626</v>
      </c>
      <c r="C631" s="3">
        <f t="shared" si="16"/>
        <v>2208</v>
      </c>
      <c r="D631" s="4">
        <f t="shared" si="17"/>
        <v>101.43592173993656</v>
      </c>
      <c r="E631" s="4"/>
      <c r="F631" s="6"/>
      <c r="G631" s="3"/>
      <c r="H631" s="4"/>
      <c r="I631" s="6"/>
    </row>
    <row r="632" spans="1:9" x14ac:dyDescent="0.2">
      <c r="A632" s="31">
        <f>Winter!A635</f>
        <v>123</v>
      </c>
      <c r="B632" s="2">
        <v>627</v>
      </c>
      <c r="C632" s="3">
        <f t="shared" si="16"/>
        <v>2365.7142857142862</v>
      </c>
      <c r="D632" s="4">
        <f t="shared" si="17"/>
        <v>108.68134472136062</v>
      </c>
      <c r="E632" s="4"/>
      <c r="F632" s="6"/>
      <c r="G632" s="3"/>
      <c r="H632" s="4"/>
      <c r="I632" s="6"/>
    </row>
    <row r="633" spans="1:9" x14ac:dyDescent="0.2">
      <c r="A633" s="31">
        <f>Winter!A636</f>
        <v>124</v>
      </c>
      <c r="B633" s="2">
        <v>628</v>
      </c>
      <c r="C633" s="3">
        <f t="shared" si="16"/>
        <v>2523.4285714285716</v>
      </c>
      <c r="D633" s="4">
        <f t="shared" si="17"/>
        <v>115.92676770278464</v>
      </c>
      <c r="E633" s="4"/>
      <c r="F633" s="6"/>
      <c r="G633" s="3"/>
      <c r="H633" s="4"/>
      <c r="I633" s="6"/>
    </row>
    <row r="634" spans="1:9" x14ac:dyDescent="0.2">
      <c r="A634" s="31">
        <f>Winter!A637</f>
        <v>125</v>
      </c>
      <c r="B634" s="2">
        <v>629</v>
      </c>
      <c r="C634" s="3">
        <f t="shared" si="16"/>
        <v>2681.1428571428573</v>
      </c>
      <c r="D634" s="4">
        <f t="shared" si="17"/>
        <v>123.17219068420869</v>
      </c>
      <c r="E634" s="4"/>
      <c r="F634" s="6"/>
      <c r="G634" s="3"/>
      <c r="H634" s="4"/>
      <c r="I634" s="6"/>
    </row>
    <row r="635" spans="1:9" x14ac:dyDescent="0.2">
      <c r="A635" s="31">
        <f>Winter!A638</f>
        <v>126</v>
      </c>
      <c r="B635" s="2">
        <v>630</v>
      </c>
      <c r="C635" s="3">
        <f t="shared" si="16"/>
        <v>2838.8571428571436</v>
      </c>
      <c r="D635" s="4">
        <f t="shared" si="17"/>
        <v>130.41761366563276</v>
      </c>
      <c r="E635" s="4"/>
      <c r="F635" s="6"/>
      <c r="G635" s="3"/>
      <c r="H635" s="4"/>
      <c r="I635" s="6"/>
    </row>
    <row r="636" spans="1:9" x14ac:dyDescent="0.2">
      <c r="A636" s="31">
        <f>Winter!A639</f>
        <v>127</v>
      </c>
      <c r="B636" s="2">
        <v>631</v>
      </c>
      <c r="C636" s="3">
        <f t="shared" si="16"/>
        <v>2996.5714285714289</v>
      </c>
      <c r="D636" s="4">
        <f t="shared" si="17"/>
        <v>137.66303664705677</v>
      </c>
      <c r="E636" s="4"/>
      <c r="F636" s="6"/>
      <c r="G636" s="3"/>
      <c r="H636" s="4"/>
      <c r="I636" s="6"/>
    </row>
    <row r="637" spans="1:9" x14ac:dyDescent="0.2">
      <c r="A637" s="31">
        <f>Winter!A640</f>
        <v>128</v>
      </c>
      <c r="B637" s="2">
        <v>632</v>
      </c>
      <c r="C637" s="3">
        <f t="shared" si="16"/>
        <v>3154.2857142857147</v>
      </c>
      <c r="D637" s="4">
        <f t="shared" si="17"/>
        <v>144.90845962848081</v>
      </c>
      <c r="E637" s="4"/>
      <c r="F637" s="6"/>
      <c r="G637" s="3"/>
      <c r="H637" s="4"/>
      <c r="I637" s="6"/>
    </row>
    <row r="638" spans="1:9" x14ac:dyDescent="0.2">
      <c r="A638" s="31">
        <f>Winter!A641</f>
        <v>129</v>
      </c>
      <c r="B638" s="2">
        <v>633</v>
      </c>
      <c r="C638" s="3">
        <f t="shared" si="16"/>
        <v>3312.0000000000005</v>
      </c>
      <c r="D638" s="4">
        <f t="shared" si="17"/>
        <v>152.15388260990485</v>
      </c>
      <c r="E638" s="4"/>
      <c r="F638" s="6"/>
      <c r="G638" s="3"/>
      <c r="H638" s="4"/>
      <c r="I638" s="6"/>
    </row>
    <row r="639" spans="1:9" x14ac:dyDescent="0.2">
      <c r="A639" s="31">
        <f>Winter!A642</f>
        <v>130</v>
      </c>
      <c r="B639" s="2">
        <v>634</v>
      </c>
      <c r="C639" s="3">
        <f t="shared" ref="C639:C677" si="18">C135</f>
        <v>3469.7142857142862</v>
      </c>
      <c r="D639" s="4">
        <f t="shared" si="17"/>
        <v>159.3993055913289</v>
      </c>
      <c r="E639" s="4"/>
      <c r="F639" s="6"/>
      <c r="G639" s="3"/>
      <c r="H639" s="4"/>
      <c r="I639" s="6"/>
    </row>
    <row r="640" spans="1:9" x14ac:dyDescent="0.2">
      <c r="A640" s="31">
        <f>Winter!A643</f>
        <v>131</v>
      </c>
      <c r="B640" s="2">
        <v>635</v>
      </c>
      <c r="C640" s="3">
        <f t="shared" si="18"/>
        <v>3627.428571428572</v>
      </c>
      <c r="D640" s="4">
        <f t="shared" si="17"/>
        <v>166.64472857275294</v>
      </c>
      <c r="E640" s="4"/>
      <c r="F640" s="6"/>
      <c r="G640" s="3"/>
      <c r="H640" s="4"/>
      <c r="I640" s="6"/>
    </row>
    <row r="641" spans="1:9" x14ac:dyDescent="0.2">
      <c r="A641" s="31">
        <f>Winter!A644</f>
        <v>132</v>
      </c>
      <c r="B641" s="2">
        <v>636</v>
      </c>
      <c r="C641" s="3">
        <f t="shared" si="18"/>
        <v>3785.1428571428582</v>
      </c>
      <c r="D641" s="4">
        <f t="shared" si="17"/>
        <v>173.89015155417704</v>
      </c>
      <c r="E641" s="4"/>
      <c r="F641" s="6"/>
      <c r="G641" s="3"/>
      <c r="H641" s="4"/>
      <c r="I641" s="6"/>
    </row>
    <row r="642" spans="1:9" x14ac:dyDescent="0.2">
      <c r="A642" s="31">
        <f>Winter!A645</f>
        <v>133</v>
      </c>
      <c r="B642" s="2">
        <v>637</v>
      </c>
      <c r="C642" s="3">
        <f t="shared" si="18"/>
        <v>3864</v>
      </c>
      <c r="D642" s="4">
        <f t="shared" si="17"/>
        <v>177.51286304488897</v>
      </c>
      <c r="E642" s="4"/>
      <c r="F642" s="6"/>
      <c r="G642" s="3"/>
      <c r="H642" s="4"/>
      <c r="I642" s="6"/>
    </row>
    <row r="643" spans="1:9" x14ac:dyDescent="0.2">
      <c r="A643" s="31">
        <f>Winter!A646</f>
        <v>134</v>
      </c>
      <c r="B643" s="2">
        <v>638</v>
      </c>
      <c r="C643" s="3">
        <f t="shared" si="18"/>
        <v>3864</v>
      </c>
      <c r="D643" s="4">
        <f t="shared" si="17"/>
        <v>177.51286304488897</v>
      </c>
      <c r="E643" s="4"/>
      <c r="F643" s="6"/>
      <c r="G643" s="3"/>
      <c r="H643" s="4"/>
      <c r="I643" s="6"/>
    </row>
    <row r="644" spans="1:9" x14ac:dyDescent="0.2">
      <c r="A644" s="31">
        <f>Winter!A647</f>
        <v>135</v>
      </c>
      <c r="B644" s="2">
        <v>639</v>
      </c>
      <c r="C644" s="3">
        <f t="shared" si="18"/>
        <v>4258.2857142857147</v>
      </c>
      <c r="D644" s="4">
        <f t="shared" si="17"/>
        <v>195.62642049844908</v>
      </c>
      <c r="E644" s="4"/>
      <c r="F644" s="6"/>
      <c r="G644" s="3"/>
      <c r="H644" s="4"/>
      <c r="I644" s="6"/>
    </row>
    <row r="645" spans="1:9" x14ac:dyDescent="0.2">
      <c r="A645" s="31">
        <f>Winter!A648</f>
        <v>136</v>
      </c>
      <c r="B645" s="2">
        <v>640</v>
      </c>
      <c r="C645" s="3">
        <f t="shared" si="18"/>
        <v>4416</v>
      </c>
      <c r="D645" s="4">
        <f t="shared" si="17"/>
        <v>202.87184347987312</v>
      </c>
      <c r="E645" s="4"/>
      <c r="F645" s="6"/>
      <c r="G645" s="3"/>
      <c r="H645" s="4"/>
      <c r="I645" s="6"/>
    </row>
    <row r="646" spans="1:9" x14ac:dyDescent="0.2">
      <c r="A646" s="31">
        <f>Winter!A649</f>
        <v>137</v>
      </c>
      <c r="B646" s="2">
        <v>641</v>
      </c>
      <c r="C646" s="3">
        <f t="shared" si="18"/>
        <v>4195.2</v>
      </c>
      <c r="D646" s="4">
        <f t="shared" si="17"/>
        <v>192.72825130587944</v>
      </c>
      <c r="E646" s="4"/>
      <c r="F646" s="6"/>
      <c r="G646" s="3"/>
      <c r="H646" s="4"/>
      <c r="I646" s="6"/>
    </row>
    <row r="647" spans="1:9" x14ac:dyDescent="0.2">
      <c r="A647" s="31">
        <f>Winter!A650</f>
        <v>138</v>
      </c>
      <c r="B647" s="2">
        <v>642</v>
      </c>
      <c r="C647" s="3">
        <f t="shared" si="18"/>
        <v>3974.4</v>
      </c>
      <c r="D647" s="4">
        <f t="shared" ref="D647:D677" si="19">$G$3*C647*(1/$G$5-1/$G$4)</f>
        <v>182.58465913188581</v>
      </c>
      <c r="E647" s="4"/>
      <c r="F647" s="6"/>
      <c r="G647" s="3"/>
      <c r="H647" s="4"/>
      <c r="I647" s="6"/>
    </row>
    <row r="648" spans="1:9" x14ac:dyDescent="0.2">
      <c r="A648" s="31">
        <f>Winter!A651</f>
        <v>139</v>
      </c>
      <c r="B648" s="2">
        <v>643</v>
      </c>
      <c r="C648" s="3">
        <f t="shared" si="18"/>
        <v>3864</v>
      </c>
      <c r="D648" s="4">
        <f t="shared" si="19"/>
        <v>177.51286304488897</v>
      </c>
      <c r="E648" s="4"/>
      <c r="F648" s="6"/>
      <c r="G648" s="3"/>
      <c r="H648" s="4"/>
      <c r="I648" s="6"/>
    </row>
    <row r="649" spans="1:9" x14ac:dyDescent="0.2">
      <c r="A649" s="31">
        <f>Winter!A652</f>
        <v>140</v>
      </c>
      <c r="B649" s="2">
        <v>644</v>
      </c>
      <c r="C649" s="3">
        <f t="shared" si="18"/>
        <v>3532.7999999999993</v>
      </c>
      <c r="D649" s="4">
        <f t="shared" si="19"/>
        <v>162.29747478389848</v>
      </c>
      <c r="E649" s="4"/>
      <c r="F649" s="6"/>
      <c r="G649" s="3"/>
      <c r="H649" s="4"/>
      <c r="I649" s="6"/>
    </row>
    <row r="650" spans="1:9" x14ac:dyDescent="0.2">
      <c r="A650" s="31">
        <f>Winter!A653</f>
        <v>141</v>
      </c>
      <c r="B650" s="2">
        <v>645</v>
      </c>
      <c r="C650" s="3">
        <f t="shared" si="18"/>
        <v>3311.9999999999995</v>
      </c>
      <c r="D650" s="4">
        <f t="shared" si="19"/>
        <v>152.15388260990483</v>
      </c>
      <c r="E650" s="4"/>
      <c r="F650" s="6"/>
      <c r="G650" s="3"/>
      <c r="H650" s="4"/>
      <c r="I650" s="6"/>
    </row>
    <row r="651" spans="1:9" x14ac:dyDescent="0.2">
      <c r="A651" s="31">
        <f>Winter!A654</f>
        <v>142</v>
      </c>
      <c r="B651" s="2">
        <v>646</v>
      </c>
      <c r="C651" s="3">
        <f t="shared" si="18"/>
        <v>3091.2</v>
      </c>
      <c r="D651" s="4">
        <f t="shared" si="19"/>
        <v>142.01029043591117</v>
      </c>
      <c r="E651" s="4"/>
      <c r="F651" s="6"/>
      <c r="G651" s="3"/>
      <c r="H651" s="4"/>
      <c r="I651" s="6"/>
    </row>
    <row r="652" spans="1:9" x14ac:dyDescent="0.2">
      <c r="A652" s="31">
        <f>Winter!A655</f>
        <v>143</v>
      </c>
      <c r="B652" s="2">
        <v>647</v>
      </c>
      <c r="C652" s="3">
        <f t="shared" si="18"/>
        <v>2484</v>
      </c>
      <c r="D652" s="4">
        <f t="shared" si="19"/>
        <v>114.11541195742863</v>
      </c>
      <c r="E652" s="4"/>
      <c r="F652" s="6"/>
      <c r="G652" s="3"/>
      <c r="H652" s="4"/>
      <c r="I652" s="6"/>
    </row>
    <row r="653" spans="1:9" x14ac:dyDescent="0.2">
      <c r="A653" s="31">
        <f>Winter!A656</f>
        <v>144</v>
      </c>
      <c r="B653" s="2">
        <v>648</v>
      </c>
      <c r="C653" s="3">
        <f t="shared" si="18"/>
        <v>2346</v>
      </c>
      <c r="D653" s="4">
        <f t="shared" si="19"/>
        <v>107.7756668486826</v>
      </c>
      <c r="E653" s="4"/>
      <c r="F653" s="6"/>
      <c r="G653" s="3"/>
      <c r="H653" s="4"/>
      <c r="I653" s="6"/>
    </row>
    <row r="654" spans="1:9" x14ac:dyDescent="0.2">
      <c r="A654" s="31">
        <f>Winter!A657</f>
        <v>145</v>
      </c>
      <c r="B654" s="2">
        <v>649</v>
      </c>
      <c r="C654" s="3">
        <f t="shared" si="18"/>
        <v>2208</v>
      </c>
      <c r="D654" s="4">
        <f t="shared" si="19"/>
        <v>101.43592173993656</v>
      </c>
      <c r="E654" s="4"/>
      <c r="F654" s="6"/>
      <c r="G654" s="3"/>
      <c r="H654" s="4"/>
      <c r="I654" s="6"/>
    </row>
    <row r="655" spans="1:9" x14ac:dyDescent="0.2">
      <c r="A655" s="31">
        <f>Winter!A658</f>
        <v>146</v>
      </c>
      <c r="B655" s="2">
        <v>650</v>
      </c>
      <c r="C655" s="3">
        <f t="shared" si="18"/>
        <v>2208</v>
      </c>
      <c r="D655" s="4">
        <f t="shared" si="19"/>
        <v>101.43592173993656</v>
      </c>
      <c r="E655" s="4"/>
      <c r="F655" s="6"/>
      <c r="G655" s="3"/>
      <c r="H655" s="4"/>
      <c r="I655" s="6"/>
    </row>
    <row r="656" spans="1:9" x14ac:dyDescent="0.2">
      <c r="A656" s="31">
        <f>Winter!A659</f>
        <v>147</v>
      </c>
      <c r="B656" s="2">
        <v>651</v>
      </c>
      <c r="C656" s="3">
        <f t="shared" si="18"/>
        <v>2346.0000000000005</v>
      </c>
      <c r="D656" s="4">
        <f t="shared" si="19"/>
        <v>107.77566684868262</v>
      </c>
      <c r="E656" s="4"/>
      <c r="F656" s="6"/>
      <c r="G656" s="3"/>
      <c r="H656" s="4"/>
      <c r="I656" s="6"/>
    </row>
    <row r="657" spans="1:9" x14ac:dyDescent="0.2">
      <c r="A657" s="31">
        <f>Winter!A660</f>
        <v>148</v>
      </c>
      <c r="B657" s="2">
        <v>652</v>
      </c>
      <c r="C657" s="3">
        <f t="shared" si="18"/>
        <v>2484</v>
      </c>
      <c r="D657" s="4">
        <f t="shared" si="19"/>
        <v>114.11541195742863</v>
      </c>
      <c r="E657" s="4"/>
      <c r="F657" s="6"/>
      <c r="G657" s="3"/>
      <c r="H657" s="4"/>
      <c r="I657" s="6"/>
    </row>
    <row r="658" spans="1:9" x14ac:dyDescent="0.2">
      <c r="A658" s="31">
        <f>Winter!A661</f>
        <v>149</v>
      </c>
      <c r="B658" s="2">
        <v>653</v>
      </c>
      <c r="C658" s="3">
        <f t="shared" si="18"/>
        <v>2622</v>
      </c>
      <c r="D658" s="4">
        <f t="shared" si="19"/>
        <v>120.45515706617466</v>
      </c>
      <c r="E658" s="4"/>
      <c r="F658" s="6"/>
      <c r="G658" s="3"/>
      <c r="H658" s="4"/>
      <c r="I658" s="6"/>
    </row>
    <row r="659" spans="1:9" x14ac:dyDescent="0.2">
      <c r="A659" s="31">
        <f>Winter!A662</f>
        <v>150</v>
      </c>
      <c r="B659" s="2">
        <v>654</v>
      </c>
      <c r="C659" s="3">
        <f t="shared" si="18"/>
        <v>2760</v>
      </c>
      <c r="D659" s="4">
        <f t="shared" si="19"/>
        <v>126.79490217492071</v>
      </c>
      <c r="E659" s="4"/>
      <c r="F659" s="6"/>
      <c r="G659" s="3"/>
      <c r="H659" s="4"/>
      <c r="I659" s="6"/>
    </row>
    <row r="660" spans="1:9" x14ac:dyDescent="0.2">
      <c r="A660" s="31">
        <f>Winter!A663</f>
        <v>151</v>
      </c>
      <c r="B660" s="2">
        <v>655</v>
      </c>
      <c r="C660" s="3">
        <f t="shared" si="18"/>
        <v>2898</v>
      </c>
      <c r="D660" s="4">
        <f t="shared" si="19"/>
        <v>133.13464728366674</v>
      </c>
      <c r="E660" s="4"/>
      <c r="F660" s="6"/>
      <c r="G660" s="3"/>
      <c r="H660" s="4"/>
      <c r="I660" s="6"/>
    </row>
    <row r="661" spans="1:9" x14ac:dyDescent="0.2">
      <c r="A661" s="31">
        <f>Winter!A664</f>
        <v>152</v>
      </c>
      <c r="B661" s="2">
        <v>656</v>
      </c>
      <c r="C661" s="3">
        <f t="shared" si="18"/>
        <v>3036</v>
      </c>
      <c r="D661" s="4">
        <f t="shared" si="19"/>
        <v>139.47439239241277</v>
      </c>
      <c r="E661" s="4"/>
      <c r="F661" s="6"/>
      <c r="G661" s="3"/>
      <c r="H661" s="4"/>
      <c r="I661" s="6"/>
    </row>
    <row r="662" spans="1:9" x14ac:dyDescent="0.2">
      <c r="A662" s="31">
        <f>Winter!A665</f>
        <v>153</v>
      </c>
      <c r="B662" s="2">
        <v>657</v>
      </c>
      <c r="C662" s="3">
        <f t="shared" si="18"/>
        <v>3174.0000000000005</v>
      </c>
      <c r="D662" s="4">
        <f t="shared" si="19"/>
        <v>145.81413750115883</v>
      </c>
      <c r="E662" s="4"/>
      <c r="F662" s="6"/>
      <c r="G662" s="3"/>
      <c r="H662" s="4"/>
      <c r="I662" s="6"/>
    </row>
    <row r="663" spans="1:9" x14ac:dyDescent="0.2">
      <c r="A663" s="31">
        <f>Winter!A666</f>
        <v>154</v>
      </c>
      <c r="B663" s="2">
        <v>658</v>
      </c>
      <c r="C663" s="3">
        <f t="shared" si="18"/>
        <v>3312.0000000000005</v>
      </c>
      <c r="D663" s="4">
        <f t="shared" si="19"/>
        <v>152.15388260990485</v>
      </c>
      <c r="E663" s="4"/>
      <c r="F663" s="6"/>
      <c r="G663" s="3"/>
      <c r="H663" s="4"/>
      <c r="I663" s="6"/>
    </row>
    <row r="664" spans="1:9" x14ac:dyDescent="0.2">
      <c r="A664" s="31">
        <f>Winter!A667</f>
        <v>155</v>
      </c>
      <c r="B664" s="2">
        <v>659</v>
      </c>
      <c r="C664" s="3">
        <f t="shared" si="18"/>
        <v>3450.0000000000005</v>
      </c>
      <c r="D664" s="4">
        <f t="shared" si="19"/>
        <v>158.49362771865091</v>
      </c>
      <c r="E664" s="4"/>
      <c r="F664" s="6"/>
      <c r="G664" s="3"/>
      <c r="H664" s="4"/>
      <c r="I664" s="6"/>
    </row>
    <row r="665" spans="1:9" x14ac:dyDescent="0.2">
      <c r="A665" s="31">
        <f>Winter!A668</f>
        <v>156</v>
      </c>
      <c r="B665" s="2">
        <v>660</v>
      </c>
      <c r="C665" s="3">
        <f t="shared" si="18"/>
        <v>3588.0000000000009</v>
      </c>
      <c r="D665" s="4">
        <f t="shared" si="19"/>
        <v>164.83337282739694</v>
      </c>
      <c r="E665" s="4"/>
      <c r="F665" s="6"/>
      <c r="G665" s="3"/>
      <c r="H665" s="4"/>
      <c r="I665" s="6"/>
    </row>
    <row r="666" spans="1:9" x14ac:dyDescent="0.2">
      <c r="A666" s="31">
        <f>Winter!A669</f>
        <v>157</v>
      </c>
      <c r="B666" s="2">
        <v>661</v>
      </c>
      <c r="C666" s="3">
        <f t="shared" si="18"/>
        <v>3726.0000000000009</v>
      </c>
      <c r="D666" s="4">
        <f t="shared" si="19"/>
        <v>171.173117936143</v>
      </c>
      <c r="E666" s="4"/>
      <c r="F666" s="6"/>
      <c r="G666" s="3"/>
      <c r="H666" s="4"/>
      <c r="I666" s="6"/>
    </row>
    <row r="667" spans="1:9" x14ac:dyDescent="0.2">
      <c r="A667" s="31">
        <f>Winter!A670</f>
        <v>158</v>
      </c>
      <c r="B667" s="2">
        <v>662</v>
      </c>
      <c r="C667" s="3">
        <f t="shared" si="18"/>
        <v>3864.0000000000014</v>
      </c>
      <c r="D667" s="4">
        <f t="shared" si="19"/>
        <v>177.51286304488906</v>
      </c>
      <c r="E667" s="4"/>
      <c r="F667" s="6"/>
      <c r="G667" s="3"/>
      <c r="H667" s="4"/>
      <c r="I667" s="6"/>
    </row>
    <row r="668" spans="1:9" x14ac:dyDescent="0.2">
      <c r="A668" s="31">
        <f>Winter!A671</f>
        <v>159</v>
      </c>
      <c r="B668" s="2">
        <v>663</v>
      </c>
      <c r="C668" s="3">
        <f t="shared" si="18"/>
        <v>3726.0000000000005</v>
      </c>
      <c r="D668" s="4">
        <f t="shared" si="19"/>
        <v>171.17311793614297</v>
      </c>
      <c r="E668" s="4"/>
      <c r="F668" s="6"/>
      <c r="G668" s="3"/>
      <c r="H668" s="4"/>
      <c r="I668" s="6"/>
    </row>
    <row r="669" spans="1:9" x14ac:dyDescent="0.2">
      <c r="A669" s="31">
        <f>Winter!A672</f>
        <v>160</v>
      </c>
      <c r="B669" s="2">
        <v>664</v>
      </c>
      <c r="C669" s="3">
        <f t="shared" si="18"/>
        <v>3864</v>
      </c>
      <c r="D669" s="4">
        <f t="shared" si="19"/>
        <v>177.51286304488897</v>
      </c>
      <c r="E669" s="4"/>
      <c r="F669" s="6"/>
      <c r="G669" s="3"/>
      <c r="H669" s="4"/>
      <c r="I669" s="6"/>
    </row>
    <row r="670" spans="1:9" x14ac:dyDescent="0.2">
      <c r="A670" s="31">
        <f>Winter!A673</f>
        <v>161</v>
      </c>
      <c r="B670" s="2">
        <v>665</v>
      </c>
      <c r="C670" s="3">
        <f t="shared" si="18"/>
        <v>4416</v>
      </c>
      <c r="D670" s="4">
        <f t="shared" si="19"/>
        <v>202.87184347987312</v>
      </c>
      <c r="E670" s="4"/>
      <c r="F670" s="6"/>
      <c r="G670" s="3"/>
      <c r="H670" s="4"/>
      <c r="I670" s="6"/>
    </row>
    <row r="671" spans="1:9" x14ac:dyDescent="0.2">
      <c r="A671" s="31">
        <f>Winter!A674</f>
        <v>162</v>
      </c>
      <c r="B671" s="2">
        <v>666</v>
      </c>
      <c r="C671" s="3">
        <f t="shared" si="18"/>
        <v>4278</v>
      </c>
      <c r="D671" s="4">
        <f t="shared" si="19"/>
        <v>196.53209837112709</v>
      </c>
      <c r="E671" s="4"/>
      <c r="F671" s="6"/>
      <c r="G671" s="3"/>
      <c r="H671" s="4"/>
      <c r="I671" s="6"/>
    </row>
    <row r="672" spans="1:9" x14ac:dyDescent="0.2">
      <c r="A672" s="31">
        <f>Winter!A675</f>
        <v>163</v>
      </c>
      <c r="B672" s="2">
        <v>667</v>
      </c>
      <c r="C672" s="3">
        <f t="shared" si="18"/>
        <v>4553.9999999999991</v>
      </c>
      <c r="D672" s="4">
        <f t="shared" si="19"/>
        <v>209.21158858861912</v>
      </c>
      <c r="E672" s="4"/>
      <c r="F672" s="6"/>
      <c r="G672" s="3"/>
      <c r="H672" s="4"/>
      <c r="I672" s="6"/>
    </row>
    <row r="673" spans="1:9" x14ac:dyDescent="0.2">
      <c r="A673" s="31">
        <f>Winter!A676</f>
        <v>164</v>
      </c>
      <c r="B673" s="2">
        <v>668</v>
      </c>
      <c r="C673" s="3">
        <f t="shared" si="18"/>
        <v>4250.3999999999996</v>
      </c>
      <c r="D673" s="4">
        <f t="shared" si="19"/>
        <v>195.26414934937787</v>
      </c>
      <c r="E673" s="4"/>
      <c r="F673" s="6"/>
      <c r="G673" s="3"/>
      <c r="H673" s="4"/>
      <c r="I673" s="6"/>
    </row>
    <row r="674" spans="1:9" x14ac:dyDescent="0.2">
      <c r="A674" s="31">
        <f>Winter!A677</f>
        <v>165</v>
      </c>
      <c r="B674" s="2">
        <v>669</v>
      </c>
      <c r="C674" s="3">
        <f t="shared" si="18"/>
        <v>3946.8</v>
      </c>
      <c r="D674" s="4">
        <f t="shared" si="19"/>
        <v>181.31671011013663</v>
      </c>
      <c r="E674" s="4"/>
      <c r="F674" s="6"/>
      <c r="G674" s="3"/>
      <c r="H674" s="4"/>
      <c r="I674" s="6"/>
    </row>
    <row r="675" spans="1:9" x14ac:dyDescent="0.2">
      <c r="A675" s="31">
        <f>Winter!A678</f>
        <v>166</v>
      </c>
      <c r="B675" s="2">
        <v>670</v>
      </c>
      <c r="C675" s="3">
        <f t="shared" si="18"/>
        <v>3643.2</v>
      </c>
      <c r="D675" s="4">
        <f t="shared" si="19"/>
        <v>167.36927087089532</v>
      </c>
      <c r="E675" s="4"/>
      <c r="F675" s="6"/>
      <c r="G675" s="3"/>
      <c r="H675" s="4"/>
      <c r="I675" s="6"/>
    </row>
    <row r="676" spans="1:9" x14ac:dyDescent="0.2">
      <c r="A676" s="31">
        <f>Winter!A679</f>
        <v>167</v>
      </c>
      <c r="B676" s="2">
        <v>671</v>
      </c>
      <c r="C676" s="3">
        <f t="shared" si="18"/>
        <v>3339.6000000000004</v>
      </c>
      <c r="D676" s="4">
        <f t="shared" si="19"/>
        <v>153.42183163165407</v>
      </c>
      <c r="E676" s="4"/>
      <c r="F676" s="6"/>
      <c r="G676" s="3"/>
      <c r="H676" s="4"/>
      <c r="I676" s="6"/>
    </row>
    <row r="677" spans="1:9" x14ac:dyDescent="0.2">
      <c r="A677" s="31">
        <f>Winter!A680</f>
        <v>168</v>
      </c>
      <c r="B677" s="2">
        <v>672</v>
      </c>
      <c r="C677" s="3">
        <f t="shared" si="18"/>
        <v>3036</v>
      </c>
      <c r="D677" s="4">
        <f t="shared" si="19"/>
        <v>139.47439239241277</v>
      </c>
      <c r="E677" s="4"/>
      <c r="F677" s="6"/>
      <c r="G677" s="3"/>
      <c r="H677" s="4"/>
      <c r="I677" s="6"/>
    </row>
    <row r="678" spans="1:9" x14ac:dyDescent="0.2">
      <c r="C678" s="3">
        <f>SUM(C6:C677)</f>
        <v>2439877.7834165837</v>
      </c>
      <c r="D678" s="3">
        <f>SUM(D6:D677)</f>
        <v>112088.42929966237</v>
      </c>
      <c r="G678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BC1B-C667-AC45-9076-7ABCCBAEE9F7}">
  <dimension ref="A2:I680"/>
  <sheetViews>
    <sheetView zoomScale="160" zoomScaleNormal="160" workbookViewId="0">
      <selection activeCell="H13" sqref="H13"/>
    </sheetView>
  </sheetViews>
  <sheetFormatPr baseColWidth="10" defaultRowHeight="16" x14ac:dyDescent="0.2"/>
  <cols>
    <col min="1" max="1" width="10.83203125" style="31"/>
    <col min="2" max="2" width="10.83203125" style="2"/>
    <col min="3" max="3" width="13.1640625" bestFit="1" customWidth="1"/>
    <col min="5" max="5" width="11.6640625" customWidth="1"/>
    <col min="6" max="6" width="11.6640625" bestFit="1" customWidth="1"/>
    <col min="8" max="8" width="11" bestFit="1" customWidth="1"/>
  </cols>
  <sheetData>
    <row r="2" spans="1:9" s="12" customFormat="1" ht="34" x14ac:dyDescent="0.2">
      <c r="A2" s="32"/>
      <c r="C2" s="13" t="s">
        <v>7</v>
      </c>
    </row>
    <row r="3" spans="1:9" s="12" customFormat="1" ht="19" x14ac:dyDescent="0.25">
      <c r="A3" s="32"/>
      <c r="C3" s="13" t="s">
        <v>14</v>
      </c>
      <c r="D3" s="13" t="s">
        <v>12</v>
      </c>
      <c r="F3" t="s">
        <v>13</v>
      </c>
      <c r="G3">
        <f>Properties!$D$9</f>
        <v>273</v>
      </c>
    </row>
    <row r="4" spans="1:9" ht="18" x14ac:dyDescent="0.25">
      <c r="B4" s="2" t="s">
        <v>2</v>
      </c>
      <c r="C4" s="16">
        <f>SUM(C6:C677)</f>
        <v>2657516.0689310688</v>
      </c>
      <c r="D4" s="16">
        <f>SUM(D6:D677)</f>
        <v>81719.988602955898</v>
      </c>
      <c r="E4" s="19"/>
      <c r="F4" t="s">
        <v>9</v>
      </c>
      <c r="G4">
        <f>Properties!$D$10</f>
        <v>303</v>
      </c>
      <c r="H4" s="19"/>
      <c r="I4" s="17">
        <f>H4+E4</f>
        <v>0</v>
      </c>
    </row>
    <row r="5" spans="1:9" ht="18" x14ac:dyDescent="0.25">
      <c r="B5" s="2" t="s">
        <v>6</v>
      </c>
      <c r="C5" t="s">
        <v>11</v>
      </c>
      <c r="D5" s="7" t="s">
        <v>11</v>
      </c>
      <c r="F5" t="s">
        <v>8</v>
      </c>
      <c r="G5">
        <f>Properties!$H$14</f>
        <v>293</v>
      </c>
    </row>
    <row r="6" spans="1:9" x14ac:dyDescent="0.2">
      <c r="A6" s="31">
        <f>Winter!A9</f>
        <v>1</v>
      </c>
      <c r="B6" s="2">
        <v>1</v>
      </c>
      <c r="C6" s="3">
        <v>2550</v>
      </c>
      <c r="D6" s="4">
        <f>$G$3*C6*(1/$G$5-1/$G$4)</f>
        <v>78.413814077653498</v>
      </c>
      <c r="E6" s="6"/>
      <c r="F6" s="20"/>
      <c r="G6" s="4"/>
      <c r="H6" s="6"/>
    </row>
    <row r="7" spans="1:9" x14ac:dyDescent="0.2">
      <c r="A7" s="31">
        <f>Winter!A10</f>
        <v>2</v>
      </c>
      <c r="B7" s="2">
        <v>2</v>
      </c>
      <c r="C7" s="3">
        <v>2400</v>
      </c>
      <c r="D7" s="4">
        <f t="shared" ref="D7:D70" si="0">$G$3*C7*(1/$G$5-1/$G$4)</f>
        <v>73.80123677896799</v>
      </c>
      <c r="E7" s="6"/>
      <c r="F7" s="20"/>
      <c r="G7" s="4"/>
      <c r="H7" s="6"/>
    </row>
    <row r="8" spans="1:9" x14ac:dyDescent="0.2">
      <c r="A8" s="31">
        <f>Winter!A11</f>
        <v>3</v>
      </c>
      <c r="B8" s="2">
        <v>3</v>
      </c>
      <c r="C8" s="3">
        <v>2550</v>
      </c>
      <c r="D8" s="4">
        <f t="shared" si="0"/>
        <v>78.413814077653498</v>
      </c>
      <c r="E8" s="6"/>
      <c r="F8" s="20"/>
      <c r="G8" s="4"/>
      <c r="H8" s="6"/>
    </row>
    <row r="9" spans="1:9" x14ac:dyDescent="0.2">
      <c r="A9" s="31">
        <f>Winter!A12</f>
        <v>4</v>
      </c>
      <c r="B9" s="2">
        <v>4</v>
      </c>
      <c r="C9" s="3">
        <v>2700</v>
      </c>
      <c r="D9" s="4">
        <f t="shared" si="0"/>
        <v>83.026391376338992</v>
      </c>
      <c r="E9" s="6"/>
      <c r="F9" s="20"/>
      <c r="G9" s="4"/>
      <c r="H9" s="6"/>
    </row>
    <row r="10" spans="1:9" x14ac:dyDescent="0.2">
      <c r="A10" s="31">
        <f>Winter!A13</f>
        <v>5</v>
      </c>
      <c r="B10" s="2">
        <v>5</v>
      </c>
      <c r="C10" s="3">
        <v>3074.9999999999995</v>
      </c>
      <c r="D10" s="4">
        <f t="shared" si="0"/>
        <v>94.557834623052727</v>
      </c>
      <c r="E10" s="6"/>
      <c r="F10" s="20"/>
      <c r="G10" s="4"/>
      <c r="H10" s="6"/>
    </row>
    <row r="11" spans="1:9" x14ac:dyDescent="0.2">
      <c r="A11" s="31">
        <f>Winter!A14</f>
        <v>6</v>
      </c>
      <c r="B11" s="2">
        <v>6</v>
      </c>
      <c r="C11" s="3">
        <v>3299.9999999999995</v>
      </c>
      <c r="D11" s="4">
        <f t="shared" si="0"/>
        <v>101.47670057108098</v>
      </c>
      <c r="E11" s="6"/>
      <c r="F11" s="20"/>
      <c r="G11" s="4"/>
      <c r="H11" s="6"/>
    </row>
    <row r="12" spans="1:9" x14ac:dyDescent="0.2">
      <c r="A12" s="31">
        <f>Winter!A15</f>
        <v>7</v>
      </c>
      <c r="B12" s="2">
        <v>7</v>
      </c>
      <c r="C12" s="3">
        <v>3524.9999999999991</v>
      </c>
      <c r="D12" s="4">
        <f t="shared" si="0"/>
        <v>108.39556651910922</v>
      </c>
      <c r="E12" s="6"/>
      <c r="F12" s="20"/>
      <c r="G12" s="4"/>
      <c r="H12" s="6"/>
    </row>
    <row r="13" spans="1:9" x14ac:dyDescent="0.2">
      <c r="A13" s="31">
        <f>Winter!A16</f>
        <v>8</v>
      </c>
      <c r="B13" s="2">
        <v>8</v>
      </c>
      <c r="C13" s="3">
        <v>3749.9999999999986</v>
      </c>
      <c r="D13" s="4">
        <f t="shared" si="0"/>
        <v>115.31443246713745</v>
      </c>
      <c r="E13" s="6"/>
      <c r="F13" s="20"/>
      <c r="G13" s="4"/>
      <c r="H13" s="6"/>
    </row>
    <row r="14" spans="1:9" x14ac:dyDescent="0.2">
      <c r="A14" s="31">
        <f>Winter!A17</f>
        <v>9</v>
      </c>
      <c r="B14" s="2">
        <v>9</v>
      </c>
      <c r="C14" s="3">
        <v>3974.9999999999986</v>
      </c>
      <c r="D14" s="4">
        <f t="shared" si="0"/>
        <v>122.23329841516569</v>
      </c>
      <c r="E14" s="6"/>
      <c r="F14" s="20"/>
      <c r="G14" s="4"/>
      <c r="H14" s="6"/>
    </row>
    <row r="15" spans="1:9" x14ac:dyDescent="0.2">
      <c r="A15" s="31">
        <f>Winter!A18</f>
        <v>10</v>
      </c>
      <c r="B15" s="2">
        <v>10</v>
      </c>
      <c r="C15" s="3">
        <v>4199.9999999999982</v>
      </c>
      <c r="D15" s="4">
        <f t="shared" si="0"/>
        <v>129.15216436319395</v>
      </c>
      <c r="E15" s="6"/>
      <c r="F15" s="20"/>
      <c r="G15" s="4"/>
      <c r="H15" s="6"/>
    </row>
    <row r="16" spans="1:9" x14ac:dyDescent="0.2">
      <c r="A16" s="31">
        <f>Winter!A19</f>
        <v>11</v>
      </c>
      <c r="B16" s="2">
        <v>11</v>
      </c>
      <c r="C16" s="3">
        <v>4424.9999999999991</v>
      </c>
      <c r="D16" s="4">
        <f t="shared" si="0"/>
        <v>136.07103031122222</v>
      </c>
      <c r="E16" s="6"/>
      <c r="F16" s="20"/>
      <c r="G16" s="4"/>
      <c r="H16" s="6"/>
    </row>
    <row r="17" spans="1:8" x14ac:dyDescent="0.2">
      <c r="A17" s="31">
        <f>Winter!A20</f>
        <v>12</v>
      </c>
      <c r="B17" s="2">
        <v>12</v>
      </c>
      <c r="C17" s="3">
        <v>4649.9999999999982</v>
      </c>
      <c r="D17" s="4">
        <f t="shared" si="0"/>
        <v>142.98989625925043</v>
      </c>
      <c r="E17" s="6"/>
      <c r="F17" s="20"/>
      <c r="G17" s="4"/>
      <c r="H17" s="6"/>
    </row>
    <row r="18" spans="1:8" x14ac:dyDescent="0.2">
      <c r="A18" s="31">
        <f>Winter!A21</f>
        <v>13</v>
      </c>
      <c r="B18" s="2">
        <v>13</v>
      </c>
      <c r="C18" s="3">
        <v>4875</v>
      </c>
      <c r="D18" s="4">
        <f t="shared" si="0"/>
        <v>149.90876220727873</v>
      </c>
      <c r="E18" s="6"/>
      <c r="F18" s="20"/>
      <c r="G18" s="4"/>
      <c r="H18" s="6"/>
    </row>
    <row r="19" spans="1:8" x14ac:dyDescent="0.2">
      <c r="A19" s="31">
        <f>Winter!A22</f>
        <v>14</v>
      </c>
      <c r="B19" s="2">
        <v>14</v>
      </c>
      <c r="C19" s="3">
        <v>5100</v>
      </c>
      <c r="D19" s="4">
        <f t="shared" si="0"/>
        <v>156.827628155307</v>
      </c>
      <c r="E19" s="6"/>
      <c r="F19" s="20"/>
      <c r="G19" s="4"/>
      <c r="H19" s="6"/>
    </row>
    <row r="20" spans="1:8" x14ac:dyDescent="0.2">
      <c r="A20" s="31">
        <f>Winter!A23</f>
        <v>15</v>
      </c>
      <c r="B20" s="2">
        <v>15</v>
      </c>
      <c r="C20" s="3">
        <v>4949.9999999999991</v>
      </c>
      <c r="D20" s="4">
        <f t="shared" si="0"/>
        <v>152.21505085662147</v>
      </c>
      <c r="E20" s="6"/>
      <c r="F20" s="20"/>
      <c r="G20" s="4"/>
      <c r="H20" s="6"/>
    </row>
    <row r="21" spans="1:8" x14ac:dyDescent="0.2">
      <c r="A21" s="31">
        <f>Winter!A24</f>
        <v>16</v>
      </c>
      <c r="B21" s="2">
        <v>16</v>
      </c>
      <c r="C21" s="3">
        <v>5149.9999999999991</v>
      </c>
      <c r="D21" s="4">
        <f t="shared" si="0"/>
        <v>158.36515392153547</v>
      </c>
      <c r="E21" s="6"/>
      <c r="F21" s="20"/>
      <c r="G21" s="4"/>
      <c r="H21" s="6"/>
    </row>
    <row r="22" spans="1:8" x14ac:dyDescent="0.2">
      <c r="A22" s="31">
        <f>Winter!A25</f>
        <v>17</v>
      </c>
      <c r="B22" s="2">
        <v>17</v>
      </c>
      <c r="C22" s="3">
        <v>5850</v>
      </c>
      <c r="D22" s="4">
        <f t="shared" si="0"/>
        <v>179.8905146487345</v>
      </c>
      <c r="E22" s="6"/>
      <c r="F22" s="20"/>
      <c r="G22" s="4"/>
      <c r="H22" s="6"/>
    </row>
    <row r="23" spans="1:8" x14ac:dyDescent="0.2">
      <c r="A23" s="31">
        <f>Winter!A26</f>
        <v>18</v>
      </c>
      <c r="B23" s="2">
        <v>18</v>
      </c>
      <c r="C23" s="3">
        <v>5699.9999999999991</v>
      </c>
      <c r="D23" s="4">
        <f t="shared" si="0"/>
        <v>175.27793735004897</v>
      </c>
      <c r="E23" s="6"/>
      <c r="F23" s="20"/>
      <c r="G23" s="4"/>
      <c r="H23" s="6"/>
    </row>
    <row r="24" spans="1:8" x14ac:dyDescent="0.2">
      <c r="A24" s="31">
        <f>Winter!A27</f>
        <v>19</v>
      </c>
      <c r="B24" s="2">
        <v>19</v>
      </c>
      <c r="C24" s="3">
        <v>6000</v>
      </c>
      <c r="D24" s="4">
        <f t="shared" si="0"/>
        <v>184.50309194741999</v>
      </c>
      <c r="E24" s="6"/>
      <c r="F24" s="20"/>
      <c r="G24" s="4"/>
      <c r="H24" s="6"/>
    </row>
    <row r="25" spans="1:8" x14ac:dyDescent="0.2">
      <c r="A25" s="31">
        <f>Winter!A28</f>
        <v>20</v>
      </c>
      <c r="B25" s="2">
        <v>20</v>
      </c>
      <c r="C25" s="3">
        <v>5699.9999999999991</v>
      </c>
      <c r="D25" s="4">
        <f t="shared" si="0"/>
        <v>175.27793735004897</v>
      </c>
      <c r="E25" s="6"/>
      <c r="F25" s="20"/>
      <c r="G25" s="4"/>
      <c r="H25" s="6"/>
    </row>
    <row r="26" spans="1:8" x14ac:dyDescent="0.2">
      <c r="A26" s="31">
        <f>Winter!A29</f>
        <v>21</v>
      </c>
      <c r="B26" s="2">
        <v>21</v>
      </c>
      <c r="C26" s="3">
        <v>6149.9999999999991</v>
      </c>
      <c r="D26" s="4">
        <f t="shared" si="0"/>
        <v>189.11566924610545</v>
      </c>
      <c r="E26" s="6"/>
      <c r="F26" s="20"/>
      <c r="G26" s="4"/>
      <c r="H26" s="6"/>
    </row>
    <row r="27" spans="1:8" x14ac:dyDescent="0.2">
      <c r="A27" s="31">
        <f>Winter!A30</f>
        <v>22</v>
      </c>
      <c r="B27" s="2">
        <v>22</v>
      </c>
      <c r="C27" s="3">
        <v>5399.9999999999991</v>
      </c>
      <c r="D27" s="4">
        <f t="shared" si="0"/>
        <v>166.05278275267796</v>
      </c>
      <c r="E27" s="6"/>
      <c r="F27" s="20"/>
      <c r="G27" s="4"/>
      <c r="H27" s="6"/>
    </row>
    <row r="28" spans="1:8" x14ac:dyDescent="0.2">
      <c r="A28" s="31">
        <f>Winter!A31</f>
        <v>23</v>
      </c>
      <c r="B28" s="2">
        <v>23</v>
      </c>
      <c r="C28" s="3">
        <v>4649.9999999999982</v>
      </c>
      <c r="D28" s="4">
        <f t="shared" si="0"/>
        <v>142.98989625925043</v>
      </c>
      <c r="E28" s="6"/>
      <c r="F28" s="20"/>
      <c r="G28" s="4"/>
      <c r="H28" s="6"/>
    </row>
    <row r="29" spans="1:8" x14ac:dyDescent="0.2">
      <c r="A29" s="31">
        <f>Winter!A32</f>
        <v>24</v>
      </c>
      <c r="B29" s="2">
        <v>24</v>
      </c>
      <c r="C29" s="3">
        <v>3899.9999999999991</v>
      </c>
      <c r="D29" s="4">
        <f t="shared" si="0"/>
        <v>119.92700976582297</v>
      </c>
      <c r="E29" s="6"/>
      <c r="F29" s="20"/>
      <c r="G29" s="4"/>
      <c r="H29" s="6"/>
    </row>
    <row r="30" spans="1:8" x14ac:dyDescent="0.2">
      <c r="A30" s="31">
        <f>Winter!A33</f>
        <v>25</v>
      </c>
      <c r="B30" s="2">
        <v>25</v>
      </c>
      <c r="C30" s="3">
        <v>2550</v>
      </c>
      <c r="D30" s="4">
        <f t="shared" si="0"/>
        <v>78.413814077653498</v>
      </c>
      <c r="E30" s="6"/>
      <c r="F30" s="20"/>
      <c r="G30" s="4"/>
      <c r="H30" s="6"/>
    </row>
    <row r="31" spans="1:8" x14ac:dyDescent="0.2">
      <c r="A31" s="31">
        <f>Winter!A34</f>
        <v>26</v>
      </c>
      <c r="B31" s="2">
        <v>26</v>
      </c>
      <c r="C31" s="3">
        <v>2400</v>
      </c>
      <c r="D31" s="4">
        <f t="shared" si="0"/>
        <v>73.80123677896799</v>
      </c>
      <c r="E31" s="6"/>
      <c r="F31" s="20"/>
      <c r="G31" s="4"/>
      <c r="H31" s="6"/>
    </row>
    <row r="32" spans="1:8" x14ac:dyDescent="0.2">
      <c r="A32" s="31">
        <f>Winter!A35</f>
        <v>27</v>
      </c>
      <c r="B32" s="2">
        <v>27</v>
      </c>
      <c r="C32" s="3">
        <v>2579.9999999999995</v>
      </c>
      <c r="D32" s="4">
        <f t="shared" si="0"/>
        <v>79.336329537390583</v>
      </c>
      <c r="E32" s="6"/>
      <c r="F32" s="20"/>
      <c r="G32" s="4"/>
      <c r="H32" s="6"/>
    </row>
    <row r="33" spans="1:8" x14ac:dyDescent="0.2">
      <c r="A33" s="31">
        <f>Winter!A36</f>
        <v>28</v>
      </c>
      <c r="B33" s="2">
        <v>28</v>
      </c>
      <c r="C33" s="3">
        <v>2700</v>
      </c>
      <c r="D33" s="4">
        <f t="shared" si="0"/>
        <v>83.026391376338992</v>
      </c>
      <c r="E33" s="6"/>
      <c r="F33" s="20"/>
      <c r="G33" s="4"/>
      <c r="H33" s="6"/>
    </row>
    <row r="34" spans="1:8" x14ac:dyDescent="0.2">
      <c r="A34" s="31">
        <f>Winter!A37</f>
        <v>29</v>
      </c>
      <c r="B34" s="2">
        <v>29</v>
      </c>
      <c r="C34" s="3">
        <v>2978.5714285714284</v>
      </c>
      <c r="D34" s="4">
        <f t="shared" si="0"/>
        <v>91.592606359612063</v>
      </c>
      <c r="E34" s="6"/>
      <c r="F34" s="20"/>
      <c r="G34" s="4"/>
      <c r="H34" s="6"/>
    </row>
    <row r="35" spans="1:8" x14ac:dyDescent="0.2">
      <c r="A35" s="31">
        <f>Winter!A38</f>
        <v>30</v>
      </c>
      <c r="B35" s="2">
        <v>30</v>
      </c>
      <c r="C35" s="3">
        <v>3171.4285714285711</v>
      </c>
      <c r="D35" s="4">
        <f t="shared" si="0"/>
        <v>97.523062886493406</v>
      </c>
      <c r="E35" s="6"/>
      <c r="F35" s="20"/>
      <c r="G35" s="4"/>
      <c r="H35" s="6"/>
    </row>
    <row r="36" spans="1:8" x14ac:dyDescent="0.2">
      <c r="A36" s="31">
        <f>Winter!A39</f>
        <v>31</v>
      </c>
      <c r="B36" s="2">
        <v>31</v>
      </c>
      <c r="C36" s="3">
        <v>3364.2857142857138</v>
      </c>
      <c r="D36" s="4">
        <f t="shared" si="0"/>
        <v>103.45351941337476</v>
      </c>
      <c r="E36" s="6"/>
      <c r="F36" s="20"/>
      <c r="G36" s="4"/>
      <c r="H36" s="6"/>
    </row>
    <row r="37" spans="1:8" x14ac:dyDescent="0.2">
      <c r="A37" s="31">
        <f>Winter!A40</f>
        <v>32</v>
      </c>
      <c r="B37" s="2">
        <v>32</v>
      </c>
      <c r="C37" s="3">
        <v>3557.1428571428569</v>
      </c>
      <c r="D37" s="4">
        <f t="shared" si="0"/>
        <v>109.38397594025612</v>
      </c>
      <c r="E37" s="6"/>
      <c r="F37" s="20"/>
      <c r="G37" s="4"/>
      <c r="H37" s="6"/>
    </row>
    <row r="38" spans="1:8" x14ac:dyDescent="0.2">
      <c r="A38" s="31">
        <f>Winter!A41</f>
        <v>33</v>
      </c>
      <c r="B38" s="2">
        <v>33</v>
      </c>
      <c r="C38" s="3">
        <v>3749.9999999999995</v>
      </c>
      <c r="D38" s="4">
        <f t="shared" si="0"/>
        <v>115.31443246713748</v>
      </c>
      <c r="E38" s="6"/>
      <c r="F38" s="20"/>
      <c r="G38" s="4"/>
      <c r="H38" s="6"/>
    </row>
    <row r="39" spans="1:8" x14ac:dyDescent="0.2">
      <c r="A39" s="31">
        <f>Winter!A42</f>
        <v>34</v>
      </c>
      <c r="B39" s="2">
        <v>34</v>
      </c>
      <c r="C39" s="3">
        <v>3942.8571428571427</v>
      </c>
      <c r="D39" s="4">
        <f t="shared" si="0"/>
        <v>121.24488899401885</v>
      </c>
      <c r="E39" s="6"/>
      <c r="F39" s="20"/>
      <c r="G39" s="4"/>
      <c r="H39" s="6"/>
    </row>
    <row r="40" spans="1:8" x14ac:dyDescent="0.2">
      <c r="A40" s="31">
        <f>Winter!A43</f>
        <v>35</v>
      </c>
      <c r="B40" s="2">
        <v>35</v>
      </c>
      <c r="C40" s="3">
        <v>4135.7142857142853</v>
      </c>
      <c r="D40" s="4">
        <f t="shared" si="0"/>
        <v>127.17534552090021</v>
      </c>
      <c r="E40" s="6"/>
      <c r="F40" s="20"/>
      <c r="G40" s="4"/>
      <c r="H40" s="6"/>
    </row>
    <row r="41" spans="1:8" x14ac:dyDescent="0.2">
      <c r="A41" s="31">
        <f>Winter!A44</f>
        <v>36</v>
      </c>
      <c r="B41" s="2">
        <v>36</v>
      </c>
      <c r="C41" s="3">
        <v>4328.5714285714284</v>
      </c>
      <c r="D41" s="4">
        <f t="shared" si="0"/>
        <v>133.10580204778157</v>
      </c>
      <c r="E41" s="6"/>
      <c r="F41" s="20"/>
      <c r="G41" s="4"/>
      <c r="H41" s="6"/>
    </row>
    <row r="42" spans="1:8" x14ac:dyDescent="0.2">
      <c r="A42" s="31">
        <f>Winter!A45</f>
        <v>37</v>
      </c>
      <c r="B42" s="2">
        <v>37</v>
      </c>
      <c r="C42" s="3">
        <v>4521.4285714285706</v>
      </c>
      <c r="D42" s="4">
        <f t="shared" si="0"/>
        <v>139.0362585746629</v>
      </c>
      <c r="E42" s="6"/>
      <c r="F42" s="20"/>
      <c r="G42" s="4"/>
      <c r="H42" s="6"/>
    </row>
    <row r="43" spans="1:8" x14ac:dyDescent="0.2">
      <c r="A43" s="31">
        <f>Winter!A46</f>
        <v>38</v>
      </c>
      <c r="B43" s="2">
        <v>38</v>
      </c>
      <c r="C43" s="3">
        <v>4714.2857142857138</v>
      </c>
      <c r="D43" s="4">
        <f t="shared" si="0"/>
        <v>144.96671510154425</v>
      </c>
      <c r="E43" s="6"/>
      <c r="F43" s="20"/>
      <c r="G43" s="4"/>
      <c r="H43" s="6"/>
    </row>
    <row r="44" spans="1:8" x14ac:dyDescent="0.2">
      <c r="A44" s="31">
        <f>Winter!A47</f>
        <v>39</v>
      </c>
      <c r="B44" s="2">
        <v>39</v>
      </c>
      <c r="C44" s="3">
        <v>4907.1428571428569</v>
      </c>
      <c r="D44" s="4">
        <f t="shared" si="0"/>
        <v>150.89717162842564</v>
      </c>
      <c r="E44" s="6"/>
      <c r="F44" s="20"/>
      <c r="G44" s="4"/>
      <c r="H44" s="6"/>
    </row>
    <row r="45" spans="1:8" x14ac:dyDescent="0.2">
      <c r="A45" s="31">
        <f>Winter!A48</f>
        <v>40</v>
      </c>
      <c r="B45" s="2">
        <v>40</v>
      </c>
      <c r="C45" s="3">
        <v>5100</v>
      </c>
      <c r="D45" s="4">
        <f t="shared" si="0"/>
        <v>156.827628155307</v>
      </c>
      <c r="E45" s="6"/>
      <c r="F45" s="20"/>
      <c r="G45" s="4"/>
      <c r="H45" s="6"/>
    </row>
    <row r="46" spans="1:8" x14ac:dyDescent="0.2">
      <c r="A46" s="31">
        <f>Winter!A49</f>
        <v>41</v>
      </c>
      <c r="B46" s="2">
        <v>41</v>
      </c>
      <c r="C46" s="3">
        <v>4949.9999999999991</v>
      </c>
      <c r="D46" s="4">
        <f t="shared" si="0"/>
        <v>152.21505085662147</v>
      </c>
      <c r="E46" s="6"/>
      <c r="F46" s="20"/>
      <c r="G46" s="4"/>
      <c r="H46" s="6"/>
    </row>
    <row r="47" spans="1:8" x14ac:dyDescent="0.2">
      <c r="A47" s="31">
        <f>Winter!A50</f>
        <v>42</v>
      </c>
      <c r="B47" s="2">
        <v>42</v>
      </c>
      <c r="C47" s="3">
        <v>5250</v>
      </c>
      <c r="D47" s="4">
        <f t="shared" si="0"/>
        <v>161.44020545399249</v>
      </c>
      <c r="E47" s="6"/>
      <c r="F47" s="20"/>
      <c r="G47" s="4"/>
      <c r="H47" s="6"/>
    </row>
    <row r="48" spans="1:8" x14ac:dyDescent="0.2">
      <c r="A48" s="31">
        <f>Winter!A51</f>
        <v>43</v>
      </c>
      <c r="B48" s="2">
        <v>43</v>
      </c>
      <c r="C48" s="3">
        <v>5550</v>
      </c>
      <c r="D48" s="4">
        <f t="shared" si="0"/>
        <v>170.66536005136348</v>
      </c>
      <c r="E48" s="6"/>
      <c r="F48" s="20"/>
      <c r="G48" s="4"/>
      <c r="H48" s="6"/>
    </row>
    <row r="49" spans="1:8" x14ac:dyDescent="0.2">
      <c r="A49" s="31">
        <f>Winter!A52</f>
        <v>44</v>
      </c>
      <c r="B49" s="2">
        <v>44</v>
      </c>
      <c r="C49" s="3">
        <v>5699.9999999999991</v>
      </c>
      <c r="D49" s="4">
        <f t="shared" si="0"/>
        <v>175.27793735004897</v>
      </c>
      <c r="E49" s="6"/>
      <c r="F49" s="20"/>
      <c r="G49" s="4"/>
      <c r="H49" s="6"/>
    </row>
    <row r="50" spans="1:8" x14ac:dyDescent="0.2">
      <c r="A50" s="31">
        <f>Winter!A53</f>
        <v>45</v>
      </c>
      <c r="B50" s="2">
        <v>45</v>
      </c>
      <c r="C50" s="3">
        <v>6149.9999999999991</v>
      </c>
      <c r="D50" s="4">
        <f t="shared" si="0"/>
        <v>189.11566924610545</v>
      </c>
      <c r="E50" s="6"/>
      <c r="F50" s="20"/>
      <c r="G50" s="4"/>
      <c r="H50" s="6"/>
    </row>
    <row r="51" spans="1:8" x14ac:dyDescent="0.2">
      <c r="A51" s="31">
        <f>Winter!A54</f>
        <v>46</v>
      </c>
      <c r="B51" s="2">
        <v>46</v>
      </c>
      <c r="C51" s="3">
        <v>5399.9999999999991</v>
      </c>
      <c r="D51" s="4">
        <f t="shared" si="0"/>
        <v>166.05278275267796</v>
      </c>
      <c r="E51" s="6"/>
      <c r="F51" s="20"/>
      <c r="G51" s="4"/>
      <c r="H51" s="6"/>
    </row>
    <row r="52" spans="1:8" x14ac:dyDescent="0.2">
      <c r="A52" s="31">
        <f>Winter!A55</f>
        <v>47</v>
      </c>
      <c r="B52" s="2">
        <v>47</v>
      </c>
      <c r="C52" s="3">
        <v>4649.9999999999982</v>
      </c>
      <c r="D52" s="4">
        <f t="shared" si="0"/>
        <v>142.98989625925043</v>
      </c>
      <c r="E52" s="6"/>
      <c r="F52" s="20"/>
      <c r="G52" s="4"/>
      <c r="H52" s="6"/>
    </row>
    <row r="53" spans="1:8" x14ac:dyDescent="0.2">
      <c r="A53" s="31">
        <f>Winter!A56</f>
        <v>48</v>
      </c>
      <c r="B53" s="2">
        <v>48</v>
      </c>
      <c r="C53" s="3">
        <v>3899.9999999999991</v>
      </c>
      <c r="D53" s="4">
        <f t="shared" si="0"/>
        <v>119.92700976582297</v>
      </c>
      <c r="E53" s="6"/>
      <c r="F53" s="20"/>
      <c r="G53" s="4"/>
      <c r="H53" s="6"/>
    </row>
    <row r="54" spans="1:8" x14ac:dyDescent="0.2">
      <c r="A54" s="31">
        <f>Winter!A57</f>
        <v>49</v>
      </c>
      <c r="B54" s="2">
        <v>49</v>
      </c>
      <c r="C54" s="3">
        <v>2550</v>
      </c>
      <c r="D54" s="4">
        <f t="shared" si="0"/>
        <v>78.413814077653498</v>
      </c>
      <c r="E54" s="6"/>
      <c r="F54" s="20"/>
      <c r="G54" s="4"/>
      <c r="H54" s="6"/>
    </row>
    <row r="55" spans="1:8" x14ac:dyDescent="0.2">
      <c r="A55" s="31">
        <f>Winter!A58</f>
        <v>50</v>
      </c>
      <c r="B55" s="2">
        <v>50</v>
      </c>
      <c r="C55" s="3">
        <v>2400</v>
      </c>
      <c r="D55" s="4">
        <f t="shared" si="0"/>
        <v>73.80123677896799</v>
      </c>
      <c r="E55" s="6"/>
      <c r="F55" s="20"/>
      <c r="G55" s="4"/>
      <c r="H55" s="6"/>
    </row>
    <row r="56" spans="1:8" x14ac:dyDescent="0.2">
      <c r="A56" s="31">
        <f>Winter!A59</f>
        <v>51</v>
      </c>
      <c r="B56" s="2">
        <v>51</v>
      </c>
      <c r="C56" s="3">
        <v>2550</v>
      </c>
      <c r="D56" s="4">
        <f t="shared" si="0"/>
        <v>78.413814077653498</v>
      </c>
      <c r="E56" s="6"/>
      <c r="F56" s="20"/>
      <c r="G56" s="4"/>
      <c r="H56" s="6"/>
    </row>
    <row r="57" spans="1:8" x14ac:dyDescent="0.2">
      <c r="A57" s="31">
        <f>Winter!A60</f>
        <v>52</v>
      </c>
      <c r="B57" s="2">
        <v>52</v>
      </c>
      <c r="C57" s="3">
        <v>2700</v>
      </c>
      <c r="D57" s="4">
        <f t="shared" si="0"/>
        <v>83.026391376338992</v>
      </c>
      <c r="E57" s="6"/>
      <c r="F57" s="20"/>
      <c r="G57" s="4"/>
      <c r="H57" s="6"/>
    </row>
    <row r="58" spans="1:8" x14ac:dyDescent="0.2">
      <c r="A58" s="31">
        <f>Winter!A61</f>
        <v>53</v>
      </c>
      <c r="B58" s="2">
        <v>53</v>
      </c>
      <c r="C58" s="3">
        <v>3023.0769230769229</v>
      </c>
      <c r="D58" s="4">
        <f t="shared" si="0"/>
        <v>92.961173250430846</v>
      </c>
      <c r="E58" s="6"/>
      <c r="F58" s="20"/>
      <c r="G58" s="4"/>
      <c r="H58" s="6"/>
    </row>
    <row r="59" spans="1:8" x14ac:dyDescent="0.2">
      <c r="A59" s="31">
        <f>Winter!A62</f>
        <v>54</v>
      </c>
      <c r="B59" s="2">
        <v>54</v>
      </c>
      <c r="C59" s="3">
        <v>3230.7692307692305</v>
      </c>
      <c r="D59" s="4">
        <f t="shared" si="0"/>
        <v>99.347818740918441</v>
      </c>
      <c r="E59" s="6"/>
      <c r="F59" s="20"/>
      <c r="G59" s="4"/>
      <c r="H59" s="6"/>
    </row>
    <row r="60" spans="1:8" x14ac:dyDescent="0.2">
      <c r="A60" s="31">
        <f>Winter!A63</f>
        <v>55</v>
      </c>
      <c r="B60" s="2">
        <v>55</v>
      </c>
      <c r="C60" s="3">
        <v>3438.4615384615377</v>
      </c>
      <c r="D60" s="4">
        <f t="shared" si="0"/>
        <v>105.73446423140605</v>
      </c>
      <c r="E60" s="6"/>
      <c r="F60" s="20"/>
      <c r="G60" s="4"/>
      <c r="H60" s="6"/>
    </row>
    <row r="61" spans="1:8" x14ac:dyDescent="0.2">
      <c r="A61" s="31">
        <f>Winter!A64</f>
        <v>56</v>
      </c>
      <c r="B61" s="2">
        <v>56</v>
      </c>
      <c r="C61" s="3">
        <v>3646.1538461538453</v>
      </c>
      <c r="D61" s="4">
        <f t="shared" si="0"/>
        <v>112.12110972189366</v>
      </c>
      <c r="E61" s="6"/>
      <c r="F61" s="20"/>
      <c r="G61" s="4"/>
      <c r="H61" s="6"/>
    </row>
    <row r="62" spans="1:8" x14ac:dyDescent="0.2">
      <c r="A62" s="31">
        <f>Winter!A65</f>
        <v>57</v>
      </c>
      <c r="B62" s="2">
        <v>57</v>
      </c>
      <c r="C62" s="3">
        <v>3853.8461538461529</v>
      </c>
      <c r="D62" s="4">
        <f t="shared" si="0"/>
        <v>118.50775521238127</v>
      </c>
      <c r="E62" s="6"/>
      <c r="F62" s="20"/>
      <c r="G62" s="4"/>
      <c r="H62" s="6"/>
    </row>
    <row r="63" spans="1:8" x14ac:dyDescent="0.2">
      <c r="A63" s="31">
        <f>Winter!A66</f>
        <v>58</v>
      </c>
      <c r="B63" s="2">
        <v>58</v>
      </c>
      <c r="C63" s="3">
        <v>4061.5384615384605</v>
      </c>
      <c r="D63" s="4">
        <f t="shared" si="0"/>
        <v>124.89440070286889</v>
      </c>
      <c r="E63" s="6"/>
      <c r="F63" s="20"/>
      <c r="G63" s="4"/>
      <c r="H63" s="6"/>
    </row>
    <row r="64" spans="1:8" x14ac:dyDescent="0.2">
      <c r="A64" s="31">
        <f>Winter!A67</f>
        <v>59</v>
      </c>
      <c r="B64" s="2">
        <v>59</v>
      </c>
      <c r="C64" s="3">
        <v>4269.2307692307686</v>
      </c>
      <c r="D64" s="4">
        <f t="shared" si="0"/>
        <v>131.2810461933565</v>
      </c>
      <c r="E64" s="6"/>
      <c r="F64" s="20"/>
      <c r="G64" s="4"/>
      <c r="H64" s="6"/>
    </row>
    <row r="65" spans="1:8" x14ac:dyDescent="0.2">
      <c r="A65" s="31">
        <f>Winter!A68</f>
        <v>60</v>
      </c>
      <c r="B65" s="2">
        <v>60</v>
      </c>
      <c r="C65" s="3">
        <v>4476.9230769230762</v>
      </c>
      <c r="D65" s="4">
        <f t="shared" si="0"/>
        <v>137.66769168384411</v>
      </c>
      <c r="E65" s="6"/>
      <c r="F65" s="20"/>
      <c r="G65" s="4"/>
      <c r="H65" s="6"/>
    </row>
    <row r="66" spans="1:8" x14ac:dyDescent="0.2">
      <c r="A66" s="31">
        <f>Winter!A69</f>
        <v>61</v>
      </c>
      <c r="B66" s="2">
        <v>61</v>
      </c>
      <c r="C66" s="3">
        <v>4684.6153846153829</v>
      </c>
      <c r="D66" s="4">
        <f t="shared" si="0"/>
        <v>144.05433717433172</v>
      </c>
      <c r="E66" s="6"/>
      <c r="F66" s="20"/>
      <c r="G66" s="4"/>
      <c r="H66" s="6"/>
    </row>
    <row r="67" spans="1:8" x14ac:dyDescent="0.2">
      <c r="A67" s="31">
        <f>Winter!A70</f>
        <v>62</v>
      </c>
      <c r="B67" s="2">
        <v>62</v>
      </c>
      <c r="C67" s="3">
        <v>4892.3076923076915</v>
      </c>
      <c r="D67" s="4">
        <f t="shared" si="0"/>
        <v>150.44098266481936</v>
      </c>
      <c r="E67" s="6"/>
      <c r="F67" s="20"/>
      <c r="G67" s="4"/>
      <c r="H67" s="6"/>
    </row>
    <row r="68" spans="1:8" x14ac:dyDescent="0.2">
      <c r="A68" s="31">
        <f>Winter!A71</f>
        <v>63</v>
      </c>
      <c r="B68" s="2">
        <v>63</v>
      </c>
      <c r="C68" s="3">
        <v>5100</v>
      </c>
      <c r="D68" s="4">
        <f t="shared" si="0"/>
        <v>156.827628155307</v>
      </c>
      <c r="E68" s="6"/>
      <c r="F68" s="20"/>
      <c r="G68" s="4"/>
      <c r="H68" s="6"/>
    </row>
    <row r="69" spans="1:8" x14ac:dyDescent="0.2">
      <c r="A69" s="31">
        <f>Winter!A72</f>
        <v>64</v>
      </c>
      <c r="B69" s="2">
        <v>64</v>
      </c>
      <c r="C69" s="3">
        <v>4949.9999999999991</v>
      </c>
      <c r="D69" s="4">
        <f t="shared" si="0"/>
        <v>152.21505085662147</v>
      </c>
      <c r="E69" s="6"/>
      <c r="F69" s="20"/>
      <c r="G69" s="4"/>
      <c r="H69" s="6"/>
    </row>
    <row r="70" spans="1:8" x14ac:dyDescent="0.2">
      <c r="A70" s="31">
        <f>Winter!A73</f>
        <v>65</v>
      </c>
      <c r="B70" s="2">
        <v>65</v>
      </c>
      <c r="C70" s="3">
        <v>5220</v>
      </c>
      <c r="D70" s="4">
        <f t="shared" si="0"/>
        <v>160.51768999425539</v>
      </c>
      <c r="E70" s="6"/>
      <c r="F70" s="20"/>
      <c r="G70" s="4"/>
      <c r="H70" s="6"/>
    </row>
    <row r="71" spans="1:8" x14ac:dyDescent="0.2">
      <c r="A71" s="31">
        <f>Winter!A74</f>
        <v>66</v>
      </c>
      <c r="B71" s="2">
        <v>66</v>
      </c>
      <c r="C71" s="3">
        <v>5490</v>
      </c>
      <c r="D71" s="4">
        <f t="shared" ref="D71:D134" si="1">$G$3*C71*(1/$G$5-1/$G$4)</f>
        <v>168.82032913188928</v>
      </c>
      <c r="E71" s="6"/>
      <c r="F71" s="20"/>
      <c r="G71" s="4"/>
      <c r="H71" s="6"/>
    </row>
    <row r="72" spans="1:8" x14ac:dyDescent="0.2">
      <c r="A72" s="31">
        <f>Winter!A75</f>
        <v>67</v>
      </c>
      <c r="B72" s="2">
        <v>67</v>
      </c>
      <c r="C72" s="3">
        <v>6000</v>
      </c>
      <c r="D72" s="4">
        <f t="shared" si="1"/>
        <v>184.50309194741999</v>
      </c>
      <c r="E72" s="6"/>
      <c r="F72" s="20"/>
      <c r="G72" s="4"/>
      <c r="H72" s="6"/>
    </row>
    <row r="73" spans="1:8" x14ac:dyDescent="0.2">
      <c r="A73" s="31">
        <f>Winter!A76</f>
        <v>68</v>
      </c>
      <c r="B73" s="2">
        <v>68</v>
      </c>
      <c r="C73" s="3">
        <v>6000</v>
      </c>
      <c r="D73" s="4">
        <f t="shared" si="1"/>
        <v>184.50309194741999</v>
      </c>
      <c r="E73" s="6"/>
      <c r="F73" s="20"/>
      <c r="G73" s="4"/>
      <c r="H73" s="6"/>
    </row>
    <row r="74" spans="1:8" x14ac:dyDescent="0.2">
      <c r="A74" s="31">
        <f>Winter!A77</f>
        <v>69</v>
      </c>
      <c r="B74" s="2">
        <v>69</v>
      </c>
      <c r="C74" s="3">
        <v>6300</v>
      </c>
      <c r="D74" s="4">
        <f t="shared" si="1"/>
        <v>193.72824654479098</v>
      </c>
      <c r="E74" s="6"/>
      <c r="F74" s="20"/>
      <c r="G74" s="4"/>
      <c r="H74" s="6"/>
    </row>
    <row r="75" spans="1:8" x14ac:dyDescent="0.2">
      <c r="A75" s="31">
        <f>Winter!A78</f>
        <v>70</v>
      </c>
      <c r="B75" s="2">
        <v>70</v>
      </c>
      <c r="C75" s="3">
        <v>5520</v>
      </c>
      <c r="D75" s="4">
        <f t="shared" si="1"/>
        <v>169.74284459162638</v>
      </c>
      <c r="E75" s="6"/>
      <c r="F75" s="20"/>
      <c r="G75" s="4"/>
      <c r="H75" s="6"/>
    </row>
    <row r="76" spans="1:8" x14ac:dyDescent="0.2">
      <c r="A76" s="31">
        <f>Winter!A79</f>
        <v>71</v>
      </c>
      <c r="B76" s="2">
        <v>71</v>
      </c>
      <c r="C76" s="3">
        <v>4740</v>
      </c>
      <c r="D76" s="4">
        <f t="shared" si="1"/>
        <v>145.75744263846178</v>
      </c>
      <c r="E76" s="6"/>
      <c r="F76" s="20"/>
      <c r="G76" s="4"/>
      <c r="H76" s="6"/>
    </row>
    <row r="77" spans="1:8" x14ac:dyDescent="0.2">
      <c r="A77" s="31">
        <f>Winter!A80</f>
        <v>72</v>
      </c>
      <c r="B77" s="2">
        <v>72</v>
      </c>
      <c r="C77" s="3">
        <v>3959.9999999999995</v>
      </c>
      <c r="D77" s="4">
        <f t="shared" si="1"/>
        <v>121.77204068529717</v>
      </c>
      <c r="E77" s="6"/>
      <c r="F77" s="20"/>
      <c r="G77" s="4"/>
      <c r="H77" s="6"/>
    </row>
    <row r="78" spans="1:8" x14ac:dyDescent="0.2">
      <c r="A78" s="31">
        <f>Winter!A81</f>
        <v>73</v>
      </c>
      <c r="B78" s="2">
        <v>73</v>
      </c>
      <c r="C78" s="3">
        <v>2550</v>
      </c>
      <c r="D78" s="4">
        <f t="shared" si="1"/>
        <v>78.413814077653498</v>
      </c>
      <c r="E78" s="6"/>
      <c r="F78" s="20"/>
      <c r="G78" s="4"/>
      <c r="H78" s="6"/>
    </row>
    <row r="79" spans="1:8" x14ac:dyDescent="0.2">
      <c r="A79" s="31">
        <f>Winter!A82</f>
        <v>74</v>
      </c>
      <c r="B79" s="2">
        <v>74</v>
      </c>
      <c r="C79" s="3">
        <v>2400</v>
      </c>
      <c r="D79" s="4">
        <f t="shared" si="1"/>
        <v>73.80123677896799</v>
      </c>
      <c r="E79" s="6"/>
      <c r="F79" s="20"/>
      <c r="G79" s="4"/>
      <c r="H79" s="6"/>
    </row>
    <row r="80" spans="1:8" x14ac:dyDescent="0.2">
      <c r="A80" s="31">
        <f>Winter!A83</f>
        <v>75</v>
      </c>
      <c r="B80" s="2">
        <v>75</v>
      </c>
      <c r="C80" s="3">
        <v>2550</v>
      </c>
      <c r="D80" s="4">
        <f t="shared" si="1"/>
        <v>78.413814077653498</v>
      </c>
      <c r="E80" s="6"/>
      <c r="F80" s="20"/>
      <c r="G80" s="4"/>
      <c r="H80" s="6"/>
    </row>
    <row r="81" spans="1:8" x14ac:dyDescent="0.2">
      <c r="A81" s="31">
        <f>Winter!A84</f>
        <v>76</v>
      </c>
      <c r="B81" s="2">
        <v>76</v>
      </c>
      <c r="C81" s="3">
        <v>2700</v>
      </c>
      <c r="D81" s="4">
        <f t="shared" si="1"/>
        <v>83.026391376338992</v>
      </c>
      <c r="E81" s="6"/>
      <c r="F81" s="20"/>
      <c r="G81" s="4"/>
      <c r="H81" s="6"/>
    </row>
    <row r="82" spans="1:8" x14ac:dyDescent="0.2">
      <c r="A82" s="31">
        <f>Winter!A85</f>
        <v>77</v>
      </c>
      <c r="B82" s="2">
        <v>77</v>
      </c>
      <c r="C82" s="3">
        <v>3000</v>
      </c>
      <c r="D82" s="4">
        <f t="shared" si="1"/>
        <v>92.251545973709995</v>
      </c>
      <c r="E82" s="6"/>
      <c r="F82" s="20"/>
      <c r="G82" s="4"/>
      <c r="H82" s="6"/>
    </row>
    <row r="83" spans="1:8" x14ac:dyDescent="0.2">
      <c r="A83" s="31">
        <f>Winter!A86</f>
        <v>78</v>
      </c>
      <c r="B83" s="2">
        <v>78</v>
      </c>
      <c r="C83" s="3">
        <v>3199.9999999999995</v>
      </c>
      <c r="D83" s="4">
        <f t="shared" si="1"/>
        <v>98.401649038623987</v>
      </c>
      <c r="E83" s="6"/>
      <c r="F83" s="20"/>
      <c r="G83" s="4"/>
      <c r="H83" s="6"/>
    </row>
    <row r="84" spans="1:8" x14ac:dyDescent="0.2">
      <c r="A84" s="31">
        <f>Winter!A87</f>
        <v>79</v>
      </c>
      <c r="B84" s="2">
        <v>79</v>
      </c>
      <c r="C84" s="3">
        <v>3399.9999999999995</v>
      </c>
      <c r="D84" s="4">
        <f t="shared" si="1"/>
        <v>104.55175210353798</v>
      </c>
      <c r="E84" s="6"/>
      <c r="F84" s="20"/>
      <c r="G84" s="4"/>
      <c r="H84" s="6"/>
    </row>
    <row r="85" spans="1:8" x14ac:dyDescent="0.2">
      <c r="A85" s="31">
        <f>Winter!A88</f>
        <v>80</v>
      </c>
      <c r="B85" s="2">
        <v>80</v>
      </c>
      <c r="C85" s="3">
        <v>3599.9999999999995</v>
      </c>
      <c r="D85" s="4">
        <f t="shared" si="1"/>
        <v>110.70185516845198</v>
      </c>
      <c r="E85" s="6"/>
      <c r="F85" s="20"/>
      <c r="G85" s="4"/>
      <c r="H85" s="6"/>
    </row>
    <row r="86" spans="1:8" x14ac:dyDescent="0.2">
      <c r="A86" s="31">
        <f>Winter!A89</f>
        <v>81</v>
      </c>
      <c r="B86" s="2">
        <v>81</v>
      </c>
      <c r="C86" s="3">
        <v>3799.9999999999995</v>
      </c>
      <c r="D86" s="4">
        <f t="shared" si="1"/>
        <v>116.85195823336598</v>
      </c>
      <c r="E86" s="6"/>
      <c r="F86" s="20"/>
      <c r="G86" s="4"/>
      <c r="H86" s="6"/>
    </row>
    <row r="87" spans="1:8" x14ac:dyDescent="0.2">
      <c r="A87" s="31">
        <f>Winter!A90</f>
        <v>82</v>
      </c>
      <c r="B87" s="2">
        <v>82</v>
      </c>
      <c r="C87" s="3">
        <v>3999.9999999999995</v>
      </c>
      <c r="D87" s="4">
        <f t="shared" si="1"/>
        <v>123.00206129827997</v>
      </c>
      <c r="E87" s="6"/>
      <c r="F87" s="20"/>
      <c r="G87" s="4"/>
      <c r="H87" s="6"/>
    </row>
    <row r="88" spans="1:8" x14ac:dyDescent="0.2">
      <c r="A88" s="31">
        <f>Winter!A91</f>
        <v>83</v>
      </c>
      <c r="B88" s="2">
        <v>83</v>
      </c>
      <c r="C88" s="3">
        <v>4199.9999999999991</v>
      </c>
      <c r="D88" s="4">
        <f t="shared" si="1"/>
        <v>129.15216436319398</v>
      </c>
      <c r="E88" s="6"/>
      <c r="F88" s="20"/>
      <c r="G88" s="4"/>
      <c r="H88" s="6"/>
    </row>
    <row r="89" spans="1:8" x14ac:dyDescent="0.2">
      <c r="A89" s="31">
        <f>Winter!A92</f>
        <v>84</v>
      </c>
      <c r="B89" s="2">
        <v>84</v>
      </c>
      <c r="C89" s="3">
        <v>4399.9999999999991</v>
      </c>
      <c r="D89" s="4">
        <f t="shared" si="1"/>
        <v>135.30226742810797</v>
      </c>
      <c r="E89" s="6"/>
      <c r="F89" s="20"/>
      <c r="G89" s="4"/>
      <c r="H89" s="6"/>
    </row>
    <row r="90" spans="1:8" x14ac:dyDescent="0.2">
      <c r="A90" s="31">
        <f>Winter!A93</f>
        <v>85</v>
      </c>
      <c r="B90" s="2">
        <v>85</v>
      </c>
      <c r="C90" s="3">
        <v>4599.9999999999991</v>
      </c>
      <c r="D90" s="4">
        <f t="shared" si="1"/>
        <v>141.45237049302196</v>
      </c>
      <c r="E90" s="6"/>
      <c r="F90" s="20"/>
      <c r="G90" s="4"/>
      <c r="H90" s="6"/>
    </row>
    <row r="91" spans="1:8" x14ac:dyDescent="0.2">
      <c r="A91" s="31">
        <f>Winter!A94</f>
        <v>86</v>
      </c>
      <c r="B91" s="2">
        <v>86</v>
      </c>
      <c r="C91" s="3">
        <v>4800</v>
      </c>
      <c r="D91" s="4">
        <f t="shared" si="1"/>
        <v>147.60247355793598</v>
      </c>
      <c r="E91" s="6"/>
      <c r="F91" s="20"/>
      <c r="G91" s="4"/>
      <c r="H91" s="6"/>
    </row>
    <row r="92" spans="1:8" x14ac:dyDescent="0.2">
      <c r="A92" s="31">
        <f>Winter!A95</f>
        <v>87</v>
      </c>
      <c r="B92" s="2">
        <v>87</v>
      </c>
      <c r="C92" s="3">
        <v>4649.9999999999991</v>
      </c>
      <c r="D92" s="4">
        <f t="shared" si="1"/>
        <v>142.98989625925046</v>
      </c>
      <c r="E92" s="6"/>
      <c r="F92" s="20"/>
      <c r="G92" s="4"/>
      <c r="H92" s="6"/>
    </row>
    <row r="93" spans="1:8" x14ac:dyDescent="0.2">
      <c r="A93" s="31">
        <f>Winter!A96</f>
        <v>88</v>
      </c>
      <c r="B93" s="2">
        <v>88</v>
      </c>
      <c r="C93" s="3">
        <v>5000</v>
      </c>
      <c r="D93" s="4">
        <f t="shared" si="1"/>
        <v>153.75257662285</v>
      </c>
      <c r="E93" s="6"/>
      <c r="F93" s="20"/>
      <c r="G93" s="4"/>
      <c r="H93" s="6"/>
    </row>
    <row r="94" spans="1:8" x14ac:dyDescent="0.2">
      <c r="A94" s="31">
        <f>Winter!A97</f>
        <v>89</v>
      </c>
      <c r="B94" s="2">
        <v>89</v>
      </c>
      <c r="C94" s="3">
        <v>5350</v>
      </c>
      <c r="D94" s="4">
        <f t="shared" si="1"/>
        <v>164.51525698644949</v>
      </c>
      <c r="E94" s="6"/>
      <c r="F94" s="20"/>
      <c r="G94" s="4"/>
      <c r="H94" s="6"/>
    </row>
    <row r="95" spans="1:8" x14ac:dyDescent="0.2">
      <c r="A95" s="31">
        <f>Winter!A98</f>
        <v>90</v>
      </c>
      <c r="B95" s="2">
        <v>90</v>
      </c>
      <c r="C95" s="3">
        <v>5699.9999999999991</v>
      </c>
      <c r="D95" s="4">
        <f t="shared" si="1"/>
        <v>175.27793735004897</v>
      </c>
      <c r="E95" s="6"/>
      <c r="F95" s="20"/>
      <c r="G95" s="4"/>
      <c r="H95" s="6"/>
    </row>
    <row r="96" spans="1:8" x14ac:dyDescent="0.2">
      <c r="A96" s="31">
        <f>Winter!A99</f>
        <v>91</v>
      </c>
      <c r="B96" s="2">
        <v>91</v>
      </c>
      <c r="C96" s="3">
        <v>5287.5</v>
      </c>
      <c r="D96" s="4">
        <f t="shared" si="1"/>
        <v>162.59334977866388</v>
      </c>
      <c r="E96" s="6"/>
      <c r="F96" s="20"/>
      <c r="G96" s="4"/>
      <c r="H96" s="6"/>
    </row>
    <row r="97" spans="1:8" x14ac:dyDescent="0.2">
      <c r="A97" s="31">
        <f>Winter!A100</f>
        <v>92</v>
      </c>
      <c r="B97" s="2">
        <v>92</v>
      </c>
      <c r="C97" s="3">
        <v>4875</v>
      </c>
      <c r="D97" s="4">
        <f t="shared" si="1"/>
        <v>149.90876220727873</v>
      </c>
      <c r="E97" s="6"/>
      <c r="F97" s="20"/>
      <c r="G97" s="4"/>
      <c r="H97" s="6"/>
    </row>
    <row r="98" spans="1:8" x14ac:dyDescent="0.2">
      <c r="A98" s="31">
        <f>Winter!A101</f>
        <v>93</v>
      </c>
      <c r="B98" s="2">
        <v>93</v>
      </c>
      <c r="C98" s="3">
        <v>4462.4999999999991</v>
      </c>
      <c r="D98" s="4">
        <f t="shared" si="1"/>
        <v>137.2241746358936</v>
      </c>
      <c r="E98" s="6"/>
      <c r="F98" s="20"/>
      <c r="G98" s="4"/>
      <c r="H98" s="6"/>
    </row>
    <row r="99" spans="1:8" x14ac:dyDescent="0.2">
      <c r="A99" s="31">
        <f>Winter!A102</f>
        <v>94</v>
      </c>
      <c r="B99" s="2">
        <v>94</v>
      </c>
      <c r="C99" s="3">
        <v>4050</v>
      </c>
      <c r="D99" s="4">
        <f t="shared" si="1"/>
        <v>124.5395870645085</v>
      </c>
      <c r="E99" s="6"/>
      <c r="F99" s="20"/>
      <c r="G99" s="4"/>
      <c r="H99" s="6"/>
    </row>
    <row r="100" spans="1:8" x14ac:dyDescent="0.2">
      <c r="A100" s="31">
        <f>Winter!A103</f>
        <v>95</v>
      </c>
      <c r="B100" s="2">
        <v>95</v>
      </c>
      <c r="C100" s="3">
        <v>3637.5</v>
      </c>
      <c r="D100" s="4">
        <f t="shared" si="1"/>
        <v>111.85499949312337</v>
      </c>
      <c r="E100" s="6"/>
      <c r="F100" s="20"/>
      <c r="G100" s="4"/>
      <c r="H100" s="6"/>
    </row>
    <row r="101" spans="1:8" x14ac:dyDescent="0.2">
      <c r="A101" s="31">
        <f>Winter!A104</f>
        <v>96</v>
      </c>
      <c r="B101" s="2">
        <v>96</v>
      </c>
      <c r="C101" s="3">
        <v>3000</v>
      </c>
      <c r="D101" s="4">
        <f t="shared" si="1"/>
        <v>92.251545973709995</v>
      </c>
      <c r="E101" s="6"/>
      <c r="F101" s="20"/>
      <c r="G101" s="4"/>
      <c r="H101" s="6"/>
    </row>
    <row r="102" spans="1:8" x14ac:dyDescent="0.2">
      <c r="A102" s="31">
        <f>Winter!A105</f>
        <v>97</v>
      </c>
      <c r="B102" s="2">
        <v>97</v>
      </c>
      <c r="C102" s="3">
        <v>2550</v>
      </c>
      <c r="D102" s="4">
        <f t="shared" si="1"/>
        <v>78.413814077653498</v>
      </c>
      <c r="E102" s="6"/>
      <c r="F102" s="20"/>
      <c r="G102" s="4"/>
      <c r="H102" s="6"/>
    </row>
    <row r="103" spans="1:8" x14ac:dyDescent="0.2">
      <c r="A103" s="31">
        <f>Winter!A106</f>
        <v>98</v>
      </c>
      <c r="B103" s="2">
        <v>98</v>
      </c>
      <c r="C103" s="3">
        <v>2400</v>
      </c>
      <c r="D103" s="4">
        <f t="shared" si="1"/>
        <v>73.80123677896799</v>
      </c>
      <c r="E103" s="6"/>
      <c r="F103" s="20"/>
      <c r="G103" s="4"/>
      <c r="H103" s="6"/>
    </row>
    <row r="104" spans="1:8" x14ac:dyDescent="0.2">
      <c r="A104" s="31">
        <f>Winter!A107</f>
        <v>99</v>
      </c>
      <c r="B104" s="2">
        <v>99</v>
      </c>
      <c r="C104" s="3">
        <v>2550</v>
      </c>
      <c r="D104" s="4">
        <f t="shared" si="1"/>
        <v>78.413814077653498</v>
      </c>
      <c r="E104" s="6"/>
      <c r="F104" s="20"/>
      <c r="G104" s="4"/>
      <c r="H104" s="6"/>
    </row>
    <row r="105" spans="1:8" x14ac:dyDescent="0.2">
      <c r="A105" s="31">
        <f>Winter!A108</f>
        <v>100</v>
      </c>
      <c r="B105" s="2">
        <v>100</v>
      </c>
      <c r="C105" s="3">
        <v>2700</v>
      </c>
      <c r="D105" s="4">
        <f t="shared" si="1"/>
        <v>83.026391376338992</v>
      </c>
      <c r="E105" s="6"/>
      <c r="F105" s="20"/>
      <c r="G105" s="4"/>
      <c r="H105" s="6"/>
    </row>
    <row r="106" spans="1:8" x14ac:dyDescent="0.2">
      <c r="A106" s="31">
        <f>Winter!A109</f>
        <v>101</v>
      </c>
      <c r="B106" s="2">
        <v>101</v>
      </c>
      <c r="C106" s="3">
        <v>2972.7272727272725</v>
      </c>
      <c r="D106" s="4">
        <f t="shared" si="1"/>
        <v>91.412895555767165</v>
      </c>
      <c r="E106" s="6"/>
      <c r="F106" s="20"/>
      <c r="G106" s="4"/>
      <c r="H106" s="6"/>
    </row>
    <row r="107" spans="1:8" x14ac:dyDescent="0.2">
      <c r="A107" s="31">
        <f>Winter!A110</f>
        <v>102</v>
      </c>
      <c r="B107" s="2">
        <v>102</v>
      </c>
      <c r="C107" s="3">
        <v>3163.6363636363631</v>
      </c>
      <c r="D107" s="4">
        <f t="shared" si="1"/>
        <v>97.283448481366875</v>
      </c>
      <c r="E107" s="6"/>
      <c r="F107" s="20"/>
      <c r="G107" s="4"/>
      <c r="H107" s="6"/>
    </row>
    <row r="108" spans="1:8" x14ac:dyDescent="0.2">
      <c r="A108" s="31">
        <f>Winter!A111</f>
        <v>103</v>
      </c>
      <c r="B108" s="2">
        <v>103</v>
      </c>
      <c r="C108" s="3">
        <v>3354.5454545454545</v>
      </c>
      <c r="D108" s="4">
        <f t="shared" si="1"/>
        <v>103.15400140696663</v>
      </c>
      <c r="E108" s="6"/>
      <c r="F108" s="20"/>
      <c r="G108" s="4"/>
      <c r="H108" s="6"/>
    </row>
    <row r="109" spans="1:8" x14ac:dyDescent="0.2">
      <c r="A109" s="31">
        <f>Winter!A112</f>
        <v>104</v>
      </c>
      <c r="B109" s="2">
        <v>104</v>
      </c>
      <c r="C109" s="3">
        <v>3545.4545454545455</v>
      </c>
      <c r="D109" s="4">
        <f t="shared" si="1"/>
        <v>109.02455433256635</v>
      </c>
      <c r="E109" s="6"/>
      <c r="F109" s="20"/>
      <c r="G109" s="4"/>
      <c r="H109" s="6"/>
    </row>
    <row r="110" spans="1:8" x14ac:dyDescent="0.2">
      <c r="A110" s="31">
        <f>Winter!A113</f>
        <v>105</v>
      </c>
      <c r="B110" s="2">
        <v>105</v>
      </c>
      <c r="C110" s="3">
        <v>3736.3636363636365</v>
      </c>
      <c r="D110" s="4">
        <f t="shared" si="1"/>
        <v>114.89510725816608</v>
      </c>
      <c r="E110" s="6"/>
      <c r="F110" s="20"/>
      <c r="G110" s="4"/>
      <c r="H110" s="6"/>
    </row>
    <row r="111" spans="1:8" x14ac:dyDescent="0.2">
      <c r="A111" s="31">
        <f>Winter!A114</f>
        <v>106</v>
      </c>
      <c r="B111" s="2">
        <v>106</v>
      </c>
      <c r="C111" s="3">
        <v>3927.272727272727</v>
      </c>
      <c r="D111" s="4">
        <f t="shared" si="1"/>
        <v>120.76566018376582</v>
      </c>
      <c r="E111" s="6"/>
      <c r="F111" s="20"/>
      <c r="G111" s="4"/>
      <c r="H111" s="6"/>
    </row>
    <row r="112" spans="1:8" x14ac:dyDescent="0.2">
      <c r="A112" s="31">
        <f>Winter!A115</f>
        <v>107</v>
      </c>
      <c r="B112" s="2">
        <v>107</v>
      </c>
      <c r="C112" s="3">
        <v>4118.181818181818</v>
      </c>
      <c r="D112" s="4">
        <f t="shared" si="1"/>
        <v>126.63621310936553</v>
      </c>
      <c r="E112" s="6"/>
      <c r="F112" s="20"/>
      <c r="G112" s="4"/>
      <c r="H112" s="6"/>
    </row>
    <row r="113" spans="1:8" x14ac:dyDescent="0.2">
      <c r="A113" s="31">
        <f>Winter!A116</f>
        <v>108</v>
      </c>
      <c r="B113" s="2">
        <v>108</v>
      </c>
      <c r="C113" s="3">
        <v>4309.0909090909099</v>
      </c>
      <c r="D113" s="4">
        <f t="shared" si="1"/>
        <v>132.5067660349653</v>
      </c>
      <c r="E113" s="6"/>
      <c r="F113" s="20"/>
      <c r="G113" s="4"/>
      <c r="H113" s="6"/>
    </row>
    <row r="114" spans="1:8" x14ac:dyDescent="0.2">
      <c r="A114" s="31">
        <f>Winter!A117</f>
        <v>109</v>
      </c>
      <c r="B114" s="2">
        <v>109</v>
      </c>
      <c r="C114" s="3">
        <v>4500</v>
      </c>
      <c r="D114" s="4">
        <f t="shared" si="1"/>
        <v>138.37731896056499</v>
      </c>
      <c r="E114" s="6"/>
      <c r="F114" s="20"/>
      <c r="G114" s="4"/>
      <c r="H114" s="6"/>
    </row>
    <row r="115" spans="1:8" x14ac:dyDescent="0.2">
      <c r="A115" s="31">
        <f>Winter!A118</f>
        <v>110</v>
      </c>
      <c r="B115" s="2">
        <v>110</v>
      </c>
      <c r="C115" s="3">
        <v>4414.2857142857147</v>
      </c>
      <c r="D115" s="4">
        <f t="shared" si="1"/>
        <v>135.74156050417326</v>
      </c>
      <c r="E115" s="6"/>
      <c r="F115" s="20"/>
      <c r="G115" s="4"/>
      <c r="H115" s="6"/>
    </row>
    <row r="116" spans="1:8" x14ac:dyDescent="0.2">
      <c r="A116" s="31">
        <f>Winter!A119</f>
        <v>111</v>
      </c>
      <c r="B116" s="2">
        <v>111</v>
      </c>
      <c r="C116" s="3">
        <v>4328.5714285714294</v>
      </c>
      <c r="D116" s="4">
        <f t="shared" si="1"/>
        <v>133.10580204778159</v>
      </c>
      <c r="E116" s="6"/>
      <c r="F116" s="20"/>
      <c r="G116" s="4"/>
      <c r="H116" s="6"/>
    </row>
    <row r="117" spans="1:8" x14ac:dyDescent="0.2">
      <c r="A117" s="31">
        <f>Winter!A120</f>
        <v>112</v>
      </c>
      <c r="B117" s="2">
        <v>112</v>
      </c>
      <c r="C117" s="3">
        <v>4242.8571428571431</v>
      </c>
      <c r="D117" s="4">
        <f t="shared" si="1"/>
        <v>130.47004359138984</v>
      </c>
      <c r="E117" s="6"/>
      <c r="F117" s="20"/>
      <c r="G117" s="4"/>
      <c r="H117" s="6"/>
    </row>
    <row r="118" spans="1:8" x14ac:dyDescent="0.2">
      <c r="A118" s="31">
        <f>Winter!A121</f>
        <v>113</v>
      </c>
      <c r="B118" s="2">
        <v>113</v>
      </c>
      <c r="C118" s="3">
        <v>4157.1428571428569</v>
      </c>
      <c r="D118" s="4">
        <f t="shared" si="1"/>
        <v>127.83428513499814</v>
      </c>
      <c r="E118" s="6"/>
      <c r="F118" s="20"/>
      <c r="G118" s="4"/>
      <c r="H118" s="6"/>
    </row>
    <row r="119" spans="1:8" x14ac:dyDescent="0.2">
      <c r="A119" s="31">
        <f>Winter!A122</f>
        <v>114</v>
      </c>
      <c r="B119" s="2">
        <v>114</v>
      </c>
      <c r="C119" s="3">
        <v>4071.4285714285711</v>
      </c>
      <c r="D119" s="4">
        <f t="shared" si="1"/>
        <v>125.19852667860643</v>
      </c>
      <c r="E119" s="6"/>
      <c r="F119" s="20"/>
      <c r="G119" s="4"/>
      <c r="H119" s="6"/>
    </row>
    <row r="120" spans="1:8" x14ac:dyDescent="0.2">
      <c r="A120" s="31">
        <f>Winter!A123</f>
        <v>115</v>
      </c>
      <c r="B120" s="2">
        <v>115</v>
      </c>
      <c r="C120" s="3">
        <v>3985.7142857142862</v>
      </c>
      <c r="D120" s="4">
        <f t="shared" si="1"/>
        <v>122.56276822221473</v>
      </c>
      <c r="E120" s="6"/>
      <c r="F120" s="20"/>
      <c r="G120" s="4"/>
      <c r="H120" s="6"/>
    </row>
    <row r="121" spans="1:8" x14ac:dyDescent="0.2">
      <c r="A121" s="31">
        <f>Winter!A124</f>
        <v>116</v>
      </c>
      <c r="B121" s="2">
        <v>116</v>
      </c>
      <c r="C121" s="3">
        <v>3900</v>
      </c>
      <c r="D121" s="4">
        <f t="shared" si="1"/>
        <v>119.92700976582299</v>
      </c>
      <c r="E121" s="6"/>
      <c r="F121" s="20"/>
      <c r="G121" s="4"/>
      <c r="H121" s="6"/>
    </row>
    <row r="122" spans="1:8" x14ac:dyDescent="0.2">
      <c r="A122" s="31">
        <f>Winter!A125</f>
        <v>117</v>
      </c>
      <c r="B122" s="2">
        <v>117</v>
      </c>
      <c r="C122" s="3">
        <v>4199.9999999999991</v>
      </c>
      <c r="D122" s="4">
        <f t="shared" si="1"/>
        <v>129.15216436319398</v>
      </c>
      <c r="E122" s="6"/>
      <c r="F122" s="20"/>
      <c r="G122" s="4"/>
      <c r="H122" s="6"/>
    </row>
    <row r="123" spans="1:8" x14ac:dyDescent="0.2">
      <c r="A123" s="31">
        <f>Winter!A126</f>
        <v>118</v>
      </c>
      <c r="B123" s="2">
        <v>118</v>
      </c>
      <c r="C123" s="3">
        <v>3749.9999999999995</v>
      </c>
      <c r="D123" s="4">
        <f t="shared" si="1"/>
        <v>115.31443246713748</v>
      </c>
      <c r="E123" s="6"/>
      <c r="F123" s="20"/>
      <c r="G123" s="4"/>
      <c r="H123" s="6"/>
    </row>
    <row r="124" spans="1:8" x14ac:dyDescent="0.2">
      <c r="A124" s="31">
        <f>Winter!A127</f>
        <v>119</v>
      </c>
      <c r="B124" s="2">
        <v>119</v>
      </c>
      <c r="C124" s="3">
        <v>3300</v>
      </c>
      <c r="D124" s="4">
        <f t="shared" si="1"/>
        <v>101.476700571081</v>
      </c>
      <c r="E124" s="6"/>
      <c r="F124" s="20"/>
      <c r="G124" s="4"/>
      <c r="H124" s="6"/>
    </row>
    <row r="125" spans="1:8" x14ac:dyDescent="0.2">
      <c r="A125" s="31">
        <f>Winter!A128</f>
        <v>120</v>
      </c>
      <c r="B125" s="2">
        <v>120</v>
      </c>
      <c r="C125" s="3">
        <v>2850</v>
      </c>
      <c r="D125" s="4">
        <f t="shared" si="1"/>
        <v>87.6389686750245</v>
      </c>
      <c r="E125" s="6"/>
      <c r="F125" s="20"/>
      <c r="G125" s="4"/>
      <c r="H125" s="6"/>
    </row>
    <row r="126" spans="1:8" x14ac:dyDescent="0.2">
      <c r="A126" s="31">
        <f>Winter!A129</f>
        <v>121</v>
      </c>
      <c r="B126" s="2">
        <v>121</v>
      </c>
      <c r="C126" s="3">
        <v>2400</v>
      </c>
      <c r="D126" s="4">
        <f t="shared" si="1"/>
        <v>73.80123677896799</v>
      </c>
      <c r="E126" s="6"/>
      <c r="F126" s="20"/>
      <c r="G126" s="4"/>
      <c r="H126" s="6"/>
    </row>
    <row r="127" spans="1:8" x14ac:dyDescent="0.2">
      <c r="A127" s="31">
        <f>Winter!A130</f>
        <v>122</v>
      </c>
      <c r="B127" s="2">
        <v>122</v>
      </c>
      <c r="C127" s="3">
        <v>2400</v>
      </c>
      <c r="D127" s="4">
        <f t="shared" si="1"/>
        <v>73.80123677896799</v>
      </c>
      <c r="E127" s="6"/>
      <c r="F127" s="20"/>
      <c r="G127" s="4"/>
      <c r="H127" s="6"/>
    </row>
    <row r="128" spans="1:8" x14ac:dyDescent="0.2">
      <c r="A128" s="31">
        <f>Winter!A131</f>
        <v>123</v>
      </c>
      <c r="B128" s="2">
        <v>123</v>
      </c>
      <c r="C128" s="3">
        <v>2571.4285714285716</v>
      </c>
      <c r="D128" s="4">
        <f t="shared" si="1"/>
        <v>79.07275369175143</v>
      </c>
      <c r="E128" s="6"/>
      <c r="F128" s="20"/>
      <c r="G128" s="4"/>
      <c r="H128" s="6"/>
    </row>
    <row r="129" spans="1:8" x14ac:dyDescent="0.2">
      <c r="A129" s="31">
        <f>Winter!A132</f>
        <v>124</v>
      </c>
      <c r="B129" s="2">
        <v>124</v>
      </c>
      <c r="C129" s="3">
        <v>2742.8571428571427</v>
      </c>
      <c r="D129" s="4">
        <f t="shared" si="1"/>
        <v>84.344270604534856</v>
      </c>
      <c r="E129" s="6"/>
      <c r="F129" s="20"/>
      <c r="G129" s="4"/>
      <c r="H129" s="6"/>
    </row>
    <row r="130" spans="1:8" x14ac:dyDescent="0.2">
      <c r="A130" s="31">
        <f>Winter!A133</f>
        <v>125</v>
      </c>
      <c r="B130" s="2">
        <v>125</v>
      </c>
      <c r="C130" s="3">
        <v>2914.2857142857147</v>
      </c>
      <c r="D130" s="4">
        <f t="shared" si="1"/>
        <v>89.615787517318296</v>
      </c>
      <c r="E130" s="6"/>
      <c r="F130" s="20"/>
      <c r="G130" s="4"/>
      <c r="H130" s="6"/>
    </row>
    <row r="131" spans="1:8" x14ac:dyDescent="0.2">
      <c r="A131" s="31">
        <f>Winter!A134</f>
        <v>126</v>
      </c>
      <c r="B131" s="2">
        <v>126</v>
      </c>
      <c r="C131" s="3">
        <v>3085.7142857142858</v>
      </c>
      <c r="D131" s="4">
        <f t="shared" si="1"/>
        <v>94.887304430101707</v>
      </c>
      <c r="E131" s="6"/>
      <c r="F131" s="20"/>
      <c r="G131" s="4"/>
      <c r="H131" s="6"/>
    </row>
    <row r="132" spans="1:8" x14ac:dyDescent="0.2">
      <c r="A132" s="31">
        <f>Winter!A135</f>
        <v>127</v>
      </c>
      <c r="B132" s="2">
        <v>127</v>
      </c>
      <c r="C132" s="3">
        <v>3257.1428571428573</v>
      </c>
      <c r="D132" s="4">
        <f t="shared" si="1"/>
        <v>100.15882134288513</v>
      </c>
      <c r="E132" s="6"/>
      <c r="F132" s="20"/>
      <c r="G132" s="4"/>
      <c r="H132" s="6"/>
    </row>
    <row r="133" spans="1:8" x14ac:dyDescent="0.2">
      <c r="A133" s="31">
        <f>Winter!A136</f>
        <v>128</v>
      </c>
      <c r="B133" s="2">
        <v>128</v>
      </c>
      <c r="C133" s="3">
        <v>3428.5714285714289</v>
      </c>
      <c r="D133" s="4">
        <f t="shared" si="1"/>
        <v>105.43033825566857</v>
      </c>
      <c r="E133" s="6"/>
      <c r="F133" s="20"/>
      <c r="G133" s="4"/>
      <c r="H133" s="6"/>
    </row>
    <row r="134" spans="1:8" x14ac:dyDescent="0.2">
      <c r="A134" s="31">
        <f>Winter!A137</f>
        <v>129</v>
      </c>
      <c r="B134" s="2">
        <v>129</v>
      </c>
      <c r="C134" s="3">
        <v>3600</v>
      </c>
      <c r="D134" s="4">
        <f t="shared" si="1"/>
        <v>110.701855168452</v>
      </c>
      <c r="E134" s="6"/>
      <c r="F134" s="20"/>
      <c r="G134" s="4"/>
      <c r="H134" s="6"/>
    </row>
    <row r="135" spans="1:8" x14ac:dyDescent="0.2">
      <c r="A135" s="31">
        <f>Winter!A138</f>
        <v>130</v>
      </c>
      <c r="B135" s="2">
        <v>130</v>
      </c>
      <c r="C135" s="3">
        <v>3771.428571428572</v>
      </c>
      <c r="D135" s="4">
        <f t="shared" ref="D135:D198" si="2">$G$3*C135*(1/$G$5-1/$G$4)</f>
        <v>115.97337208123544</v>
      </c>
      <c r="E135" s="6"/>
      <c r="F135" s="20"/>
      <c r="G135" s="4"/>
      <c r="H135" s="6"/>
    </row>
    <row r="136" spans="1:8" x14ac:dyDescent="0.2">
      <c r="A136" s="31">
        <f>Winter!A139</f>
        <v>131</v>
      </c>
      <c r="B136" s="2">
        <v>131</v>
      </c>
      <c r="C136" s="3">
        <v>3942.8571428571436</v>
      </c>
      <c r="D136" s="4">
        <f t="shared" si="2"/>
        <v>121.24488899401888</v>
      </c>
      <c r="E136" s="6"/>
      <c r="F136" s="20"/>
      <c r="G136" s="4"/>
      <c r="H136" s="6"/>
    </row>
    <row r="137" spans="1:8" x14ac:dyDescent="0.2">
      <c r="A137" s="31">
        <f>Winter!A140</f>
        <v>132</v>
      </c>
      <c r="B137" s="2">
        <v>132</v>
      </c>
      <c r="C137" s="3">
        <v>4114.2857142857147</v>
      </c>
      <c r="D137" s="4">
        <f t="shared" si="2"/>
        <v>126.51640590680228</v>
      </c>
      <c r="E137" s="6"/>
      <c r="F137" s="20"/>
      <c r="G137" s="4"/>
      <c r="H137" s="6"/>
    </row>
    <row r="138" spans="1:8" x14ac:dyDescent="0.2">
      <c r="A138" s="31">
        <f>Winter!A141</f>
        <v>133</v>
      </c>
      <c r="B138" s="2">
        <v>133</v>
      </c>
      <c r="C138" s="3">
        <v>4199.9999999999991</v>
      </c>
      <c r="D138" s="4">
        <f t="shared" si="2"/>
        <v>129.15216436319398</v>
      </c>
      <c r="E138" s="6"/>
      <c r="F138" s="20"/>
      <c r="G138" s="4"/>
      <c r="H138" s="6"/>
    </row>
    <row r="139" spans="1:8" x14ac:dyDescent="0.2">
      <c r="A139" s="31">
        <f>Winter!A142</f>
        <v>134</v>
      </c>
      <c r="B139" s="2">
        <v>134</v>
      </c>
      <c r="C139" s="3">
        <v>4199.9999999999991</v>
      </c>
      <c r="D139" s="4">
        <f t="shared" si="2"/>
        <v>129.15216436319398</v>
      </c>
      <c r="E139" s="6"/>
      <c r="F139" s="20"/>
      <c r="G139" s="4"/>
      <c r="H139" s="6"/>
    </row>
    <row r="140" spans="1:8" x14ac:dyDescent="0.2">
      <c r="A140" s="31">
        <f>Winter!A143</f>
        <v>135</v>
      </c>
      <c r="B140" s="2">
        <v>135</v>
      </c>
      <c r="C140" s="3">
        <v>4628.5714285714294</v>
      </c>
      <c r="D140" s="4">
        <f t="shared" si="2"/>
        <v>142.33095664515258</v>
      </c>
      <c r="E140" s="6"/>
      <c r="F140" s="20"/>
      <c r="G140" s="4"/>
      <c r="H140" s="6"/>
    </row>
    <row r="141" spans="1:8" x14ac:dyDescent="0.2">
      <c r="A141" s="31">
        <f>Winter!A144</f>
        <v>136</v>
      </c>
      <c r="B141" s="2">
        <v>136</v>
      </c>
      <c r="C141" s="3">
        <v>4800</v>
      </c>
      <c r="D141" s="4">
        <f t="shared" si="2"/>
        <v>147.60247355793598</v>
      </c>
      <c r="E141" s="6"/>
      <c r="F141" s="20"/>
      <c r="G141" s="4"/>
      <c r="H141" s="6"/>
    </row>
    <row r="142" spans="1:8" x14ac:dyDescent="0.2">
      <c r="A142" s="31">
        <f>Winter!A145</f>
        <v>137</v>
      </c>
      <c r="B142" s="2">
        <v>137</v>
      </c>
      <c r="C142" s="3">
        <v>4560</v>
      </c>
      <c r="D142" s="4">
        <f t="shared" si="2"/>
        <v>140.22234988003919</v>
      </c>
      <c r="E142" s="6"/>
      <c r="F142" s="20"/>
      <c r="G142" s="4"/>
      <c r="H142" s="6"/>
    </row>
    <row r="143" spans="1:8" x14ac:dyDescent="0.2">
      <c r="A143" s="31">
        <f>Winter!A146</f>
        <v>138</v>
      </c>
      <c r="B143" s="2">
        <v>138</v>
      </c>
      <c r="C143" s="3">
        <v>4320</v>
      </c>
      <c r="D143" s="4">
        <f t="shared" si="2"/>
        <v>132.8422262021424</v>
      </c>
      <c r="E143" s="6"/>
      <c r="F143" s="20"/>
      <c r="G143" s="4"/>
      <c r="H143" s="6"/>
    </row>
    <row r="144" spans="1:8" x14ac:dyDescent="0.2">
      <c r="A144" s="31">
        <f>Winter!A147</f>
        <v>139</v>
      </c>
      <c r="B144" s="2">
        <v>139</v>
      </c>
      <c r="C144" s="3">
        <v>4199.9999999999991</v>
      </c>
      <c r="D144" s="4">
        <f t="shared" si="2"/>
        <v>129.15216436319398</v>
      </c>
      <c r="E144" s="6"/>
      <c r="F144" s="20"/>
      <c r="G144" s="4"/>
      <c r="H144" s="6"/>
    </row>
    <row r="145" spans="1:8" x14ac:dyDescent="0.2">
      <c r="A145" s="31">
        <f>Winter!A148</f>
        <v>140</v>
      </c>
      <c r="B145" s="2">
        <v>140</v>
      </c>
      <c r="C145" s="3">
        <v>3839.9999999999995</v>
      </c>
      <c r="D145" s="4">
        <f t="shared" si="2"/>
        <v>118.08197884634878</v>
      </c>
      <c r="E145" s="6"/>
      <c r="F145" s="20"/>
      <c r="G145" s="4"/>
      <c r="H145" s="6"/>
    </row>
    <row r="146" spans="1:8" x14ac:dyDescent="0.2">
      <c r="A146" s="31">
        <f>Winter!A149</f>
        <v>141</v>
      </c>
      <c r="B146" s="2">
        <v>141</v>
      </c>
      <c r="C146" s="3">
        <v>3599.9999999999986</v>
      </c>
      <c r="D146" s="4">
        <f t="shared" si="2"/>
        <v>110.70185516845196</v>
      </c>
      <c r="E146" s="6"/>
      <c r="F146" s="20"/>
      <c r="G146" s="4"/>
      <c r="H146" s="6"/>
    </row>
    <row r="147" spans="1:8" x14ac:dyDescent="0.2">
      <c r="A147" s="31">
        <f>Winter!A150</f>
        <v>142</v>
      </c>
      <c r="B147" s="2">
        <v>142</v>
      </c>
      <c r="C147" s="3">
        <v>3359.9999999999995</v>
      </c>
      <c r="D147" s="4">
        <f t="shared" si="2"/>
        <v>103.32173149055518</v>
      </c>
      <c r="E147" s="6"/>
      <c r="F147" s="20"/>
      <c r="G147" s="4"/>
      <c r="H147" s="6"/>
    </row>
    <row r="148" spans="1:8" x14ac:dyDescent="0.2">
      <c r="A148" s="31">
        <f>Winter!A151</f>
        <v>143</v>
      </c>
      <c r="B148" s="2">
        <v>143</v>
      </c>
      <c r="C148" s="3">
        <v>2700</v>
      </c>
      <c r="D148" s="4">
        <f t="shared" si="2"/>
        <v>83.026391376338992</v>
      </c>
      <c r="E148" s="6"/>
      <c r="F148" s="20"/>
      <c r="G148" s="4"/>
      <c r="H148" s="6"/>
    </row>
    <row r="149" spans="1:8" x14ac:dyDescent="0.2">
      <c r="A149" s="31">
        <f>Winter!A152</f>
        <v>144</v>
      </c>
      <c r="B149" s="2">
        <v>144</v>
      </c>
      <c r="C149" s="3">
        <v>2550</v>
      </c>
      <c r="D149" s="4">
        <f t="shared" si="2"/>
        <v>78.413814077653498</v>
      </c>
      <c r="E149" s="6"/>
      <c r="F149" s="20"/>
      <c r="G149" s="4"/>
      <c r="H149" s="6"/>
    </row>
    <row r="150" spans="1:8" x14ac:dyDescent="0.2">
      <c r="A150" s="31">
        <f>Winter!A153</f>
        <v>145</v>
      </c>
      <c r="B150" s="2">
        <v>145</v>
      </c>
      <c r="C150" s="3">
        <v>2400</v>
      </c>
      <c r="D150" s="4">
        <f t="shared" si="2"/>
        <v>73.80123677896799</v>
      </c>
      <c r="E150" s="6"/>
      <c r="F150" s="20"/>
      <c r="G150" s="4"/>
      <c r="H150" s="6"/>
    </row>
    <row r="151" spans="1:8" x14ac:dyDescent="0.2">
      <c r="A151" s="31">
        <f>Winter!A154</f>
        <v>146</v>
      </c>
      <c r="B151" s="2">
        <v>146</v>
      </c>
      <c r="C151" s="3">
        <v>2400</v>
      </c>
      <c r="D151" s="4">
        <f t="shared" si="2"/>
        <v>73.80123677896799</v>
      </c>
      <c r="E151" s="6"/>
      <c r="F151" s="20"/>
      <c r="G151" s="4"/>
      <c r="H151" s="6"/>
    </row>
    <row r="152" spans="1:8" x14ac:dyDescent="0.2">
      <c r="A152" s="31">
        <f>Winter!A155</f>
        <v>147</v>
      </c>
      <c r="B152" s="2">
        <v>147</v>
      </c>
      <c r="C152" s="3">
        <v>2550.0000000000005</v>
      </c>
      <c r="D152" s="4">
        <f t="shared" si="2"/>
        <v>78.413814077653512</v>
      </c>
      <c r="E152" s="6"/>
      <c r="F152" s="20"/>
      <c r="G152" s="4"/>
      <c r="H152" s="6"/>
    </row>
    <row r="153" spans="1:8" x14ac:dyDescent="0.2">
      <c r="A153" s="31">
        <f>Winter!A156</f>
        <v>148</v>
      </c>
      <c r="B153" s="2">
        <v>148</v>
      </c>
      <c r="C153" s="3">
        <v>2700</v>
      </c>
      <c r="D153" s="4">
        <f t="shared" si="2"/>
        <v>83.026391376338992</v>
      </c>
      <c r="E153" s="6"/>
      <c r="F153" s="20"/>
      <c r="G153" s="4"/>
      <c r="H153" s="6"/>
    </row>
    <row r="154" spans="1:8" x14ac:dyDescent="0.2">
      <c r="A154" s="31">
        <f>Winter!A157</f>
        <v>149</v>
      </c>
      <c r="B154" s="2">
        <v>149</v>
      </c>
      <c r="C154" s="3">
        <v>2850</v>
      </c>
      <c r="D154" s="4">
        <f t="shared" si="2"/>
        <v>87.6389686750245</v>
      </c>
      <c r="E154" s="6"/>
      <c r="F154" s="20"/>
      <c r="G154" s="4"/>
      <c r="H154" s="6"/>
    </row>
    <row r="155" spans="1:8" x14ac:dyDescent="0.2">
      <c r="A155" s="31">
        <f>Winter!A158</f>
        <v>150</v>
      </c>
      <c r="B155" s="2">
        <v>150</v>
      </c>
      <c r="C155" s="3">
        <v>3000</v>
      </c>
      <c r="D155" s="4">
        <f t="shared" si="2"/>
        <v>92.251545973709995</v>
      </c>
      <c r="E155" s="6"/>
      <c r="F155" s="20"/>
      <c r="G155" s="4"/>
      <c r="H155" s="6"/>
    </row>
    <row r="156" spans="1:8" x14ac:dyDescent="0.2">
      <c r="A156" s="31">
        <f>Winter!A159</f>
        <v>151</v>
      </c>
      <c r="B156" s="2">
        <v>151</v>
      </c>
      <c r="C156" s="3">
        <v>3150</v>
      </c>
      <c r="D156" s="4">
        <f t="shared" si="2"/>
        <v>96.864123272395489</v>
      </c>
      <c r="E156" s="6"/>
      <c r="F156" s="20"/>
      <c r="G156" s="4"/>
      <c r="H156" s="6"/>
    </row>
    <row r="157" spans="1:8" x14ac:dyDescent="0.2">
      <c r="A157" s="31">
        <f>Winter!A160</f>
        <v>152</v>
      </c>
      <c r="B157" s="2">
        <v>152</v>
      </c>
      <c r="C157" s="3">
        <v>3300</v>
      </c>
      <c r="D157" s="4">
        <f t="shared" si="2"/>
        <v>101.476700571081</v>
      </c>
      <c r="E157" s="6"/>
      <c r="F157" s="20"/>
      <c r="G157" s="4"/>
      <c r="H157" s="6"/>
    </row>
    <row r="158" spans="1:8" x14ac:dyDescent="0.2">
      <c r="A158" s="31">
        <f>Winter!A161</f>
        <v>153</v>
      </c>
      <c r="B158" s="2">
        <v>153</v>
      </c>
      <c r="C158" s="3">
        <v>3450</v>
      </c>
      <c r="D158" s="4">
        <f t="shared" si="2"/>
        <v>106.08927786976649</v>
      </c>
      <c r="E158" s="6"/>
      <c r="F158" s="20"/>
      <c r="G158" s="4"/>
      <c r="H158" s="6"/>
    </row>
    <row r="159" spans="1:8" x14ac:dyDescent="0.2">
      <c r="A159" s="31">
        <f>Winter!A162</f>
        <v>154</v>
      </c>
      <c r="B159" s="2">
        <v>154</v>
      </c>
      <c r="C159" s="3">
        <v>3600</v>
      </c>
      <c r="D159" s="4">
        <f t="shared" si="2"/>
        <v>110.701855168452</v>
      </c>
      <c r="E159" s="6"/>
      <c r="F159" s="20"/>
      <c r="G159" s="4"/>
      <c r="H159" s="6"/>
    </row>
    <row r="160" spans="1:8" x14ac:dyDescent="0.2">
      <c r="A160" s="31">
        <f>Winter!A163</f>
        <v>155</v>
      </c>
      <c r="B160" s="2">
        <v>155</v>
      </c>
      <c r="C160" s="3">
        <v>3750.0000000000005</v>
      </c>
      <c r="D160" s="4">
        <f t="shared" si="2"/>
        <v>115.31443246713751</v>
      </c>
      <c r="E160" s="6"/>
      <c r="F160" s="20"/>
      <c r="G160" s="4"/>
      <c r="H160" s="6"/>
    </row>
    <row r="161" spans="1:8" x14ac:dyDescent="0.2">
      <c r="A161" s="31">
        <f>Winter!A164</f>
        <v>156</v>
      </c>
      <c r="B161" s="2">
        <v>156</v>
      </c>
      <c r="C161" s="3">
        <v>3900.0000000000009</v>
      </c>
      <c r="D161" s="4">
        <f t="shared" si="2"/>
        <v>119.92700976582302</v>
      </c>
      <c r="E161" s="6"/>
      <c r="F161" s="20"/>
      <c r="G161" s="4"/>
      <c r="H161" s="6"/>
    </row>
    <row r="162" spans="1:8" x14ac:dyDescent="0.2">
      <c r="A162" s="31">
        <f>Winter!A165</f>
        <v>157</v>
      </c>
      <c r="B162" s="2">
        <v>157</v>
      </c>
      <c r="C162" s="3">
        <v>4050.0000000000009</v>
      </c>
      <c r="D162" s="4">
        <f t="shared" si="2"/>
        <v>124.53958706450852</v>
      </c>
      <c r="E162" s="6"/>
      <c r="F162" s="20"/>
      <c r="G162" s="4"/>
      <c r="H162" s="6"/>
    </row>
    <row r="163" spans="1:8" x14ac:dyDescent="0.2">
      <c r="A163" s="31">
        <f>Winter!A166</f>
        <v>158</v>
      </c>
      <c r="B163" s="2">
        <v>158</v>
      </c>
      <c r="C163" s="3">
        <v>4200.0000000000009</v>
      </c>
      <c r="D163" s="4">
        <f t="shared" si="2"/>
        <v>129.152164363194</v>
      </c>
      <c r="E163" s="6"/>
      <c r="F163" s="20"/>
      <c r="G163" s="4"/>
      <c r="H163" s="6"/>
    </row>
    <row r="164" spans="1:8" x14ac:dyDescent="0.2">
      <c r="A164" s="31">
        <f>Winter!A167</f>
        <v>159</v>
      </c>
      <c r="B164" s="2">
        <v>159</v>
      </c>
      <c r="C164" s="3">
        <v>4050</v>
      </c>
      <c r="D164" s="4">
        <f t="shared" si="2"/>
        <v>124.5395870645085</v>
      </c>
      <c r="E164" s="6"/>
      <c r="F164" s="20"/>
      <c r="G164" s="4"/>
      <c r="H164" s="6"/>
    </row>
    <row r="165" spans="1:8" x14ac:dyDescent="0.2">
      <c r="A165" s="31">
        <f>Winter!A168</f>
        <v>160</v>
      </c>
      <c r="B165" s="2">
        <v>160</v>
      </c>
      <c r="C165" s="3">
        <v>4199.9999999999991</v>
      </c>
      <c r="D165" s="4">
        <f t="shared" si="2"/>
        <v>129.15216436319398</v>
      </c>
      <c r="E165" s="6"/>
      <c r="F165" s="20"/>
      <c r="G165" s="4"/>
      <c r="H165" s="6"/>
    </row>
    <row r="166" spans="1:8" x14ac:dyDescent="0.2">
      <c r="A166" s="31">
        <f>Winter!A169</f>
        <v>161</v>
      </c>
      <c r="B166" s="2">
        <v>161</v>
      </c>
      <c r="C166" s="3">
        <v>4800</v>
      </c>
      <c r="D166" s="4">
        <f t="shared" si="2"/>
        <v>147.60247355793598</v>
      </c>
      <c r="E166" s="6"/>
      <c r="F166" s="20"/>
      <c r="G166" s="4"/>
      <c r="H166" s="6"/>
    </row>
    <row r="167" spans="1:8" x14ac:dyDescent="0.2">
      <c r="A167" s="31">
        <f>Winter!A170</f>
        <v>162</v>
      </c>
      <c r="B167" s="2">
        <v>162</v>
      </c>
      <c r="C167" s="3">
        <v>4649.9999999999991</v>
      </c>
      <c r="D167" s="4">
        <f t="shared" si="2"/>
        <v>142.98989625925046</v>
      </c>
      <c r="E167" s="6"/>
      <c r="F167" s="20"/>
      <c r="G167" s="4"/>
      <c r="H167" s="6"/>
    </row>
    <row r="168" spans="1:8" x14ac:dyDescent="0.2">
      <c r="A168" s="31">
        <f>Winter!A171</f>
        <v>163</v>
      </c>
      <c r="B168" s="2">
        <v>163</v>
      </c>
      <c r="C168" s="3">
        <v>4949.9999999999991</v>
      </c>
      <c r="D168" s="4">
        <f t="shared" si="2"/>
        <v>152.21505085662147</v>
      </c>
      <c r="E168" s="6"/>
      <c r="F168" s="20"/>
      <c r="G168" s="4"/>
      <c r="H168" s="6"/>
    </row>
    <row r="169" spans="1:8" x14ac:dyDescent="0.2">
      <c r="A169" s="31">
        <f>Winter!A172</f>
        <v>164</v>
      </c>
      <c r="B169" s="2">
        <v>164</v>
      </c>
      <c r="C169" s="3">
        <v>4620</v>
      </c>
      <c r="D169" s="4">
        <f t="shared" si="2"/>
        <v>142.06738079951339</v>
      </c>
      <c r="E169" s="6"/>
      <c r="F169" s="20"/>
      <c r="G169" s="4"/>
      <c r="H169" s="6"/>
    </row>
    <row r="170" spans="1:8" x14ac:dyDescent="0.2">
      <c r="A170" s="31">
        <f>Winter!A173</f>
        <v>165</v>
      </c>
      <c r="B170" s="2">
        <v>165</v>
      </c>
      <c r="C170" s="3">
        <v>4290</v>
      </c>
      <c r="D170" s="4">
        <f t="shared" si="2"/>
        <v>131.9197107424053</v>
      </c>
      <c r="E170" s="6"/>
      <c r="F170" s="20"/>
      <c r="G170" s="4"/>
      <c r="H170" s="6"/>
    </row>
    <row r="171" spans="1:8" x14ac:dyDescent="0.2">
      <c r="A171" s="31">
        <f>Winter!A174</f>
        <v>166</v>
      </c>
      <c r="B171" s="2">
        <v>166</v>
      </c>
      <c r="C171" s="3">
        <v>3959.9999999999995</v>
      </c>
      <c r="D171" s="4">
        <f t="shared" si="2"/>
        <v>121.77204068529717</v>
      </c>
      <c r="E171" s="6"/>
      <c r="F171" s="20"/>
      <c r="G171" s="4"/>
      <c r="H171" s="6"/>
    </row>
    <row r="172" spans="1:8" x14ac:dyDescent="0.2">
      <c r="A172" s="31">
        <f>Winter!A175</f>
        <v>167</v>
      </c>
      <c r="B172" s="2">
        <v>167</v>
      </c>
      <c r="C172" s="3">
        <v>3630</v>
      </c>
      <c r="D172" s="4">
        <f t="shared" si="2"/>
        <v>111.6243706281891</v>
      </c>
      <c r="E172" s="6"/>
      <c r="F172" s="20"/>
      <c r="G172" s="4"/>
      <c r="H172" s="6"/>
    </row>
    <row r="173" spans="1:8" x14ac:dyDescent="0.2">
      <c r="A173" s="31">
        <f>Winter!A176</f>
        <v>168</v>
      </c>
      <c r="B173" s="2">
        <v>168</v>
      </c>
      <c r="C173" s="3">
        <v>3300</v>
      </c>
      <c r="D173" s="4">
        <f t="shared" si="2"/>
        <v>101.476700571081</v>
      </c>
      <c r="E173" s="6"/>
      <c r="F173" s="20"/>
      <c r="G173" s="4"/>
      <c r="H173" s="6"/>
    </row>
    <row r="174" spans="1:8" x14ac:dyDescent="0.2">
      <c r="A174" s="31">
        <f>Winter!A177</f>
        <v>1</v>
      </c>
      <c r="B174" s="2">
        <v>169</v>
      </c>
      <c r="C174" s="3">
        <f t="shared" ref="C174:C233" si="3">C11</f>
        <v>3299.9999999999995</v>
      </c>
      <c r="D174" s="4">
        <f t="shared" si="2"/>
        <v>101.47670057108098</v>
      </c>
      <c r="E174" s="6"/>
      <c r="F174" s="20"/>
      <c r="G174" s="4"/>
      <c r="H174" s="6"/>
    </row>
    <row r="175" spans="1:8" x14ac:dyDescent="0.2">
      <c r="A175" s="31">
        <f>Winter!A178</f>
        <v>2</v>
      </c>
      <c r="B175" s="2">
        <v>170</v>
      </c>
      <c r="C175" s="3">
        <f t="shared" si="3"/>
        <v>3524.9999999999991</v>
      </c>
      <c r="D175" s="4">
        <f t="shared" si="2"/>
        <v>108.39556651910922</v>
      </c>
      <c r="E175" s="6"/>
      <c r="F175" s="20"/>
      <c r="G175" s="4"/>
      <c r="H175" s="6"/>
    </row>
    <row r="176" spans="1:8" x14ac:dyDescent="0.2">
      <c r="A176" s="31">
        <f>Winter!A179</f>
        <v>3</v>
      </c>
      <c r="B176" s="2">
        <v>171</v>
      </c>
      <c r="C176" s="3">
        <f t="shared" si="3"/>
        <v>3749.9999999999986</v>
      </c>
      <c r="D176" s="4">
        <f t="shared" si="2"/>
        <v>115.31443246713745</v>
      </c>
      <c r="E176" s="6"/>
      <c r="F176" s="20"/>
      <c r="G176" s="4"/>
      <c r="H176" s="6"/>
    </row>
    <row r="177" spans="1:8" x14ac:dyDescent="0.2">
      <c r="A177" s="31">
        <f>Winter!A180</f>
        <v>4</v>
      </c>
      <c r="B177" s="2">
        <v>172</v>
      </c>
      <c r="C177" s="3">
        <f t="shared" si="3"/>
        <v>3974.9999999999986</v>
      </c>
      <c r="D177" s="4">
        <f t="shared" si="2"/>
        <v>122.23329841516569</v>
      </c>
      <c r="E177" s="6"/>
      <c r="F177" s="20"/>
      <c r="G177" s="4"/>
      <c r="H177" s="6"/>
    </row>
    <row r="178" spans="1:8" x14ac:dyDescent="0.2">
      <c r="A178" s="31">
        <f>Winter!A181</f>
        <v>5</v>
      </c>
      <c r="B178" s="2">
        <v>173</v>
      </c>
      <c r="C178" s="3">
        <f t="shared" si="3"/>
        <v>4199.9999999999982</v>
      </c>
      <c r="D178" s="4">
        <f t="shared" si="2"/>
        <v>129.15216436319395</v>
      </c>
      <c r="E178" s="6"/>
      <c r="F178" s="20"/>
      <c r="G178" s="4"/>
      <c r="H178" s="6"/>
    </row>
    <row r="179" spans="1:8" x14ac:dyDescent="0.2">
      <c r="A179" s="31">
        <f>Winter!A182</f>
        <v>6</v>
      </c>
      <c r="B179" s="2">
        <v>174</v>
      </c>
      <c r="C179" s="3">
        <f t="shared" si="3"/>
        <v>4424.9999999999991</v>
      </c>
      <c r="D179" s="4">
        <f t="shared" si="2"/>
        <v>136.07103031122222</v>
      </c>
      <c r="E179" s="6"/>
      <c r="F179" s="20"/>
      <c r="G179" s="4"/>
      <c r="H179" s="6"/>
    </row>
    <row r="180" spans="1:8" x14ac:dyDescent="0.2">
      <c r="A180" s="31">
        <f>Winter!A183</f>
        <v>7</v>
      </c>
      <c r="B180" s="2">
        <v>175</v>
      </c>
      <c r="C180" s="3">
        <f t="shared" si="3"/>
        <v>4649.9999999999982</v>
      </c>
      <c r="D180" s="4">
        <f t="shared" si="2"/>
        <v>142.98989625925043</v>
      </c>
      <c r="E180" s="6"/>
      <c r="F180" s="20"/>
      <c r="G180" s="4"/>
      <c r="H180" s="6"/>
    </row>
    <row r="181" spans="1:8" x14ac:dyDescent="0.2">
      <c r="A181" s="31">
        <f>Winter!A184</f>
        <v>8</v>
      </c>
      <c r="B181" s="2">
        <v>176</v>
      </c>
      <c r="C181" s="3">
        <f t="shared" si="3"/>
        <v>4875</v>
      </c>
      <c r="D181" s="4">
        <f t="shared" si="2"/>
        <v>149.90876220727873</v>
      </c>
      <c r="E181" s="6"/>
      <c r="F181" s="20"/>
      <c r="G181" s="4"/>
      <c r="H181" s="6"/>
    </row>
    <row r="182" spans="1:8" x14ac:dyDescent="0.2">
      <c r="A182" s="31">
        <f>Winter!A185</f>
        <v>9</v>
      </c>
      <c r="B182" s="2">
        <v>177</v>
      </c>
      <c r="C182" s="3">
        <f t="shared" si="3"/>
        <v>5100</v>
      </c>
      <c r="D182" s="4">
        <f t="shared" si="2"/>
        <v>156.827628155307</v>
      </c>
      <c r="E182" s="6"/>
      <c r="F182" s="20"/>
      <c r="G182" s="4"/>
      <c r="H182" s="6"/>
    </row>
    <row r="183" spans="1:8" x14ac:dyDescent="0.2">
      <c r="A183" s="31">
        <f>Winter!A186</f>
        <v>10</v>
      </c>
      <c r="B183" s="2">
        <v>178</v>
      </c>
      <c r="C183" s="3">
        <f t="shared" si="3"/>
        <v>4949.9999999999991</v>
      </c>
      <c r="D183" s="4">
        <f t="shared" si="2"/>
        <v>152.21505085662147</v>
      </c>
      <c r="E183" s="6"/>
      <c r="F183" s="20"/>
      <c r="G183" s="4"/>
      <c r="H183" s="6"/>
    </row>
    <row r="184" spans="1:8" x14ac:dyDescent="0.2">
      <c r="A184" s="31">
        <f>Winter!A187</f>
        <v>11</v>
      </c>
      <c r="B184" s="2">
        <v>179</v>
      </c>
      <c r="C184" s="3">
        <f t="shared" si="3"/>
        <v>5149.9999999999991</v>
      </c>
      <c r="D184" s="4">
        <f t="shared" si="2"/>
        <v>158.36515392153547</v>
      </c>
      <c r="E184" s="6"/>
      <c r="F184" s="20"/>
      <c r="G184" s="4"/>
      <c r="H184" s="6"/>
    </row>
    <row r="185" spans="1:8" x14ac:dyDescent="0.2">
      <c r="A185" s="31">
        <f>Winter!A188</f>
        <v>12</v>
      </c>
      <c r="B185" s="2">
        <v>180</v>
      </c>
      <c r="C185" s="3">
        <f t="shared" si="3"/>
        <v>5850</v>
      </c>
      <c r="D185" s="4">
        <f t="shared" si="2"/>
        <v>179.8905146487345</v>
      </c>
      <c r="E185" s="6"/>
      <c r="F185" s="20"/>
      <c r="G185" s="4"/>
      <c r="H185" s="6"/>
    </row>
    <row r="186" spans="1:8" x14ac:dyDescent="0.2">
      <c r="A186" s="31">
        <f>Winter!A189</f>
        <v>13</v>
      </c>
      <c r="B186" s="2">
        <v>181</v>
      </c>
      <c r="C186" s="3">
        <f t="shared" si="3"/>
        <v>5699.9999999999991</v>
      </c>
      <c r="D186" s="4">
        <f t="shared" si="2"/>
        <v>175.27793735004897</v>
      </c>
      <c r="E186" s="6"/>
      <c r="F186" s="20"/>
      <c r="G186" s="4"/>
      <c r="H186" s="6"/>
    </row>
    <row r="187" spans="1:8" x14ac:dyDescent="0.2">
      <c r="A187" s="31">
        <f>Winter!A190</f>
        <v>14</v>
      </c>
      <c r="B187" s="2">
        <v>182</v>
      </c>
      <c r="C187" s="3">
        <f t="shared" si="3"/>
        <v>6000</v>
      </c>
      <c r="D187" s="4">
        <f t="shared" si="2"/>
        <v>184.50309194741999</v>
      </c>
      <c r="E187" s="6"/>
      <c r="F187" s="20"/>
      <c r="G187" s="4"/>
      <c r="H187" s="6"/>
    </row>
    <row r="188" spans="1:8" x14ac:dyDescent="0.2">
      <c r="A188" s="31">
        <f>Winter!A191</f>
        <v>15</v>
      </c>
      <c r="B188" s="2">
        <v>183</v>
      </c>
      <c r="C188" s="3">
        <f t="shared" si="3"/>
        <v>5699.9999999999991</v>
      </c>
      <c r="D188" s="4">
        <f t="shared" si="2"/>
        <v>175.27793735004897</v>
      </c>
      <c r="E188" s="6"/>
      <c r="F188" s="20"/>
      <c r="G188" s="4"/>
      <c r="H188" s="6"/>
    </row>
    <row r="189" spans="1:8" x14ac:dyDescent="0.2">
      <c r="A189" s="31">
        <f>Winter!A192</f>
        <v>16</v>
      </c>
      <c r="B189" s="2">
        <v>184</v>
      </c>
      <c r="C189" s="3">
        <f t="shared" si="3"/>
        <v>6149.9999999999991</v>
      </c>
      <c r="D189" s="4">
        <f t="shared" si="2"/>
        <v>189.11566924610545</v>
      </c>
      <c r="E189" s="6"/>
      <c r="F189" s="20"/>
      <c r="G189" s="4"/>
      <c r="H189" s="6"/>
    </row>
    <row r="190" spans="1:8" x14ac:dyDescent="0.2">
      <c r="A190" s="31">
        <f>Winter!A193</f>
        <v>17</v>
      </c>
      <c r="B190" s="2">
        <v>185</v>
      </c>
      <c r="C190" s="3">
        <f t="shared" si="3"/>
        <v>5399.9999999999991</v>
      </c>
      <c r="D190" s="4">
        <f t="shared" si="2"/>
        <v>166.05278275267796</v>
      </c>
      <c r="E190" s="6"/>
      <c r="F190" s="20"/>
      <c r="G190" s="4"/>
      <c r="H190" s="6"/>
    </row>
    <row r="191" spans="1:8" x14ac:dyDescent="0.2">
      <c r="A191" s="31">
        <f>Winter!A194</f>
        <v>18</v>
      </c>
      <c r="B191" s="2">
        <v>186</v>
      </c>
      <c r="C191" s="3">
        <f t="shared" si="3"/>
        <v>4649.9999999999982</v>
      </c>
      <c r="D191" s="4">
        <f t="shared" si="2"/>
        <v>142.98989625925043</v>
      </c>
      <c r="E191" s="6"/>
      <c r="F191" s="20"/>
      <c r="G191" s="4"/>
      <c r="H191" s="6"/>
    </row>
    <row r="192" spans="1:8" x14ac:dyDescent="0.2">
      <c r="A192" s="31">
        <f>Winter!A195</f>
        <v>19</v>
      </c>
      <c r="B192" s="2">
        <v>187</v>
      </c>
      <c r="C192" s="3">
        <f t="shared" si="3"/>
        <v>3899.9999999999991</v>
      </c>
      <c r="D192" s="4">
        <f t="shared" si="2"/>
        <v>119.92700976582297</v>
      </c>
      <c r="E192" s="6"/>
      <c r="F192" s="20"/>
      <c r="G192" s="4"/>
      <c r="H192" s="6"/>
    </row>
    <row r="193" spans="1:8" x14ac:dyDescent="0.2">
      <c r="A193" s="31">
        <f>Winter!A196</f>
        <v>20</v>
      </c>
      <c r="B193" s="2">
        <v>188</v>
      </c>
      <c r="C193" s="3">
        <f t="shared" si="3"/>
        <v>2550</v>
      </c>
      <c r="D193" s="4">
        <f t="shared" si="2"/>
        <v>78.413814077653498</v>
      </c>
      <c r="E193" s="6"/>
      <c r="F193" s="20"/>
      <c r="G193" s="4"/>
      <c r="H193" s="6"/>
    </row>
    <row r="194" spans="1:8" x14ac:dyDescent="0.2">
      <c r="A194" s="31">
        <f>Winter!A197</f>
        <v>21</v>
      </c>
      <c r="B194" s="2">
        <v>189</v>
      </c>
      <c r="C194" s="3">
        <f t="shared" si="3"/>
        <v>2400</v>
      </c>
      <c r="D194" s="4">
        <f t="shared" si="2"/>
        <v>73.80123677896799</v>
      </c>
      <c r="E194" s="6"/>
      <c r="F194" s="20"/>
      <c r="G194" s="4"/>
      <c r="H194" s="6"/>
    </row>
    <row r="195" spans="1:8" x14ac:dyDescent="0.2">
      <c r="A195" s="31">
        <f>Winter!A198</f>
        <v>22</v>
      </c>
      <c r="B195" s="2">
        <v>190</v>
      </c>
      <c r="C195" s="3">
        <f t="shared" si="3"/>
        <v>2579.9999999999995</v>
      </c>
      <c r="D195" s="4">
        <f t="shared" si="2"/>
        <v>79.336329537390583</v>
      </c>
      <c r="E195" s="6"/>
      <c r="F195" s="20"/>
      <c r="G195" s="4"/>
      <c r="H195" s="6"/>
    </row>
    <row r="196" spans="1:8" x14ac:dyDescent="0.2">
      <c r="A196" s="31">
        <f>Winter!A199</f>
        <v>23</v>
      </c>
      <c r="B196" s="2">
        <v>191</v>
      </c>
      <c r="C196" s="3">
        <f t="shared" si="3"/>
        <v>2700</v>
      </c>
      <c r="D196" s="4">
        <f t="shared" si="2"/>
        <v>83.026391376338992</v>
      </c>
      <c r="E196" s="6"/>
      <c r="F196" s="20"/>
      <c r="G196" s="4"/>
      <c r="H196" s="6"/>
    </row>
    <row r="197" spans="1:8" x14ac:dyDescent="0.2">
      <c r="A197" s="31">
        <f>Winter!A200</f>
        <v>24</v>
      </c>
      <c r="B197" s="2">
        <v>192</v>
      </c>
      <c r="C197" s="3">
        <f t="shared" si="3"/>
        <v>2978.5714285714284</v>
      </c>
      <c r="D197" s="4">
        <f t="shared" si="2"/>
        <v>91.592606359612063</v>
      </c>
      <c r="E197" s="6"/>
      <c r="F197" s="20"/>
      <c r="G197" s="4"/>
      <c r="H197" s="6"/>
    </row>
    <row r="198" spans="1:8" x14ac:dyDescent="0.2">
      <c r="A198" s="31">
        <f>Winter!A201</f>
        <v>25</v>
      </c>
      <c r="B198" s="2">
        <v>193</v>
      </c>
      <c r="C198" s="3">
        <f t="shared" si="3"/>
        <v>3171.4285714285711</v>
      </c>
      <c r="D198" s="4">
        <f t="shared" si="2"/>
        <v>97.523062886493406</v>
      </c>
      <c r="E198" s="6"/>
      <c r="F198" s="20"/>
      <c r="G198" s="4"/>
      <c r="H198" s="6"/>
    </row>
    <row r="199" spans="1:8" x14ac:dyDescent="0.2">
      <c r="A199" s="31">
        <f>Winter!A202</f>
        <v>26</v>
      </c>
      <c r="B199" s="2">
        <v>194</v>
      </c>
      <c r="C199" s="3">
        <f t="shared" si="3"/>
        <v>3364.2857142857138</v>
      </c>
      <c r="D199" s="4">
        <f t="shared" ref="D199:D262" si="4">$G$3*C199*(1/$G$5-1/$G$4)</f>
        <v>103.45351941337476</v>
      </c>
      <c r="E199" s="6"/>
      <c r="F199" s="20"/>
      <c r="G199" s="4"/>
      <c r="H199" s="6"/>
    </row>
    <row r="200" spans="1:8" x14ac:dyDescent="0.2">
      <c r="A200" s="31">
        <f>Winter!A203</f>
        <v>27</v>
      </c>
      <c r="B200" s="2">
        <v>195</v>
      </c>
      <c r="C200" s="3">
        <f t="shared" si="3"/>
        <v>3557.1428571428569</v>
      </c>
      <c r="D200" s="4">
        <f t="shared" si="4"/>
        <v>109.38397594025612</v>
      </c>
      <c r="E200" s="6"/>
      <c r="F200" s="20"/>
      <c r="G200" s="4"/>
      <c r="H200" s="6"/>
    </row>
    <row r="201" spans="1:8" x14ac:dyDescent="0.2">
      <c r="A201" s="31">
        <f>Winter!A204</f>
        <v>28</v>
      </c>
      <c r="B201" s="2">
        <v>196</v>
      </c>
      <c r="C201" s="3">
        <f t="shared" si="3"/>
        <v>3749.9999999999995</v>
      </c>
      <c r="D201" s="4">
        <f t="shared" si="4"/>
        <v>115.31443246713748</v>
      </c>
      <c r="E201" s="6"/>
      <c r="F201" s="20"/>
      <c r="G201" s="4"/>
      <c r="H201" s="6"/>
    </row>
    <row r="202" spans="1:8" x14ac:dyDescent="0.2">
      <c r="A202" s="31">
        <f>Winter!A205</f>
        <v>29</v>
      </c>
      <c r="B202" s="2">
        <v>197</v>
      </c>
      <c r="C202" s="3">
        <f t="shared" si="3"/>
        <v>3942.8571428571427</v>
      </c>
      <c r="D202" s="4">
        <f t="shared" si="4"/>
        <v>121.24488899401885</v>
      </c>
      <c r="E202" s="6"/>
      <c r="F202" s="20"/>
      <c r="G202" s="4"/>
      <c r="H202" s="6"/>
    </row>
    <row r="203" spans="1:8" x14ac:dyDescent="0.2">
      <c r="A203" s="31">
        <f>Winter!A206</f>
        <v>30</v>
      </c>
      <c r="B203" s="2">
        <v>198</v>
      </c>
      <c r="C203" s="3">
        <f t="shared" si="3"/>
        <v>4135.7142857142853</v>
      </c>
      <c r="D203" s="4">
        <f t="shared" si="4"/>
        <v>127.17534552090021</v>
      </c>
      <c r="E203" s="6"/>
      <c r="F203" s="20"/>
      <c r="G203" s="4"/>
      <c r="H203" s="6"/>
    </row>
    <row r="204" spans="1:8" x14ac:dyDescent="0.2">
      <c r="A204" s="31">
        <f>Winter!A207</f>
        <v>31</v>
      </c>
      <c r="B204" s="2">
        <v>199</v>
      </c>
      <c r="C204" s="3">
        <f t="shared" si="3"/>
        <v>4328.5714285714284</v>
      </c>
      <c r="D204" s="4">
        <f t="shared" si="4"/>
        <v>133.10580204778157</v>
      </c>
      <c r="E204" s="6"/>
      <c r="F204" s="20"/>
      <c r="G204" s="4"/>
      <c r="H204" s="6"/>
    </row>
    <row r="205" spans="1:8" x14ac:dyDescent="0.2">
      <c r="A205" s="31">
        <f>Winter!A208</f>
        <v>32</v>
      </c>
      <c r="B205" s="2">
        <v>200</v>
      </c>
      <c r="C205" s="3">
        <f t="shared" si="3"/>
        <v>4521.4285714285706</v>
      </c>
      <c r="D205" s="4">
        <f t="shared" si="4"/>
        <v>139.0362585746629</v>
      </c>
      <c r="E205" s="6"/>
      <c r="F205" s="20"/>
      <c r="G205" s="4"/>
      <c r="H205" s="6"/>
    </row>
    <row r="206" spans="1:8" x14ac:dyDescent="0.2">
      <c r="A206" s="31">
        <f>Winter!A209</f>
        <v>33</v>
      </c>
      <c r="B206" s="2">
        <v>201</v>
      </c>
      <c r="C206" s="3">
        <f t="shared" si="3"/>
        <v>4714.2857142857138</v>
      </c>
      <c r="D206" s="4">
        <f t="shared" si="4"/>
        <v>144.96671510154425</v>
      </c>
      <c r="E206" s="6"/>
      <c r="F206" s="20"/>
      <c r="G206" s="4"/>
      <c r="H206" s="6"/>
    </row>
    <row r="207" spans="1:8" x14ac:dyDescent="0.2">
      <c r="A207" s="31">
        <f>Winter!A210</f>
        <v>34</v>
      </c>
      <c r="B207" s="2">
        <v>202</v>
      </c>
      <c r="C207" s="3">
        <f t="shared" si="3"/>
        <v>4907.1428571428569</v>
      </c>
      <c r="D207" s="4">
        <f t="shared" si="4"/>
        <v>150.89717162842564</v>
      </c>
      <c r="E207" s="6"/>
      <c r="F207" s="20"/>
      <c r="G207" s="4"/>
      <c r="H207" s="6"/>
    </row>
    <row r="208" spans="1:8" x14ac:dyDescent="0.2">
      <c r="A208" s="31">
        <f>Winter!A211</f>
        <v>35</v>
      </c>
      <c r="B208" s="2">
        <v>203</v>
      </c>
      <c r="C208" s="3">
        <f t="shared" si="3"/>
        <v>5100</v>
      </c>
      <c r="D208" s="4">
        <f t="shared" si="4"/>
        <v>156.827628155307</v>
      </c>
      <c r="E208" s="6"/>
      <c r="F208" s="20"/>
      <c r="G208" s="4"/>
      <c r="H208" s="6"/>
    </row>
    <row r="209" spans="1:8" x14ac:dyDescent="0.2">
      <c r="A209" s="31">
        <f>Winter!A212</f>
        <v>36</v>
      </c>
      <c r="B209" s="2">
        <v>204</v>
      </c>
      <c r="C209" s="3">
        <f t="shared" si="3"/>
        <v>4949.9999999999991</v>
      </c>
      <c r="D209" s="4">
        <f t="shared" si="4"/>
        <v>152.21505085662147</v>
      </c>
      <c r="E209" s="6"/>
      <c r="F209" s="20"/>
      <c r="G209" s="4"/>
      <c r="H209" s="6"/>
    </row>
    <row r="210" spans="1:8" x14ac:dyDescent="0.2">
      <c r="A210" s="31">
        <f>Winter!A213</f>
        <v>37</v>
      </c>
      <c r="B210" s="2">
        <v>205</v>
      </c>
      <c r="C210" s="3">
        <f t="shared" si="3"/>
        <v>5250</v>
      </c>
      <c r="D210" s="4">
        <f t="shared" si="4"/>
        <v>161.44020545399249</v>
      </c>
      <c r="E210" s="6"/>
      <c r="F210" s="20"/>
      <c r="G210" s="4"/>
      <c r="H210" s="6"/>
    </row>
    <row r="211" spans="1:8" x14ac:dyDescent="0.2">
      <c r="A211" s="31">
        <f>Winter!A214</f>
        <v>38</v>
      </c>
      <c r="B211" s="2">
        <v>206</v>
      </c>
      <c r="C211" s="3">
        <f t="shared" si="3"/>
        <v>5550</v>
      </c>
      <c r="D211" s="4">
        <f t="shared" si="4"/>
        <v>170.66536005136348</v>
      </c>
      <c r="E211" s="6"/>
      <c r="F211" s="20"/>
      <c r="G211" s="4"/>
      <c r="H211" s="6"/>
    </row>
    <row r="212" spans="1:8" x14ac:dyDescent="0.2">
      <c r="A212" s="31">
        <f>Winter!A215</f>
        <v>39</v>
      </c>
      <c r="B212" s="2">
        <v>207</v>
      </c>
      <c r="C212" s="3">
        <f t="shared" si="3"/>
        <v>5699.9999999999991</v>
      </c>
      <c r="D212" s="4">
        <f t="shared" si="4"/>
        <v>175.27793735004897</v>
      </c>
      <c r="E212" s="6"/>
      <c r="F212" s="20"/>
      <c r="G212" s="4"/>
      <c r="H212" s="6"/>
    </row>
    <row r="213" spans="1:8" x14ac:dyDescent="0.2">
      <c r="A213" s="31">
        <f>Winter!A216</f>
        <v>40</v>
      </c>
      <c r="B213" s="2">
        <v>208</v>
      </c>
      <c r="C213" s="3">
        <f t="shared" si="3"/>
        <v>6149.9999999999991</v>
      </c>
      <c r="D213" s="4">
        <f t="shared" si="4"/>
        <v>189.11566924610545</v>
      </c>
      <c r="E213" s="6"/>
      <c r="F213" s="20"/>
      <c r="G213" s="4"/>
      <c r="H213" s="6"/>
    </row>
    <row r="214" spans="1:8" x14ac:dyDescent="0.2">
      <c r="A214" s="31">
        <f>Winter!A217</f>
        <v>41</v>
      </c>
      <c r="B214" s="2">
        <v>209</v>
      </c>
      <c r="C214" s="3">
        <f t="shared" si="3"/>
        <v>5399.9999999999991</v>
      </c>
      <c r="D214" s="4">
        <f t="shared" si="4"/>
        <v>166.05278275267796</v>
      </c>
      <c r="E214" s="6"/>
      <c r="F214" s="20"/>
      <c r="G214" s="4"/>
      <c r="H214" s="6"/>
    </row>
    <row r="215" spans="1:8" x14ac:dyDescent="0.2">
      <c r="A215" s="31">
        <f>Winter!A218</f>
        <v>42</v>
      </c>
      <c r="B215" s="2">
        <v>210</v>
      </c>
      <c r="C215" s="3">
        <f t="shared" si="3"/>
        <v>4649.9999999999982</v>
      </c>
      <c r="D215" s="4">
        <f t="shared" si="4"/>
        <v>142.98989625925043</v>
      </c>
      <c r="E215" s="6"/>
      <c r="F215" s="20"/>
      <c r="G215" s="4"/>
      <c r="H215" s="6"/>
    </row>
    <row r="216" spans="1:8" x14ac:dyDescent="0.2">
      <c r="A216" s="31">
        <f>Winter!A219</f>
        <v>43</v>
      </c>
      <c r="B216" s="2">
        <v>211</v>
      </c>
      <c r="C216" s="3">
        <f t="shared" si="3"/>
        <v>3899.9999999999991</v>
      </c>
      <c r="D216" s="4">
        <f t="shared" si="4"/>
        <v>119.92700976582297</v>
      </c>
      <c r="E216" s="6"/>
      <c r="F216" s="20"/>
      <c r="G216" s="4"/>
      <c r="H216" s="6"/>
    </row>
    <row r="217" spans="1:8" x14ac:dyDescent="0.2">
      <c r="A217" s="31">
        <f>Winter!A220</f>
        <v>44</v>
      </c>
      <c r="B217" s="2">
        <v>212</v>
      </c>
      <c r="C217" s="3">
        <f t="shared" si="3"/>
        <v>2550</v>
      </c>
      <c r="D217" s="4">
        <f t="shared" si="4"/>
        <v>78.413814077653498</v>
      </c>
      <c r="E217" s="6"/>
      <c r="F217" s="20"/>
      <c r="G217" s="4"/>
      <c r="H217" s="6"/>
    </row>
    <row r="218" spans="1:8" x14ac:dyDescent="0.2">
      <c r="A218" s="31">
        <f>Winter!A221</f>
        <v>45</v>
      </c>
      <c r="B218" s="2">
        <v>213</v>
      </c>
      <c r="C218" s="3">
        <f t="shared" si="3"/>
        <v>2400</v>
      </c>
      <c r="D218" s="4">
        <f t="shared" si="4"/>
        <v>73.80123677896799</v>
      </c>
      <c r="E218" s="6"/>
      <c r="F218" s="20"/>
      <c r="G218" s="4"/>
      <c r="H218" s="6"/>
    </row>
    <row r="219" spans="1:8" x14ac:dyDescent="0.2">
      <c r="A219" s="31">
        <f>Winter!A222</f>
        <v>46</v>
      </c>
      <c r="B219" s="2">
        <v>214</v>
      </c>
      <c r="C219" s="3">
        <f t="shared" si="3"/>
        <v>2550</v>
      </c>
      <c r="D219" s="4">
        <f t="shared" si="4"/>
        <v>78.413814077653498</v>
      </c>
      <c r="E219" s="6"/>
      <c r="F219" s="20"/>
      <c r="G219" s="4"/>
      <c r="H219" s="6"/>
    </row>
    <row r="220" spans="1:8" x14ac:dyDescent="0.2">
      <c r="A220" s="31">
        <f>Winter!A223</f>
        <v>47</v>
      </c>
      <c r="B220" s="2">
        <v>215</v>
      </c>
      <c r="C220" s="3">
        <f t="shared" si="3"/>
        <v>2700</v>
      </c>
      <c r="D220" s="4">
        <f t="shared" si="4"/>
        <v>83.026391376338992</v>
      </c>
      <c r="E220" s="6"/>
      <c r="F220" s="20"/>
      <c r="G220" s="4"/>
      <c r="H220" s="6"/>
    </row>
    <row r="221" spans="1:8" x14ac:dyDescent="0.2">
      <c r="A221" s="31">
        <f>Winter!A224</f>
        <v>48</v>
      </c>
      <c r="B221" s="2">
        <v>216</v>
      </c>
      <c r="C221" s="3">
        <f t="shared" si="3"/>
        <v>3023.0769230769229</v>
      </c>
      <c r="D221" s="4">
        <f t="shared" si="4"/>
        <v>92.961173250430846</v>
      </c>
      <c r="E221" s="6"/>
      <c r="F221" s="20"/>
      <c r="G221" s="4"/>
      <c r="H221" s="6"/>
    </row>
    <row r="222" spans="1:8" x14ac:dyDescent="0.2">
      <c r="A222" s="31">
        <f>Winter!A225</f>
        <v>49</v>
      </c>
      <c r="B222" s="2">
        <v>217</v>
      </c>
      <c r="C222" s="3">
        <f t="shared" si="3"/>
        <v>3230.7692307692305</v>
      </c>
      <c r="D222" s="4">
        <f t="shared" si="4"/>
        <v>99.347818740918441</v>
      </c>
      <c r="E222" s="6"/>
      <c r="F222" s="20"/>
      <c r="G222" s="4"/>
      <c r="H222" s="6"/>
    </row>
    <row r="223" spans="1:8" x14ac:dyDescent="0.2">
      <c r="A223" s="31">
        <f>Winter!A226</f>
        <v>50</v>
      </c>
      <c r="B223" s="2">
        <v>218</v>
      </c>
      <c r="C223" s="3">
        <f t="shared" si="3"/>
        <v>3438.4615384615377</v>
      </c>
      <c r="D223" s="4">
        <f t="shared" si="4"/>
        <v>105.73446423140605</v>
      </c>
      <c r="E223" s="6"/>
      <c r="F223" s="20"/>
      <c r="G223" s="4"/>
      <c r="H223" s="6"/>
    </row>
    <row r="224" spans="1:8" x14ac:dyDescent="0.2">
      <c r="A224" s="31">
        <f>Winter!A227</f>
        <v>51</v>
      </c>
      <c r="B224" s="2">
        <v>219</v>
      </c>
      <c r="C224" s="3">
        <f t="shared" si="3"/>
        <v>3646.1538461538453</v>
      </c>
      <c r="D224" s="4">
        <f t="shared" si="4"/>
        <v>112.12110972189366</v>
      </c>
      <c r="E224" s="6"/>
      <c r="F224" s="20"/>
      <c r="G224" s="4"/>
      <c r="H224" s="6"/>
    </row>
    <row r="225" spans="1:8" x14ac:dyDescent="0.2">
      <c r="A225" s="31">
        <f>Winter!A228</f>
        <v>52</v>
      </c>
      <c r="B225" s="2">
        <v>220</v>
      </c>
      <c r="C225" s="3">
        <f t="shared" si="3"/>
        <v>3853.8461538461529</v>
      </c>
      <c r="D225" s="4">
        <f t="shared" si="4"/>
        <v>118.50775521238127</v>
      </c>
      <c r="E225" s="6"/>
      <c r="F225" s="20"/>
      <c r="G225" s="4"/>
      <c r="H225" s="6"/>
    </row>
    <row r="226" spans="1:8" x14ac:dyDescent="0.2">
      <c r="A226" s="31">
        <f>Winter!A229</f>
        <v>53</v>
      </c>
      <c r="B226" s="2">
        <v>221</v>
      </c>
      <c r="C226" s="3">
        <f t="shared" si="3"/>
        <v>4061.5384615384605</v>
      </c>
      <c r="D226" s="4">
        <f t="shared" si="4"/>
        <v>124.89440070286889</v>
      </c>
      <c r="E226" s="6"/>
      <c r="F226" s="20"/>
      <c r="G226" s="4"/>
      <c r="H226" s="6"/>
    </row>
    <row r="227" spans="1:8" x14ac:dyDescent="0.2">
      <c r="A227" s="31">
        <f>Winter!A230</f>
        <v>54</v>
      </c>
      <c r="B227" s="2">
        <v>222</v>
      </c>
      <c r="C227" s="3">
        <f t="shared" si="3"/>
        <v>4269.2307692307686</v>
      </c>
      <c r="D227" s="4">
        <f t="shared" si="4"/>
        <v>131.2810461933565</v>
      </c>
      <c r="E227" s="6"/>
      <c r="F227" s="20"/>
      <c r="G227" s="4"/>
      <c r="H227" s="6"/>
    </row>
    <row r="228" spans="1:8" x14ac:dyDescent="0.2">
      <c r="A228" s="31">
        <f>Winter!A231</f>
        <v>55</v>
      </c>
      <c r="B228" s="2">
        <v>223</v>
      </c>
      <c r="C228" s="3">
        <f t="shared" si="3"/>
        <v>4476.9230769230762</v>
      </c>
      <c r="D228" s="4">
        <f t="shared" si="4"/>
        <v>137.66769168384411</v>
      </c>
      <c r="E228" s="6"/>
      <c r="F228" s="20"/>
      <c r="G228" s="4"/>
      <c r="H228" s="6"/>
    </row>
    <row r="229" spans="1:8" x14ac:dyDescent="0.2">
      <c r="A229" s="31">
        <f>Winter!A232</f>
        <v>56</v>
      </c>
      <c r="B229" s="2">
        <v>224</v>
      </c>
      <c r="C229" s="3">
        <f t="shared" si="3"/>
        <v>4684.6153846153829</v>
      </c>
      <c r="D229" s="4">
        <f t="shared" si="4"/>
        <v>144.05433717433172</v>
      </c>
      <c r="E229" s="6"/>
      <c r="F229" s="20"/>
      <c r="G229" s="4"/>
      <c r="H229" s="6"/>
    </row>
    <row r="230" spans="1:8" x14ac:dyDescent="0.2">
      <c r="A230" s="31">
        <f>Winter!A233</f>
        <v>57</v>
      </c>
      <c r="B230" s="2">
        <v>225</v>
      </c>
      <c r="C230" s="3">
        <f t="shared" si="3"/>
        <v>4892.3076923076915</v>
      </c>
      <c r="D230" s="4">
        <f t="shared" si="4"/>
        <v>150.44098266481936</v>
      </c>
      <c r="E230" s="6"/>
      <c r="F230" s="20"/>
      <c r="G230" s="4"/>
      <c r="H230" s="6"/>
    </row>
    <row r="231" spans="1:8" x14ac:dyDescent="0.2">
      <c r="A231" s="31">
        <f>Winter!A234</f>
        <v>58</v>
      </c>
      <c r="B231" s="2">
        <v>226</v>
      </c>
      <c r="C231" s="3">
        <f t="shared" si="3"/>
        <v>5100</v>
      </c>
      <c r="D231" s="4">
        <f t="shared" si="4"/>
        <v>156.827628155307</v>
      </c>
      <c r="E231" s="6"/>
      <c r="F231" s="20"/>
      <c r="G231" s="4"/>
      <c r="H231" s="6"/>
    </row>
    <row r="232" spans="1:8" x14ac:dyDescent="0.2">
      <c r="A232" s="31">
        <f>Winter!A235</f>
        <v>59</v>
      </c>
      <c r="B232" s="2">
        <v>227</v>
      </c>
      <c r="C232" s="3">
        <f t="shared" si="3"/>
        <v>4949.9999999999991</v>
      </c>
      <c r="D232" s="4">
        <f t="shared" si="4"/>
        <v>152.21505085662147</v>
      </c>
      <c r="E232" s="6"/>
      <c r="F232" s="20"/>
      <c r="G232" s="4"/>
      <c r="H232" s="6"/>
    </row>
    <row r="233" spans="1:8" x14ac:dyDescent="0.2">
      <c r="A233" s="31">
        <f>Winter!A236</f>
        <v>60</v>
      </c>
      <c r="B233" s="2">
        <v>228</v>
      </c>
      <c r="C233" s="3">
        <f t="shared" si="3"/>
        <v>5220</v>
      </c>
      <c r="D233" s="4">
        <f t="shared" si="4"/>
        <v>160.51768999425539</v>
      </c>
      <c r="E233" s="6"/>
      <c r="F233" s="20"/>
      <c r="G233" s="4"/>
      <c r="H233" s="6"/>
    </row>
    <row r="234" spans="1:8" x14ac:dyDescent="0.2">
      <c r="A234" s="31">
        <f>Winter!A237</f>
        <v>61</v>
      </c>
      <c r="B234" s="2">
        <v>229</v>
      </c>
      <c r="C234" s="3">
        <f t="shared" ref="C234:C297" si="5">C71</f>
        <v>5490</v>
      </c>
      <c r="D234" s="4">
        <f t="shared" si="4"/>
        <v>168.82032913188928</v>
      </c>
      <c r="E234" s="6"/>
      <c r="F234" s="20"/>
      <c r="G234" s="4"/>
      <c r="H234" s="6"/>
    </row>
    <row r="235" spans="1:8" x14ac:dyDescent="0.2">
      <c r="A235" s="31">
        <f>Winter!A238</f>
        <v>62</v>
      </c>
      <c r="B235" s="2">
        <v>230</v>
      </c>
      <c r="C235" s="3">
        <f t="shared" si="5"/>
        <v>6000</v>
      </c>
      <c r="D235" s="4">
        <f t="shared" si="4"/>
        <v>184.50309194741999</v>
      </c>
      <c r="E235" s="6"/>
      <c r="F235" s="20"/>
      <c r="G235" s="4"/>
      <c r="H235" s="6"/>
    </row>
    <row r="236" spans="1:8" x14ac:dyDescent="0.2">
      <c r="A236" s="31">
        <f>Winter!A239</f>
        <v>63</v>
      </c>
      <c r="B236" s="2">
        <v>231</v>
      </c>
      <c r="C236" s="3">
        <f t="shared" si="5"/>
        <v>6000</v>
      </c>
      <c r="D236" s="4">
        <f t="shared" si="4"/>
        <v>184.50309194741999</v>
      </c>
      <c r="E236" s="6"/>
      <c r="F236" s="20"/>
      <c r="G236" s="4"/>
      <c r="H236" s="6"/>
    </row>
    <row r="237" spans="1:8" x14ac:dyDescent="0.2">
      <c r="A237" s="31">
        <f>Winter!A240</f>
        <v>64</v>
      </c>
      <c r="B237" s="2">
        <v>232</v>
      </c>
      <c r="C237" s="3">
        <f t="shared" si="5"/>
        <v>6300</v>
      </c>
      <c r="D237" s="4">
        <f t="shared" si="4"/>
        <v>193.72824654479098</v>
      </c>
      <c r="E237" s="6"/>
      <c r="F237" s="20"/>
      <c r="G237" s="4"/>
      <c r="H237" s="6"/>
    </row>
    <row r="238" spans="1:8" x14ac:dyDescent="0.2">
      <c r="A238" s="31">
        <f>Winter!A241</f>
        <v>65</v>
      </c>
      <c r="B238" s="2">
        <v>233</v>
      </c>
      <c r="C238" s="3">
        <f t="shared" si="5"/>
        <v>5520</v>
      </c>
      <c r="D238" s="4">
        <f t="shared" si="4"/>
        <v>169.74284459162638</v>
      </c>
      <c r="E238" s="6"/>
      <c r="F238" s="20"/>
      <c r="G238" s="4"/>
      <c r="H238" s="6"/>
    </row>
    <row r="239" spans="1:8" x14ac:dyDescent="0.2">
      <c r="A239" s="31">
        <f>Winter!A242</f>
        <v>66</v>
      </c>
      <c r="B239" s="2">
        <v>234</v>
      </c>
      <c r="C239" s="3">
        <f t="shared" si="5"/>
        <v>4740</v>
      </c>
      <c r="D239" s="4">
        <f t="shared" si="4"/>
        <v>145.75744263846178</v>
      </c>
      <c r="E239" s="6"/>
      <c r="F239" s="20"/>
      <c r="G239" s="4"/>
      <c r="H239" s="6"/>
    </row>
    <row r="240" spans="1:8" x14ac:dyDescent="0.2">
      <c r="A240" s="31">
        <f>Winter!A243</f>
        <v>67</v>
      </c>
      <c r="B240" s="2">
        <v>235</v>
      </c>
      <c r="C240" s="3">
        <f t="shared" si="5"/>
        <v>3959.9999999999995</v>
      </c>
      <c r="D240" s="4">
        <f t="shared" si="4"/>
        <v>121.77204068529717</v>
      </c>
      <c r="E240" s="6"/>
      <c r="F240" s="20"/>
      <c r="G240" s="4"/>
      <c r="H240" s="6"/>
    </row>
    <row r="241" spans="1:8" x14ac:dyDescent="0.2">
      <c r="A241" s="31">
        <f>Winter!A244</f>
        <v>68</v>
      </c>
      <c r="B241" s="2">
        <v>236</v>
      </c>
      <c r="C241" s="3">
        <f t="shared" si="5"/>
        <v>2550</v>
      </c>
      <c r="D241" s="4">
        <f t="shared" si="4"/>
        <v>78.413814077653498</v>
      </c>
      <c r="E241" s="6"/>
      <c r="F241" s="20"/>
      <c r="G241" s="4"/>
      <c r="H241" s="6"/>
    </row>
    <row r="242" spans="1:8" x14ac:dyDescent="0.2">
      <c r="A242" s="31">
        <f>Winter!A245</f>
        <v>69</v>
      </c>
      <c r="B242" s="2">
        <v>237</v>
      </c>
      <c r="C242" s="3">
        <f t="shared" si="5"/>
        <v>2400</v>
      </c>
      <c r="D242" s="4">
        <f t="shared" si="4"/>
        <v>73.80123677896799</v>
      </c>
      <c r="E242" s="6"/>
      <c r="F242" s="20"/>
      <c r="G242" s="4"/>
      <c r="H242" s="6"/>
    </row>
    <row r="243" spans="1:8" x14ac:dyDescent="0.2">
      <c r="A243" s="31">
        <f>Winter!A246</f>
        <v>70</v>
      </c>
      <c r="B243" s="2">
        <v>238</v>
      </c>
      <c r="C243" s="3">
        <f t="shared" si="5"/>
        <v>2550</v>
      </c>
      <c r="D243" s="4">
        <f t="shared" si="4"/>
        <v>78.413814077653498</v>
      </c>
      <c r="E243" s="6"/>
      <c r="F243" s="20"/>
      <c r="G243" s="4"/>
      <c r="H243" s="6"/>
    </row>
    <row r="244" spans="1:8" x14ac:dyDescent="0.2">
      <c r="A244" s="31">
        <f>Winter!A247</f>
        <v>71</v>
      </c>
      <c r="B244" s="2">
        <v>239</v>
      </c>
      <c r="C244" s="3">
        <f t="shared" si="5"/>
        <v>2700</v>
      </c>
      <c r="D244" s="4">
        <f t="shared" si="4"/>
        <v>83.026391376338992</v>
      </c>
      <c r="E244" s="6"/>
      <c r="F244" s="20"/>
      <c r="G244" s="4"/>
      <c r="H244" s="6"/>
    </row>
    <row r="245" spans="1:8" x14ac:dyDescent="0.2">
      <c r="A245" s="31">
        <f>Winter!A248</f>
        <v>72</v>
      </c>
      <c r="B245" s="2">
        <v>240</v>
      </c>
      <c r="C245" s="3">
        <f t="shared" si="5"/>
        <v>3000</v>
      </c>
      <c r="D245" s="4">
        <f t="shared" si="4"/>
        <v>92.251545973709995</v>
      </c>
      <c r="E245" s="6"/>
      <c r="F245" s="20"/>
      <c r="G245" s="4"/>
      <c r="H245" s="6"/>
    </row>
    <row r="246" spans="1:8" x14ac:dyDescent="0.2">
      <c r="A246" s="31">
        <f>Winter!A249</f>
        <v>73</v>
      </c>
      <c r="B246" s="2">
        <v>241</v>
      </c>
      <c r="C246" s="3">
        <f t="shared" si="5"/>
        <v>3199.9999999999995</v>
      </c>
      <c r="D246" s="4">
        <f t="shared" si="4"/>
        <v>98.401649038623987</v>
      </c>
      <c r="E246" s="6"/>
      <c r="F246" s="20"/>
      <c r="G246" s="4"/>
      <c r="H246" s="6"/>
    </row>
    <row r="247" spans="1:8" x14ac:dyDescent="0.2">
      <c r="A247" s="31">
        <f>Winter!A250</f>
        <v>74</v>
      </c>
      <c r="B247" s="2">
        <v>242</v>
      </c>
      <c r="C247" s="3">
        <f t="shared" si="5"/>
        <v>3399.9999999999995</v>
      </c>
      <c r="D247" s="4">
        <f t="shared" si="4"/>
        <v>104.55175210353798</v>
      </c>
      <c r="E247" s="6"/>
      <c r="F247" s="20"/>
      <c r="G247" s="4"/>
      <c r="H247" s="6"/>
    </row>
    <row r="248" spans="1:8" x14ac:dyDescent="0.2">
      <c r="A248" s="31">
        <f>Winter!A251</f>
        <v>75</v>
      </c>
      <c r="B248" s="2">
        <v>243</v>
      </c>
      <c r="C248" s="3">
        <f t="shared" si="5"/>
        <v>3599.9999999999995</v>
      </c>
      <c r="D248" s="4">
        <f t="shared" si="4"/>
        <v>110.70185516845198</v>
      </c>
      <c r="E248" s="6"/>
      <c r="F248" s="20"/>
      <c r="G248" s="4"/>
      <c r="H248" s="6"/>
    </row>
    <row r="249" spans="1:8" x14ac:dyDescent="0.2">
      <c r="A249" s="31">
        <f>Winter!A252</f>
        <v>76</v>
      </c>
      <c r="B249" s="2">
        <v>244</v>
      </c>
      <c r="C249" s="3">
        <f t="shared" si="5"/>
        <v>3799.9999999999995</v>
      </c>
      <c r="D249" s="4">
        <f t="shared" si="4"/>
        <v>116.85195823336598</v>
      </c>
      <c r="E249" s="6"/>
      <c r="F249" s="20"/>
      <c r="G249" s="4"/>
      <c r="H249" s="6"/>
    </row>
    <row r="250" spans="1:8" x14ac:dyDescent="0.2">
      <c r="A250" s="31">
        <f>Winter!A253</f>
        <v>77</v>
      </c>
      <c r="B250" s="2">
        <v>245</v>
      </c>
      <c r="C250" s="3">
        <f t="shared" si="5"/>
        <v>3999.9999999999995</v>
      </c>
      <c r="D250" s="4">
        <f t="shared" si="4"/>
        <v>123.00206129827997</v>
      </c>
      <c r="E250" s="6"/>
      <c r="F250" s="20"/>
      <c r="G250" s="4"/>
      <c r="H250" s="6"/>
    </row>
    <row r="251" spans="1:8" x14ac:dyDescent="0.2">
      <c r="A251" s="31">
        <f>Winter!A254</f>
        <v>78</v>
      </c>
      <c r="B251" s="2">
        <v>246</v>
      </c>
      <c r="C251" s="3">
        <f t="shared" si="5"/>
        <v>4199.9999999999991</v>
      </c>
      <c r="D251" s="4">
        <f t="shared" si="4"/>
        <v>129.15216436319398</v>
      </c>
      <c r="E251" s="6"/>
      <c r="F251" s="20"/>
      <c r="G251" s="4"/>
      <c r="H251" s="6"/>
    </row>
    <row r="252" spans="1:8" x14ac:dyDescent="0.2">
      <c r="A252" s="31">
        <f>Winter!A255</f>
        <v>79</v>
      </c>
      <c r="B252" s="2">
        <v>247</v>
      </c>
      <c r="C252" s="3">
        <f t="shared" si="5"/>
        <v>4399.9999999999991</v>
      </c>
      <c r="D252" s="4">
        <f t="shared" si="4"/>
        <v>135.30226742810797</v>
      </c>
      <c r="E252" s="6"/>
      <c r="F252" s="20"/>
      <c r="G252" s="4"/>
      <c r="H252" s="6"/>
    </row>
    <row r="253" spans="1:8" x14ac:dyDescent="0.2">
      <c r="A253" s="31">
        <f>Winter!A256</f>
        <v>80</v>
      </c>
      <c r="B253" s="2">
        <v>248</v>
      </c>
      <c r="C253" s="3">
        <f t="shared" si="5"/>
        <v>4599.9999999999991</v>
      </c>
      <c r="D253" s="4">
        <f t="shared" si="4"/>
        <v>141.45237049302196</v>
      </c>
      <c r="E253" s="6"/>
      <c r="F253" s="20"/>
      <c r="G253" s="4"/>
      <c r="H253" s="6"/>
    </row>
    <row r="254" spans="1:8" x14ac:dyDescent="0.2">
      <c r="A254" s="31">
        <f>Winter!A257</f>
        <v>81</v>
      </c>
      <c r="B254" s="2">
        <v>249</v>
      </c>
      <c r="C254" s="3">
        <f t="shared" si="5"/>
        <v>4800</v>
      </c>
      <c r="D254" s="4">
        <f t="shared" si="4"/>
        <v>147.60247355793598</v>
      </c>
      <c r="E254" s="6"/>
      <c r="F254" s="20"/>
      <c r="G254" s="4"/>
      <c r="H254" s="6"/>
    </row>
    <row r="255" spans="1:8" x14ac:dyDescent="0.2">
      <c r="A255" s="31">
        <f>Winter!A258</f>
        <v>82</v>
      </c>
      <c r="B255" s="2">
        <v>250</v>
      </c>
      <c r="C255" s="3">
        <f t="shared" si="5"/>
        <v>4649.9999999999991</v>
      </c>
      <c r="D255" s="4">
        <f t="shared" si="4"/>
        <v>142.98989625925046</v>
      </c>
      <c r="E255" s="6"/>
      <c r="F255" s="20"/>
      <c r="G255" s="4"/>
      <c r="H255" s="6"/>
    </row>
    <row r="256" spans="1:8" x14ac:dyDescent="0.2">
      <c r="A256" s="31">
        <f>Winter!A259</f>
        <v>83</v>
      </c>
      <c r="B256" s="2">
        <v>251</v>
      </c>
      <c r="C256" s="3">
        <f t="shared" si="5"/>
        <v>5000</v>
      </c>
      <c r="D256" s="4">
        <f t="shared" si="4"/>
        <v>153.75257662285</v>
      </c>
      <c r="E256" s="6"/>
      <c r="F256" s="20"/>
      <c r="G256" s="4"/>
      <c r="H256" s="6"/>
    </row>
    <row r="257" spans="1:8" x14ac:dyDescent="0.2">
      <c r="A257" s="31">
        <f>Winter!A260</f>
        <v>84</v>
      </c>
      <c r="B257" s="2">
        <v>252</v>
      </c>
      <c r="C257" s="3">
        <f t="shared" si="5"/>
        <v>5350</v>
      </c>
      <c r="D257" s="4">
        <f t="shared" si="4"/>
        <v>164.51525698644949</v>
      </c>
      <c r="E257" s="6"/>
      <c r="F257" s="20"/>
      <c r="G257" s="4"/>
      <c r="H257" s="6"/>
    </row>
    <row r="258" spans="1:8" x14ac:dyDescent="0.2">
      <c r="A258" s="31">
        <f>Winter!A261</f>
        <v>85</v>
      </c>
      <c r="B258" s="2">
        <v>253</v>
      </c>
      <c r="C258" s="3">
        <f t="shared" si="5"/>
        <v>5699.9999999999991</v>
      </c>
      <c r="D258" s="4">
        <f t="shared" si="4"/>
        <v>175.27793735004897</v>
      </c>
      <c r="E258" s="6"/>
      <c r="F258" s="20"/>
      <c r="G258" s="4"/>
      <c r="H258" s="6"/>
    </row>
    <row r="259" spans="1:8" x14ac:dyDescent="0.2">
      <c r="A259" s="31">
        <f>Winter!A262</f>
        <v>86</v>
      </c>
      <c r="B259" s="2">
        <v>254</v>
      </c>
      <c r="C259" s="3">
        <f t="shared" si="5"/>
        <v>5287.5</v>
      </c>
      <c r="D259" s="4">
        <f t="shared" si="4"/>
        <v>162.59334977866388</v>
      </c>
      <c r="E259" s="6"/>
      <c r="F259" s="20"/>
      <c r="G259" s="4"/>
      <c r="H259" s="6"/>
    </row>
    <row r="260" spans="1:8" x14ac:dyDescent="0.2">
      <c r="A260" s="31">
        <f>Winter!A263</f>
        <v>87</v>
      </c>
      <c r="B260" s="2">
        <v>255</v>
      </c>
      <c r="C260" s="3">
        <f t="shared" si="5"/>
        <v>4875</v>
      </c>
      <c r="D260" s="4">
        <f t="shared" si="4"/>
        <v>149.90876220727873</v>
      </c>
      <c r="E260" s="6"/>
      <c r="F260" s="20"/>
      <c r="G260" s="4"/>
      <c r="H260" s="6"/>
    </row>
    <row r="261" spans="1:8" x14ac:dyDescent="0.2">
      <c r="A261" s="31">
        <f>Winter!A264</f>
        <v>88</v>
      </c>
      <c r="B261" s="2">
        <v>256</v>
      </c>
      <c r="C261" s="3">
        <f t="shared" si="5"/>
        <v>4462.4999999999991</v>
      </c>
      <c r="D261" s="4">
        <f t="shared" si="4"/>
        <v>137.2241746358936</v>
      </c>
      <c r="E261" s="6"/>
      <c r="F261" s="20"/>
      <c r="G261" s="4"/>
      <c r="H261" s="6"/>
    </row>
    <row r="262" spans="1:8" x14ac:dyDescent="0.2">
      <c r="A262" s="31">
        <f>Winter!A265</f>
        <v>89</v>
      </c>
      <c r="B262" s="2">
        <v>257</v>
      </c>
      <c r="C262" s="3">
        <f t="shared" si="5"/>
        <v>4050</v>
      </c>
      <c r="D262" s="4">
        <f t="shared" si="4"/>
        <v>124.5395870645085</v>
      </c>
      <c r="E262" s="6"/>
      <c r="F262" s="20"/>
      <c r="G262" s="4"/>
      <c r="H262" s="6"/>
    </row>
    <row r="263" spans="1:8" x14ac:dyDescent="0.2">
      <c r="A263" s="31">
        <f>Winter!A266</f>
        <v>90</v>
      </c>
      <c r="B263" s="2">
        <v>258</v>
      </c>
      <c r="C263" s="3">
        <f t="shared" si="5"/>
        <v>3637.5</v>
      </c>
      <c r="D263" s="4">
        <f t="shared" ref="D263:D326" si="6">$G$3*C263*(1/$G$5-1/$G$4)</f>
        <v>111.85499949312337</v>
      </c>
      <c r="E263" s="6"/>
      <c r="F263" s="20"/>
      <c r="G263" s="4"/>
      <c r="H263" s="6"/>
    </row>
    <row r="264" spans="1:8" x14ac:dyDescent="0.2">
      <c r="A264" s="31">
        <f>Winter!A267</f>
        <v>91</v>
      </c>
      <c r="B264" s="2">
        <v>259</v>
      </c>
      <c r="C264" s="3">
        <f t="shared" si="5"/>
        <v>3000</v>
      </c>
      <c r="D264" s="4">
        <f t="shared" si="6"/>
        <v>92.251545973709995</v>
      </c>
      <c r="E264" s="6"/>
      <c r="F264" s="20"/>
      <c r="G264" s="4"/>
      <c r="H264" s="6"/>
    </row>
    <row r="265" spans="1:8" x14ac:dyDescent="0.2">
      <c r="A265" s="31">
        <f>Winter!A268</f>
        <v>92</v>
      </c>
      <c r="B265" s="2">
        <v>260</v>
      </c>
      <c r="C265" s="3">
        <f t="shared" si="5"/>
        <v>2550</v>
      </c>
      <c r="D265" s="4">
        <f t="shared" si="6"/>
        <v>78.413814077653498</v>
      </c>
      <c r="E265" s="6"/>
      <c r="F265" s="20"/>
      <c r="G265" s="4"/>
      <c r="H265" s="6"/>
    </row>
    <row r="266" spans="1:8" x14ac:dyDescent="0.2">
      <c r="A266" s="31">
        <f>Winter!A269</f>
        <v>93</v>
      </c>
      <c r="B266" s="2">
        <v>261</v>
      </c>
      <c r="C266" s="3">
        <f t="shared" si="5"/>
        <v>2400</v>
      </c>
      <c r="D266" s="4">
        <f t="shared" si="6"/>
        <v>73.80123677896799</v>
      </c>
      <c r="E266" s="6"/>
      <c r="F266" s="20"/>
      <c r="G266" s="4"/>
      <c r="H266" s="6"/>
    </row>
    <row r="267" spans="1:8" x14ac:dyDescent="0.2">
      <c r="A267" s="31">
        <f>Winter!A270</f>
        <v>94</v>
      </c>
      <c r="B267" s="2">
        <v>262</v>
      </c>
      <c r="C267" s="3">
        <f t="shared" si="5"/>
        <v>2550</v>
      </c>
      <c r="D267" s="4">
        <f t="shared" si="6"/>
        <v>78.413814077653498</v>
      </c>
      <c r="E267" s="6"/>
      <c r="F267" s="20"/>
      <c r="G267" s="4"/>
      <c r="H267" s="6"/>
    </row>
    <row r="268" spans="1:8" x14ac:dyDescent="0.2">
      <c r="A268" s="31">
        <f>Winter!A271</f>
        <v>95</v>
      </c>
      <c r="B268" s="2">
        <v>263</v>
      </c>
      <c r="C268" s="3">
        <f t="shared" si="5"/>
        <v>2700</v>
      </c>
      <c r="D268" s="4">
        <f t="shared" si="6"/>
        <v>83.026391376338992</v>
      </c>
      <c r="E268" s="6"/>
      <c r="F268" s="20"/>
      <c r="G268" s="4"/>
      <c r="H268" s="6"/>
    </row>
    <row r="269" spans="1:8" x14ac:dyDescent="0.2">
      <c r="A269" s="31">
        <f>Winter!A272</f>
        <v>96</v>
      </c>
      <c r="B269" s="2">
        <v>264</v>
      </c>
      <c r="C269" s="3">
        <f t="shared" si="5"/>
        <v>2972.7272727272725</v>
      </c>
      <c r="D269" s="4">
        <f t="shared" si="6"/>
        <v>91.412895555767165</v>
      </c>
      <c r="E269" s="6"/>
      <c r="F269" s="20"/>
      <c r="G269" s="4"/>
      <c r="H269" s="6"/>
    </row>
    <row r="270" spans="1:8" x14ac:dyDescent="0.2">
      <c r="A270" s="31">
        <f>Winter!A273</f>
        <v>97</v>
      </c>
      <c r="B270" s="2">
        <v>265</v>
      </c>
      <c r="C270" s="3">
        <f t="shared" si="5"/>
        <v>3163.6363636363631</v>
      </c>
      <c r="D270" s="4">
        <f t="shared" si="6"/>
        <v>97.283448481366875</v>
      </c>
      <c r="E270" s="6"/>
      <c r="F270" s="20"/>
      <c r="G270" s="4"/>
      <c r="H270" s="6"/>
    </row>
    <row r="271" spans="1:8" x14ac:dyDescent="0.2">
      <c r="A271" s="31">
        <f>Winter!A274</f>
        <v>98</v>
      </c>
      <c r="B271" s="2">
        <v>266</v>
      </c>
      <c r="C271" s="3">
        <f t="shared" si="5"/>
        <v>3354.5454545454545</v>
      </c>
      <c r="D271" s="4">
        <f t="shared" si="6"/>
        <v>103.15400140696663</v>
      </c>
      <c r="E271" s="6"/>
      <c r="F271" s="20"/>
      <c r="G271" s="4"/>
      <c r="H271" s="6"/>
    </row>
    <row r="272" spans="1:8" x14ac:dyDescent="0.2">
      <c r="A272" s="31">
        <f>Winter!A275</f>
        <v>99</v>
      </c>
      <c r="B272" s="2">
        <v>267</v>
      </c>
      <c r="C272" s="3">
        <f t="shared" si="5"/>
        <v>3545.4545454545455</v>
      </c>
      <c r="D272" s="4">
        <f t="shared" si="6"/>
        <v>109.02455433256635</v>
      </c>
      <c r="E272" s="6"/>
      <c r="F272" s="20"/>
      <c r="G272" s="4"/>
      <c r="H272" s="6"/>
    </row>
    <row r="273" spans="1:8" x14ac:dyDescent="0.2">
      <c r="A273" s="31">
        <f>Winter!A276</f>
        <v>100</v>
      </c>
      <c r="B273" s="2">
        <v>268</v>
      </c>
      <c r="C273" s="3">
        <f t="shared" si="5"/>
        <v>3736.3636363636365</v>
      </c>
      <c r="D273" s="4">
        <f t="shared" si="6"/>
        <v>114.89510725816608</v>
      </c>
      <c r="E273" s="6"/>
      <c r="F273" s="20"/>
      <c r="G273" s="4"/>
      <c r="H273" s="6"/>
    </row>
    <row r="274" spans="1:8" x14ac:dyDescent="0.2">
      <c r="A274" s="31">
        <f>Winter!A277</f>
        <v>101</v>
      </c>
      <c r="B274" s="2">
        <v>269</v>
      </c>
      <c r="C274" s="3">
        <f t="shared" si="5"/>
        <v>3927.272727272727</v>
      </c>
      <c r="D274" s="4">
        <f t="shared" si="6"/>
        <v>120.76566018376582</v>
      </c>
      <c r="E274" s="6"/>
      <c r="F274" s="20"/>
      <c r="G274" s="4"/>
      <c r="H274" s="6"/>
    </row>
    <row r="275" spans="1:8" x14ac:dyDescent="0.2">
      <c r="A275" s="31">
        <f>Winter!A278</f>
        <v>102</v>
      </c>
      <c r="B275" s="2">
        <v>270</v>
      </c>
      <c r="C275" s="3">
        <f t="shared" si="5"/>
        <v>4118.181818181818</v>
      </c>
      <c r="D275" s="4">
        <f t="shared" si="6"/>
        <v>126.63621310936553</v>
      </c>
      <c r="E275" s="6"/>
      <c r="F275" s="20"/>
      <c r="G275" s="4"/>
      <c r="H275" s="6"/>
    </row>
    <row r="276" spans="1:8" x14ac:dyDescent="0.2">
      <c r="A276" s="31">
        <f>Winter!A279</f>
        <v>103</v>
      </c>
      <c r="B276" s="2">
        <v>271</v>
      </c>
      <c r="C276" s="3">
        <f t="shared" si="5"/>
        <v>4309.0909090909099</v>
      </c>
      <c r="D276" s="4">
        <f t="shared" si="6"/>
        <v>132.5067660349653</v>
      </c>
      <c r="E276" s="6"/>
      <c r="F276" s="20"/>
      <c r="G276" s="4"/>
      <c r="H276" s="6"/>
    </row>
    <row r="277" spans="1:8" x14ac:dyDescent="0.2">
      <c r="A277" s="31">
        <f>Winter!A280</f>
        <v>104</v>
      </c>
      <c r="B277" s="2">
        <v>272</v>
      </c>
      <c r="C277" s="3">
        <f t="shared" si="5"/>
        <v>4500</v>
      </c>
      <c r="D277" s="4">
        <f t="shared" si="6"/>
        <v>138.37731896056499</v>
      </c>
      <c r="E277" s="6"/>
      <c r="F277" s="20"/>
      <c r="G277" s="4"/>
      <c r="H277" s="6"/>
    </row>
    <row r="278" spans="1:8" x14ac:dyDescent="0.2">
      <c r="A278" s="31">
        <f>Winter!A281</f>
        <v>105</v>
      </c>
      <c r="B278" s="2">
        <v>273</v>
      </c>
      <c r="C278" s="3">
        <f t="shared" si="5"/>
        <v>4414.2857142857147</v>
      </c>
      <c r="D278" s="4">
        <f t="shared" si="6"/>
        <v>135.74156050417326</v>
      </c>
      <c r="E278" s="6"/>
      <c r="F278" s="20"/>
      <c r="G278" s="4"/>
      <c r="H278" s="6"/>
    </row>
    <row r="279" spans="1:8" x14ac:dyDescent="0.2">
      <c r="A279" s="31">
        <f>Winter!A282</f>
        <v>106</v>
      </c>
      <c r="B279" s="2">
        <v>274</v>
      </c>
      <c r="C279" s="3">
        <f t="shared" si="5"/>
        <v>4328.5714285714294</v>
      </c>
      <c r="D279" s="4">
        <f t="shared" si="6"/>
        <v>133.10580204778159</v>
      </c>
      <c r="E279" s="6"/>
      <c r="F279" s="20"/>
      <c r="G279" s="4"/>
      <c r="H279" s="6"/>
    </row>
    <row r="280" spans="1:8" x14ac:dyDescent="0.2">
      <c r="A280" s="31">
        <f>Winter!A283</f>
        <v>107</v>
      </c>
      <c r="B280" s="2">
        <v>275</v>
      </c>
      <c r="C280" s="3">
        <f t="shared" si="5"/>
        <v>4242.8571428571431</v>
      </c>
      <c r="D280" s="4">
        <f t="shared" si="6"/>
        <v>130.47004359138984</v>
      </c>
      <c r="E280" s="6"/>
      <c r="F280" s="20"/>
      <c r="G280" s="4"/>
      <c r="H280" s="6"/>
    </row>
    <row r="281" spans="1:8" x14ac:dyDescent="0.2">
      <c r="A281" s="31">
        <f>Winter!A284</f>
        <v>108</v>
      </c>
      <c r="B281" s="2">
        <v>276</v>
      </c>
      <c r="C281" s="3">
        <f t="shared" si="5"/>
        <v>4157.1428571428569</v>
      </c>
      <c r="D281" s="4">
        <f t="shared" si="6"/>
        <v>127.83428513499814</v>
      </c>
      <c r="E281" s="6"/>
      <c r="F281" s="20"/>
      <c r="G281" s="4"/>
      <c r="H281" s="6"/>
    </row>
    <row r="282" spans="1:8" x14ac:dyDescent="0.2">
      <c r="A282" s="31">
        <f>Winter!A285</f>
        <v>109</v>
      </c>
      <c r="B282" s="2">
        <v>277</v>
      </c>
      <c r="C282" s="3">
        <f t="shared" si="5"/>
        <v>4071.4285714285711</v>
      </c>
      <c r="D282" s="4">
        <f t="shared" si="6"/>
        <v>125.19852667860643</v>
      </c>
      <c r="E282" s="6"/>
      <c r="F282" s="20"/>
      <c r="G282" s="4"/>
      <c r="H282" s="6"/>
    </row>
    <row r="283" spans="1:8" x14ac:dyDescent="0.2">
      <c r="A283" s="31">
        <f>Winter!A286</f>
        <v>110</v>
      </c>
      <c r="B283" s="2">
        <v>278</v>
      </c>
      <c r="C283" s="3">
        <f t="shared" si="5"/>
        <v>3985.7142857142862</v>
      </c>
      <c r="D283" s="4">
        <f t="shared" si="6"/>
        <v>122.56276822221473</v>
      </c>
      <c r="E283" s="6"/>
      <c r="F283" s="20"/>
      <c r="G283" s="4"/>
      <c r="H283" s="6"/>
    </row>
    <row r="284" spans="1:8" x14ac:dyDescent="0.2">
      <c r="A284" s="31">
        <f>Winter!A287</f>
        <v>111</v>
      </c>
      <c r="B284" s="2">
        <v>279</v>
      </c>
      <c r="C284" s="3">
        <f t="shared" si="5"/>
        <v>3900</v>
      </c>
      <c r="D284" s="4">
        <f t="shared" si="6"/>
        <v>119.92700976582299</v>
      </c>
      <c r="E284" s="6"/>
      <c r="F284" s="20"/>
      <c r="G284" s="4"/>
      <c r="H284" s="6"/>
    </row>
    <row r="285" spans="1:8" x14ac:dyDescent="0.2">
      <c r="A285" s="31">
        <f>Winter!A288</f>
        <v>112</v>
      </c>
      <c r="B285" s="2">
        <v>280</v>
      </c>
      <c r="C285" s="3">
        <f t="shared" si="5"/>
        <v>4199.9999999999991</v>
      </c>
      <c r="D285" s="4">
        <f t="shared" si="6"/>
        <v>129.15216436319398</v>
      </c>
      <c r="E285" s="6"/>
      <c r="F285" s="20"/>
      <c r="G285" s="4"/>
      <c r="H285" s="6"/>
    </row>
    <row r="286" spans="1:8" x14ac:dyDescent="0.2">
      <c r="A286" s="31">
        <f>Winter!A289</f>
        <v>113</v>
      </c>
      <c r="B286" s="2">
        <v>281</v>
      </c>
      <c r="C286" s="3">
        <f t="shared" si="5"/>
        <v>3749.9999999999995</v>
      </c>
      <c r="D286" s="4">
        <f t="shared" si="6"/>
        <v>115.31443246713748</v>
      </c>
      <c r="E286" s="6"/>
      <c r="F286" s="20"/>
      <c r="G286" s="4"/>
      <c r="H286" s="6"/>
    </row>
    <row r="287" spans="1:8" x14ac:dyDescent="0.2">
      <c r="A287" s="31">
        <f>Winter!A290</f>
        <v>114</v>
      </c>
      <c r="B287" s="2">
        <v>282</v>
      </c>
      <c r="C287" s="3">
        <f t="shared" si="5"/>
        <v>3300</v>
      </c>
      <c r="D287" s="4">
        <f t="shared" si="6"/>
        <v>101.476700571081</v>
      </c>
      <c r="E287" s="6"/>
      <c r="F287" s="20"/>
      <c r="G287" s="4"/>
      <c r="H287" s="6"/>
    </row>
    <row r="288" spans="1:8" x14ac:dyDescent="0.2">
      <c r="A288" s="31">
        <f>Winter!A291</f>
        <v>115</v>
      </c>
      <c r="B288" s="2">
        <v>283</v>
      </c>
      <c r="C288" s="3">
        <f t="shared" si="5"/>
        <v>2850</v>
      </c>
      <c r="D288" s="4">
        <f t="shared" si="6"/>
        <v>87.6389686750245</v>
      </c>
      <c r="E288" s="6"/>
      <c r="F288" s="20"/>
      <c r="G288" s="4"/>
      <c r="H288" s="6"/>
    </row>
    <row r="289" spans="1:8" x14ac:dyDescent="0.2">
      <c r="A289" s="31">
        <f>Winter!A292</f>
        <v>116</v>
      </c>
      <c r="B289" s="2">
        <v>284</v>
      </c>
      <c r="C289" s="3">
        <f t="shared" si="5"/>
        <v>2400</v>
      </c>
      <c r="D289" s="4">
        <f t="shared" si="6"/>
        <v>73.80123677896799</v>
      </c>
      <c r="E289" s="6"/>
      <c r="F289" s="20"/>
      <c r="G289" s="4"/>
      <c r="H289" s="6"/>
    </row>
    <row r="290" spans="1:8" x14ac:dyDescent="0.2">
      <c r="A290" s="31">
        <f>Winter!A293</f>
        <v>117</v>
      </c>
      <c r="B290" s="2">
        <v>285</v>
      </c>
      <c r="C290" s="3">
        <f t="shared" si="5"/>
        <v>2400</v>
      </c>
      <c r="D290" s="4">
        <f t="shared" si="6"/>
        <v>73.80123677896799</v>
      </c>
      <c r="E290" s="6"/>
      <c r="F290" s="20"/>
      <c r="G290" s="4"/>
      <c r="H290" s="6"/>
    </row>
    <row r="291" spans="1:8" x14ac:dyDescent="0.2">
      <c r="A291" s="31">
        <f>Winter!A294</f>
        <v>118</v>
      </c>
      <c r="B291" s="2">
        <v>286</v>
      </c>
      <c r="C291" s="3">
        <f t="shared" si="5"/>
        <v>2571.4285714285716</v>
      </c>
      <c r="D291" s="4">
        <f t="shared" si="6"/>
        <v>79.07275369175143</v>
      </c>
      <c r="E291" s="6"/>
      <c r="F291" s="20"/>
      <c r="G291" s="4"/>
      <c r="H291" s="6"/>
    </row>
    <row r="292" spans="1:8" x14ac:dyDescent="0.2">
      <c r="A292" s="31">
        <f>Winter!A295</f>
        <v>119</v>
      </c>
      <c r="B292" s="2">
        <v>287</v>
      </c>
      <c r="C292" s="3">
        <f t="shared" si="5"/>
        <v>2742.8571428571427</v>
      </c>
      <c r="D292" s="4">
        <f t="shared" si="6"/>
        <v>84.344270604534856</v>
      </c>
      <c r="E292" s="6"/>
      <c r="F292" s="20"/>
      <c r="G292" s="4"/>
      <c r="H292" s="6"/>
    </row>
    <row r="293" spans="1:8" x14ac:dyDescent="0.2">
      <c r="A293" s="31">
        <f>Winter!A296</f>
        <v>120</v>
      </c>
      <c r="B293" s="2">
        <v>288</v>
      </c>
      <c r="C293" s="3">
        <f t="shared" si="5"/>
        <v>2914.2857142857147</v>
      </c>
      <c r="D293" s="4">
        <f t="shared" si="6"/>
        <v>89.615787517318296</v>
      </c>
      <c r="E293" s="6"/>
      <c r="F293" s="20"/>
      <c r="G293" s="4"/>
      <c r="H293" s="6"/>
    </row>
    <row r="294" spans="1:8" x14ac:dyDescent="0.2">
      <c r="A294" s="31">
        <f>Winter!A297</f>
        <v>121</v>
      </c>
      <c r="B294" s="2">
        <v>289</v>
      </c>
      <c r="C294" s="3">
        <f t="shared" si="5"/>
        <v>3085.7142857142858</v>
      </c>
      <c r="D294" s="4">
        <f t="shared" si="6"/>
        <v>94.887304430101707</v>
      </c>
      <c r="E294" s="6"/>
      <c r="F294" s="20"/>
      <c r="G294" s="4"/>
      <c r="H294" s="6"/>
    </row>
    <row r="295" spans="1:8" x14ac:dyDescent="0.2">
      <c r="A295" s="31">
        <f>Winter!A298</f>
        <v>122</v>
      </c>
      <c r="B295" s="2">
        <v>290</v>
      </c>
      <c r="C295" s="3">
        <f t="shared" si="5"/>
        <v>3257.1428571428573</v>
      </c>
      <c r="D295" s="4">
        <f t="shared" si="6"/>
        <v>100.15882134288513</v>
      </c>
      <c r="E295" s="6"/>
      <c r="F295" s="20"/>
      <c r="G295" s="4"/>
      <c r="H295" s="6"/>
    </row>
    <row r="296" spans="1:8" x14ac:dyDescent="0.2">
      <c r="A296" s="31">
        <f>Winter!A299</f>
        <v>123</v>
      </c>
      <c r="B296" s="2">
        <v>291</v>
      </c>
      <c r="C296" s="3">
        <f t="shared" si="5"/>
        <v>3428.5714285714289</v>
      </c>
      <c r="D296" s="4">
        <f t="shared" si="6"/>
        <v>105.43033825566857</v>
      </c>
      <c r="E296" s="6"/>
      <c r="F296" s="20"/>
      <c r="G296" s="4"/>
      <c r="H296" s="6"/>
    </row>
    <row r="297" spans="1:8" x14ac:dyDescent="0.2">
      <c r="A297" s="31">
        <f>Winter!A300</f>
        <v>124</v>
      </c>
      <c r="B297" s="2">
        <v>292</v>
      </c>
      <c r="C297" s="3">
        <f t="shared" si="5"/>
        <v>3600</v>
      </c>
      <c r="D297" s="4">
        <f t="shared" si="6"/>
        <v>110.701855168452</v>
      </c>
      <c r="E297" s="6"/>
      <c r="F297" s="20"/>
      <c r="G297" s="4"/>
      <c r="H297" s="6"/>
    </row>
    <row r="298" spans="1:8" x14ac:dyDescent="0.2">
      <c r="A298" s="31">
        <f>Winter!A301</f>
        <v>125</v>
      </c>
      <c r="B298" s="2">
        <v>293</v>
      </c>
      <c r="C298" s="3">
        <f t="shared" ref="C298:C341" si="7">C135</f>
        <v>3771.428571428572</v>
      </c>
      <c r="D298" s="4">
        <f t="shared" si="6"/>
        <v>115.97337208123544</v>
      </c>
      <c r="E298" s="6"/>
      <c r="F298" s="20"/>
      <c r="G298" s="4"/>
      <c r="H298" s="6"/>
    </row>
    <row r="299" spans="1:8" x14ac:dyDescent="0.2">
      <c r="A299" s="31">
        <f>Winter!A302</f>
        <v>126</v>
      </c>
      <c r="B299" s="2">
        <v>294</v>
      </c>
      <c r="C299" s="3">
        <f t="shared" si="7"/>
        <v>3942.8571428571436</v>
      </c>
      <c r="D299" s="4">
        <f t="shared" si="6"/>
        <v>121.24488899401888</v>
      </c>
      <c r="E299" s="6"/>
      <c r="F299" s="20"/>
      <c r="G299" s="4"/>
      <c r="H299" s="6"/>
    </row>
    <row r="300" spans="1:8" x14ac:dyDescent="0.2">
      <c r="A300" s="31">
        <f>Winter!A303</f>
        <v>127</v>
      </c>
      <c r="B300" s="2">
        <v>295</v>
      </c>
      <c r="C300" s="3">
        <f t="shared" si="7"/>
        <v>4114.2857142857147</v>
      </c>
      <c r="D300" s="4">
        <f t="shared" si="6"/>
        <v>126.51640590680228</v>
      </c>
      <c r="E300" s="6"/>
      <c r="F300" s="20"/>
      <c r="G300" s="4"/>
      <c r="H300" s="6"/>
    </row>
    <row r="301" spans="1:8" x14ac:dyDescent="0.2">
      <c r="A301" s="31">
        <f>Winter!A304</f>
        <v>128</v>
      </c>
      <c r="B301" s="2">
        <v>296</v>
      </c>
      <c r="C301" s="3">
        <f t="shared" si="7"/>
        <v>4199.9999999999991</v>
      </c>
      <c r="D301" s="4">
        <f t="shared" si="6"/>
        <v>129.15216436319398</v>
      </c>
      <c r="E301" s="6"/>
      <c r="F301" s="20"/>
      <c r="G301" s="4"/>
      <c r="H301" s="6"/>
    </row>
    <row r="302" spans="1:8" x14ac:dyDescent="0.2">
      <c r="A302" s="31">
        <f>Winter!A305</f>
        <v>129</v>
      </c>
      <c r="B302" s="2">
        <v>297</v>
      </c>
      <c r="C302" s="3">
        <f t="shared" si="7"/>
        <v>4199.9999999999991</v>
      </c>
      <c r="D302" s="4">
        <f t="shared" si="6"/>
        <v>129.15216436319398</v>
      </c>
      <c r="E302" s="6"/>
      <c r="F302" s="20"/>
      <c r="G302" s="4"/>
      <c r="H302" s="6"/>
    </row>
    <row r="303" spans="1:8" x14ac:dyDescent="0.2">
      <c r="A303" s="31">
        <f>Winter!A306</f>
        <v>130</v>
      </c>
      <c r="B303" s="2">
        <v>298</v>
      </c>
      <c r="C303" s="3">
        <f t="shared" si="7"/>
        <v>4628.5714285714294</v>
      </c>
      <c r="D303" s="4">
        <f t="shared" si="6"/>
        <v>142.33095664515258</v>
      </c>
      <c r="E303" s="6"/>
      <c r="F303" s="20"/>
      <c r="G303" s="4"/>
      <c r="H303" s="6"/>
    </row>
    <row r="304" spans="1:8" x14ac:dyDescent="0.2">
      <c r="A304" s="31">
        <f>Winter!A307</f>
        <v>131</v>
      </c>
      <c r="B304" s="2">
        <v>299</v>
      </c>
      <c r="C304" s="3">
        <f t="shared" si="7"/>
        <v>4800</v>
      </c>
      <c r="D304" s="4">
        <f t="shared" si="6"/>
        <v>147.60247355793598</v>
      </c>
      <c r="E304" s="6"/>
      <c r="F304" s="20"/>
      <c r="G304" s="4"/>
      <c r="H304" s="6"/>
    </row>
    <row r="305" spans="1:8" x14ac:dyDescent="0.2">
      <c r="A305" s="31">
        <f>Winter!A308</f>
        <v>132</v>
      </c>
      <c r="B305" s="2">
        <v>300</v>
      </c>
      <c r="C305" s="3">
        <f t="shared" si="7"/>
        <v>4560</v>
      </c>
      <c r="D305" s="4">
        <f t="shared" si="6"/>
        <v>140.22234988003919</v>
      </c>
      <c r="E305" s="6"/>
      <c r="F305" s="20"/>
      <c r="G305" s="4"/>
      <c r="H305" s="6"/>
    </row>
    <row r="306" spans="1:8" x14ac:dyDescent="0.2">
      <c r="A306" s="31">
        <f>Winter!A309</f>
        <v>133</v>
      </c>
      <c r="B306" s="2">
        <v>301</v>
      </c>
      <c r="C306" s="3">
        <f t="shared" si="7"/>
        <v>4320</v>
      </c>
      <c r="D306" s="4">
        <f t="shared" si="6"/>
        <v>132.8422262021424</v>
      </c>
      <c r="E306" s="6"/>
      <c r="F306" s="20"/>
      <c r="G306" s="4"/>
      <c r="H306" s="6"/>
    </row>
    <row r="307" spans="1:8" x14ac:dyDescent="0.2">
      <c r="A307" s="31">
        <f>Winter!A310</f>
        <v>134</v>
      </c>
      <c r="B307" s="2">
        <v>302</v>
      </c>
      <c r="C307" s="3">
        <f t="shared" si="7"/>
        <v>4199.9999999999991</v>
      </c>
      <c r="D307" s="4">
        <f t="shared" si="6"/>
        <v>129.15216436319398</v>
      </c>
      <c r="E307" s="6"/>
      <c r="F307" s="20"/>
      <c r="G307" s="4"/>
      <c r="H307" s="6"/>
    </row>
    <row r="308" spans="1:8" x14ac:dyDescent="0.2">
      <c r="A308" s="31">
        <f>Winter!A311</f>
        <v>135</v>
      </c>
      <c r="B308" s="2">
        <v>303</v>
      </c>
      <c r="C308" s="3">
        <f t="shared" si="7"/>
        <v>3839.9999999999995</v>
      </c>
      <c r="D308" s="4">
        <f t="shared" si="6"/>
        <v>118.08197884634878</v>
      </c>
      <c r="E308" s="6"/>
      <c r="F308" s="20"/>
      <c r="G308" s="4"/>
      <c r="H308" s="6"/>
    </row>
    <row r="309" spans="1:8" x14ac:dyDescent="0.2">
      <c r="A309" s="31">
        <f>Winter!A312</f>
        <v>136</v>
      </c>
      <c r="B309" s="2">
        <v>304</v>
      </c>
      <c r="C309" s="3">
        <f t="shared" si="7"/>
        <v>3599.9999999999986</v>
      </c>
      <c r="D309" s="4">
        <f t="shared" si="6"/>
        <v>110.70185516845196</v>
      </c>
      <c r="E309" s="6"/>
      <c r="F309" s="20"/>
      <c r="G309" s="4"/>
      <c r="H309" s="6"/>
    </row>
    <row r="310" spans="1:8" x14ac:dyDescent="0.2">
      <c r="A310" s="31">
        <f>Winter!A313</f>
        <v>137</v>
      </c>
      <c r="B310" s="2">
        <v>305</v>
      </c>
      <c r="C310" s="3">
        <f t="shared" si="7"/>
        <v>3359.9999999999995</v>
      </c>
      <c r="D310" s="4">
        <f t="shared" si="6"/>
        <v>103.32173149055518</v>
      </c>
      <c r="E310" s="6"/>
      <c r="F310" s="20"/>
      <c r="G310" s="4"/>
      <c r="H310" s="6"/>
    </row>
    <row r="311" spans="1:8" x14ac:dyDescent="0.2">
      <c r="A311" s="31">
        <f>Winter!A314</f>
        <v>138</v>
      </c>
      <c r="B311" s="2">
        <v>306</v>
      </c>
      <c r="C311" s="3">
        <f t="shared" si="7"/>
        <v>2700</v>
      </c>
      <c r="D311" s="4">
        <f t="shared" si="6"/>
        <v>83.026391376338992</v>
      </c>
      <c r="E311" s="6"/>
      <c r="F311" s="20"/>
      <c r="G311" s="4"/>
      <c r="H311" s="6"/>
    </row>
    <row r="312" spans="1:8" x14ac:dyDescent="0.2">
      <c r="A312" s="31">
        <f>Winter!A315</f>
        <v>139</v>
      </c>
      <c r="B312" s="2">
        <v>307</v>
      </c>
      <c r="C312" s="3">
        <f t="shared" si="7"/>
        <v>2550</v>
      </c>
      <c r="D312" s="4">
        <f t="shared" si="6"/>
        <v>78.413814077653498</v>
      </c>
      <c r="E312" s="6"/>
      <c r="F312" s="20"/>
      <c r="G312" s="4"/>
      <c r="H312" s="6"/>
    </row>
    <row r="313" spans="1:8" x14ac:dyDescent="0.2">
      <c r="A313" s="31">
        <f>Winter!A316</f>
        <v>140</v>
      </c>
      <c r="B313" s="2">
        <v>308</v>
      </c>
      <c r="C313" s="3">
        <f t="shared" si="7"/>
        <v>2400</v>
      </c>
      <c r="D313" s="4">
        <f t="shared" si="6"/>
        <v>73.80123677896799</v>
      </c>
      <c r="E313" s="6"/>
      <c r="F313" s="20"/>
      <c r="G313" s="4"/>
      <c r="H313" s="6"/>
    </row>
    <row r="314" spans="1:8" x14ac:dyDescent="0.2">
      <c r="A314" s="31">
        <f>Winter!A317</f>
        <v>141</v>
      </c>
      <c r="B314" s="2">
        <v>309</v>
      </c>
      <c r="C314" s="3">
        <f t="shared" si="7"/>
        <v>2400</v>
      </c>
      <c r="D314" s="4">
        <f t="shared" si="6"/>
        <v>73.80123677896799</v>
      </c>
      <c r="E314" s="6"/>
      <c r="F314" s="20"/>
      <c r="G314" s="4"/>
      <c r="H314" s="6"/>
    </row>
    <row r="315" spans="1:8" x14ac:dyDescent="0.2">
      <c r="A315" s="31">
        <f>Winter!A318</f>
        <v>142</v>
      </c>
      <c r="B315" s="2">
        <v>310</v>
      </c>
      <c r="C315" s="3">
        <f t="shared" si="7"/>
        <v>2550.0000000000005</v>
      </c>
      <c r="D315" s="4">
        <f t="shared" si="6"/>
        <v>78.413814077653512</v>
      </c>
      <c r="E315" s="6"/>
      <c r="F315" s="20"/>
      <c r="G315" s="4"/>
      <c r="H315" s="6"/>
    </row>
    <row r="316" spans="1:8" x14ac:dyDescent="0.2">
      <c r="A316" s="31">
        <f>Winter!A319</f>
        <v>143</v>
      </c>
      <c r="B316" s="2">
        <v>311</v>
      </c>
      <c r="C316" s="3">
        <f t="shared" si="7"/>
        <v>2700</v>
      </c>
      <c r="D316" s="4">
        <f t="shared" si="6"/>
        <v>83.026391376338992</v>
      </c>
      <c r="E316" s="6"/>
      <c r="F316" s="20"/>
      <c r="G316" s="4"/>
      <c r="H316" s="6"/>
    </row>
    <row r="317" spans="1:8" x14ac:dyDescent="0.2">
      <c r="A317" s="31">
        <f>Winter!A320</f>
        <v>144</v>
      </c>
      <c r="B317" s="2">
        <v>312</v>
      </c>
      <c r="C317" s="3">
        <f t="shared" si="7"/>
        <v>2850</v>
      </c>
      <c r="D317" s="4">
        <f t="shared" si="6"/>
        <v>87.6389686750245</v>
      </c>
      <c r="E317" s="6"/>
      <c r="F317" s="20"/>
      <c r="G317" s="4"/>
      <c r="H317" s="6"/>
    </row>
    <row r="318" spans="1:8" x14ac:dyDescent="0.2">
      <c r="A318" s="31">
        <f>Winter!A321</f>
        <v>145</v>
      </c>
      <c r="B318" s="2">
        <v>313</v>
      </c>
      <c r="C318" s="3">
        <f t="shared" si="7"/>
        <v>3000</v>
      </c>
      <c r="D318" s="4">
        <f t="shared" si="6"/>
        <v>92.251545973709995</v>
      </c>
      <c r="E318" s="6"/>
      <c r="F318" s="20"/>
      <c r="G318" s="4"/>
      <c r="H318" s="6"/>
    </row>
    <row r="319" spans="1:8" x14ac:dyDescent="0.2">
      <c r="A319" s="31">
        <f>Winter!A322</f>
        <v>146</v>
      </c>
      <c r="B319" s="2">
        <v>314</v>
      </c>
      <c r="C319" s="3">
        <f t="shared" si="7"/>
        <v>3150</v>
      </c>
      <c r="D319" s="4">
        <f t="shared" si="6"/>
        <v>96.864123272395489</v>
      </c>
      <c r="E319" s="6"/>
      <c r="F319" s="20"/>
      <c r="G319" s="4"/>
      <c r="H319" s="6"/>
    </row>
    <row r="320" spans="1:8" x14ac:dyDescent="0.2">
      <c r="A320" s="31">
        <f>Winter!A323</f>
        <v>147</v>
      </c>
      <c r="B320" s="2">
        <v>315</v>
      </c>
      <c r="C320" s="3">
        <f t="shared" si="7"/>
        <v>3300</v>
      </c>
      <c r="D320" s="4">
        <f t="shared" si="6"/>
        <v>101.476700571081</v>
      </c>
      <c r="E320" s="6"/>
      <c r="F320" s="20"/>
      <c r="G320" s="4"/>
      <c r="H320" s="6"/>
    </row>
    <row r="321" spans="1:8" x14ac:dyDescent="0.2">
      <c r="A321" s="31">
        <f>Winter!A324</f>
        <v>148</v>
      </c>
      <c r="B321" s="2">
        <v>316</v>
      </c>
      <c r="C321" s="3">
        <f t="shared" si="7"/>
        <v>3450</v>
      </c>
      <c r="D321" s="4">
        <f t="shared" si="6"/>
        <v>106.08927786976649</v>
      </c>
      <c r="E321" s="6"/>
      <c r="F321" s="20"/>
      <c r="G321" s="4"/>
      <c r="H321" s="6"/>
    </row>
    <row r="322" spans="1:8" x14ac:dyDescent="0.2">
      <c r="A322" s="31">
        <f>Winter!A325</f>
        <v>149</v>
      </c>
      <c r="B322" s="2">
        <v>317</v>
      </c>
      <c r="C322" s="3">
        <f t="shared" si="7"/>
        <v>3600</v>
      </c>
      <c r="D322" s="4">
        <f t="shared" si="6"/>
        <v>110.701855168452</v>
      </c>
      <c r="E322" s="6"/>
      <c r="F322" s="20"/>
      <c r="G322" s="4"/>
      <c r="H322" s="6"/>
    </row>
    <row r="323" spans="1:8" x14ac:dyDescent="0.2">
      <c r="A323" s="31">
        <f>Winter!A326</f>
        <v>150</v>
      </c>
      <c r="B323" s="2">
        <v>318</v>
      </c>
      <c r="C323" s="3">
        <f t="shared" si="7"/>
        <v>3750.0000000000005</v>
      </c>
      <c r="D323" s="4">
        <f t="shared" si="6"/>
        <v>115.31443246713751</v>
      </c>
      <c r="E323" s="6"/>
      <c r="F323" s="20"/>
      <c r="G323" s="4"/>
      <c r="H323" s="6"/>
    </row>
    <row r="324" spans="1:8" x14ac:dyDescent="0.2">
      <c r="A324" s="31">
        <f>Winter!A327</f>
        <v>151</v>
      </c>
      <c r="B324" s="2">
        <v>319</v>
      </c>
      <c r="C324" s="3">
        <f t="shared" si="7"/>
        <v>3900.0000000000009</v>
      </c>
      <c r="D324" s="4">
        <f t="shared" si="6"/>
        <v>119.92700976582302</v>
      </c>
      <c r="E324" s="6"/>
      <c r="F324" s="20"/>
      <c r="G324" s="4"/>
      <c r="H324" s="6"/>
    </row>
    <row r="325" spans="1:8" x14ac:dyDescent="0.2">
      <c r="A325" s="31">
        <f>Winter!A328</f>
        <v>152</v>
      </c>
      <c r="B325" s="2">
        <v>320</v>
      </c>
      <c r="C325" s="3">
        <f t="shared" si="7"/>
        <v>4050.0000000000009</v>
      </c>
      <c r="D325" s="4">
        <f t="shared" si="6"/>
        <v>124.53958706450852</v>
      </c>
      <c r="E325" s="6"/>
      <c r="F325" s="20"/>
      <c r="G325" s="4"/>
      <c r="H325" s="6"/>
    </row>
    <row r="326" spans="1:8" x14ac:dyDescent="0.2">
      <c r="A326" s="31">
        <f>Winter!A329</f>
        <v>153</v>
      </c>
      <c r="B326" s="2">
        <v>321</v>
      </c>
      <c r="C326" s="3">
        <f t="shared" si="7"/>
        <v>4200.0000000000009</v>
      </c>
      <c r="D326" s="4">
        <f t="shared" si="6"/>
        <v>129.152164363194</v>
      </c>
      <c r="E326" s="6"/>
      <c r="F326" s="20"/>
      <c r="G326" s="4"/>
      <c r="H326" s="6"/>
    </row>
    <row r="327" spans="1:8" x14ac:dyDescent="0.2">
      <c r="A327" s="31">
        <f>Winter!A330</f>
        <v>154</v>
      </c>
      <c r="B327" s="2">
        <v>322</v>
      </c>
      <c r="C327" s="3">
        <f t="shared" si="7"/>
        <v>4050</v>
      </c>
      <c r="D327" s="4">
        <f t="shared" ref="D327:D390" si="8">$G$3*C327*(1/$G$5-1/$G$4)</f>
        <v>124.5395870645085</v>
      </c>
      <c r="E327" s="6"/>
      <c r="F327" s="20"/>
      <c r="G327" s="4"/>
      <c r="H327" s="6"/>
    </row>
    <row r="328" spans="1:8" x14ac:dyDescent="0.2">
      <c r="A328" s="31">
        <f>Winter!A331</f>
        <v>155</v>
      </c>
      <c r="B328" s="2">
        <v>323</v>
      </c>
      <c r="C328" s="3">
        <f t="shared" si="7"/>
        <v>4199.9999999999991</v>
      </c>
      <c r="D328" s="4">
        <f t="shared" si="8"/>
        <v>129.15216436319398</v>
      </c>
      <c r="E328" s="6"/>
      <c r="F328" s="20"/>
      <c r="G328" s="4"/>
      <c r="H328" s="6"/>
    </row>
    <row r="329" spans="1:8" x14ac:dyDescent="0.2">
      <c r="A329" s="31">
        <f>Winter!A332</f>
        <v>156</v>
      </c>
      <c r="B329" s="2">
        <v>324</v>
      </c>
      <c r="C329" s="3">
        <f t="shared" si="7"/>
        <v>4800</v>
      </c>
      <c r="D329" s="4">
        <f t="shared" si="8"/>
        <v>147.60247355793598</v>
      </c>
      <c r="E329" s="6"/>
      <c r="F329" s="20"/>
      <c r="G329" s="4"/>
      <c r="H329" s="6"/>
    </row>
    <row r="330" spans="1:8" x14ac:dyDescent="0.2">
      <c r="A330" s="31">
        <f>Winter!A333</f>
        <v>157</v>
      </c>
      <c r="B330" s="2">
        <v>325</v>
      </c>
      <c r="C330" s="3">
        <f t="shared" si="7"/>
        <v>4649.9999999999991</v>
      </c>
      <c r="D330" s="4">
        <f t="shared" si="8"/>
        <v>142.98989625925046</v>
      </c>
      <c r="E330" s="6"/>
      <c r="F330" s="20"/>
      <c r="G330" s="4"/>
      <c r="H330" s="6"/>
    </row>
    <row r="331" spans="1:8" x14ac:dyDescent="0.2">
      <c r="A331" s="31">
        <f>Winter!A334</f>
        <v>158</v>
      </c>
      <c r="B331" s="2">
        <v>326</v>
      </c>
      <c r="C331" s="3">
        <f t="shared" si="7"/>
        <v>4949.9999999999991</v>
      </c>
      <c r="D331" s="4">
        <f t="shared" si="8"/>
        <v>152.21505085662147</v>
      </c>
      <c r="E331" s="6"/>
      <c r="F331" s="20"/>
      <c r="G331" s="4"/>
      <c r="H331" s="6"/>
    </row>
    <row r="332" spans="1:8" x14ac:dyDescent="0.2">
      <c r="A332" s="31">
        <f>Winter!A335</f>
        <v>159</v>
      </c>
      <c r="B332" s="2">
        <v>327</v>
      </c>
      <c r="C332" s="3">
        <f t="shared" si="7"/>
        <v>4620</v>
      </c>
      <c r="D332" s="4">
        <f t="shared" si="8"/>
        <v>142.06738079951339</v>
      </c>
      <c r="E332" s="6"/>
      <c r="F332" s="20"/>
      <c r="G332" s="4"/>
      <c r="H332" s="6"/>
    </row>
    <row r="333" spans="1:8" x14ac:dyDescent="0.2">
      <c r="A333" s="31">
        <f>Winter!A336</f>
        <v>160</v>
      </c>
      <c r="B333" s="2">
        <v>328</v>
      </c>
      <c r="C333" s="3">
        <f t="shared" si="7"/>
        <v>4290</v>
      </c>
      <c r="D333" s="4">
        <f t="shared" si="8"/>
        <v>131.9197107424053</v>
      </c>
      <c r="E333" s="6"/>
      <c r="F333" s="20"/>
      <c r="G333" s="4"/>
      <c r="H333" s="6"/>
    </row>
    <row r="334" spans="1:8" x14ac:dyDescent="0.2">
      <c r="A334" s="31">
        <f>Winter!A337</f>
        <v>161</v>
      </c>
      <c r="B334" s="2">
        <v>329</v>
      </c>
      <c r="C334" s="3">
        <f t="shared" si="7"/>
        <v>3959.9999999999995</v>
      </c>
      <c r="D334" s="4">
        <f t="shared" si="8"/>
        <v>121.77204068529717</v>
      </c>
      <c r="E334" s="6"/>
      <c r="F334" s="20"/>
      <c r="G334" s="4"/>
      <c r="H334" s="6"/>
    </row>
    <row r="335" spans="1:8" x14ac:dyDescent="0.2">
      <c r="A335" s="31">
        <f>Winter!A338</f>
        <v>162</v>
      </c>
      <c r="B335" s="2">
        <v>330</v>
      </c>
      <c r="C335" s="3">
        <f t="shared" si="7"/>
        <v>3630</v>
      </c>
      <c r="D335" s="4">
        <f t="shared" si="8"/>
        <v>111.6243706281891</v>
      </c>
      <c r="E335" s="6"/>
      <c r="F335" s="20"/>
      <c r="G335" s="4"/>
      <c r="H335" s="6"/>
    </row>
    <row r="336" spans="1:8" x14ac:dyDescent="0.2">
      <c r="A336" s="31">
        <f>Winter!A339</f>
        <v>163</v>
      </c>
      <c r="B336" s="2">
        <v>331</v>
      </c>
      <c r="C336" s="3">
        <f t="shared" si="7"/>
        <v>3300</v>
      </c>
      <c r="D336" s="4">
        <f t="shared" si="8"/>
        <v>101.476700571081</v>
      </c>
      <c r="E336" s="6"/>
      <c r="F336" s="20"/>
      <c r="G336" s="4"/>
      <c r="H336" s="6"/>
    </row>
    <row r="337" spans="1:8" x14ac:dyDescent="0.2">
      <c r="A337" s="31">
        <f>Winter!A340</f>
        <v>164</v>
      </c>
      <c r="B337" s="2">
        <v>332</v>
      </c>
      <c r="C337" s="3">
        <f t="shared" si="7"/>
        <v>3299.9999999999995</v>
      </c>
      <c r="D337" s="4">
        <f t="shared" si="8"/>
        <v>101.47670057108098</v>
      </c>
      <c r="E337" s="6"/>
      <c r="F337" s="20"/>
      <c r="G337" s="4"/>
      <c r="H337" s="6"/>
    </row>
    <row r="338" spans="1:8" x14ac:dyDescent="0.2">
      <c r="A338" s="31">
        <f>Winter!A341</f>
        <v>165</v>
      </c>
      <c r="B338" s="2">
        <v>333</v>
      </c>
      <c r="C338" s="3">
        <f t="shared" si="7"/>
        <v>3524.9999999999991</v>
      </c>
      <c r="D338" s="4">
        <f t="shared" si="8"/>
        <v>108.39556651910922</v>
      </c>
      <c r="E338" s="6"/>
      <c r="F338" s="20"/>
      <c r="G338" s="4"/>
      <c r="H338" s="6"/>
    </row>
    <row r="339" spans="1:8" x14ac:dyDescent="0.2">
      <c r="A339" s="31">
        <f>Winter!A342</f>
        <v>166</v>
      </c>
      <c r="B339" s="2">
        <v>334</v>
      </c>
      <c r="C339" s="3">
        <f t="shared" si="7"/>
        <v>3749.9999999999986</v>
      </c>
      <c r="D339" s="4">
        <f t="shared" si="8"/>
        <v>115.31443246713745</v>
      </c>
      <c r="E339" s="6"/>
      <c r="F339" s="20"/>
      <c r="G339" s="4"/>
      <c r="H339" s="6"/>
    </row>
    <row r="340" spans="1:8" x14ac:dyDescent="0.2">
      <c r="A340" s="31">
        <f>Winter!A343</f>
        <v>167</v>
      </c>
      <c r="B340" s="2">
        <v>335</v>
      </c>
      <c r="C340" s="3">
        <f t="shared" si="7"/>
        <v>3974.9999999999986</v>
      </c>
      <c r="D340" s="4">
        <f t="shared" si="8"/>
        <v>122.23329841516569</v>
      </c>
      <c r="E340" s="6"/>
      <c r="F340" s="20"/>
      <c r="G340" s="4"/>
      <c r="H340" s="6"/>
    </row>
    <row r="341" spans="1:8" x14ac:dyDescent="0.2">
      <c r="A341" s="31">
        <f>Winter!A344</f>
        <v>168</v>
      </c>
      <c r="B341" s="2">
        <v>336</v>
      </c>
      <c r="C341" s="3">
        <f t="shared" si="7"/>
        <v>4199.9999999999982</v>
      </c>
      <c r="D341" s="4">
        <f t="shared" si="8"/>
        <v>129.15216436319395</v>
      </c>
      <c r="E341" s="6"/>
      <c r="F341" s="20"/>
      <c r="G341" s="4"/>
      <c r="H341" s="6"/>
    </row>
    <row r="342" spans="1:8" x14ac:dyDescent="0.2">
      <c r="A342" s="31">
        <f>Winter!A345</f>
        <v>1</v>
      </c>
      <c r="B342" s="2">
        <v>337</v>
      </c>
      <c r="C342" s="3">
        <f>C6</f>
        <v>2550</v>
      </c>
      <c r="D342" s="4">
        <f t="shared" si="8"/>
        <v>78.413814077653498</v>
      </c>
      <c r="E342" s="6"/>
      <c r="F342" s="20"/>
      <c r="G342" s="4"/>
      <c r="H342" s="6"/>
    </row>
    <row r="343" spans="1:8" x14ac:dyDescent="0.2">
      <c r="A343" s="31">
        <f>Winter!A346</f>
        <v>2</v>
      </c>
      <c r="B343" s="2">
        <v>338</v>
      </c>
      <c r="C343" s="3">
        <f t="shared" ref="C343:C406" si="9">C7</f>
        <v>2400</v>
      </c>
      <c r="D343" s="4">
        <f t="shared" si="8"/>
        <v>73.80123677896799</v>
      </c>
      <c r="E343" s="6"/>
      <c r="F343" s="20"/>
      <c r="G343" s="4"/>
      <c r="H343" s="6"/>
    </row>
    <row r="344" spans="1:8" x14ac:dyDescent="0.2">
      <c r="A344" s="31">
        <f>Winter!A347</f>
        <v>3</v>
      </c>
      <c r="B344" s="2">
        <v>339</v>
      </c>
      <c r="C344" s="3">
        <f t="shared" si="9"/>
        <v>2550</v>
      </c>
      <c r="D344" s="4">
        <f t="shared" si="8"/>
        <v>78.413814077653498</v>
      </c>
      <c r="E344" s="6"/>
      <c r="F344" s="20"/>
      <c r="G344" s="4"/>
      <c r="H344" s="6"/>
    </row>
    <row r="345" spans="1:8" x14ac:dyDescent="0.2">
      <c r="A345" s="31">
        <f>Winter!A348</f>
        <v>4</v>
      </c>
      <c r="B345" s="2">
        <v>340</v>
      </c>
      <c r="C345" s="3">
        <f t="shared" si="9"/>
        <v>2700</v>
      </c>
      <c r="D345" s="4">
        <f t="shared" si="8"/>
        <v>83.026391376338992</v>
      </c>
      <c r="E345" s="6"/>
      <c r="F345" s="20"/>
      <c r="G345" s="4"/>
      <c r="H345" s="6"/>
    </row>
    <row r="346" spans="1:8" x14ac:dyDescent="0.2">
      <c r="A346" s="31">
        <f>Winter!A349</f>
        <v>5</v>
      </c>
      <c r="B346" s="2">
        <v>341</v>
      </c>
      <c r="C346" s="3">
        <f t="shared" si="9"/>
        <v>3074.9999999999995</v>
      </c>
      <c r="D346" s="4">
        <f t="shared" si="8"/>
        <v>94.557834623052727</v>
      </c>
      <c r="E346" s="6"/>
      <c r="F346" s="20"/>
      <c r="G346" s="4"/>
      <c r="H346" s="6"/>
    </row>
    <row r="347" spans="1:8" x14ac:dyDescent="0.2">
      <c r="A347" s="31">
        <f>Winter!A350</f>
        <v>6</v>
      </c>
      <c r="B347" s="2">
        <v>342</v>
      </c>
      <c r="C347" s="3">
        <f t="shared" si="9"/>
        <v>3299.9999999999995</v>
      </c>
      <c r="D347" s="4">
        <f t="shared" si="8"/>
        <v>101.47670057108098</v>
      </c>
      <c r="E347" s="6"/>
      <c r="F347" s="20"/>
      <c r="G347" s="4"/>
      <c r="H347" s="6"/>
    </row>
    <row r="348" spans="1:8" x14ac:dyDescent="0.2">
      <c r="A348" s="31">
        <f>Winter!A351</f>
        <v>7</v>
      </c>
      <c r="B348" s="2">
        <v>343</v>
      </c>
      <c r="C348" s="3">
        <f t="shared" si="9"/>
        <v>3524.9999999999991</v>
      </c>
      <c r="D348" s="4">
        <f t="shared" si="8"/>
        <v>108.39556651910922</v>
      </c>
      <c r="E348" s="6"/>
      <c r="F348" s="20"/>
      <c r="G348" s="4"/>
      <c r="H348" s="6"/>
    </row>
    <row r="349" spans="1:8" x14ac:dyDescent="0.2">
      <c r="A349" s="31">
        <f>Winter!A352</f>
        <v>8</v>
      </c>
      <c r="B349" s="2">
        <v>344</v>
      </c>
      <c r="C349" s="3">
        <f t="shared" si="9"/>
        <v>3749.9999999999986</v>
      </c>
      <c r="D349" s="4">
        <f t="shared" si="8"/>
        <v>115.31443246713745</v>
      </c>
      <c r="E349" s="6"/>
      <c r="F349" s="20"/>
      <c r="G349" s="4"/>
      <c r="H349" s="6"/>
    </row>
    <row r="350" spans="1:8" x14ac:dyDescent="0.2">
      <c r="A350" s="31">
        <f>Winter!A353</f>
        <v>9</v>
      </c>
      <c r="B350" s="2">
        <v>345</v>
      </c>
      <c r="C350" s="3">
        <f t="shared" si="9"/>
        <v>3974.9999999999986</v>
      </c>
      <c r="D350" s="4">
        <f t="shared" si="8"/>
        <v>122.23329841516569</v>
      </c>
      <c r="E350" s="6"/>
      <c r="F350" s="20"/>
      <c r="G350" s="4"/>
      <c r="H350" s="6"/>
    </row>
    <row r="351" spans="1:8" x14ac:dyDescent="0.2">
      <c r="A351" s="31">
        <f>Winter!A354</f>
        <v>10</v>
      </c>
      <c r="B351" s="2">
        <v>346</v>
      </c>
      <c r="C351" s="3">
        <f t="shared" si="9"/>
        <v>4199.9999999999982</v>
      </c>
      <c r="D351" s="4">
        <f t="shared" si="8"/>
        <v>129.15216436319395</v>
      </c>
      <c r="E351" s="6"/>
      <c r="F351" s="20"/>
      <c r="G351" s="4"/>
      <c r="H351" s="6"/>
    </row>
    <row r="352" spans="1:8" x14ac:dyDescent="0.2">
      <c r="A352" s="31">
        <f>Winter!A355</f>
        <v>11</v>
      </c>
      <c r="B352" s="2">
        <v>347</v>
      </c>
      <c r="C352" s="3">
        <f t="shared" si="9"/>
        <v>4424.9999999999991</v>
      </c>
      <c r="D352" s="4">
        <f t="shared" si="8"/>
        <v>136.07103031122222</v>
      </c>
      <c r="E352" s="6"/>
      <c r="F352" s="20"/>
      <c r="G352" s="4"/>
      <c r="H352" s="6"/>
    </row>
    <row r="353" spans="1:8" x14ac:dyDescent="0.2">
      <c r="A353" s="31">
        <f>Winter!A356</f>
        <v>12</v>
      </c>
      <c r="B353" s="2">
        <v>348</v>
      </c>
      <c r="C353" s="3">
        <f t="shared" si="9"/>
        <v>4649.9999999999982</v>
      </c>
      <c r="D353" s="4">
        <f t="shared" si="8"/>
        <v>142.98989625925043</v>
      </c>
      <c r="E353" s="6"/>
      <c r="F353" s="20"/>
      <c r="G353" s="4"/>
      <c r="H353" s="6"/>
    </row>
    <row r="354" spans="1:8" x14ac:dyDescent="0.2">
      <c r="A354" s="31">
        <f>Winter!A357</f>
        <v>13</v>
      </c>
      <c r="B354" s="2">
        <v>349</v>
      </c>
      <c r="C354" s="3">
        <f t="shared" si="9"/>
        <v>4875</v>
      </c>
      <c r="D354" s="4">
        <f t="shared" si="8"/>
        <v>149.90876220727873</v>
      </c>
      <c r="E354" s="6"/>
      <c r="F354" s="20"/>
      <c r="G354" s="4"/>
      <c r="H354" s="6"/>
    </row>
    <row r="355" spans="1:8" x14ac:dyDescent="0.2">
      <c r="A355" s="31">
        <f>Winter!A358</f>
        <v>14</v>
      </c>
      <c r="B355" s="2">
        <v>350</v>
      </c>
      <c r="C355" s="3">
        <f t="shared" si="9"/>
        <v>5100</v>
      </c>
      <c r="D355" s="4">
        <f t="shared" si="8"/>
        <v>156.827628155307</v>
      </c>
      <c r="E355" s="6"/>
      <c r="F355" s="20"/>
      <c r="G355" s="4"/>
      <c r="H355" s="6"/>
    </row>
    <row r="356" spans="1:8" x14ac:dyDescent="0.2">
      <c r="A356" s="31">
        <f>Winter!A359</f>
        <v>15</v>
      </c>
      <c r="B356" s="2">
        <v>351</v>
      </c>
      <c r="C356" s="3">
        <f t="shared" si="9"/>
        <v>4949.9999999999991</v>
      </c>
      <c r="D356" s="4">
        <f t="shared" si="8"/>
        <v>152.21505085662147</v>
      </c>
      <c r="E356" s="6"/>
      <c r="F356" s="20"/>
      <c r="G356" s="4"/>
      <c r="H356" s="6"/>
    </row>
    <row r="357" spans="1:8" x14ac:dyDescent="0.2">
      <c r="A357" s="31">
        <f>Winter!A360</f>
        <v>16</v>
      </c>
      <c r="B357" s="2">
        <v>352</v>
      </c>
      <c r="C357" s="3">
        <f t="shared" si="9"/>
        <v>5149.9999999999991</v>
      </c>
      <c r="D357" s="4">
        <f t="shared" si="8"/>
        <v>158.36515392153547</v>
      </c>
      <c r="E357" s="6"/>
      <c r="F357" s="20"/>
      <c r="G357" s="4"/>
      <c r="H357" s="6"/>
    </row>
    <row r="358" spans="1:8" x14ac:dyDescent="0.2">
      <c r="A358" s="31">
        <f>Winter!A361</f>
        <v>17</v>
      </c>
      <c r="B358" s="2">
        <v>353</v>
      </c>
      <c r="C358" s="3">
        <f t="shared" si="9"/>
        <v>5850</v>
      </c>
      <c r="D358" s="4">
        <f t="shared" si="8"/>
        <v>179.8905146487345</v>
      </c>
      <c r="E358" s="6"/>
      <c r="F358" s="20"/>
      <c r="G358" s="4"/>
      <c r="H358" s="6"/>
    </row>
    <row r="359" spans="1:8" x14ac:dyDescent="0.2">
      <c r="A359" s="31">
        <f>Winter!A362</f>
        <v>18</v>
      </c>
      <c r="B359" s="2">
        <v>354</v>
      </c>
      <c r="C359" s="3">
        <f t="shared" si="9"/>
        <v>5699.9999999999991</v>
      </c>
      <c r="D359" s="4">
        <f t="shared" si="8"/>
        <v>175.27793735004897</v>
      </c>
      <c r="E359" s="6"/>
      <c r="F359" s="20"/>
      <c r="G359" s="4"/>
      <c r="H359" s="6"/>
    </row>
    <row r="360" spans="1:8" x14ac:dyDescent="0.2">
      <c r="A360" s="31">
        <f>Winter!A363</f>
        <v>19</v>
      </c>
      <c r="B360" s="2">
        <v>355</v>
      </c>
      <c r="C360" s="3">
        <f t="shared" si="9"/>
        <v>6000</v>
      </c>
      <c r="D360" s="4">
        <f t="shared" si="8"/>
        <v>184.50309194741999</v>
      </c>
      <c r="E360" s="6"/>
      <c r="F360" s="20"/>
      <c r="G360" s="4"/>
      <c r="H360" s="6"/>
    </row>
    <row r="361" spans="1:8" x14ac:dyDescent="0.2">
      <c r="A361" s="31">
        <f>Winter!A364</f>
        <v>20</v>
      </c>
      <c r="B361" s="2">
        <v>356</v>
      </c>
      <c r="C361" s="3">
        <f t="shared" si="9"/>
        <v>5699.9999999999991</v>
      </c>
      <c r="D361" s="4">
        <f t="shared" si="8"/>
        <v>175.27793735004897</v>
      </c>
      <c r="E361" s="6"/>
      <c r="F361" s="20"/>
      <c r="G361" s="4"/>
      <c r="H361" s="6"/>
    </row>
    <row r="362" spans="1:8" x14ac:dyDescent="0.2">
      <c r="A362" s="31">
        <f>Winter!A365</f>
        <v>21</v>
      </c>
      <c r="B362" s="2">
        <v>357</v>
      </c>
      <c r="C362" s="3">
        <f t="shared" si="9"/>
        <v>6149.9999999999991</v>
      </c>
      <c r="D362" s="4">
        <f t="shared" si="8"/>
        <v>189.11566924610545</v>
      </c>
      <c r="E362" s="6"/>
      <c r="F362" s="20"/>
      <c r="G362" s="4"/>
      <c r="H362" s="6"/>
    </row>
    <row r="363" spans="1:8" x14ac:dyDescent="0.2">
      <c r="A363" s="31">
        <f>Winter!A366</f>
        <v>22</v>
      </c>
      <c r="B363" s="2">
        <v>358</v>
      </c>
      <c r="C363" s="3">
        <f t="shared" si="9"/>
        <v>5399.9999999999991</v>
      </c>
      <c r="D363" s="4">
        <f t="shared" si="8"/>
        <v>166.05278275267796</v>
      </c>
      <c r="E363" s="6"/>
      <c r="F363" s="20"/>
      <c r="G363" s="4"/>
      <c r="H363" s="6"/>
    </row>
    <row r="364" spans="1:8" x14ac:dyDescent="0.2">
      <c r="A364" s="31">
        <f>Winter!A367</f>
        <v>23</v>
      </c>
      <c r="B364" s="2">
        <v>359</v>
      </c>
      <c r="C364" s="3">
        <f t="shared" si="9"/>
        <v>4649.9999999999982</v>
      </c>
      <c r="D364" s="4">
        <f t="shared" si="8"/>
        <v>142.98989625925043</v>
      </c>
      <c r="E364" s="6"/>
      <c r="F364" s="20"/>
      <c r="G364" s="4"/>
      <c r="H364" s="6"/>
    </row>
    <row r="365" spans="1:8" x14ac:dyDescent="0.2">
      <c r="A365" s="31">
        <f>Winter!A368</f>
        <v>24</v>
      </c>
      <c r="B365" s="2">
        <v>360</v>
      </c>
      <c r="C365" s="3">
        <f t="shared" si="9"/>
        <v>3899.9999999999991</v>
      </c>
      <c r="D365" s="4">
        <f t="shared" si="8"/>
        <v>119.92700976582297</v>
      </c>
      <c r="E365" s="6"/>
      <c r="F365" s="20"/>
      <c r="G365" s="4"/>
      <c r="H365" s="6"/>
    </row>
    <row r="366" spans="1:8" x14ac:dyDescent="0.2">
      <c r="A366" s="31">
        <f>Winter!A369</f>
        <v>25</v>
      </c>
      <c r="B366" s="2">
        <v>361</v>
      </c>
      <c r="C366" s="3">
        <f t="shared" si="9"/>
        <v>2550</v>
      </c>
      <c r="D366" s="4">
        <f t="shared" si="8"/>
        <v>78.413814077653498</v>
      </c>
      <c r="E366" s="6"/>
      <c r="F366" s="20"/>
      <c r="G366" s="4"/>
      <c r="H366" s="6"/>
    </row>
    <row r="367" spans="1:8" x14ac:dyDescent="0.2">
      <c r="A367" s="31">
        <f>Winter!A370</f>
        <v>26</v>
      </c>
      <c r="B367" s="2">
        <v>362</v>
      </c>
      <c r="C367" s="3">
        <f t="shared" si="9"/>
        <v>2400</v>
      </c>
      <c r="D367" s="4">
        <f t="shared" si="8"/>
        <v>73.80123677896799</v>
      </c>
      <c r="E367" s="6"/>
      <c r="F367" s="20"/>
      <c r="G367" s="4"/>
      <c r="H367" s="6"/>
    </row>
    <row r="368" spans="1:8" x14ac:dyDescent="0.2">
      <c r="A368" s="31">
        <f>Winter!A371</f>
        <v>27</v>
      </c>
      <c r="B368" s="2">
        <v>363</v>
      </c>
      <c r="C368" s="3">
        <f t="shared" si="9"/>
        <v>2579.9999999999995</v>
      </c>
      <c r="D368" s="4">
        <f t="shared" si="8"/>
        <v>79.336329537390583</v>
      </c>
      <c r="E368" s="6"/>
      <c r="F368" s="20"/>
      <c r="G368" s="4"/>
      <c r="H368" s="6"/>
    </row>
    <row r="369" spans="1:8" x14ac:dyDescent="0.2">
      <c r="A369" s="31">
        <f>Winter!A372</f>
        <v>28</v>
      </c>
      <c r="B369" s="2">
        <v>364</v>
      </c>
      <c r="C369" s="3">
        <f t="shared" si="9"/>
        <v>2700</v>
      </c>
      <c r="D369" s="4">
        <f t="shared" si="8"/>
        <v>83.026391376338992</v>
      </c>
      <c r="E369" s="6"/>
      <c r="F369" s="20"/>
      <c r="G369" s="4"/>
      <c r="H369" s="6"/>
    </row>
    <row r="370" spans="1:8" x14ac:dyDescent="0.2">
      <c r="A370" s="31">
        <f>Winter!A373</f>
        <v>29</v>
      </c>
      <c r="B370" s="2">
        <v>365</v>
      </c>
      <c r="C370" s="3">
        <f t="shared" si="9"/>
        <v>2978.5714285714284</v>
      </c>
      <c r="D370" s="4">
        <f t="shared" si="8"/>
        <v>91.592606359612063</v>
      </c>
      <c r="E370" s="6"/>
      <c r="F370" s="20"/>
      <c r="G370" s="4"/>
      <c r="H370" s="6"/>
    </row>
    <row r="371" spans="1:8" x14ac:dyDescent="0.2">
      <c r="A371" s="31">
        <f>Winter!A374</f>
        <v>30</v>
      </c>
      <c r="B371" s="2">
        <v>366</v>
      </c>
      <c r="C371" s="3">
        <f t="shared" si="9"/>
        <v>3171.4285714285711</v>
      </c>
      <c r="D371" s="4">
        <f t="shared" si="8"/>
        <v>97.523062886493406</v>
      </c>
      <c r="E371" s="6"/>
      <c r="F371" s="20"/>
      <c r="G371" s="4"/>
      <c r="H371" s="6"/>
    </row>
    <row r="372" spans="1:8" x14ac:dyDescent="0.2">
      <c r="A372" s="31">
        <f>Winter!A375</f>
        <v>31</v>
      </c>
      <c r="B372" s="2">
        <v>367</v>
      </c>
      <c r="C372" s="3">
        <f t="shared" si="9"/>
        <v>3364.2857142857138</v>
      </c>
      <c r="D372" s="4">
        <f t="shared" si="8"/>
        <v>103.45351941337476</v>
      </c>
      <c r="E372" s="6"/>
      <c r="F372" s="20"/>
      <c r="G372" s="4"/>
      <c r="H372" s="6"/>
    </row>
    <row r="373" spans="1:8" x14ac:dyDescent="0.2">
      <c r="A373" s="31">
        <f>Winter!A376</f>
        <v>32</v>
      </c>
      <c r="B373" s="2">
        <v>368</v>
      </c>
      <c r="C373" s="3">
        <f t="shared" si="9"/>
        <v>3557.1428571428569</v>
      </c>
      <c r="D373" s="4">
        <f t="shared" si="8"/>
        <v>109.38397594025612</v>
      </c>
      <c r="E373" s="6"/>
      <c r="F373" s="20"/>
      <c r="G373" s="4"/>
      <c r="H373" s="6"/>
    </row>
    <row r="374" spans="1:8" x14ac:dyDescent="0.2">
      <c r="A374" s="31">
        <f>Winter!A377</f>
        <v>33</v>
      </c>
      <c r="B374" s="2">
        <v>369</v>
      </c>
      <c r="C374" s="3">
        <f t="shared" si="9"/>
        <v>3749.9999999999995</v>
      </c>
      <c r="D374" s="4">
        <f t="shared" si="8"/>
        <v>115.31443246713748</v>
      </c>
      <c r="E374" s="6"/>
      <c r="F374" s="20"/>
      <c r="G374" s="4"/>
      <c r="H374" s="6"/>
    </row>
    <row r="375" spans="1:8" x14ac:dyDescent="0.2">
      <c r="A375" s="31">
        <f>Winter!A378</f>
        <v>34</v>
      </c>
      <c r="B375" s="2">
        <v>370</v>
      </c>
      <c r="C375" s="3">
        <f t="shared" si="9"/>
        <v>3942.8571428571427</v>
      </c>
      <c r="D375" s="4">
        <f t="shared" si="8"/>
        <v>121.24488899401885</v>
      </c>
      <c r="E375" s="6"/>
      <c r="F375" s="20"/>
      <c r="G375" s="4"/>
      <c r="H375" s="6"/>
    </row>
    <row r="376" spans="1:8" x14ac:dyDescent="0.2">
      <c r="A376" s="31">
        <f>Winter!A379</f>
        <v>35</v>
      </c>
      <c r="B376" s="2">
        <v>371</v>
      </c>
      <c r="C376" s="3">
        <f t="shared" si="9"/>
        <v>4135.7142857142853</v>
      </c>
      <c r="D376" s="4">
        <f t="shared" si="8"/>
        <v>127.17534552090021</v>
      </c>
      <c r="E376" s="6"/>
      <c r="F376" s="20"/>
      <c r="G376" s="4"/>
      <c r="H376" s="6"/>
    </row>
    <row r="377" spans="1:8" x14ac:dyDescent="0.2">
      <c r="A377" s="31">
        <f>Winter!A380</f>
        <v>36</v>
      </c>
      <c r="B377" s="2">
        <v>372</v>
      </c>
      <c r="C377" s="3">
        <f t="shared" si="9"/>
        <v>4328.5714285714284</v>
      </c>
      <c r="D377" s="4">
        <f t="shared" si="8"/>
        <v>133.10580204778157</v>
      </c>
      <c r="E377" s="6"/>
      <c r="F377" s="20"/>
      <c r="G377" s="4"/>
      <c r="H377" s="6"/>
    </row>
    <row r="378" spans="1:8" x14ac:dyDescent="0.2">
      <c r="A378" s="31">
        <f>Winter!A381</f>
        <v>37</v>
      </c>
      <c r="B378" s="2">
        <v>373</v>
      </c>
      <c r="C378" s="3">
        <f t="shared" si="9"/>
        <v>4521.4285714285706</v>
      </c>
      <c r="D378" s="4">
        <f t="shared" si="8"/>
        <v>139.0362585746629</v>
      </c>
      <c r="E378" s="6"/>
      <c r="F378" s="20"/>
      <c r="G378" s="4"/>
      <c r="H378" s="6"/>
    </row>
    <row r="379" spans="1:8" x14ac:dyDescent="0.2">
      <c r="A379" s="31">
        <f>Winter!A382</f>
        <v>38</v>
      </c>
      <c r="B379" s="2">
        <v>374</v>
      </c>
      <c r="C379" s="3">
        <f t="shared" si="9"/>
        <v>4714.2857142857138</v>
      </c>
      <c r="D379" s="4">
        <f t="shared" si="8"/>
        <v>144.96671510154425</v>
      </c>
      <c r="E379" s="6"/>
      <c r="F379" s="20"/>
      <c r="G379" s="4"/>
      <c r="H379" s="6"/>
    </row>
    <row r="380" spans="1:8" x14ac:dyDescent="0.2">
      <c r="A380" s="31">
        <f>Winter!A383</f>
        <v>39</v>
      </c>
      <c r="B380" s="2">
        <v>375</v>
      </c>
      <c r="C380" s="3">
        <f t="shared" si="9"/>
        <v>4907.1428571428569</v>
      </c>
      <c r="D380" s="4">
        <f t="shared" si="8"/>
        <v>150.89717162842564</v>
      </c>
      <c r="E380" s="6"/>
      <c r="F380" s="20"/>
      <c r="G380" s="4"/>
      <c r="H380" s="6"/>
    </row>
    <row r="381" spans="1:8" x14ac:dyDescent="0.2">
      <c r="A381" s="31">
        <f>Winter!A384</f>
        <v>40</v>
      </c>
      <c r="B381" s="2">
        <v>376</v>
      </c>
      <c r="C381" s="3">
        <f t="shared" si="9"/>
        <v>5100</v>
      </c>
      <c r="D381" s="4">
        <f t="shared" si="8"/>
        <v>156.827628155307</v>
      </c>
      <c r="E381" s="6"/>
      <c r="F381" s="20"/>
      <c r="G381" s="4"/>
      <c r="H381" s="6"/>
    </row>
    <row r="382" spans="1:8" x14ac:dyDescent="0.2">
      <c r="A382" s="31">
        <f>Winter!A385</f>
        <v>41</v>
      </c>
      <c r="B382" s="2">
        <v>377</v>
      </c>
      <c r="C382" s="3">
        <f t="shared" si="9"/>
        <v>4949.9999999999991</v>
      </c>
      <c r="D382" s="4">
        <f t="shared" si="8"/>
        <v>152.21505085662147</v>
      </c>
      <c r="E382" s="6"/>
      <c r="F382" s="20"/>
      <c r="G382" s="4"/>
      <c r="H382" s="6"/>
    </row>
    <row r="383" spans="1:8" x14ac:dyDescent="0.2">
      <c r="A383" s="31">
        <f>Winter!A386</f>
        <v>42</v>
      </c>
      <c r="B383" s="2">
        <v>378</v>
      </c>
      <c r="C383" s="3">
        <f t="shared" si="9"/>
        <v>5250</v>
      </c>
      <c r="D383" s="4">
        <f t="shared" si="8"/>
        <v>161.44020545399249</v>
      </c>
      <c r="E383" s="6"/>
      <c r="F383" s="20"/>
      <c r="G383" s="4"/>
      <c r="H383" s="6"/>
    </row>
    <row r="384" spans="1:8" x14ac:dyDescent="0.2">
      <c r="A384" s="31">
        <f>Winter!A387</f>
        <v>43</v>
      </c>
      <c r="B384" s="2">
        <v>379</v>
      </c>
      <c r="C384" s="3">
        <f t="shared" si="9"/>
        <v>5550</v>
      </c>
      <c r="D384" s="4">
        <f t="shared" si="8"/>
        <v>170.66536005136348</v>
      </c>
      <c r="E384" s="6"/>
      <c r="F384" s="20"/>
      <c r="G384" s="4"/>
      <c r="H384" s="6"/>
    </row>
    <row r="385" spans="1:8" x14ac:dyDescent="0.2">
      <c r="A385" s="31">
        <f>Winter!A388</f>
        <v>44</v>
      </c>
      <c r="B385" s="2">
        <v>380</v>
      </c>
      <c r="C385" s="3">
        <f t="shared" si="9"/>
        <v>5699.9999999999991</v>
      </c>
      <c r="D385" s="4">
        <f t="shared" si="8"/>
        <v>175.27793735004897</v>
      </c>
      <c r="E385" s="6"/>
      <c r="F385" s="20"/>
      <c r="G385" s="4"/>
      <c r="H385" s="6"/>
    </row>
    <row r="386" spans="1:8" x14ac:dyDescent="0.2">
      <c r="A386" s="31">
        <f>Winter!A389</f>
        <v>45</v>
      </c>
      <c r="B386" s="2">
        <v>381</v>
      </c>
      <c r="C386" s="3">
        <f t="shared" si="9"/>
        <v>6149.9999999999991</v>
      </c>
      <c r="D386" s="4">
        <f t="shared" si="8"/>
        <v>189.11566924610545</v>
      </c>
      <c r="E386" s="6"/>
      <c r="F386" s="20"/>
      <c r="G386" s="4"/>
      <c r="H386" s="6"/>
    </row>
    <row r="387" spans="1:8" x14ac:dyDescent="0.2">
      <c r="A387" s="31">
        <f>Winter!A390</f>
        <v>46</v>
      </c>
      <c r="B387" s="2">
        <v>382</v>
      </c>
      <c r="C387" s="3">
        <f t="shared" si="9"/>
        <v>5399.9999999999991</v>
      </c>
      <c r="D387" s="4">
        <f t="shared" si="8"/>
        <v>166.05278275267796</v>
      </c>
      <c r="E387" s="6"/>
      <c r="F387" s="20"/>
      <c r="G387" s="4"/>
      <c r="H387" s="6"/>
    </row>
    <row r="388" spans="1:8" x14ac:dyDescent="0.2">
      <c r="A388" s="31">
        <f>Winter!A391</f>
        <v>47</v>
      </c>
      <c r="B388" s="2">
        <v>383</v>
      </c>
      <c r="C388" s="3">
        <f t="shared" si="9"/>
        <v>4649.9999999999982</v>
      </c>
      <c r="D388" s="4">
        <f t="shared" si="8"/>
        <v>142.98989625925043</v>
      </c>
      <c r="E388" s="6"/>
      <c r="F388" s="20"/>
      <c r="G388" s="4"/>
      <c r="H388" s="6"/>
    </row>
    <row r="389" spans="1:8" x14ac:dyDescent="0.2">
      <c r="A389" s="31">
        <f>Winter!A392</f>
        <v>48</v>
      </c>
      <c r="B389" s="2">
        <v>384</v>
      </c>
      <c r="C389" s="3">
        <f t="shared" si="9"/>
        <v>3899.9999999999991</v>
      </c>
      <c r="D389" s="4">
        <f t="shared" si="8"/>
        <v>119.92700976582297</v>
      </c>
      <c r="E389" s="6"/>
      <c r="F389" s="20"/>
      <c r="G389" s="4"/>
      <c r="H389" s="6"/>
    </row>
    <row r="390" spans="1:8" x14ac:dyDescent="0.2">
      <c r="A390" s="31">
        <f>Winter!A393</f>
        <v>49</v>
      </c>
      <c r="B390" s="2">
        <v>385</v>
      </c>
      <c r="C390" s="3">
        <f t="shared" si="9"/>
        <v>2550</v>
      </c>
      <c r="D390" s="4">
        <f t="shared" si="8"/>
        <v>78.413814077653498</v>
      </c>
      <c r="E390" s="6"/>
      <c r="F390" s="20"/>
      <c r="G390" s="4"/>
      <c r="H390" s="6"/>
    </row>
    <row r="391" spans="1:8" x14ac:dyDescent="0.2">
      <c r="A391" s="31">
        <f>Winter!A394</f>
        <v>50</v>
      </c>
      <c r="B391" s="2">
        <v>386</v>
      </c>
      <c r="C391" s="3">
        <f t="shared" si="9"/>
        <v>2400</v>
      </c>
      <c r="D391" s="4">
        <f t="shared" ref="D391:D454" si="10">$G$3*C391*(1/$G$5-1/$G$4)</f>
        <v>73.80123677896799</v>
      </c>
      <c r="E391" s="6"/>
      <c r="F391" s="20"/>
      <c r="G391" s="4"/>
      <c r="H391" s="6"/>
    </row>
    <row r="392" spans="1:8" x14ac:dyDescent="0.2">
      <c r="A392" s="31">
        <f>Winter!A395</f>
        <v>51</v>
      </c>
      <c r="B392" s="2">
        <v>387</v>
      </c>
      <c r="C392" s="3">
        <f t="shared" si="9"/>
        <v>2550</v>
      </c>
      <c r="D392" s="4">
        <f t="shared" si="10"/>
        <v>78.413814077653498</v>
      </c>
      <c r="E392" s="6"/>
      <c r="F392" s="20"/>
      <c r="G392" s="4"/>
      <c r="H392" s="6"/>
    </row>
    <row r="393" spans="1:8" x14ac:dyDescent="0.2">
      <c r="A393" s="31">
        <f>Winter!A396</f>
        <v>52</v>
      </c>
      <c r="B393" s="2">
        <v>388</v>
      </c>
      <c r="C393" s="3">
        <f t="shared" si="9"/>
        <v>2700</v>
      </c>
      <c r="D393" s="4">
        <f t="shared" si="10"/>
        <v>83.026391376338992</v>
      </c>
      <c r="E393" s="6"/>
      <c r="F393" s="20"/>
      <c r="G393" s="4"/>
      <c r="H393" s="6"/>
    </row>
    <row r="394" spans="1:8" x14ac:dyDescent="0.2">
      <c r="A394" s="31">
        <f>Winter!A397</f>
        <v>53</v>
      </c>
      <c r="B394" s="2">
        <v>389</v>
      </c>
      <c r="C394" s="3">
        <f t="shared" si="9"/>
        <v>3023.0769230769229</v>
      </c>
      <c r="D394" s="4">
        <f t="shared" si="10"/>
        <v>92.961173250430846</v>
      </c>
      <c r="E394" s="6"/>
      <c r="F394" s="20"/>
      <c r="G394" s="4"/>
      <c r="H394" s="6"/>
    </row>
    <row r="395" spans="1:8" x14ac:dyDescent="0.2">
      <c r="A395" s="31">
        <f>Winter!A398</f>
        <v>54</v>
      </c>
      <c r="B395" s="2">
        <v>390</v>
      </c>
      <c r="C395" s="3">
        <f t="shared" si="9"/>
        <v>3230.7692307692305</v>
      </c>
      <c r="D395" s="4">
        <f t="shared" si="10"/>
        <v>99.347818740918441</v>
      </c>
      <c r="E395" s="6"/>
      <c r="F395" s="20"/>
      <c r="G395" s="4"/>
      <c r="H395" s="6"/>
    </row>
    <row r="396" spans="1:8" x14ac:dyDescent="0.2">
      <c r="A396" s="31">
        <f>Winter!A399</f>
        <v>55</v>
      </c>
      <c r="B396" s="2">
        <v>391</v>
      </c>
      <c r="C396" s="3">
        <f t="shared" si="9"/>
        <v>3438.4615384615377</v>
      </c>
      <c r="D396" s="4">
        <f t="shared" si="10"/>
        <v>105.73446423140605</v>
      </c>
      <c r="E396" s="6"/>
      <c r="F396" s="20"/>
      <c r="G396" s="4"/>
      <c r="H396" s="6"/>
    </row>
    <row r="397" spans="1:8" x14ac:dyDescent="0.2">
      <c r="A397" s="31">
        <f>Winter!A400</f>
        <v>56</v>
      </c>
      <c r="B397" s="2">
        <v>392</v>
      </c>
      <c r="C397" s="3">
        <f t="shared" si="9"/>
        <v>3646.1538461538453</v>
      </c>
      <c r="D397" s="4">
        <f t="shared" si="10"/>
        <v>112.12110972189366</v>
      </c>
      <c r="E397" s="6"/>
      <c r="F397" s="20"/>
      <c r="G397" s="4"/>
      <c r="H397" s="6"/>
    </row>
    <row r="398" spans="1:8" x14ac:dyDescent="0.2">
      <c r="A398" s="31">
        <f>Winter!A401</f>
        <v>57</v>
      </c>
      <c r="B398" s="2">
        <v>393</v>
      </c>
      <c r="C398" s="3">
        <f t="shared" si="9"/>
        <v>3853.8461538461529</v>
      </c>
      <c r="D398" s="4">
        <f t="shared" si="10"/>
        <v>118.50775521238127</v>
      </c>
      <c r="E398" s="6"/>
      <c r="F398" s="20"/>
      <c r="G398" s="4"/>
      <c r="H398" s="6"/>
    </row>
    <row r="399" spans="1:8" x14ac:dyDescent="0.2">
      <c r="A399" s="31">
        <f>Winter!A402</f>
        <v>58</v>
      </c>
      <c r="B399" s="2">
        <v>394</v>
      </c>
      <c r="C399" s="3">
        <f t="shared" si="9"/>
        <v>4061.5384615384605</v>
      </c>
      <c r="D399" s="4">
        <f t="shared" si="10"/>
        <v>124.89440070286889</v>
      </c>
      <c r="E399" s="6"/>
      <c r="F399" s="20"/>
      <c r="G399" s="4"/>
      <c r="H399" s="6"/>
    </row>
    <row r="400" spans="1:8" x14ac:dyDescent="0.2">
      <c r="A400" s="31">
        <f>Winter!A403</f>
        <v>59</v>
      </c>
      <c r="B400" s="2">
        <v>395</v>
      </c>
      <c r="C400" s="3">
        <f t="shared" si="9"/>
        <v>4269.2307692307686</v>
      </c>
      <c r="D400" s="4">
        <f t="shared" si="10"/>
        <v>131.2810461933565</v>
      </c>
      <c r="E400" s="6"/>
      <c r="F400" s="20"/>
      <c r="G400" s="4"/>
      <c r="H400" s="6"/>
    </row>
    <row r="401" spans="1:8" x14ac:dyDescent="0.2">
      <c r="A401" s="31">
        <f>Winter!A404</f>
        <v>60</v>
      </c>
      <c r="B401" s="2">
        <v>396</v>
      </c>
      <c r="C401" s="3">
        <f t="shared" si="9"/>
        <v>4476.9230769230762</v>
      </c>
      <c r="D401" s="4">
        <f t="shared" si="10"/>
        <v>137.66769168384411</v>
      </c>
      <c r="E401" s="6"/>
      <c r="F401" s="20"/>
      <c r="G401" s="4"/>
      <c r="H401" s="6"/>
    </row>
    <row r="402" spans="1:8" x14ac:dyDescent="0.2">
      <c r="A402" s="31">
        <f>Winter!A405</f>
        <v>61</v>
      </c>
      <c r="B402" s="2">
        <v>397</v>
      </c>
      <c r="C402" s="3">
        <f t="shared" si="9"/>
        <v>4684.6153846153829</v>
      </c>
      <c r="D402" s="4">
        <f t="shared" si="10"/>
        <v>144.05433717433172</v>
      </c>
      <c r="E402" s="6"/>
      <c r="F402" s="20"/>
      <c r="G402" s="4"/>
      <c r="H402" s="6"/>
    </row>
    <row r="403" spans="1:8" x14ac:dyDescent="0.2">
      <c r="A403" s="31">
        <f>Winter!A406</f>
        <v>62</v>
      </c>
      <c r="B403" s="2">
        <v>398</v>
      </c>
      <c r="C403" s="3">
        <f t="shared" si="9"/>
        <v>4892.3076923076915</v>
      </c>
      <c r="D403" s="4">
        <f t="shared" si="10"/>
        <v>150.44098266481936</v>
      </c>
      <c r="E403" s="6"/>
      <c r="F403" s="20"/>
      <c r="G403" s="4"/>
      <c r="H403" s="6"/>
    </row>
    <row r="404" spans="1:8" x14ac:dyDescent="0.2">
      <c r="A404" s="31">
        <f>Winter!A407</f>
        <v>63</v>
      </c>
      <c r="B404" s="2">
        <v>399</v>
      </c>
      <c r="C404" s="3">
        <f t="shared" si="9"/>
        <v>5100</v>
      </c>
      <c r="D404" s="4">
        <f t="shared" si="10"/>
        <v>156.827628155307</v>
      </c>
      <c r="E404" s="6"/>
      <c r="F404" s="20"/>
      <c r="G404" s="4"/>
      <c r="H404" s="6"/>
    </row>
    <row r="405" spans="1:8" x14ac:dyDescent="0.2">
      <c r="A405" s="31">
        <f>Winter!A408</f>
        <v>64</v>
      </c>
      <c r="B405" s="2">
        <v>400</v>
      </c>
      <c r="C405" s="3">
        <f t="shared" si="9"/>
        <v>4949.9999999999991</v>
      </c>
      <c r="D405" s="4">
        <f t="shared" si="10"/>
        <v>152.21505085662147</v>
      </c>
      <c r="E405" s="6"/>
      <c r="F405" s="20"/>
      <c r="G405" s="4"/>
      <c r="H405" s="6"/>
    </row>
    <row r="406" spans="1:8" x14ac:dyDescent="0.2">
      <c r="A406" s="31">
        <f>Winter!A409</f>
        <v>65</v>
      </c>
      <c r="B406" s="2">
        <v>401</v>
      </c>
      <c r="C406" s="3">
        <f t="shared" si="9"/>
        <v>5220</v>
      </c>
      <c r="D406" s="4">
        <f t="shared" si="10"/>
        <v>160.51768999425539</v>
      </c>
      <c r="E406" s="6"/>
      <c r="F406" s="20"/>
      <c r="G406" s="4"/>
      <c r="H406" s="6"/>
    </row>
    <row r="407" spans="1:8" x14ac:dyDescent="0.2">
      <c r="A407" s="31">
        <f>Winter!A410</f>
        <v>66</v>
      </c>
      <c r="B407" s="2">
        <v>402</v>
      </c>
      <c r="C407" s="3">
        <f t="shared" ref="C407:C470" si="11">C71</f>
        <v>5490</v>
      </c>
      <c r="D407" s="4">
        <f t="shared" si="10"/>
        <v>168.82032913188928</v>
      </c>
      <c r="E407" s="6"/>
      <c r="F407" s="20"/>
      <c r="G407" s="4"/>
      <c r="H407" s="6"/>
    </row>
    <row r="408" spans="1:8" x14ac:dyDescent="0.2">
      <c r="A408" s="31">
        <f>Winter!A411</f>
        <v>67</v>
      </c>
      <c r="B408" s="2">
        <v>403</v>
      </c>
      <c r="C408" s="3">
        <f t="shared" si="11"/>
        <v>6000</v>
      </c>
      <c r="D408" s="4">
        <f t="shared" si="10"/>
        <v>184.50309194741999</v>
      </c>
      <c r="E408" s="6"/>
      <c r="F408" s="20"/>
      <c r="G408" s="4"/>
      <c r="H408" s="6"/>
    </row>
    <row r="409" spans="1:8" x14ac:dyDescent="0.2">
      <c r="A409" s="31">
        <f>Winter!A412</f>
        <v>68</v>
      </c>
      <c r="B409" s="2">
        <v>404</v>
      </c>
      <c r="C409" s="3">
        <f t="shared" si="11"/>
        <v>6000</v>
      </c>
      <c r="D409" s="4">
        <f t="shared" si="10"/>
        <v>184.50309194741999</v>
      </c>
      <c r="E409" s="6"/>
      <c r="F409" s="20"/>
      <c r="G409" s="4"/>
      <c r="H409" s="6"/>
    </row>
    <row r="410" spans="1:8" x14ac:dyDescent="0.2">
      <c r="A410" s="31">
        <f>Winter!A413</f>
        <v>69</v>
      </c>
      <c r="B410" s="2">
        <v>405</v>
      </c>
      <c r="C410" s="3">
        <f t="shared" si="11"/>
        <v>6300</v>
      </c>
      <c r="D410" s="4">
        <f t="shared" si="10"/>
        <v>193.72824654479098</v>
      </c>
      <c r="E410" s="6"/>
      <c r="F410" s="20"/>
      <c r="G410" s="4"/>
      <c r="H410" s="6"/>
    </row>
    <row r="411" spans="1:8" x14ac:dyDescent="0.2">
      <c r="A411" s="31">
        <f>Winter!A414</f>
        <v>70</v>
      </c>
      <c r="B411" s="2">
        <v>406</v>
      </c>
      <c r="C411" s="3">
        <f t="shared" si="11"/>
        <v>5520</v>
      </c>
      <c r="D411" s="4">
        <f t="shared" si="10"/>
        <v>169.74284459162638</v>
      </c>
      <c r="E411" s="6"/>
      <c r="F411" s="20"/>
      <c r="G411" s="4"/>
      <c r="H411" s="6"/>
    </row>
    <row r="412" spans="1:8" x14ac:dyDescent="0.2">
      <c r="A412" s="31">
        <f>Winter!A415</f>
        <v>71</v>
      </c>
      <c r="B412" s="2">
        <v>407</v>
      </c>
      <c r="C412" s="3">
        <f t="shared" si="11"/>
        <v>4740</v>
      </c>
      <c r="D412" s="4">
        <f t="shared" si="10"/>
        <v>145.75744263846178</v>
      </c>
      <c r="E412" s="6"/>
      <c r="F412" s="20"/>
      <c r="G412" s="4"/>
      <c r="H412" s="6"/>
    </row>
    <row r="413" spans="1:8" x14ac:dyDescent="0.2">
      <c r="A413" s="31">
        <f>Winter!A416</f>
        <v>72</v>
      </c>
      <c r="B413" s="2">
        <v>408</v>
      </c>
      <c r="C413" s="3">
        <f t="shared" si="11"/>
        <v>3959.9999999999995</v>
      </c>
      <c r="D413" s="4">
        <f t="shared" si="10"/>
        <v>121.77204068529717</v>
      </c>
      <c r="E413" s="6"/>
      <c r="F413" s="20"/>
      <c r="G413" s="4"/>
      <c r="H413" s="6"/>
    </row>
    <row r="414" spans="1:8" x14ac:dyDescent="0.2">
      <c r="A414" s="31">
        <f>Winter!A417</f>
        <v>73</v>
      </c>
      <c r="B414" s="2">
        <v>409</v>
      </c>
      <c r="C414" s="3">
        <f t="shared" si="11"/>
        <v>2550</v>
      </c>
      <c r="D414" s="4">
        <f t="shared" si="10"/>
        <v>78.413814077653498</v>
      </c>
      <c r="E414" s="6"/>
      <c r="F414" s="20"/>
      <c r="G414" s="4"/>
      <c r="H414" s="6"/>
    </row>
    <row r="415" spans="1:8" x14ac:dyDescent="0.2">
      <c r="A415" s="31">
        <f>Winter!A418</f>
        <v>74</v>
      </c>
      <c r="B415" s="2">
        <v>410</v>
      </c>
      <c r="C415" s="3">
        <f t="shared" si="11"/>
        <v>2400</v>
      </c>
      <c r="D415" s="4">
        <f t="shared" si="10"/>
        <v>73.80123677896799</v>
      </c>
      <c r="E415" s="6"/>
      <c r="F415" s="20"/>
      <c r="G415" s="4"/>
      <c r="H415" s="6"/>
    </row>
    <row r="416" spans="1:8" x14ac:dyDescent="0.2">
      <c r="A416" s="31">
        <f>Winter!A419</f>
        <v>75</v>
      </c>
      <c r="B416" s="2">
        <v>411</v>
      </c>
      <c r="C416" s="3">
        <f t="shared" si="11"/>
        <v>2550</v>
      </c>
      <c r="D416" s="4">
        <f t="shared" si="10"/>
        <v>78.413814077653498</v>
      </c>
      <c r="E416" s="6"/>
      <c r="F416" s="20"/>
      <c r="G416" s="4"/>
      <c r="H416" s="6"/>
    </row>
    <row r="417" spans="1:8" x14ac:dyDescent="0.2">
      <c r="A417" s="31">
        <f>Winter!A420</f>
        <v>76</v>
      </c>
      <c r="B417" s="2">
        <v>412</v>
      </c>
      <c r="C417" s="3">
        <f t="shared" si="11"/>
        <v>2700</v>
      </c>
      <c r="D417" s="4">
        <f t="shared" si="10"/>
        <v>83.026391376338992</v>
      </c>
      <c r="E417" s="6"/>
      <c r="F417" s="20"/>
      <c r="G417" s="4"/>
      <c r="H417" s="6"/>
    </row>
    <row r="418" spans="1:8" x14ac:dyDescent="0.2">
      <c r="A418" s="31">
        <f>Winter!A421</f>
        <v>77</v>
      </c>
      <c r="B418" s="2">
        <v>413</v>
      </c>
      <c r="C418" s="3">
        <f t="shared" si="11"/>
        <v>3000</v>
      </c>
      <c r="D418" s="4">
        <f t="shared" si="10"/>
        <v>92.251545973709995</v>
      </c>
      <c r="E418" s="6"/>
      <c r="F418" s="20"/>
      <c r="G418" s="4"/>
      <c r="H418" s="6"/>
    </row>
    <row r="419" spans="1:8" x14ac:dyDescent="0.2">
      <c r="A419" s="31">
        <f>Winter!A422</f>
        <v>78</v>
      </c>
      <c r="B419" s="2">
        <v>414</v>
      </c>
      <c r="C419" s="3">
        <f t="shared" si="11"/>
        <v>3199.9999999999995</v>
      </c>
      <c r="D419" s="4">
        <f t="shared" si="10"/>
        <v>98.401649038623987</v>
      </c>
      <c r="E419" s="6"/>
      <c r="F419" s="20"/>
      <c r="G419" s="4"/>
      <c r="H419" s="6"/>
    </row>
    <row r="420" spans="1:8" x14ac:dyDescent="0.2">
      <c r="A420" s="31">
        <f>Winter!A423</f>
        <v>79</v>
      </c>
      <c r="B420" s="2">
        <v>415</v>
      </c>
      <c r="C420" s="3">
        <f t="shared" si="11"/>
        <v>3399.9999999999995</v>
      </c>
      <c r="D420" s="4">
        <f t="shared" si="10"/>
        <v>104.55175210353798</v>
      </c>
      <c r="E420" s="6"/>
      <c r="F420" s="20"/>
      <c r="G420" s="4"/>
      <c r="H420" s="6"/>
    </row>
    <row r="421" spans="1:8" x14ac:dyDescent="0.2">
      <c r="A421" s="31">
        <f>Winter!A424</f>
        <v>80</v>
      </c>
      <c r="B421" s="2">
        <v>416</v>
      </c>
      <c r="C421" s="3">
        <f t="shared" si="11"/>
        <v>3599.9999999999995</v>
      </c>
      <c r="D421" s="4">
        <f t="shared" si="10"/>
        <v>110.70185516845198</v>
      </c>
      <c r="E421" s="6"/>
      <c r="F421" s="20"/>
      <c r="G421" s="4"/>
      <c r="H421" s="6"/>
    </row>
    <row r="422" spans="1:8" x14ac:dyDescent="0.2">
      <c r="A422" s="31">
        <f>Winter!A425</f>
        <v>81</v>
      </c>
      <c r="B422" s="2">
        <v>417</v>
      </c>
      <c r="C422" s="3">
        <f t="shared" si="11"/>
        <v>3799.9999999999995</v>
      </c>
      <c r="D422" s="4">
        <f t="shared" si="10"/>
        <v>116.85195823336598</v>
      </c>
      <c r="E422" s="6"/>
      <c r="F422" s="20"/>
      <c r="G422" s="4"/>
      <c r="H422" s="6"/>
    </row>
    <row r="423" spans="1:8" x14ac:dyDescent="0.2">
      <c r="A423" s="31">
        <f>Winter!A426</f>
        <v>82</v>
      </c>
      <c r="B423" s="2">
        <v>418</v>
      </c>
      <c r="C423" s="3">
        <f t="shared" si="11"/>
        <v>3999.9999999999995</v>
      </c>
      <c r="D423" s="4">
        <f t="shared" si="10"/>
        <v>123.00206129827997</v>
      </c>
      <c r="E423" s="6"/>
      <c r="F423" s="20"/>
      <c r="G423" s="4"/>
      <c r="H423" s="6"/>
    </row>
    <row r="424" spans="1:8" x14ac:dyDescent="0.2">
      <c r="A424" s="31">
        <f>Winter!A427</f>
        <v>83</v>
      </c>
      <c r="B424" s="2">
        <v>419</v>
      </c>
      <c r="C424" s="3">
        <f t="shared" si="11"/>
        <v>4199.9999999999991</v>
      </c>
      <c r="D424" s="4">
        <f t="shared" si="10"/>
        <v>129.15216436319398</v>
      </c>
      <c r="E424" s="6"/>
      <c r="F424" s="20"/>
      <c r="G424" s="4"/>
      <c r="H424" s="6"/>
    </row>
    <row r="425" spans="1:8" x14ac:dyDescent="0.2">
      <c r="A425" s="31">
        <f>Winter!A428</f>
        <v>84</v>
      </c>
      <c r="B425" s="2">
        <v>420</v>
      </c>
      <c r="C425" s="3">
        <f t="shared" si="11"/>
        <v>4399.9999999999991</v>
      </c>
      <c r="D425" s="4">
        <f t="shared" si="10"/>
        <v>135.30226742810797</v>
      </c>
      <c r="E425" s="6"/>
      <c r="F425" s="20"/>
      <c r="G425" s="4"/>
      <c r="H425" s="6"/>
    </row>
    <row r="426" spans="1:8" x14ac:dyDescent="0.2">
      <c r="A426" s="31">
        <f>Winter!A429</f>
        <v>85</v>
      </c>
      <c r="B426" s="2">
        <v>421</v>
      </c>
      <c r="C426" s="3">
        <f t="shared" si="11"/>
        <v>4599.9999999999991</v>
      </c>
      <c r="D426" s="4">
        <f t="shared" si="10"/>
        <v>141.45237049302196</v>
      </c>
      <c r="E426" s="6"/>
      <c r="F426" s="20"/>
      <c r="G426" s="4"/>
      <c r="H426" s="6"/>
    </row>
    <row r="427" spans="1:8" x14ac:dyDescent="0.2">
      <c r="A427" s="31">
        <f>Winter!A430</f>
        <v>86</v>
      </c>
      <c r="B427" s="2">
        <v>422</v>
      </c>
      <c r="C427" s="3">
        <f t="shared" si="11"/>
        <v>4800</v>
      </c>
      <c r="D427" s="4">
        <f t="shared" si="10"/>
        <v>147.60247355793598</v>
      </c>
      <c r="E427" s="6"/>
      <c r="F427" s="20"/>
      <c r="G427" s="4"/>
      <c r="H427" s="6"/>
    </row>
    <row r="428" spans="1:8" x14ac:dyDescent="0.2">
      <c r="A428" s="31">
        <f>Winter!A431</f>
        <v>87</v>
      </c>
      <c r="B428" s="2">
        <v>423</v>
      </c>
      <c r="C428" s="3">
        <f t="shared" si="11"/>
        <v>4649.9999999999991</v>
      </c>
      <c r="D428" s="4">
        <f t="shared" si="10"/>
        <v>142.98989625925046</v>
      </c>
      <c r="E428" s="6"/>
      <c r="F428" s="20"/>
      <c r="G428" s="4"/>
      <c r="H428" s="6"/>
    </row>
    <row r="429" spans="1:8" x14ac:dyDescent="0.2">
      <c r="A429" s="31">
        <f>Winter!A432</f>
        <v>88</v>
      </c>
      <c r="B429" s="2">
        <v>424</v>
      </c>
      <c r="C429" s="3">
        <f t="shared" si="11"/>
        <v>5000</v>
      </c>
      <c r="D429" s="4">
        <f t="shared" si="10"/>
        <v>153.75257662285</v>
      </c>
      <c r="E429" s="6"/>
      <c r="F429" s="20"/>
      <c r="G429" s="4"/>
      <c r="H429" s="6"/>
    </row>
    <row r="430" spans="1:8" x14ac:dyDescent="0.2">
      <c r="A430" s="31">
        <f>Winter!A433</f>
        <v>89</v>
      </c>
      <c r="B430" s="2">
        <v>425</v>
      </c>
      <c r="C430" s="3">
        <f t="shared" si="11"/>
        <v>5350</v>
      </c>
      <c r="D430" s="4">
        <f t="shared" si="10"/>
        <v>164.51525698644949</v>
      </c>
      <c r="E430" s="6"/>
      <c r="F430" s="20"/>
      <c r="G430" s="4"/>
      <c r="H430" s="6"/>
    </row>
    <row r="431" spans="1:8" x14ac:dyDescent="0.2">
      <c r="A431" s="31">
        <f>Winter!A434</f>
        <v>90</v>
      </c>
      <c r="B431" s="2">
        <v>426</v>
      </c>
      <c r="C431" s="3">
        <f t="shared" si="11"/>
        <v>5699.9999999999991</v>
      </c>
      <c r="D431" s="4">
        <f t="shared" si="10"/>
        <v>175.27793735004897</v>
      </c>
      <c r="E431" s="6"/>
      <c r="F431" s="20"/>
      <c r="G431" s="4"/>
      <c r="H431" s="6"/>
    </row>
    <row r="432" spans="1:8" x14ac:dyDescent="0.2">
      <c r="A432" s="31">
        <f>Winter!A435</f>
        <v>91</v>
      </c>
      <c r="B432" s="2">
        <v>427</v>
      </c>
      <c r="C432" s="3">
        <f t="shared" si="11"/>
        <v>5287.5</v>
      </c>
      <c r="D432" s="4">
        <f t="shared" si="10"/>
        <v>162.59334977866388</v>
      </c>
      <c r="E432" s="6"/>
      <c r="F432" s="20"/>
      <c r="G432" s="4"/>
      <c r="H432" s="6"/>
    </row>
    <row r="433" spans="1:8" x14ac:dyDescent="0.2">
      <c r="A433" s="31">
        <f>Winter!A436</f>
        <v>92</v>
      </c>
      <c r="B433" s="2">
        <v>428</v>
      </c>
      <c r="C433" s="3">
        <f t="shared" si="11"/>
        <v>4875</v>
      </c>
      <c r="D433" s="4">
        <f t="shared" si="10"/>
        <v>149.90876220727873</v>
      </c>
      <c r="E433" s="6"/>
      <c r="F433" s="20"/>
      <c r="G433" s="4"/>
      <c r="H433" s="6"/>
    </row>
    <row r="434" spans="1:8" x14ac:dyDescent="0.2">
      <c r="A434" s="31">
        <f>Winter!A437</f>
        <v>93</v>
      </c>
      <c r="B434" s="2">
        <v>429</v>
      </c>
      <c r="C434" s="3">
        <f t="shared" si="11"/>
        <v>4462.4999999999991</v>
      </c>
      <c r="D434" s="4">
        <f t="shared" si="10"/>
        <v>137.2241746358936</v>
      </c>
      <c r="E434" s="6"/>
      <c r="F434" s="20"/>
      <c r="G434" s="4"/>
      <c r="H434" s="6"/>
    </row>
    <row r="435" spans="1:8" x14ac:dyDescent="0.2">
      <c r="A435" s="31">
        <f>Winter!A438</f>
        <v>94</v>
      </c>
      <c r="B435" s="2">
        <v>430</v>
      </c>
      <c r="C435" s="3">
        <f t="shared" si="11"/>
        <v>4050</v>
      </c>
      <c r="D435" s="4">
        <f t="shared" si="10"/>
        <v>124.5395870645085</v>
      </c>
      <c r="E435" s="6"/>
      <c r="F435" s="20"/>
      <c r="G435" s="4"/>
      <c r="H435" s="6"/>
    </row>
    <row r="436" spans="1:8" x14ac:dyDescent="0.2">
      <c r="A436" s="31">
        <f>Winter!A439</f>
        <v>95</v>
      </c>
      <c r="B436" s="2">
        <v>431</v>
      </c>
      <c r="C436" s="3">
        <f t="shared" si="11"/>
        <v>3637.5</v>
      </c>
      <c r="D436" s="4">
        <f t="shared" si="10"/>
        <v>111.85499949312337</v>
      </c>
      <c r="E436" s="6"/>
      <c r="F436" s="20"/>
      <c r="G436" s="4"/>
      <c r="H436" s="6"/>
    </row>
    <row r="437" spans="1:8" x14ac:dyDescent="0.2">
      <c r="A437" s="31">
        <f>Winter!A440</f>
        <v>96</v>
      </c>
      <c r="B437" s="2">
        <v>432</v>
      </c>
      <c r="C437" s="3">
        <f t="shared" si="11"/>
        <v>3000</v>
      </c>
      <c r="D437" s="4">
        <f t="shared" si="10"/>
        <v>92.251545973709995</v>
      </c>
      <c r="E437" s="6"/>
      <c r="F437" s="20"/>
      <c r="G437" s="4"/>
      <c r="H437" s="6"/>
    </row>
    <row r="438" spans="1:8" x14ac:dyDescent="0.2">
      <c r="A438" s="31">
        <f>Winter!A441</f>
        <v>97</v>
      </c>
      <c r="B438" s="2">
        <v>433</v>
      </c>
      <c r="C438" s="3">
        <f t="shared" si="11"/>
        <v>2550</v>
      </c>
      <c r="D438" s="4">
        <f t="shared" si="10"/>
        <v>78.413814077653498</v>
      </c>
      <c r="E438" s="6"/>
      <c r="F438" s="20"/>
      <c r="G438" s="4"/>
      <c r="H438" s="6"/>
    </row>
    <row r="439" spans="1:8" x14ac:dyDescent="0.2">
      <c r="A439" s="31">
        <f>Winter!A442</f>
        <v>98</v>
      </c>
      <c r="B439" s="2">
        <v>434</v>
      </c>
      <c r="C439" s="3">
        <f t="shared" si="11"/>
        <v>2400</v>
      </c>
      <c r="D439" s="4">
        <f t="shared" si="10"/>
        <v>73.80123677896799</v>
      </c>
      <c r="E439" s="6"/>
      <c r="F439" s="20"/>
      <c r="G439" s="4"/>
      <c r="H439" s="6"/>
    </row>
    <row r="440" spans="1:8" x14ac:dyDescent="0.2">
      <c r="A440" s="31">
        <f>Winter!A443</f>
        <v>99</v>
      </c>
      <c r="B440" s="2">
        <v>435</v>
      </c>
      <c r="C440" s="3">
        <f t="shared" si="11"/>
        <v>2550</v>
      </c>
      <c r="D440" s="4">
        <f t="shared" si="10"/>
        <v>78.413814077653498</v>
      </c>
      <c r="E440" s="6"/>
      <c r="F440" s="20"/>
      <c r="G440" s="4"/>
      <c r="H440" s="6"/>
    </row>
    <row r="441" spans="1:8" x14ac:dyDescent="0.2">
      <c r="A441" s="31">
        <f>Winter!A444</f>
        <v>100</v>
      </c>
      <c r="B441" s="2">
        <v>436</v>
      </c>
      <c r="C441" s="3">
        <f t="shared" si="11"/>
        <v>2700</v>
      </c>
      <c r="D441" s="4">
        <f t="shared" si="10"/>
        <v>83.026391376338992</v>
      </c>
      <c r="E441" s="6"/>
      <c r="F441" s="20"/>
      <c r="G441" s="4"/>
      <c r="H441" s="6"/>
    </row>
    <row r="442" spans="1:8" x14ac:dyDescent="0.2">
      <c r="A442" s="31">
        <f>Winter!A445</f>
        <v>101</v>
      </c>
      <c r="B442" s="2">
        <v>437</v>
      </c>
      <c r="C442" s="3">
        <f t="shared" si="11"/>
        <v>2972.7272727272725</v>
      </c>
      <c r="D442" s="4">
        <f t="shared" si="10"/>
        <v>91.412895555767165</v>
      </c>
      <c r="E442" s="6"/>
      <c r="F442" s="20"/>
      <c r="G442" s="4"/>
      <c r="H442" s="6"/>
    </row>
    <row r="443" spans="1:8" x14ac:dyDescent="0.2">
      <c r="A443" s="31">
        <f>Winter!A446</f>
        <v>102</v>
      </c>
      <c r="B443" s="2">
        <v>438</v>
      </c>
      <c r="C443" s="3">
        <f t="shared" si="11"/>
        <v>3163.6363636363631</v>
      </c>
      <c r="D443" s="4">
        <f t="shared" si="10"/>
        <v>97.283448481366875</v>
      </c>
      <c r="E443" s="6"/>
      <c r="F443" s="20"/>
      <c r="G443" s="4"/>
      <c r="H443" s="6"/>
    </row>
    <row r="444" spans="1:8" x14ac:dyDescent="0.2">
      <c r="A444" s="31">
        <f>Winter!A447</f>
        <v>103</v>
      </c>
      <c r="B444" s="2">
        <v>439</v>
      </c>
      <c r="C444" s="3">
        <f t="shared" si="11"/>
        <v>3354.5454545454545</v>
      </c>
      <c r="D444" s="4">
        <f t="shared" si="10"/>
        <v>103.15400140696663</v>
      </c>
      <c r="E444" s="6"/>
      <c r="F444" s="20"/>
      <c r="G444" s="4"/>
      <c r="H444" s="6"/>
    </row>
    <row r="445" spans="1:8" x14ac:dyDescent="0.2">
      <c r="A445" s="31">
        <f>Winter!A448</f>
        <v>104</v>
      </c>
      <c r="B445" s="2">
        <v>440</v>
      </c>
      <c r="C445" s="3">
        <f t="shared" si="11"/>
        <v>3545.4545454545455</v>
      </c>
      <c r="D445" s="4">
        <f t="shared" si="10"/>
        <v>109.02455433256635</v>
      </c>
      <c r="E445" s="6"/>
      <c r="F445" s="20"/>
      <c r="G445" s="4"/>
      <c r="H445" s="6"/>
    </row>
    <row r="446" spans="1:8" x14ac:dyDescent="0.2">
      <c r="A446" s="31">
        <f>Winter!A449</f>
        <v>105</v>
      </c>
      <c r="B446" s="2">
        <v>441</v>
      </c>
      <c r="C446" s="3">
        <f t="shared" si="11"/>
        <v>3736.3636363636365</v>
      </c>
      <c r="D446" s="4">
        <f t="shared" si="10"/>
        <v>114.89510725816608</v>
      </c>
      <c r="E446" s="6"/>
      <c r="F446" s="20"/>
      <c r="G446" s="4"/>
      <c r="H446" s="6"/>
    </row>
    <row r="447" spans="1:8" x14ac:dyDescent="0.2">
      <c r="A447" s="31">
        <f>Winter!A450</f>
        <v>106</v>
      </c>
      <c r="B447" s="2">
        <v>442</v>
      </c>
      <c r="C447" s="3">
        <f t="shared" si="11"/>
        <v>3927.272727272727</v>
      </c>
      <c r="D447" s="4">
        <f t="shared" si="10"/>
        <v>120.76566018376582</v>
      </c>
      <c r="E447" s="6"/>
      <c r="F447" s="20"/>
      <c r="G447" s="4"/>
      <c r="H447" s="6"/>
    </row>
    <row r="448" spans="1:8" x14ac:dyDescent="0.2">
      <c r="A448" s="31">
        <f>Winter!A451</f>
        <v>107</v>
      </c>
      <c r="B448" s="2">
        <v>443</v>
      </c>
      <c r="C448" s="3">
        <f t="shared" si="11"/>
        <v>4118.181818181818</v>
      </c>
      <c r="D448" s="4">
        <f t="shared" si="10"/>
        <v>126.63621310936553</v>
      </c>
      <c r="E448" s="6"/>
      <c r="F448" s="20"/>
      <c r="G448" s="4"/>
      <c r="H448" s="6"/>
    </row>
    <row r="449" spans="1:8" x14ac:dyDescent="0.2">
      <c r="A449" s="31">
        <f>Winter!A452</f>
        <v>108</v>
      </c>
      <c r="B449" s="2">
        <v>444</v>
      </c>
      <c r="C449" s="3">
        <f t="shared" si="11"/>
        <v>4309.0909090909099</v>
      </c>
      <c r="D449" s="4">
        <f t="shared" si="10"/>
        <v>132.5067660349653</v>
      </c>
      <c r="E449" s="6"/>
      <c r="F449" s="20"/>
      <c r="G449" s="4"/>
      <c r="H449" s="6"/>
    </row>
    <row r="450" spans="1:8" x14ac:dyDescent="0.2">
      <c r="A450" s="31">
        <f>Winter!A453</f>
        <v>109</v>
      </c>
      <c r="B450" s="2">
        <v>445</v>
      </c>
      <c r="C450" s="3">
        <f t="shared" si="11"/>
        <v>4500</v>
      </c>
      <c r="D450" s="4">
        <f t="shared" si="10"/>
        <v>138.37731896056499</v>
      </c>
      <c r="E450" s="6"/>
      <c r="F450" s="20"/>
      <c r="G450" s="4"/>
      <c r="H450" s="6"/>
    </row>
    <row r="451" spans="1:8" x14ac:dyDescent="0.2">
      <c r="A451" s="31">
        <f>Winter!A454</f>
        <v>110</v>
      </c>
      <c r="B451" s="2">
        <v>446</v>
      </c>
      <c r="C451" s="3">
        <f t="shared" si="11"/>
        <v>4414.2857142857147</v>
      </c>
      <c r="D451" s="4">
        <f t="shared" si="10"/>
        <v>135.74156050417326</v>
      </c>
      <c r="E451" s="6"/>
      <c r="F451" s="20"/>
      <c r="G451" s="4"/>
      <c r="H451" s="6"/>
    </row>
    <row r="452" spans="1:8" x14ac:dyDescent="0.2">
      <c r="A452" s="31">
        <f>Winter!A455</f>
        <v>111</v>
      </c>
      <c r="B452" s="2">
        <v>447</v>
      </c>
      <c r="C452" s="3">
        <f t="shared" si="11"/>
        <v>4328.5714285714294</v>
      </c>
      <c r="D452" s="4">
        <f t="shared" si="10"/>
        <v>133.10580204778159</v>
      </c>
      <c r="E452" s="6"/>
      <c r="F452" s="20"/>
      <c r="G452" s="4"/>
      <c r="H452" s="6"/>
    </row>
    <row r="453" spans="1:8" x14ac:dyDescent="0.2">
      <c r="A453" s="31">
        <f>Winter!A456</f>
        <v>112</v>
      </c>
      <c r="B453" s="2">
        <v>448</v>
      </c>
      <c r="C453" s="3">
        <f t="shared" si="11"/>
        <v>4242.8571428571431</v>
      </c>
      <c r="D453" s="4">
        <f t="shared" si="10"/>
        <v>130.47004359138984</v>
      </c>
      <c r="E453" s="6"/>
      <c r="F453" s="20"/>
      <c r="G453" s="4"/>
      <c r="H453" s="6"/>
    </row>
    <row r="454" spans="1:8" x14ac:dyDescent="0.2">
      <c r="A454" s="31">
        <f>Winter!A457</f>
        <v>113</v>
      </c>
      <c r="B454" s="2">
        <v>449</v>
      </c>
      <c r="C454" s="3">
        <f t="shared" si="11"/>
        <v>4157.1428571428569</v>
      </c>
      <c r="D454" s="4">
        <f t="shared" si="10"/>
        <v>127.83428513499814</v>
      </c>
      <c r="E454" s="6"/>
      <c r="F454" s="20"/>
      <c r="G454" s="4"/>
      <c r="H454" s="6"/>
    </row>
    <row r="455" spans="1:8" x14ac:dyDescent="0.2">
      <c r="A455" s="31">
        <f>Winter!A458</f>
        <v>114</v>
      </c>
      <c r="B455" s="2">
        <v>450</v>
      </c>
      <c r="C455" s="3">
        <f t="shared" si="11"/>
        <v>4071.4285714285711</v>
      </c>
      <c r="D455" s="4">
        <f t="shared" ref="D455:D518" si="12">$G$3*C455*(1/$G$5-1/$G$4)</f>
        <v>125.19852667860643</v>
      </c>
      <c r="E455" s="6"/>
      <c r="F455" s="20"/>
      <c r="G455" s="4"/>
      <c r="H455" s="6"/>
    </row>
    <row r="456" spans="1:8" x14ac:dyDescent="0.2">
      <c r="A456" s="31">
        <f>Winter!A459</f>
        <v>115</v>
      </c>
      <c r="B456" s="2">
        <v>451</v>
      </c>
      <c r="C456" s="3">
        <f t="shared" si="11"/>
        <v>3985.7142857142862</v>
      </c>
      <c r="D456" s="4">
        <f t="shared" si="12"/>
        <v>122.56276822221473</v>
      </c>
      <c r="E456" s="6"/>
      <c r="F456" s="20"/>
      <c r="G456" s="4"/>
      <c r="H456" s="6"/>
    </row>
    <row r="457" spans="1:8" x14ac:dyDescent="0.2">
      <c r="A457" s="31">
        <f>Winter!A460</f>
        <v>116</v>
      </c>
      <c r="B457" s="2">
        <v>452</v>
      </c>
      <c r="C457" s="3">
        <f t="shared" si="11"/>
        <v>3900</v>
      </c>
      <c r="D457" s="4">
        <f t="shared" si="12"/>
        <v>119.92700976582299</v>
      </c>
      <c r="E457" s="6"/>
      <c r="F457" s="20"/>
      <c r="G457" s="4"/>
      <c r="H457" s="6"/>
    </row>
    <row r="458" spans="1:8" x14ac:dyDescent="0.2">
      <c r="A458" s="31">
        <f>Winter!A461</f>
        <v>117</v>
      </c>
      <c r="B458" s="2">
        <v>453</v>
      </c>
      <c r="C458" s="3">
        <f t="shared" si="11"/>
        <v>4199.9999999999991</v>
      </c>
      <c r="D458" s="4">
        <f t="shared" si="12"/>
        <v>129.15216436319398</v>
      </c>
      <c r="E458" s="6"/>
      <c r="F458" s="20"/>
      <c r="G458" s="4"/>
      <c r="H458" s="6"/>
    </row>
    <row r="459" spans="1:8" x14ac:dyDescent="0.2">
      <c r="A459" s="31">
        <f>Winter!A462</f>
        <v>118</v>
      </c>
      <c r="B459" s="2">
        <v>454</v>
      </c>
      <c r="C459" s="3">
        <f t="shared" si="11"/>
        <v>3749.9999999999995</v>
      </c>
      <c r="D459" s="4">
        <f t="shared" si="12"/>
        <v>115.31443246713748</v>
      </c>
      <c r="E459" s="6"/>
      <c r="F459" s="20"/>
      <c r="G459" s="4"/>
      <c r="H459" s="6"/>
    </row>
    <row r="460" spans="1:8" x14ac:dyDescent="0.2">
      <c r="A460" s="31">
        <f>Winter!A463</f>
        <v>119</v>
      </c>
      <c r="B460" s="2">
        <v>455</v>
      </c>
      <c r="C460" s="3">
        <f t="shared" si="11"/>
        <v>3300</v>
      </c>
      <c r="D460" s="4">
        <f t="shared" si="12"/>
        <v>101.476700571081</v>
      </c>
      <c r="E460" s="6"/>
      <c r="F460" s="20"/>
      <c r="G460" s="4"/>
      <c r="H460" s="6"/>
    </row>
    <row r="461" spans="1:8" x14ac:dyDescent="0.2">
      <c r="A461" s="31">
        <f>Winter!A464</f>
        <v>120</v>
      </c>
      <c r="B461" s="2">
        <v>456</v>
      </c>
      <c r="C461" s="3">
        <f t="shared" si="11"/>
        <v>2850</v>
      </c>
      <c r="D461" s="4">
        <f t="shared" si="12"/>
        <v>87.6389686750245</v>
      </c>
      <c r="E461" s="6"/>
      <c r="F461" s="20"/>
      <c r="G461" s="4"/>
      <c r="H461" s="6"/>
    </row>
    <row r="462" spans="1:8" x14ac:dyDescent="0.2">
      <c r="A462" s="31">
        <f>Winter!A465</f>
        <v>121</v>
      </c>
      <c r="B462" s="2">
        <v>457</v>
      </c>
      <c r="C462" s="3">
        <f t="shared" si="11"/>
        <v>2400</v>
      </c>
      <c r="D462" s="4">
        <f t="shared" si="12"/>
        <v>73.80123677896799</v>
      </c>
      <c r="E462" s="6"/>
      <c r="F462" s="20"/>
      <c r="G462" s="4"/>
      <c r="H462" s="6"/>
    </row>
    <row r="463" spans="1:8" x14ac:dyDescent="0.2">
      <c r="A463" s="31">
        <f>Winter!A466</f>
        <v>122</v>
      </c>
      <c r="B463" s="2">
        <v>458</v>
      </c>
      <c r="C463" s="3">
        <f t="shared" si="11"/>
        <v>2400</v>
      </c>
      <c r="D463" s="4">
        <f t="shared" si="12"/>
        <v>73.80123677896799</v>
      </c>
      <c r="E463" s="6"/>
      <c r="F463" s="20"/>
      <c r="G463" s="4"/>
      <c r="H463" s="6"/>
    </row>
    <row r="464" spans="1:8" x14ac:dyDescent="0.2">
      <c r="A464" s="31">
        <f>Winter!A467</f>
        <v>123</v>
      </c>
      <c r="B464" s="2">
        <v>459</v>
      </c>
      <c r="C464" s="3">
        <f t="shared" si="11"/>
        <v>2571.4285714285716</v>
      </c>
      <c r="D464" s="4">
        <f t="shared" si="12"/>
        <v>79.07275369175143</v>
      </c>
      <c r="E464" s="6"/>
      <c r="F464" s="20"/>
      <c r="G464" s="4"/>
      <c r="H464" s="6"/>
    </row>
    <row r="465" spans="1:8" x14ac:dyDescent="0.2">
      <c r="A465" s="31">
        <f>Winter!A468</f>
        <v>124</v>
      </c>
      <c r="B465" s="2">
        <v>460</v>
      </c>
      <c r="C465" s="3">
        <f t="shared" si="11"/>
        <v>2742.8571428571427</v>
      </c>
      <c r="D465" s="4">
        <f t="shared" si="12"/>
        <v>84.344270604534856</v>
      </c>
      <c r="E465" s="6"/>
      <c r="F465" s="20"/>
      <c r="G465" s="4"/>
      <c r="H465" s="6"/>
    </row>
    <row r="466" spans="1:8" x14ac:dyDescent="0.2">
      <c r="A466" s="31">
        <f>Winter!A469</f>
        <v>125</v>
      </c>
      <c r="B466" s="2">
        <v>461</v>
      </c>
      <c r="C466" s="3">
        <f t="shared" si="11"/>
        <v>2914.2857142857147</v>
      </c>
      <c r="D466" s="4">
        <f t="shared" si="12"/>
        <v>89.615787517318296</v>
      </c>
      <c r="E466" s="6"/>
      <c r="F466" s="20"/>
      <c r="G466" s="4"/>
      <c r="H466" s="6"/>
    </row>
    <row r="467" spans="1:8" x14ac:dyDescent="0.2">
      <c r="A467" s="31">
        <f>Winter!A470</f>
        <v>126</v>
      </c>
      <c r="B467" s="2">
        <v>462</v>
      </c>
      <c r="C467" s="3">
        <f t="shared" si="11"/>
        <v>3085.7142857142858</v>
      </c>
      <c r="D467" s="4">
        <f t="shared" si="12"/>
        <v>94.887304430101707</v>
      </c>
      <c r="E467" s="6"/>
      <c r="F467" s="20"/>
      <c r="G467" s="4"/>
      <c r="H467" s="6"/>
    </row>
    <row r="468" spans="1:8" x14ac:dyDescent="0.2">
      <c r="A468" s="31">
        <f>Winter!A471</f>
        <v>127</v>
      </c>
      <c r="B468" s="2">
        <v>463</v>
      </c>
      <c r="C468" s="3">
        <f t="shared" si="11"/>
        <v>3257.1428571428573</v>
      </c>
      <c r="D468" s="4">
        <f t="shared" si="12"/>
        <v>100.15882134288513</v>
      </c>
      <c r="E468" s="6"/>
      <c r="F468" s="20"/>
      <c r="G468" s="4"/>
      <c r="H468" s="6"/>
    </row>
    <row r="469" spans="1:8" x14ac:dyDescent="0.2">
      <c r="A469" s="31">
        <f>Winter!A472</f>
        <v>128</v>
      </c>
      <c r="B469" s="2">
        <v>464</v>
      </c>
      <c r="C469" s="3">
        <f t="shared" si="11"/>
        <v>3428.5714285714289</v>
      </c>
      <c r="D469" s="4">
        <f t="shared" si="12"/>
        <v>105.43033825566857</v>
      </c>
      <c r="E469" s="6"/>
      <c r="F469" s="20"/>
      <c r="G469" s="4"/>
      <c r="H469" s="6"/>
    </row>
    <row r="470" spans="1:8" x14ac:dyDescent="0.2">
      <c r="A470" s="31">
        <f>Winter!A473</f>
        <v>129</v>
      </c>
      <c r="B470" s="2">
        <v>465</v>
      </c>
      <c r="C470" s="3">
        <f t="shared" si="11"/>
        <v>3600</v>
      </c>
      <c r="D470" s="4">
        <f t="shared" si="12"/>
        <v>110.701855168452</v>
      </c>
      <c r="E470" s="6"/>
      <c r="F470" s="20"/>
      <c r="G470" s="4"/>
      <c r="H470" s="6"/>
    </row>
    <row r="471" spans="1:8" x14ac:dyDescent="0.2">
      <c r="A471" s="31">
        <f>Winter!A474</f>
        <v>130</v>
      </c>
      <c r="B471" s="2">
        <v>466</v>
      </c>
      <c r="C471" s="3">
        <f t="shared" ref="C471:C509" si="13">C135</f>
        <v>3771.428571428572</v>
      </c>
      <c r="D471" s="4">
        <f t="shared" si="12"/>
        <v>115.97337208123544</v>
      </c>
      <c r="E471" s="6"/>
      <c r="F471" s="20"/>
      <c r="G471" s="4"/>
      <c r="H471" s="6"/>
    </row>
    <row r="472" spans="1:8" x14ac:dyDescent="0.2">
      <c r="A472" s="31">
        <f>Winter!A475</f>
        <v>131</v>
      </c>
      <c r="B472" s="2">
        <v>467</v>
      </c>
      <c r="C472" s="3">
        <f t="shared" si="13"/>
        <v>3942.8571428571436</v>
      </c>
      <c r="D472" s="4">
        <f t="shared" si="12"/>
        <v>121.24488899401888</v>
      </c>
      <c r="E472" s="6"/>
      <c r="F472" s="20"/>
      <c r="G472" s="4"/>
      <c r="H472" s="6"/>
    </row>
    <row r="473" spans="1:8" x14ac:dyDescent="0.2">
      <c r="A473" s="31">
        <f>Winter!A476</f>
        <v>132</v>
      </c>
      <c r="B473" s="2">
        <v>468</v>
      </c>
      <c r="C473" s="3">
        <f t="shared" si="13"/>
        <v>4114.2857142857147</v>
      </c>
      <c r="D473" s="4">
        <f t="shared" si="12"/>
        <v>126.51640590680228</v>
      </c>
      <c r="E473" s="6"/>
      <c r="F473" s="20"/>
      <c r="G473" s="4"/>
      <c r="H473" s="6"/>
    </row>
    <row r="474" spans="1:8" x14ac:dyDescent="0.2">
      <c r="A474" s="31">
        <f>Winter!A477</f>
        <v>133</v>
      </c>
      <c r="B474" s="2">
        <v>469</v>
      </c>
      <c r="C474" s="3">
        <f t="shared" si="13"/>
        <v>4199.9999999999991</v>
      </c>
      <c r="D474" s="4">
        <f t="shared" si="12"/>
        <v>129.15216436319398</v>
      </c>
      <c r="E474" s="6"/>
      <c r="F474" s="20"/>
      <c r="G474" s="4"/>
      <c r="H474" s="6"/>
    </row>
    <row r="475" spans="1:8" x14ac:dyDescent="0.2">
      <c r="A475" s="31">
        <f>Winter!A478</f>
        <v>134</v>
      </c>
      <c r="B475" s="2">
        <v>470</v>
      </c>
      <c r="C475" s="3">
        <f t="shared" si="13"/>
        <v>4199.9999999999991</v>
      </c>
      <c r="D475" s="4">
        <f t="shared" si="12"/>
        <v>129.15216436319398</v>
      </c>
      <c r="E475" s="6"/>
      <c r="F475" s="20"/>
      <c r="G475" s="4"/>
      <c r="H475" s="6"/>
    </row>
    <row r="476" spans="1:8" x14ac:dyDescent="0.2">
      <c r="A476" s="31">
        <f>Winter!A479</f>
        <v>135</v>
      </c>
      <c r="B476" s="2">
        <v>471</v>
      </c>
      <c r="C476" s="3">
        <f t="shared" si="13"/>
        <v>4628.5714285714294</v>
      </c>
      <c r="D476" s="4">
        <f t="shared" si="12"/>
        <v>142.33095664515258</v>
      </c>
      <c r="E476" s="6"/>
      <c r="F476" s="20"/>
      <c r="G476" s="4"/>
      <c r="H476" s="6"/>
    </row>
    <row r="477" spans="1:8" x14ac:dyDescent="0.2">
      <c r="A477" s="31">
        <f>Winter!A480</f>
        <v>136</v>
      </c>
      <c r="B477" s="2">
        <v>472</v>
      </c>
      <c r="C477" s="3">
        <f t="shared" si="13"/>
        <v>4800</v>
      </c>
      <c r="D477" s="4">
        <f t="shared" si="12"/>
        <v>147.60247355793598</v>
      </c>
      <c r="E477" s="6"/>
      <c r="F477" s="20"/>
      <c r="G477" s="4"/>
      <c r="H477" s="6"/>
    </row>
    <row r="478" spans="1:8" x14ac:dyDescent="0.2">
      <c r="A478" s="31">
        <f>Winter!A481</f>
        <v>137</v>
      </c>
      <c r="B478" s="2">
        <v>473</v>
      </c>
      <c r="C478" s="3">
        <f t="shared" si="13"/>
        <v>4560</v>
      </c>
      <c r="D478" s="4">
        <f t="shared" si="12"/>
        <v>140.22234988003919</v>
      </c>
      <c r="E478" s="6"/>
      <c r="F478" s="20"/>
      <c r="G478" s="4"/>
      <c r="H478" s="6"/>
    </row>
    <row r="479" spans="1:8" x14ac:dyDescent="0.2">
      <c r="A479" s="31">
        <f>Winter!A482</f>
        <v>138</v>
      </c>
      <c r="B479" s="2">
        <v>474</v>
      </c>
      <c r="C479" s="3">
        <f t="shared" si="13"/>
        <v>4320</v>
      </c>
      <c r="D479" s="4">
        <f t="shared" si="12"/>
        <v>132.8422262021424</v>
      </c>
      <c r="E479" s="6"/>
      <c r="F479" s="20"/>
      <c r="G479" s="4"/>
      <c r="H479" s="6"/>
    </row>
    <row r="480" spans="1:8" x14ac:dyDescent="0.2">
      <c r="A480" s="31">
        <f>Winter!A483</f>
        <v>139</v>
      </c>
      <c r="B480" s="2">
        <v>475</v>
      </c>
      <c r="C480" s="3">
        <f t="shared" si="13"/>
        <v>4199.9999999999991</v>
      </c>
      <c r="D480" s="4">
        <f t="shared" si="12"/>
        <v>129.15216436319398</v>
      </c>
      <c r="E480" s="6"/>
      <c r="F480" s="20"/>
      <c r="G480" s="4"/>
      <c r="H480" s="6"/>
    </row>
    <row r="481" spans="1:8" x14ac:dyDescent="0.2">
      <c r="A481" s="31">
        <f>Winter!A484</f>
        <v>140</v>
      </c>
      <c r="B481" s="2">
        <v>476</v>
      </c>
      <c r="C481" s="3">
        <f t="shared" si="13"/>
        <v>3839.9999999999995</v>
      </c>
      <c r="D481" s="4">
        <f t="shared" si="12"/>
        <v>118.08197884634878</v>
      </c>
      <c r="E481" s="6"/>
      <c r="F481" s="20"/>
      <c r="G481" s="4"/>
      <c r="H481" s="6"/>
    </row>
    <row r="482" spans="1:8" x14ac:dyDescent="0.2">
      <c r="A482" s="31">
        <f>Winter!A485</f>
        <v>141</v>
      </c>
      <c r="B482" s="2">
        <v>477</v>
      </c>
      <c r="C482" s="3">
        <f t="shared" si="13"/>
        <v>3599.9999999999986</v>
      </c>
      <c r="D482" s="4">
        <f t="shared" si="12"/>
        <v>110.70185516845196</v>
      </c>
      <c r="E482" s="6"/>
      <c r="F482" s="20"/>
      <c r="G482" s="4"/>
      <c r="H482" s="6"/>
    </row>
    <row r="483" spans="1:8" x14ac:dyDescent="0.2">
      <c r="A483" s="31">
        <f>Winter!A486</f>
        <v>142</v>
      </c>
      <c r="B483" s="2">
        <v>478</v>
      </c>
      <c r="C483" s="3">
        <f t="shared" si="13"/>
        <v>3359.9999999999995</v>
      </c>
      <c r="D483" s="4">
        <f t="shared" si="12"/>
        <v>103.32173149055518</v>
      </c>
      <c r="E483" s="6"/>
      <c r="F483" s="20"/>
      <c r="G483" s="4"/>
      <c r="H483" s="6"/>
    </row>
    <row r="484" spans="1:8" x14ac:dyDescent="0.2">
      <c r="A484" s="31">
        <f>Winter!A487</f>
        <v>143</v>
      </c>
      <c r="B484" s="2">
        <v>479</v>
      </c>
      <c r="C484" s="3">
        <f t="shared" si="13"/>
        <v>2700</v>
      </c>
      <c r="D484" s="4">
        <f t="shared" si="12"/>
        <v>83.026391376338992</v>
      </c>
      <c r="E484" s="6"/>
      <c r="F484" s="20"/>
      <c r="G484" s="4"/>
      <c r="H484" s="6"/>
    </row>
    <row r="485" spans="1:8" x14ac:dyDescent="0.2">
      <c r="A485" s="31">
        <f>Winter!A488</f>
        <v>144</v>
      </c>
      <c r="B485" s="2">
        <v>480</v>
      </c>
      <c r="C485" s="3">
        <f t="shared" si="13"/>
        <v>2550</v>
      </c>
      <c r="D485" s="4">
        <f t="shared" si="12"/>
        <v>78.413814077653498</v>
      </c>
      <c r="E485" s="6"/>
      <c r="F485" s="20"/>
      <c r="G485" s="4"/>
      <c r="H485" s="6"/>
    </row>
    <row r="486" spans="1:8" x14ac:dyDescent="0.2">
      <c r="A486" s="31">
        <f>Winter!A489</f>
        <v>145</v>
      </c>
      <c r="B486" s="2">
        <v>481</v>
      </c>
      <c r="C486" s="3">
        <f t="shared" si="13"/>
        <v>2400</v>
      </c>
      <c r="D486" s="4">
        <f t="shared" si="12"/>
        <v>73.80123677896799</v>
      </c>
      <c r="E486" s="6"/>
      <c r="F486" s="20"/>
      <c r="G486" s="4"/>
      <c r="H486" s="6"/>
    </row>
    <row r="487" spans="1:8" x14ac:dyDescent="0.2">
      <c r="A487" s="31">
        <f>Winter!A490</f>
        <v>146</v>
      </c>
      <c r="B487" s="2">
        <v>482</v>
      </c>
      <c r="C487" s="3">
        <f t="shared" si="13"/>
        <v>2400</v>
      </c>
      <c r="D487" s="4">
        <f t="shared" si="12"/>
        <v>73.80123677896799</v>
      </c>
      <c r="E487" s="6"/>
      <c r="F487" s="20"/>
      <c r="G487" s="4"/>
      <c r="H487" s="6"/>
    </row>
    <row r="488" spans="1:8" x14ac:dyDescent="0.2">
      <c r="A488" s="31">
        <f>Winter!A491</f>
        <v>147</v>
      </c>
      <c r="B488" s="2">
        <v>483</v>
      </c>
      <c r="C488" s="3">
        <f t="shared" si="13"/>
        <v>2550.0000000000005</v>
      </c>
      <c r="D488" s="4">
        <f t="shared" si="12"/>
        <v>78.413814077653512</v>
      </c>
      <c r="E488" s="6"/>
      <c r="F488" s="20"/>
      <c r="G488" s="4"/>
      <c r="H488" s="6"/>
    </row>
    <row r="489" spans="1:8" x14ac:dyDescent="0.2">
      <c r="A489" s="31">
        <f>Winter!A492</f>
        <v>148</v>
      </c>
      <c r="B489" s="2">
        <v>484</v>
      </c>
      <c r="C489" s="3">
        <f t="shared" si="13"/>
        <v>2700</v>
      </c>
      <c r="D489" s="4">
        <f t="shared" si="12"/>
        <v>83.026391376338992</v>
      </c>
      <c r="E489" s="6"/>
      <c r="F489" s="20"/>
      <c r="G489" s="4"/>
      <c r="H489" s="6"/>
    </row>
    <row r="490" spans="1:8" x14ac:dyDescent="0.2">
      <c r="A490" s="31">
        <f>Winter!A493</f>
        <v>149</v>
      </c>
      <c r="B490" s="2">
        <v>485</v>
      </c>
      <c r="C490" s="3">
        <f t="shared" si="13"/>
        <v>2850</v>
      </c>
      <c r="D490" s="4">
        <f t="shared" si="12"/>
        <v>87.6389686750245</v>
      </c>
      <c r="E490" s="6"/>
      <c r="F490" s="20"/>
      <c r="G490" s="4"/>
      <c r="H490" s="6"/>
    </row>
    <row r="491" spans="1:8" x14ac:dyDescent="0.2">
      <c r="A491" s="31">
        <f>Winter!A494</f>
        <v>150</v>
      </c>
      <c r="B491" s="2">
        <v>486</v>
      </c>
      <c r="C491" s="3">
        <f t="shared" si="13"/>
        <v>3000</v>
      </c>
      <c r="D491" s="4">
        <f t="shared" si="12"/>
        <v>92.251545973709995</v>
      </c>
      <c r="E491" s="6"/>
      <c r="F491" s="20"/>
      <c r="G491" s="4"/>
      <c r="H491" s="6"/>
    </row>
    <row r="492" spans="1:8" x14ac:dyDescent="0.2">
      <c r="A492" s="31">
        <f>Winter!A495</f>
        <v>151</v>
      </c>
      <c r="B492" s="2">
        <v>487</v>
      </c>
      <c r="C492" s="3">
        <f t="shared" si="13"/>
        <v>3150</v>
      </c>
      <c r="D492" s="4">
        <f t="shared" si="12"/>
        <v>96.864123272395489</v>
      </c>
      <c r="E492" s="6"/>
      <c r="F492" s="20"/>
      <c r="G492" s="4"/>
      <c r="H492" s="6"/>
    </row>
    <row r="493" spans="1:8" x14ac:dyDescent="0.2">
      <c r="A493" s="31">
        <f>Winter!A496</f>
        <v>152</v>
      </c>
      <c r="B493" s="2">
        <v>488</v>
      </c>
      <c r="C493" s="3">
        <f t="shared" si="13"/>
        <v>3300</v>
      </c>
      <c r="D493" s="4">
        <f t="shared" si="12"/>
        <v>101.476700571081</v>
      </c>
      <c r="E493" s="6"/>
      <c r="F493" s="20"/>
      <c r="G493" s="4"/>
      <c r="H493" s="6"/>
    </row>
    <row r="494" spans="1:8" x14ac:dyDescent="0.2">
      <c r="A494" s="31">
        <f>Winter!A497</f>
        <v>153</v>
      </c>
      <c r="B494" s="2">
        <v>489</v>
      </c>
      <c r="C494" s="3">
        <f t="shared" si="13"/>
        <v>3450</v>
      </c>
      <c r="D494" s="4">
        <f t="shared" si="12"/>
        <v>106.08927786976649</v>
      </c>
      <c r="E494" s="6"/>
      <c r="F494" s="20"/>
      <c r="G494" s="4"/>
      <c r="H494" s="6"/>
    </row>
    <row r="495" spans="1:8" x14ac:dyDescent="0.2">
      <c r="A495" s="31">
        <f>Winter!A498</f>
        <v>154</v>
      </c>
      <c r="B495" s="2">
        <v>490</v>
      </c>
      <c r="C495" s="3">
        <f t="shared" si="13"/>
        <v>3600</v>
      </c>
      <c r="D495" s="4">
        <f t="shared" si="12"/>
        <v>110.701855168452</v>
      </c>
      <c r="E495" s="6"/>
      <c r="F495" s="20"/>
      <c r="G495" s="4"/>
      <c r="H495" s="6"/>
    </row>
    <row r="496" spans="1:8" x14ac:dyDescent="0.2">
      <c r="A496" s="31">
        <f>Winter!A499</f>
        <v>155</v>
      </c>
      <c r="B496" s="2">
        <v>491</v>
      </c>
      <c r="C496" s="3">
        <f t="shared" si="13"/>
        <v>3750.0000000000005</v>
      </c>
      <c r="D496" s="4">
        <f t="shared" si="12"/>
        <v>115.31443246713751</v>
      </c>
      <c r="E496" s="6"/>
      <c r="F496" s="20"/>
      <c r="G496" s="4"/>
      <c r="H496" s="6"/>
    </row>
    <row r="497" spans="1:8" x14ac:dyDescent="0.2">
      <c r="A497" s="31">
        <f>Winter!A500</f>
        <v>156</v>
      </c>
      <c r="B497" s="2">
        <v>492</v>
      </c>
      <c r="C497" s="3">
        <f t="shared" si="13"/>
        <v>3900.0000000000009</v>
      </c>
      <c r="D497" s="4">
        <f t="shared" si="12"/>
        <v>119.92700976582302</v>
      </c>
      <c r="E497" s="6"/>
      <c r="F497" s="20"/>
      <c r="G497" s="4"/>
      <c r="H497" s="6"/>
    </row>
    <row r="498" spans="1:8" x14ac:dyDescent="0.2">
      <c r="A498" s="31">
        <f>Winter!A501</f>
        <v>157</v>
      </c>
      <c r="B498" s="2">
        <v>493</v>
      </c>
      <c r="C498" s="3">
        <f t="shared" si="13"/>
        <v>4050.0000000000009</v>
      </c>
      <c r="D498" s="4">
        <f t="shared" si="12"/>
        <v>124.53958706450852</v>
      </c>
      <c r="E498" s="6"/>
      <c r="F498" s="20"/>
      <c r="G498" s="4"/>
      <c r="H498" s="6"/>
    </row>
    <row r="499" spans="1:8" x14ac:dyDescent="0.2">
      <c r="A499" s="31">
        <f>Winter!A502</f>
        <v>158</v>
      </c>
      <c r="B499" s="2">
        <v>494</v>
      </c>
      <c r="C499" s="3">
        <f t="shared" si="13"/>
        <v>4200.0000000000009</v>
      </c>
      <c r="D499" s="4">
        <f t="shared" si="12"/>
        <v>129.152164363194</v>
      </c>
      <c r="E499" s="6"/>
      <c r="F499" s="20"/>
      <c r="G499" s="4"/>
      <c r="H499" s="6"/>
    </row>
    <row r="500" spans="1:8" x14ac:dyDescent="0.2">
      <c r="A500" s="31">
        <f>Winter!A503</f>
        <v>159</v>
      </c>
      <c r="B500" s="2">
        <v>495</v>
      </c>
      <c r="C500" s="3">
        <f t="shared" si="13"/>
        <v>4050</v>
      </c>
      <c r="D500" s="4">
        <f t="shared" si="12"/>
        <v>124.5395870645085</v>
      </c>
      <c r="E500" s="6"/>
      <c r="F500" s="20"/>
      <c r="G500" s="4"/>
      <c r="H500" s="6"/>
    </row>
    <row r="501" spans="1:8" x14ac:dyDescent="0.2">
      <c r="A501" s="31">
        <f>Winter!A504</f>
        <v>160</v>
      </c>
      <c r="B501" s="2">
        <v>496</v>
      </c>
      <c r="C501" s="3">
        <f t="shared" si="13"/>
        <v>4199.9999999999991</v>
      </c>
      <c r="D501" s="4">
        <f t="shared" si="12"/>
        <v>129.15216436319398</v>
      </c>
      <c r="E501" s="6"/>
      <c r="F501" s="20"/>
      <c r="G501" s="4"/>
      <c r="H501" s="6"/>
    </row>
    <row r="502" spans="1:8" x14ac:dyDescent="0.2">
      <c r="A502" s="31">
        <f>Winter!A505</f>
        <v>161</v>
      </c>
      <c r="B502" s="2">
        <v>497</v>
      </c>
      <c r="C502" s="3">
        <f t="shared" si="13"/>
        <v>4800</v>
      </c>
      <c r="D502" s="4">
        <f t="shared" si="12"/>
        <v>147.60247355793598</v>
      </c>
      <c r="E502" s="6"/>
      <c r="F502" s="20"/>
      <c r="G502" s="4"/>
      <c r="H502" s="6"/>
    </row>
    <row r="503" spans="1:8" x14ac:dyDescent="0.2">
      <c r="A503" s="31">
        <f>Winter!A506</f>
        <v>162</v>
      </c>
      <c r="B503" s="2">
        <v>498</v>
      </c>
      <c r="C503" s="3">
        <f t="shared" si="13"/>
        <v>4649.9999999999991</v>
      </c>
      <c r="D503" s="4">
        <f t="shared" si="12"/>
        <v>142.98989625925046</v>
      </c>
      <c r="E503" s="6"/>
      <c r="F503" s="20"/>
      <c r="G503" s="4"/>
      <c r="H503" s="6"/>
    </row>
    <row r="504" spans="1:8" x14ac:dyDescent="0.2">
      <c r="A504" s="31">
        <f>Winter!A507</f>
        <v>163</v>
      </c>
      <c r="B504" s="2">
        <v>499</v>
      </c>
      <c r="C504" s="3">
        <f t="shared" si="13"/>
        <v>4949.9999999999991</v>
      </c>
      <c r="D504" s="4">
        <f t="shared" si="12"/>
        <v>152.21505085662147</v>
      </c>
      <c r="E504" s="6"/>
      <c r="F504" s="20"/>
      <c r="G504" s="4"/>
      <c r="H504" s="6"/>
    </row>
    <row r="505" spans="1:8" x14ac:dyDescent="0.2">
      <c r="A505" s="31">
        <f>Winter!A508</f>
        <v>164</v>
      </c>
      <c r="B505" s="2">
        <v>500</v>
      </c>
      <c r="C505" s="3">
        <f t="shared" si="13"/>
        <v>4620</v>
      </c>
      <c r="D505" s="4">
        <f t="shared" si="12"/>
        <v>142.06738079951339</v>
      </c>
      <c r="E505" s="6"/>
      <c r="F505" s="20"/>
      <c r="G505" s="4"/>
      <c r="H505" s="6"/>
    </row>
    <row r="506" spans="1:8" x14ac:dyDescent="0.2">
      <c r="A506" s="31">
        <f>Winter!A509</f>
        <v>165</v>
      </c>
      <c r="B506" s="2">
        <v>501</v>
      </c>
      <c r="C506" s="3">
        <f t="shared" si="13"/>
        <v>4290</v>
      </c>
      <c r="D506" s="4">
        <f t="shared" si="12"/>
        <v>131.9197107424053</v>
      </c>
      <c r="E506" s="6"/>
      <c r="F506" s="20"/>
      <c r="G506" s="4"/>
      <c r="H506" s="6"/>
    </row>
    <row r="507" spans="1:8" x14ac:dyDescent="0.2">
      <c r="A507" s="31">
        <f>Winter!A510</f>
        <v>166</v>
      </c>
      <c r="B507" s="2">
        <v>502</v>
      </c>
      <c r="C507" s="3">
        <f t="shared" si="13"/>
        <v>3959.9999999999995</v>
      </c>
      <c r="D507" s="4">
        <f t="shared" si="12"/>
        <v>121.77204068529717</v>
      </c>
      <c r="E507" s="6"/>
      <c r="F507" s="20"/>
      <c r="G507" s="4"/>
      <c r="H507" s="6"/>
    </row>
    <row r="508" spans="1:8" x14ac:dyDescent="0.2">
      <c r="A508" s="31">
        <f>Winter!A511</f>
        <v>167</v>
      </c>
      <c r="B508" s="2">
        <v>503</v>
      </c>
      <c r="C508" s="3">
        <f t="shared" si="13"/>
        <v>3630</v>
      </c>
      <c r="D508" s="4">
        <f t="shared" si="12"/>
        <v>111.6243706281891</v>
      </c>
      <c r="E508" s="6"/>
      <c r="F508" s="20"/>
      <c r="G508" s="4"/>
      <c r="H508" s="6"/>
    </row>
    <row r="509" spans="1:8" x14ac:dyDescent="0.2">
      <c r="A509" s="31">
        <f>Winter!A512</f>
        <v>168</v>
      </c>
      <c r="B509" s="2">
        <v>504</v>
      </c>
      <c r="C509" s="3">
        <f t="shared" si="13"/>
        <v>3300</v>
      </c>
      <c r="D509" s="4">
        <f t="shared" si="12"/>
        <v>101.476700571081</v>
      </c>
      <c r="E509" s="6"/>
      <c r="F509" s="20"/>
      <c r="G509" s="4"/>
      <c r="H509" s="6"/>
    </row>
    <row r="510" spans="1:8" x14ac:dyDescent="0.2">
      <c r="A510" s="31">
        <f>Winter!A513</f>
        <v>1</v>
      </c>
      <c r="B510" s="2">
        <v>505</v>
      </c>
      <c r="C510" s="3">
        <f>C6</f>
        <v>2550</v>
      </c>
      <c r="D510" s="4">
        <f t="shared" si="12"/>
        <v>78.413814077653498</v>
      </c>
      <c r="E510" s="6"/>
      <c r="F510" s="20"/>
      <c r="G510" s="4"/>
      <c r="H510" s="6"/>
    </row>
    <row r="511" spans="1:8" x14ac:dyDescent="0.2">
      <c r="A511" s="31">
        <f>Winter!A514</f>
        <v>2</v>
      </c>
      <c r="B511" s="2">
        <v>506</v>
      </c>
      <c r="C511" s="3">
        <f t="shared" ref="C511:C574" si="14">C7</f>
        <v>2400</v>
      </c>
      <c r="D511" s="4">
        <f t="shared" si="12"/>
        <v>73.80123677896799</v>
      </c>
      <c r="E511" s="6"/>
      <c r="F511" s="20"/>
      <c r="G511" s="4"/>
      <c r="H511" s="6"/>
    </row>
    <row r="512" spans="1:8" x14ac:dyDescent="0.2">
      <c r="A512" s="31">
        <f>Winter!A515</f>
        <v>3</v>
      </c>
      <c r="B512" s="2">
        <v>507</v>
      </c>
      <c r="C512" s="3">
        <f t="shared" si="14"/>
        <v>2550</v>
      </c>
      <c r="D512" s="4">
        <f t="shared" si="12"/>
        <v>78.413814077653498</v>
      </c>
      <c r="E512" s="6"/>
      <c r="F512" s="20"/>
      <c r="G512" s="4"/>
      <c r="H512" s="6"/>
    </row>
    <row r="513" spans="1:8" x14ac:dyDescent="0.2">
      <c r="A513" s="31">
        <f>Winter!A516</f>
        <v>4</v>
      </c>
      <c r="B513" s="2">
        <v>508</v>
      </c>
      <c r="C513" s="3">
        <f t="shared" si="14"/>
        <v>2700</v>
      </c>
      <c r="D513" s="4">
        <f t="shared" si="12"/>
        <v>83.026391376338992</v>
      </c>
      <c r="E513" s="6"/>
      <c r="F513" s="20"/>
      <c r="G513" s="4"/>
      <c r="H513" s="6"/>
    </row>
    <row r="514" spans="1:8" x14ac:dyDescent="0.2">
      <c r="A514" s="31">
        <f>Winter!A517</f>
        <v>5</v>
      </c>
      <c r="B514" s="2">
        <v>509</v>
      </c>
      <c r="C514" s="3">
        <f t="shared" si="14"/>
        <v>3074.9999999999995</v>
      </c>
      <c r="D514" s="4">
        <f t="shared" si="12"/>
        <v>94.557834623052727</v>
      </c>
      <c r="E514" s="6"/>
      <c r="F514" s="20"/>
      <c r="G514" s="4"/>
      <c r="H514" s="6"/>
    </row>
    <row r="515" spans="1:8" x14ac:dyDescent="0.2">
      <c r="A515" s="31">
        <f>Winter!A518</f>
        <v>6</v>
      </c>
      <c r="B515" s="2">
        <v>510</v>
      </c>
      <c r="C515" s="3">
        <f t="shared" si="14"/>
        <v>3299.9999999999995</v>
      </c>
      <c r="D515" s="4">
        <f t="shared" si="12"/>
        <v>101.47670057108098</v>
      </c>
      <c r="E515" s="6"/>
      <c r="F515" s="20"/>
      <c r="G515" s="4"/>
      <c r="H515" s="6"/>
    </row>
    <row r="516" spans="1:8" x14ac:dyDescent="0.2">
      <c r="A516" s="31">
        <f>Winter!A519</f>
        <v>7</v>
      </c>
      <c r="B516" s="2">
        <v>511</v>
      </c>
      <c r="C516" s="3">
        <f t="shared" si="14"/>
        <v>3524.9999999999991</v>
      </c>
      <c r="D516" s="4">
        <f t="shared" si="12"/>
        <v>108.39556651910922</v>
      </c>
      <c r="E516" s="6"/>
      <c r="F516" s="20"/>
      <c r="G516" s="4"/>
      <c r="H516" s="6"/>
    </row>
    <row r="517" spans="1:8" x14ac:dyDescent="0.2">
      <c r="A517" s="31">
        <f>Winter!A520</f>
        <v>8</v>
      </c>
      <c r="B517" s="2">
        <v>512</v>
      </c>
      <c r="C517" s="3">
        <f t="shared" si="14"/>
        <v>3749.9999999999986</v>
      </c>
      <c r="D517" s="4">
        <f t="shared" si="12"/>
        <v>115.31443246713745</v>
      </c>
      <c r="E517" s="6"/>
      <c r="F517" s="20"/>
      <c r="G517" s="4"/>
      <c r="H517" s="6"/>
    </row>
    <row r="518" spans="1:8" x14ac:dyDescent="0.2">
      <c r="A518" s="31">
        <f>Winter!A521</f>
        <v>9</v>
      </c>
      <c r="B518" s="2">
        <v>513</v>
      </c>
      <c r="C518" s="3">
        <f t="shared" si="14"/>
        <v>3974.9999999999986</v>
      </c>
      <c r="D518" s="4">
        <f t="shared" si="12"/>
        <v>122.23329841516569</v>
      </c>
      <c r="E518" s="6"/>
      <c r="F518" s="20"/>
      <c r="G518" s="4"/>
      <c r="H518" s="6"/>
    </row>
    <row r="519" spans="1:8" x14ac:dyDescent="0.2">
      <c r="A519" s="31">
        <f>Winter!A522</f>
        <v>10</v>
      </c>
      <c r="B519" s="2">
        <v>514</v>
      </c>
      <c r="C519" s="3">
        <f t="shared" si="14"/>
        <v>4199.9999999999982</v>
      </c>
      <c r="D519" s="4">
        <f t="shared" ref="D519:D582" si="15">$G$3*C519*(1/$G$5-1/$G$4)</f>
        <v>129.15216436319395</v>
      </c>
      <c r="E519" s="6"/>
      <c r="F519" s="20"/>
      <c r="G519" s="4"/>
      <c r="H519" s="6"/>
    </row>
    <row r="520" spans="1:8" x14ac:dyDescent="0.2">
      <c r="A520" s="31">
        <f>Winter!A523</f>
        <v>11</v>
      </c>
      <c r="B520" s="2">
        <v>515</v>
      </c>
      <c r="C520" s="3">
        <f t="shared" si="14"/>
        <v>4424.9999999999991</v>
      </c>
      <c r="D520" s="4">
        <f t="shared" si="15"/>
        <v>136.07103031122222</v>
      </c>
      <c r="E520" s="6"/>
      <c r="F520" s="20"/>
      <c r="G520" s="4"/>
      <c r="H520" s="6"/>
    </row>
    <row r="521" spans="1:8" x14ac:dyDescent="0.2">
      <c r="A521" s="31">
        <f>Winter!A524</f>
        <v>12</v>
      </c>
      <c r="B521" s="2">
        <v>516</v>
      </c>
      <c r="C521" s="3">
        <f t="shared" si="14"/>
        <v>4649.9999999999982</v>
      </c>
      <c r="D521" s="4">
        <f t="shared" si="15"/>
        <v>142.98989625925043</v>
      </c>
      <c r="E521" s="6"/>
      <c r="F521" s="20"/>
      <c r="G521" s="4"/>
      <c r="H521" s="6"/>
    </row>
    <row r="522" spans="1:8" x14ac:dyDescent="0.2">
      <c r="A522" s="31">
        <f>Winter!A525</f>
        <v>13</v>
      </c>
      <c r="B522" s="2">
        <v>517</v>
      </c>
      <c r="C522" s="3">
        <f t="shared" si="14"/>
        <v>4875</v>
      </c>
      <c r="D522" s="4">
        <f t="shared" si="15"/>
        <v>149.90876220727873</v>
      </c>
      <c r="E522" s="6"/>
      <c r="F522" s="20"/>
      <c r="G522" s="4"/>
      <c r="H522" s="6"/>
    </row>
    <row r="523" spans="1:8" x14ac:dyDescent="0.2">
      <c r="A523" s="31">
        <f>Winter!A526</f>
        <v>14</v>
      </c>
      <c r="B523" s="2">
        <v>518</v>
      </c>
      <c r="C523" s="3">
        <f t="shared" si="14"/>
        <v>5100</v>
      </c>
      <c r="D523" s="4">
        <f t="shared" si="15"/>
        <v>156.827628155307</v>
      </c>
      <c r="E523" s="6"/>
      <c r="F523" s="20"/>
      <c r="G523" s="4"/>
      <c r="H523" s="6"/>
    </row>
    <row r="524" spans="1:8" x14ac:dyDescent="0.2">
      <c r="A524" s="31">
        <f>Winter!A527</f>
        <v>15</v>
      </c>
      <c r="B524" s="2">
        <v>519</v>
      </c>
      <c r="C524" s="3">
        <f t="shared" si="14"/>
        <v>4949.9999999999991</v>
      </c>
      <c r="D524" s="4">
        <f t="shared" si="15"/>
        <v>152.21505085662147</v>
      </c>
      <c r="E524" s="6"/>
      <c r="F524" s="20"/>
      <c r="G524" s="4"/>
      <c r="H524" s="6"/>
    </row>
    <row r="525" spans="1:8" x14ac:dyDescent="0.2">
      <c r="A525" s="31">
        <f>Winter!A528</f>
        <v>16</v>
      </c>
      <c r="B525" s="2">
        <v>520</v>
      </c>
      <c r="C525" s="3">
        <f t="shared" si="14"/>
        <v>5149.9999999999991</v>
      </c>
      <c r="D525" s="4">
        <f t="shared" si="15"/>
        <v>158.36515392153547</v>
      </c>
      <c r="E525" s="6"/>
      <c r="F525" s="20"/>
      <c r="G525" s="4"/>
      <c r="H525" s="6"/>
    </row>
    <row r="526" spans="1:8" x14ac:dyDescent="0.2">
      <c r="A526" s="31">
        <f>Winter!A529</f>
        <v>17</v>
      </c>
      <c r="B526" s="2">
        <v>521</v>
      </c>
      <c r="C526" s="3">
        <f t="shared" si="14"/>
        <v>5850</v>
      </c>
      <c r="D526" s="4">
        <f t="shared" si="15"/>
        <v>179.8905146487345</v>
      </c>
      <c r="E526" s="6"/>
      <c r="F526" s="20"/>
      <c r="G526" s="4"/>
      <c r="H526" s="6"/>
    </row>
    <row r="527" spans="1:8" x14ac:dyDescent="0.2">
      <c r="A527" s="31">
        <f>Winter!A530</f>
        <v>18</v>
      </c>
      <c r="B527" s="2">
        <v>522</v>
      </c>
      <c r="C527" s="3">
        <f t="shared" si="14"/>
        <v>5699.9999999999991</v>
      </c>
      <c r="D527" s="4">
        <f t="shared" si="15"/>
        <v>175.27793735004897</v>
      </c>
      <c r="E527" s="6"/>
      <c r="F527" s="20"/>
      <c r="G527" s="4"/>
      <c r="H527" s="6"/>
    </row>
    <row r="528" spans="1:8" x14ac:dyDescent="0.2">
      <c r="A528" s="31">
        <f>Winter!A531</f>
        <v>19</v>
      </c>
      <c r="B528" s="2">
        <v>523</v>
      </c>
      <c r="C528" s="3">
        <f t="shared" si="14"/>
        <v>6000</v>
      </c>
      <c r="D528" s="4">
        <f t="shared" si="15"/>
        <v>184.50309194741999</v>
      </c>
      <c r="E528" s="6"/>
      <c r="F528" s="20"/>
      <c r="G528" s="4"/>
      <c r="H528" s="6"/>
    </row>
    <row r="529" spans="1:8" x14ac:dyDescent="0.2">
      <c r="A529" s="31">
        <f>Winter!A532</f>
        <v>20</v>
      </c>
      <c r="B529" s="2">
        <v>524</v>
      </c>
      <c r="C529" s="3">
        <f t="shared" si="14"/>
        <v>5699.9999999999991</v>
      </c>
      <c r="D529" s="4">
        <f t="shared" si="15"/>
        <v>175.27793735004897</v>
      </c>
      <c r="E529" s="6"/>
      <c r="F529" s="20"/>
      <c r="G529" s="4"/>
      <c r="H529" s="6"/>
    </row>
    <row r="530" spans="1:8" x14ac:dyDescent="0.2">
      <c r="A530" s="31">
        <f>Winter!A533</f>
        <v>21</v>
      </c>
      <c r="B530" s="2">
        <v>525</v>
      </c>
      <c r="C530" s="3">
        <f t="shared" si="14"/>
        <v>6149.9999999999991</v>
      </c>
      <c r="D530" s="4">
        <f t="shared" si="15"/>
        <v>189.11566924610545</v>
      </c>
      <c r="E530" s="6"/>
      <c r="F530" s="20"/>
      <c r="G530" s="4"/>
      <c r="H530" s="6"/>
    </row>
    <row r="531" spans="1:8" x14ac:dyDescent="0.2">
      <c r="A531" s="31">
        <f>Winter!A534</f>
        <v>22</v>
      </c>
      <c r="B531" s="2">
        <v>526</v>
      </c>
      <c r="C531" s="3">
        <f t="shared" si="14"/>
        <v>5399.9999999999991</v>
      </c>
      <c r="D531" s="4">
        <f t="shared" si="15"/>
        <v>166.05278275267796</v>
      </c>
      <c r="E531" s="6"/>
      <c r="F531" s="20"/>
      <c r="G531" s="4"/>
      <c r="H531" s="6"/>
    </row>
    <row r="532" spans="1:8" x14ac:dyDescent="0.2">
      <c r="A532" s="31">
        <f>Winter!A535</f>
        <v>23</v>
      </c>
      <c r="B532" s="2">
        <v>527</v>
      </c>
      <c r="C532" s="3">
        <f t="shared" si="14"/>
        <v>4649.9999999999982</v>
      </c>
      <c r="D532" s="4">
        <f t="shared" si="15"/>
        <v>142.98989625925043</v>
      </c>
      <c r="E532" s="6"/>
      <c r="F532" s="20"/>
      <c r="G532" s="4"/>
      <c r="H532" s="6"/>
    </row>
    <row r="533" spans="1:8" x14ac:dyDescent="0.2">
      <c r="A533" s="31">
        <f>Winter!A536</f>
        <v>24</v>
      </c>
      <c r="B533" s="2">
        <v>528</v>
      </c>
      <c r="C533" s="3">
        <f t="shared" si="14"/>
        <v>3899.9999999999991</v>
      </c>
      <c r="D533" s="4">
        <f t="shared" si="15"/>
        <v>119.92700976582297</v>
      </c>
      <c r="E533" s="6"/>
      <c r="F533" s="20"/>
      <c r="G533" s="4"/>
      <c r="H533" s="6"/>
    </row>
    <row r="534" spans="1:8" x14ac:dyDescent="0.2">
      <c r="A534" s="31">
        <f>Winter!A537</f>
        <v>25</v>
      </c>
      <c r="B534" s="2">
        <v>529</v>
      </c>
      <c r="C534" s="3">
        <f t="shared" si="14"/>
        <v>2550</v>
      </c>
      <c r="D534" s="4">
        <f t="shared" si="15"/>
        <v>78.413814077653498</v>
      </c>
      <c r="E534" s="6"/>
      <c r="F534" s="20"/>
      <c r="G534" s="4"/>
      <c r="H534" s="6"/>
    </row>
    <row r="535" spans="1:8" x14ac:dyDescent="0.2">
      <c r="A535" s="31">
        <f>Winter!A538</f>
        <v>26</v>
      </c>
      <c r="B535" s="2">
        <v>530</v>
      </c>
      <c r="C535" s="3">
        <f t="shared" si="14"/>
        <v>2400</v>
      </c>
      <c r="D535" s="4">
        <f t="shared" si="15"/>
        <v>73.80123677896799</v>
      </c>
      <c r="E535" s="6"/>
      <c r="F535" s="20"/>
      <c r="G535" s="4"/>
      <c r="H535" s="6"/>
    </row>
    <row r="536" spans="1:8" x14ac:dyDescent="0.2">
      <c r="A536" s="31">
        <f>Winter!A539</f>
        <v>27</v>
      </c>
      <c r="B536" s="2">
        <v>531</v>
      </c>
      <c r="C536" s="3">
        <f t="shared" si="14"/>
        <v>2579.9999999999995</v>
      </c>
      <c r="D536" s="4">
        <f t="shared" si="15"/>
        <v>79.336329537390583</v>
      </c>
      <c r="E536" s="6"/>
      <c r="F536" s="20"/>
      <c r="G536" s="4"/>
      <c r="H536" s="6"/>
    </row>
    <row r="537" spans="1:8" x14ac:dyDescent="0.2">
      <c r="A537" s="31">
        <f>Winter!A540</f>
        <v>28</v>
      </c>
      <c r="B537" s="2">
        <v>532</v>
      </c>
      <c r="C537" s="3">
        <f t="shared" si="14"/>
        <v>2700</v>
      </c>
      <c r="D537" s="4">
        <f t="shared" si="15"/>
        <v>83.026391376338992</v>
      </c>
      <c r="E537" s="6"/>
      <c r="F537" s="20"/>
      <c r="G537" s="4"/>
      <c r="H537" s="6"/>
    </row>
    <row r="538" spans="1:8" x14ac:dyDescent="0.2">
      <c r="A538" s="31">
        <f>Winter!A541</f>
        <v>29</v>
      </c>
      <c r="B538" s="2">
        <v>533</v>
      </c>
      <c r="C538" s="3">
        <f t="shared" si="14"/>
        <v>2978.5714285714284</v>
      </c>
      <c r="D538" s="4">
        <f t="shared" si="15"/>
        <v>91.592606359612063</v>
      </c>
      <c r="E538" s="6"/>
      <c r="F538" s="20"/>
      <c r="G538" s="4"/>
      <c r="H538" s="6"/>
    </row>
    <row r="539" spans="1:8" x14ac:dyDescent="0.2">
      <c r="A539" s="31">
        <f>Winter!A542</f>
        <v>30</v>
      </c>
      <c r="B539" s="2">
        <v>534</v>
      </c>
      <c r="C539" s="3">
        <f t="shared" si="14"/>
        <v>3171.4285714285711</v>
      </c>
      <c r="D539" s="4">
        <f t="shared" si="15"/>
        <v>97.523062886493406</v>
      </c>
      <c r="E539" s="6"/>
      <c r="F539" s="20"/>
      <c r="G539" s="4"/>
      <c r="H539" s="6"/>
    </row>
    <row r="540" spans="1:8" x14ac:dyDescent="0.2">
      <c r="A540" s="31">
        <f>Winter!A543</f>
        <v>31</v>
      </c>
      <c r="B540" s="2">
        <v>535</v>
      </c>
      <c r="C540" s="3">
        <f t="shared" si="14"/>
        <v>3364.2857142857138</v>
      </c>
      <c r="D540" s="4">
        <f t="shared" si="15"/>
        <v>103.45351941337476</v>
      </c>
      <c r="E540" s="6"/>
      <c r="F540" s="20"/>
      <c r="G540" s="4"/>
      <c r="H540" s="6"/>
    </row>
    <row r="541" spans="1:8" x14ac:dyDescent="0.2">
      <c r="A541" s="31">
        <f>Winter!A544</f>
        <v>32</v>
      </c>
      <c r="B541" s="2">
        <v>536</v>
      </c>
      <c r="C541" s="3">
        <f t="shared" si="14"/>
        <v>3557.1428571428569</v>
      </c>
      <c r="D541" s="4">
        <f t="shared" si="15"/>
        <v>109.38397594025612</v>
      </c>
      <c r="E541" s="6"/>
      <c r="F541" s="20"/>
      <c r="G541" s="4"/>
      <c r="H541" s="6"/>
    </row>
    <row r="542" spans="1:8" x14ac:dyDescent="0.2">
      <c r="A542" s="31">
        <f>Winter!A545</f>
        <v>33</v>
      </c>
      <c r="B542" s="2">
        <v>537</v>
      </c>
      <c r="C542" s="3">
        <f t="shared" si="14"/>
        <v>3749.9999999999995</v>
      </c>
      <c r="D542" s="4">
        <f t="shared" si="15"/>
        <v>115.31443246713748</v>
      </c>
      <c r="E542" s="6"/>
      <c r="F542" s="20"/>
      <c r="G542" s="4"/>
      <c r="H542" s="6"/>
    </row>
    <row r="543" spans="1:8" x14ac:dyDescent="0.2">
      <c r="A543" s="31">
        <f>Winter!A546</f>
        <v>34</v>
      </c>
      <c r="B543" s="2">
        <v>538</v>
      </c>
      <c r="C543" s="3">
        <f t="shared" si="14"/>
        <v>3942.8571428571427</v>
      </c>
      <c r="D543" s="4">
        <f t="shared" si="15"/>
        <v>121.24488899401885</v>
      </c>
      <c r="E543" s="6"/>
      <c r="F543" s="20"/>
      <c r="G543" s="4"/>
      <c r="H543" s="6"/>
    </row>
    <row r="544" spans="1:8" x14ac:dyDescent="0.2">
      <c r="A544" s="31">
        <f>Winter!A547</f>
        <v>35</v>
      </c>
      <c r="B544" s="2">
        <v>539</v>
      </c>
      <c r="C544" s="3">
        <f t="shared" si="14"/>
        <v>4135.7142857142853</v>
      </c>
      <c r="D544" s="4">
        <f t="shared" si="15"/>
        <v>127.17534552090021</v>
      </c>
      <c r="E544" s="6"/>
      <c r="F544" s="20"/>
      <c r="G544" s="4"/>
      <c r="H544" s="6"/>
    </row>
    <row r="545" spans="1:8" x14ac:dyDescent="0.2">
      <c r="A545" s="31">
        <f>Winter!A548</f>
        <v>36</v>
      </c>
      <c r="B545" s="2">
        <v>540</v>
      </c>
      <c r="C545" s="3">
        <f t="shared" si="14"/>
        <v>4328.5714285714284</v>
      </c>
      <c r="D545" s="4">
        <f t="shared" si="15"/>
        <v>133.10580204778157</v>
      </c>
      <c r="E545" s="6"/>
      <c r="F545" s="20"/>
      <c r="G545" s="4"/>
      <c r="H545" s="6"/>
    </row>
    <row r="546" spans="1:8" x14ac:dyDescent="0.2">
      <c r="A546" s="31">
        <f>Winter!A549</f>
        <v>37</v>
      </c>
      <c r="B546" s="2">
        <v>541</v>
      </c>
      <c r="C546" s="3">
        <f t="shared" si="14"/>
        <v>4521.4285714285706</v>
      </c>
      <c r="D546" s="4">
        <f t="shared" si="15"/>
        <v>139.0362585746629</v>
      </c>
      <c r="E546" s="6"/>
      <c r="F546" s="20"/>
      <c r="G546" s="4"/>
      <c r="H546" s="6"/>
    </row>
    <row r="547" spans="1:8" x14ac:dyDescent="0.2">
      <c r="A547" s="31">
        <f>Winter!A550</f>
        <v>38</v>
      </c>
      <c r="B547" s="2">
        <v>542</v>
      </c>
      <c r="C547" s="3">
        <f t="shared" si="14"/>
        <v>4714.2857142857138</v>
      </c>
      <c r="D547" s="4">
        <f t="shared" si="15"/>
        <v>144.96671510154425</v>
      </c>
      <c r="E547" s="6"/>
      <c r="F547" s="20"/>
      <c r="G547" s="4"/>
      <c r="H547" s="6"/>
    </row>
    <row r="548" spans="1:8" x14ac:dyDescent="0.2">
      <c r="A548" s="31">
        <f>Winter!A551</f>
        <v>39</v>
      </c>
      <c r="B548" s="2">
        <v>543</v>
      </c>
      <c r="C548" s="3">
        <f t="shared" si="14"/>
        <v>4907.1428571428569</v>
      </c>
      <c r="D548" s="4">
        <f t="shared" si="15"/>
        <v>150.89717162842564</v>
      </c>
      <c r="E548" s="6"/>
      <c r="F548" s="20"/>
      <c r="G548" s="4"/>
      <c r="H548" s="6"/>
    </row>
    <row r="549" spans="1:8" x14ac:dyDescent="0.2">
      <c r="A549" s="31">
        <f>Winter!A552</f>
        <v>40</v>
      </c>
      <c r="B549" s="2">
        <v>544</v>
      </c>
      <c r="C549" s="3">
        <f t="shared" si="14"/>
        <v>5100</v>
      </c>
      <c r="D549" s="4">
        <f t="shared" si="15"/>
        <v>156.827628155307</v>
      </c>
      <c r="E549" s="6"/>
      <c r="F549" s="20"/>
      <c r="G549" s="4"/>
      <c r="H549" s="6"/>
    </row>
    <row r="550" spans="1:8" x14ac:dyDescent="0.2">
      <c r="A550" s="31">
        <f>Winter!A553</f>
        <v>41</v>
      </c>
      <c r="B550" s="2">
        <v>545</v>
      </c>
      <c r="C550" s="3">
        <f t="shared" si="14"/>
        <v>4949.9999999999991</v>
      </c>
      <c r="D550" s="4">
        <f t="shared" si="15"/>
        <v>152.21505085662147</v>
      </c>
      <c r="E550" s="6"/>
      <c r="F550" s="20"/>
      <c r="G550" s="4"/>
      <c r="H550" s="6"/>
    </row>
    <row r="551" spans="1:8" x14ac:dyDescent="0.2">
      <c r="A551" s="31">
        <f>Winter!A554</f>
        <v>42</v>
      </c>
      <c r="B551" s="2">
        <v>546</v>
      </c>
      <c r="C551" s="3">
        <f t="shared" si="14"/>
        <v>5250</v>
      </c>
      <c r="D551" s="4">
        <f t="shared" si="15"/>
        <v>161.44020545399249</v>
      </c>
      <c r="E551" s="6"/>
      <c r="F551" s="20"/>
      <c r="G551" s="4"/>
      <c r="H551" s="6"/>
    </row>
    <row r="552" spans="1:8" x14ac:dyDescent="0.2">
      <c r="A552" s="31">
        <f>Winter!A555</f>
        <v>43</v>
      </c>
      <c r="B552" s="2">
        <v>547</v>
      </c>
      <c r="C552" s="3">
        <f t="shared" si="14"/>
        <v>5550</v>
      </c>
      <c r="D552" s="4">
        <f t="shared" si="15"/>
        <v>170.66536005136348</v>
      </c>
      <c r="E552" s="6"/>
      <c r="F552" s="20"/>
      <c r="G552" s="4"/>
      <c r="H552" s="6"/>
    </row>
    <row r="553" spans="1:8" x14ac:dyDescent="0.2">
      <c r="A553" s="31">
        <f>Winter!A556</f>
        <v>44</v>
      </c>
      <c r="B553" s="2">
        <v>548</v>
      </c>
      <c r="C553" s="3">
        <f t="shared" si="14"/>
        <v>5699.9999999999991</v>
      </c>
      <c r="D553" s="4">
        <f t="shared" si="15"/>
        <v>175.27793735004897</v>
      </c>
      <c r="E553" s="6"/>
      <c r="F553" s="20"/>
      <c r="G553" s="4"/>
      <c r="H553" s="6"/>
    </row>
    <row r="554" spans="1:8" x14ac:dyDescent="0.2">
      <c r="A554" s="31">
        <f>Winter!A557</f>
        <v>45</v>
      </c>
      <c r="B554" s="2">
        <v>549</v>
      </c>
      <c r="C554" s="3">
        <f t="shared" si="14"/>
        <v>6149.9999999999991</v>
      </c>
      <c r="D554" s="4">
        <f t="shared" si="15"/>
        <v>189.11566924610545</v>
      </c>
      <c r="E554" s="6"/>
      <c r="F554" s="20"/>
      <c r="G554" s="4"/>
      <c r="H554" s="6"/>
    </row>
    <row r="555" spans="1:8" x14ac:dyDescent="0.2">
      <c r="A555" s="31">
        <f>Winter!A558</f>
        <v>46</v>
      </c>
      <c r="B555" s="2">
        <v>550</v>
      </c>
      <c r="C555" s="3">
        <f t="shared" si="14"/>
        <v>5399.9999999999991</v>
      </c>
      <c r="D555" s="4">
        <f t="shared" si="15"/>
        <v>166.05278275267796</v>
      </c>
      <c r="E555" s="6"/>
      <c r="F555" s="20"/>
      <c r="G555" s="4"/>
      <c r="H555" s="6"/>
    </row>
    <row r="556" spans="1:8" x14ac:dyDescent="0.2">
      <c r="A556" s="31">
        <f>Winter!A559</f>
        <v>47</v>
      </c>
      <c r="B556" s="2">
        <v>551</v>
      </c>
      <c r="C556" s="3">
        <f t="shared" si="14"/>
        <v>4649.9999999999982</v>
      </c>
      <c r="D556" s="4">
        <f t="shared" si="15"/>
        <v>142.98989625925043</v>
      </c>
      <c r="E556" s="6"/>
      <c r="F556" s="20"/>
      <c r="G556" s="4"/>
      <c r="H556" s="6"/>
    </row>
    <row r="557" spans="1:8" x14ac:dyDescent="0.2">
      <c r="A557" s="31">
        <f>Winter!A560</f>
        <v>48</v>
      </c>
      <c r="B557" s="2">
        <v>552</v>
      </c>
      <c r="C557" s="3">
        <f t="shared" si="14"/>
        <v>3899.9999999999991</v>
      </c>
      <c r="D557" s="4">
        <f t="shared" si="15"/>
        <v>119.92700976582297</v>
      </c>
      <c r="E557" s="6"/>
      <c r="F557" s="20"/>
      <c r="G557" s="4"/>
      <c r="H557" s="6"/>
    </row>
    <row r="558" spans="1:8" x14ac:dyDescent="0.2">
      <c r="A558" s="31">
        <f>Winter!A561</f>
        <v>49</v>
      </c>
      <c r="B558" s="2">
        <v>553</v>
      </c>
      <c r="C558" s="3">
        <f t="shared" si="14"/>
        <v>2550</v>
      </c>
      <c r="D558" s="4">
        <f t="shared" si="15"/>
        <v>78.413814077653498</v>
      </c>
      <c r="E558" s="6"/>
      <c r="F558" s="20"/>
      <c r="G558" s="4"/>
      <c r="H558" s="6"/>
    </row>
    <row r="559" spans="1:8" x14ac:dyDescent="0.2">
      <c r="A559" s="31">
        <f>Winter!A562</f>
        <v>50</v>
      </c>
      <c r="B559" s="2">
        <v>554</v>
      </c>
      <c r="C559" s="3">
        <f t="shared" si="14"/>
        <v>2400</v>
      </c>
      <c r="D559" s="4">
        <f t="shared" si="15"/>
        <v>73.80123677896799</v>
      </c>
      <c r="E559" s="6"/>
      <c r="F559" s="20"/>
      <c r="G559" s="4"/>
      <c r="H559" s="6"/>
    </row>
    <row r="560" spans="1:8" x14ac:dyDescent="0.2">
      <c r="A560" s="31">
        <f>Winter!A563</f>
        <v>51</v>
      </c>
      <c r="B560" s="2">
        <v>555</v>
      </c>
      <c r="C560" s="3">
        <f t="shared" si="14"/>
        <v>2550</v>
      </c>
      <c r="D560" s="4">
        <f t="shared" si="15"/>
        <v>78.413814077653498</v>
      </c>
      <c r="E560" s="6"/>
      <c r="F560" s="20"/>
      <c r="G560" s="4"/>
      <c r="H560" s="6"/>
    </row>
    <row r="561" spans="1:8" x14ac:dyDescent="0.2">
      <c r="A561" s="31">
        <f>Winter!A564</f>
        <v>52</v>
      </c>
      <c r="B561" s="2">
        <v>556</v>
      </c>
      <c r="C561" s="3">
        <f t="shared" si="14"/>
        <v>2700</v>
      </c>
      <c r="D561" s="4">
        <f t="shared" si="15"/>
        <v>83.026391376338992</v>
      </c>
      <c r="E561" s="6"/>
      <c r="F561" s="20"/>
      <c r="G561" s="4"/>
      <c r="H561" s="6"/>
    </row>
    <row r="562" spans="1:8" x14ac:dyDescent="0.2">
      <c r="A562" s="31">
        <f>Winter!A565</f>
        <v>53</v>
      </c>
      <c r="B562" s="2">
        <v>557</v>
      </c>
      <c r="C562" s="3">
        <f t="shared" si="14"/>
        <v>3023.0769230769229</v>
      </c>
      <c r="D562" s="4">
        <f t="shared" si="15"/>
        <v>92.961173250430846</v>
      </c>
      <c r="E562" s="6"/>
      <c r="F562" s="20"/>
      <c r="G562" s="4"/>
      <c r="H562" s="6"/>
    </row>
    <row r="563" spans="1:8" x14ac:dyDescent="0.2">
      <c r="A563" s="31">
        <f>Winter!A566</f>
        <v>54</v>
      </c>
      <c r="B563" s="2">
        <v>558</v>
      </c>
      <c r="C563" s="3">
        <f t="shared" si="14"/>
        <v>3230.7692307692305</v>
      </c>
      <c r="D563" s="4">
        <f t="shared" si="15"/>
        <v>99.347818740918441</v>
      </c>
      <c r="E563" s="6"/>
      <c r="F563" s="20"/>
      <c r="G563" s="4"/>
      <c r="H563" s="6"/>
    </row>
    <row r="564" spans="1:8" x14ac:dyDescent="0.2">
      <c r="A564" s="31">
        <f>Winter!A567</f>
        <v>55</v>
      </c>
      <c r="B564" s="2">
        <v>559</v>
      </c>
      <c r="C564" s="3">
        <f t="shared" si="14"/>
        <v>3438.4615384615377</v>
      </c>
      <c r="D564" s="4">
        <f t="shared" si="15"/>
        <v>105.73446423140605</v>
      </c>
      <c r="E564" s="6"/>
      <c r="F564" s="20"/>
      <c r="G564" s="4"/>
      <c r="H564" s="6"/>
    </row>
    <row r="565" spans="1:8" x14ac:dyDescent="0.2">
      <c r="A565" s="31">
        <f>Winter!A568</f>
        <v>56</v>
      </c>
      <c r="B565" s="2">
        <v>560</v>
      </c>
      <c r="C565" s="3">
        <f t="shared" si="14"/>
        <v>3646.1538461538453</v>
      </c>
      <c r="D565" s="4">
        <f t="shared" si="15"/>
        <v>112.12110972189366</v>
      </c>
      <c r="E565" s="6"/>
      <c r="F565" s="20"/>
      <c r="G565" s="4"/>
      <c r="H565" s="6"/>
    </row>
    <row r="566" spans="1:8" x14ac:dyDescent="0.2">
      <c r="A566" s="31">
        <f>Winter!A569</f>
        <v>57</v>
      </c>
      <c r="B566" s="2">
        <v>561</v>
      </c>
      <c r="C566" s="3">
        <f t="shared" si="14"/>
        <v>3853.8461538461529</v>
      </c>
      <c r="D566" s="4">
        <f t="shared" si="15"/>
        <v>118.50775521238127</v>
      </c>
      <c r="E566" s="6"/>
      <c r="F566" s="20"/>
      <c r="G566" s="4"/>
      <c r="H566" s="6"/>
    </row>
    <row r="567" spans="1:8" x14ac:dyDescent="0.2">
      <c r="A567" s="31">
        <f>Winter!A570</f>
        <v>58</v>
      </c>
      <c r="B567" s="2">
        <v>562</v>
      </c>
      <c r="C567" s="3">
        <f t="shared" si="14"/>
        <v>4061.5384615384605</v>
      </c>
      <c r="D567" s="4">
        <f t="shared" si="15"/>
        <v>124.89440070286889</v>
      </c>
      <c r="E567" s="6"/>
      <c r="F567" s="20"/>
      <c r="G567" s="4"/>
      <c r="H567" s="6"/>
    </row>
    <row r="568" spans="1:8" x14ac:dyDescent="0.2">
      <c r="A568" s="31">
        <f>Winter!A571</f>
        <v>59</v>
      </c>
      <c r="B568" s="2">
        <v>563</v>
      </c>
      <c r="C568" s="3">
        <f t="shared" si="14"/>
        <v>4269.2307692307686</v>
      </c>
      <c r="D568" s="4">
        <f t="shared" si="15"/>
        <v>131.2810461933565</v>
      </c>
      <c r="E568" s="6"/>
      <c r="F568" s="20"/>
      <c r="G568" s="4"/>
      <c r="H568" s="6"/>
    </row>
    <row r="569" spans="1:8" x14ac:dyDescent="0.2">
      <c r="A569" s="31">
        <f>Winter!A572</f>
        <v>60</v>
      </c>
      <c r="B569" s="2">
        <v>564</v>
      </c>
      <c r="C569" s="3">
        <f t="shared" si="14"/>
        <v>4476.9230769230762</v>
      </c>
      <c r="D569" s="4">
        <f t="shared" si="15"/>
        <v>137.66769168384411</v>
      </c>
      <c r="E569" s="6"/>
      <c r="F569" s="20"/>
      <c r="G569" s="4"/>
      <c r="H569" s="6"/>
    </row>
    <row r="570" spans="1:8" x14ac:dyDescent="0.2">
      <c r="A570" s="31">
        <f>Winter!A573</f>
        <v>61</v>
      </c>
      <c r="B570" s="2">
        <v>565</v>
      </c>
      <c r="C570" s="3">
        <f t="shared" si="14"/>
        <v>4684.6153846153829</v>
      </c>
      <c r="D570" s="4">
        <f t="shared" si="15"/>
        <v>144.05433717433172</v>
      </c>
      <c r="E570" s="6"/>
      <c r="F570" s="20"/>
      <c r="G570" s="4"/>
      <c r="H570" s="6"/>
    </row>
    <row r="571" spans="1:8" x14ac:dyDescent="0.2">
      <c r="A571" s="31">
        <f>Winter!A574</f>
        <v>62</v>
      </c>
      <c r="B571" s="2">
        <v>566</v>
      </c>
      <c r="C571" s="3">
        <f t="shared" si="14"/>
        <v>4892.3076923076915</v>
      </c>
      <c r="D571" s="4">
        <f t="shared" si="15"/>
        <v>150.44098266481936</v>
      </c>
      <c r="E571" s="6"/>
      <c r="F571" s="20"/>
      <c r="G571" s="4"/>
      <c r="H571" s="6"/>
    </row>
    <row r="572" spans="1:8" x14ac:dyDescent="0.2">
      <c r="A572" s="31">
        <f>Winter!A575</f>
        <v>63</v>
      </c>
      <c r="B572" s="2">
        <v>567</v>
      </c>
      <c r="C572" s="3">
        <f t="shared" si="14"/>
        <v>5100</v>
      </c>
      <c r="D572" s="4">
        <f t="shared" si="15"/>
        <v>156.827628155307</v>
      </c>
      <c r="E572" s="6"/>
      <c r="F572" s="20"/>
      <c r="G572" s="4"/>
      <c r="H572" s="6"/>
    </row>
    <row r="573" spans="1:8" x14ac:dyDescent="0.2">
      <c r="A573" s="31">
        <f>Winter!A576</f>
        <v>64</v>
      </c>
      <c r="B573" s="2">
        <v>568</v>
      </c>
      <c r="C573" s="3">
        <f t="shared" si="14"/>
        <v>4949.9999999999991</v>
      </c>
      <c r="D573" s="4">
        <f t="shared" si="15"/>
        <v>152.21505085662147</v>
      </c>
      <c r="E573" s="6"/>
      <c r="F573" s="20"/>
      <c r="G573" s="4"/>
      <c r="H573" s="6"/>
    </row>
    <row r="574" spans="1:8" x14ac:dyDescent="0.2">
      <c r="A574" s="31">
        <f>Winter!A577</f>
        <v>65</v>
      </c>
      <c r="B574" s="2">
        <v>569</v>
      </c>
      <c r="C574" s="3">
        <f t="shared" si="14"/>
        <v>5220</v>
      </c>
      <c r="D574" s="4">
        <f t="shared" si="15"/>
        <v>160.51768999425539</v>
      </c>
      <c r="E574" s="6"/>
      <c r="F574" s="20"/>
      <c r="G574" s="4"/>
      <c r="H574" s="6"/>
    </row>
    <row r="575" spans="1:8" x14ac:dyDescent="0.2">
      <c r="A575" s="31">
        <f>Winter!A578</f>
        <v>66</v>
      </c>
      <c r="B575" s="2">
        <v>570</v>
      </c>
      <c r="C575" s="3">
        <f t="shared" ref="C575:C638" si="16">C71</f>
        <v>5490</v>
      </c>
      <c r="D575" s="4">
        <f t="shared" si="15"/>
        <v>168.82032913188928</v>
      </c>
      <c r="E575" s="6"/>
      <c r="F575" s="20"/>
      <c r="G575" s="4"/>
      <c r="H575" s="6"/>
    </row>
    <row r="576" spans="1:8" x14ac:dyDescent="0.2">
      <c r="A576" s="31">
        <f>Winter!A579</f>
        <v>67</v>
      </c>
      <c r="B576" s="2">
        <v>571</v>
      </c>
      <c r="C576" s="3">
        <f t="shared" si="16"/>
        <v>6000</v>
      </c>
      <c r="D576" s="4">
        <f t="shared" si="15"/>
        <v>184.50309194741999</v>
      </c>
      <c r="E576" s="6"/>
      <c r="F576" s="20"/>
      <c r="G576" s="4"/>
      <c r="H576" s="6"/>
    </row>
    <row r="577" spans="1:8" x14ac:dyDescent="0.2">
      <c r="A577" s="31">
        <f>Winter!A580</f>
        <v>68</v>
      </c>
      <c r="B577" s="2">
        <v>572</v>
      </c>
      <c r="C577" s="3">
        <f t="shared" si="16"/>
        <v>6000</v>
      </c>
      <c r="D577" s="4">
        <f t="shared" si="15"/>
        <v>184.50309194741999</v>
      </c>
      <c r="E577" s="6"/>
      <c r="F577" s="20"/>
      <c r="G577" s="4"/>
      <c r="H577" s="6"/>
    </row>
    <row r="578" spans="1:8" x14ac:dyDescent="0.2">
      <c r="A578" s="31">
        <f>Winter!A581</f>
        <v>69</v>
      </c>
      <c r="B578" s="2">
        <v>573</v>
      </c>
      <c r="C578" s="3">
        <f t="shared" si="16"/>
        <v>6300</v>
      </c>
      <c r="D578" s="4">
        <f t="shared" si="15"/>
        <v>193.72824654479098</v>
      </c>
      <c r="E578" s="6"/>
      <c r="F578" s="20"/>
      <c r="G578" s="4"/>
      <c r="H578" s="6"/>
    </row>
    <row r="579" spans="1:8" x14ac:dyDescent="0.2">
      <c r="A579" s="31">
        <f>Winter!A582</f>
        <v>70</v>
      </c>
      <c r="B579" s="2">
        <v>574</v>
      </c>
      <c r="C579" s="3">
        <f t="shared" si="16"/>
        <v>5520</v>
      </c>
      <c r="D579" s="4">
        <f t="shared" si="15"/>
        <v>169.74284459162638</v>
      </c>
      <c r="E579" s="6"/>
      <c r="F579" s="20"/>
      <c r="G579" s="4"/>
      <c r="H579" s="6"/>
    </row>
    <row r="580" spans="1:8" x14ac:dyDescent="0.2">
      <c r="A580" s="31">
        <f>Winter!A583</f>
        <v>71</v>
      </c>
      <c r="B580" s="2">
        <v>575</v>
      </c>
      <c r="C580" s="3">
        <f t="shared" si="16"/>
        <v>4740</v>
      </c>
      <c r="D580" s="4">
        <f t="shared" si="15"/>
        <v>145.75744263846178</v>
      </c>
      <c r="E580" s="6"/>
      <c r="F580" s="20"/>
      <c r="G580" s="4"/>
      <c r="H580" s="6"/>
    </row>
    <row r="581" spans="1:8" x14ac:dyDescent="0.2">
      <c r="A581" s="31">
        <f>Winter!A584</f>
        <v>72</v>
      </c>
      <c r="B581" s="2">
        <v>576</v>
      </c>
      <c r="C581" s="3">
        <f t="shared" si="16"/>
        <v>3959.9999999999995</v>
      </c>
      <c r="D581" s="4">
        <f t="shared" si="15"/>
        <v>121.77204068529717</v>
      </c>
      <c r="E581" s="6"/>
      <c r="F581" s="20"/>
      <c r="G581" s="4"/>
      <c r="H581" s="6"/>
    </row>
    <row r="582" spans="1:8" x14ac:dyDescent="0.2">
      <c r="A582" s="31">
        <f>Winter!A585</f>
        <v>73</v>
      </c>
      <c r="B582" s="2">
        <v>577</v>
      </c>
      <c r="C582" s="3">
        <f t="shared" si="16"/>
        <v>2550</v>
      </c>
      <c r="D582" s="4">
        <f t="shared" si="15"/>
        <v>78.413814077653498</v>
      </c>
      <c r="E582" s="6"/>
      <c r="F582" s="20"/>
      <c r="G582" s="4"/>
      <c r="H582" s="6"/>
    </row>
    <row r="583" spans="1:8" x14ac:dyDescent="0.2">
      <c r="A583" s="31">
        <f>Winter!A586</f>
        <v>74</v>
      </c>
      <c r="B583" s="2">
        <v>578</v>
      </c>
      <c r="C583" s="3">
        <f t="shared" si="16"/>
        <v>2400</v>
      </c>
      <c r="D583" s="4">
        <f t="shared" ref="D583:D646" si="17">$G$3*C583*(1/$G$5-1/$G$4)</f>
        <v>73.80123677896799</v>
      </c>
      <c r="E583" s="6"/>
      <c r="F583" s="20"/>
      <c r="G583" s="4"/>
      <c r="H583" s="6"/>
    </row>
    <row r="584" spans="1:8" x14ac:dyDescent="0.2">
      <c r="A584" s="31">
        <f>Winter!A587</f>
        <v>75</v>
      </c>
      <c r="B584" s="2">
        <v>579</v>
      </c>
      <c r="C584" s="3">
        <f t="shared" si="16"/>
        <v>2550</v>
      </c>
      <c r="D584" s="4">
        <f t="shared" si="17"/>
        <v>78.413814077653498</v>
      </c>
      <c r="E584" s="6"/>
      <c r="F584" s="20"/>
      <c r="G584" s="4"/>
      <c r="H584" s="6"/>
    </row>
    <row r="585" spans="1:8" x14ac:dyDescent="0.2">
      <c r="A585" s="31">
        <f>Winter!A588</f>
        <v>76</v>
      </c>
      <c r="B585" s="2">
        <v>580</v>
      </c>
      <c r="C585" s="3">
        <f t="shared" si="16"/>
        <v>2700</v>
      </c>
      <c r="D585" s="4">
        <f t="shared" si="17"/>
        <v>83.026391376338992</v>
      </c>
      <c r="E585" s="6"/>
      <c r="F585" s="20"/>
      <c r="G585" s="4"/>
      <c r="H585" s="6"/>
    </row>
    <row r="586" spans="1:8" x14ac:dyDescent="0.2">
      <c r="A586" s="31">
        <f>Winter!A589</f>
        <v>77</v>
      </c>
      <c r="B586" s="2">
        <v>581</v>
      </c>
      <c r="C586" s="3">
        <f t="shared" si="16"/>
        <v>3000</v>
      </c>
      <c r="D586" s="4">
        <f t="shared" si="17"/>
        <v>92.251545973709995</v>
      </c>
      <c r="E586" s="6"/>
      <c r="F586" s="20"/>
      <c r="G586" s="4"/>
      <c r="H586" s="6"/>
    </row>
    <row r="587" spans="1:8" x14ac:dyDescent="0.2">
      <c r="A587" s="31">
        <f>Winter!A590</f>
        <v>78</v>
      </c>
      <c r="B587" s="2">
        <v>582</v>
      </c>
      <c r="C587" s="3">
        <f t="shared" si="16"/>
        <v>3199.9999999999995</v>
      </c>
      <c r="D587" s="4">
        <f t="shared" si="17"/>
        <v>98.401649038623987</v>
      </c>
      <c r="E587" s="6"/>
      <c r="F587" s="20"/>
      <c r="G587" s="4"/>
      <c r="H587" s="6"/>
    </row>
    <row r="588" spans="1:8" x14ac:dyDescent="0.2">
      <c r="A588" s="31">
        <f>Winter!A591</f>
        <v>79</v>
      </c>
      <c r="B588" s="2">
        <v>583</v>
      </c>
      <c r="C588" s="3">
        <f t="shared" si="16"/>
        <v>3399.9999999999995</v>
      </c>
      <c r="D588" s="4">
        <f t="shared" si="17"/>
        <v>104.55175210353798</v>
      </c>
      <c r="E588" s="6"/>
      <c r="F588" s="20"/>
      <c r="G588" s="4"/>
      <c r="H588" s="6"/>
    </row>
    <row r="589" spans="1:8" x14ac:dyDescent="0.2">
      <c r="A589" s="31">
        <f>Winter!A592</f>
        <v>80</v>
      </c>
      <c r="B589" s="2">
        <v>584</v>
      </c>
      <c r="C589" s="3">
        <f t="shared" si="16"/>
        <v>3599.9999999999995</v>
      </c>
      <c r="D589" s="4">
        <f t="shared" si="17"/>
        <v>110.70185516845198</v>
      </c>
      <c r="E589" s="6"/>
      <c r="F589" s="20"/>
      <c r="G589" s="4"/>
      <c r="H589" s="6"/>
    </row>
    <row r="590" spans="1:8" x14ac:dyDescent="0.2">
      <c r="A590" s="31">
        <f>Winter!A593</f>
        <v>81</v>
      </c>
      <c r="B590" s="2">
        <v>585</v>
      </c>
      <c r="C590" s="3">
        <f t="shared" si="16"/>
        <v>3799.9999999999995</v>
      </c>
      <c r="D590" s="4">
        <f t="shared" si="17"/>
        <v>116.85195823336598</v>
      </c>
      <c r="E590" s="6"/>
      <c r="F590" s="20"/>
      <c r="G590" s="4"/>
      <c r="H590" s="6"/>
    </row>
    <row r="591" spans="1:8" x14ac:dyDescent="0.2">
      <c r="A591" s="31">
        <f>Winter!A594</f>
        <v>82</v>
      </c>
      <c r="B591" s="2">
        <v>586</v>
      </c>
      <c r="C591" s="3">
        <f t="shared" si="16"/>
        <v>3999.9999999999995</v>
      </c>
      <c r="D591" s="4">
        <f t="shared" si="17"/>
        <v>123.00206129827997</v>
      </c>
      <c r="E591" s="6"/>
      <c r="F591" s="20"/>
      <c r="G591" s="4"/>
      <c r="H591" s="6"/>
    </row>
    <row r="592" spans="1:8" x14ac:dyDescent="0.2">
      <c r="A592" s="31">
        <f>Winter!A595</f>
        <v>83</v>
      </c>
      <c r="B592" s="2">
        <v>587</v>
      </c>
      <c r="C592" s="3">
        <f t="shared" si="16"/>
        <v>4199.9999999999991</v>
      </c>
      <c r="D592" s="4">
        <f t="shared" si="17"/>
        <v>129.15216436319398</v>
      </c>
      <c r="E592" s="6"/>
      <c r="F592" s="20"/>
      <c r="G592" s="4"/>
      <c r="H592" s="6"/>
    </row>
    <row r="593" spans="1:8" x14ac:dyDescent="0.2">
      <c r="A593" s="31">
        <f>Winter!A596</f>
        <v>84</v>
      </c>
      <c r="B593" s="2">
        <v>588</v>
      </c>
      <c r="C593" s="3">
        <f t="shared" si="16"/>
        <v>4399.9999999999991</v>
      </c>
      <c r="D593" s="4">
        <f t="shared" si="17"/>
        <v>135.30226742810797</v>
      </c>
      <c r="E593" s="6"/>
      <c r="F593" s="20"/>
      <c r="G593" s="4"/>
      <c r="H593" s="6"/>
    </row>
    <row r="594" spans="1:8" x14ac:dyDescent="0.2">
      <c r="A594" s="31">
        <f>Winter!A597</f>
        <v>85</v>
      </c>
      <c r="B594" s="2">
        <v>589</v>
      </c>
      <c r="C594" s="3">
        <f t="shared" si="16"/>
        <v>4599.9999999999991</v>
      </c>
      <c r="D594" s="4">
        <f t="shared" si="17"/>
        <v>141.45237049302196</v>
      </c>
      <c r="E594" s="6"/>
      <c r="F594" s="20"/>
      <c r="G594" s="4"/>
      <c r="H594" s="6"/>
    </row>
    <row r="595" spans="1:8" x14ac:dyDescent="0.2">
      <c r="A595" s="31">
        <f>Winter!A598</f>
        <v>86</v>
      </c>
      <c r="B595" s="2">
        <v>590</v>
      </c>
      <c r="C595" s="3">
        <f t="shared" si="16"/>
        <v>4800</v>
      </c>
      <c r="D595" s="4">
        <f t="shared" si="17"/>
        <v>147.60247355793598</v>
      </c>
      <c r="E595" s="6"/>
      <c r="F595" s="20"/>
      <c r="G595" s="4"/>
      <c r="H595" s="6"/>
    </row>
    <row r="596" spans="1:8" x14ac:dyDescent="0.2">
      <c r="A596" s="31">
        <f>Winter!A599</f>
        <v>87</v>
      </c>
      <c r="B596" s="2">
        <v>591</v>
      </c>
      <c r="C596" s="3">
        <f t="shared" si="16"/>
        <v>4649.9999999999991</v>
      </c>
      <c r="D596" s="4">
        <f t="shared" si="17"/>
        <v>142.98989625925046</v>
      </c>
      <c r="E596" s="6"/>
      <c r="F596" s="20"/>
      <c r="G596" s="4"/>
      <c r="H596" s="6"/>
    </row>
    <row r="597" spans="1:8" x14ac:dyDescent="0.2">
      <c r="A597" s="31">
        <f>Winter!A600</f>
        <v>88</v>
      </c>
      <c r="B597" s="2">
        <v>592</v>
      </c>
      <c r="C597" s="3">
        <f t="shared" si="16"/>
        <v>5000</v>
      </c>
      <c r="D597" s="4">
        <f t="shared" si="17"/>
        <v>153.75257662285</v>
      </c>
      <c r="E597" s="6"/>
      <c r="F597" s="20"/>
      <c r="G597" s="4"/>
      <c r="H597" s="6"/>
    </row>
    <row r="598" spans="1:8" x14ac:dyDescent="0.2">
      <c r="A598" s="31">
        <f>Winter!A601</f>
        <v>89</v>
      </c>
      <c r="B598" s="2">
        <v>593</v>
      </c>
      <c r="C598" s="3">
        <f t="shared" si="16"/>
        <v>5350</v>
      </c>
      <c r="D598" s="4">
        <f t="shared" si="17"/>
        <v>164.51525698644949</v>
      </c>
      <c r="E598" s="6"/>
      <c r="F598" s="20"/>
      <c r="G598" s="4"/>
      <c r="H598" s="6"/>
    </row>
    <row r="599" spans="1:8" x14ac:dyDescent="0.2">
      <c r="A599" s="31">
        <f>Winter!A602</f>
        <v>90</v>
      </c>
      <c r="B599" s="2">
        <v>594</v>
      </c>
      <c r="C599" s="3">
        <f t="shared" si="16"/>
        <v>5699.9999999999991</v>
      </c>
      <c r="D599" s="4">
        <f t="shared" si="17"/>
        <v>175.27793735004897</v>
      </c>
      <c r="E599" s="6"/>
      <c r="F599" s="20"/>
      <c r="G599" s="4"/>
      <c r="H599" s="6"/>
    </row>
    <row r="600" spans="1:8" x14ac:dyDescent="0.2">
      <c r="A600" s="31">
        <f>Winter!A603</f>
        <v>91</v>
      </c>
      <c r="B600" s="2">
        <v>595</v>
      </c>
      <c r="C600" s="3">
        <f t="shared" si="16"/>
        <v>5287.5</v>
      </c>
      <c r="D600" s="4">
        <f t="shared" si="17"/>
        <v>162.59334977866388</v>
      </c>
      <c r="E600" s="6"/>
      <c r="F600" s="20"/>
      <c r="G600" s="4"/>
      <c r="H600" s="6"/>
    </row>
    <row r="601" spans="1:8" x14ac:dyDescent="0.2">
      <c r="A601" s="31">
        <f>Winter!A604</f>
        <v>92</v>
      </c>
      <c r="B601" s="2">
        <v>596</v>
      </c>
      <c r="C601" s="3">
        <f t="shared" si="16"/>
        <v>4875</v>
      </c>
      <c r="D601" s="4">
        <f t="shared" si="17"/>
        <v>149.90876220727873</v>
      </c>
      <c r="E601" s="6"/>
      <c r="F601" s="20"/>
      <c r="G601" s="4"/>
      <c r="H601" s="6"/>
    </row>
    <row r="602" spans="1:8" x14ac:dyDescent="0.2">
      <c r="A602" s="31">
        <f>Winter!A605</f>
        <v>93</v>
      </c>
      <c r="B602" s="2">
        <v>597</v>
      </c>
      <c r="C602" s="3">
        <f t="shared" si="16"/>
        <v>4462.4999999999991</v>
      </c>
      <c r="D602" s="4">
        <f t="shared" si="17"/>
        <v>137.2241746358936</v>
      </c>
      <c r="E602" s="6"/>
      <c r="F602" s="20"/>
      <c r="G602" s="4"/>
      <c r="H602" s="6"/>
    </row>
    <row r="603" spans="1:8" x14ac:dyDescent="0.2">
      <c r="A603" s="31">
        <f>Winter!A606</f>
        <v>94</v>
      </c>
      <c r="B603" s="2">
        <v>598</v>
      </c>
      <c r="C603" s="3">
        <f t="shared" si="16"/>
        <v>4050</v>
      </c>
      <c r="D603" s="4">
        <f t="shared" si="17"/>
        <v>124.5395870645085</v>
      </c>
      <c r="E603" s="6"/>
      <c r="F603" s="20"/>
      <c r="G603" s="4"/>
      <c r="H603" s="6"/>
    </row>
    <row r="604" spans="1:8" x14ac:dyDescent="0.2">
      <c r="A604" s="31">
        <f>Winter!A607</f>
        <v>95</v>
      </c>
      <c r="B604" s="2">
        <v>599</v>
      </c>
      <c r="C604" s="3">
        <f t="shared" si="16"/>
        <v>3637.5</v>
      </c>
      <c r="D604" s="4">
        <f t="shared" si="17"/>
        <v>111.85499949312337</v>
      </c>
      <c r="E604" s="6"/>
      <c r="F604" s="20"/>
      <c r="G604" s="4"/>
      <c r="H604" s="6"/>
    </row>
    <row r="605" spans="1:8" x14ac:dyDescent="0.2">
      <c r="A605" s="31">
        <f>Winter!A608</f>
        <v>96</v>
      </c>
      <c r="B605" s="2">
        <v>600</v>
      </c>
      <c r="C605" s="3">
        <f t="shared" si="16"/>
        <v>3000</v>
      </c>
      <c r="D605" s="4">
        <f t="shared" si="17"/>
        <v>92.251545973709995</v>
      </c>
      <c r="E605" s="6"/>
      <c r="F605" s="20"/>
      <c r="G605" s="4"/>
      <c r="H605" s="6"/>
    </row>
    <row r="606" spans="1:8" x14ac:dyDescent="0.2">
      <c r="A606" s="31">
        <f>Winter!A609</f>
        <v>97</v>
      </c>
      <c r="B606" s="2">
        <v>601</v>
      </c>
      <c r="C606" s="3">
        <f t="shared" si="16"/>
        <v>2550</v>
      </c>
      <c r="D606" s="4">
        <f t="shared" si="17"/>
        <v>78.413814077653498</v>
      </c>
      <c r="E606" s="6"/>
      <c r="F606" s="20"/>
      <c r="G606" s="4"/>
      <c r="H606" s="6"/>
    </row>
    <row r="607" spans="1:8" x14ac:dyDescent="0.2">
      <c r="A607" s="31">
        <f>Winter!A610</f>
        <v>98</v>
      </c>
      <c r="B607" s="2">
        <v>602</v>
      </c>
      <c r="C607" s="3">
        <f t="shared" si="16"/>
        <v>2400</v>
      </c>
      <c r="D607" s="4">
        <f t="shared" si="17"/>
        <v>73.80123677896799</v>
      </c>
      <c r="E607" s="6"/>
      <c r="F607" s="20"/>
      <c r="G607" s="4"/>
      <c r="H607" s="6"/>
    </row>
    <row r="608" spans="1:8" x14ac:dyDescent="0.2">
      <c r="A608" s="31">
        <f>Winter!A611</f>
        <v>99</v>
      </c>
      <c r="B608" s="2">
        <v>603</v>
      </c>
      <c r="C608" s="3">
        <f t="shared" si="16"/>
        <v>2550</v>
      </c>
      <c r="D608" s="4">
        <f t="shared" si="17"/>
        <v>78.413814077653498</v>
      </c>
      <c r="E608" s="6"/>
      <c r="F608" s="20"/>
      <c r="G608" s="4"/>
      <c r="H608" s="6"/>
    </row>
    <row r="609" spans="1:8" x14ac:dyDescent="0.2">
      <c r="A609" s="31">
        <f>Winter!A612</f>
        <v>100</v>
      </c>
      <c r="B609" s="2">
        <v>604</v>
      </c>
      <c r="C609" s="3">
        <f t="shared" si="16"/>
        <v>2700</v>
      </c>
      <c r="D609" s="4">
        <f t="shared" si="17"/>
        <v>83.026391376338992</v>
      </c>
      <c r="E609" s="6"/>
      <c r="F609" s="20"/>
      <c r="G609" s="4"/>
      <c r="H609" s="6"/>
    </row>
    <row r="610" spans="1:8" x14ac:dyDescent="0.2">
      <c r="A610" s="31">
        <f>Winter!A613</f>
        <v>101</v>
      </c>
      <c r="B610" s="2">
        <v>605</v>
      </c>
      <c r="C610" s="3">
        <f t="shared" si="16"/>
        <v>2972.7272727272725</v>
      </c>
      <c r="D610" s="4">
        <f t="shared" si="17"/>
        <v>91.412895555767165</v>
      </c>
      <c r="E610" s="6"/>
      <c r="F610" s="20"/>
      <c r="G610" s="4"/>
      <c r="H610" s="6"/>
    </row>
    <row r="611" spans="1:8" x14ac:dyDescent="0.2">
      <c r="A611" s="31">
        <f>Winter!A614</f>
        <v>102</v>
      </c>
      <c r="B611" s="2">
        <v>606</v>
      </c>
      <c r="C611" s="3">
        <f t="shared" si="16"/>
        <v>3163.6363636363631</v>
      </c>
      <c r="D611" s="4">
        <f t="shared" si="17"/>
        <v>97.283448481366875</v>
      </c>
      <c r="E611" s="6"/>
      <c r="F611" s="20"/>
      <c r="G611" s="4"/>
      <c r="H611" s="6"/>
    </row>
    <row r="612" spans="1:8" x14ac:dyDescent="0.2">
      <c r="A612" s="31">
        <f>Winter!A615</f>
        <v>103</v>
      </c>
      <c r="B612" s="2">
        <v>607</v>
      </c>
      <c r="C612" s="3">
        <f t="shared" si="16"/>
        <v>3354.5454545454545</v>
      </c>
      <c r="D612" s="4">
        <f t="shared" si="17"/>
        <v>103.15400140696663</v>
      </c>
      <c r="E612" s="6"/>
      <c r="F612" s="20"/>
      <c r="G612" s="4"/>
      <c r="H612" s="6"/>
    </row>
    <row r="613" spans="1:8" x14ac:dyDescent="0.2">
      <c r="A613" s="31">
        <f>Winter!A616</f>
        <v>104</v>
      </c>
      <c r="B613" s="2">
        <v>608</v>
      </c>
      <c r="C613" s="3">
        <f t="shared" si="16"/>
        <v>3545.4545454545455</v>
      </c>
      <c r="D613" s="4">
        <f t="shared" si="17"/>
        <v>109.02455433256635</v>
      </c>
      <c r="E613" s="6"/>
      <c r="F613" s="20"/>
      <c r="G613" s="4"/>
      <c r="H613" s="6"/>
    </row>
    <row r="614" spans="1:8" x14ac:dyDescent="0.2">
      <c r="A614" s="31">
        <f>Winter!A617</f>
        <v>105</v>
      </c>
      <c r="B614" s="2">
        <v>609</v>
      </c>
      <c r="C614" s="3">
        <f t="shared" si="16"/>
        <v>3736.3636363636365</v>
      </c>
      <c r="D614" s="4">
        <f t="shared" si="17"/>
        <v>114.89510725816608</v>
      </c>
      <c r="E614" s="6"/>
      <c r="F614" s="20"/>
      <c r="G614" s="4"/>
      <c r="H614" s="6"/>
    </row>
    <row r="615" spans="1:8" x14ac:dyDescent="0.2">
      <c r="A615" s="31">
        <f>Winter!A618</f>
        <v>106</v>
      </c>
      <c r="B615" s="2">
        <v>610</v>
      </c>
      <c r="C615" s="3">
        <f t="shared" si="16"/>
        <v>3927.272727272727</v>
      </c>
      <c r="D615" s="4">
        <f t="shared" si="17"/>
        <v>120.76566018376582</v>
      </c>
      <c r="E615" s="6"/>
      <c r="F615" s="20"/>
      <c r="G615" s="4"/>
      <c r="H615" s="6"/>
    </row>
    <row r="616" spans="1:8" x14ac:dyDescent="0.2">
      <c r="A616" s="31">
        <f>Winter!A619</f>
        <v>107</v>
      </c>
      <c r="B616" s="2">
        <v>611</v>
      </c>
      <c r="C616" s="3">
        <f t="shared" si="16"/>
        <v>4118.181818181818</v>
      </c>
      <c r="D616" s="4">
        <f t="shared" si="17"/>
        <v>126.63621310936553</v>
      </c>
      <c r="E616" s="6"/>
      <c r="F616" s="20"/>
      <c r="G616" s="4"/>
      <c r="H616" s="6"/>
    </row>
    <row r="617" spans="1:8" x14ac:dyDescent="0.2">
      <c r="A617" s="31">
        <f>Winter!A620</f>
        <v>108</v>
      </c>
      <c r="B617" s="2">
        <v>612</v>
      </c>
      <c r="C617" s="3">
        <f t="shared" si="16"/>
        <v>4309.0909090909099</v>
      </c>
      <c r="D617" s="4">
        <f t="shared" si="17"/>
        <v>132.5067660349653</v>
      </c>
      <c r="E617" s="6"/>
      <c r="F617" s="20"/>
      <c r="G617" s="4"/>
      <c r="H617" s="6"/>
    </row>
    <row r="618" spans="1:8" x14ac:dyDescent="0.2">
      <c r="A618" s="31">
        <f>Winter!A621</f>
        <v>109</v>
      </c>
      <c r="B618" s="2">
        <v>613</v>
      </c>
      <c r="C618" s="3">
        <f t="shared" si="16"/>
        <v>4500</v>
      </c>
      <c r="D618" s="4">
        <f t="shared" si="17"/>
        <v>138.37731896056499</v>
      </c>
      <c r="E618" s="6"/>
      <c r="F618" s="20"/>
      <c r="G618" s="4"/>
      <c r="H618" s="6"/>
    </row>
    <row r="619" spans="1:8" x14ac:dyDescent="0.2">
      <c r="A619" s="31">
        <f>Winter!A622</f>
        <v>110</v>
      </c>
      <c r="B619" s="2">
        <v>614</v>
      </c>
      <c r="C619" s="3">
        <f t="shared" si="16"/>
        <v>4414.2857142857147</v>
      </c>
      <c r="D619" s="4">
        <f t="shared" si="17"/>
        <v>135.74156050417326</v>
      </c>
      <c r="E619" s="6"/>
      <c r="F619" s="20"/>
      <c r="G619" s="4"/>
      <c r="H619" s="6"/>
    </row>
    <row r="620" spans="1:8" x14ac:dyDescent="0.2">
      <c r="A620" s="31">
        <f>Winter!A623</f>
        <v>111</v>
      </c>
      <c r="B620" s="2">
        <v>615</v>
      </c>
      <c r="C620" s="3">
        <f t="shared" si="16"/>
        <v>4328.5714285714294</v>
      </c>
      <c r="D620" s="4">
        <f t="shared" si="17"/>
        <v>133.10580204778159</v>
      </c>
      <c r="E620" s="6"/>
      <c r="F620" s="20"/>
      <c r="G620" s="4"/>
      <c r="H620" s="6"/>
    </row>
    <row r="621" spans="1:8" x14ac:dyDescent="0.2">
      <c r="A621" s="31">
        <f>Winter!A624</f>
        <v>112</v>
      </c>
      <c r="B621" s="2">
        <v>616</v>
      </c>
      <c r="C621" s="3">
        <f t="shared" si="16"/>
        <v>4242.8571428571431</v>
      </c>
      <c r="D621" s="4">
        <f t="shared" si="17"/>
        <v>130.47004359138984</v>
      </c>
      <c r="E621" s="6"/>
      <c r="F621" s="20"/>
      <c r="G621" s="4"/>
      <c r="H621" s="6"/>
    </row>
    <row r="622" spans="1:8" x14ac:dyDescent="0.2">
      <c r="A622" s="31">
        <f>Winter!A625</f>
        <v>113</v>
      </c>
      <c r="B622" s="2">
        <v>617</v>
      </c>
      <c r="C622" s="3">
        <f t="shared" si="16"/>
        <v>4157.1428571428569</v>
      </c>
      <c r="D622" s="4">
        <f t="shared" si="17"/>
        <v>127.83428513499814</v>
      </c>
      <c r="E622" s="6"/>
      <c r="F622" s="20"/>
      <c r="G622" s="4"/>
      <c r="H622" s="6"/>
    </row>
    <row r="623" spans="1:8" x14ac:dyDescent="0.2">
      <c r="A623" s="31">
        <f>Winter!A626</f>
        <v>114</v>
      </c>
      <c r="B623" s="2">
        <v>618</v>
      </c>
      <c r="C623" s="3">
        <f t="shared" si="16"/>
        <v>4071.4285714285711</v>
      </c>
      <c r="D623" s="4">
        <f t="shared" si="17"/>
        <v>125.19852667860643</v>
      </c>
      <c r="E623" s="6"/>
      <c r="F623" s="20"/>
      <c r="G623" s="4"/>
      <c r="H623" s="6"/>
    </row>
    <row r="624" spans="1:8" x14ac:dyDescent="0.2">
      <c r="A624" s="31">
        <f>Winter!A627</f>
        <v>115</v>
      </c>
      <c r="B624" s="2">
        <v>619</v>
      </c>
      <c r="C624" s="3">
        <f t="shared" si="16"/>
        <v>3985.7142857142862</v>
      </c>
      <c r="D624" s="4">
        <f t="shared" si="17"/>
        <v>122.56276822221473</v>
      </c>
      <c r="E624" s="6"/>
      <c r="F624" s="20"/>
      <c r="G624" s="4"/>
      <c r="H624" s="6"/>
    </row>
    <row r="625" spans="1:8" x14ac:dyDescent="0.2">
      <c r="A625" s="31">
        <f>Winter!A628</f>
        <v>116</v>
      </c>
      <c r="B625" s="2">
        <v>620</v>
      </c>
      <c r="C625" s="3">
        <f t="shared" si="16"/>
        <v>3900</v>
      </c>
      <c r="D625" s="4">
        <f t="shared" si="17"/>
        <v>119.92700976582299</v>
      </c>
      <c r="E625" s="6"/>
      <c r="F625" s="20"/>
      <c r="G625" s="4"/>
      <c r="H625" s="6"/>
    </row>
    <row r="626" spans="1:8" x14ac:dyDescent="0.2">
      <c r="A626" s="31">
        <f>Winter!A629</f>
        <v>117</v>
      </c>
      <c r="B626" s="2">
        <v>621</v>
      </c>
      <c r="C626" s="3">
        <f t="shared" si="16"/>
        <v>4199.9999999999991</v>
      </c>
      <c r="D626" s="4">
        <f t="shared" si="17"/>
        <v>129.15216436319398</v>
      </c>
      <c r="E626" s="6"/>
      <c r="F626" s="20"/>
      <c r="G626" s="4"/>
      <c r="H626" s="6"/>
    </row>
    <row r="627" spans="1:8" x14ac:dyDescent="0.2">
      <c r="A627" s="31">
        <f>Winter!A630</f>
        <v>118</v>
      </c>
      <c r="B627" s="2">
        <v>622</v>
      </c>
      <c r="C627" s="3">
        <f t="shared" si="16"/>
        <v>3749.9999999999995</v>
      </c>
      <c r="D627" s="4">
        <f t="shared" si="17"/>
        <v>115.31443246713748</v>
      </c>
      <c r="E627" s="6"/>
      <c r="F627" s="20"/>
      <c r="G627" s="4"/>
      <c r="H627" s="6"/>
    </row>
    <row r="628" spans="1:8" x14ac:dyDescent="0.2">
      <c r="A628" s="31">
        <f>Winter!A631</f>
        <v>119</v>
      </c>
      <c r="B628" s="2">
        <v>623</v>
      </c>
      <c r="C628" s="3">
        <f t="shared" si="16"/>
        <v>3300</v>
      </c>
      <c r="D628" s="4">
        <f t="shared" si="17"/>
        <v>101.476700571081</v>
      </c>
      <c r="E628" s="6"/>
      <c r="F628" s="20"/>
      <c r="G628" s="4"/>
      <c r="H628" s="6"/>
    </row>
    <row r="629" spans="1:8" x14ac:dyDescent="0.2">
      <c r="A629" s="31">
        <f>Winter!A632</f>
        <v>120</v>
      </c>
      <c r="B629" s="2">
        <v>624</v>
      </c>
      <c r="C629" s="3">
        <f t="shared" si="16"/>
        <v>2850</v>
      </c>
      <c r="D629" s="4">
        <f t="shared" si="17"/>
        <v>87.6389686750245</v>
      </c>
      <c r="E629" s="6"/>
      <c r="F629" s="20"/>
      <c r="G629" s="4"/>
      <c r="H629" s="6"/>
    </row>
    <row r="630" spans="1:8" x14ac:dyDescent="0.2">
      <c r="A630" s="31">
        <f>Winter!A633</f>
        <v>121</v>
      </c>
      <c r="B630" s="2">
        <v>625</v>
      </c>
      <c r="C630" s="3">
        <f t="shared" si="16"/>
        <v>2400</v>
      </c>
      <c r="D630" s="4">
        <f t="shared" si="17"/>
        <v>73.80123677896799</v>
      </c>
      <c r="E630" s="6"/>
      <c r="F630" s="20"/>
      <c r="G630" s="4"/>
      <c r="H630" s="6"/>
    </row>
    <row r="631" spans="1:8" x14ac:dyDescent="0.2">
      <c r="A631" s="31">
        <f>Winter!A634</f>
        <v>122</v>
      </c>
      <c r="B631" s="2">
        <v>626</v>
      </c>
      <c r="C631" s="3">
        <f t="shared" si="16"/>
        <v>2400</v>
      </c>
      <c r="D631" s="4">
        <f t="shared" si="17"/>
        <v>73.80123677896799</v>
      </c>
      <c r="E631" s="6"/>
      <c r="F631" s="20"/>
      <c r="G631" s="4"/>
      <c r="H631" s="6"/>
    </row>
    <row r="632" spans="1:8" x14ac:dyDescent="0.2">
      <c r="A632" s="31">
        <f>Winter!A635</f>
        <v>123</v>
      </c>
      <c r="B632" s="2">
        <v>627</v>
      </c>
      <c r="C632" s="3">
        <f t="shared" si="16"/>
        <v>2571.4285714285716</v>
      </c>
      <c r="D632" s="4">
        <f t="shared" si="17"/>
        <v>79.07275369175143</v>
      </c>
      <c r="E632" s="6"/>
      <c r="F632" s="20"/>
      <c r="G632" s="4"/>
      <c r="H632" s="6"/>
    </row>
    <row r="633" spans="1:8" x14ac:dyDescent="0.2">
      <c r="A633" s="31">
        <f>Winter!A636</f>
        <v>124</v>
      </c>
      <c r="B633" s="2">
        <v>628</v>
      </c>
      <c r="C633" s="3">
        <f t="shared" si="16"/>
        <v>2742.8571428571427</v>
      </c>
      <c r="D633" s="4">
        <f t="shared" si="17"/>
        <v>84.344270604534856</v>
      </c>
      <c r="E633" s="6"/>
      <c r="F633" s="20"/>
      <c r="G633" s="4"/>
      <c r="H633" s="6"/>
    </row>
    <row r="634" spans="1:8" x14ac:dyDescent="0.2">
      <c r="A634" s="31">
        <f>Winter!A637</f>
        <v>125</v>
      </c>
      <c r="B634" s="2">
        <v>629</v>
      </c>
      <c r="C634" s="3">
        <f t="shared" si="16"/>
        <v>2914.2857142857147</v>
      </c>
      <c r="D634" s="4">
        <f t="shared" si="17"/>
        <v>89.615787517318296</v>
      </c>
      <c r="E634" s="6"/>
      <c r="F634" s="20"/>
      <c r="G634" s="4"/>
      <c r="H634" s="6"/>
    </row>
    <row r="635" spans="1:8" x14ac:dyDescent="0.2">
      <c r="A635" s="31">
        <f>Winter!A638</f>
        <v>126</v>
      </c>
      <c r="B635" s="2">
        <v>630</v>
      </c>
      <c r="C635" s="3">
        <f t="shared" si="16"/>
        <v>3085.7142857142858</v>
      </c>
      <c r="D635" s="4">
        <f t="shared" si="17"/>
        <v>94.887304430101707</v>
      </c>
      <c r="E635" s="6"/>
      <c r="F635" s="20"/>
      <c r="G635" s="4"/>
      <c r="H635" s="6"/>
    </row>
    <row r="636" spans="1:8" x14ac:dyDescent="0.2">
      <c r="A636" s="31">
        <f>Winter!A639</f>
        <v>127</v>
      </c>
      <c r="B636" s="2">
        <v>631</v>
      </c>
      <c r="C636" s="3">
        <f t="shared" si="16"/>
        <v>3257.1428571428573</v>
      </c>
      <c r="D636" s="4">
        <f t="shared" si="17"/>
        <v>100.15882134288513</v>
      </c>
      <c r="E636" s="6"/>
      <c r="F636" s="20"/>
      <c r="G636" s="4"/>
      <c r="H636" s="6"/>
    </row>
    <row r="637" spans="1:8" x14ac:dyDescent="0.2">
      <c r="A637" s="31">
        <f>Winter!A640</f>
        <v>128</v>
      </c>
      <c r="B637" s="2">
        <v>632</v>
      </c>
      <c r="C637" s="3">
        <f t="shared" si="16"/>
        <v>3428.5714285714289</v>
      </c>
      <c r="D637" s="4">
        <f t="shared" si="17"/>
        <v>105.43033825566857</v>
      </c>
      <c r="E637" s="6"/>
      <c r="F637" s="20"/>
      <c r="G637" s="4"/>
      <c r="H637" s="6"/>
    </row>
    <row r="638" spans="1:8" x14ac:dyDescent="0.2">
      <c r="A638" s="31">
        <f>Winter!A641</f>
        <v>129</v>
      </c>
      <c r="B638" s="2">
        <v>633</v>
      </c>
      <c r="C638" s="3">
        <f t="shared" si="16"/>
        <v>3600</v>
      </c>
      <c r="D638" s="4">
        <f t="shared" si="17"/>
        <v>110.701855168452</v>
      </c>
      <c r="E638" s="6"/>
      <c r="F638" s="20"/>
      <c r="G638" s="4"/>
      <c r="H638" s="6"/>
    </row>
    <row r="639" spans="1:8" x14ac:dyDescent="0.2">
      <c r="A639" s="31">
        <f>Winter!A642</f>
        <v>130</v>
      </c>
      <c r="B639" s="2">
        <v>634</v>
      </c>
      <c r="C639" s="3">
        <f t="shared" ref="C639:C677" si="18">C135</f>
        <v>3771.428571428572</v>
      </c>
      <c r="D639" s="4">
        <f t="shared" si="17"/>
        <v>115.97337208123544</v>
      </c>
      <c r="E639" s="6"/>
      <c r="F639" s="20"/>
      <c r="G639" s="4"/>
      <c r="H639" s="6"/>
    </row>
    <row r="640" spans="1:8" x14ac:dyDescent="0.2">
      <c r="A640" s="31">
        <f>Winter!A643</f>
        <v>131</v>
      </c>
      <c r="B640" s="2">
        <v>635</v>
      </c>
      <c r="C640" s="3">
        <f t="shared" si="18"/>
        <v>3942.8571428571436</v>
      </c>
      <c r="D640" s="4">
        <f t="shared" si="17"/>
        <v>121.24488899401888</v>
      </c>
      <c r="E640" s="6"/>
      <c r="F640" s="20"/>
      <c r="G640" s="4"/>
      <c r="H640" s="6"/>
    </row>
    <row r="641" spans="1:8" x14ac:dyDescent="0.2">
      <c r="A641" s="31">
        <f>Winter!A644</f>
        <v>132</v>
      </c>
      <c r="B641" s="2">
        <v>636</v>
      </c>
      <c r="C641" s="3">
        <f t="shared" si="18"/>
        <v>4114.2857142857147</v>
      </c>
      <c r="D641" s="4">
        <f t="shared" si="17"/>
        <v>126.51640590680228</v>
      </c>
      <c r="E641" s="6"/>
      <c r="F641" s="20"/>
      <c r="G641" s="4"/>
      <c r="H641" s="6"/>
    </row>
    <row r="642" spans="1:8" x14ac:dyDescent="0.2">
      <c r="A642" s="31">
        <f>Winter!A645</f>
        <v>133</v>
      </c>
      <c r="B642" s="2">
        <v>637</v>
      </c>
      <c r="C642" s="3">
        <f t="shared" si="18"/>
        <v>4199.9999999999991</v>
      </c>
      <c r="D642" s="4">
        <f t="shared" si="17"/>
        <v>129.15216436319398</v>
      </c>
      <c r="E642" s="6"/>
      <c r="F642" s="20"/>
      <c r="G642" s="4"/>
      <c r="H642" s="6"/>
    </row>
    <row r="643" spans="1:8" x14ac:dyDescent="0.2">
      <c r="A643" s="31">
        <f>Winter!A646</f>
        <v>134</v>
      </c>
      <c r="B643" s="2">
        <v>638</v>
      </c>
      <c r="C643" s="3">
        <f t="shared" si="18"/>
        <v>4199.9999999999991</v>
      </c>
      <c r="D643" s="4">
        <f t="shared" si="17"/>
        <v>129.15216436319398</v>
      </c>
      <c r="E643" s="6"/>
      <c r="F643" s="20"/>
      <c r="G643" s="4"/>
      <c r="H643" s="6"/>
    </row>
    <row r="644" spans="1:8" x14ac:dyDescent="0.2">
      <c r="A644" s="31">
        <f>Winter!A647</f>
        <v>135</v>
      </c>
      <c r="B644" s="2">
        <v>639</v>
      </c>
      <c r="C644" s="3">
        <f t="shared" si="18"/>
        <v>4628.5714285714294</v>
      </c>
      <c r="D644" s="4">
        <f t="shared" si="17"/>
        <v>142.33095664515258</v>
      </c>
      <c r="E644" s="6"/>
      <c r="F644" s="20"/>
      <c r="G644" s="4"/>
      <c r="H644" s="6"/>
    </row>
    <row r="645" spans="1:8" x14ac:dyDescent="0.2">
      <c r="A645" s="31">
        <f>Winter!A648</f>
        <v>136</v>
      </c>
      <c r="B645" s="2">
        <v>640</v>
      </c>
      <c r="C645" s="3">
        <f t="shared" si="18"/>
        <v>4800</v>
      </c>
      <c r="D645" s="4">
        <f t="shared" si="17"/>
        <v>147.60247355793598</v>
      </c>
      <c r="E645" s="6"/>
      <c r="F645" s="20"/>
      <c r="G645" s="4"/>
      <c r="H645" s="6"/>
    </row>
    <row r="646" spans="1:8" x14ac:dyDescent="0.2">
      <c r="A646" s="31">
        <f>Winter!A649</f>
        <v>137</v>
      </c>
      <c r="B646" s="2">
        <v>641</v>
      </c>
      <c r="C646" s="3">
        <f t="shared" si="18"/>
        <v>4560</v>
      </c>
      <c r="D646" s="4">
        <f t="shared" si="17"/>
        <v>140.22234988003919</v>
      </c>
      <c r="E646" s="6"/>
      <c r="F646" s="20"/>
      <c r="G646" s="4"/>
      <c r="H646" s="6"/>
    </row>
    <row r="647" spans="1:8" x14ac:dyDescent="0.2">
      <c r="A647" s="31">
        <f>Winter!A650</f>
        <v>138</v>
      </c>
      <c r="B647" s="2">
        <v>642</v>
      </c>
      <c r="C647" s="3">
        <f t="shared" si="18"/>
        <v>4320</v>
      </c>
      <c r="D647" s="4">
        <f t="shared" ref="D647:D677" si="19">$G$3*C647*(1/$G$5-1/$G$4)</f>
        <v>132.8422262021424</v>
      </c>
      <c r="E647" s="6"/>
      <c r="F647" s="20"/>
      <c r="G647" s="4"/>
      <c r="H647" s="6"/>
    </row>
    <row r="648" spans="1:8" x14ac:dyDescent="0.2">
      <c r="A648" s="31">
        <f>Winter!A651</f>
        <v>139</v>
      </c>
      <c r="B648" s="2">
        <v>643</v>
      </c>
      <c r="C648" s="3">
        <f t="shared" si="18"/>
        <v>4199.9999999999991</v>
      </c>
      <c r="D648" s="4">
        <f t="shared" si="19"/>
        <v>129.15216436319398</v>
      </c>
      <c r="E648" s="6"/>
      <c r="F648" s="20"/>
      <c r="G648" s="4"/>
      <c r="H648" s="6"/>
    </row>
    <row r="649" spans="1:8" x14ac:dyDescent="0.2">
      <c r="A649" s="31">
        <f>Winter!A652</f>
        <v>140</v>
      </c>
      <c r="B649" s="2">
        <v>644</v>
      </c>
      <c r="C649" s="3">
        <f t="shared" si="18"/>
        <v>3839.9999999999995</v>
      </c>
      <c r="D649" s="4">
        <f t="shared" si="19"/>
        <v>118.08197884634878</v>
      </c>
      <c r="E649" s="6"/>
      <c r="F649" s="20"/>
      <c r="G649" s="4"/>
      <c r="H649" s="6"/>
    </row>
    <row r="650" spans="1:8" x14ac:dyDescent="0.2">
      <c r="A650" s="31">
        <f>Winter!A653</f>
        <v>141</v>
      </c>
      <c r="B650" s="2">
        <v>645</v>
      </c>
      <c r="C650" s="3">
        <f t="shared" si="18"/>
        <v>3599.9999999999986</v>
      </c>
      <c r="D650" s="4">
        <f t="shared" si="19"/>
        <v>110.70185516845196</v>
      </c>
      <c r="E650" s="6"/>
      <c r="F650" s="20"/>
      <c r="G650" s="4"/>
      <c r="H650" s="6"/>
    </row>
    <row r="651" spans="1:8" x14ac:dyDescent="0.2">
      <c r="A651" s="31">
        <f>Winter!A654</f>
        <v>142</v>
      </c>
      <c r="B651" s="2">
        <v>646</v>
      </c>
      <c r="C651" s="3">
        <f t="shared" si="18"/>
        <v>3359.9999999999995</v>
      </c>
      <c r="D651" s="4">
        <f t="shared" si="19"/>
        <v>103.32173149055518</v>
      </c>
      <c r="E651" s="6"/>
      <c r="F651" s="20"/>
      <c r="G651" s="4"/>
      <c r="H651" s="6"/>
    </row>
    <row r="652" spans="1:8" x14ac:dyDescent="0.2">
      <c r="A652" s="31">
        <f>Winter!A655</f>
        <v>143</v>
      </c>
      <c r="B652" s="2">
        <v>647</v>
      </c>
      <c r="C652" s="3">
        <f t="shared" si="18"/>
        <v>2700</v>
      </c>
      <c r="D652" s="4">
        <f t="shared" si="19"/>
        <v>83.026391376338992</v>
      </c>
      <c r="E652" s="6"/>
      <c r="F652" s="20"/>
      <c r="G652" s="4"/>
      <c r="H652" s="6"/>
    </row>
    <row r="653" spans="1:8" x14ac:dyDescent="0.2">
      <c r="A653" s="31">
        <f>Winter!A656</f>
        <v>144</v>
      </c>
      <c r="B653" s="2">
        <v>648</v>
      </c>
      <c r="C653" s="3">
        <f t="shared" si="18"/>
        <v>2550</v>
      </c>
      <c r="D653" s="4">
        <f t="shared" si="19"/>
        <v>78.413814077653498</v>
      </c>
      <c r="E653" s="6"/>
      <c r="F653" s="20"/>
      <c r="G653" s="4"/>
      <c r="H653" s="6"/>
    </row>
    <row r="654" spans="1:8" x14ac:dyDescent="0.2">
      <c r="A654" s="31">
        <f>Winter!A657</f>
        <v>145</v>
      </c>
      <c r="B654" s="2">
        <v>649</v>
      </c>
      <c r="C654" s="3">
        <f t="shared" si="18"/>
        <v>2400</v>
      </c>
      <c r="D654" s="4">
        <f t="shared" si="19"/>
        <v>73.80123677896799</v>
      </c>
      <c r="E654" s="6"/>
      <c r="F654" s="20"/>
      <c r="G654" s="4"/>
      <c r="H654" s="6"/>
    </row>
    <row r="655" spans="1:8" x14ac:dyDescent="0.2">
      <c r="A655" s="31">
        <f>Winter!A658</f>
        <v>146</v>
      </c>
      <c r="B655" s="2">
        <v>650</v>
      </c>
      <c r="C655" s="3">
        <f t="shared" si="18"/>
        <v>2400</v>
      </c>
      <c r="D655" s="4">
        <f t="shared" si="19"/>
        <v>73.80123677896799</v>
      </c>
      <c r="E655" s="6"/>
      <c r="F655" s="20"/>
      <c r="G655" s="4"/>
      <c r="H655" s="6"/>
    </row>
    <row r="656" spans="1:8" x14ac:dyDescent="0.2">
      <c r="A656" s="31">
        <f>Winter!A659</f>
        <v>147</v>
      </c>
      <c r="B656" s="2">
        <v>651</v>
      </c>
      <c r="C656" s="3">
        <f t="shared" si="18"/>
        <v>2550.0000000000005</v>
      </c>
      <c r="D656" s="4">
        <f t="shared" si="19"/>
        <v>78.413814077653512</v>
      </c>
      <c r="E656" s="6"/>
      <c r="F656" s="20"/>
      <c r="G656" s="4"/>
      <c r="H656" s="6"/>
    </row>
    <row r="657" spans="1:8" x14ac:dyDescent="0.2">
      <c r="A657" s="31">
        <f>Winter!A660</f>
        <v>148</v>
      </c>
      <c r="B657" s="2">
        <v>652</v>
      </c>
      <c r="C657" s="3">
        <f t="shared" si="18"/>
        <v>2700</v>
      </c>
      <c r="D657" s="4">
        <f t="shared" si="19"/>
        <v>83.026391376338992</v>
      </c>
      <c r="E657" s="6"/>
      <c r="F657" s="20"/>
      <c r="G657" s="4"/>
      <c r="H657" s="6"/>
    </row>
    <row r="658" spans="1:8" x14ac:dyDescent="0.2">
      <c r="A658" s="31">
        <f>Winter!A661</f>
        <v>149</v>
      </c>
      <c r="B658" s="2">
        <v>653</v>
      </c>
      <c r="C658" s="3">
        <f t="shared" si="18"/>
        <v>2850</v>
      </c>
      <c r="D658" s="4">
        <f t="shared" si="19"/>
        <v>87.6389686750245</v>
      </c>
      <c r="E658" s="6"/>
      <c r="F658" s="20"/>
      <c r="G658" s="4"/>
      <c r="H658" s="6"/>
    </row>
    <row r="659" spans="1:8" x14ac:dyDescent="0.2">
      <c r="A659" s="31">
        <f>Winter!A662</f>
        <v>150</v>
      </c>
      <c r="B659" s="2">
        <v>654</v>
      </c>
      <c r="C659" s="3">
        <f t="shared" si="18"/>
        <v>3000</v>
      </c>
      <c r="D659" s="4">
        <f t="shared" si="19"/>
        <v>92.251545973709995</v>
      </c>
      <c r="E659" s="6"/>
      <c r="F659" s="20"/>
      <c r="G659" s="4"/>
      <c r="H659" s="6"/>
    </row>
    <row r="660" spans="1:8" x14ac:dyDescent="0.2">
      <c r="A660" s="31">
        <f>Winter!A663</f>
        <v>151</v>
      </c>
      <c r="B660" s="2">
        <v>655</v>
      </c>
      <c r="C660" s="3">
        <f t="shared" si="18"/>
        <v>3150</v>
      </c>
      <c r="D660" s="4">
        <f t="shared" si="19"/>
        <v>96.864123272395489</v>
      </c>
      <c r="E660" s="6"/>
      <c r="F660" s="20"/>
      <c r="G660" s="4"/>
      <c r="H660" s="6"/>
    </row>
    <row r="661" spans="1:8" x14ac:dyDescent="0.2">
      <c r="A661" s="31">
        <f>Winter!A664</f>
        <v>152</v>
      </c>
      <c r="B661" s="2">
        <v>656</v>
      </c>
      <c r="C661" s="3">
        <f t="shared" si="18"/>
        <v>3300</v>
      </c>
      <c r="D661" s="4">
        <f t="shared" si="19"/>
        <v>101.476700571081</v>
      </c>
      <c r="E661" s="6"/>
      <c r="F661" s="20"/>
      <c r="G661" s="4"/>
      <c r="H661" s="6"/>
    </row>
    <row r="662" spans="1:8" x14ac:dyDescent="0.2">
      <c r="A662" s="31">
        <f>Winter!A665</f>
        <v>153</v>
      </c>
      <c r="B662" s="2">
        <v>657</v>
      </c>
      <c r="C662" s="3">
        <f t="shared" si="18"/>
        <v>3450</v>
      </c>
      <c r="D662" s="4">
        <f t="shared" si="19"/>
        <v>106.08927786976649</v>
      </c>
      <c r="E662" s="6"/>
      <c r="F662" s="20"/>
      <c r="G662" s="4"/>
      <c r="H662" s="6"/>
    </row>
    <row r="663" spans="1:8" x14ac:dyDescent="0.2">
      <c r="A663" s="31">
        <f>Winter!A666</f>
        <v>154</v>
      </c>
      <c r="B663" s="2">
        <v>658</v>
      </c>
      <c r="C663" s="3">
        <f t="shared" si="18"/>
        <v>3600</v>
      </c>
      <c r="D663" s="4">
        <f t="shared" si="19"/>
        <v>110.701855168452</v>
      </c>
      <c r="E663" s="6"/>
      <c r="F663" s="20"/>
      <c r="G663" s="4"/>
      <c r="H663" s="6"/>
    </row>
    <row r="664" spans="1:8" x14ac:dyDescent="0.2">
      <c r="A664" s="31">
        <f>Winter!A667</f>
        <v>155</v>
      </c>
      <c r="B664" s="2">
        <v>659</v>
      </c>
      <c r="C664" s="3">
        <f t="shared" si="18"/>
        <v>3750.0000000000005</v>
      </c>
      <c r="D664" s="4">
        <f t="shared" si="19"/>
        <v>115.31443246713751</v>
      </c>
      <c r="E664" s="6"/>
      <c r="F664" s="20"/>
      <c r="G664" s="4"/>
      <c r="H664" s="6"/>
    </row>
    <row r="665" spans="1:8" x14ac:dyDescent="0.2">
      <c r="A665" s="31">
        <f>Winter!A668</f>
        <v>156</v>
      </c>
      <c r="B665" s="2">
        <v>660</v>
      </c>
      <c r="C665" s="3">
        <f t="shared" si="18"/>
        <v>3900.0000000000009</v>
      </c>
      <c r="D665" s="4">
        <f t="shared" si="19"/>
        <v>119.92700976582302</v>
      </c>
      <c r="E665" s="6"/>
      <c r="F665" s="20"/>
      <c r="G665" s="4"/>
      <c r="H665" s="6"/>
    </row>
    <row r="666" spans="1:8" x14ac:dyDescent="0.2">
      <c r="A666" s="31">
        <f>Winter!A669</f>
        <v>157</v>
      </c>
      <c r="B666" s="2">
        <v>661</v>
      </c>
      <c r="C666" s="3">
        <f t="shared" si="18"/>
        <v>4050.0000000000009</v>
      </c>
      <c r="D666" s="4">
        <f t="shared" si="19"/>
        <v>124.53958706450852</v>
      </c>
      <c r="E666" s="6"/>
      <c r="F666" s="20"/>
      <c r="G666" s="4"/>
      <c r="H666" s="6"/>
    </row>
    <row r="667" spans="1:8" x14ac:dyDescent="0.2">
      <c r="A667" s="31">
        <f>Winter!A670</f>
        <v>158</v>
      </c>
      <c r="B667" s="2">
        <v>662</v>
      </c>
      <c r="C667" s="3">
        <f t="shared" si="18"/>
        <v>4200.0000000000009</v>
      </c>
      <c r="D667" s="4">
        <f t="shared" si="19"/>
        <v>129.152164363194</v>
      </c>
      <c r="E667" s="6"/>
      <c r="F667" s="20"/>
      <c r="G667" s="4"/>
      <c r="H667" s="6"/>
    </row>
    <row r="668" spans="1:8" x14ac:dyDescent="0.2">
      <c r="A668" s="31">
        <f>Winter!A671</f>
        <v>159</v>
      </c>
      <c r="B668" s="2">
        <v>663</v>
      </c>
      <c r="C668" s="3">
        <f t="shared" si="18"/>
        <v>4050</v>
      </c>
      <c r="D668" s="4">
        <f t="shared" si="19"/>
        <v>124.5395870645085</v>
      </c>
      <c r="E668" s="6"/>
      <c r="F668" s="20"/>
      <c r="G668" s="4"/>
      <c r="H668" s="6"/>
    </row>
    <row r="669" spans="1:8" x14ac:dyDescent="0.2">
      <c r="A669" s="31">
        <f>Winter!A672</f>
        <v>160</v>
      </c>
      <c r="B669" s="2">
        <v>664</v>
      </c>
      <c r="C669" s="3">
        <f t="shared" si="18"/>
        <v>4199.9999999999991</v>
      </c>
      <c r="D669" s="4">
        <f t="shared" si="19"/>
        <v>129.15216436319398</v>
      </c>
      <c r="E669" s="6"/>
      <c r="F669" s="20"/>
      <c r="G669" s="4"/>
      <c r="H669" s="6"/>
    </row>
    <row r="670" spans="1:8" x14ac:dyDescent="0.2">
      <c r="A670" s="31">
        <f>Winter!A673</f>
        <v>161</v>
      </c>
      <c r="B670" s="2">
        <v>665</v>
      </c>
      <c r="C670" s="3">
        <f t="shared" si="18"/>
        <v>4800</v>
      </c>
      <c r="D670" s="4">
        <f t="shared" si="19"/>
        <v>147.60247355793598</v>
      </c>
      <c r="E670" s="6"/>
      <c r="F670" s="20"/>
      <c r="G670" s="4"/>
      <c r="H670" s="6"/>
    </row>
    <row r="671" spans="1:8" x14ac:dyDescent="0.2">
      <c r="A671" s="31">
        <f>Winter!A674</f>
        <v>162</v>
      </c>
      <c r="B671" s="2">
        <v>666</v>
      </c>
      <c r="C671" s="3">
        <f t="shared" si="18"/>
        <v>4649.9999999999991</v>
      </c>
      <c r="D671" s="4">
        <f t="shared" si="19"/>
        <v>142.98989625925046</v>
      </c>
      <c r="E671" s="6"/>
      <c r="F671" s="20"/>
      <c r="G671" s="4"/>
      <c r="H671" s="6"/>
    </row>
    <row r="672" spans="1:8" x14ac:dyDescent="0.2">
      <c r="A672" s="31">
        <f>Winter!A675</f>
        <v>163</v>
      </c>
      <c r="B672" s="2">
        <v>667</v>
      </c>
      <c r="C672" s="3">
        <f t="shared" si="18"/>
        <v>4949.9999999999991</v>
      </c>
      <c r="D672" s="4">
        <f t="shared" si="19"/>
        <v>152.21505085662147</v>
      </c>
      <c r="E672" s="6"/>
      <c r="F672" s="20"/>
      <c r="G672" s="4"/>
      <c r="H672" s="6"/>
    </row>
    <row r="673" spans="1:8" x14ac:dyDescent="0.2">
      <c r="A673" s="31">
        <f>Winter!A676</f>
        <v>164</v>
      </c>
      <c r="B673" s="2">
        <v>668</v>
      </c>
      <c r="C673" s="3">
        <f t="shared" si="18"/>
        <v>4620</v>
      </c>
      <c r="D673" s="4">
        <f t="shared" si="19"/>
        <v>142.06738079951339</v>
      </c>
      <c r="E673" s="6"/>
      <c r="F673" s="20"/>
      <c r="G673" s="4"/>
      <c r="H673" s="6"/>
    </row>
    <row r="674" spans="1:8" x14ac:dyDescent="0.2">
      <c r="A674" s="31">
        <f>Winter!A677</f>
        <v>165</v>
      </c>
      <c r="B674" s="2">
        <v>669</v>
      </c>
      <c r="C674" s="3">
        <f t="shared" si="18"/>
        <v>4290</v>
      </c>
      <c r="D674" s="4">
        <f t="shared" si="19"/>
        <v>131.9197107424053</v>
      </c>
      <c r="E674" s="6"/>
      <c r="F674" s="20"/>
      <c r="G674" s="4"/>
      <c r="H674" s="6"/>
    </row>
    <row r="675" spans="1:8" x14ac:dyDescent="0.2">
      <c r="A675" s="31">
        <f>Winter!A678</f>
        <v>166</v>
      </c>
      <c r="B675" s="2">
        <v>670</v>
      </c>
      <c r="C675" s="3">
        <f t="shared" si="18"/>
        <v>3959.9999999999995</v>
      </c>
      <c r="D675" s="4">
        <f t="shared" si="19"/>
        <v>121.77204068529717</v>
      </c>
      <c r="E675" s="6"/>
      <c r="F675" s="20"/>
      <c r="G675" s="4"/>
      <c r="H675" s="6"/>
    </row>
    <row r="676" spans="1:8" x14ac:dyDescent="0.2">
      <c r="A676" s="31">
        <f>Winter!A679</f>
        <v>167</v>
      </c>
      <c r="B676" s="2">
        <v>671</v>
      </c>
      <c r="C676" s="3">
        <f t="shared" si="18"/>
        <v>3630</v>
      </c>
      <c r="D676" s="4">
        <f t="shared" si="19"/>
        <v>111.6243706281891</v>
      </c>
      <c r="E676" s="6"/>
      <c r="F676" s="20"/>
      <c r="G676" s="4"/>
      <c r="H676" s="6"/>
    </row>
    <row r="677" spans="1:8" x14ac:dyDescent="0.2">
      <c r="A677" s="31">
        <f>Winter!A680</f>
        <v>168</v>
      </c>
      <c r="B677" s="2">
        <v>672</v>
      </c>
      <c r="C677" s="3">
        <f t="shared" si="18"/>
        <v>3300</v>
      </c>
      <c r="D677" s="4">
        <f t="shared" si="19"/>
        <v>101.476700571081</v>
      </c>
      <c r="E677" s="6"/>
      <c r="F677" s="20"/>
      <c r="G677" s="4"/>
      <c r="H677" s="6"/>
    </row>
    <row r="678" spans="1:8" x14ac:dyDescent="0.2">
      <c r="C678" s="3"/>
      <c r="F678" s="3"/>
    </row>
    <row r="679" spans="1:8" x14ac:dyDescent="0.2">
      <c r="C679" s="3"/>
    </row>
    <row r="680" spans="1:8" x14ac:dyDescent="0.2">
      <c r="C68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Winter</vt:lpstr>
      <vt:lpstr>Spring Autumn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2026-07-27T11:01:17Z</dcterms:modified>
</cp:coreProperties>
</file>