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7B040140-708B-4640-B62D-29D70AA0230D}" xr6:coauthVersionLast="47" xr6:coauthVersionMax="47" xr10:uidLastSave="{00000000-0000-0000-0000-000000000000}"/>
  <bookViews>
    <workbookView xWindow="0" yWindow="0" windowWidth="40960" windowHeight="23040" xr2:uid="{CFE7E63E-0C41-C84D-AED0-B596B91BC05D}"/>
  </bookViews>
  <sheets>
    <sheet name="Large ASHP" sheetId="4" r:id="rId1"/>
    <sheet name="Refrig Mass Flow &amp; Cond kW" sheetId="6" r:id="rId2"/>
    <sheet name="Winter" sheetId="9" r:id="rId3"/>
    <sheet name="Spring_autumn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4" l="1"/>
  <c r="E48" i="4"/>
  <c r="F48" i="4"/>
  <c r="C48" i="4"/>
  <c r="F47" i="4"/>
  <c r="F46" i="4"/>
  <c r="F45" i="4"/>
  <c r="E47" i="4"/>
  <c r="E46" i="4"/>
  <c r="E45" i="4"/>
  <c r="D47" i="4"/>
  <c r="D46" i="4"/>
  <c r="D45" i="4"/>
  <c r="C47" i="4"/>
  <c r="C46" i="4"/>
  <c r="C45" i="4"/>
  <c r="C19" i="10" l="1"/>
  <c r="C18" i="10"/>
  <c r="C15" i="10"/>
  <c r="C16" i="10"/>
  <c r="C17" i="10"/>
  <c r="C14" i="10"/>
  <c r="C12" i="10"/>
  <c r="C13" i="10"/>
  <c r="C9" i="10"/>
  <c r="J696" i="10"/>
  <c r="F696" i="10"/>
  <c r="J20" i="10"/>
  <c r="I20" i="10"/>
  <c r="H20" i="10"/>
  <c r="G20" i="10"/>
  <c r="G19" i="10"/>
  <c r="G18" i="10"/>
  <c r="G17" i="10"/>
  <c r="G16" i="10"/>
  <c r="G15" i="10"/>
  <c r="G14" i="10"/>
  <c r="G13" i="10"/>
  <c r="G12" i="10"/>
  <c r="G11" i="10"/>
  <c r="C11" i="10"/>
  <c r="G10" i="10"/>
  <c r="C10" i="10"/>
  <c r="C6" i="10"/>
  <c r="C355" i="10" s="1"/>
  <c r="M687" i="6"/>
  <c r="C694" i="10" l="1"/>
  <c r="C690" i="10"/>
  <c r="C686" i="10"/>
  <c r="C682" i="10"/>
  <c r="C678" i="10"/>
  <c r="C674" i="10"/>
  <c r="C670" i="10"/>
  <c r="C666" i="10"/>
  <c r="C662" i="10"/>
  <c r="C658" i="10"/>
  <c r="C654" i="10"/>
  <c r="C650" i="10"/>
  <c r="C646" i="10"/>
  <c r="C642" i="10"/>
  <c r="C638" i="10"/>
  <c r="C634" i="10"/>
  <c r="C630" i="10"/>
  <c r="C626" i="10"/>
  <c r="C622" i="10"/>
  <c r="C618" i="10"/>
  <c r="C614" i="10"/>
  <c r="C610" i="10"/>
  <c r="C606" i="10"/>
  <c r="C602" i="10"/>
  <c r="C598" i="10"/>
  <c r="C594" i="10"/>
  <c r="C590" i="10"/>
  <c r="C586" i="10"/>
  <c r="C582" i="10"/>
  <c r="C578" i="10"/>
  <c r="C574" i="10"/>
  <c r="C570" i="10"/>
  <c r="C566" i="10"/>
  <c r="C562" i="10"/>
  <c r="C558" i="10"/>
  <c r="C554" i="10"/>
  <c r="C550" i="10"/>
  <c r="C546" i="10"/>
  <c r="C542" i="10"/>
  <c r="C538" i="10"/>
  <c r="C534" i="10"/>
  <c r="C530" i="10"/>
  <c r="C526" i="10"/>
  <c r="C522" i="10"/>
  <c r="C518" i="10"/>
  <c r="C514" i="10"/>
  <c r="C510" i="10"/>
  <c r="C506" i="10"/>
  <c r="C502" i="10"/>
  <c r="C498" i="10"/>
  <c r="C494" i="10"/>
  <c r="C490" i="10"/>
  <c r="C486" i="10"/>
  <c r="C482" i="10"/>
  <c r="C478" i="10"/>
  <c r="C474" i="10"/>
  <c r="C470" i="10"/>
  <c r="C466" i="10"/>
  <c r="C462" i="10"/>
  <c r="C458" i="10"/>
  <c r="C454" i="10"/>
  <c r="C450" i="10"/>
  <c r="C446" i="10"/>
  <c r="C442" i="10"/>
  <c r="C438" i="10"/>
  <c r="C434" i="10"/>
  <c r="C430" i="10"/>
  <c r="C426" i="10"/>
  <c r="C422" i="10"/>
  <c r="C418" i="10"/>
  <c r="C414" i="10"/>
  <c r="C410" i="10"/>
  <c r="C406" i="10"/>
  <c r="C402" i="10"/>
  <c r="C398" i="10"/>
  <c r="C394" i="10"/>
  <c r="C389" i="10"/>
  <c r="C384" i="10"/>
  <c r="C379" i="10"/>
  <c r="C372" i="10"/>
  <c r="C359" i="10"/>
  <c r="C693" i="10"/>
  <c r="C689" i="10"/>
  <c r="C685" i="10"/>
  <c r="C681" i="10"/>
  <c r="C677" i="10"/>
  <c r="C673" i="10"/>
  <c r="C669" i="10"/>
  <c r="C665" i="10"/>
  <c r="C661" i="10"/>
  <c r="C657" i="10"/>
  <c r="C653" i="10"/>
  <c r="C649" i="10"/>
  <c r="C645" i="10"/>
  <c r="C641" i="10"/>
  <c r="C637" i="10"/>
  <c r="C633" i="10"/>
  <c r="C629" i="10"/>
  <c r="C625" i="10"/>
  <c r="C621" i="10"/>
  <c r="C617" i="10"/>
  <c r="C613" i="10"/>
  <c r="C609" i="10"/>
  <c r="C605" i="10"/>
  <c r="C601" i="10"/>
  <c r="C597" i="10"/>
  <c r="C593" i="10"/>
  <c r="C589" i="10"/>
  <c r="C585" i="10"/>
  <c r="C581" i="10"/>
  <c r="C577" i="10"/>
  <c r="C573" i="10"/>
  <c r="C569" i="10"/>
  <c r="C565" i="10"/>
  <c r="C561" i="10"/>
  <c r="C557" i="10"/>
  <c r="C553" i="10"/>
  <c r="C549" i="10"/>
  <c r="C545" i="10"/>
  <c r="C541" i="10"/>
  <c r="C537" i="10"/>
  <c r="C533" i="10"/>
  <c r="C529" i="10"/>
  <c r="C525" i="10"/>
  <c r="C521" i="10"/>
  <c r="C517" i="10"/>
  <c r="C513" i="10"/>
  <c r="C509" i="10"/>
  <c r="C505" i="10"/>
  <c r="C501" i="10"/>
  <c r="C497" i="10"/>
  <c r="C493" i="10"/>
  <c r="C489" i="10"/>
  <c r="C485" i="10"/>
  <c r="C481" i="10"/>
  <c r="C477" i="10"/>
  <c r="C473" i="10"/>
  <c r="C469" i="10"/>
  <c r="C465" i="10"/>
  <c r="C461" i="10"/>
  <c r="C457" i="10"/>
  <c r="C453" i="10"/>
  <c r="C449" i="10"/>
  <c r="C445" i="10"/>
  <c r="C441" i="10"/>
  <c r="C437" i="10"/>
  <c r="C433" i="10"/>
  <c r="C429" i="10"/>
  <c r="C425" i="10"/>
  <c r="C421" i="10"/>
  <c r="C417" i="10"/>
  <c r="C413" i="10"/>
  <c r="C409" i="10"/>
  <c r="C405" i="10"/>
  <c r="C401" i="10"/>
  <c r="C397" i="10"/>
  <c r="C393" i="10"/>
  <c r="C388" i="10"/>
  <c r="C383" i="10"/>
  <c r="C377" i="10"/>
  <c r="C371" i="10"/>
  <c r="D28" i="10"/>
  <c r="D32" i="10"/>
  <c r="D36" i="10"/>
  <c r="D40" i="10"/>
  <c r="D44" i="10"/>
  <c r="D48" i="10"/>
  <c r="D52" i="10"/>
  <c r="D56" i="10"/>
  <c r="D60" i="10"/>
  <c r="D64" i="10"/>
  <c r="D68" i="10"/>
  <c r="D72" i="10"/>
  <c r="D76" i="10"/>
  <c r="D80" i="10"/>
  <c r="D84" i="10"/>
  <c r="D88" i="10"/>
  <c r="D92" i="10"/>
  <c r="D96" i="10"/>
  <c r="D100" i="10"/>
  <c r="D104" i="10"/>
  <c r="D108" i="10"/>
  <c r="D112" i="10"/>
  <c r="D116" i="10"/>
  <c r="D120" i="10"/>
  <c r="D124" i="10"/>
  <c r="D128" i="10"/>
  <c r="D132" i="10"/>
  <c r="D136" i="10"/>
  <c r="D140" i="10"/>
  <c r="D144" i="10"/>
  <c r="D148" i="10"/>
  <c r="D152" i="10"/>
  <c r="D156" i="10"/>
  <c r="D160" i="10"/>
  <c r="D164" i="10"/>
  <c r="D168" i="10"/>
  <c r="D172" i="10"/>
  <c r="D176" i="10"/>
  <c r="D180" i="10"/>
  <c r="D184" i="10"/>
  <c r="D188" i="10"/>
  <c r="D192" i="10"/>
  <c r="D196" i="10"/>
  <c r="D200" i="10"/>
  <c r="D204" i="10"/>
  <c r="D208" i="10"/>
  <c r="D212" i="10"/>
  <c r="D216" i="10"/>
  <c r="D220" i="10"/>
  <c r="D224" i="10"/>
  <c r="D228" i="10"/>
  <c r="D232" i="10"/>
  <c r="D236" i="10"/>
  <c r="D240" i="10"/>
  <c r="D244" i="10"/>
  <c r="D248" i="10"/>
  <c r="D252" i="10"/>
  <c r="D256" i="10"/>
  <c r="D260" i="10"/>
  <c r="D264" i="10"/>
  <c r="D268" i="10"/>
  <c r="D272" i="10"/>
  <c r="D276" i="10"/>
  <c r="D280" i="10"/>
  <c r="D284" i="10"/>
  <c r="D288" i="10"/>
  <c r="D292" i="10"/>
  <c r="D296" i="10"/>
  <c r="D300" i="10"/>
  <c r="D304" i="10"/>
  <c r="D308" i="10"/>
  <c r="D312" i="10"/>
  <c r="D316" i="10"/>
  <c r="D320" i="10"/>
  <c r="D324" i="10"/>
  <c r="D328" i="10"/>
  <c r="D332" i="10"/>
  <c r="D336" i="10"/>
  <c r="D340" i="10"/>
  <c r="D344" i="10"/>
  <c r="D348" i="10"/>
  <c r="D352" i="10"/>
  <c r="D356" i="10"/>
  <c r="D360" i="10"/>
  <c r="D364" i="10"/>
  <c r="D25" i="10"/>
  <c r="D29" i="10"/>
  <c r="D33" i="10"/>
  <c r="D37" i="10"/>
  <c r="D41" i="10"/>
  <c r="D45" i="10"/>
  <c r="D49" i="10"/>
  <c r="D53" i="10"/>
  <c r="D57" i="10"/>
  <c r="D61" i="10"/>
  <c r="D65" i="10"/>
  <c r="D69" i="10"/>
  <c r="D73" i="10"/>
  <c r="D77" i="10"/>
  <c r="D81" i="10"/>
  <c r="D85" i="10"/>
  <c r="D89" i="10"/>
  <c r="D93" i="10"/>
  <c r="D97" i="10"/>
  <c r="D101" i="10"/>
  <c r="D105" i="10"/>
  <c r="D109" i="10"/>
  <c r="D113" i="10"/>
  <c r="D117" i="10"/>
  <c r="D121" i="10"/>
  <c r="D125" i="10"/>
  <c r="D129" i="10"/>
  <c r="D133" i="10"/>
  <c r="D137" i="10"/>
  <c r="D141" i="10"/>
  <c r="D145" i="10"/>
  <c r="D149" i="10"/>
  <c r="D153" i="10"/>
  <c r="D157" i="10"/>
  <c r="D161" i="10"/>
  <c r="D165" i="10"/>
  <c r="D169" i="10"/>
  <c r="D173" i="10"/>
  <c r="D177" i="10"/>
  <c r="D181" i="10"/>
  <c r="D185" i="10"/>
  <c r="D189" i="10"/>
  <c r="D193" i="10"/>
  <c r="D197" i="10"/>
  <c r="D201" i="10"/>
  <c r="D205" i="10"/>
  <c r="D209" i="10"/>
  <c r="D213" i="10"/>
  <c r="D217" i="10"/>
  <c r="D221" i="10"/>
  <c r="D225" i="10"/>
  <c r="D229" i="10"/>
  <c r="D233" i="10"/>
  <c r="D237" i="10"/>
  <c r="D241" i="10"/>
  <c r="D245" i="10"/>
  <c r="D249" i="10"/>
  <c r="D253" i="10"/>
  <c r="D257" i="10"/>
  <c r="D261" i="10"/>
  <c r="D265" i="10"/>
  <c r="D269" i="10"/>
  <c r="D273" i="10"/>
  <c r="D277" i="10"/>
  <c r="D281" i="10"/>
  <c r="D285" i="10"/>
  <c r="D289" i="10"/>
  <c r="D293" i="10"/>
  <c r="D297" i="10"/>
  <c r="D301" i="10"/>
  <c r="D305" i="10"/>
  <c r="D309" i="10"/>
  <c r="D313" i="10"/>
  <c r="D317" i="10"/>
  <c r="D321" i="10"/>
  <c r="D325" i="10"/>
  <c r="D329" i="10"/>
  <c r="D333" i="10"/>
  <c r="D337" i="10"/>
  <c r="D341" i="10"/>
  <c r="D345" i="10"/>
  <c r="D349" i="10"/>
  <c r="D353" i="10"/>
  <c r="D357" i="10"/>
  <c r="D361" i="10"/>
  <c r="D26" i="10"/>
  <c r="D30" i="10"/>
  <c r="D34" i="10"/>
  <c r="D38" i="10"/>
  <c r="D42" i="10"/>
  <c r="D46" i="10"/>
  <c r="D50" i="10"/>
  <c r="D54" i="10"/>
  <c r="D58" i="10"/>
  <c r="D62" i="10"/>
  <c r="D66" i="10"/>
  <c r="D70" i="10"/>
  <c r="D74" i="10"/>
  <c r="D78" i="10"/>
  <c r="D82" i="10"/>
  <c r="D86" i="10"/>
  <c r="D90" i="10"/>
  <c r="D94" i="10"/>
  <c r="D98" i="10"/>
  <c r="D102" i="10"/>
  <c r="D106" i="10"/>
  <c r="D110" i="10"/>
  <c r="D114" i="10"/>
  <c r="D118" i="10"/>
  <c r="D122" i="10"/>
  <c r="D126" i="10"/>
  <c r="D130" i="10"/>
  <c r="D134" i="10"/>
  <c r="D138" i="10"/>
  <c r="D142" i="10"/>
  <c r="D146" i="10"/>
  <c r="D150" i="10"/>
  <c r="D154" i="10"/>
  <c r="D158" i="10"/>
  <c r="D162" i="10"/>
  <c r="D166" i="10"/>
  <c r="D170" i="10"/>
  <c r="D174" i="10"/>
  <c r="D178" i="10"/>
  <c r="D182" i="10"/>
  <c r="D186" i="10"/>
  <c r="D190" i="10"/>
  <c r="D194" i="10"/>
  <c r="D198" i="10"/>
  <c r="D202" i="10"/>
  <c r="D206" i="10"/>
  <c r="D210" i="10"/>
  <c r="D214" i="10"/>
  <c r="D218" i="10"/>
  <c r="D222" i="10"/>
  <c r="D226" i="10"/>
  <c r="D230" i="10"/>
  <c r="D234" i="10"/>
  <c r="D238" i="10"/>
  <c r="D242" i="10"/>
  <c r="D246" i="10"/>
  <c r="D250" i="10"/>
  <c r="D254" i="10"/>
  <c r="D258" i="10"/>
  <c r="D262" i="10"/>
  <c r="D266" i="10"/>
  <c r="D270" i="10"/>
  <c r="D274" i="10"/>
  <c r="D278" i="10"/>
  <c r="D282" i="10"/>
  <c r="D286" i="10"/>
  <c r="D290" i="10"/>
  <c r="D294" i="10"/>
  <c r="D298" i="10"/>
  <c r="D302" i="10"/>
  <c r="D306" i="10"/>
  <c r="D310" i="10"/>
  <c r="D314" i="10"/>
  <c r="D318" i="10"/>
  <c r="D322" i="10"/>
  <c r="D326" i="10"/>
  <c r="D330" i="10"/>
  <c r="D334" i="10"/>
  <c r="D338" i="10"/>
  <c r="D342" i="10"/>
  <c r="D346" i="10"/>
  <c r="D350" i="10"/>
  <c r="D354" i="10"/>
  <c r="D358" i="10"/>
  <c r="D362" i="10"/>
  <c r="D27" i="10"/>
  <c r="D31" i="10"/>
  <c r="D35" i="10"/>
  <c r="D39" i="10"/>
  <c r="D43" i="10"/>
  <c r="D47" i="10"/>
  <c r="D51" i="10"/>
  <c r="D55" i="10"/>
  <c r="D59" i="10"/>
  <c r="D63" i="10"/>
  <c r="D67" i="10"/>
  <c r="D71" i="10"/>
  <c r="D75" i="10"/>
  <c r="D79" i="10"/>
  <c r="D83" i="10"/>
  <c r="D87" i="10"/>
  <c r="D91" i="10"/>
  <c r="D95" i="10"/>
  <c r="D99" i="10"/>
  <c r="D103" i="10"/>
  <c r="D107" i="10"/>
  <c r="D111" i="10"/>
  <c r="D115" i="10"/>
  <c r="D119" i="10"/>
  <c r="D123" i="10"/>
  <c r="D127" i="10"/>
  <c r="D131" i="10"/>
  <c r="D135" i="10"/>
  <c r="D139" i="10"/>
  <c r="D143" i="10"/>
  <c r="D147" i="10"/>
  <c r="D151" i="10"/>
  <c r="D155" i="10"/>
  <c r="D159" i="10"/>
  <c r="D163" i="10"/>
  <c r="D167" i="10"/>
  <c r="D171" i="10"/>
  <c r="D175" i="10"/>
  <c r="D179" i="10"/>
  <c r="D183" i="10"/>
  <c r="D187" i="10"/>
  <c r="D191" i="10"/>
  <c r="D195" i="10"/>
  <c r="D199" i="10"/>
  <c r="D203" i="10"/>
  <c r="D207" i="10"/>
  <c r="D211" i="10"/>
  <c r="D215" i="10"/>
  <c r="D219" i="10"/>
  <c r="D223" i="10"/>
  <c r="D227" i="10"/>
  <c r="D231" i="10"/>
  <c r="D235" i="10"/>
  <c r="D239" i="10"/>
  <c r="D243" i="10"/>
  <c r="D247" i="10"/>
  <c r="D251" i="10"/>
  <c r="D255" i="10"/>
  <c r="D259" i="10"/>
  <c r="D263" i="10"/>
  <c r="D267" i="10"/>
  <c r="D271" i="10"/>
  <c r="D275" i="10"/>
  <c r="D279" i="10"/>
  <c r="D283" i="10"/>
  <c r="D287" i="10"/>
  <c r="D291" i="10"/>
  <c r="D295" i="10"/>
  <c r="D299" i="10"/>
  <c r="D303" i="10"/>
  <c r="D307" i="10"/>
  <c r="D311" i="10"/>
  <c r="D315" i="10"/>
  <c r="D319" i="10"/>
  <c r="D323" i="10"/>
  <c r="D327" i="10"/>
  <c r="D331" i="10"/>
  <c r="D335" i="10"/>
  <c r="D339" i="10"/>
  <c r="D343" i="10"/>
  <c r="D347" i="10"/>
  <c r="D351" i="10"/>
  <c r="D355" i="10"/>
  <c r="D359" i="10"/>
  <c r="D363" i="10"/>
  <c r="D368" i="10"/>
  <c r="D372" i="10"/>
  <c r="D376" i="10"/>
  <c r="D380" i="10"/>
  <c r="D384" i="10"/>
  <c r="D388" i="10"/>
  <c r="D392" i="10"/>
  <c r="D396" i="10"/>
  <c r="D400" i="10"/>
  <c r="D404" i="10"/>
  <c r="D408" i="10"/>
  <c r="D412" i="10"/>
  <c r="D416" i="10"/>
  <c r="D420" i="10"/>
  <c r="D424" i="10"/>
  <c r="D428" i="10"/>
  <c r="D432" i="10"/>
  <c r="D436" i="10"/>
  <c r="D440" i="10"/>
  <c r="D444" i="10"/>
  <c r="D448" i="10"/>
  <c r="D452" i="10"/>
  <c r="D456" i="10"/>
  <c r="D460" i="10"/>
  <c r="D464" i="10"/>
  <c r="D468" i="10"/>
  <c r="D472" i="10"/>
  <c r="D476" i="10"/>
  <c r="D480" i="10"/>
  <c r="D484" i="10"/>
  <c r="D488" i="10"/>
  <c r="D492" i="10"/>
  <c r="D496" i="10"/>
  <c r="D500" i="10"/>
  <c r="D504" i="10"/>
  <c r="D508" i="10"/>
  <c r="D512" i="10"/>
  <c r="D516" i="10"/>
  <c r="D520" i="10"/>
  <c r="D524" i="10"/>
  <c r="D528" i="10"/>
  <c r="D532" i="10"/>
  <c r="D536" i="10"/>
  <c r="D540" i="10"/>
  <c r="D544" i="10"/>
  <c r="D548" i="10"/>
  <c r="D552" i="10"/>
  <c r="D556" i="10"/>
  <c r="D560" i="10"/>
  <c r="D564" i="10"/>
  <c r="D568" i="10"/>
  <c r="D572" i="10"/>
  <c r="D576" i="10"/>
  <c r="D580" i="10"/>
  <c r="D584" i="10"/>
  <c r="D588" i="10"/>
  <c r="D592" i="10"/>
  <c r="D596" i="10"/>
  <c r="D600" i="10"/>
  <c r="D604" i="10"/>
  <c r="D608" i="10"/>
  <c r="D612" i="10"/>
  <c r="D616" i="10"/>
  <c r="D620" i="10"/>
  <c r="D624" i="10"/>
  <c r="D628" i="10"/>
  <c r="D632" i="10"/>
  <c r="D636" i="10"/>
  <c r="D640" i="10"/>
  <c r="D644" i="10"/>
  <c r="D648" i="10"/>
  <c r="D652" i="10"/>
  <c r="D656" i="10"/>
  <c r="D660" i="10"/>
  <c r="D664" i="10"/>
  <c r="D668" i="10"/>
  <c r="D672" i="10"/>
  <c r="D676" i="10"/>
  <c r="D680" i="10"/>
  <c r="D684" i="10"/>
  <c r="D688" i="10"/>
  <c r="D692" i="10"/>
  <c r="D24" i="10"/>
  <c r="C28" i="10"/>
  <c r="C32" i="10"/>
  <c r="D365" i="10"/>
  <c r="D369" i="10"/>
  <c r="D373" i="10"/>
  <c r="D377" i="10"/>
  <c r="D381" i="10"/>
  <c r="D385" i="10"/>
  <c r="D389" i="10"/>
  <c r="D393" i="10"/>
  <c r="D397" i="10"/>
  <c r="D401" i="10"/>
  <c r="D405" i="10"/>
  <c r="D409" i="10"/>
  <c r="D413" i="10"/>
  <c r="D417" i="10"/>
  <c r="D421" i="10"/>
  <c r="D425" i="10"/>
  <c r="D429" i="10"/>
  <c r="D433" i="10"/>
  <c r="D437" i="10"/>
  <c r="D441" i="10"/>
  <c r="D445" i="10"/>
  <c r="D449" i="10"/>
  <c r="D453" i="10"/>
  <c r="D457" i="10"/>
  <c r="D461" i="10"/>
  <c r="D465" i="10"/>
  <c r="D469" i="10"/>
  <c r="D473" i="10"/>
  <c r="D477" i="10"/>
  <c r="D481" i="10"/>
  <c r="D485" i="10"/>
  <c r="D489" i="10"/>
  <c r="D493" i="10"/>
  <c r="D497" i="10"/>
  <c r="D501" i="10"/>
  <c r="D505" i="10"/>
  <c r="D509" i="10"/>
  <c r="D513" i="10"/>
  <c r="D517" i="10"/>
  <c r="D521" i="10"/>
  <c r="D525" i="10"/>
  <c r="D529" i="10"/>
  <c r="D533" i="10"/>
  <c r="D537" i="10"/>
  <c r="D541" i="10"/>
  <c r="D545" i="10"/>
  <c r="D549" i="10"/>
  <c r="D553" i="10"/>
  <c r="D557" i="10"/>
  <c r="D561" i="10"/>
  <c r="D565" i="10"/>
  <c r="D569" i="10"/>
  <c r="D573" i="10"/>
  <c r="D577" i="10"/>
  <c r="D581" i="10"/>
  <c r="D585" i="10"/>
  <c r="D589" i="10"/>
  <c r="D593" i="10"/>
  <c r="D597" i="10"/>
  <c r="D601" i="10"/>
  <c r="D605" i="10"/>
  <c r="D609" i="10"/>
  <c r="D613" i="10"/>
  <c r="D617" i="10"/>
  <c r="D621" i="10"/>
  <c r="D625" i="10"/>
  <c r="D629" i="10"/>
  <c r="D633" i="10"/>
  <c r="D637" i="10"/>
  <c r="D641" i="10"/>
  <c r="D645" i="10"/>
  <c r="D649" i="10"/>
  <c r="D653" i="10"/>
  <c r="D657" i="10"/>
  <c r="D661" i="10"/>
  <c r="D665" i="10"/>
  <c r="D669" i="10"/>
  <c r="D673" i="10"/>
  <c r="D677" i="10"/>
  <c r="D681" i="10"/>
  <c r="D685" i="10"/>
  <c r="D689" i="10"/>
  <c r="D693" i="10"/>
  <c r="C25" i="10"/>
  <c r="C29" i="10"/>
  <c r="C33" i="10"/>
  <c r="D366" i="10"/>
  <c r="D370" i="10"/>
  <c r="D374" i="10"/>
  <c r="D378" i="10"/>
  <c r="D382" i="10"/>
  <c r="D386" i="10"/>
  <c r="D390" i="10"/>
  <c r="D394" i="10"/>
  <c r="D398" i="10"/>
  <c r="D402" i="10"/>
  <c r="D406" i="10"/>
  <c r="D410" i="10"/>
  <c r="D414" i="10"/>
  <c r="D418" i="10"/>
  <c r="D422" i="10"/>
  <c r="D426" i="10"/>
  <c r="D430" i="10"/>
  <c r="D434" i="10"/>
  <c r="D438" i="10"/>
  <c r="D442" i="10"/>
  <c r="D446" i="10"/>
  <c r="D450" i="10"/>
  <c r="D454" i="10"/>
  <c r="D458" i="10"/>
  <c r="D462" i="10"/>
  <c r="D466" i="10"/>
  <c r="D470" i="10"/>
  <c r="D474" i="10"/>
  <c r="D478" i="10"/>
  <c r="D482" i="10"/>
  <c r="D486" i="10"/>
  <c r="D490" i="10"/>
  <c r="D494" i="10"/>
  <c r="D498" i="10"/>
  <c r="D502" i="10"/>
  <c r="D506" i="10"/>
  <c r="D510" i="10"/>
  <c r="D514" i="10"/>
  <c r="D518" i="10"/>
  <c r="D522" i="10"/>
  <c r="D526" i="10"/>
  <c r="D530" i="10"/>
  <c r="D534" i="10"/>
  <c r="D538" i="10"/>
  <c r="D542" i="10"/>
  <c r="D546" i="10"/>
  <c r="D550" i="10"/>
  <c r="D554" i="10"/>
  <c r="D558" i="10"/>
  <c r="D562" i="10"/>
  <c r="D566" i="10"/>
  <c r="D570" i="10"/>
  <c r="D574" i="10"/>
  <c r="D578" i="10"/>
  <c r="D582" i="10"/>
  <c r="D586" i="10"/>
  <c r="D590" i="10"/>
  <c r="D594" i="10"/>
  <c r="D598" i="10"/>
  <c r="D602" i="10"/>
  <c r="D606" i="10"/>
  <c r="D610" i="10"/>
  <c r="D614" i="10"/>
  <c r="D618" i="10"/>
  <c r="D622" i="10"/>
  <c r="D626" i="10"/>
  <c r="D630" i="10"/>
  <c r="D634" i="10"/>
  <c r="D638" i="10"/>
  <c r="D642" i="10"/>
  <c r="D646" i="10"/>
  <c r="D650" i="10"/>
  <c r="D654" i="10"/>
  <c r="D658" i="10"/>
  <c r="D662" i="10"/>
  <c r="D666" i="10"/>
  <c r="D670" i="10"/>
  <c r="D674" i="10"/>
  <c r="D678" i="10"/>
  <c r="D682" i="10"/>
  <c r="D686" i="10"/>
  <c r="D690" i="10"/>
  <c r="D694" i="10"/>
  <c r="C26" i="10"/>
  <c r="C30" i="10"/>
  <c r="D367" i="10"/>
  <c r="D371" i="10"/>
  <c r="D375" i="10"/>
  <c r="D379" i="10"/>
  <c r="D383" i="10"/>
  <c r="D387" i="10"/>
  <c r="D391" i="10"/>
  <c r="D395" i="10"/>
  <c r="D399" i="10"/>
  <c r="D403" i="10"/>
  <c r="D407" i="10"/>
  <c r="D411" i="10"/>
  <c r="D415" i="10"/>
  <c r="D419" i="10"/>
  <c r="D423" i="10"/>
  <c r="D427" i="10"/>
  <c r="D431" i="10"/>
  <c r="D435" i="10"/>
  <c r="D439" i="10"/>
  <c r="D443" i="10"/>
  <c r="D447" i="10"/>
  <c r="D451" i="10"/>
  <c r="D455" i="10"/>
  <c r="D459" i="10"/>
  <c r="D463" i="10"/>
  <c r="D467" i="10"/>
  <c r="D471" i="10"/>
  <c r="D475" i="10"/>
  <c r="D479" i="10"/>
  <c r="D483" i="10"/>
  <c r="D487" i="10"/>
  <c r="D491" i="10"/>
  <c r="D495" i="10"/>
  <c r="D499" i="10"/>
  <c r="D503" i="10"/>
  <c r="D507" i="10"/>
  <c r="D511" i="10"/>
  <c r="D515" i="10"/>
  <c r="D519" i="10"/>
  <c r="D523" i="10"/>
  <c r="D527" i="10"/>
  <c r="D531" i="10"/>
  <c r="D535" i="10"/>
  <c r="D539" i="10"/>
  <c r="D543" i="10"/>
  <c r="D547" i="10"/>
  <c r="D551" i="10"/>
  <c r="D555" i="10"/>
  <c r="D559" i="10"/>
  <c r="D563" i="10"/>
  <c r="D567" i="10"/>
  <c r="D571" i="10"/>
  <c r="D575" i="10"/>
  <c r="D579" i="10"/>
  <c r="D583" i="10"/>
  <c r="D587" i="10"/>
  <c r="D591" i="10"/>
  <c r="D595" i="10"/>
  <c r="D599" i="10"/>
  <c r="D603" i="10"/>
  <c r="D607" i="10"/>
  <c r="D611" i="10"/>
  <c r="D615" i="10"/>
  <c r="D619" i="10"/>
  <c r="D623" i="10"/>
  <c r="D627" i="10"/>
  <c r="D631" i="10"/>
  <c r="D635" i="10"/>
  <c r="D639" i="10"/>
  <c r="D643" i="10"/>
  <c r="D647" i="10"/>
  <c r="D651" i="10"/>
  <c r="D655" i="10"/>
  <c r="D659" i="10"/>
  <c r="D663" i="10"/>
  <c r="D667" i="10"/>
  <c r="D671" i="10"/>
  <c r="D675" i="10"/>
  <c r="D679" i="10"/>
  <c r="D683" i="10"/>
  <c r="D687" i="10"/>
  <c r="D691" i="10"/>
  <c r="D695" i="10"/>
  <c r="C27" i="10"/>
  <c r="C31" i="10"/>
  <c r="C37" i="10"/>
  <c r="C41" i="10"/>
  <c r="C45" i="10"/>
  <c r="C49" i="10"/>
  <c r="C53" i="10"/>
  <c r="C57" i="10"/>
  <c r="C61" i="10"/>
  <c r="C65" i="10"/>
  <c r="C69" i="10"/>
  <c r="C73" i="10"/>
  <c r="C77" i="10"/>
  <c r="C81" i="10"/>
  <c r="C85" i="10"/>
  <c r="C89" i="10"/>
  <c r="C93" i="10"/>
  <c r="C97" i="10"/>
  <c r="C101" i="10"/>
  <c r="C105" i="10"/>
  <c r="C109" i="10"/>
  <c r="C113" i="10"/>
  <c r="C117" i="10"/>
  <c r="C121" i="10"/>
  <c r="C125" i="10"/>
  <c r="C129" i="10"/>
  <c r="C133" i="10"/>
  <c r="C137" i="10"/>
  <c r="C141" i="10"/>
  <c r="C145" i="10"/>
  <c r="C149" i="10"/>
  <c r="C153" i="10"/>
  <c r="C157" i="10"/>
  <c r="C161" i="10"/>
  <c r="C165" i="10"/>
  <c r="C169" i="10"/>
  <c r="C173" i="10"/>
  <c r="C177" i="10"/>
  <c r="C181" i="10"/>
  <c r="C185" i="10"/>
  <c r="C189" i="10"/>
  <c r="C193" i="10"/>
  <c r="C197" i="10"/>
  <c r="C201" i="10"/>
  <c r="C205" i="10"/>
  <c r="C209" i="10"/>
  <c r="C213" i="10"/>
  <c r="C217" i="10"/>
  <c r="C221" i="10"/>
  <c r="C225" i="10"/>
  <c r="C229" i="10"/>
  <c r="C233" i="10"/>
  <c r="C237" i="10"/>
  <c r="C241" i="10"/>
  <c r="C245" i="10"/>
  <c r="C249" i="10"/>
  <c r="C253" i="10"/>
  <c r="C257" i="10"/>
  <c r="C261" i="10"/>
  <c r="C265" i="10"/>
  <c r="C269" i="10"/>
  <c r="C273" i="10"/>
  <c r="C277" i="10"/>
  <c r="C281" i="10"/>
  <c r="C285" i="10"/>
  <c r="C289" i="10"/>
  <c r="C293" i="10"/>
  <c r="C297" i="10"/>
  <c r="C301" i="10"/>
  <c r="C305" i="10"/>
  <c r="C309" i="10"/>
  <c r="C313" i="10"/>
  <c r="C317" i="10"/>
  <c r="C321" i="10"/>
  <c r="C325" i="10"/>
  <c r="C329" i="10"/>
  <c r="C333" i="10"/>
  <c r="C337" i="10"/>
  <c r="C341" i="10"/>
  <c r="C345" i="10"/>
  <c r="C349" i="10"/>
  <c r="C353" i="10"/>
  <c r="C357" i="10"/>
  <c r="C361" i="10"/>
  <c r="C365" i="10"/>
  <c r="C369" i="10"/>
  <c r="C373" i="10"/>
  <c r="C34" i="10"/>
  <c r="C38" i="10"/>
  <c r="C42" i="10"/>
  <c r="C46" i="10"/>
  <c r="C50" i="10"/>
  <c r="C54" i="10"/>
  <c r="C58" i="10"/>
  <c r="C62" i="10"/>
  <c r="C66" i="10"/>
  <c r="C70" i="10"/>
  <c r="C74" i="10"/>
  <c r="C78" i="10"/>
  <c r="C82" i="10"/>
  <c r="C86" i="10"/>
  <c r="C90" i="10"/>
  <c r="C94" i="10"/>
  <c r="C98" i="10"/>
  <c r="C102" i="10"/>
  <c r="C106" i="10"/>
  <c r="C110" i="10"/>
  <c r="C114" i="10"/>
  <c r="C118" i="10"/>
  <c r="C122" i="10"/>
  <c r="C126" i="10"/>
  <c r="C130" i="10"/>
  <c r="C134" i="10"/>
  <c r="C138" i="10"/>
  <c r="C142" i="10"/>
  <c r="C146" i="10"/>
  <c r="C150" i="10"/>
  <c r="C154" i="10"/>
  <c r="C158" i="10"/>
  <c r="C162" i="10"/>
  <c r="C166" i="10"/>
  <c r="C170" i="10"/>
  <c r="C174" i="10"/>
  <c r="C178" i="10"/>
  <c r="C182" i="10"/>
  <c r="C186" i="10"/>
  <c r="C190" i="10"/>
  <c r="C194" i="10"/>
  <c r="C198" i="10"/>
  <c r="C202" i="10"/>
  <c r="C206" i="10"/>
  <c r="C210" i="10"/>
  <c r="C214" i="10"/>
  <c r="C218" i="10"/>
  <c r="C222" i="10"/>
  <c r="C226" i="10"/>
  <c r="C230" i="10"/>
  <c r="C234" i="10"/>
  <c r="C238" i="10"/>
  <c r="C242" i="10"/>
  <c r="C246" i="10"/>
  <c r="C250" i="10"/>
  <c r="C254" i="10"/>
  <c r="C258" i="10"/>
  <c r="C262" i="10"/>
  <c r="C266" i="10"/>
  <c r="C270" i="10"/>
  <c r="C274" i="10"/>
  <c r="C278" i="10"/>
  <c r="C282" i="10"/>
  <c r="C286" i="10"/>
  <c r="C290" i="10"/>
  <c r="C294" i="10"/>
  <c r="C298" i="10"/>
  <c r="C302" i="10"/>
  <c r="C306" i="10"/>
  <c r="C310" i="10"/>
  <c r="C314" i="10"/>
  <c r="C318" i="10"/>
  <c r="C322" i="10"/>
  <c r="C326" i="10"/>
  <c r="C330" i="10"/>
  <c r="C334" i="10"/>
  <c r="C338" i="10"/>
  <c r="C342" i="10"/>
  <c r="C346" i="10"/>
  <c r="C350" i="10"/>
  <c r="C354" i="10"/>
  <c r="C358" i="10"/>
  <c r="C362" i="10"/>
  <c r="C366" i="10"/>
  <c r="C370" i="10"/>
  <c r="C374" i="10"/>
  <c r="C378" i="10"/>
  <c r="C382" i="10"/>
  <c r="C386" i="10"/>
  <c r="C390" i="10"/>
  <c r="C35" i="10"/>
  <c r="C39" i="10"/>
  <c r="C43" i="10"/>
  <c r="C47" i="10"/>
  <c r="C51" i="10"/>
  <c r="C55" i="10"/>
  <c r="C59" i="10"/>
  <c r="C63" i="10"/>
  <c r="C67" i="10"/>
  <c r="C71" i="10"/>
  <c r="C75" i="10"/>
  <c r="C79" i="10"/>
  <c r="C83" i="10"/>
  <c r="C87" i="10"/>
  <c r="C91" i="10"/>
  <c r="C95" i="10"/>
  <c r="C99" i="10"/>
  <c r="C103" i="10"/>
  <c r="C107" i="10"/>
  <c r="C111" i="10"/>
  <c r="C115" i="10"/>
  <c r="C119" i="10"/>
  <c r="C123" i="10"/>
  <c r="C127" i="10"/>
  <c r="C131" i="10"/>
  <c r="C135" i="10"/>
  <c r="C139" i="10"/>
  <c r="C143" i="10"/>
  <c r="C147" i="10"/>
  <c r="C151" i="10"/>
  <c r="C155" i="10"/>
  <c r="C159" i="10"/>
  <c r="C163" i="10"/>
  <c r="C167" i="10"/>
  <c r="C171" i="10"/>
  <c r="C175" i="10"/>
  <c r="C179" i="10"/>
  <c r="C183" i="10"/>
  <c r="C187" i="10"/>
  <c r="C191" i="10"/>
  <c r="C195" i="10"/>
  <c r="C199" i="10"/>
  <c r="C203" i="10"/>
  <c r="C207" i="10"/>
  <c r="C211" i="10"/>
  <c r="C215" i="10"/>
  <c r="C219" i="10"/>
  <c r="C223" i="10"/>
  <c r="C227" i="10"/>
  <c r="C231" i="10"/>
  <c r="C235" i="10"/>
  <c r="C239" i="10"/>
  <c r="C243" i="10"/>
  <c r="C247" i="10"/>
  <c r="C251" i="10"/>
  <c r="C255" i="10"/>
  <c r="C259" i="10"/>
  <c r="C263" i="10"/>
  <c r="C267" i="10"/>
  <c r="C271" i="10"/>
  <c r="C275" i="10"/>
  <c r="C279" i="10"/>
  <c r="C283" i="10"/>
  <c r="C287" i="10"/>
  <c r="C291" i="10"/>
  <c r="C295" i="10"/>
  <c r="C299" i="10"/>
  <c r="C303" i="10"/>
  <c r="C307" i="10"/>
  <c r="C311" i="10"/>
  <c r="C315" i="10"/>
  <c r="C319" i="10"/>
  <c r="C323" i="10"/>
  <c r="C327" i="10"/>
  <c r="C331" i="10"/>
  <c r="C335" i="10"/>
  <c r="C339" i="10"/>
  <c r="C343" i="10"/>
  <c r="C347" i="10"/>
  <c r="C36" i="10"/>
  <c r="C40" i="10"/>
  <c r="C44" i="10"/>
  <c r="C48" i="10"/>
  <c r="C52" i="10"/>
  <c r="C56" i="10"/>
  <c r="C60" i="10"/>
  <c r="C64" i="10"/>
  <c r="C68" i="10"/>
  <c r="C72" i="10"/>
  <c r="C76" i="10"/>
  <c r="C80" i="10"/>
  <c r="C84" i="10"/>
  <c r="C88" i="10"/>
  <c r="C92" i="10"/>
  <c r="C96" i="10"/>
  <c r="C100" i="10"/>
  <c r="C104" i="10"/>
  <c r="C108" i="10"/>
  <c r="C112" i="10"/>
  <c r="C116" i="10"/>
  <c r="C120" i="10"/>
  <c r="C124" i="10"/>
  <c r="C128" i="10"/>
  <c r="C132" i="10"/>
  <c r="C136" i="10"/>
  <c r="C140" i="10"/>
  <c r="C144" i="10"/>
  <c r="C148" i="10"/>
  <c r="C152" i="10"/>
  <c r="C156" i="10"/>
  <c r="C160" i="10"/>
  <c r="C164" i="10"/>
  <c r="C168" i="10"/>
  <c r="C172" i="10"/>
  <c r="C176" i="10"/>
  <c r="C180" i="10"/>
  <c r="C184" i="10"/>
  <c r="C188" i="10"/>
  <c r="C192" i="10"/>
  <c r="C196" i="10"/>
  <c r="C200" i="10"/>
  <c r="C204" i="10"/>
  <c r="C208" i="10"/>
  <c r="C212" i="10"/>
  <c r="C216" i="10"/>
  <c r="C220" i="10"/>
  <c r="C224" i="10"/>
  <c r="C228" i="10"/>
  <c r="C232" i="10"/>
  <c r="C236" i="10"/>
  <c r="C240" i="10"/>
  <c r="C244" i="10"/>
  <c r="C248" i="10"/>
  <c r="C252" i="10"/>
  <c r="C256" i="10"/>
  <c r="C260" i="10"/>
  <c r="C264" i="10"/>
  <c r="C268" i="10"/>
  <c r="C272" i="10"/>
  <c r="C276" i="10"/>
  <c r="C280" i="10"/>
  <c r="C284" i="10"/>
  <c r="C288" i="10"/>
  <c r="C292" i="10"/>
  <c r="C296" i="10"/>
  <c r="C300" i="10"/>
  <c r="C304" i="10"/>
  <c r="C308" i="10"/>
  <c r="C312" i="10"/>
  <c r="C316" i="10"/>
  <c r="C320" i="10"/>
  <c r="C324" i="10"/>
  <c r="C328" i="10"/>
  <c r="C332" i="10"/>
  <c r="C336" i="10"/>
  <c r="C340" i="10"/>
  <c r="C344" i="10"/>
  <c r="C348" i="10"/>
  <c r="C352" i="10"/>
  <c r="C356" i="10"/>
  <c r="C360" i="10"/>
  <c r="C364" i="10"/>
  <c r="C368" i="10"/>
  <c r="C24" i="10"/>
  <c r="C692" i="10"/>
  <c r="C688" i="10"/>
  <c r="C684" i="10"/>
  <c r="C680" i="10"/>
  <c r="C676" i="10"/>
  <c r="C672" i="10"/>
  <c r="C668" i="10"/>
  <c r="C664" i="10"/>
  <c r="C660" i="10"/>
  <c r="C656" i="10"/>
  <c r="C652" i="10"/>
  <c r="C648" i="10"/>
  <c r="C644" i="10"/>
  <c r="C640" i="10"/>
  <c r="C636" i="10"/>
  <c r="C632" i="10"/>
  <c r="C628" i="10"/>
  <c r="C624" i="10"/>
  <c r="C620" i="10"/>
  <c r="C616" i="10"/>
  <c r="C612" i="10"/>
  <c r="C608" i="10"/>
  <c r="C604" i="10"/>
  <c r="C600" i="10"/>
  <c r="C596" i="10"/>
  <c r="C592" i="10"/>
  <c r="C588" i="10"/>
  <c r="C584" i="10"/>
  <c r="C580" i="10"/>
  <c r="C576" i="10"/>
  <c r="C572" i="10"/>
  <c r="C568" i="10"/>
  <c r="C564" i="10"/>
  <c r="C560" i="10"/>
  <c r="C556" i="10"/>
  <c r="C552" i="10"/>
  <c r="C548" i="10"/>
  <c r="C544" i="10"/>
  <c r="C540" i="10"/>
  <c r="C536" i="10"/>
  <c r="C532" i="10"/>
  <c r="C528" i="10"/>
  <c r="C524" i="10"/>
  <c r="C520" i="10"/>
  <c r="C516" i="10"/>
  <c r="C512" i="10"/>
  <c r="C508" i="10"/>
  <c r="C504" i="10"/>
  <c r="C500" i="10"/>
  <c r="C496" i="10"/>
  <c r="C492" i="10"/>
  <c r="C488" i="10"/>
  <c r="C484" i="10"/>
  <c r="C480" i="10"/>
  <c r="C476" i="10"/>
  <c r="C472" i="10"/>
  <c r="C468" i="10"/>
  <c r="C464" i="10"/>
  <c r="C460" i="10"/>
  <c r="C456" i="10"/>
  <c r="C452" i="10"/>
  <c r="C448" i="10"/>
  <c r="C444" i="10"/>
  <c r="C440" i="10"/>
  <c r="C436" i="10"/>
  <c r="C432" i="10"/>
  <c r="C428" i="10"/>
  <c r="C424" i="10"/>
  <c r="C420" i="10"/>
  <c r="C416" i="10"/>
  <c r="C412" i="10"/>
  <c r="C408" i="10"/>
  <c r="C404" i="10"/>
  <c r="C400" i="10"/>
  <c r="C396" i="10"/>
  <c r="C392" i="10"/>
  <c r="C387" i="10"/>
  <c r="C381" i="10"/>
  <c r="C376" i="10"/>
  <c r="C367" i="10"/>
  <c r="C351" i="10"/>
  <c r="C695" i="10"/>
  <c r="C691" i="10"/>
  <c r="C687" i="10"/>
  <c r="C683" i="10"/>
  <c r="C679" i="10"/>
  <c r="C675" i="10"/>
  <c r="C671" i="10"/>
  <c r="C667" i="10"/>
  <c r="C663" i="10"/>
  <c r="C659" i="10"/>
  <c r="C655" i="10"/>
  <c r="C651" i="10"/>
  <c r="C647" i="10"/>
  <c r="C643" i="10"/>
  <c r="C639" i="10"/>
  <c r="C635" i="10"/>
  <c r="C631" i="10"/>
  <c r="C627" i="10"/>
  <c r="C623" i="10"/>
  <c r="C619" i="10"/>
  <c r="C615" i="10"/>
  <c r="C611" i="10"/>
  <c r="C607" i="10"/>
  <c r="C603" i="10"/>
  <c r="C599" i="10"/>
  <c r="C595" i="10"/>
  <c r="C591" i="10"/>
  <c r="C587" i="10"/>
  <c r="C583" i="10"/>
  <c r="C579" i="10"/>
  <c r="C575" i="10"/>
  <c r="C571" i="10"/>
  <c r="C567" i="10"/>
  <c r="C563" i="10"/>
  <c r="C559" i="10"/>
  <c r="C555" i="10"/>
  <c r="C551" i="10"/>
  <c r="C547" i="10"/>
  <c r="C543" i="10"/>
  <c r="C539" i="10"/>
  <c r="C535" i="10"/>
  <c r="C531" i="10"/>
  <c r="C527" i="10"/>
  <c r="C523" i="10"/>
  <c r="C519" i="10"/>
  <c r="C515" i="10"/>
  <c r="C511" i="10"/>
  <c r="C507" i="10"/>
  <c r="C503" i="10"/>
  <c r="C499" i="10"/>
  <c r="C495" i="10"/>
  <c r="C491" i="10"/>
  <c r="C487" i="10"/>
  <c r="C483" i="10"/>
  <c r="C479" i="10"/>
  <c r="C475" i="10"/>
  <c r="C471" i="10"/>
  <c r="C467" i="10"/>
  <c r="C463" i="10"/>
  <c r="C459" i="10"/>
  <c r="C455" i="10"/>
  <c r="C451" i="10"/>
  <c r="C447" i="10"/>
  <c r="C443" i="10"/>
  <c r="C439" i="10"/>
  <c r="C435" i="10"/>
  <c r="C431" i="10"/>
  <c r="C427" i="10"/>
  <c r="C423" i="10"/>
  <c r="C419" i="10"/>
  <c r="C415" i="10"/>
  <c r="C411" i="10"/>
  <c r="C407" i="10"/>
  <c r="C403" i="10"/>
  <c r="C399" i="10"/>
  <c r="C395" i="10"/>
  <c r="C391" i="10"/>
  <c r="C385" i="10"/>
  <c r="C380" i="10"/>
  <c r="C375" i="10"/>
  <c r="C363" i="10"/>
  <c r="G687" i="6"/>
  <c r="I687" i="6"/>
  <c r="J687" i="6"/>
  <c r="K687" i="6"/>
  <c r="L687" i="6"/>
  <c r="L13" i="6" s="1"/>
  <c r="B46" i="4"/>
  <c r="B47" i="4"/>
  <c r="B45" i="4"/>
  <c r="F696" i="9"/>
  <c r="G11" i="9"/>
  <c r="G10" i="9"/>
  <c r="C11" i="9"/>
  <c r="C10" i="9"/>
  <c r="G19" i="9"/>
  <c r="G18" i="9"/>
  <c r="G15" i="9"/>
  <c r="G16" i="9"/>
  <c r="G17" i="9"/>
  <c r="G14" i="9"/>
  <c r="G13" i="9"/>
  <c r="G12" i="9"/>
  <c r="C19" i="9"/>
  <c r="C18" i="9"/>
  <c r="C15" i="9"/>
  <c r="C16" i="9"/>
  <c r="C17" i="9"/>
  <c r="C14" i="9"/>
  <c r="C13" i="9"/>
  <c r="C12" i="9"/>
  <c r="C6" i="9"/>
  <c r="H20" i="9"/>
  <c r="I20" i="9"/>
  <c r="J20" i="9"/>
  <c r="G20" i="9"/>
  <c r="G9" i="9"/>
  <c r="C9" i="9"/>
  <c r="E13" i="6"/>
  <c r="G13" i="6"/>
  <c r="I13" i="6"/>
  <c r="J13" i="6"/>
  <c r="K13" i="6"/>
  <c r="M13" i="6"/>
  <c r="N13" i="6"/>
  <c r="C13" i="6"/>
  <c r="M7" i="6"/>
  <c r="K7" i="6"/>
  <c r="I7" i="6"/>
  <c r="G7" i="6"/>
  <c r="E7" i="6"/>
  <c r="C7" i="6"/>
  <c r="H9" i="6"/>
  <c r="H8" i="6"/>
  <c r="F9" i="6"/>
  <c r="F8" i="6"/>
  <c r="F95" i="6" s="1"/>
  <c r="G104" i="10" s="1"/>
  <c r="D9" i="6"/>
  <c r="D8" i="6"/>
  <c r="E687" i="6"/>
  <c r="C687" i="6"/>
  <c r="N14" i="6"/>
  <c r="M14" i="6"/>
  <c r="J14" i="6"/>
  <c r="I14" i="6"/>
  <c r="F14" i="6"/>
  <c r="E14" i="6"/>
  <c r="H104" i="10" l="1"/>
  <c r="I104" i="10"/>
  <c r="C696" i="10"/>
  <c r="C21" i="10" s="1"/>
  <c r="E37" i="4" s="1"/>
  <c r="D696" i="10"/>
  <c r="D21" i="10" s="1"/>
  <c r="E38" i="4" s="1"/>
  <c r="I104" i="9"/>
  <c r="G104" i="9"/>
  <c r="H104" i="9"/>
  <c r="F138" i="6"/>
  <c r="D36" i="6"/>
  <c r="E45" i="10" s="1"/>
  <c r="H635" i="6"/>
  <c r="J696" i="9"/>
  <c r="D684" i="6"/>
  <c r="E693" i="10" s="1"/>
  <c r="D668" i="6"/>
  <c r="E677" i="10" s="1"/>
  <c r="D652" i="6"/>
  <c r="E661" i="10" s="1"/>
  <c r="D636" i="6"/>
  <c r="E645" i="10" s="1"/>
  <c r="D620" i="6"/>
  <c r="E629" i="10" s="1"/>
  <c r="D604" i="6"/>
  <c r="E613" i="10" s="1"/>
  <c r="D588" i="6"/>
  <c r="E597" i="10" s="1"/>
  <c r="D572" i="6"/>
  <c r="E581" i="10" s="1"/>
  <c r="D556" i="6"/>
  <c r="E565" i="10" s="1"/>
  <c r="D540" i="6"/>
  <c r="E549" i="10" s="1"/>
  <c r="D518" i="6"/>
  <c r="E527" i="10" s="1"/>
  <c r="D497" i="6"/>
  <c r="E506" i="10" s="1"/>
  <c r="D476" i="6"/>
  <c r="E485" i="10" s="1"/>
  <c r="D454" i="6"/>
  <c r="E463" i="10" s="1"/>
  <c r="D433" i="6"/>
  <c r="E442" i="10" s="1"/>
  <c r="D412" i="6"/>
  <c r="E421" i="10" s="1"/>
  <c r="D390" i="6"/>
  <c r="E399" i="10" s="1"/>
  <c r="D369" i="6"/>
  <c r="E378" i="10" s="1"/>
  <c r="D348" i="6"/>
  <c r="E357" i="10" s="1"/>
  <c r="D326" i="6"/>
  <c r="E335" i="10" s="1"/>
  <c r="D305" i="6"/>
  <c r="E314" i="10" s="1"/>
  <c r="D280" i="6"/>
  <c r="E289" i="10" s="1"/>
  <c r="D248" i="6"/>
  <c r="E257" i="10" s="1"/>
  <c r="D212" i="6"/>
  <c r="E221" i="10" s="1"/>
  <c r="D664" i="6"/>
  <c r="E673" i="10" s="1"/>
  <c r="D632" i="6"/>
  <c r="E641" i="10" s="1"/>
  <c r="D600" i="6"/>
  <c r="E609" i="10" s="1"/>
  <c r="D568" i="6"/>
  <c r="E577" i="10" s="1"/>
  <c r="D534" i="6"/>
  <c r="E543" i="10" s="1"/>
  <c r="D492" i="6"/>
  <c r="E501" i="10" s="1"/>
  <c r="D449" i="6"/>
  <c r="E458" i="10" s="1"/>
  <c r="D406" i="6"/>
  <c r="E415" i="10" s="1"/>
  <c r="D364" i="6"/>
  <c r="E373" i="10" s="1"/>
  <c r="D321" i="6"/>
  <c r="E330" i="10" s="1"/>
  <c r="D272" i="6"/>
  <c r="E281" i="10" s="1"/>
  <c r="D196" i="6"/>
  <c r="E205" i="10" s="1"/>
  <c r="D46" i="6"/>
  <c r="E55" i="10" s="1"/>
  <c r="D676" i="6"/>
  <c r="E685" i="10" s="1"/>
  <c r="D660" i="6"/>
  <c r="E669" i="10" s="1"/>
  <c r="D644" i="6"/>
  <c r="E653" i="10" s="1"/>
  <c r="D628" i="6"/>
  <c r="E637" i="10" s="1"/>
  <c r="D612" i="6"/>
  <c r="E621" i="10" s="1"/>
  <c r="D596" i="6"/>
  <c r="E605" i="10" s="1"/>
  <c r="D580" i="6"/>
  <c r="E589" i="10" s="1"/>
  <c r="D564" i="6"/>
  <c r="E573" i="10" s="1"/>
  <c r="D548" i="6"/>
  <c r="E557" i="10" s="1"/>
  <c r="D529" i="6"/>
  <c r="E538" i="10" s="1"/>
  <c r="D508" i="6"/>
  <c r="E517" i="10" s="1"/>
  <c r="D486" i="6"/>
  <c r="E495" i="10" s="1"/>
  <c r="D465" i="6"/>
  <c r="E474" i="10" s="1"/>
  <c r="D444" i="6"/>
  <c r="E453" i="10" s="1"/>
  <c r="D422" i="6"/>
  <c r="E431" i="10" s="1"/>
  <c r="D401" i="6"/>
  <c r="E410" i="10" s="1"/>
  <c r="D380" i="6"/>
  <c r="E389" i="10" s="1"/>
  <c r="D358" i="6"/>
  <c r="E367" i="10" s="1"/>
  <c r="D337" i="6"/>
  <c r="E346" i="10" s="1"/>
  <c r="D316" i="6"/>
  <c r="E325" i="10" s="1"/>
  <c r="D294" i="6"/>
  <c r="E303" i="10" s="1"/>
  <c r="D264" i="6"/>
  <c r="E273" i="10" s="1"/>
  <c r="D232" i="6"/>
  <c r="E241" i="10" s="1"/>
  <c r="D180" i="6"/>
  <c r="E189" i="10" s="1"/>
  <c r="D110" i="6"/>
  <c r="E119" i="10" s="1"/>
  <c r="D25" i="6"/>
  <c r="E34" i="10" s="1"/>
  <c r="D148" i="6"/>
  <c r="E157" i="10" s="1"/>
  <c r="D68" i="6"/>
  <c r="E77" i="10" s="1"/>
  <c r="D680" i="6"/>
  <c r="E689" i="10" s="1"/>
  <c r="D648" i="6"/>
  <c r="E657" i="10" s="1"/>
  <c r="D616" i="6"/>
  <c r="E625" i="10" s="1"/>
  <c r="D584" i="6"/>
  <c r="E593" i="10" s="1"/>
  <c r="D552" i="6"/>
  <c r="E561" i="10" s="1"/>
  <c r="D513" i="6"/>
  <c r="E522" i="10" s="1"/>
  <c r="D470" i="6"/>
  <c r="E479" i="10" s="1"/>
  <c r="D428" i="6"/>
  <c r="E437" i="10" s="1"/>
  <c r="D385" i="6"/>
  <c r="E394" i="10" s="1"/>
  <c r="D342" i="6"/>
  <c r="E351" i="10" s="1"/>
  <c r="D300" i="6"/>
  <c r="E309" i="10" s="1"/>
  <c r="D240" i="6"/>
  <c r="E249" i="10" s="1"/>
  <c r="D132" i="6"/>
  <c r="E141" i="10" s="1"/>
  <c r="D672" i="6"/>
  <c r="E681" i="10" s="1"/>
  <c r="D656" i="6"/>
  <c r="E665" i="10" s="1"/>
  <c r="D640" i="6"/>
  <c r="E649" i="10" s="1"/>
  <c r="D624" i="6"/>
  <c r="E633" i="10" s="1"/>
  <c r="D608" i="6"/>
  <c r="E617" i="10" s="1"/>
  <c r="D592" i="6"/>
  <c r="E601" i="10" s="1"/>
  <c r="D576" i="6"/>
  <c r="E585" i="10" s="1"/>
  <c r="D560" i="6"/>
  <c r="E569" i="10" s="1"/>
  <c r="D544" i="6"/>
  <c r="E553" i="10" s="1"/>
  <c r="D524" i="6"/>
  <c r="E533" i="10" s="1"/>
  <c r="D502" i="6"/>
  <c r="E511" i="10" s="1"/>
  <c r="D481" i="6"/>
  <c r="E490" i="10" s="1"/>
  <c r="D460" i="6"/>
  <c r="E469" i="10" s="1"/>
  <c r="D438" i="6"/>
  <c r="E447" i="10" s="1"/>
  <c r="D417" i="6"/>
  <c r="E426" i="10" s="1"/>
  <c r="D396" i="6"/>
  <c r="E405" i="10" s="1"/>
  <c r="D374" i="6"/>
  <c r="E383" i="10" s="1"/>
  <c r="D353" i="6"/>
  <c r="E362" i="10" s="1"/>
  <c r="D332" i="6"/>
  <c r="E341" i="10" s="1"/>
  <c r="D310" i="6"/>
  <c r="E319" i="10" s="1"/>
  <c r="D288" i="6"/>
  <c r="E297" i="10" s="1"/>
  <c r="D256" i="6"/>
  <c r="E265" i="10" s="1"/>
  <c r="D224" i="6"/>
  <c r="E233" i="10" s="1"/>
  <c r="D164" i="6"/>
  <c r="E173" i="10" s="1"/>
  <c r="D89" i="6"/>
  <c r="E98" i="10" s="1"/>
  <c r="F525" i="6"/>
  <c r="H19" i="6"/>
  <c r="H23" i="6"/>
  <c r="H27" i="6"/>
  <c r="H31" i="6"/>
  <c r="H35" i="6"/>
  <c r="H39" i="6"/>
  <c r="H43" i="6"/>
  <c r="H47" i="6"/>
  <c r="H51" i="6"/>
  <c r="H55" i="6"/>
  <c r="H59" i="6"/>
  <c r="H63" i="6"/>
  <c r="H67" i="6"/>
  <c r="H71" i="6"/>
  <c r="H75" i="6"/>
  <c r="H79" i="6"/>
  <c r="H83" i="6"/>
  <c r="H87" i="6"/>
  <c r="H91" i="6"/>
  <c r="H95" i="6"/>
  <c r="H99" i="6"/>
  <c r="H103" i="6"/>
  <c r="H107" i="6"/>
  <c r="H111" i="6"/>
  <c r="H115" i="6"/>
  <c r="H119" i="6"/>
  <c r="H123" i="6"/>
  <c r="H127" i="6"/>
  <c r="H131" i="6"/>
  <c r="H135" i="6"/>
  <c r="H139" i="6"/>
  <c r="H143" i="6"/>
  <c r="H147" i="6"/>
  <c r="H151" i="6"/>
  <c r="H155" i="6"/>
  <c r="H159" i="6"/>
  <c r="H163" i="6"/>
  <c r="H167" i="6"/>
  <c r="H171" i="6"/>
  <c r="H175" i="6"/>
  <c r="H179" i="6"/>
  <c r="H183" i="6"/>
  <c r="H187" i="6"/>
  <c r="H191" i="6"/>
  <c r="H195" i="6"/>
  <c r="H199" i="6"/>
  <c r="H203" i="6"/>
  <c r="H207" i="6"/>
  <c r="H211" i="6"/>
  <c r="H215" i="6"/>
  <c r="H219" i="6"/>
  <c r="H223" i="6"/>
  <c r="H227" i="6"/>
  <c r="H231" i="6"/>
  <c r="H235" i="6"/>
  <c r="H239" i="6"/>
  <c r="H243" i="6"/>
  <c r="H247" i="6"/>
  <c r="H251" i="6"/>
  <c r="H255" i="6"/>
  <c r="H259" i="6"/>
  <c r="H263" i="6"/>
  <c r="H267" i="6"/>
  <c r="H271" i="6"/>
  <c r="H275" i="6"/>
  <c r="H279" i="6"/>
  <c r="H283" i="6"/>
  <c r="H287" i="6"/>
  <c r="H291" i="6"/>
  <c r="H295" i="6"/>
  <c r="H299" i="6"/>
  <c r="H303" i="6"/>
  <c r="H307" i="6"/>
  <c r="H311" i="6"/>
  <c r="H315" i="6"/>
  <c r="H319" i="6"/>
  <c r="H323" i="6"/>
  <c r="H327" i="6"/>
  <c r="H331" i="6"/>
  <c r="H335" i="6"/>
  <c r="H339" i="6"/>
  <c r="H343" i="6"/>
  <c r="H347" i="6"/>
  <c r="H351" i="6"/>
  <c r="H16" i="6"/>
  <c r="H20" i="6"/>
  <c r="H24" i="6"/>
  <c r="H28" i="6"/>
  <c r="H32" i="6"/>
  <c r="H36" i="6"/>
  <c r="H40" i="6"/>
  <c r="H44" i="6"/>
  <c r="H48" i="6"/>
  <c r="H52" i="6"/>
  <c r="H56" i="6"/>
  <c r="H60" i="6"/>
  <c r="H64" i="6"/>
  <c r="H68" i="6"/>
  <c r="H72" i="6"/>
  <c r="H76" i="6"/>
  <c r="H80" i="6"/>
  <c r="H84" i="6"/>
  <c r="H88" i="6"/>
  <c r="H92" i="6"/>
  <c r="H96" i="6"/>
  <c r="H100" i="6"/>
  <c r="H104" i="6"/>
  <c r="H108" i="6"/>
  <c r="H112" i="6"/>
  <c r="H116" i="6"/>
  <c r="H120" i="6"/>
  <c r="H124" i="6"/>
  <c r="H128" i="6"/>
  <c r="H132" i="6"/>
  <c r="H136" i="6"/>
  <c r="H140" i="6"/>
  <c r="H144" i="6"/>
  <c r="H148" i="6"/>
  <c r="H152" i="6"/>
  <c r="H156" i="6"/>
  <c r="H160" i="6"/>
  <c r="H164" i="6"/>
  <c r="H168" i="6"/>
  <c r="H172" i="6"/>
  <c r="H176" i="6"/>
  <c r="H180" i="6"/>
  <c r="H184" i="6"/>
  <c r="H188" i="6"/>
  <c r="H192" i="6"/>
  <c r="H196" i="6"/>
  <c r="H200" i="6"/>
  <c r="H204" i="6"/>
  <c r="H208" i="6"/>
  <c r="H212" i="6"/>
  <c r="H216" i="6"/>
  <c r="H220" i="6"/>
  <c r="H224" i="6"/>
  <c r="H228" i="6"/>
  <c r="H232" i="6"/>
  <c r="H236" i="6"/>
  <c r="H240" i="6"/>
  <c r="H244" i="6"/>
  <c r="H248" i="6"/>
  <c r="H252" i="6"/>
  <c r="H256" i="6"/>
  <c r="H260" i="6"/>
  <c r="H264" i="6"/>
  <c r="H268" i="6"/>
  <c r="H272" i="6"/>
  <c r="H276" i="6"/>
  <c r="H280" i="6"/>
  <c r="H284" i="6"/>
  <c r="H288" i="6"/>
  <c r="H292" i="6"/>
  <c r="H296" i="6"/>
  <c r="H300" i="6"/>
  <c r="H304" i="6"/>
  <c r="H308" i="6"/>
  <c r="H312" i="6"/>
  <c r="H316" i="6"/>
  <c r="H320" i="6"/>
  <c r="H324" i="6"/>
  <c r="H328" i="6"/>
  <c r="H332" i="6"/>
  <c r="H336" i="6"/>
  <c r="H340" i="6"/>
  <c r="H344" i="6"/>
  <c r="H348" i="6"/>
  <c r="H352" i="6"/>
  <c r="H17" i="6"/>
  <c r="H21" i="6"/>
  <c r="H25" i="6"/>
  <c r="H29" i="6"/>
  <c r="H33" i="6"/>
  <c r="H37" i="6"/>
  <c r="H41" i="6"/>
  <c r="H45" i="6"/>
  <c r="H49" i="6"/>
  <c r="H53" i="6"/>
  <c r="H57" i="6"/>
  <c r="H61" i="6"/>
  <c r="H65" i="6"/>
  <c r="H69" i="6"/>
  <c r="H73" i="6"/>
  <c r="H77" i="6"/>
  <c r="H81" i="6"/>
  <c r="H85" i="6"/>
  <c r="H89" i="6"/>
  <c r="H93" i="6"/>
  <c r="H97" i="6"/>
  <c r="H101" i="6"/>
  <c r="H105" i="6"/>
  <c r="H109" i="6"/>
  <c r="H113" i="6"/>
  <c r="H117" i="6"/>
  <c r="H121" i="6"/>
  <c r="H125" i="6"/>
  <c r="H129" i="6"/>
  <c r="H133" i="6"/>
  <c r="H137" i="6"/>
  <c r="H141" i="6"/>
  <c r="H145" i="6"/>
  <c r="H149" i="6"/>
  <c r="H153" i="6"/>
  <c r="H157" i="6"/>
  <c r="H161" i="6"/>
  <c r="H165" i="6"/>
  <c r="H169" i="6"/>
  <c r="H173" i="6"/>
  <c r="H177" i="6"/>
  <c r="H181" i="6"/>
  <c r="H185" i="6"/>
  <c r="H189" i="6"/>
  <c r="H193" i="6"/>
  <c r="H197" i="6"/>
  <c r="H201" i="6"/>
  <c r="H205" i="6"/>
  <c r="H209" i="6"/>
  <c r="H213" i="6"/>
  <c r="H217" i="6"/>
  <c r="H221" i="6"/>
  <c r="H225" i="6"/>
  <c r="H229" i="6"/>
  <c r="H233" i="6"/>
  <c r="H237" i="6"/>
  <c r="H241" i="6"/>
  <c r="H245" i="6"/>
  <c r="H249" i="6"/>
  <c r="H253" i="6"/>
  <c r="H257" i="6"/>
  <c r="H261" i="6"/>
  <c r="H265" i="6"/>
  <c r="H269" i="6"/>
  <c r="H273" i="6"/>
  <c r="H277" i="6"/>
  <c r="H281" i="6"/>
  <c r="H18" i="6"/>
  <c r="H34" i="6"/>
  <c r="H50" i="6"/>
  <c r="H66" i="6"/>
  <c r="H82" i="6"/>
  <c r="H98" i="6"/>
  <c r="H114" i="6"/>
  <c r="H130" i="6"/>
  <c r="H146" i="6"/>
  <c r="H162" i="6"/>
  <c r="H178" i="6"/>
  <c r="H194" i="6"/>
  <c r="H210" i="6"/>
  <c r="H226" i="6"/>
  <c r="H242" i="6"/>
  <c r="H258" i="6"/>
  <c r="H274" i="6"/>
  <c r="H286" i="6"/>
  <c r="H294" i="6"/>
  <c r="H302" i="6"/>
  <c r="H310" i="6"/>
  <c r="H318" i="6"/>
  <c r="H326" i="6"/>
  <c r="H334" i="6"/>
  <c r="H342" i="6"/>
  <c r="H350" i="6"/>
  <c r="H356" i="6"/>
  <c r="H360" i="6"/>
  <c r="H364" i="6"/>
  <c r="H368" i="6"/>
  <c r="H372" i="6"/>
  <c r="H376" i="6"/>
  <c r="H380" i="6"/>
  <c r="H384" i="6"/>
  <c r="H388" i="6"/>
  <c r="H392" i="6"/>
  <c r="H396" i="6"/>
  <c r="H400" i="6"/>
  <c r="H404" i="6"/>
  <c r="H408" i="6"/>
  <c r="H412" i="6"/>
  <c r="H416" i="6"/>
  <c r="H420" i="6"/>
  <c r="H424" i="6"/>
  <c r="H428" i="6"/>
  <c r="H432" i="6"/>
  <c r="H436" i="6"/>
  <c r="H440" i="6"/>
  <c r="H444" i="6"/>
  <c r="H448" i="6"/>
  <c r="H452" i="6"/>
  <c r="H456" i="6"/>
  <c r="H460" i="6"/>
  <c r="H464" i="6"/>
  <c r="H468" i="6"/>
  <c r="H472" i="6"/>
  <c r="H476" i="6"/>
  <c r="H480" i="6"/>
  <c r="H484" i="6"/>
  <c r="H488" i="6"/>
  <c r="H492" i="6"/>
  <c r="H496" i="6"/>
  <c r="H500" i="6"/>
  <c r="H504" i="6"/>
  <c r="H508" i="6"/>
  <c r="H512" i="6"/>
  <c r="H516" i="6"/>
  <c r="H520" i="6"/>
  <c r="H524" i="6"/>
  <c r="H528" i="6"/>
  <c r="H532" i="6"/>
  <c r="H536" i="6"/>
  <c r="H540" i="6"/>
  <c r="H544" i="6"/>
  <c r="H548" i="6"/>
  <c r="H552" i="6"/>
  <c r="H556" i="6"/>
  <c r="H560" i="6"/>
  <c r="H564" i="6"/>
  <c r="H568" i="6"/>
  <c r="H572" i="6"/>
  <c r="H576" i="6"/>
  <c r="H580" i="6"/>
  <c r="H584" i="6"/>
  <c r="H588" i="6"/>
  <c r="H592" i="6"/>
  <c r="H596" i="6"/>
  <c r="H600" i="6"/>
  <c r="H604" i="6"/>
  <c r="H608" i="6"/>
  <c r="H612" i="6"/>
  <c r="H616" i="6"/>
  <c r="H620" i="6"/>
  <c r="H624" i="6"/>
  <c r="H628" i="6"/>
  <c r="H632" i="6"/>
  <c r="H636" i="6"/>
  <c r="H640" i="6"/>
  <c r="H644" i="6"/>
  <c r="H648" i="6"/>
  <c r="H652" i="6"/>
  <c r="H656" i="6"/>
  <c r="H660" i="6"/>
  <c r="H664" i="6"/>
  <c r="H668" i="6"/>
  <c r="H672" i="6"/>
  <c r="H676" i="6"/>
  <c r="H680" i="6"/>
  <c r="H684" i="6"/>
  <c r="H22" i="6"/>
  <c r="H38" i="6"/>
  <c r="H54" i="6"/>
  <c r="H70" i="6"/>
  <c r="H86" i="6"/>
  <c r="H102" i="6"/>
  <c r="H118" i="6"/>
  <c r="H134" i="6"/>
  <c r="H150" i="6"/>
  <c r="H166" i="6"/>
  <c r="H182" i="6"/>
  <c r="H198" i="6"/>
  <c r="H214" i="6"/>
  <c r="H230" i="6"/>
  <c r="H246" i="6"/>
  <c r="H262" i="6"/>
  <c r="H278" i="6"/>
  <c r="H289" i="6"/>
  <c r="H297" i="6"/>
  <c r="H305" i="6"/>
  <c r="H313" i="6"/>
  <c r="H321" i="6"/>
  <c r="H329" i="6"/>
  <c r="H337" i="6"/>
  <c r="H345" i="6"/>
  <c r="H353" i="6"/>
  <c r="H357" i="6"/>
  <c r="H361" i="6"/>
  <c r="H365" i="6"/>
  <c r="H369" i="6"/>
  <c r="H373" i="6"/>
  <c r="H377" i="6"/>
  <c r="H26" i="6"/>
  <c r="H58" i="6"/>
  <c r="H90" i="6"/>
  <c r="H122" i="6"/>
  <c r="H154" i="6"/>
  <c r="H186" i="6"/>
  <c r="H218" i="6"/>
  <c r="H250" i="6"/>
  <c r="H282" i="6"/>
  <c r="H298" i="6"/>
  <c r="H314" i="6"/>
  <c r="H330" i="6"/>
  <c r="H346" i="6"/>
  <c r="H358" i="6"/>
  <c r="H366" i="6"/>
  <c r="H374" i="6"/>
  <c r="H381" i="6"/>
  <c r="H386" i="6"/>
  <c r="H391" i="6"/>
  <c r="H397" i="6"/>
  <c r="H402" i="6"/>
  <c r="H407" i="6"/>
  <c r="H413" i="6"/>
  <c r="H418" i="6"/>
  <c r="H423" i="6"/>
  <c r="H429" i="6"/>
  <c r="H434" i="6"/>
  <c r="H439" i="6"/>
  <c r="H445" i="6"/>
  <c r="H450" i="6"/>
  <c r="H455" i="6"/>
  <c r="H461" i="6"/>
  <c r="H466" i="6"/>
  <c r="H471" i="6"/>
  <c r="H477" i="6"/>
  <c r="H482" i="6"/>
  <c r="H487" i="6"/>
  <c r="H493" i="6"/>
  <c r="H498" i="6"/>
  <c r="H503" i="6"/>
  <c r="H509" i="6"/>
  <c r="H514" i="6"/>
  <c r="H519" i="6"/>
  <c r="H525" i="6"/>
  <c r="H530" i="6"/>
  <c r="H535" i="6"/>
  <c r="H541" i="6"/>
  <c r="H546" i="6"/>
  <c r="H551" i="6"/>
  <c r="H557" i="6"/>
  <c r="H562" i="6"/>
  <c r="H567" i="6"/>
  <c r="H573" i="6"/>
  <c r="H578" i="6"/>
  <c r="H583" i="6"/>
  <c r="H589" i="6"/>
  <c r="H594" i="6"/>
  <c r="H599" i="6"/>
  <c r="H605" i="6"/>
  <c r="H610" i="6"/>
  <c r="H615" i="6"/>
  <c r="H621" i="6"/>
  <c r="H626" i="6"/>
  <c r="H631" i="6"/>
  <c r="H637" i="6"/>
  <c r="H642" i="6"/>
  <c r="H647" i="6"/>
  <c r="H653" i="6"/>
  <c r="H658" i="6"/>
  <c r="H663" i="6"/>
  <c r="H669" i="6"/>
  <c r="H674" i="6"/>
  <c r="H679" i="6"/>
  <c r="H685" i="6"/>
  <c r="H30" i="6"/>
  <c r="H62" i="6"/>
  <c r="H94" i="6"/>
  <c r="H126" i="6"/>
  <c r="H158" i="6"/>
  <c r="H190" i="6"/>
  <c r="H222" i="6"/>
  <c r="H254" i="6"/>
  <c r="H285" i="6"/>
  <c r="H301" i="6"/>
  <c r="H317" i="6"/>
  <c r="H333" i="6"/>
  <c r="H349" i="6"/>
  <c r="H359" i="6"/>
  <c r="H367" i="6"/>
  <c r="H375" i="6"/>
  <c r="H382" i="6"/>
  <c r="H387" i="6"/>
  <c r="H393" i="6"/>
  <c r="H398" i="6"/>
  <c r="H403" i="6"/>
  <c r="H409" i="6"/>
  <c r="H414" i="6"/>
  <c r="H419" i="6"/>
  <c r="H425" i="6"/>
  <c r="H430" i="6"/>
  <c r="H435" i="6"/>
  <c r="H441" i="6"/>
  <c r="H446" i="6"/>
  <c r="H451" i="6"/>
  <c r="H457" i="6"/>
  <c r="H462" i="6"/>
  <c r="H467" i="6"/>
  <c r="H473" i="6"/>
  <c r="H478" i="6"/>
  <c r="H483" i="6"/>
  <c r="H489" i="6"/>
  <c r="H494" i="6"/>
  <c r="H499" i="6"/>
  <c r="H505" i="6"/>
  <c r="H510" i="6"/>
  <c r="H515" i="6"/>
  <c r="H521" i="6"/>
  <c r="H526" i="6"/>
  <c r="H531" i="6"/>
  <c r="H537" i="6"/>
  <c r="H542" i="6"/>
  <c r="H547" i="6"/>
  <c r="H553" i="6"/>
  <c r="H558" i="6"/>
  <c r="H563" i="6"/>
  <c r="H569" i="6"/>
  <c r="H574" i="6"/>
  <c r="H579" i="6"/>
  <c r="H585" i="6"/>
  <c r="H590" i="6"/>
  <c r="H595" i="6"/>
  <c r="H601" i="6"/>
  <c r="H606" i="6"/>
  <c r="H611" i="6"/>
  <c r="H617" i="6"/>
  <c r="H622" i="6"/>
  <c r="H627" i="6"/>
  <c r="H633" i="6"/>
  <c r="H638" i="6"/>
  <c r="H643" i="6"/>
  <c r="H649" i="6"/>
  <c r="H654" i="6"/>
  <c r="H659" i="6"/>
  <c r="H665" i="6"/>
  <c r="H670" i="6"/>
  <c r="H675" i="6"/>
  <c r="H681" i="6"/>
  <c r="H686" i="6"/>
  <c r="H42" i="6"/>
  <c r="H74" i="6"/>
  <c r="H106" i="6"/>
  <c r="H138" i="6"/>
  <c r="H170" i="6"/>
  <c r="H202" i="6"/>
  <c r="H234" i="6"/>
  <c r="H266" i="6"/>
  <c r="H290" i="6"/>
  <c r="H306" i="6"/>
  <c r="H322" i="6"/>
  <c r="H338" i="6"/>
  <c r="H354" i="6"/>
  <c r="H362" i="6"/>
  <c r="H370" i="6"/>
  <c r="H378" i="6"/>
  <c r="H383" i="6"/>
  <c r="H389" i="6"/>
  <c r="H394" i="6"/>
  <c r="H399" i="6"/>
  <c r="H405" i="6"/>
  <c r="H410" i="6"/>
  <c r="H415" i="6"/>
  <c r="H421" i="6"/>
  <c r="H426" i="6"/>
  <c r="H431" i="6"/>
  <c r="H437" i="6"/>
  <c r="H442" i="6"/>
  <c r="H447" i="6"/>
  <c r="H453" i="6"/>
  <c r="H458" i="6"/>
  <c r="H463" i="6"/>
  <c r="H469" i="6"/>
  <c r="H474" i="6"/>
  <c r="H479" i="6"/>
  <c r="H485" i="6"/>
  <c r="H490" i="6"/>
  <c r="H495" i="6"/>
  <c r="H501" i="6"/>
  <c r="H506" i="6"/>
  <c r="H511" i="6"/>
  <c r="H517" i="6"/>
  <c r="H522" i="6"/>
  <c r="H527" i="6"/>
  <c r="H533" i="6"/>
  <c r="H538" i="6"/>
  <c r="H543" i="6"/>
  <c r="H549" i="6"/>
  <c r="H554" i="6"/>
  <c r="H559" i="6"/>
  <c r="H565" i="6"/>
  <c r="H570" i="6"/>
  <c r="H575" i="6"/>
  <c r="H581" i="6"/>
  <c r="H586" i="6"/>
  <c r="H591" i="6"/>
  <c r="H597" i="6"/>
  <c r="H602" i="6"/>
  <c r="H607" i="6"/>
  <c r="H613" i="6"/>
  <c r="H618" i="6"/>
  <c r="H623" i="6"/>
  <c r="H629" i="6"/>
  <c r="H634" i="6"/>
  <c r="H639" i="6"/>
  <c r="H645" i="6"/>
  <c r="H650" i="6"/>
  <c r="H655" i="6"/>
  <c r="H661" i="6"/>
  <c r="H666" i="6"/>
  <c r="H671" i="6"/>
  <c r="H677" i="6"/>
  <c r="H682" i="6"/>
  <c r="H15" i="6"/>
  <c r="H46" i="6"/>
  <c r="H174" i="6"/>
  <c r="H293" i="6"/>
  <c r="H355" i="6"/>
  <c r="H385" i="6"/>
  <c r="H406" i="6"/>
  <c r="H427" i="6"/>
  <c r="H449" i="6"/>
  <c r="H470" i="6"/>
  <c r="H491" i="6"/>
  <c r="H513" i="6"/>
  <c r="H534" i="6"/>
  <c r="H555" i="6"/>
  <c r="H577" i="6"/>
  <c r="H598" i="6"/>
  <c r="H619" i="6"/>
  <c r="H641" i="6"/>
  <c r="H662" i="6"/>
  <c r="H683" i="6"/>
  <c r="H78" i="6"/>
  <c r="H206" i="6"/>
  <c r="H309" i="6"/>
  <c r="H363" i="6"/>
  <c r="H390" i="6"/>
  <c r="H411" i="6"/>
  <c r="H433" i="6"/>
  <c r="H454" i="6"/>
  <c r="H475" i="6"/>
  <c r="H497" i="6"/>
  <c r="H518" i="6"/>
  <c r="H539" i="6"/>
  <c r="H561" i="6"/>
  <c r="H582" i="6"/>
  <c r="H603" i="6"/>
  <c r="H625" i="6"/>
  <c r="H646" i="6"/>
  <c r="H667" i="6"/>
  <c r="H110" i="6"/>
  <c r="H238" i="6"/>
  <c r="H325" i="6"/>
  <c r="H371" i="6"/>
  <c r="H395" i="6"/>
  <c r="H417" i="6"/>
  <c r="H438" i="6"/>
  <c r="H459" i="6"/>
  <c r="H481" i="6"/>
  <c r="H502" i="6"/>
  <c r="H523" i="6"/>
  <c r="H545" i="6"/>
  <c r="H566" i="6"/>
  <c r="H587" i="6"/>
  <c r="H609" i="6"/>
  <c r="H630" i="6"/>
  <c r="H651" i="6"/>
  <c r="H673" i="6"/>
  <c r="H142" i="6"/>
  <c r="H401" i="6"/>
  <c r="H486" i="6"/>
  <c r="H571" i="6"/>
  <c r="H657" i="6"/>
  <c r="H270" i="6"/>
  <c r="H422" i="6"/>
  <c r="H507" i="6"/>
  <c r="H593" i="6"/>
  <c r="H678" i="6"/>
  <c r="H341" i="6"/>
  <c r="H443" i="6"/>
  <c r="H529" i="6"/>
  <c r="H614" i="6"/>
  <c r="D15" i="6"/>
  <c r="C24" i="9" s="1"/>
  <c r="D679" i="6"/>
  <c r="E688" i="10" s="1"/>
  <c r="D671" i="6"/>
  <c r="E680" i="10" s="1"/>
  <c r="D663" i="6"/>
  <c r="E672" i="10" s="1"/>
  <c r="D655" i="6"/>
  <c r="E664" i="10" s="1"/>
  <c r="D643" i="6"/>
  <c r="E652" i="10" s="1"/>
  <c r="D635" i="6"/>
  <c r="E644" i="10" s="1"/>
  <c r="D627" i="6"/>
  <c r="E636" i="10" s="1"/>
  <c r="D619" i="6"/>
  <c r="E628" i="10" s="1"/>
  <c r="D611" i="6"/>
  <c r="E620" i="10" s="1"/>
  <c r="D599" i="6"/>
  <c r="E608" i="10" s="1"/>
  <c r="D591" i="6"/>
  <c r="E600" i="10" s="1"/>
  <c r="D583" i="6"/>
  <c r="E592" i="10" s="1"/>
  <c r="D575" i="6"/>
  <c r="E584" i="10" s="1"/>
  <c r="D567" i="6"/>
  <c r="E576" i="10" s="1"/>
  <c r="D559" i="6"/>
  <c r="E568" i="10" s="1"/>
  <c r="D551" i="6"/>
  <c r="E560" i="10" s="1"/>
  <c r="D543" i="6"/>
  <c r="E552" i="10" s="1"/>
  <c r="D533" i="6"/>
  <c r="E542" i="10" s="1"/>
  <c r="D522" i="6"/>
  <c r="E531" i="10" s="1"/>
  <c r="D512" i="6"/>
  <c r="E521" i="10" s="1"/>
  <c r="D501" i="6"/>
  <c r="E510" i="10" s="1"/>
  <c r="D490" i="6"/>
  <c r="E499" i="10" s="1"/>
  <c r="D480" i="6"/>
  <c r="E489" i="10" s="1"/>
  <c r="D469" i="6"/>
  <c r="E478" i="10" s="1"/>
  <c r="D458" i="6"/>
  <c r="E467" i="10" s="1"/>
  <c r="D448" i="6"/>
  <c r="E457" i="10" s="1"/>
  <c r="D437" i="6"/>
  <c r="E446" i="10" s="1"/>
  <c r="D426" i="6"/>
  <c r="E435" i="10" s="1"/>
  <c r="D416" i="6"/>
  <c r="E425" i="10" s="1"/>
  <c r="D405" i="6"/>
  <c r="E414" i="10" s="1"/>
  <c r="D394" i="6"/>
  <c r="E403" i="10" s="1"/>
  <c r="D384" i="6"/>
  <c r="E393" i="10" s="1"/>
  <c r="D373" i="6"/>
  <c r="E382" i="10" s="1"/>
  <c r="D362" i="6"/>
  <c r="E371" i="10" s="1"/>
  <c r="D352" i="6"/>
  <c r="E361" i="10" s="1"/>
  <c r="D341" i="6"/>
  <c r="E350" i="10" s="1"/>
  <c r="D325" i="6"/>
  <c r="E334" i="10" s="1"/>
  <c r="D314" i="6"/>
  <c r="E323" i="10" s="1"/>
  <c r="D304" i="6"/>
  <c r="E313" i="10" s="1"/>
  <c r="D293" i="6"/>
  <c r="E302" i="10" s="1"/>
  <c r="D277" i="6"/>
  <c r="E286" i="10" s="1"/>
  <c r="D261" i="6"/>
  <c r="E270" i="10" s="1"/>
  <c r="D237" i="6"/>
  <c r="E246" i="10" s="1"/>
  <c r="D208" i="6"/>
  <c r="E217" i="10" s="1"/>
  <c r="F606" i="6"/>
  <c r="D686" i="6"/>
  <c r="E695" i="10" s="1"/>
  <c r="D682" i="6"/>
  <c r="E691" i="10" s="1"/>
  <c r="D678" i="6"/>
  <c r="E687" i="10" s="1"/>
  <c r="D674" i="6"/>
  <c r="E683" i="10" s="1"/>
  <c r="D670" i="6"/>
  <c r="E679" i="10" s="1"/>
  <c r="D666" i="6"/>
  <c r="E675" i="10" s="1"/>
  <c r="D662" i="6"/>
  <c r="E671" i="10" s="1"/>
  <c r="D658" i="6"/>
  <c r="E667" i="10" s="1"/>
  <c r="D654" i="6"/>
  <c r="E663" i="10" s="1"/>
  <c r="D650" i="6"/>
  <c r="E659" i="10" s="1"/>
  <c r="D646" i="6"/>
  <c r="E655" i="10" s="1"/>
  <c r="D642" i="6"/>
  <c r="E651" i="10" s="1"/>
  <c r="D638" i="6"/>
  <c r="E647" i="10" s="1"/>
  <c r="D634" i="6"/>
  <c r="E643" i="10" s="1"/>
  <c r="D630" i="6"/>
  <c r="E639" i="10" s="1"/>
  <c r="D626" i="6"/>
  <c r="E635" i="10" s="1"/>
  <c r="D622" i="6"/>
  <c r="E631" i="10" s="1"/>
  <c r="D618" i="6"/>
  <c r="E627" i="10" s="1"/>
  <c r="D614" i="6"/>
  <c r="E623" i="10" s="1"/>
  <c r="D610" i="6"/>
  <c r="E619" i="10" s="1"/>
  <c r="D606" i="6"/>
  <c r="E615" i="10" s="1"/>
  <c r="D602" i="6"/>
  <c r="E611" i="10" s="1"/>
  <c r="D598" i="6"/>
  <c r="E607" i="10" s="1"/>
  <c r="D594" i="6"/>
  <c r="E603" i="10" s="1"/>
  <c r="D590" i="6"/>
  <c r="E599" i="10" s="1"/>
  <c r="D586" i="6"/>
  <c r="E595" i="10" s="1"/>
  <c r="D582" i="6"/>
  <c r="E591" i="10" s="1"/>
  <c r="D578" i="6"/>
  <c r="E587" i="10" s="1"/>
  <c r="D574" i="6"/>
  <c r="E583" i="10" s="1"/>
  <c r="D570" i="6"/>
  <c r="E579" i="10" s="1"/>
  <c r="D566" i="6"/>
  <c r="E575" i="10" s="1"/>
  <c r="D562" i="6"/>
  <c r="E571" i="10" s="1"/>
  <c r="D558" i="6"/>
  <c r="E567" i="10" s="1"/>
  <c r="D554" i="6"/>
  <c r="E563" i="10" s="1"/>
  <c r="D550" i="6"/>
  <c r="E559" i="10" s="1"/>
  <c r="D546" i="6"/>
  <c r="E555" i="10" s="1"/>
  <c r="D542" i="6"/>
  <c r="E551" i="10" s="1"/>
  <c r="D537" i="6"/>
  <c r="E546" i="10" s="1"/>
  <c r="D532" i="6"/>
  <c r="E541" i="10" s="1"/>
  <c r="D526" i="6"/>
  <c r="E535" i="10" s="1"/>
  <c r="D521" i="6"/>
  <c r="E530" i="10" s="1"/>
  <c r="D516" i="6"/>
  <c r="E525" i="10" s="1"/>
  <c r="D510" i="6"/>
  <c r="E519" i="10" s="1"/>
  <c r="D505" i="6"/>
  <c r="E514" i="10" s="1"/>
  <c r="D500" i="6"/>
  <c r="E509" i="10" s="1"/>
  <c r="D494" i="6"/>
  <c r="E503" i="10" s="1"/>
  <c r="D489" i="6"/>
  <c r="E498" i="10" s="1"/>
  <c r="D484" i="6"/>
  <c r="E493" i="10" s="1"/>
  <c r="D478" i="6"/>
  <c r="E487" i="10" s="1"/>
  <c r="D473" i="6"/>
  <c r="E482" i="10" s="1"/>
  <c r="D468" i="6"/>
  <c r="E477" i="10" s="1"/>
  <c r="D462" i="6"/>
  <c r="E471" i="10" s="1"/>
  <c r="D457" i="6"/>
  <c r="E466" i="10" s="1"/>
  <c r="D452" i="6"/>
  <c r="E461" i="10" s="1"/>
  <c r="D446" i="6"/>
  <c r="E455" i="10" s="1"/>
  <c r="D441" i="6"/>
  <c r="E450" i="10" s="1"/>
  <c r="D436" i="6"/>
  <c r="E445" i="10" s="1"/>
  <c r="D430" i="6"/>
  <c r="E439" i="10" s="1"/>
  <c r="D425" i="6"/>
  <c r="E434" i="10" s="1"/>
  <c r="D420" i="6"/>
  <c r="E429" i="10" s="1"/>
  <c r="D414" i="6"/>
  <c r="E423" i="10" s="1"/>
  <c r="D409" i="6"/>
  <c r="E418" i="10" s="1"/>
  <c r="D404" i="6"/>
  <c r="E413" i="10" s="1"/>
  <c r="D398" i="6"/>
  <c r="E407" i="10" s="1"/>
  <c r="D393" i="6"/>
  <c r="E402" i="10" s="1"/>
  <c r="D388" i="6"/>
  <c r="E397" i="10" s="1"/>
  <c r="D382" i="6"/>
  <c r="E391" i="10" s="1"/>
  <c r="D377" i="6"/>
  <c r="E386" i="10" s="1"/>
  <c r="D372" i="6"/>
  <c r="E381" i="10" s="1"/>
  <c r="D366" i="6"/>
  <c r="E375" i="10" s="1"/>
  <c r="D361" i="6"/>
  <c r="E370" i="10" s="1"/>
  <c r="D356" i="6"/>
  <c r="E365" i="10" s="1"/>
  <c r="D350" i="6"/>
  <c r="E359" i="10" s="1"/>
  <c r="D345" i="6"/>
  <c r="E354" i="10" s="1"/>
  <c r="D340" i="6"/>
  <c r="E349" i="10" s="1"/>
  <c r="D334" i="6"/>
  <c r="E343" i="10" s="1"/>
  <c r="D329" i="6"/>
  <c r="E338" i="10" s="1"/>
  <c r="D324" i="6"/>
  <c r="E333" i="10" s="1"/>
  <c r="D318" i="6"/>
  <c r="E327" i="10" s="1"/>
  <c r="D313" i="6"/>
  <c r="E322" i="10" s="1"/>
  <c r="D308" i="6"/>
  <c r="E317" i="10" s="1"/>
  <c r="D302" i="6"/>
  <c r="E311" i="10" s="1"/>
  <c r="D297" i="6"/>
  <c r="E306" i="10" s="1"/>
  <c r="D292" i="6"/>
  <c r="E301" i="10" s="1"/>
  <c r="D284" i="6"/>
  <c r="E293" i="10" s="1"/>
  <c r="D276" i="6"/>
  <c r="E285" i="10" s="1"/>
  <c r="D268" i="6"/>
  <c r="E277" i="10" s="1"/>
  <c r="D260" i="6"/>
  <c r="E269" i="10" s="1"/>
  <c r="D252" i="6"/>
  <c r="E261" i="10" s="1"/>
  <c r="D244" i="6"/>
  <c r="E253" i="10" s="1"/>
  <c r="D236" i="6"/>
  <c r="E245" i="10" s="1"/>
  <c r="D228" i="6"/>
  <c r="E237" i="10" s="1"/>
  <c r="D220" i="6"/>
  <c r="E229" i="10" s="1"/>
  <c r="D204" i="6"/>
  <c r="E213" i="10" s="1"/>
  <c r="D188" i="6"/>
  <c r="E197" i="10" s="1"/>
  <c r="D172" i="6"/>
  <c r="E181" i="10" s="1"/>
  <c r="D156" i="6"/>
  <c r="E165" i="10" s="1"/>
  <c r="D140" i="6"/>
  <c r="E149" i="10" s="1"/>
  <c r="D121" i="6"/>
  <c r="E130" i="10" s="1"/>
  <c r="D100" i="6"/>
  <c r="E109" i="10" s="1"/>
  <c r="D78" i="6"/>
  <c r="E87" i="10" s="1"/>
  <c r="D57" i="6"/>
  <c r="E66" i="10" s="1"/>
  <c r="F686" i="6"/>
  <c r="F665" i="6"/>
  <c r="F644" i="6"/>
  <c r="F622" i="6"/>
  <c r="F601" i="6"/>
  <c r="F580" i="6"/>
  <c r="F552" i="6"/>
  <c r="F493" i="6"/>
  <c r="F392" i="6"/>
  <c r="F264" i="6"/>
  <c r="H465" i="6"/>
  <c r="F676" i="6"/>
  <c r="F654" i="6"/>
  <c r="F633" i="6"/>
  <c r="F612" i="6"/>
  <c r="F590" i="6"/>
  <c r="F568" i="6"/>
  <c r="F456" i="6"/>
  <c r="F328" i="6"/>
  <c r="F181" i="6"/>
  <c r="D19" i="6"/>
  <c r="E28" i="10" s="1"/>
  <c r="D23" i="6"/>
  <c r="E32" i="10" s="1"/>
  <c r="D27" i="6"/>
  <c r="E36" i="10" s="1"/>
  <c r="D31" i="6"/>
  <c r="E40" i="10" s="1"/>
  <c r="D35" i="6"/>
  <c r="E44" i="10" s="1"/>
  <c r="D39" i="6"/>
  <c r="E48" i="10" s="1"/>
  <c r="D43" i="6"/>
  <c r="E52" i="10" s="1"/>
  <c r="D47" i="6"/>
  <c r="E56" i="10" s="1"/>
  <c r="D51" i="6"/>
  <c r="E60" i="10" s="1"/>
  <c r="D55" i="6"/>
  <c r="E64" i="10" s="1"/>
  <c r="D59" i="6"/>
  <c r="E68" i="10" s="1"/>
  <c r="D63" i="6"/>
  <c r="E72" i="10" s="1"/>
  <c r="D67" i="6"/>
  <c r="E76" i="10" s="1"/>
  <c r="D71" i="6"/>
  <c r="E80" i="10" s="1"/>
  <c r="D75" i="6"/>
  <c r="E84" i="10" s="1"/>
  <c r="D79" i="6"/>
  <c r="E88" i="10" s="1"/>
  <c r="D83" i="6"/>
  <c r="E92" i="10" s="1"/>
  <c r="D87" i="6"/>
  <c r="E96" i="10" s="1"/>
  <c r="D91" i="6"/>
  <c r="E100" i="10" s="1"/>
  <c r="D95" i="6"/>
  <c r="E104" i="10" s="1"/>
  <c r="D99" i="6"/>
  <c r="E108" i="10" s="1"/>
  <c r="D103" i="6"/>
  <c r="E112" i="10" s="1"/>
  <c r="D107" i="6"/>
  <c r="E116" i="10" s="1"/>
  <c r="D111" i="6"/>
  <c r="E120" i="10" s="1"/>
  <c r="D115" i="6"/>
  <c r="E124" i="10" s="1"/>
  <c r="D119" i="6"/>
  <c r="E128" i="10" s="1"/>
  <c r="D123" i="6"/>
  <c r="E132" i="10" s="1"/>
  <c r="D127" i="6"/>
  <c r="E136" i="10" s="1"/>
  <c r="D131" i="6"/>
  <c r="E140" i="10" s="1"/>
  <c r="D16" i="6"/>
  <c r="E25" i="10" s="1"/>
  <c r="D21" i="6"/>
  <c r="E30" i="10" s="1"/>
  <c r="D26" i="6"/>
  <c r="E35" i="10" s="1"/>
  <c r="D32" i="6"/>
  <c r="E41" i="10" s="1"/>
  <c r="D37" i="6"/>
  <c r="E46" i="10" s="1"/>
  <c r="D42" i="6"/>
  <c r="E51" i="10" s="1"/>
  <c r="D48" i="6"/>
  <c r="E57" i="10" s="1"/>
  <c r="D53" i="6"/>
  <c r="E62" i="10" s="1"/>
  <c r="D58" i="6"/>
  <c r="E67" i="10" s="1"/>
  <c r="D64" i="6"/>
  <c r="E73" i="10" s="1"/>
  <c r="D69" i="6"/>
  <c r="E78" i="10" s="1"/>
  <c r="D74" i="6"/>
  <c r="E83" i="10" s="1"/>
  <c r="D80" i="6"/>
  <c r="E89" i="10" s="1"/>
  <c r="D85" i="6"/>
  <c r="E94" i="10" s="1"/>
  <c r="D90" i="6"/>
  <c r="E99" i="10" s="1"/>
  <c r="D96" i="6"/>
  <c r="E105" i="10" s="1"/>
  <c r="D101" i="6"/>
  <c r="E110" i="10" s="1"/>
  <c r="D106" i="6"/>
  <c r="E115" i="10" s="1"/>
  <c r="D112" i="6"/>
  <c r="E121" i="10" s="1"/>
  <c r="D117" i="6"/>
  <c r="E126" i="10" s="1"/>
  <c r="D122" i="6"/>
  <c r="E131" i="10" s="1"/>
  <c r="D128" i="6"/>
  <c r="E137" i="10" s="1"/>
  <c r="D133" i="6"/>
  <c r="E142" i="10" s="1"/>
  <c r="D137" i="6"/>
  <c r="E146" i="10" s="1"/>
  <c r="D141" i="6"/>
  <c r="E150" i="10" s="1"/>
  <c r="D145" i="6"/>
  <c r="E154" i="10" s="1"/>
  <c r="D149" i="6"/>
  <c r="E158" i="10" s="1"/>
  <c r="D153" i="6"/>
  <c r="E162" i="10" s="1"/>
  <c r="D157" i="6"/>
  <c r="E166" i="10" s="1"/>
  <c r="D161" i="6"/>
  <c r="E170" i="10" s="1"/>
  <c r="D165" i="6"/>
  <c r="E174" i="10" s="1"/>
  <c r="D169" i="6"/>
  <c r="E178" i="10" s="1"/>
  <c r="D173" i="6"/>
  <c r="E182" i="10" s="1"/>
  <c r="D177" i="6"/>
  <c r="E186" i="10" s="1"/>
  <c r="D181" i="6"/>
  <c r="E190" i="10" s="1"/>
  <c r="D185" i="6"/>
  <c r="E194" i="10" s="1"/>
  <c r="D189" i="6"/>
  <c r="E198" i="10" s="1"/>
  <c r="D193" i="6"/>
  <c r="E202" i="10" s="1"/>
  <c r="D197" i="6"/>
  <c r="E206" i="10" s="1"/>
  <c r="D201" i="6"/>
  <c r="E210" i="10" s="1"/>
  <c r="D205" i="6"/>
  <c r="E214" i="10" s="1"/>
  <c r="D209" i="6"/>
  <c r="E218" i="10" s="1"/>
  <c r="D213" i="6"/>
  <c r="E222" i="10" s="1"/>
  <c r="D217" i="6"/>
  <c r="E226" i="10" s="1"/>
  <c r="D17" i="6"/>
  <c r="E26" i="10" s="1"/>
  <c r="D22" i="6"/>
  <c r="E31" i="10" s="1"/>
  <c r="D28" i="6"/>
  <c r="E37" i="10" s="1"/>
  <c r="D33" i="6"/>
  <c r="E42" i="10" s="1"/>
  <c r="D38" i="6"/>
  <c r="E47" i="10" s="1"/>
  <c r="D44" i="6"/>
  <c r="E53" i="10" s="1"/>
  <c r="D49" i="6"/>
  <c r="E58" i="10" s="1"/>
  <c r="D54" i="6"/>
  <c r="E63" i="10" s="1"/>
  <c r="D60" i="6"/>
  <c r="E69" i="10" s="1"/>
  <c r="D65" i="6"/>
  <c r="E74" i="10" s="1"/>
  <c r="D70" i="6"/>
  <c r="E79" i="10" s="1"/>
  <c r="D76" i="6"/>
  <c r="E85" i="10" s="1"/>
  <c r="D81" i="6"/>
  <c r="E90" i="10" s="1"/>
  <c r="D86" i="6"/>
  <c r="E95" i="10" s="1"/>
  <c r="D92" i="6"/>
  <c r="E101" i="10" s="1"/>
  <c r="D97" i="6"/>
  <c r="E106" i="10" s="1"/>
  <c r="D102" i="6"/>
  <c r="E111" i="10" s="1"/>
  <c r="D108" i="6"/>
  <c r="E117" i="10" s="1"/>
  <c r="D113" i="6"/>
  <c r="E122" i="10" s="1"/>
  <c r="D118" i="6"/>
  <c r="E127" i="10" s="1"/>
  <c r="D124" i="6"/>
  <c r="E133" i="10" s="1"/>
  <c r="D129" i="6"/>
  <c r="E138" i="10" s="1"/>
  <c r="D134" i="6"/>
  <c r="E143" i="10" s="1"/>
  <c r="D138" i="6"/>
  <c r="E147" i="10" s="1"/>
  <c r="D142" i="6"/>
  <c r="E151" i="10" s="1"/>
  <c r="D146" i="6"/>
  <c r="E155" i="10" s="1"/>
  <c r="D150" i="6"/>
  <c r="E159" i="10" s="1"/>
  <c r="D154" i="6"/>
  <c r="E163" i="10" s="1"/>
  <c r="D158" i="6"/>
  <c r="E167" i="10" s="1"/>
  <c r="D162" i="6"/>
  <c r="E171" i="10" s="1"/>
  <c r="D166" i="6"/>
  <c r="E175" i="10" s="1"/>
  <c r="D170" i="6"/>
  <c r="E179" i="10" s="1"/>
  <c r="D174" i="6"/>
  <c r="E183" i="10" s="1"/>
  <c r="D178" i="6"/>
  <c r="E187" i="10" s="1"/>
  <c r="D182" i="6"/>
  <c r="E191" i="10" s="1"/>
  <c r="D186" i="6"/>
  <c r="E195" i="10" s="1"/>
  <c r="D190" i="6"/>
  <c r="E199" i="10" s="1"/>
  <c r="D194" i="6"/>
  <c r="E203" i="10" s="1"/>
  <c r="D198" i="6"/>
  <c r="E207" i="10" s="1"/>
  <c r="D202" i="6"/>
  <c r="E211" i="10" s="1"/>
  <c r="D206" i="6"/>
  <c r="E215" i="10" s="1"/>
  <c r="D210" i="6"/>
  <c r="E219" i="10" s="1"/>
  <c r="D214" i="6"/>
  <c r="E223" i="10" s="1"/>
  <c r="D218" i="6"/>
  <c r="E227" i="10" s="1"/>
  <c r="D222" i="6"/>
  <c r="E231" i="10" s="1"/>
  <c r="D226" i="6"/>
  <c r="E235" i="10" s="1"/>
  <c r="D230" i="6"/>
  <c r="E239" i="10" s="1"/>
  <c r="D234" i="6"/>
  <c r="E243" i="10" s="1"/>
  <c r="D238" i="6"/>
  <c r="E247" i="10" s="1"/>
  <c r="D242" i="6"/>
  <c r="E251" i="10" s="1"/>
  <c r="D246" i="6"/>
  <c r="E255" i="10" s="1"/>
  <c r="D250" i="6"/>
  <c r="E259" i="10" s="1"/>
  <c r="D254" i="6"/>
  <c r="E263" i="10" s="1"/>
  <c r="D258" i="6"/>
  <c r="E267" i="10" s="1"/>
  <c r="D262" i="6"/>
  <c r="E271" i="10" s="1"/>
  <c r="D266" i="6"/>
  <c r="E275" i="10" s="1"/>
  <c r="D270" i="6"/>
  <c r="E279" i="10" s="1"/>
  <c r="D274" i="6"/>
  <c r="E283" i="10" s="1"/>
  <c r="D278" i="6"/>
  <c r="E287" i="10" s="1"/>
  <c r="D282" i="6"/>
  <c r="E291" i="10" s="1"/>
  <c r="D286" i="6"/>
  <c r="E295" i="10" s="1"/>
  <c r="D290" i="6"/>
  <c r="E299" i="10" s="1"/>
  <c r="D18" i="6"/>
  <c r="E27" i="10" s="1"/>
  <c r="D24" i="6"/>
  <c r="E33" i="10" s="1"/>
  <c r="D29" i="6"/>
  <c r="E38" i="10" s="1"/>
  <c r="D34" i="6"/>
  <c r="E43" i="10" s="1"/>
  <c r="D40" i="6"/>
  <c r="E49" i="10" s="1"/>
  <c r="D45" i="6"/>
  <c r="E54" i="10" s="1"/>
  <c r="D50" i="6"/>
  <c r="E59" i="10" s="1"/>
  <c r="D56" i="6"/>
  <c r="E65" i="10" s="1"/>
  <c r="D61" i="6"/>
  <c r="E70" i="10" s="1"/>
  <c r="D66" i="6"/>
  <c r="E75" i="10" s="1"/>
  <c r="D72" i="6"/>
  <c r="E81" i="10" s="1"/>
  <c r="D77" i="6"/>
  <c r="E86" i="10" s="1"/>
  <c r="D82" i="6"/>
  <c r="E91" i="10" s="1"/>
  <c r="D88" i="6"/>
  <c r="E97" i="10" s="1"/>
  <c r="D93" i="6"/>
  <c r="E102" i="10" s="1"/>
  <c r="D98" i="6"/>
  <c r="E107" i="10" s="1"/>
  <c r="D104" i="6"/>
  <c r="E113" i="10" s="1"/>
  <c r="D109" i="6"/>
  <c r="E118" i="10" s="1"/>
  <c r="D114" i="6"/>
  <c r="E123" i="10" s="1"/>
  <c r="D120" i="6"/>
  <c r="E129" i="10" s="1"/>
  <c r="D125" i="6"/>
  <c r="E134" i="10" s="1"/>
  <c r="D130" i="6"/>
  <c r="E139" i="10" s="1"/>
  <c r="D135" i="6"/>
  <c r="E144" i="10" s="1"/>
  <c r="D139" i="6"/>
  <c r="E148" i="10" s="1"/>
  <c r="D143" i="6"/>
  <c r="E152" i="10" s="1"/>
  <c r="D147" i="6"/>
  <c r="E156" i="10" s="1"/>
  <c r="D151" i="6"/>
  <c r="E160" i="10" s="1"/>
  <c r="D155" i="6"/>
  <c r="E164" i="10" s="1"/>
  <c r="D159" i="6"/>
  <c r="E168" i="10" s="1"/>
  <c r="D163" i="6"/>
  <c r="E172" i="10" s="1"/>
  <c r="D167" i="6"/>
  <c r="E176" i="10" s="1"/>
  <c r="D171" i="6"/>
  <c r="E180" i="10" s="1"/>
  <c r="D175" i="6"/>
  <c r="E184" i="10" s="1"/>
  <c r="D179" i="6"/>
  <c r="E188" i="10" s="1"/>
  <c r="D183" i="6"/>
  <c r="E192" i="10" s="1"/>
  <c r="D187" i="6"/>
  <c r="E196" i="10" s="1"/>
  <c r="D191" i="6"/>
  <c r="E200" i="10" s="1"/>
  <c r="D195" i="6"/>
  <c r="E204" i="10" s="1"/>
  <c r="D199" i="6"/>
  <c r="E208" i="10" s="1"/>
  <c r="D203" i="6"/>
  <c r="E212" i="10" s="1"/>
  <c r="D207" i="6"/>
  <c r="E216" i="10" s="1"/>
  <c r="D211" i="6"/>
  <c r="E220" i="10" s="1"/>
  <c r="D215" i="6"/>
  <c r="E224" i="10" s="1"/>
  <c r="D219" i="6"/>
  <c r="E228" i="10" s="1"/>
  <c r="D223" i="6"/>
  <c r="E232" i="10" s="1"/>
  <c r="D227" i="6"/>
  <c r="E236" i="10" s="1"/>
  <c r="D231" i="6"/>
  <c r="E240" i="10" s="1"/>
  <c r="D235" i="6"/>
  <c r="E244" i="10" s="1"/>
  <c r="D239" i="6"/>
  <c r="E248" i="10" s="1"/>
  <c r="D243" i="6"/>
  <c r="E252" i="10" s="1"/>
  <c r="D247" i="6"/>
  <c r="E256" i="10" s="1"/>
  <c r="D251" i="6"/>
  <c r="E260" i="10" s="1"/>
  <c r="D255" i="6"/>
  <c r="E264" i="10" s="1"/>
  <c r="D259" i="6"/>
  <c r="E268" i="10" s="1"/>
  <c r="D263" i="6"/>
  <c r="E272" i="10" s="1"/>
  <c r="D267" i="6"/>
  <c r="E276" i="10" s="1"/>
  <c r="D271" i="6"/>
  <c r="E280" i="10" s="1"/>
  <c r="D275" i="6"/>
  <c r="E284" i="10" s="1"/>
  <c r="D279" i="6"/>
  <c r="E288" i="10" s="1"/>
  <c r="D283" i="6"/>
  <c r="E292" i="10" s="1"/>
  <c r="D287" i="6"/>
  <c r="E296" i="10" s="1"/>
  <c r="D291" i="6"/>
  <c r="E300" i="10" s="1"/>
  <c r="D295" i="6"/>
  <c r="E304" i="10" s="1"/>
  <c r="D299" i="6"/>
  <c r="E308" i="10" s="1"/>
  <c r="D303" i="6"/>
  <c r="E312" i="10" s="1"/>
  <c r="D307" i="6"/>
  <c r="E316" i="10" s="1"/>
  <c r="D311" i="6"/>
  <c r="E320" i="10" s="1"/>
  <c r="D315" i="6"/>
  <c r="E324" i="10" s="1"/>
  <c r="D319" i="6"/>
  <c r="E328" i="10" s="1"/>
  <c r="D323" i="6"/>
  <c r="E332" i="10" s="1"/>
  <c r="D327" i="6"/>
  <c r="E336" i="10" s="1"/>
  <c r="D331" i="6"/>
  <c r="E340" i="10" s="1"/>
  <c r="D335" i="6"/>
  <c r="E344" i="10" s="1"/>
  <c r="D339" i="6"/>
  <c r="E348" i="10" s="1"/>
  <c r="D343" i="6"/>
  <c r="E352" i="10" s="1"/>
  <c r="D347" i="6"/>
  <c r="E356" i="10" s="1"/>
  <c r="D351" i="6"/>
  <c r="E360" i="10" s="1"/>
  <c r="D355" i="6"/>
  <c r="E364" i="10" s="1"/>
  <c r="D359" i="6"/>
  <c r="E368" i="10" s="1"/>
  <c r="D363" i="6"/>
  <c r="E372" i="10" s="1"/>
  <c r="D367" i="6"/>
  <c r="E376" i="10" s="1"/>
  <c r="D371" i="6"/>
  <c r="E380" i="10" s="1"/>
  <c r="D375" i="6"/>
  <c r="E384" i="10" s="1"/>
  <c r="D379" i="6"/>
  <c r="E388" i="10" s="1"/>
  <c r="D383" i="6"/>
  <c r="E392" i="10" s="1"/>
  <c r="D387" i="6"/>
  <c r="E396" i="10" s="1"/>
  <c r="D391" i="6"/>
  <c r="E400" i="10" s="1"/>
  <c r="D395" i="6"/>
  <c r="E404" i="10" s="1"/>
  <c r="D399" i="6"/>
  <c r="E408" i="10" s="1"/>
  <c r="D403" i="6"/>
  <c r="E412" i="10" s="1"/>
  <c r="D407" i="6"/>
  <c r="E416" i="10" s="1"/>
  <c r="D411" i="6"/>
  <c r="E420" i="10" s="1"/>
  <c r="D415" i="6"/>
  <c r="E424" i="10" s="1"/>
  <c r="D419" i="6"/>
  <c r="E428" i="10" s="1"/>
  <c r="D423" i="6"/>
  <c r="E432" i="10" s="1"/>
  <c r="D427" i="6"/>
  <c r="E436" i="10" s="1"/>
  <c r="D431" i="6"/>
  <c r="E440" i="10" s="1"/>
  <c r="D435" i="6"/>
  <c r="E444" i="10" s="1"/>
  <c r="D439" i="6"/>
  <c r="E448" i="10" s="1"/>
  <c r="D443" i="6"/>
  <c r="E452" i="10" s="1"/>
  <c r="D447" i="6"/>
  <c r="E456" i="10" s="1"/>
  <c r="D451" i="6"/>
  <c r="E460" i="10" s="1"/>
  <c r="D455" i="6"/>
  <c r="E464" i="10" s="1"/>
  <c r="D459" i="6"/>
  <c r="E468" i="10" s="1"/>
  <c r="D463" i="6"/>
  <c r="E472" i="10" s="1"/>
  <c r="D467" i="6"/>
  <c r="E476" i="10" s="1"/>
  <c r="D471" i="6"/>
  <c r="E480" i="10" s="1"/>
  <c r="D475" i="6"/>
  <c r="E484" i="10" s="1"/>
  <c r="D479" i="6"/>
  <c r="E488" i="10" s="1"/>
  <c r="D483" i="6"/>
  <c r="E492" i="10" s="1"/>
  <c r="D487" i="6"/>
  <c r="E496" i="10" s="1"/>
  <c r="D491" i="6"/>
  <c r="E500" i="10" s="1"/>
  <c r="D495" i="6"/>
  <c r="E504" i="10" s="1"/>
  <c r="D499" i="6"/>
  <c r="E508" i="10" s="1"/>
  <c r="D503" i="6"/>
  <c r="E512" i="10" s="1"/>
  <c r="D507" i="6"/>
  <c r="E516" i="10" s="1"/>
  <c r="D511" i="6"/>
  <c r="E520" i="10" s="1"/>
  <c r="D515" i="6"/>
  <c r="E524" i="10" s="1"/>
  <c r="D519" i="6"/>
  <c r="E528" i="10" s="1"/>
  <c r="D523" i="6"/>
  <c r="E532" i="10" s="1"/>
  <c r="D527" i="6"/>
  <c r="E536" i="10" s="1"/>
  <c r="D531" i="6"/>
  <c r="E540" i="10" s="1"/>
  <c r="D535" i="6"/>
  <c r="E544" i="10" s="1"/>
  <c r="D539" i="6"/>
  <c r="E548" i="10" s="1"/>
  <c r="D683" i="6"/>
  <c r="E692" i="10" s="1"/>
  <c r="D675" i="6"/>
  <c r="E684" i="10" s="1"/>
  <c r="D667" i="6"/>
  <c r="E676" i="10" s="1"/>
  <c r="D659" i="6"/>
  <c r="E668" i="10" s="1"/>
  <c r="D651" i="6"/>
  <c r="E660" i="10" s="1"/>
  <c r="D647" i="6"/>
  <c r="E656" i="10" s="1"/>
  <c r="D639" i="6"/>
  <c r="E648" i="10" s="1"/>
  <c r="D631" i="6"/>
  <c r="E640" i="10" s="1"/>
  <c r="D623" i="6"/>
  <c r="E632" i="10" s="1"/>
  <c r="D615" i="6"/>
  <c r="E624" i="10" s="1"/>
  <c r="D607" i="6"/>
  <c r="E616" i="10" s="1"/>
  <c r="D603" i="6"/>
  <c r="E612" i="10" s="1"/>
  <c r="D595" i="6"/>
  <c r="E604" i="10" s="1"/>
  <c r="D587" i="6"/>
  <c r="E596" i="10" s="1"/>
  <c r="D579" i="6"/>
  <c r="E588" i="10" s="1"/>
  <c r="D571" i="6"/>
  <c r="E580" i="10" s="1"/>
  <c r="D563" i="6"/>
  <c r="E572" i="10" s="1"/>
  <c r="D555" i="6"/>
  <c r="E564" i="10" s="1"/>
  <c r="D547" i="6"/>
  <c r="E556" i="10" s="1"/>
  <c r="D538" i="6"/>
  <c r="E547" i="10" s="1"/>
  <c r="D528" i="6"/>
  <c r="E537" i="10" s="1"/>
  <c r="D517" i="6"/>
  <c r="E526" i="10" s="1"/>
  <c r="D506" i="6"/>
  <c r="E515" i="10" s="1"/>
  <c r="D496" i="6"/>
  <c r="E505" i="10" s="1"/>
  <c r="D485" i="6"/>
  <c r="E494" i="10" s="1"/>
  <c r="D474" i="6"/>
  <c r="E483" i="10" s="1"/>
  <c r="D464" i="6"/>
  <c r="E473" i="10" s="1"/>
  <c r="D453" i="6"/>
  <c r="E462" i="10" s="1"/>
  <c r="D442" i="6"/>
  <c r="E451" i="10" s="1"/>
  <c r="D432" i="6"/>
  <c r="E441" i="10" s="1"/>
  <c r="D421" i="6"/>
  <c r="E430" i="10" s="1"/>
  <c r="D410" i="6"/>
  <c r="E419" i="10" s="1"/>
  <c r="D400" i="6"/>
  <c r="E409" i="10" s="1"/>
  <c r="D389" i="6"/>
  <c r="E398" i="10" s="1"/>
  <c r="D378" i="6"/>
  <c r="E387" i="10" s="1"/>
  <c r="D368" i="6"/>
  <c r="E377" i="10" s="1"/>
  <c r="D357" i="6"/>
  <c r="E366" i="10" s="1"/>
  <c r="D346" i="6"/>
  <c r="E355" i="10" s="1"/>
  <c r="D336" i="6"/>
  <c r="E345" i="10" s="1"/>
  <c r="D330" i="6"/>
  <c r="E339" i="10" s="1"/>
  <c r="D320" i="6"/>
  <c r="E329" i="10" s="1"/>
  <c r="D309" i="6"/>
  <c r="E318" i="10" s="1"/>
  <c r="D298" i="6"/>
  <c r="E307" i="10" s="1"/>
  <c r="D285" i="6"/>
  <c r="E294" i="10" s="1"/>
  <c r="D269" i="6"/>
  <c r="E278" i="10" s="1"/>
  <c r="D253" i="6"/>
  <c r="E262" i="10" s="1"/>
  <c r="D245" i="6"/>
  <c r="E254" i="10" s="1"/>
  <c r="D229" i="6"/>
  <c r="E238" i="10" s="1"/>
  <c r="D221" i="6"/>
  <c r="E230" i="10" s="1"/>
  <c r="D192" i="6"/>
  <c r="E201" i="10" s="1"/>
  <c r="D176" i="6"/>
  <c r="E185" i="10" s="1"/>
  <c r="D160" i="6"/>
  <c r="E169" i="10" s="1"/>
  <c r="D144" i="6"/>
  <c r="E153" i="10" s="1"/>
  <c r="D126" i="6"/>
  <c r="E135" i="10" s="1"/>
  <c r="D105" i="6"/>
  <c r="E114" i="10" s="1"/>
  <c r="D84" i="6"/>
  <c r="E93" i="10" s="1"/>
  <c r="D62" i="6"/>
  <c r="E71" i="10" s="1"/>
  <c r="D41" i="6"/>
  <c r="E50" i="10" s="1"/>
  <c r="D20" i="6"/>
  <c r="E29" i="10" s="1"/>
  <c r="F670" i="6"/>
  <c r="F649" i="6"/>
  <c r="F628" i="6"/>
  <c r="F585" i="6"/>
  <c r="F560" i="6"/>
  <c r="F509" i="6"/>
  <c r="F424" i="6"/>
  <c r="F296" i="6"/>
  <c r="H550" i="6"/>
  <c r="F16" i="6"/>
  <c r="F20" i="6"/>
  <c r="F24" i="6"/>
  <c r="F28" i="6"/>
  <c r="F32" i="6"/>
  <c r="F36" i="6"/>
  <c r="F40" i="6"/>
  <c r="F44" i="6"/>
  <c r="F48" i="6"/>
  <c r="F52" i="6"/>
  <c r="F56" i="6"/>
  <c r="F60" i="6"/>
  <c r="F64" i="6"/>
  <c r="F68" i="6"/>
  <c r="F72" i="6"/>
  <c r="F76" i="6"/>
  <c r="F80" i="6"/>
  <c r="F84" i="6"/>
  <c r="F88" i="6"/>
  <c r="F92" i="6"/>
  <c r="F96" i="6"/>
  <c r="F100" i="6"/>
  <c r="F104" i="6"/>
  <c r="F108" i="6"/>
  <c r="F112" i="6"/>
  <c r="F116" i="6"/>
  <c r="F120" i="6"/>
  <c r="F124" i="6"/>
  <c r="F128" i="6"/>
  <c r="F132" i="6"/>
  <c r="F136" i="6"/>
  <c r="F140" i="6"/>
  <c r="F144" i="6"/>
  <c r="F148" i="6"/>
  <c r="F152" i="6"/>
  <c r="F156" i="6"/>
  <c r="F160" i="6"/>
  <c r="F164" i="6"/>
  <c r="F168" i="6"/>
  <c r="F172" i="6"/>
  <c r="F176" i="6"/>
  <c r="F180" i="6"/>
  <c r="F184" i="6"/>
  <c r="F188" i="6"/>
  <c r="F192" i="6"/>
  <c r="F196" i="6"/>
  <c r="F200" i="6"/>
  <c r="F204" i="6"/>
  <c r="F208" i="6"/>
  <c r="F212" i="6"/>
  <c r="F216" i="6"/>
  <c r="F220" i="6"/>
  <c r="F224" i="6"/>
  <c r="F228" i="6"/>
  <c r="F232" i="6"/>
  <c r="F236" i="6"/>
  <c r="F240" i="6"/>
  <c r="F244" i="6"/>
  <c r="F248" i="6"/>
  <c r="F252" i="6"/>
  <c r="F256" i="6"/>
  <c r="F18" i="6"/>
  <c r="F23" i="6"/>
  <c r="F29" i="6"/>
  <c r="F34" i="6"/>
  <c r="F39" i="6"/>
  <c r="F45" i="6"/>
  <c r="F50" i="6"/>
  <c r="F55" i="6"/>
  <c r="F61" i="6"/>
  <c r="F66" i="6"/>
  <c r="F71" i="6"/>
  <c r="F77" i="6"/>
  <c r="F82" i="6"/>
  <c r="F87" i="6"/>
  <c r="F93" i="6"/>
  <c r="F98" i="6"/>
  <c r="F103" i="6"/>
  <c r="F109" i="6"/>
  <c r="F114" i="6"/>
  <c r="F119" i="6"/>
  <c r="F125" i="6"/>
  <c r="F130" i="6"/>
  <c r="F135" i="6"/>
  <c r="F141" i="6"/>
  <c r="F146" i="6"/>
  <c r="F151" i="6"/>
  <c r="F157" i="6"/>
  <c r="F162" i="6"/>
  <c r="F167" i="6"/>
  <c r="F173" i="6"/>
  <c r="F178" i="6"/>
  <c r="F183" i="6"/>
  <c r="F189" i="6"/>
  <c r="F194" i="6"/>
  <c r="F199" i="6"/>
  <c r="F205" i="6"/>
  <c r="F210" i="6"/>
  <c r="F215" i="6"/>
  <c r="F221" i="6"/>
  <c r="F226" i="6"/>
  <c r="F231" i="6"/>
  <c r="F237" i="6"/>
  <c r="F242" i="6"/>
  <c r="F247" i="6"/>
  <c r="F253" i="6"/>
  <c r="F258" i="6"/>
  <c r="F262" i="6"/>
  <c r="F266" i="6"/>
  <c r="F270" i="6"/>
  <c r="F274" i="6"/>
  <c r="F278" i="6"/>
  <c r="F282" i="6"/>
  <c r="F286" i="6"/>
  <c r="F290" i="6"/>
  <c r="F294" i="6"/>
  <c r="F298" i="6"/>
  <c r="F302" i="6"/>
  <c r="F306" i="6"/>
  <c r="F310" i="6"/>
  <c r="F314" i="6"/>
  <c r="F318" i="6"/>
  <c r="F322" i="6"/>
  <c r="F326" i="6"/>
  <c r="F330" i="6"/>
  <c r="F334" i="6"/>
  <c r="F338" i="6"/>
  <c r="F342" i="6"/>
  <c r="F346" i="6"/>
  <c r="F350" i="6"/>
  <c r="F354" i="6"/>
  <c r="F358" i="6"/>
  <c r="F362" i="6"/>
  <c r="F366" i="6"/>
  <c r="F370" i="6"/>
  <c r="F374" i="6"/>
  <c r="F378" i="6"/>
  <c r="F382" i="6"/>
  <c r="F386" i="6"/>
  <c r="F390" i="6"/>
  <c r="F394" i="6"/>
  <c r="F398" i="6"/>
  <c r="F402" i="6"/>
  <c r="F406" i="6"/>
  <c r="F410" i="6"/>
  <c r="F414" i="6"/>
  <c r="F418" i="6"/>
  <c r="F422" i="6"/>
  <c r="F426" i="6"/>
  <c r="F430" i="6"/>
  <c r="F434" i="6"/>
  <c r="F438" i="6"/>
  <c r="F442" i="6"/>
  <c r="F446" i="6"/>
  <c r="F450" i="6"/>
  <c r="F454" i="6"/>
  <c r="F458" i="6"/>
  <c r="F462" i="6"/>
  <c r="F466" i="6"/>
  <c r="F470" i="6"/>
  <c r="F19" i="6"/>
  <c r="F25" i="6"/>
  <c r="F30" i="6"/>
  <c r="F35" i="6"/>
  <c r="F41" i="6"/>
  <c r="F46" i="6"/>
  <c r="F51" i="6"/>
  <c r="F57" i="6"/>
  <c r="F62" i="6"/>
  <c r="F67" i="6"/>
  <c r="F73" i="6"/>
  <c r="F78" i="6"/>
  <c r="F83" i="6"/>
  <c r="F89" i="6"/>
  <c r="F94" i="6"/>
  <c r="F99" i="6"/>
  <c r="F105" i="6"/>
  <c r="F110" i="6"/>
  <c r="F115" i="6"/>
  <c r="F121" i="6"/>
  <c r="F126" i="6"/>
  <c r="F131" i="6"/>
  <c r="F137" i="6"/>
  <c r="F142" i="6"/>
  <c r="F147" i="6"/>
  <c r="F153" i="6"/>
  <c r="F158" i="6"/>
  <c r="F163" i="6"/>
  <c r="F169" i="6"/>
  <c r="F174" i="6"/>
  <c r="F179" i="6"/>
  <c r="F185" i="6"/>
  <c r="F190" i="6"/>
  <c r="F195" i="6"/>
  <c r="F201" i="6"/>
  <c r="F206" i="6"/>
  <c r="F211" i="6"/>
  <c r="F217" i="6"/>
  <c r="F222" i="6"/>
  <c r="F227" i="6"/>
  <c r="F233" i="6"/>
  <c r="F238" i="6"/>
  <c r="F243" i="6"/>
  <c r="F249" i="6"/>
  <c r="F254" i="6"/>
  <c r="F259" i="6"/>
  <c r="F263" i="6"/>
  <c r="F267" i="6"/>
  <c r="F271" i="6"/>
  <c r="F275" i="6"/>
  <c r="F279" i="6"/>
  <c r="F283" i="6"/>
  <c r="F287" i="6"/>
  <c r="F291" i="6"/>
  <c r="F295" i="6"/>
  <c r="F299" i="6"/>
  <c r="F303" i="6"/>
  <c r="F307" i="6"/>
  <c r="F311" i="6"/>
  <c r="F315" i="6"/>
  <c r="F319" i="6"/>
  <c r="F323" i="6"/>
  <c r="F327" i="6"/>
  <c r="F331" i="6"/>
  <c r="F335" i="6"/>
  <c r="F339" i="6"/>
  <c r="F343" i="6"/>
  <c r="F347" i="6"/>
  <c r="F351" i="6"/>
  <c r="F355" i="6"/>
  <c r="F359" i="6"/>
  <c r="F363" i="6"/>
  <c r="F367" i="6"/>
  <c r="F371" i="6"/>
  <c r="F375" i="6"/>
  <c r="F379" i="6"/>
  <c r="F383" i="6"/>
  <c r="F387" i="6"/>
  <c r="F391" i="6"/>
  <c r="F395" i="6"/>
  <c r="F399" i="6"/>
  <c r="F403" i="6"/>
  <c r="F407" i="6"/>
  <c r="F411" i="6"/>
  <c r="F415" i="6"/>
  <c r="F419" i="6"/>
  <c r="F423" i="6"/>
  <c r="F427" i="6"/>
  <c r="F431" i="6"/>
  <c r="F435" i="6"/>
  <c r="F439" i="6"/>
  <c r="F443" i="6"/>
  <c r="F447" i="6"/>
  <c r="F451" i="6"/>
  <c r="F455" i="6"/>
  <c r="F459" i="6"/>
  <c r="F21" i="6"/>
  <c r="F26" i="6"/>
  <c r="F31" i="6"/>
  <c r="F37" i="6"/>
  <c r="F42" i="6"/>
  <c r="F47" i="6"/>
  <c r="F53" i="6"/>
  <c r="F33" i="6"/>
  <c r="F54" i="6"/>
  <c r="F65" i="6"/>
  <c r="F75" i="6"/>
  <c r="F86" i="6"/>
  <c r="F97" i="6"/>
  <c r="F107" i="6"/>
  <c r="F118" i="6"/>
  <c r="F129" i="6"/>
  <c r="F139" i="6"/>
  <c r="F150" i="6"/>
  <c r="F161" i="6"/>
  <c r="F171" i="6"/>
  <c r="F182" i="6"/>
  <c r="F193" i="6"/>
  <c r="F203" i="6"/>
  <c r="F214" i="6"/>
  <c r="F225" i="6"/>
  <c r="F235" i="6"/>
  <c r="F246" i="6"/>
  <c r="F257" i="6"/>
  <c r="F265" i="6"/>
  <c r="F273" i="6"/>
  <c r="F281" i="6"/>
  <c r="F289" i="6"/>
  <c r="F297" i="6"/>
  <c r="F305" i="6"/>
  <c r="F313" i="6"/>
  <c r="F321" i="6"/>
  <c r="F329" i="6"/>
  <c r="F337" i="6"/>
  <c r="F345" i="6"/>
  <c r="F353" i="6"/>
  <c r="F361" i="6"/>
  <c r="F369" i="6"/>
  <c r="F377" i="6"/>
  <c r="F385" i="6"/>
  <c r="F393" i="6"/>
  <c r="F401" i="6"/>
  <c r="F409" i="6"/>
  <c r="F417" i="6"/>
  <c r="F425" i="6"/>
  <c r="F433" i="6"/>
  <c r="F441" i="6"/>
  <c r="F449" i="6"/>
  <c r="F457" i="6"/>
  <c r="F464" i="6"/>
  <c r="F469" i="6"/>
  <c r="F474" i="6"/>
  <c r="F478" i="6"/>
  <c r="F482" i="6"/>
  <c r="F486" i="6"/>
  <c r="F490" i="6"/>
  <c r="F494" i="6"/>
  <c r="F498" i="6"/>
  <c r="F502" i="6"/>
  <c r="F506" i="6"/>
  <c r="F510" i="6"/>
  <c r="F514" i="6"/>
  <c r="F518" i="6"/>
  <c r="F522" i="6"/>
  <c r="F526" i="6"/>
  <c r="F530" i="6"/>
  <c r="F534" i="6"/>
  <c r="F538" i="6"/>
  <c r="F542" i="6"/>
  <c r="F546" i="6"/>
  <c r="F550" i="6"/>
  <c r="F554" i="6"/>
  <c r="F558" i="6"/>
  <c r="F562" i="6"/>
  <c r="F566" i="6"/>
  <c r="F570" i="6"/>
  <c r="F17" i="6"/>
  <c r="F38" i="6"/>
  <c r="F58" i="6"/>
  <c r="F69" i="6"/>
  <c r="F79" i="6"/>
  <c r="F90" i="6"/>
  <c r="F101" i="6"/>
  <c r="F111" i="6"/>
  <c r="F122" i="6"/>
  <c r="F133" i="6"/>
  <c r="F143" i="6"/>
  <c r="F154" i="6"/>
  <c r="F165" i="6"/>
  <c r="F175" i="6"/>
  <c r="F186" i="6"/>
  <c r="F197" i="6"/>
  <c r="F207" i="6"/>
  <c r="F218" i="6"/>
  <c r="F229" i="6"/>
  <c r="F239" i="6"/>
  <c r="F250" i="6"/>
  <c r="F260" i="6"/>
  <c r="F268" i="6"/>
  <c r="F276" i="6"/>
  <c r="F284" i="6"/>
  <c r="F292" i="6"/>
  <c r="F300" i="6"/>
  <c r="F308" i="6"/>
  <c r="F316" i="6"/>
  <c r="F324" i="6"/>
  <c r="F332" i="6"/>
  <c r="F340" i="6"/>
  <c r="F348" i="6"/>
  <c r="F356" i="6"/>
  <c r="F364" i="6"/>
  <c r="F372" i="6"/>
  <c r="F380" i="6"/>
  <c r="F388" i="6"/>
  <c r="F396" i="6"/>
  <c r="F404" i="6"/>
  <c r="F412" i="6"/>
  <c r="F420" i="6"/>
  <c r="F428" i="6"/>
  <c r="F436" i="6"/>
  <c r="F444" i="6"/>
  <c r="F452" i="6"/>
  <c r="F460" i="6"/>
  <c r="F465" i="6"/>
  <c r="F471" i="6"/>
  <c r="F475" i="6"/>
  <c r="F479" i="6"/>
  <c r="F483" i="6"/>
  <c r="F487" i="6"/>
  <c r="F491" i="6"/>
  <c r="F495" i="6"/>
  <c r="F499" i="6"/>
  <c r="F503" i="6"/>
  <c r="F507" i="6"/>
  <c r="F511" i="6"/>
  <c r="F515" i="6"/>
  <c r="F519" i="6"/>
  <c r="F523" i="6"/>
  <c r="F527" i="6"/>
  <c r="F531" i="6"/>
  <c r="F535" i="6"/>
  <c r="F539" i="6"/>
  <c r="F543" i="6"/>
  <c r="F547" i="6"/>
  <c r="F551" i="6"/>
  <c r="F555" i="6"/>
  <c r="F559" i="6"/>
  <c r="F563" i="6"/>
  <c r="F567" i="6"/>
  <c r="F571" i="6"/>
  <c r="F575" i="6"/>
  <c r="F579" i="6"/>
  <c r="F583" i="6"/>
  <c r="F587" i="6"/>
  <c r="F591" i="6"/>
  <c r="F595" i="6"/>
  <c r="F599" i="6"/>
  <c r="F603" i="6"/>
  <c r="F607" i="6"/>
  <c r="F611" i="6"/>
  <c r="F615" i="6"/>
  <c r="F619" i="6"/>
  <c r="F623" i="6"/>
  <c r="F627" i="6"/>
  <c r="F631" i="6"/>
  <c r="F635" i="6"/>
  <c r="F639" i="6"/>
  <c r="F643" i="6"/>
  <c r="F647" i="6"/>
  <c r="F651" i="6"/>
  <c r="F655" i="6"/>
  <c r="F659" i="6"/>
  <c r="F663" i="6"/>
  <c r="F667" i="6"/>
  <c r="F671" i="6"/>
  <c r="F675" i="6"/>
  <c r="F679" i="6"/>
  <c r="F683" i="6"/>
  <c r="F15" i="6"/>
  <c r="F22" i="6"/>
  <c r="F43" i="6"/>
  <c r="F59" i="6"/>
  <c r="F70" i="6"/>
  <c r="F81" i="6"/>
  <c r="F91" i="6"/>
  <c r="F102" i="6"/>
  <c r="F113" i="6"/>
  <c r="F123" i="6"/>
  <c r="F134" i="6"/>
  <c r="F145" i="6"/>
  <c r="F155" i="6"/>
  <c r="F166" i="6"/>
  <c r="F177" i="6"/>
  <c r="F187" i="6"/>
  <c r="F198" i="6"/>
  <c r="F209" i="6"/>
  <c r="F219" i="6"/>
  <c r="F230" i="6"/>
  <c r="F241" i="6"/>
  <c r="F251" i="6"/>
  <c r="F261" i="6"/>
  <c r="F269" i="6"/>
  <c r="F277" i="6"/>
  <c r="F285" i="6"/>
  <c r="F293" i="6"/>
  <c r="F301" i="6"/>
  <c r="F309" i="6"/>
  <c r="F317" i="6"/>
  <c r="F325" i="6"/>
  <c r="F333" i="6"/>
  <c r="F341" i="6"/>
  <c r="F349" i="6"/>
  <c r="F357" i="6"/>
  <c r="F365" i="6"/>
  <c r="F373" i="6"/>
  <c r="F381" i="6"/>
  <c r="F389" i="6"/>
  <c r="F397" i="6"/>
  <c r="F405" i="6"/>
  <c r="F413" i="6"/>
  <c r="F421" i="6"/>
  <c r="F429" i="6"/>
  <c r="F437" i="6"/>
  <c r="F445" i="6"/>
  <c r="F453" i="6"/>
  <c r="F461" i="6"/>
  <c r="F467" i="6"/>
  <c r="F472" i="6"/>
  <c r="F476" i="6"/>
  <c r="F480" i="6"/>
  <c r="F484" i="6"/>
  <c r="F488" i="6"/>
  <c r="F492" i="6"/>
  <c r="F496" i="6"/>
  <c r="F500" i="6"/>
  <c r="F504" i="6"/>
  <c r="F508" i="6"/>
  <c r="F512" i="6"/>
  <c r="F516" i="6"/>
  <c r="F520" i="6"/>
  <c r="F524" i="6"/>
  <c r="F528" i="6"/>
  <c r="F532" i="6"/>
  <c r="F536" i="6"/>
  <c r="F540" i="6"/>
  <c r="F544" i="6"/>
  <c r="F63" i="6"/>
  <c r="F106" i="6"/>
  <c r="F149" i="6"/>
  <c r="F191" i="6"/>
  <c r="F234" i="6"/>
  <c r="F272" i="6"/>
  <c r="F304" i="6"/>
  <c r="F336" i="6"/>
  <c r="F368" i="6"/>
  <c r="F400" i="6"/>
  <c r="F432" i="6"/>
  <c r="F463" i="6"/>
  <c r="F481" i="6"/>
  <c r="F497" i="6"/>
  <c r="F513" i="6"/>
  <c r="F529" i="6"/>
  <c r="F545" i="6"/>
  <c r="F553" i="6"/>
  <c r="F561" i="6"/>
  <c r="F569" i="6"/>
  <c r="F576" i="6"/>
  <c r="F581" i="6"/>
  <c r="F586" i="6"/>
  <c r="F592" i="6"/>
  <c r="F597" i="6"/>
  <c r="F602" i="6"/>
  <c r="F608" i="6"/>
  <c r="F613" i="6"/>
  <c r="F618" i="6"/>
  <c r="F624" i="6"/>
  <c r="F629" i="6"/>
  <c r="F634" i="6"/>
  <c r="F640" i="6"/>
  <c r="F645" i="6"/>
  <c r="F650" i="6"/>
  <c r="F656" i="6"/>
  <c r="F661" i="6"/>
  <c r="F666" i="6"/>
  <c r="F672" i="6"/>
  <c r="F677" i="6"/>
  <c r="F682" i="6"/>
  <c r="F74" i="6"/>
  <c r="F117" i="6"/>
  <c r="F159" i="6"/>
  <c r="F202" i="6"/>
  <c r="F245" i="6"/>
  <c r="F280" i="6"/>
  <c r="F312" i="6"/>
  <c r="F344" i="6"/>
  <c r="F376" i="6"/>
  <c r="F408" i="6"/>
  <c r="F440" i="6"/>
  <c r="F468" i="6"/>
  <c r="F485" i="6"/>
  <c r="F501" i="6"/>
  <c r="F517" i="6"/>
  <c r="F533" i="6"/>
  <c r="F548" i="6"/>
  <c r="F556" i="6"/>
  <c r="F564" i="6"/>
  <c r="F572" i="6"/>
  <c r="F577" i="6"/>
  <c r="F582" i="6"/>
  <c r="F588" i="6"/>
  <c r="F593" i="6"/>
  <c r="F598" i="6"/>
  <c r="F604" i="6"/>
  <c r="F609" i="6"/>
  <c r="F614" i="6"/>
  <c r="F620" i="6"/>
  <c r="F625" i="6"/>
  <c r="F630" i="6"/>
  <c r="F636" i="6"/>
  <c r="F641" i="6"/>
  <c r="F646" i="6"/>
  <c r="F652" i="6"/>
  <c r="F657" i="6"/>
  <c r="F662" i="6"/>
  <c r="F668" i="6"/>
  <c r="F673" i="6"/>
  <c r="F678" i="6"/>
  <c r="F684" i="6"/>
  <c r="F27" i="6"/>
  <c r="F85" i="6"/>
  <c r="F127" i="6"/>
  <c r="F170" i="6"/>
  <c r="F213" i="6"/>
  <c r="F255" i="6"/>
  <c r="F288" i="6"/>
  <c r="F320" i="6"/>
  <c r="F352" i="6"/>
  <c r="F384" i="6"/>
  <c r="F416" i="6"/>
  <c r="F448" i="6"/>
  <c r="F473" i="6"/>
  <c r="F489" i="6"/>
  <c r="F505" i="6"/>
  <c r="F521" i="6"/>
  <c r="F537" i="6"/>
  <c r="F549" i="6"/>
  <c r="F557" i="6"/>
  <c r="F565" i="6"/>
  <c r="F573" i="6"/>
  <c r="F578" i="6"/>
  <c r="F584" i="6"/>
  <c r="F589" i="6"/>
  <c r="F594" i="6"/>
  <c r="F600" i="6"/>
  <c r="F605" i="6"/>
  <c r="F610" i="6"/>
  <c r="F616" i="6"/>
  <c r="F621" i="6"/>
  <c r="F626" i="6"/>
  <c r="F632" i="6"/>
  <c r="F637" i="6"/>
  <c r="F642" i="6"/>
  <c r="F648" i="6"/>
  <c r="F653" i="6"/>
  <c r="F658" i="6"/>
  <c r="F664" i="6"/>
  <c r="F669" i="6"/>
  <c r="F674" i="6"/>
  <c r="F680" i="6"/>
  <c r="F685" i="6"/>
  <c r="D685" i="6"/>
  <c r="E694" i="10" s="1"/>
  <c r="D681" i="6"/>
  <c r="E690" i="10" s="1"/>
  <c r="D677" i="6"/>
  <c r="E686" i="10" s="1"/>
  <c r="D673" i="6"/>
  <c r="E682" i="10" s="1"/>
  <c r="D669" i="6"/>
  <c r="E678" i="10" s="1"/>
  <c r="D665" i="6"/>
  <c r="E674" i="10" s="1"/>
  <c r="D661" i="6"/>
  <c r="E670" i="10" s="1"/>
  <c r="D657" i="6"/>
  <c r="E666" i="10" s="1"/>
  <c r="D653" i="6"/>
  <c r="E662" i="10" s="1"/>
  <c r="D649" i="6"/>
  <c r="E658" i="10" s="1"/>
  <c r="D645" i="6"/>
  <c r="E654" i="10" s="1"/>
  <c r="D641" i="6"/>
  <c r="E650" i="10" s="1"/>
  <c r="D637" i="6"/>
  <c r="E646" i="10" s="1"/>
  <c r="D633" i="6"/>
  <c r="E642" i="10" s="1"/>
  <c r="D629" i="6"/>
  <c r="E638" i="10" s="1"/>
  <c r="D625" i="6"/>
  <c r="E634" i="10" s="1"/>
  <c r="D621" i="6"/>
  <c r="E630" i="10" s="1"/>
  <c r="D617" i="6"/>
  <c r="E626" i="10" s="1"/>
  <c r="D613" i="6"/>
  <c r="E622" i="10" s="1"/>
  <c r="D609" i="6"/>
  <c r="E618" i="10" s="1"/>
  <c r="D605" i="6"/>
  <c r="E614" i="10" s="1"/>
  <c r="D601" i="6"/>
  <c r="E610" i="10" s="1"/>
  <c r="D597" i="6"/>
  <c r="E606" i="10" s="1"/>
  <c r="D593" i="6"/>
  <c r="E602" i="10" s="1"/>
  <c r="D589" i="6"/>
  <c r="E598" i="10" s="1"/>
  <c r="D585" i="6"/>
  <c r="E594" i="10" s="1"/>
  <c r="D581" i="6"/>
  <c r="E590" i="10" s="1"/>
  <c r="D577" i="6"/>
  <c r="E586" i="10" s="1"/>
  <c r="D573" i="6"/>
  <c r="E582" i="10" s="1"/>
  <c r="D569" i="6"/>
  <c r="E578" i="10" s="1"/>
  <c r="D565" i="6"/>
  <c r="E574" i="10" s="1"/>
  <c r="D561" i="6"/>
  <c r="E570" i="10" s="1"/>
  <c r="D557" i="6"/>
  <c r="E566" i="10" s="1"/>
  <c r="D553" i="6"/>
  <c r="E562" i="10" s="1"/>
  <c r="D549" i="6"/>
  <c r="E558" i="10" s="1"/>
  <c r="D545" i="6"/>
  <c r="E554" i="10" s="1"/>
  <c r="D541" i="6"/>
  <c r="E550" i="10" s="1"/>
  <c r="D536" i="6"/>
  <c r="E545" i="10" s="1"/>
  <c r="D530" i="6"/>
  <c r="E539" i="10" s="1"/>
  <c r="D525" i="6"/>
  <c r="E534" i="10" s="1"/>
  <c r="D520" i="6"/>
  <c r="E529" i="10" s="1"/>
  <c r="D514" i="6"/>
  <c r="E523" i="10" s="1"/>
  <c r="D509" i="6"/>
  <c r="E518" i="10" s="1"/>
  <c r="D504" i="6"/>
  <c r="E513" i="10" s="1"/>
  <c r="D498" i="6"/>
  <c r="E507" i="10" s="1"/>
  <c r="D493" i="6"/>
  <c r="E502" i="10" s="1"/>
  <c r="D488" i="6"/>
  <c r="E497" i="10" s="1"/>
  <c r="D482" i="6"/>
  <c r="E491" i="10" s="1"/>
  <c r="D477" i="6"/>
  <c r="E486" i="10" s="1"/>
  <c r="D472" i="6"/>
  <c r="E481" i="10" s="1"/>
  <c r="D466" i="6"/>
  <c r="E475" i="10" s="1"/>
  <c r="D461" i="6"/>
  <c r="E470" i="10" s="1"/>
  <c r="D456" i="6"/>
  <c r="E465" i="10" s="1"/>
  <c r="D450" i="6"/>
  <c r="E459" i="10" s="1"/>
  <c r="D445" i="6"/>
  <c r="E454" i="10" s="1"/>
  <c r="D440" i="6"/>
  <c r="E449" i="10" s="1"/>
  <c r="D434" i="6"/>
  <c r="E443" i="10" s="1"/>
  <c r="D429" i="6"/>
  <c r="E438" i="10" s="1"/>
  <c r="D424" i="6"/>
  <c r="E433" i="10" s="1"/>
  <c r="D418" i="6"/>
  <c r="E427" i="10" s="1"/>
  <c r="D413" i="6"/>
  <c r="E422" i="10" s="1"/>
  <c r="D408" i="6"/>
  <c r="E417" i="10" s="1"/>
  <c r="D402" i="6"/>
  <c r="E411" i="10" s="1"/>
  <c r="D397" i="6"/>
  <c r="E406" i="10" s="1"/>
  <c r="D392" i="6"/>
  <c r="E401" i="10" s="1"/>
  <c r="D386" i="6"/>
  <c r="E395" i="10" s="1"/>
  <c r="D381" i="6"/>
  <c r="E390" i="10" s="1"/>
  <c r="D376" i="6"/>
  <c r="E385" i="10" s="1"/>
  <c r="D370" i="6"/>
  <c r="E379" i="10" s="1"/>
  <c r="D365" i="6"/>
  <c r="E374" i="10" s="1"/>
  <c r="D360" i="6"/>
  <c r="E369" i="10" s="1"/>
  <c r="D354" i="6"/>
  <c r="E363" i="10" s="1"/>
  <c r="D349" i="6"/>
  <c r="E358" i="10" s="1"/>
  <c r="D344" i="6"/>
  <c r="E353" i="10" s="1"/>
  <c r="D338" i="6"/>
  <c r="E347" i="10" s="1"/>
  <c r="D333" i="6"/>
  <c r="E342" i="10" s="1"/>
  <c r="D328" i="6"/>
  <c r="E337" i="10" s="1"/>
  <c r="D322" i="6"/>
  <c r="E331" i="10" s="1"/>
  <c r="D317" i="6"/>
  <c r="E326" i="10" s="1"/>
  <c r="D312" i="6"/>
  <c r="E321" i="10" s="1"/>
  <c r="D306" i="6"/>
  <c r="E315" i="10" s="1"/>
  <c r="D301" i="6"/>
  <c r="E310" i="10" s="1"/>
  <c r="D296" i="6"/>
  <c r="E305" i="10" s="1"/>
  <c r="D289" i="6"/>
  <c r="E298" i="10" s="1"/>
  <c r="D281" i="6"/>
  <c r="E290" i="10" s="1"/>
  <c r="D273" i="6"/>
  <c r="E282" i="10" s="1"/>
  <c r="D265" i="6"/>
  <c r="E274" i="10" s="1"/>
  <c r="D257" i="6"/>
  <c r="E266" i="10" s="1"/>
  <c r="D249" i="6"/>
  <c r="E258" i="10" s="1"/>
  <c r="D241" i="6"/>
  <c r="E250" i="10" s="1"/>
  <c r="D233" i="6"/>
  <c r="E242" i="10" s="1"/>
  <c r="D225" i="6"/>
  <c r="E234" i="10" s="1"/>
  <c r="D216" i="6"/>
  <c r="E225" i="10" s="1"/>
  <c r="D200" i="6"/>
  <c r="E209" i="10" s="1"/>
  <c r="D184" i="6"/>
  <c r="E193" i="10" s="1"/>
  <c r="D168" i="6"/>
  <c r="E177" i="10" s="1"/>
  <c r="D152" i="6"/>
  <c r="E161" i="10" s="1"/>
  <c r="D136" i="6"/>
  <c r="E145" i="10" s="1"/>
  <c r="D116" i="6"/>
  <c r="E125" i="10" s="1"/>
  <c r="D94" i="6"/>
  <c r="E103" i="10" s="1"/>
  <c r="D73" i="6"/>
  <c r="E82" i="10" s="1"/>
  <c r="D52" i="6"/>
  <c r="E61" i="10" s="1"/>
  <c r="D30" i="6"/>
  <c r="E39" i="10" s="1"/>
  <c r="F681" i="6"/>
  <c r="F660" i="6"/>
  <c r="F638" i="6"/>
  <c r="F617" i="6"/>
  <c r="F596" i="6"/>
  <c r="F574" i="6"/>
  <c r="F541" i="6"/>
  <c r="F477" i="6"/>
  <c r="F360" i="6"/>
  <c r="F223" i="6"/>
  <c r="F49" i="6"/>
  <c r="H379" i="6"/>
  <c r="I626" i="10" l="1"/>
  <c r="G626" i="10"/>
  <c r="H626" i="10"/>
  <c r="I689" i="10"/>
  <c r="H689" i="10"/>
  <c r="G689" i="10"/>
  <c r="I667" i="10"/>
  <c r="H667" i="10"/>
  <c r="G667" i="10"/>
  <c r="I646" i="10"/>
  <c r="G646" i="10"/>
  <c r="H646" i="10"/>
  <c r="I625" i="10"/>
  <c r="H625" i="10"/>
  <c r="G625" i="10"/>
  <c r="I603" i="10"/>
  <c r="H603" i="10"/>
  <c r="G603" i="10"/>
  <c r="I582" i="10"/>
  <c r="G582" i="10"/>
  <c r="H582" i="10"/>
  <c r="I546" i="10"/>
  <c r="H546" i="10"/>
  <c r="G546" i="10"/>
  <c r="I482" i="10"/>
  <c r="H482" i="10"/>
  <c r="G482" i="10"/>
  <c r="I361" i="10"/>
  <c r="G361" i="10"/>
  <c r="H361" i="10"/>
  <c r="I222" i="10"/>
  <c r="H222" i="10"/>
  <c r="G222" i="10"/>
  <c r="G36" i="10"/>
  <c r="I36" i="10"/>
  <c r="H36" i="10"/>
  <c r="I677" i="10"/>
  <c r="H677" i="10"/>
  <c r="G677" i="10"/>
  <c r="I655" i="10"/>
  <c r="H655" i="10"/>
  <c r="G655" i="10"/>
  <c r="I634" i="10"/>
  <c r="H634" i="10"/>
  <c r="G634" i="10"/>
  <c r="I613" i="10"/>
  <c r="G613" i="10"/>
  <c r="H613" i="10"/>
  <c r="I591" i="10"/>
  <c r="G591" i="10"/>
  <c r="H591" i="10"/>
  <c r="I565" i="10"/>
  <c r="H565" i="10"/>
  <c r="G565" i="10"/>
  <c r="I510" i="10"/>
  <c r="H510" i="10"/>
  <c r="G510" i="10"/>
  <c r="I417" i="10"/>
  <c r="G417" i="10"/>
  <c r="H417" i="10"/>
  <c r="I289" i="10"/>
  <c r="H289" i="10"/>
  <c r="G289" i="10"/>
  <c r="I126" i="10"/>
  <c r="H126" i="10"/>
  <c r="G126" i="10"/>
  <c r="I681" i="10"/>
  <c r="H681" i="10"/>
  <c r="G681" i="10"/>
  <c r="I659" i="10"/>
  <c r="G659" i="10"/>
  <c r="H659" i="10"/>
  <c r="I638" i="10"/>
  <c r="G638" i="10"/>
  <c r="H638" i="10"/>
  <c r="I617" i="10"/>
  <c r="H617" i="10"/>
  <c r="G617" i="10"/>
  <c r="I595" i="10"/>
  <c r="H595" i="10"/>
  <c r="G595" i="10"/>
  <c r="I570" i="10"/>
  <c r="G570" i="10"/>
  <c r="H570" i="10"/>
  <c r="I522" i="10"/>
  <c r="H522" i="10"/>
  <c r="G522" i="10"/>
  <c r="I441" i="10"/>
  <c r="G441" i="10"/>
  <c r="H441" i="10"/>
  <c r="I313" i="10"/>
  <c r="H313" i="10"/>
  <c r="G313" i="10"/>
  <c r="I158" i="10"/>
  <c r="H158" i="10"/>
  <c r="G158" i="10"/>
  <c r="I549" i="10"/>
  <c r="H549" i="10"/>
  <c r="G549" i="10"/>
  <c r="I533" i="10"/>
  <c r="G533" i="10"/>
  <c r="H533" i="10"/>
  <c r="I517" i="10"/>
  <c r="H517" i="10"/>
  <c r="G517" i="10"/>
  <c r="I501" i="10"/>
  <c r="H501" i="10"/>
  <c r="G501" i="10"/>
  <c r="I485" i="10"/>
  <c r="H485" i="10"/>
  <c r="G485" i="10"/>
  <c r="I462" i="10"/>
  <c r="G462" i="10"/>
  <c r="H462" i="10"/>
  <c r="I430" i="10"/>
  <c r="H430" i="10"/>
  <c r="G430" i="10"/>
  <c r="I398" i="10"/>
  <c r="H398" i="10"/>
  <c r="G398" i="10"/>
  <c r="I366" i="10"/>
  <c r="H366" i="10"/>
  <c r="G366" i="10"/>
  <c r="I334" i="10"/>
  <c r="G334" i="10"/>
  <c r="H334" i="10"/>
  <c r="I302" i="10"/>
  <c r="G302" i="10"/>
  <c r="H302" i="10"/>
  <c r="I270" i="10"/>
  <c r="G270" i="10"/>
  <c r="H270" i="10"/>
  <c r="I228" i="10"/>
  <c r="G228" i="10"/>
  <c r="H228" i="10"/>
  <c r="I186" i="10"/>
  <c r="H186" i="10"/>
  <c r="G186" i="10"/>
  <c r="I143" i="10"/>
  <c r="G143" i="10"/>
  <c r="H143" i="10"/>
  <c r="G100" i="10"/>
  <c r="I100" i="10"/>
  <c r="H100" i="10"/>
  <c r="I52" i="10"/>
  <c r="G52" i="10"/>
  <c r="H52" i="10"/>
  <c r="I688" i="10"/>
  <c r="G688" i="10"/>
  <c r="H688" i="10"/>
  <c r="I672" i="10"/>
  <c r="G672" i="10"/>
  <c r="H672" i="10"/>
  <c r="I656" i="10"/>
  <c r="H656" i="10"/>
  <c r="G656" i="10"/>
  <c r="I640" i="10"/>
  <c r="H640" i="10"/>
  <c r="G640" i="10"/>
  <c r="I624" i="10"/>
  <c r="H624" i="10"/>
  <c r="G624" i="10"/>
  <c r="I608" i="10"/>
  <c r="G608" i="10"/>
  <c r="H608" i="10"/>
  <c r="I592" i="10"/>
  <c r="G592" i="10"/>
  <c r="H592" i="10"/>
  <c r="I576" i="10"/>
  <c r="H576" i="10"/>
  <c r="G576" i="10"/>
  <c r="I560" i="10"/>
  <c r="G560" i="10"/>
  <c r="H560" i="10"/>
  <c r="I544" i="10"/>
  <c r="H544" i="10"/>
  <c r="G544" i="10"/>
  <c r="I528" i="10"/>
  <c r="G528" i="10"/>
  <c r="H528" i="10"/>
  <c r="I512" i="10"/>
  <c r="G512" i="10"/>
  <c r="H512" i="10"/>
  <c r="I496" i="10"/>
  <c r="G496" i="10"/>
  <c r="H496" i="10"/>
  <c r="I480" i="10"/>
  <c r="G480" i="10"/>
  <c r="H480" i="10"/>
  <c r="I453" i="10"/>
  <c r="H453" i="10"/>
  <c r="G453" i="10"/>
  <c r="I421" i="10"/>
  <c r="H421" i="10"/>
  <c r="G421" i="10"/>
  <c r="I389" i="10"/>
  <c r="G389" i="10"/>
  <c r="H389" i="10"/>
  <c r="I357" i="10"/>
  <c r="G357" i="10"/>
  <c r="H357" i="10"/>
  <c r="I325" i="10"/>
  <c r="G325" i="10"/>
  <c r="H325" i="10"/>
  <c r="I293" i="10"/>
  <c r="G293" i="10"/>
  <c r="H293" i="10"/>
  <c r="I259" i="10"/>
  <c r="H259" i="10"/>
  <c r="G259" i="10"/>
  <c r="I216" i="10"/>
  <c r="H216" i="10"/>
  <c r="G216" i="10"/>
  <c r="I174" i="10"/>
  <c r="H174" i="10"/>
  <c r="G174" i="10"/>
  <c r="I131" i="10"/>
  <c r="H131" i="10"/>
  <c r="G131" i="10"/>
  <c r="H88" i="10"/>
  <c r="G88" i="10"/>
  <c r="I88" i="10"/>
  <c r="I26" i="10"/>
  <c r="H26" i="10"/>
  <c r="G26" i="10"/>
  <c r="I567" i="10"/>
  <c r="G567" i="10"/>
  <c r="H567" i="10"/>
  <c r="I551" i="10"/>
  <c r="H551" i="10"/>
  <c r="G551" i="10"/>
  <c r="I535" i="10"/>
  <c r="G535" i="10"/>
  <c r="H535" i="10"/>
  <c r="I519" i="10"/>
  <c r="G519" i="10"/>
  <c r="H519" i="10"/>
  <c r="I503" i="10"/>
  <c r="G503" i="10"/>
  <c r="H503" i="10"/>
  <c r="I487" i="10"/>
  <c r="H487" i="10"/>
  <c r="G487" i="10"/>
  <c r="I466" i="10"/>
  <c r="H466" i="10"/>
  <c r="G466" i="10"/>
  <c r="I434" i="10"/>
  <c r="H434" i="10"/>
  <c r="G434" i="10"/>
  <c r="I402" i="10"/>
  <c r="H402" i="10"/>
  <c r="G402" i="10"/>
  <c r="I370" i="10"/>
  <c r="H370" i="10"/>
  <c r="G370" i="10"/>
  <c r="I338" i="10"/>
  <c r="H338" i="10"/>
  <c r="G338" i="10"/>
  <c r="I306" i="10"/>
  <c r="H306" i="10"/>
  <c r="G306" i="10"/>
  <c r="I274" i="10"/>
  <c r="H274" i="10"/>
  <c r="G274" i="10"/>
  <c r="I234" i="10"/>
  <c r="H234" i="10"/>
  <c r="G234" i="10"/>
  <c r="I191" i="10"/>
  <c r="G191" i="10"/>
  <c r="H191" i="10"/>
  <c r="I148" i="10"/>
  <c r="H148" i="10"/>
  <c r="G148" i="10"/>
  <c r="I106" i="10"/>
  <c r="G106" i="10"/>
  <c r="H106" i="10"/>
  <c r="I63" i="10"/>
  <c r="H63" i="10"/>
  <c r="G63" i="10"/>
  <c r="H51" i="10"/>
  <c r="G51" i="10"/>
  <c r="I51" i="10"/>
  <c r="I30" i="10"/>
  <c r="H30" i="10"/>
  <c r="G30" i="10"/>
  <c r="I456" i="10"/>
  <c r="G456" i="10"/>
  <c r="H456" i="10"/>
  <c r="I440" i="10"/>
  <c r="H440" i="10"/>
  <c r="G440" i="10"/>
  <c r="I424" i="10"/>
  <c r="H424" i="10"/>
  <c r="G424" i="10"/>
  <c r="I408" i="10"/>
  <c r="H408" i="10"/>
  <c r="G408" i="10"/>
  <c r="I392" i="10"/>
  <c r="G392" i="10"/>
  <c r="H392" i="10"/>
  <c r="I376" i="10"/>
  <c r="G376" i="10"/>
  <c r="H376" i="10"/>
  <c r="I360" i="10"/>
  <c r="H360" i="10"/>
  <c r="G360" i="10"/>
  <c r="I344" i="10"/>
  <c r="H344" i="10"/>
  <c r="G344" i="10"/>
  <c r="I328" i="10"/>
  <c r="H328" i="10"/>
  <c r="G328" i="10"/>
  <c r="I312" i="10"/>
  <c r="H312" i="10"/>
  <c r="G312" i="10"/>
  <c r="I296" i="10"/>
  <c r="H296" i="10"/>
  <c r="G296" i="10"/>
  <c r="I280" i="10"/>
  <c r="G280" i="10"/>
  <c r="H280" i="10"/>
  <c r="I263" i="10"/>
  <c r="G263" i="10"/>
  <c r="H263" i="10"/>
  <c r="I242" i="10"/>
  <c r="H242" i="10"/>
  <c r="G242" i="10"/>
  <c r="I220" i="10"/>
  <c r="H220" i="10"/>
  <c r="G220" i="10"/>
  <c r="I199" i="10"/>
  <c r="G199" i="10"/>
  <c r="H199" i="10"/>
  <c r="I178" i="10"/>
  <c r="H178" i="10"/>
  <c r="G178" i="10"/>
  <c r="I156" i="10"/>
  <c r="H156" i="10"/>
  <c r="G156" i="10"/>
  <c r="I135" i="10"/>
  <c r="G135" i="10"/>
  <c r="H135" i="10"/>
  <c r="I114" i="10"/>
  <c r="G114" i="10"/>
  <c r="H114" i="10"/>
  <c r="I92" i="10"/>
  <c r="H92" i="10"/>
  <c r="G92" i="10"/>
  <c r="I71" i="10"/>
  <c r="G71" i="10"/>
  <c r="H71" i="10"/>
  <c r="I50" i="10"/>
  <c r="H50" i="10"/>
  <c r="G50" i="10"/>
  <c r="I28" i="10"/>
  <c r="G28" i="10"/>
  <c r="H28" i="10"/>
  <c r="I467" i="10"/>
  <c r="H467" i="10"/>
  <c r="G467" i="10"/>
  <c r="I451" i="10"/>
  <c r="H451" i="10"/>
  <c r="G451" i="10"/>
  <c r="I435" i="10"/>
  <c r="G435" i="10"/>
  <c r="H435" i="10"/>
  <c r="I419" i="10"/>
  <c r="G419" i="10"/>
  <c r="H419" i="10"/>
  <c r="I403" i="10"/>
  <c r="G403" i="10"/>
  <c r="H403" i="10"/>
  <c r="G387" i="10"/>
  <c r="I387" i="10"/>
  <c r="H387" i="10"/>
  <c r="I371" i="10"/>
  <c r="G371" i="10"/>
  <c r="H371" i="10"/>
  <c r="I355" i="10"/>
  <c r="H355" i="10"/>
  <c r="G355" i="10"/>
  <c r="I339" i="10"/>
  <c r="H339" i="10"/>
  <c r="G339" i="10"/>
  <c r="I323" i="10"/>
  <c r="H323" i="10"/>
  <c r="G323" i="10"/>
  <c r="I307" i="10"/>
  <c r="H307" i="10"/>
  <c r="G307" i="10"/>
  <c r="I291" i="10"/>
  <c r="H291" i="10"/>
  <c r="G291" i="10"/>
  <c r="I275" i="10"/>
  <c r="H275" i="10"/>
  <c r="G275" i="10"/>
  <c r="I256" i="10"/>
  <c r="G256" i="10"/>
  <c r="H256" i="10"/>
  <c r="I235" i="10"/>
  <c r="H235" i="10"/>
  <c r="G235" i="10"/>
  <c r="I214" i="10"/>
  <c r="H214" i="10"/>
  <c r="G214" i="10"/>
  <c r="I192" i="10"/>
  <c r="H192" i="10"/>
  <c r="G192" i="10"/>
  <c r="I171" i="10"/>
  <c r="G171" i="10"/>
  <c r="H171" i="10"/>
  <c r="I150" i="10"/>
  <c r="G150" i="10"/>
  <c r="H150" i="10"/>
  <c r="I128" i="10"/>
  <c r="G128" i="10"/>
  <c r="H128" i="10"/>
  <c r="I107" i="10"/>
  <c r="H107" i="10"/>
  <c r="G107" i="10"/>
  <c r="I86" i="10"/>
  <c r="H86" i="10"/>
  <c r="G86" i="10"/>
  <c r="I64" i="10"/>
  <c r="G64" i="10"/>
  <c r="H64" i="10"/>
  <c r="H43" i="10"/>
  <c r="I43" i="10"/>
  <c r="G43" i="10"/>
  <c r="I265" i="10"/>
  <c r="H265" i="10"/>
  <c r="G265" i="10"/>
  <c r="I249" i="10"/>
  <c r="H249" i="10"/>
  <c r="G249" i="10"/>
  <c r="I233" i="10"/>
  <c r="H233" i="10"/>
  <c r="G233" i="10"/>
  <c r="I217" i="10"/>
  <c r="H217" i="10"/>
  <c r="G217" i="10"/>
  <c r="I201" i="10"/>
  <c r="H201" i="10"/>
  <c r="G201" i="10"/>
  <c r="I185" i="10"/>
  <c r="H185" i="10"/>
  <c r="G185" i="10"/>
  <c r="I169" i="10"/>
  <c r="H169" i="10"/>
  <c r="G169" i="10"/>
  <c r="I153" i="10"/>
  <c r="H153" i="10"/>
  <c r="G153" i="10"/>
  <c r="I137" i="10"/>
  <c r="H137" i="10"/>
  <c r="G137" i="10"/>
  <c r="I121" i="10"/>
  <c r="H121" i="10"/>
  <c r="G121" i="10"/>
  <c r="G105" i="10"/>
  <c r="I105" i="10"/>
  <c r="H105" i="10"/>
  <c r="G89" i="10"/>
  <c r="I89" i="10"/>
  <c r="H89" i="10"/>
  <c r="H73" i="10"/>
  <c r="I73" i="10"/>
  <c r="G73" i="10"/>
  <c r="I57" i="10"/>
  <c r="H57" i="10"/>
  <c r="G57" i="10"/>
  <c r="I41" i="10"/>
  <c r="H41" i="10"/>
  <c r="G41" i="10"/>
  <c r="H25" i="10"/>
  <c r="I25" i="10"/>
  <c r="G25" i="10"/>
  <c r="I518" i="10"/>
  <c r="H518" i="10"/>
  <c r="G518" i="10"/>
  <c r="I658" i="10"/>
  <c r="G658" i="10"/>
  <c r="H658" i="10"/>
  <c r="I190" i="10"/>
  <c r="H190" i="10"/>
  <c r="G190" i="10"/>
  <c r="I599" i="10"/>
  <c r="G599" i="10"/>
  <c r="H599" i="10"/>
  <c r="I685" i="10"/>
  <c r="H685" i="10"/>
  <c r="G685" i="10"/>
  <c r="I502" i="10"/>
  <c r="G502" i="10"/>
  <c r="H502" i="10"/>
  <c r="I631" i="10"/>
  <c r="G631" i="10"/>
  <c r="H631" i="10"/>
  <c r="I534" i="10"/>
  <c r="G534" i="10"/>
  <c r="H534" i="10"/>
  <c r="I683" i="10"/>
  <c r="H683" i="10"/>
  <c r="G683" i="10"/>
  <c r="I662" i="10"/>
  <c r="G662" i="10"/>
  <c r="H662" i="10"/>
  <c r="I641" i="10"/>
  <c r="G641" i="10"/>
  <c r="H641" i="10"/>
  <c r="I619" i="10"/>
  <c r="H619" i="10"/>
  <c r="G619" i="10"/>
  <c r="I598" i="10"/>
  <c r="H598" i="10"/>
  <c r="G598" i="10"/>
  <c r="I574" i="10"/>
  <c r="G574" i="10"/>
  <c r="H574" i="10"/>
  <c r="I530" i="10"/>
  <c r="G530" i="10"/>
  <c r="H530" i="10"/>
  <c r="I457" i="10"/>
  <c r="H457" i="10"/>
  <c r="G457" i="10"/>
  <c r="I329" i="10"/>
  <c r="H329" i="10"/>
  <c r="G329" i="10"/>
  <c r="I179" i="10"/>
  <c r="G179" i="10"/>
  <c r="H179" i="10"/>
  <c r="I693" i="10"/>
  <c r="H693" i="10"/>
  <c r="G693" i="10"/>
  <c r="I671" i="10"/>
  <c r="H671" i="10"/>
  <c r="G671" i="10"/>
  <c r="I650" i="10"/>
  <c r="H650" i="10"/>
  <c r="G650" i="10"/>
  <c r="I629" i="10"/>
  <c r="G629" i="10"/>
  <c r="H629" i="10"/>
  <c r="I607" i="10"/>
  <c r="G607" i="10"/>
  <c r="H607" i="10"/>
  <c r="I586" i="10"/>
  <c r="G586" i="10"/>
  <c r="H586" i="10"/>
  <c r="I557" i="10"/>
  <c r="G557" i="10"/>
  <c r="H557" i="10"/>
  <c r="I494" i="10"/>
  <c r="H494" i="10"/>
  <c r="G494" i="10"/>
  <c r="I385" i="10"/>
  <c r="G385" i="10"/>
  <c r="H385" i="10"/>
  <c r="I254" i="10"/>
  <c r="H254" i="10"/>
  <c r="G254" i="10"/>
  <c r="I83" i="10"/>
  <c r="H83" i="10"/>
  <c r="G83" i="10"/>
  <c r="I675" i="10"/>
  <c r="H675" i="10"/>
  <c r="G675" i="10"/>
  <c r="I654" i="10"/>
  <c r="G654" i="10"/>
  <c r="H654" i="10"/>
  <c r="I633" i="10"/>
  <c r="G633" i="10"/>
  <c r="H633" i="10"/>
  <c r="I611" i="10"/>
  <c r="H611" i="10"/>
  <c r="G611" i="10"/>
  <c r="I590" i="10"/>
  <c r="G590" i="10"/>
  <c r="H590" i="10"/>
  <c r="I562" i="10"/>
  <c r="G562" i="10"/>
  <c r="H562" i="10"/>
  <c r="I506" i="10"/>
  <c r="H506" i="10"/>
  <c r="G506" i="10"/>
  <c r="I409" i="10"/>
  <c r="G409" i="10"/>
  <c r="H409" i="10"/>
  <c r="I281" i="10"/>
  <c r="H281" i="10"/>
  <c r="G281" i="10"/>
  <c r="I115" i="10"/>
  <c r="H115" i="10"/>
  <c r="G115" i="10"/>
  <c r="I545" i="10"/>
  <c r="G545" i="10"/>
  <c r="H545" i="10"/>
  <c r="I529" i="10"/>
  <c r="H529" i="10"/>
  <c r="G529" i="10"/>
  <c r="I513" i="10"/>
  <c r="H513" i="10"/>
  <c r="G513" i="10"/>
  <c r="I497" i="10"/>
  <c r="H497" i="10"/>
  <c r="G497" i="10"/>
  <c r="I481" i="10"/>
  <c r="H481" i="10"/>
  <c r="G481" i="10"/>
  <c r="I454" i="10"/>
  <c r="H454" i="10"/>
  <c r="G454" i="10"/>
  <c r="I422" i="10"/>
  <c r="G422" i="10"/>
  <c r="H422" i="10"/>
  <c r="I390" i="10"/>
  <c r="G390" i="10"/>
  <c r="H390" i="10"/>
  <c r="I358" i="10"/>
  <c r="H358" i="10"/>
  <c r="G358" i="10"/>
  <c r="I326" i="10"/>
  <c r="H326" i="10"/>
  <c r="G326" i="10"/>
  <c r="I294" i="10"/>
  <c r="G294" i="10"/>
  <c r="H294" i="10"/>
  <c r="I260" i="10"/>
  <c r="G260" i="10"/>
  <c r="H260" i="10"/>
  <c r="I218" i="10"/>
  <c r="G218" i="10"/>
  <c r="H218" i="10"/>
  <c r="I175" i="10"/>
  <c r="G175" i="10"/>
  <c r="H175" i="10"/>
  <c r="I132" i="10"/>
  <c r="H132" i="10"/>
  <c r="G132" i="10"/>
  <c r="G90" i="10"/>
  <c r="I90" i="10"/>
  <c r="H90" i="10"/>
  <c r="I31" i="10"/>
  <c r="H31" i="10"/>
  <c r="G31" i="10"/>
  <c r="I684" i="10"/>
  <c r="G684" i="10"/>
  <c r="H684" i="10"/>
  <c r="I668" i="10"/>
  <c r="G668" i="10"/>
  <c r="H668" i="10"/>
  <c r="I652" i="10"/>
  <c r="H652" i="10"/>
  <c r="G652" i="10"/>
  <c r="I636" i="10"/>
  <c r="H636" i="10"/>
  <c r="G636" i="10"/>
  <c r="I620" i="10"/>
  <c r="H620" i="10"/>
  <c r="G620" i="10"/>
  <c r="I604" i="10"/>
  <c r="H604" i="10"/>
  <c r="G604" i="10"/>
  <c r="I588" i="10"/>
  <c r="H588" i="10"/>
  <c r="G588" i="10"/>
  <c r="I572" i="10"/>
  <c r="H572" i="10"/>
  <c r="G572" i="10"/>
  <c r="I556" i="10"/>
  <c r="G556" i="10"/>
  <c r="H556" i="10"/>
  <c r="I540" i="10"/>
  <c r="G540" i="10"/>
  <c r="H540" i="10"/>
  <c r="I524" i="10"/>
  <c r="G524" i="10"/>
  <c r="H524" i="10"/>
  <c r="I508" i="10"/>
  <c r="G508" i="10"/>
  <c r="H508" i="10"/>
  <c r="I492" i="10"/>
  <c r="G492" i="10"/>
  <c r="H492" i="10"/>
  <c r="I474" i="10"/>
  <c r="H474" i="10"/>
  <c r="G474" i="10"/>
  <c r="I445" i="10"/>
  <c r="H445" i="10"/>
  <c r="G445" i="10"/>
  <c r="I413" i="10"/>
  <c r="H413" i="10"/>
  <c r="G413" i="10"/>
  <c r="I381" i="10"/>
  <c r="H381" i="10"/>
  <c r="G381" i="10"/>
  <c r="I349" i="10"/>
  <c r="G349" i="10"/>
  <c r="H349" i="10"/>
  <c r="I317" i="10"/>
  <c r="G317" i="10"/>
  <c r="H317" i="10"/>
  <c r="I285" i="10"/>
  <c r="H285" i="10"/>
  <c r="G285" i="10"/>
  <c r="I248" i="10"/>
  <c r="G248" i="10"/>
  <c r="H248" i="10"/>
  <c r="I206" i="10"/>
  <c r="H206" i="10"/>
  <c r="G206" i="10"/>
  <c r="I163" i="10"/>
  <c r="G163" i="10"/>
  <c r="H163" i="10"/>
  <c r="I120" i="10"/>
  <c r="G120" i="10"/>
  <c r="H120" i="10"/>
  <c r="G78" i="10"/>
  <c r="I78" i="10"/>
  <c r="H78" i="10"/>
  <c r="I579" i="10"/>
  <c r="H579" i="10"/>
  <c r="G579" i="10"/>
  <c r="I563" i="10"/>
  <c r="H563" i="10"/>
  <c r="G563" i="10"/>
  <c r="I547" i="10"/>
  <c r="G547" i="10"/>
  <c r="H547" i="10"/>
  <c r="I531" i="10"/>
  <c r="G531" i="10"/>
  <c r="H531" i="10"/>
  <c r="I515" i="10"/>
  <c r="H515" i="10"/>
  <c r="G515" i="10"/>
  <c r="I499" i="10"/>
  <c r="H499" i="10"/>
  <c r="G499" i="10"/>
  <c r="I483" i="10"/>
  <c r="H483" i="10"/>
  <c r="G483" i="10"/>
  <c r="I458" i="10"/>
  <c r="G458" i="10"/>
  <c r="H458" i="10"/>
  <c r="I426" i="10"/>
  <c r="H426" i="10"/>
  <c r="G426" i="10"/>
  <c r="I394" i="10"/>
  <c r="H394" i="10"/>
  <c r="G394" i="10"/>
  <c r="I362" i="10"/>
  <c r="H362" i="10"/>
  <c r="G362" i="10"/>
  <c r="I330" i="10"/>
  <c r="H330" i="10"/>
  <c r="G330" i="10"/>
  <c r="I298" i="10"/>
  <c r="H298" i="10"/>
  <c r="G298" i="10"/>
  <c r="I266" i="10"/>
  <c r="H266" i="10"/>
  <c r="G266" i="10"/>
  <c r="I223" i="10"/>
  <c r="G223" i="10"/>
  <c r="H223" i="10"/>
  <c r="I180" i="10"/>
  <c r="G180" i="10"/>
  <c r="H180" i="10"/>
  <c r="I138" i="10"/>
  <c r="G138" i="10"/>
  <c r="H138" i="10"/>
  <c r="I95" i="10"/>
  <c r="H95" i="10"/>
  <c r="G95" i="10"/>
  <c r="G42" i="10"/>
  <c r="I42" i="10"/>
  <c r="H42" i="10"/>
  <c r="H46" i="10"/>
  <c r="I46" i="10"/>
  <c r="G46" i="10"/>
  <c r="I468" i="10"/>
  <c r="H468" i="10"/>
  <c r="G468" i="10"/>
  <c r="I452" i="10"/>
  <c r="G452" i="10"/>
  <c r="H452" i="10"/>
  <c r="I436" i="10"/>
  <c r="H436" i="10"/>
  <c r="G436" i="10"/>
  <c r="I420" i="10"/>
  <c r="H420" i="10"/>
  <c r="G420" i="10"/>
  <c r="I404" i="10"/>
  <c r="H404" i="10"/>
  <c r="G404" i="10"/>
  <c r="I388" i="10"/>
  <c r="H388" i="10"/>
  <c r="G388" i="10"/>
  <c r="I372" i="10"/>
  <c r="G372" i="10"/>
  <c r="H372" i="10"/>
  <c r="I356" i="10"/>
  <c r="H356" i="10"/>
  <c r="G356" i="10"/>
  <c r="I340" i="10"/>
  <c r="H340" i="10"/>
  <c r="G340" i="10"/>
  <c r="I324" i="10"/>
  <c r="H324" i="10"/>
  <c r="G324" i="10"/>
  <c r="I308" i="10"/>
  <c r="H308" i="10"/>
  <c r="G308" i="10"/>
  <c r="I292" i="10"/>
  <c r="H292" i="10"/>
  <c r="G292" i="10"/>
  <c r="I276" i="10"/>
  <c r="G276" i="10"/>
  <c r="H276" i="10"/>
  <c r="I258" i="10"/>
  <c r="H258" i="10"/>
  <c r="G258" i="10"/>
  <c r="I236" i="10"/>
  <c r="G236" i="10"/>
  <c r="H236" i="10"/>
  <c r="I215" i="10"/>
  <c r="G215" i="10"/>
  <c r="H215" i="10"/>
  <c r="I194" i="10"/>
  <c r="G194" i="10"/>
  <c r="H194" i="10"/>
  <c r="I172" i="10"/>
  <c r="H172" i="10"/>
  <c r="G172" i="10"/>
  <c r="I151" i="10"/>
  <c r="G151" i="10"/>
  <c r="H151" i="10"/>
  <c r="I130" i="10"/>
  <c r="H130" i="10"/>
  <c r="G130" i="10"/>
  <c r="I108" i="10"/>
  <c r="H108" i="10"/>
  <c r="G108" i="10"/>
  <c r="I87" i="10"/>
  <c r="H87" i="10"/>
  <c r="G87" i="10"/>
  <c r="I66" i="10"/>
  <c r="H66" i="10"/>
  <c r="G66" i="10"/>
  <c r="G44" i="10"/>
  <c r="I44" i="10"/>
  <c r="H44" i="10"/>
  <c r="I479" i="10"/>
  <c r="G479" i="10"/>
  <c r="H479" i="10"/>
  <c r="I463" i="10"/>
  <c r="G463" i="10"/>
  <c r="H463" i="10"/>
  <c r="I447" i="10"/>
  <c r="G447" i="10"/>
  <c r="H447" i="10"/>
  <c r="I431" i="10"/>
  <c r="H431" i="10"/>
  <c r="G431" i="10"/>
  <c r="I415" i="10"/>
  <c r="G415" i="10"/>
  <c r="H415" i="10"/>
  <c r="I399" i="10"/>
  <c r="G399" i="10"/>
  <c r="H399" i="10"/>
  <c r="I383" i="10"/>
  <c r="G383" i="10"/>
  <c r="H383" i="10"/>
  <c r="I367" i="10"/>
  <c r="H367" i="10"/>
  <c r="G367" i="10"/>
  <c r="I351" i="10"/>
  <c r="H351" i="10"/>
  <c r="G351" i="10"/>
  <c r="I335" i="10"/>
  <c r="H335" i="10"/>
  <c r="G335" i="10"/>
  <c r="I319" i="10"/>
  <c r="H319" i="10"/>
  <c r="G319" i="10"/>
  <c r="I303" i="10"/>
  <c r="H303" i="10"/>
  <c r="G303" i="10"/>
  <c r="I287" i="10"/>
  <c r="H287" i="10"/>
  <c r="G287" i="10"/>
  <c r="I271" i="10"/>
  <c r="H271" i="10"/>
  <c r="G271" i="10"/>
  <c r="I251" i="10"/>
  <c r="H251" i="10"/>
  <c r="G251" i="10"/>
  <c r="I230" i="10"/>
  <c r="H230" i="10"/>
  <c r="G230" i="10"/>
  <c r="I208" i="10"/>
  <c r="H208" i="10"/>
  <c r="G208" i="10"/>
  <c r="I187" i="10"/>
  <c r="G187" i="10"/>
  <c r="H187" i="10"/>
  <c r="I166" i="10"/>
  <c r="H166" i="10"/>
  <c r="G166" i="10"/>
  <c r="I144" i="10"/>
  <c r="G144" i="10"/>
  <c r="H144" i="10"/>
  <c r="I123" i="10"/>
  <c r="H123" i="10"/>
  <c r="G123" i="10"/>
  <c r="I102" i="10"/>
  <c r="H102" i="10"/>
  <c r="G102" i="10"/>
  <c r="I80" i="10"/>
  <c r="H80" i="10"/>
  <c r="G80" i="10"/>
  <c r="H59" i="10"/>
  <c r="I59" i="10"/>
  <c r="G59" i="10"/>
  <c r="H38" i="10"/>
  <c r="I38" i="10"/>
  <c r="G38" i="10"/>
  <c r="I261" i="10"/>
  <c r="G261" i="10"/>
  <c r="H261" i="10"/>
  <c r="I245" i="10"/>
  <c r="G245" i="10"/>
  <c r="H245" i="10"/>
  <c r="I229" i="10"/>
  <c r="G229" i="10"/>
  <c r="H229" i="10"/>
  <c r="I213" i="10"/>
  <c r="G213" i="10"/>
  <c r="H213" i="10"/>
  <c r="I197" i="10"/>
  <c r="G197" i="10"/>
  <c r="H197" i="10"/>
  <c r="I181" i="10"/>
  <c r="G181" i="10"/>
  <c r="H181" i="10"/>
  <c r="I165" i="10"/>
  <c r="G165" i="10"/>
  <c r="H165" i="10"/>
  <c r="I149" i="10"/>
  <c r="G149" i="10"/>
  <c r="H149" i="10"/>
  <c r="I133" i="10"/>
  <c r="H133" i="10"/>
  <c r="G133" i="10"/>
  <c r="I117" i="10"/>
  <c r="H117" i="10"/>
  <c r="G117" i="10"/>
  <c r="I101" i="10"/>
  <c r="H101" i="10"/>
  <c r="G101" i="10"/>
  <c r="I85" i="10"/>
  <c r="H85" i="10"/>
  <c r="G85" i="10"/>
  <c r="I69" i="10"/>
  <c r="H69" i="10"/>
  <c r="G69" i="10"/>
  <c r="I53" i="10"/>
  <c r="H53" i="10"/>
  <c r="G53" i="10"/>
  <c r="I37" i="10"/>
  <c r="H37" i="10"/>
  <c r="G37" i="10"/>
  <c r="I569" i="10"/>
  <c r="G569" i="10"/>
  <c r="H569" i="10"/>
  <c r="I679" i="10"/>
  <c r="H679" i="10"/>
  <c r="G679" i="10"/>
  <c r="I337" i="10"/>
  <c r="H337" i="10"/>
  <c r="G337" i="10"/>
  <c r="I621" i="10"/>
  <c r="H621" i="10"/>
  <c r="G621" i="10"/>
  <c r="I561" i="10"/>
  <c r="H561" i="10"/>
  <c r="G561" i="10"/>
  <c r="I653" i="10"/>
  <c r="H653" i="10"/>
  <c r="G653" i="10"/>
  <c r="H687" i="6"/>
  <c r="G58" i="10"/>
  <c r="I58" i="10"/>
  <c r="H58" i="10"/>
  <c r="I232" i="10"/>
  <c r="H232" i="10"/>
  <c r="G232" i="10"/>
  <c r="I669" i="10"/>
  <c r="H669" i="10"/>
  <c r="G669" i="10"/>
  <c r="I678" i="10"/>
  <c r="G678" i="10"/>
  <c r="H678" i="10"/>
  <c r="I614" i="10"/>
  <c r="G614" i="10"/>
  <c r="H614" i="10"/>
  <c r="I566" i="10"/>
  <c r="G566" i="10"/>
  <c r="H566" i="10"/>
  <c r="I425" i="10"/>
  <c r="G425" i="10"/>
  <c r="H425" i="10"/>
  <c r="I136" i="10"/>
  <c r="G136" i="10"/>
  <c r="H136" i="10"/>
  <c r="I666" i="10"/>
  <c r="G666" i="10"/>
  <c r="H666" i="10"/>
  <c r="I623" i="10"/>
  <c r="H623" i="10"/>
  <c r="G623" i="10"/>
  <c r="I602" i="10"/>
  <c r="H602" i="10"/>
  <c r="G602" i="10"/>
  <c r="I542" i="10"/>
  <c r="G542" i="10"/>
  <c r="H542" i="10"/>
  <c r="I477" i="10"/>
  <c r="H477" i="10"/>
  <c r="G477" i="10"/>
  <c r="I353" i="10"/>
  <c r="H353" i="10"/>
  <c r="G353" i="10"/>
  <c r="I211" i="10"/>
  <c r="G211" i="10"/>
  <c r="H211" i="10"/>
  <c r="I691" i="10"/>
  <c r="H691" i="10"/>
  <c r="G691" i="10"/>
  <c r="I670" i="10"/>
  <c r="G670" i="10"/>
  <c r="H670" i="10"/>
  <c r="I649" i="10"/>
  <c r="H649" i="10"/>
  <c r="G649" i="10"/>
  <c r="I627" i="10"/>
  <c r="H627" i="10"/>
  <c r="G627" i="10"/>
  <c r="I606" i="10"/>
  <c r="G606" i="10"/>
  <c r="H606" i="10"/>
  <c r="I585" i="10"/>
  <c r="G585" i="10"/>
  <c r="H585" i="10"/>
  <c r="I554" i="10"/>
  <c r="G554" i="10"/>
  <c r="H554" i="10"/>
  <c r="I377" i="10"/>
  <c r="G377" i="10"/>
  <c r="H377" i="10"/>
  <c r="I243" i="10"/>
  <c r="H243" i="10"/>
  <c r="G243" i="10"/>
  <c r="G72" i="10"/>
  <c r="I72" i="10"/>
  <c r="H72" i="10"/>
  <c r="I541" i="10"/>
  <c r="G541" i="10"/>
  <c r="H541" i="10"/>
  <c r="I525" i="10"/>
  <c r="G525" i="10"/>
  <c r="H525" i="10"/>
  <c r="I509" i="10"/>
  <c r="H509" i="10"/>
  <c r="G509" i="10"/>
  <c r="I493" i="10"/>
  <c r="H493" i="10"/>
  <c r="G493" i="10"/>
  <c r="I476" i="10"/>
  <c r="H476" i="10"/>
  <c r="G476" i="10"/>
  <c r="I446" i="10"/>
  <c r="G446" i="10"/>
  <c r="H446" i="10"/>
  <c r="I414" i="10"/>
  <c r="G414" i="10"/>
  <c r="H414" i="10"/>
  <c r="I382" i="10"/>
  <c r="G382" i="10"/>
  <c r="H382" i="10"/>
  <c r="I350" i="10"/>
  <c r="G350" i="10"/>
  <c r="H350" i="10"/>
  <c r="I318" i="10"/>
  <c r="G318" i="10"/>
  <c r="H318" i="10"/>
  <c r="I286" i="10"/>
  <c r="H286" i="10"/>
  <c r="G286" i="10"/>
  <c r="I250" i="10"/>
  <c r="H250" i="10"/>
  <c r="G250" i="10"/>
  <c r="I207" i="10"/>
  <c r="G207" i="10"/>
  <c r="H207" i="10"/>
  <c r="I164" i="10"/>
  <c r="G164" i="10"/>
  <c r="H164" i="10"/>
  <c r="I122" i="10"/>
  <c r="G122" i="10"/>
  <c r="H122" i="10"/>
  <c r="I79" i="10"/>
  <c r="G79" i="10"/>
  <c r="H79" i="10"/>
  <c r="G24" i="10"/>
  <c r="H24" i="10"/>
  <c r="I24" i="10"/>
  <c r="F687" i="6"/>
  <c r="F13" i="6" s="1"/>
  <c r="I680" i="10"/>
  <c r="G680" i="10"/>
  <c r="H680" i="10"/>
  <c r="I664" i="10"/>
  <c r="G664" i="10"/>
  <c r="H664" i="10"/>
  <c r="I648" i="10"/>
  <c r="H648" i="10"/>
  <c r="G648" i="10"/>
  <c r="I632" i="10"/>
  <c r="H632" i="10"/>
  <c r="G632" i="10"/>
  <c r="I616" i="10"/>
  <c r="G616" i="10"/>
  <c r="H616" i="10"/>
  <c r="I600" i="10"/>
  <c r="H600" i="10"/>
  <c r="G600" i="10"/>
  <c r="I584" i="10"/>
  <c r="H584" i="10"/>
  <c r="G584" i="10"/>
  <c r="I568" i="10"/>
  <c r="G568" i="10"/>
  <c r="H568" i="10"/>
  <c r="I552" i="10"/>
  <c r="H552" i="10"/>
  <c r="G552" i="10"/>
  <c r="I536" i="10"/>
  <c r="G536" i="10"/>
  <c r="H536" i="10"/>
  <c r="I520" i="10"/>
  <c r="G520" i="10"/>
  <c r="H520" i="10"/>
  <c r="I504" i="10"/>
  <c r="G504" i="10"/>
  <c r="H504" i="10"/>
  <c r="I488" i="10"/>
  <c r="G488" i="10"/>
  <c r="H488" i="10"/>
  <c r="I469" i="10"/>
  <c r="H469" i="10"/>
  <c r="G469" i="10"/>
  <c r="I437" i="10"/>
  <c r="G437" i="10"/>
  <c r="H437" i="10"/>
  <c r="I405" i="10"/>
  <c r="G405" i="10"/>
  <c r="H405" i="10"/>
  <c r="I373" i="10"/>
  <c r="G373" i="10"/>
  <c r="H373" i="10"/>
  <c r="I341" i="10"/>
  <c r="G341" i="10"/>
  <c r="H341" i="10"/>
  <c r="I309" i="10"/>
  <c r="G309" i="10"/>
  <c r="H309" i="10"/>
  <c r="I277" i="10"/>
  <c r="G277" i="10"/>
  <c r="H277" i="10"/>
  <c r="I238" i="10"/>
  <c r="G238" i="10"/>
  <c r="H238" i="10"/>
  <c r="I195" i="10"/>
  <c r="G195" i="10"/>
  <c r="H195" i="10"/>
  <c r="I152" i="10"/>
  <c r="G152" i="10"/>
  <c r="H152" i="10"/>
  <c r="H110" i="10"/>
  <c r="G110" i="10"/>
  <c r="I110" i="10"/>
  <c r="H67" i="10"/>
  <c r="G67" i="10"/>
  <c r="I67" i="10"/>
  <c r="I575" i="10"/>
  <c r="H575" i="10"/>
  <c r="G575" i="10"/>
  <c r="I559" i="10"/>
  <c r="G559" i="10"/>
  <c r="H559" i="10"/>
  <c r="I543" i="10"/>
  <c r="G543" i="10"/>
  <c r="H543" i="10"/>
  <c r="I527" i="10"/>
  <c r="H527" i="10"/>
  <c r="G527" i="10"/>
  <c r="I511" i="10"/>
  <c r="G511" i="10"/>
  <c r="H511" i="10"/>
  <c r="I495" i="10"/>
  <c r="G495" i="10"/>
  <c r="H495" i="10"/>
  <c r="I478" i="10"/>
  <c r="G478" i="10"/>
  <c r="H478" i="10"/>
  <c r="I450" i="10"/>
  <c r="G450" i="10"/>
  <c r="H450" i="10"/>
  <c r="I418" i="10"/>
  <c r="H418" i="10"/>
  <c r="G418" i="10"/>
  <c r="I386" i="10"/>
  <c r="H386" i="10"/>
  <c r="G386" i="10"/>
  <c r="I354" i="10"/>
  <c r="H354" i="10"/>
  <c r="G354" i="10"/>
  <c r="I322" i="10"/>
  <c r="H322" i="10"/>
  <c r="G322" i="10"/>
  <c r="I290" i="10"/>
  <c r="H290" i="10"/>
  <c r="G290" i="10"/>
  <c r="I255" i="10"/>
  <c r="G255" i="10"/>
  <c r="H255" i="10"/>
  <c r="I212" i="10"/>
  <c r="G212" i="10"/>
  <c r="H212" i="10"/>
  <c r="I170" i="10"/>
  <c r="H170" i="10"/>
  <c r="G170" i="10"/>
  <c r="I127" i="10"/>
  <c r="H127" i="10"/>
  <c r="G127" i="10"/>
  <c r="G84" i="10"/>
  <c r="I84" i="10"/>
  <c r="H84" i="10"/>
  <c r="H62" i="10"/>
  <c r="I62" i="10"/>
  <c r="G62" i="10"/>
  <c r="G40" i="10"/>
  <c r="H40" i="10"/>
  <c r="I40" i="10"/>
  <c r="I464" i="10"/>
  <c r="H464" i="10"/>
  <c r="G464" i="10"/>
  <c r="I448" i="10"/>
  <c r="G448" i="10"/>
  <c r="H448" i="10"/>
  <c r="I432" i="10"/>
  <c r="H432" i="10"/>
  <c r="G432" i="10"/>
  <c r="I416" i="10"/>
  <c r="H416" i="10"/>
  <c r="G416" i="10"/>
  <c r="I400" i="10"/>
  <c r="G400" i="10"/>
  <c r="H400" i="10"/>
  <c r="I384" i="10"/>
  <c r="G384" i="10"/>
  <c r="H384" i="10"/>
  <c r="I368" i="10"/>
  <c r="H368" i="10"/>
  <c r="G368" i="10"/>
  <c r="I352" i="10"/>
  <c r="H352" i="10"/>
  <c r="G352" i="10"/>
  <c r="I336" i="10"/>
  <c r="H336" i="10"/>
  <c r="G336" i="10"/>
  <c r="I320" i="10"/>
  <c r="H320" i="10"/>
  <c r="G320" i="10"/>
  <c r="I304" i="10"/>
  <c r="H304" i="10"/>
  <c r="G304" i="10"/>
  <c r="I288" i="10"/>
  <c r="G288" i="10"/>
  <c r="H288" i="10"/>
  <c r="I272" i="10"/>
  <c r="G272" i="10"/>
  <c r="H272" i="10"/>
  <c r="I252" i="10"/>
  <c r="H252" i="10"/>
  <c r="G252" i="10"/>
  <c r="I231" i="10"/>
  <c r="G231" i="10"/>
  <c r="H231" i="10"/>
  <c r="I210" i="10"/>
  <c r="H210" i="10"/>
  <c r="G210" i="10"/>
  <c r="I188" i="10"/>
  <c r="H188" i="10"/>
  <c r="G188" i="10"/>
  <c r="I167" i="10"/>
  <c r="G167" i="10"/>
  <c r="H167" i="10"/>
  <c r="I146" i="10"/>
  <c r="H146" i="10"/>
  <c r="G146" i="10"/>
  <c r="I124" i="10"/>
  <c r="H124" i="10"/>
  <c r="G124" i="10"/>
  <c r="H103" i="10"/>
  <c r="I103" i="10"/>
  <c r="G103" i="10"/>
  <c r="G82" i="10"/>
  <c r="I82" i="10"/>
  <c r="H82" i="10"/>
  <c r="I60" i="10"/>
  <c r="G60" i="10"/>
  <c r="H60" i="10"/>
  <c r="H39" i="10"/>
  <c r="I39" i="10"/>
  <c r="G39" i="10"/>
  <c r="I475" i="10"/>
  <c r="G475" i="10"/>
  <c r="H475" i="10"/>
  <c r="I459" i="10"/>
  <c r="H459" i="10"/>
  <c r="G459" i="10"/>
  <c r="I443" i="10"/>
  <c r="G443" i="10"/>
  <c r="H443" i="10"/>
  <c r="I427" i="10"/>
  <c r="G427" i="10"/>
  <c r="H427" i="10"/>
  <c r="I411" i="10"/>
  <c r="G411" i="10"/>
  <c r="H411" i="10"/>
  <c r="I395" i="10"/>
  <c r="G395" i="10"/>
  <c r="H395" i="10"/>
  <c r="G379" i="10"/>
  <c r="I379" i="10"/>
  <c r="H379" i="10"/>
  <c r="I363" i="10"/>
  <c r="G363" i="10"/>
  <c r="H363" i="10"/>
  <c r="I347" i="10"/>
  <c r="H347" i="10"/>
  <c r="G347" i="10"/>
  <c r="I331" i="10"/>
  <c r="H331" i="10"/>
  <c r="G331" i="10"/>
  <c r="I315" i="10"/>
  <c r="H315" i="10"/>
  <c r="G315" i="10"/>
  <c r="I299" i="10"/>
  <c r="H299" i="10"/>
  <c r="G299" i="10"/>
  <c r="I283" i="10"/>
  <c r="H283" i="10"/>
  <c r="G283" i="10"/>
  <c r="I267" i="10"/>
  <c r="H267" i="10"/>
  <c r="G267" i="10"/>
  <c r="I246" i="10"/>
  <c r="H246" i="10"/>
  <c r="G246" i="10"/>
  <c r="I224" i="10"/>
  <c r="H224" i="10"/>
  <c r="G224" i="10"/>
  <c r="I203" i="10"/>
  <c r="G203" i="10"/>
  <c r="H203" i="10"/>
  <c r="I182" i="10"/>
  <c r="H182" i="10"/>
  <c r="G182" i="10"/>
  <c r="I160" i="10"/>
  <c r="H160" i="10"/>
  <c r="G160" i="10"/>
  <c r="I139" i="10"/>
  <c r="G139" i="10"/>
  <c r="H139" i="10"/>
  <c r="I118" i="10"/>
  <c r="H118" i="10"/>
  <c r="G118" i="10"/>
  <c r="H96" i="10"/>
  <c r="I96" i="10"/>
  <c r="G96" i="10"/>
  <c r="H75" i="10"/>
  <c r="I75" i="10"/>
  <c r="G75" i="10"/>
  <c r="H54" i="10"/>
  <c r="I54" i="10"/>
  <c r="G54" i="10"/>
  <c r="G32" i="10"/>
  <c r="H32" i="10"/>
  <c r="I32" i="10"/>
  <c r="I257" i="10"/>
  <c r="H257" i="10"/>
  <c r="G257" i="10"/>
  <c r="I241" i="10"/>
  <c r="H241" i="10"/>
  <c r="G241" i="10"/>
  <c r="I225" i="10"/>
  <c r="H225" i="10"/>
  <c r="G225" i="10"/>
  <c r="I209" i="10"/>
  <c r="H209" i="10"/>
  <c r="G209" i="10"/>
  <c r="I193" i="10"/>
  <c r="H193" i="10"/>
  <c r="G193" i="10"/>
  <c r="I177" i="10"/>
  <c r="H177" i="10"/>
  <c r="G177" i="10"/>
  <c r="I161" i="10"/>
  <c r="H161" i="10"/>
  <c r="G161" i="10"/>
  <c r="I145" i="10"/>
  <c r="H145" i="10"/>
  <c r="G145" i="10"/>
  <c r="I129" i="10"/>
  <c r="H129" i="10"/>
  <c r="G129" i="10"/>
  <c r="I113" i="10"/>
  <c r="G113" i="10"/>
  <c r="H113" i="10"/>
  <c r="G97" i="10"/>
  <c r="H97" i="10"/>
  <c r="I97" i="10"/>
  <c r="H81" i="10"/>
  <c r="I81" i="10"/>
  <c r="G81" i="10"/>
  <c r="H65" i="10"/>
  <c r="I65" i="10"/>
  <c r="G65" i="10"/>
  <c r="H49" i="10"/>
  <c r="I49" i="10"/>
  <c r="G49" i="10"/>
  <c r="I33" i="10"/>
  <c r="G33" i="10"/>
  <c r="H33" i="10"/>
  <c r="I305" i="10"/>
  <c r="H305" i="10"/>
  <c r="G305" i="10"/>
  <c r="I594" i="10"/>
  <c r="G594" i="10"/>
  <c r="H594" i="10"/>
  <c r="I465" i="10"/>
  <c r="H465" i="10"/>
  <c r="G465" i="10"/>
  <c r="I642" i="10"/>
  <c r="G642" i="10"/>
  <c r="H642" i="10"/>
  <c r="I273" i="10"/>
  <c r="H273" i="10"/>
  <c r="G273" i="10"/>
  <c r="I589" i="10"/>
  <c r="H589" i="10"/>
  <c r="G589" i="10"/>
  <c r="I674" i="10"/>
  <c r="G674" i="10"/>
  <c r="H674" i="10"/>
  <c r="I615" i="10"/>
  <c r="H615" i="10"/>
  <c r="G615" i="10"/>
  <c r="I486" i="10"/>
  <c r="H486" i="10"/>
  <c r="G486" i="10"/>
  <c r="I550" i="10"/>
  <c r="G550" i="10"/>
  <c r="H550" i="10"/>
  <c r="I647" i="10"/>
  <c r="H647" i="10"/>
  <c r="G647" i="10"/>
  <c r="I583" i="10"/>
  <c r="G583" i="10"/>
  <c r="H583" i="10"/>
  <c r="I657" i="10"/>
  <c r="G657" i="10"/>
  <c r="H657" i="10"/>
  <c r="I635" i="10"/>
  <c r="H635" i="10"/>
  <c r="G635" i="10"/>
  <c r="I593" i="10"/>
  <c r="H593" i="10"/>
  <c r="G593" i="10"/>
  <c r="I514" i="10"/>
  <c r="G514" i="10"/>
  <c r="H514" i="10"/>
  <c r="I297" i="10"/>
  <c r="H297" i="10"/>
  <c r="G297" i="10"/>
  <c r="I687" i="10"/>
  <c r="H687" i="10"/>
  <c r="G687" i="10"/>
  <c r="I645" i="10"/>
  <c r="G645" i="10"/>
  <c r="H645" i="10"/>
  <c r="I581" i="10"/>
  <c r="H581" i="10"/>
  <c r="G581" i="10"/>
  <c r="I490" i="10"/>
  <c r="G490" i="10"/>
  <c r="H490" i="10"/>
  <c r="I369" i="10"/>
  <c r="G369" i="10"/>
  <c r="H369" i="10"/>
  <c r="I605" i="10"/>
  <c r="G605" i="10"/>
  <c r="H605" i="10"/>
  <c r="I690" i="10"/>
  <c r="G690" i="10"/>
  <c r="H690" i="10"/>
  <c r="I694" i="10"/>
  <c r="G694" i="10"/>
  <c r="H694" i="10"/>
  <c r="I673" i="10"/>
  <c r="H673" i="10"/>
  <c r="G673" i="10"/>
  <c r="I651" i="10"/>
  <c r="H651" i="10"/>
  <c r="G651" i="10"/>
  <c r="I630" i="10"/>
  <c r="H630" i="10"/>
  <c r="G630" i="10"/>
  <c r="I609" i="10"/>
  <c r="H609" i="10"/>
  <c r="G609" i="10"/>
  <c r="I587" i="10"/>
  <c r="H587" i="10"/>
  <c r="G587" i="10"/>
  <c r="I558" i="10"/>
  <c r="G558" i="10"/>
  <c r="H558" i="10"/>
  <c r="I498" i="10"/>
  <c r="H498" i="10"/>
  <c r="G498" i="10"/>
  <c r="I393" i="10"/>
  <c r="G393" i="10"/>
  <c r="H393" i="10"/>
  <c r="I264" i="10"/>
  <c r="G264" i="10"/>
  <c r="H264" i="10"/>
  <c r="I94" i="10"/>
  <c r="H94" i="10"/>
  <c r="G94" i="10"/>
  <c r="I682" i="10"/>
  <c r="G682" i="10"/>
  <c r="H682" i="10"/>
  <c r="I661" i="10"/>
  <c r="G661" i="10"/>
  <c r="H661" i="10"/>
  <c r="I639" i="10"/>
  <c r="G639" i="10"/>
  <c r="H639" i="10"/>
  <c r="I618" i="10"/>
  <c r="G618" i="10"/>
  <c r="H618" i="10"/>
  <c r="I597" i="10"/>
  <c r="G597" i="10"/>
  <c r="H597" i="10"/>
  <c r="I573" i="10"/>
  <c r="H573" i="10"/>
  <c r="G573" i="10"/>
  <c r="I526" i="10"/>
  <c r="G526" i="10"/>
  <c r="H526" i="10"/>
  <c r="I449" i="10"/>
  <c r="G449" i="10"/>
  <c r="H449" i="10"/>
  <c r="I321" i="10"/>
  <c r="H321" i="10"/>
  <c r="G321" i="10"/>
  <c r="I168" i="10"/>
  <c r="H168" i="10"/>
  <c r="G168" i="10"/>
  <c r="I686" i="10"/>
  <c r="G686" i="10"/>
  <c r="H686" i="10"/>
  <c r="I665" i="10"/>
  <c r="H665" i="10"/>
  <c r="G665" i="10"/>
  <c r="I643" i="10"/>
  <c r="H643" i="10"/>
  <c r="G643" i="10"/>
  <c r="I622" i="10"/>
  <c r="H622" i="10"/>
  <c r="G622" i="10"/>
  <c r="I601" i="10"/>
  <c r="G601" i="10"/>
  <c r="H601" i="10"/>
  <c r="I578" i="10"/>
  <c r="H578" i="10"/>
  <c r="G578" i="10"/>
  <c r="I538" i="10"/>
  <c r="H538" i="10"/>
  <c r="G538" i="10"/>
  <c r="I472" i="10"/>
  <c r="G472" i="10"/>
  <c r="H472" i="10"/>
  <c r="I345" i="10"/>
  <c r="H345" i="10"/>
  <c r="G345" i="10"/>
  <c r="I200" i="10"/>
  <c r="H200" i="10"/>
  <c r="G200" i="10"/>
  <c r="I553" i="10"/>
  <c r="G553" i="10"/>
  <c r="H553" i="10"/>
  <c r="I537" i="10"/>
  <c r="H537" i="10"/>
  <c r="G537" i="10"/>
  <c r="I521" i="10"/>
  <c r="H521" i="10"/>
  <c r="G521" i="10"/>
  <c r="I505" i="10"/>
  <c r="H505" i="10"/>
  <c r="G505" i="10"/>
  <c r="I489" i="10"/>
  <c r="H489" i="10"/>
  <c r="G489" i="10"/>
  <c r="I470" i="10"/>
  <c r="H470" i="10"/>
  <c r="G470" i="10"/>
  <c r="I438" i="10"/>
  <c r="G438" i="10"/>
  <c r="H438" i="10"/>
  <c r="I406" i="10"/>
  <c r="H406" i="10"/>
  <c r="G406" i="10"/>
  <c r="I374" i="10"/>
  <c r="H374" i="10"/>
  <c r="G374" i="10"/>
  <c r="I342" i="10"/>
  <c r="G342" i="10"/>
  <c r="H342" i="10"/>
  <c r="I310" i="10"/>
  <c r="G310" i="10"/>
  <c r="H310" i="10"/>
  <c r="I278" i="10"/>
  <c r="H278" i="10"/>
  <c r="G278" i="10"/>
  <c r="I239" i="10"/>
  <c r="H239" i="10"/>
  <c r="G239" i="10"/>
  <c r="I196" i="10"/>
  <c r="G196" i="10"/>
  <c r="H196" i="10"/>
  <c r="I154" i="10"/>
  <c r="H154" i="10"/>
  <c r="G154" i="10"/>
  <c r="I111" i="10"/>
  <c r="H111" i="10"/>
  <c r="G111" i="10"/>
  <c r="G68" i="10"/>
  <c r="I68" i="10"/>
  <c r="H68" i="10"/>
  <c r="I692" i="10"/>
  <c r="G692" i="10"/>
  <c r="H692" i="10"/>
  <c r="I676" i="10"/>
  <c r="G676" i="10"/>
  <c r="H676" i="10"/>
  <c r="I660" i="10"/>
  <c r="G660" i="10"/>
  <c r="H660" i="10"/>
  <c r="I644" i="10"/>
  <c r="G644" i="10"/>
  <c r="H644" i="10"/>
  <c r="I628" i="10"/>
  <c r="H628" i="10"/>
  <c r="G628" i="10"/>
  <c r="I612" i="10"/>
  <c r="H612" i="10"/>
  <c r="G612" i="10"/>
  <c r="I596" i="10"/>
  <c r="H596" i="10"/>
  <c r="G596" i="10"/>
  <c r="I580" i="10"/>
  <c r="G580" i="10"/>
  <c r="H580" i="10"/>
  <c r="I564" i="10"/>
  <c r="G564" i="10"/>
  <c r="H564" i="10"/>
  <c r="I548" i="10"/>
  <c r="H548" i="10"/>
  <c r="G548" i="10"/>
  <c r="I532" i="10"/>
  <c r="G532" i="10"/>
  <c r="H532" i="10"/>
  <c r="I516" i="10"/>
  <c r="H516" i="10"/>
  <c r="G516" i="10"/>
  <c r="I500" i="10"/>
  <c r="G500" i="10"/>
  <c r="H500" i="10"/>
  <c r="I484" i="10"/>
  <c r="G484" i="10"/>
  <c r="H484" i="10"/>
  <c r="I461" i="10"/>
  <c r="H461" i="10"/>
  <c r="G461" i="10"/>
  <c r="I429" i="10"/>
  <c r="G429" i="10"/>
  <c r="H429" i="10"/>
  <c r="I397" i="10"/>
  <c r="H397" i="10"/>
  <c r="G397" i="10"/>
  <c r="I365" i="10"/>
  <c r="G365" i="10"/>
  <c r="H365" i="10"/>
  <c r="I333" i="10"/>
  <c r="G333" i="10"/>
  <c r="H333" i="10"/>
  <c r="I301" i="10"/>
  <c r="G301" i="10"/>
  <c r="H301" i="10"/>
  <c r="I269" i="10"/>
  <c r="G269" i="10"/>
  <c r="H269" i="10"/>
  <c r="I227" i="10"/>
  <c r="G227" i="10"/>
  <c r="H227" i="10"/>
  <c r="I184" i="10"/>
  <c r="G184" i="10"/>
  <c r="H184" i="10"/>
  <c r="I142" i="10"/>
  <c r="H142" i="10"/>
  <c r="G142" i="10"/>
  <c r="I99" i="10"/>
  <c r="H99" i="10"/>
  <c r="G99" i="10"/>
  <c r="H47" i="10"/>
  <c r="I47" i="10"/>
  <c r="G47" i="10"/>
  <c r="I571" i="10"/>
  <c r="G571" i="10"/>
  <c r="H571" i="10"/>
  <c r="I555" i="10"/>
  <c r="G555" i="10"/>
  <c r="H555" i="10"/>
  <c r="I539" i="10"/>
  <c r="H539" i="10"/>
  <c r="G539" i="10"/>
  <c r="I523" i="10"/>
  <c r="G523" i="10"/>
  <c r="H523" i="10"/>
  <c r="I507" i="10"/>
  <c r="H507" i="10"/>
  <c r="G507" i="10"/>
  <c r="I491" i="10"/>
  <c r="H491" i="10"/>
  <c r="G491" i="10"/>
  <c r="I473" i="10"/>
  <c r="H473" i="10"/>
  <c r="G473" i="10"/>
  <c r="I442" i="10"/>
  <c r="G442" i="10"/>
  <c r="H442" i="10"/>
  <c r="I410" i="10"/>
  <c r="G410" i="10"/>
  <c r="H410" i="10"/>
  <c r="I378" i="10"/>
  <c r="H378" i="10"/>
  <c r="G378" i="10"/>
  <c r="I346" i="10"/>
  <c r="G346" i="10"/>
  <c r="H346" i="10"/>
  <c r="I314" i="10"/>
  <c r="G314" i="10"/>
  <c r="H314" i="10"/>
  <c r="I282" i="10"/>
  <c r="H282" i="10"/>
  <c r="G282" i="10"/>
  <c r="I244" i="10"/>
  <c r="H244" i="10"/>
  <c r="G244" i="10"/>
  <c r="I202" i="10"/>
  <c r="H202" i="10"/>
  <c r="G202" i="10"/>
  <c r="I159" i="10"/>
  <c r="G159" i="10"/>
  <c r="H159" i="10"/>
  <c r="I116" i="10"/>
  <c r="H116" i="10"/>
  <c r="G116" i="10"/>
  <c r="G74" i="10"/>
  <c r="I74" i="10"/>
  <c r="H74" i="10"/>
  <c r="H56" i="10"/>
  <c r="I56" i="10"/>
  <c r="G56" i="10"/>
  <c r="H35" i="10"/>
  <c r="G35" i="10"/>
  <c r="I35" i="10"/>
  <c r="I460" i="10"/>
  <c r="H460" i="10"/>
  <c r="G460" i="10"/>
  <c r="I444" i="10"/>
  <c r="H444" i="10"/>
  <c r="G444" i="10"/>
  <c r="I428" i="10"/>
  <c r="H428" i="10"/>
  <c r="G428" i="10"/>
  <c r="I412" i="10"/>
  <c r="H412" i="10"/>
  <c r="G412" i="10"/>
  <c r="I396" i="10"/>
  <c r="H396" i="10"/>
  <c r="G396" i="10"/>
  <c r="I380" i="10"/>
  <c r="H380" i="10"/>
  <c r="G380" i="10"/>
  <c r="I364" i="10"/>
  <c r="G364" i="10"/>
  <c r="H364" i="10"/>
  <c r="I348" i="10"/>
  <c r="H348" i="10"/>
  <c r="G348" i="10"/>
  <c r="I332" i="10"/>
  <c r="H332" i="10"/>
  <c r="G332" i="10"/>
  <c r="I316" i="10"/>
  <c r="H316" i="10"/>
  <c r="G316" i="10"/>
  <c r="I300" i="10"/>
  <c r="G300" i="10"/>
  <c r="H300" i="10"/>
  <c r="I284" i="10"/>
  <c r="H284" i="10"/>
  <c r="G284" i="10"/>
  <c r="I268" i="10"/>
  <c r="G268" i="10"/>
  <c r="H268" i="10"/>
  <c r="I247" i="10"/>
  <c r="H247" i="10"/>
  <c r="G247" i="10"/>
  <c r="I226" i="10"/>
  <c r="H226" i="10"/>
  <c r="G226" i="10"/>
  <c r="I204" i="10"/>
  <c r="H204" i="10"/>
  <c r="G204" i="10"/>
  <c r="I183" i="10"/>
  <c r="G183" i="10"/>
  <c r="H183" i="10"/>
  <c r="I162" i="10"/>
  <c r="G162" i="10"/>
  <c r="H162" i="10"/>
  <c r="I140" i="10"/>
  <c r="G140" i="10"/>
  <c r="H140" i="10"/>
  <c r="I119" i="10"/>
  <c r="H119" i="10"/>
  <c r="G119" i="10"/>
  <c r="G98" i="10"/>
  <c r="H98" i="10"/>
  <c r="I98" i="10"/>
  <c r="G76" i="10"/>
  <c r="I76" i="10"/>
  <c r="H76" i="10"/>
  <c r="H55" i="10"/>
  <c r="I55" i="10"/>
  <c r="G55" i="10"/>
  <c r="G34" i="10"/>
  <c r="I34" i="10"/>
  <c r="H34" i="10"/>
  <c r="I471" i="10"/>
  <c r="G471" i="10"/>
  <c r="H471" i="10"/>
  <c r="I455" i="10"/>
  <c r="H455" i="10"/>
  <c r="G455" i="10"/>
  <c r="I439" i="10"/>
  <c r="G439" i="10"/>
  <c r="H439" i="10"/>
  <c r="I423" i="10"/>
  <c r="G423" i="10"/>
  <c r="H423" i="10"/>
  <c r="I407" i="10"/>
  <c r="G407" i="10"/>
  <c r="H407" i="10"/>
  <c r="I391" i="10"/>
  <c r="G391" i="10"/>
  <c r="H391" i="10"/>
  <c r="I375" i="10"/>
  <c r="G375" i="10"/>
  <c r="H375" i="10"/>
  <c r="I359" i="10"/>
  <c r="G359" i="10"/>
  <c r="H359" i="10"/>
  <c r="I343" i="10"/>
  <c r="H343" i="10"/>
  <c r="G343" i="10"/>
  <c r="I327" i="10"/>
  <c r="H327" i="10"/>
  <c r="G327" i="10"/>
  <c r="I311" i="10"/>
  <c r="H311" i="10"/>
  <c r="G311" i="10"/>
  <c r="I295" i="10"/>
  <c r="H295" i="10"/>
  <c r="G295" i="10"/>
  <c r="I279" i="10"/>
  <c r="H279" i="10"/>
  <c r="G279" i="10"/>
  <c r="I262" i="10"/>
  <c r="H262" i="10"/>
  <c r="G262" i="10"/>
  <c r="I240" i="10"/>
  <c r="G240" i="10"/>
  <c r="H240" i="10"/>
  <c r="I219" i="10"/>
  <c r="G219" i="10"/>
  <c r="H219" i="10"/>
  <c r="I198" i="10"/>
  <c r="H198" i="10"/>
  <c r="G198" i="10"/>
  <c r="I176" i="10"/>
  <c r="H176" i="10"/>
  <c r="G176" i="10"/>
  <c r="I155" i="10"/>
  <c r="G155" i="10"/>
  <c r="H155" i="10"/>
  <c r="I134" i="10"/>
  <c r="H134" i="10"/>
  <c r="G134" i="10"/>
  <c r="H112" i="10"/>
  <c r="I112" i="10"/>
  <c r="G112" i="10"/>
  <c r="G91" i="10"/>
  <c r="I91" i="10"/>
  <c r="H91" i="10"/>
  <c r="H70" i="10"/>
  <c r="I70" i="10"/>
  <c r="G70" i="10"/>
  <c r="G48" i="10"/>
  <c r="I48" i="10"/>
  <c r="H48" i="10"/>
  <c r="H27" i="10"/>
  <c r="I27" i="10"/>
  <c r="G27" i="10"/>
  <c r="I253" i="10"/>
  <c r="H253" i="10"/>
  <c r="G253" i="10"/>
  <c r="I237" i="10"/>
  <c r="G237" i="10"/>
  <c r="H237" i="10"/>
  <c r="I221" i="10"/>
  <c r="G221" i="10"/>
  <c r="H221" i="10"/>
  <c r="I205" i="10"/>
  <c r="G205" i="10"/>
  <c r="H205" i="10"/>
  <c r="I189" i="10"/>
  <c r="G189" i="10"/>
  <c r="H189" i="10"/>
  <c r="I173" i="10"/>
  <c r="G173" i="10"/>
  <c r="H173" i="10"/>
  <c r="I157" i="10"/>
  <c r="G157" i="10"/>
  <c r="H157" i="10"/>
  <c r="I141" i="10"/>
  <c r="G141" i="10"/>
  <c r="H141" i="10"/>
  <c r="I125" i="10"/>
  <c r="H125" i="10"/>
  <c r="G125" i="10"/>
  <c r="I109" i="10"/>
  <c r="H109" i="10"/>
  <c r="G109" i="10"/>
  <c r="I93" i="10"/>
  <c r="H93" i="10"/>
  <c r="G93" i="10"/>
  <c r="H77" i="10"/>
  <c r="G77" i="10"/>
  <c r="I77" i="10"/>
  <c r="G61" i="10"/>
  <c r="I61" i="10"/>
  <c r="H61" i="10"/>
  <c r="G45" i="10"/>
  <c r="I45" i="10"/>
  <c r="H45" i="10"/>
  <c r="I29" i="10"/>
  <c r="G29" i="10"/>
  <c r="H29" i="10"/>
  <c r="I433" i="10"/>
  <c r="G433" i="10"/>
  <c r="H433" i="10"/>
  <c r="I637" i="10"/>
  <c r="G637" i="10"/>
  <c r="H637" i="10"/>
  <c r="I577" i="10"/>
  <c r="H577" i="10"/>
  <c r="G577" i="10"/>
  <c r="I663" i="10"/>
  <c r="H663" i="10"/>
  <c r="G663" i="10"/>
  <c r="I401" i="10"/>
  <c r="G401" i="10"/>
  <c r="H401" i="10"/>
  <c r="I610" i="10"/>
  <c r="G610" i="10"/>
  <c r="H610" i="10"/>
  <c r="I695" i="10"/>
  <c r="H695" i="10"/>
  <c r="G695" i="10"/>
  <c r="E24" i="10"/>
  <c r="E696" i="10" s="1"/>
  <c r="E21" i="10" s="1"/>
  <c r="E39" i="4" s="1"/>
  <c r="D687" i="6"/>
  <c r="D13" i="6" s="1"/>
  <c r="I147" i="10"/>
  <c r="G147" i="10"/>
  <c r="H147" i="10"/>
  <c r="E41" i="4"/>
  <c r="F21" i="10"/>
  <c r="E161" i="9"/>
  <c r="C161" i="9"/>
  <c r="D161" i="9"/>
  <c r="D315" i="9"/>
  <c r="E315" i="9"/>
  <c r="C315" i="9"/>
  <c r="D401" i="9"/>
  <c r="E401" i="9"/>
  <c r="C401" i="9"/>
  <c r="D465" i="9"/>
  <c r="E465" i="9"/>
  <c r="C465" i="9"/>
  <c r="E566" i="9"/>
  <c r="D566" i="9"/>
  <c r="C566" i="9"/>
  <c r="E614" i="9"/>
  <c r="D614" i="9"/>
  <c r="C614" i="9"/>
  <c r="E646" i="9"/>
  <c r="D646" i="9"/>
  <c r="C646" i="9"/>
  <c r="I678" i="9"/>
  <c r="G678" i="9"/>
  <c r="H678" i="9"/>
  <c r="I593" i="9"/>
  <c r="G593" i="9"/>
  <c r="H593" i="9"/>
  <c r="I211" i="9"/>
  <c r="G211" i="9"/>
  <c r="H211" i="9"/>
  <c r="I369" i="9"/>
  <c r="G369" i="9"/>
  <c r="H369" i="9"/>
  <c r="I690" i="9"/>
  <c r="G690" i="9"/>
  <c r="H690" i="9"/>
  <c r="E177" i="9"/>
  <c r="C177" i="9"/>
  <c r="D177" i="9"/>
  <c r="E234" i="9"/>
  <c r="D234" i="9"/>
  <c r="C234" i="9"/>
  <c r="E298" i="9"/>
  <c r="D298" i="9"/>
  <c r="C298" i="9"/>
  <c r="E342" i="9"/>
  <c r="D342" i="9"/>
  <c r="C342" i="9"/>
  <c r="E363" i="9"/>
  <c r="D363" i="9"/>
  <c r="C363" i="9"/>
  <c r="E406" i="9"/>
  <c r="D406" i="9"/>
  <c r="C406" i="9"/>
  <c r="E427" i="9"/>
  <c r="D427" i="9"/>
  <c r="C427" i="9"/>
  <c r="E470" i="9"/>
  <c r="D470" i="9"/>
  <c r="C470" i="9"/>
  <c r="E491" i="9"/>
  <c r="D491" i="9"/>
  <c r="C491" i="9"/>
  <c r="E534" i="9"/>
  <c r="D534" i="9"/>
  <c r="C534" i="9"/>
  <c r="E570" i="9"/>
  <c r="D570" i="9"/>
  <c r="C570" i="9"/>
  <c r="E586" i="9"/>
  <c r="D586" i="9"/>
  <c r="C586" i="9"/>
  <c r="E634" i="9"/>
  <c r="D634" i="9"/>
  <c r="C634" i="9"/>
  <c r="E682" i="9"/>
  <c r="D682" i="9"/>
  <c r="C682" i="9"/>
  <c r="I486" i="9"/>
  <c r="G486" i="9"/>
  <c r="H486" i="9"/>
  <c r="I626" i="9"/>
  <c r="G626" i="9"/>
  <c r="H626" i="9"/>
  <c r="D39" i="9"/>
  <c r="E39" i="9"/>
  <c r="C39" i="9"/>
  <c r="E125" i="9"/>
  <c r="C125" i="9"/>
  <c r="D125" i="9"/>
  <c r="E193" i="9"/>
  <c r="C193" i="9"/>
  <c r="D193" i="9"/>
  <c r="E242" i="9"/>
  <c r="D242" i="9"/>
  <c r="C242" i="9"/>
  <c r="E274" i="9"/>
  <c r="D274" i="9"/>
  <c r="C274" i="9"/>
  <c r="E305" i="9"/>
  <c r="D305" i="9"/>
  <c r="C305" i="9"/>
  <c r="E326" i="9"/>
  <c r="D326" i="9"/>
  <c r="C326" i="9"/>
  <c r="D347" i="9"/>
  <c r="E347" i="9"/>
  <c r="C347" i="9"/>
  <c r="D369" i="9"/>
  <c r="E369" i="9"/>
  <c r="C369" i="9"/>
  <c r="E390" i="9"/>
  <c r="D390" i="9"/>
  <c r="C390" i="9"/>
  <c r="E411" i="9"/>
  <c r="D411" i="9"/>
  <c r="C411" i="9"/>
  <c r="D433" i="9"/>
  <c r="E433" i="9"/>
  <c r="C433" i="9"/>
  <c r="E454" i="9"/>
  <c r="D454" i="9"/>
  <c r="C454" i="9"/>
  <c r="E475" i="9"/>
  <c r="D475" i="9"/>
  <c r="C475" i="9"/>
  <c r="D497" i="9"/>
  <c r="E497" i="9"/>
  <c r="C497" i="9"/>
  <c r="E518" i="9"/>
  <c r="D518" i="9"/>
  <c r="C518" i="9"/>
  <c r="E539" i="9"/>
  <c r="D539" i="9"/>
  <c r="C539" i="9"/>
  <c r="E558" i="9"/>
  <c r="D558" i="9"/>
  <c r="C558" i="9"/>
  <c r="E574" i="9"/>
  <c r="D574" i="9"/>
  <c r="C574" i="9"/>
  <c r="E590" i="9"/>
  <c r="D590" i="9"/>
  <c r="C590" i="9"/>
  <c r="E606" i="9"/>
  <c r="D606" i="9"/>
  <c r="C606" i="9"/>
  <c r="E622" i="9"/>
  <c r="D622" i="9"/>
  <c r="C622" i="9"/>
  <c r="E638" i="9"/>
  <c r="D638" i="9"/>
  <c r="C638" i="9"/>
  <c r="E654" i="9"/>
  <c r="D654" i="9"/>
  <c r="C654" i="9"/>
  <c r="E670" i="9"/>
  <c r="D670" i="9"/>
  <c r="C670" i="9"/>
  <c r="E686" i="9"/>
  <c r="D686" i="9"/>
  <c r="C686" i="9"/>
  <c r="I689" i="9"/>
  <c r="G689" i="9"/>
  <c r="H689" i="9"/>
  <c r="I667" i="9"/>
  <c r="G667" i="9"/>
  <c r="H667" i="9"/>
  <c r="I646" i="9"/>
  <c r="G646" i="9"/>
  <c r="H646" i="9"/>
  <c r="I625" i="9"/>
  <c r="G625" i="9"/>
  <c r="H625" i="9"/>
  <c r="I603" i="9"/>
  <c r="G603" i="9"/>
  <c r="H603" i="9"/>
  <c r="I582" i="9"/>
  <c r="G582" i="9"/>
  <c r="H582" i="9"/>
  <c r="I546" i="9"/>
  <c r="G546" i="9"/>
  <c r="H546" i="9"/>
  <c r="I482" i="9"/>
  <c r="G482" i="9"/>
  <c r="H482" i="9"/>
  <c r="I361" i="9"/>
  <c r="G361" i="9"/>
  <c r="H361" i="9"/>
  <c r="I222" i="9"/>
  <c r="G222" i="9"/>
  <c r="H222" i="9"/>
  <c r="I36" i="9"/>
  <c r="G36" i="9"/>
  <c r="H36" i="9"/>
  <c r="I677" i="9"/>
  <c r="G677" i="9"/>
  <c r="H677" i="9"/>
  <c r="I655" i="9"/>
  <c r="G655" i="9"/>
  <c r="H655" i="9"/>
  <c r="I634" i="9"/>
  <c r="G634" i="9"/>
  <c r="H634" i="9"/>
  <c r="I613" i="9"/>
  <c r="G613" i="9"/>
  <c r="H613" i="9"/>
  <c r="I591" i="9"/>
  <c r="G591" i="9"/>
  <c r="H591" i="9"/>
  <c r="I565" i="9"/>
  <c r="G565" i="9"/>
  <c r="H565" i="9"/>
  <c r="I510" i="9"/>
  <c r="G510" i="9"/>
  <c r="H510" i="9"/>
  <c r="I417" i="9"/>
  <c r="G417" i="9"/>
  <c r="H417" i="9"/>
  <c r="I289" i="9"/>
  <c r="G289" i="9"/>
  <c r="H289" i="9"/>
  <c r="I126" i="9"/>
  <c r="G126" i="9"/>
  <c r="H126" i="9"/>
  <c r="I681" i="9"/>
  <c r="G681" i="9"/>
  <c r="H681" i="9"/>
  <c r="I659" i="9"/>
  <c r="G659" i="9"/>
  <c r="H659" i="9"/>
  <c r="I638" i="9"/>
  <c r="G638" i="9"/>
  <c r="H638" i="9"/>
  <c r="I617" i="9"/>
  <c r="G617" i="9"/>
  <c r="H617" i="9"/>
  <c r="I595" i="9"/>
  <c r="G595" i="9"/>
  <c r="H595" i="9"/>
  <c r="I570" i="9"/>
  <c r="G570" i="9"/>
  <c r="H570" i="9"/>
  <c r="I522" i="9"/>
  <c r="G522" i="9"/>
  <c r="H522" i="9"/>
  <c r="I441" i="9"/>
  <c r="G441" i="9"/>
  <c r="H441" i="9"/>
  <c r="I313" i="9"/>
  <c r="G313" i="9"/>
  <c r="H313" i="9"/>
  <c r="I158" i="9"/>
  <c r="G158" i="9"/>
  <c r="H158" i="9"/>
  <c r="I549" i="9"/>
  <c r="G549" i="9"/>
  <c r="H549" i="9"/>
  <c r="I533" i="9"/>
  <c r="G533" i="9"/>
  <c r="H533" i="9"/>
  <c r="I517" i="9"/>
  <c r="G517" i="9"/>
  <c r="H517" i="9"/>
  <c r="I501" i="9"/>
  <c r="G501" i="9"/>
  <c r="H501" i="9"/>
  <c r="I485" i="9"/>
  <c r="G485" i="9"/>
  <c r="H485" i="9"/>
  <c r="I462" i="9"/>
  <c r="G462" i="9"/>
  <c r="H462" i="9"/>
  <c r="I430" i="9"/>
  <c r="G430" i="9"/>
  <c r="H430" i="9"/>
  <c r="I398" i="9"/>
  <c r="G398" i="9"/>
  <c r="H398" i="9"/>
  <c r="I366" i="9"/>
  <c r="G366" i="9"/>
  <c r="H366" i="9"/>
  <c r="I334" i="9"/>
  <c r="G334" i="9"/>
  <c r="H334" i="9"/>
  <c r="I302" i="9"/>
  <c r="G302" i="9"/>
  <c r="H302" i="9"/>
  <c r="I270" i="9"/>
  <c r="G270" i="9"/>
  <c r="H270" i="9"/>
  <c r="I228" i="9"/>
  <c r="G228" i="9"/>
  <c r="H228" i="9"/>
  <c r="I186" i="9"/>
  <c r="G186" i="9"/>
  <c r="H186" i="9"/>
  <c r="I143" i="9"/>
  <c r="G143" i="9"/>
  <c r="H143" i="9"/>
  <c r="I100" i="9"/>
  <c r="G100" i="9"/>
  <c r="H100" i="9"/>
  <c r="I52" i="9"/>
  <c r="G52" i="9"/>
  <c r="H52" i="9"/>
  <c r="I688" i="9"/>
  <c r="G688" i="9"/>
  <c r="H688" i="9"/>
  <c r="I672" i="9"/>
  <c r="G672" i="9"/>
  <c r="H672" i="9"/>
  <c r="I656" i="9"/>
  <c r="G656" i="9"/>
  <c r="H656" i="9"/>
  <c r="I640" i="9"/>
  <c r="G640" i="9"/>
  <c r="H640" i="9"/>
  <c r="I624" i="9"/>
  <c r="G624" i="9"/>
  <c r="H624" i="9"/>
  <c r="I608" i="9"/>
  <c r="G608" i="9"/>
  <c r="H608" i="9"/>
  <c r="I592" i="9"/>
  <c r="G592" i="9"/>
  <c r="H592" i="9"/>
  <c r="I576" i="9"/>
  <c r="G576" i="9"/>
  <c r="H576" i="9"/>
  <c r="I560" i="9"/>
  <c r="G560" i="9"/>
  <c r="H560" i="9"/>
  <c r="I544" i="9"/>
  <c r="G544" i="9"/>
  <c r="H544" i="9"/>
  <c r="I528" i="9"/>
  <c r="G528" i="9"/>
  <c r="H528" i="9"/>
  <c r="I512" i="9"/>
  <c r="G512" i="9"/>
  <c r="H512" i="9"/>
  <c r="I496" i="9"/>
  <c r="G496" i="9"/>
  <c r="H496" i="9"/>
  <c r="I480" i="9"/>
  <c r="G480" i="9"/>
  <c r="H480" i="9"/>
  <c r="I453" i="9"/>
  <c r="G453" i="9"/>
  <c r="H453" i="9"/>
  <c r="I421" i="9"/>
  <c r="G421" i="9"/>
  <c r="H421" i="9"/>
  <c r="I389" i="9"/>
  <c r="G389" i="9"/>
  <c r="H389" i="9"/>
  <c r="I357" i="9"/>
  <c r="G357" i="9"/>
  <c r="H357" i="9"/>
  <c r="I325" i="9"/>
  <c r="G325" i="9"/>
  <c r="H325" i="9"/>
  <c r="I293" i="9"/>
  <c r="G293" i="9"/>
  <c r="H293" i="9"/>
  <c r="I259" i="9"/>
  <c r="G259" i="9"/>
  <c r="H259" i="9"/>
  <c r="I216" i="9"/>
  <c r="G216" i="9"/>
  <c r="H216" i="9"/>
  <c r="I174" i="9"/>
  <c r="G174" i="9"/>
  <c r="H174" i="9"/>
  <c r="I131" i="9"/>
  <c r="G131" i="9"/>
  <c r="H131" i="9"/>
  <c r="I88" i="9"/>
  <c r="G88" i="9"/>
  <c r="H88" i="9"/>
  <c r="I26" i="9"/>
  <c r="G26" i="9"/>
  <c r="H26" i="9"/>
  <c r="I567" i="9"/>
  <c r="G567" i="9"/>
  <c r="H567" i="9"/>
  <c r="I551" i="9"/>
  <c r="G551" i="9"/>
  <c r="H551" i="9"/>
  <c r="I535" i="9"/>
  <c r="G535" i="9"/>
  <c r="H535" i="9"/>
  <c r="I519" i="9"/>
  <c r="G519" i="9"/>
  <c r="H519" i="9"/>
  <c r="I503" i="9"/>
  <c r="G503" i="9"/>
  <c r="H503" i="9"/>
  <c r="I487" i="9"/>
  <c r="G487" i="9"/>
  <c r="H487" i="9"/>
  <c r="I466" i="9"/>
  <c r="G466" i="9"/>
  <c r="H466" i="9"/>
  <c r="I434" i="9"/>
  <c r="G434" i="9"/>
  <c r="H434" i="9"/>
  <c r="I402" i="9"/>
  <c r="G402" i="9"/>
  <c r="H402" i="9"/>
  <c r="I370" i="9"/>
  <c r="G370" i="9"/>
  <c r="H370" i="9"/>
  <c r="I338" i="9"/>
  <c r="G338" i="9"/>
  <c r="H338" i="9"/>
  <c r="I306" i="9"/>
  <c r="G306" i="9"/>
  <c r="H306" i="9"/>
  <c r="I274" i="9"/>
  <c r="G274" i="9"/>
  <c r="H274" i="9"/>
  <c r="I234" i="9"/>
  <c r="G234" i="9"/>
  <c r="H234" i="9"/>
  <c r="I191" i="9"/>
  <c r="G191" i="9"/>
  <c r="H191" i="9"/>
  <c r="I148" i="9"/>
  <c r="G148" i="9"/>
  <c r="H148" i="9"/>
  <c r="I106" i="9"/>
  <c r="G106" i="9"/>
  <c r="H106" i="9"/>
  <c r="I63" i="9"/>
  <c r="G63" i="9"/>
  <c r="H63" i="9"/>
  <c r="I51" i="9"/>
  <c r="G51" i="9"/>
  <c r="H51" i="9"/>
  <c r="I30" i="9"/>
  <c r="G30" i="9"/>
  <c r="H30" i="9"/>
  <c r="I456" i="9"/>
  <c r="G456" i="9"/>
  <c r="H456" i="9"/>
  <c r="I440" i="9"/>
  <c r="G440" i="9"/>
  <c r="H440" i="9"/>
  <c r="I424" i="9"/>
  <c r="G424" i="9"/>
  <c r="H424" i="9"/>
  <c r="I408" i="9"/>
  <c r="G408" i="9"/>
  <c r="H408" i="9"/>
  <c r="I392" i="9"/>
  <c r="G392" i="9"/>
  <c r="H392" i="9"/>
  <c r="I376" i="9"/>
  <c r="G376" i="9"/>
  <c r="H376" i="9"/>
  <c r="I360" i="9"/>
  <c r="G360" i="9"/>
  <c r="H360" i="9"/>
  <c r="I344" i="9"/>
  <c r="G344" i="9"/>
  <c r="H344" i="9"/>
  <c r="I328" i="9"/>
  <c r="G328" i="9"/>
  <c r="H328" i="9"/>
  <c r="I312" i="9"/>
  <c r="G312" i="9"/>
  <c r="H312" i="9"/>
  <c r="I296" i="9"/>
  <c r="G296" i="9"/>
  <c r="H296" i="9"/>
  <c r="I280" i="9"/>
  <c r="G280" i="9"/>
  <c r="H280" i="9"/>
  <c r="I263" i="9"/>
  <c r="G263" i="9"/>
  <c r="H263" i="9"/>
  <c r="I242" i="9"/>
  <c r="G242" i="9"/>
  <c r="H242" i="9"/>
  <c r="I220" i="9"/>
  <c r="G220" i="9"/>
  <c r="H220" i="9"/>
  <c r="I199" i="9"/>
  <c r="G199" i="9"/>
  <c r="H199" i="9"/>
  <c r="I178" i="9"/>
  <c r="G178" i="9"/>
  <c r="H178" i="9"/>
  <c r="I156" i="9"/>
  <c r="G156" i="9"/>
  <c r="H156" i="9"/>
  <c r="I135" i="9"/>
  <c r="G135" i="9"/>
  <c r="H135" i="9"/>
  <c r="I114" i="9"/>
  <c r="G114" i="9"/>
  <c r="H114" i="9"/>
  <c r="I92" i="9"/>
  <c r="G92" i="9"/>
  <c r="H92" i="9"/>
  <c r="I71" i="9"/>
  <c r="G71" i="9"/>
  <c r="H71" i="9"/>
  <c r="I50" i="9"/>
  <c r="G50" i="9"/>
  <c r="H50" i="9"/>
  <c r="I28" i="9"/>
  <c r="G28" i="9"/>
  <c r="H28" i="9"/>
  <c r="I467" i="9"/>
  <c r="G467" i="9"/>
  <c r="H467" i="9"/>
  <c r="I451" i="9"/>
  <c r="G451" i="9"/>
  <c r="H451" i="9"/>
  <c r="I435" i="9"/>
  <c r="G435" i="9"/>
  <c r="H435" i="9"/>
  <c r="I419" i="9"/>
  <c r="G419" i="9"/>
  <c r="H419" i="9"/>
  <c r="I403" i="9"/>
  <c r="G403" i="9"/>
  <c r="H403" i="9"/>
  <c r="I387" i="9"/>
  <c r="G387" i="9"/>
  <c r="H387" i="9"/>
  <c r="I371" i="9"/>
  <c r="G371" i="9"/>
  <c r="H371" i="9"/>
  <c r="I355" i="9"/>
  <c r="G355" i="9"/>
  <c r="H355" i="9"/>
  <c r="I339" i="9"/>
  <c r="G339" i="9"/>
  <c r="H339" i="9"/>
  <c r="I323" i="9"/>
  <c r="G323" i="9"/>
  <c r="H323" i="9"/>
  <c r="I307" i="9"/>
  <c r="G307" i="9"/>
  <c r="H307" i="9"/>
  <c r="I291" i="9"/>
  <c r="G291" i="9"/>
  <c r="H291" i="9"/>
  <c r="I275" i="9"/>
  <c r="G275" i="9"/>
  <c r="H275" i="9"/>
  <c r="I256" i="9"/>
  <c r="G256" i="9"/>
  <c r="H256" i="9"/>
  <c r="I235" i="9"/>
  <c r="G235" i="9"/>
  <c r="H235" i="9"/>
  <c r="I214" i="9"/>
  <c r="G214" i="9"/>
  <c r="H214" i="9"/>
  <c r="I192" i="9"/>
  <c r="G192" i="9"/>
  <c r="H192" i="9"/>
  <c r="I171" i="9"/>
  <c r="G171" i="9"/>
  <c r="H171" i="9"/>
  <c r="I150" i="9"/>
  <c r="G150" i="9"/>
  <c r="H150" i="9"/>
  <c r="I128" i="9"/>
  <c r="G128" i="9"/>
  <c r="H128" i="9"/>
  <c r="I107" i="9"/>
  <c r="G107" i="9"/>
  <c r="H107" i="9"/>
  <c r="I86" i="9"/>
  <c r="G86" i="9"/>
  <c r="H86" i="9"/>
  <c r="I64" i="9"/>
  <c r="G64" i="9"/>
  <c r="H64" i="9"/>
  <c r="I43" i="9"/>
  <c r="G43" i="9"/>
  <c r="H43" i="9"/>
  <c r="I265" i="9"/>
  <c r="G265" i="9"/>
  <c r="H265" i="9"/>
  <c r="I249" i="9"/>
  <c r="G249" i="9"/>
  <c r="H249" i="9"/>
  <c r="I233" i="9"/>
  <c r="G233" i="9"/>
  <c r="H233" i="9"/>
  <c r="I217" i="9"/>
  <c r="G217" i="9"/>
  <c r="H217" i="9"/>
  <c r="I201" i="9"/>
  <c r="G201" i="9"/>
  <c r="H201" i="9"/>
  <c r="I185" i="9"/>
  <c r="G185" i="9"/>
  <c r="H185" i="9"/>
  <c r="I169" i="9"/>
  <c r="G169" i="9"/>
  <c r="H169" i="9"/>
  <c r="I153" i="9"/>
  <c r="G153" i="9"/>
  <c r="H153" i="9"/>
  <c r="I137" i="9"/>
  <c r="G137" i="9"/>
  <c r="H137" i="9"/>
  <c r="I121" i="9"/>
  <c r="G121" i="9"/>
  <c r="H121" i="9"/>
  <c r="I105" i="9"/>
  <c r="G105" i="9"/>
  <c r="H105" i="9"/>
  <c r="I89" i="9"/>
  <c r="G89" i="9"/>
  <c r="H89" i="9"/>
  <c r="I73" i="9"/>
  <c r="G73" i="9"/>
  <c r="H73" i="9"/>
  <c r="I57" i="9"/>
  <c r="G57" i="9"/>
  <c r="H57" i="9"/>
  <c r="I41" i="9"/>
  <c r="G41" i="9"/>
  <c r="H41" i="9"/>
  <c r="I25" i="9"/>
  <c r="G25" i="9"/>
  <c r="H25" i="9"/>
  <c r="I518" i="9"/>
  <c r="G518" i="9"/>
  <c r="H518" i="9"/>
  <c r="I658" i="9"/>
  <c r="G658" i="9"/>
  <c r="H658" i="9"/>
  <c r="D71" i="9"/>
  <c r="E71" i="9"/>
  <c r="C71" i="9"/>
  <c r="E153" i="9"/>
  <c r="C153" i="9"/>
  <c r="D153" i="9"/>
  <c r="E230" i="9"/>
  <c r="D230" i="9"/>
  <c r="C230" i="9"/>
  <c r="E278" i="9"/>
  <c r="D278" i="9"/>
  <c r="C278" i="9"/>
  <c r="E329" i="9"/>
  <c r="D329" i="9"/>
  <c r="C329" i="9"/>
  <c r="E366" i="9"/>
  <c r="D366" i="9"/>
  <c r="C366" i="9"/>
  <c r="D409" i="9"/>
  <c r="E409" i="9"/>
  <c r="C409" i="9"/>
  <c r="E451" i="9"/>
  <c r="D451" i="9"/>
  <c r="C451" i="9"/>
  <c r="E494" i="9"/>
  <c r="D494" i="9"/>
  <c r="C494" i="9"/>
  <c r="D537" i="9"/>
  <c r="E537" i="9"/>
  <c r="C537" i="9"/>
  <c r="E572" i="9"/>
  <c r="D572" i="9"/>
  <c r="C572" i="9"/>
  <c r="E604" i="9"/>
  <c r="D604" i="9"/>
  <c r="C604" i="9"/>
  <c r="E632" i="9"/>
  <c r="D632" i="9"/>
  <c r="C632" i="9"/>
  <c r="E660" i="9"/>
  <c r="D660" i="9"/>
  <c r="C660" i="9"/>
  <c r="E692" i="9"/>
  <c r="D692" i="9"/>
  <c r="C692" i="9"/>
  <c r="E536" i="9"/>
  <c r="D536" i="9"/>
  <c r="C536" i="9"/>
  <c r="E520" i="9"/>
  <c r="D520" i="9"/>
  <c r="C520" i="9"/>
  <c r="E504" i="9"/>
  <c r="D504" i="9"/>
  <c r="C504" i="9"/>
  <c r="E488" i="9"/>
  <c r="D488" i="9"/>
  <c r="C488" i="9"/>
  <c r="E472" i="9"/>
  <c r="D472" i="9"/>
  <c r="C472" i="9"/>
  <c r="E456" i="9"/>
  <c r="D456" i="9"/>
  <c r="C456" i="9"/>
  <c r="E440" i="9"/>
  <c r="D440" i="9"/>
  <c r="C440" i="9"/>
  <c r="E424" i="9"/>
  <c r="D424" i="9"/>
  <c r="C424" i="9"/>
  <c r="E408" i="9"/>
  <c r="D408" i="9"/>
  <c r="C408" i="9"/>
  <c r="E392" i="9"/>
  <c r="D392" i="9"/>
  <c r="C392" i="9"/>
  <c r="E376" i="9"/>
  <c r="D376" i="9"/>
  <c r="C376" i="9"/>
  <c r="E360" i="9"/>
  <c r="D360" i="9"/>
  <c r="C360" i="9"/>
  <c r="D344" i="9"/>
  <c r="E344" i="9"/>
  <c r="C344" i="9"/>
  <c r="D328" i="9"/>
  <c r="E328" i="9"/>
  <c r="C328" i="9"/>
  <c r="D312" i="9"/>
  <c r="E312" i="9"/>
  <c r="C312" i="9"/>
  <c r="D296" i="9"/>
  <c r="E296" i="9"/>
  <c r="C296" i="9"/>
  <c r="D280" i="9"/>
  <c r="E280" i="9"/>
  <c r="C280" i="9"/>
  <c r="D264" i="9"/>
  <c r="E264" i="9"/>
  <c r="C264" i="9"/>
  <c r="D248" i="9"/>
  <c r="E248" i="9"/>
  <c r="C248" i="9"/>
  <c r="D232" i="9"/>
  <c r="E232" i="9"/>
  <c r="C232" i="9"/>
  <c r="D216" i="9"/>
  <c r="E216" i="9"/>
  <c r="C216" i="9"/>
  <c r="D200" i="9"/>
  <c r="E200" i="9"/>
  <c r="C200" i="9"/>
  <c r="E184" i="9"/>
  <c r="D184" i="9"/>
  <c r="C184" i="9"/>
  <c r="E168" i="9"/>
  <c r="D168" i="9"/>
  <c r="C168" i="9"/>
  <c r="E152" i="9"/>
  <c r="D152" i="9"/>
  <c r="C152" i="9"/>
  <c r="E134" i="9"/>
  <c r="D134" i="9"/>
  <c r="C134" i="9"/>
  <c r="E113" i="9"/>
  <c r="C113" i="9"/>
  <c r="D113" i="9"/>
  <c r="D91" i="9"/>
  <c r="E91" i="9"/>
  <c r="C91" i="9"/>
  <c r="E70" i="9"/>
  <c r="D70" i="9"/>
  <c r="C70" i="9"/>
  <c r="E49" i="9"/>
  <c r="C49" i="9"/>
  <c r="D49" i="9"/>
  <c r="D27" i="9"/>
  <c r="E27" i="9"/>
  <c r="C27" i="9"/>
  <c r="D287" i="9"/>
  <c r="E287" i="9"/>
  <c r="C287" i="9"/>
  <c r="D271" i="9"/>
  <c r="E271" i="9"/>
  <c r="C271" i="9"/>
  <c r="D255" i="9"/>
  <c r="E255" i="9"/>
  <c r="C255" i="9"/>
  <c r="D239" i="9"/>
  <c r="E239" i="9"/>
  <c r="C239" i="9"/>
  <c r="D223" i="9"/>
  <c r="E223" i="9"/>
  <c r="C223" i="9"/>
  <c r="D207" i="9"/>
  <c r="E207" i="9"/>
  <c r="C207" i="9"/>
  <c r="D191" i="9"/>
  <c r="E191" i="9"/>
  <c r="C191" i="9"/>
  <c r="D175" i="9"/>
  <c r="E175" i="9"/>
  <c r="C175" i="9"/>
  <c r="D159" i="9"/>
  <c r="E159" i="9"/>
  <c r="C159" i="9"/>
  <c r="D143" i="9"/>
  <c r="E143" i="9"/>
  <c r="C143" i="9"/>
  <c r="E122" i="9"/>
  <c r="C122" i="9"/>
  <c r="D122" i="9"/>
  <c r="E101" i="9"/>
  <c r="C101" i="9"/>
  <c r="D101" i="9"/>
  <c r="D79" i="9"/>
  <c r="E79" i="9"/>
  <c r="C79" i="9"/>
  <c r="E58" i="9"/>
  <c r="C58" i="9"/>
  <c r="D58" i="9"/>
  <c r="E37" i="9"/>
  <c r="C37" i="9"/>
  <c r="D37" i="9"/>
  <c r="E222" i="9"/>
  <c r="D222" i="9"/>
  <c r="C222" i="9"/>
  <c r="E206" i="9"/>
  <c r="D206" i="9"/>
  <c r="C206" i="9"/>
  <c r="E190" i="9"/>
  <c r="D190" i="9"/>
  <c r="C190" i="9"/>
  <c r="E174" i="9"/>
  <c r="D174" i="9"/>
  <c r="C174" i="9"/>
  <c r="E158" i="9"/>
  <c r="D158" i="9"/>
  <c r="C158" i="9"/>
  <c r="E142" i="9"/>
  <c r="D142" i="9"/>
  <c r="C142" i="9"/>
  <c r="E121" i="9"/>
  <c r="C121" i="9"/>
  <c r="D121" i="9"/>
  <c r="D99" i="9"/>
  <c r="E99" i="9"/>
  <c r="C99" i="9"/>
  <c r="E78" i="9"/>
  <c r="D78" i="9"/>
  <c r="C78" i="9"/>
  <c r="E57" i="9"/>
  <c r="C57" i="9"/>
  <c r="D57" i="9"/>
  <c r="D35" i="9"/>
  <c r="E35" i="9"/>
  <c r="C35" i="9"/>
  <c r="D136" i="9"/>
  <c r="E136" i="9"/>
  <c r="C136" i="9"/>
  <c r="D120" i="9"/>
  <c r="E120" i="9"/>
  <c r="C120" i="9"/>
  <c r="D104" i="9"/>
  <c r="E104" i="9"/>
  <c r="C104" i="9"/>
  <c r="D88" i="9"/>
  <c r="E88" i="9"/>
  <c r="C88" i="9"/>
  <c r="D72" i="9"/>
  <c r="E72" i="9"/>
  <c r="C72" i="9"/>
  <c r="D56" i="9"/>
  <c r="E56" i="9"/>
  <c r="C56" i="9"/>
  <c r="D40" i="9"/>
  <c r="E40" i="9"/>
  <c r="C40" i="9"/>
  <c r="I190" i="9"/>
  <c r="G190" i="9"/>
  <c r="H190" i="9"/>
  <c r="I599" i="9"/>
  <c r="G599" i="9"/>
  <c r="H599" i="9"/>
  <c r="I685" i="9"/>
  <c r="G685" i="9"/>
  <c r="H685" i="9"/>
  <c r="I502" i="9"/>
  <c r="G502" i="9"/>
  <c r="H502" i="9"/>
  <c r="I631" i="9"/>
  <c r="G631" i="9"/>
  <c r="H631" i="9"/>
  <c r="E66" i="9"/>
  <c r="C66" i="9"/>
  <c r="D66" i="9"/>
  <c r="E149" i="9"/>
  <c r="C149" i="9"/>
  <c r="D149" i="9"/>
  <c r="E213" i="9"/>
  <c r="D213" i="9"/>
  <c r="C213" i="9"/>
  <c r="E253" i="9"/>
  <c r="D253" i="9"/>
  <c r="C253" i="9"/>
  <c r="E285" i="9"/>
  <c r="D285" i="9"/>
  <c r="C285" i="9"/>
  <c r="D311" i="9"/>
  <c r="E311" i="9"/>
  <c r="C311" i="9"/>
  <c r="E333" i="9"/>
  <c r="D333" i="9"/>
  <c r="C333" i="9"/>
  <c r="E354" i="9"/>
  <c r="D354" i="9"/>
  <c r="C354" i="9"/>
  <c r="E375" i="9"/>
  <c r="D375" i="9"/>
  <c r="C375" i="9"/>
  <c r="D397" i="9"/>
  <c r="E397" i="9"/>
  <c r="C397" i="9"/>
  <c r="E418" i="9"/>
  <c r="D418" i="9"/>
  <c r="C418" i="9"/>
  <c r="E439" i="9"/>
  <c r="D439" i="9"/>
  <c r="C439" i="9"/>
  <c r="D461" i="9"/>
  <c r="E461" i="9"/>
  <c r="C461" i="9"/>
  <c r="E482" i="9"/>
  <c r="D482" i="9"/>
  <c r="C482" i="9"/>
  <c r="E503" i="9"/>
  <c r="D503" i="9"/>
  <c r="C503" i="9"/>
  <c r="D525" i="9"/>
  <c r="E525" i="9"/>
  <c r="C525" i="9"/>
  <c r="E546" i="9"/>
  <c r="D546" i="9"/>
  <c r="C546" i="9"/>
  <c r="E563" i="9"/>
  <c r="D563" i="9"/>
  <c r="C563" i="9"/>
  <c r="E579" i="9"/>
  <c r="D579" i="9"/>
  <c r="C579" i="9"/>
  <c r="E595" i="9"/>
  <c r="D595" i="9"/>
  <c r="C595" i="9"/>
  <c r="E611" i="9"/>
  <c r="D611" i="9"/>
  <c r="C611" i="9"/>
  <c r="E627" i="9"/>
  <c r="D627" i="9"/>
  <c r="C627" i="9"/>
  <c r="E643" i="9"/>
  <c r="D643" i="9"/>
  <c r="C643" i="9"/>
  <c r="E659" i="9"/>
  <c r="D659" i="9"/>
  <c r="C659" i="9"/>
  <c r="E675" i="9"/>
  <c r="D675" i="9"/>
  <c r="C675" i="9"/>
  <c r="E691" i="9"/>
  <c r="C691" i="9"/>
  <c r="D691" i="9"/>
  <c r="E246" i="9"/>
  <c r="D246" i="9"/>
  <c r="C246" i="9"/>
  <c r="E313" i="9"/>
  <c r="D313" i="9"/>
  <c r="C313" i="9"/>
  <c r="D361" i="9"/>
  <c r="E361" i="9"/>
  <c r="C361" i="9"/>
  <c r="E403" i="9"/>
  <c r="D403" i="9"/>
  <c r="C403" i="9"/>
  <c r="E446" i="9"/>
  <c r="D446" i="9"/>
  <c r="C446" i="9"/>
  <c r="D489" i="9"/>
  <c r="E489" i="9"/>
  <c r="C489" i="9"/>
  <c r="E531" i="9"/>
  <c r="D531" i="9"/>
  <c r="C531" i="9"/>
  <c r="E568" i="9"/>
  <c r="D568" i="9"/>
  <c r="C568" i="9"/>
  <c r="E600" i="9"/>
  <c r="D600" i="9"/>
  <c r="C600" i="9"/>
  <c r="E636" i="9"/>
  <c r="D636" i="9"/>
  <c r="C636" i="9"/>
  <c r="E672" i="9"/>
  <c r="D672" i="9"/>
  <c r="C672" i="9"/>
  <c r="I534" i="9"/>
  <c r="G534" i="9"/>
  <c r="H534" i="9"/>
  <c r="E265" i="9"/>
  <c r="D265" i="9"/>
  <c r="C265" i="9"/>
  <c r="E362" i="9"/>
  <c r="D362" i="9"/>
  <c r="C362" i="9"/>
  <c r="E447" i="9"/>
  <c r="D447" i="9"/>
  <c r="C447" i="9"/>
  <c r="D533" i="9"/>
  <c r="E533" i="9"/>
  <c r="C533" i="9"/>
  <c r="D601" i="9"/>
  <c r="E601" i="9"/>
  <c r="C601" i="9"/>
  <c r="D665" i="9"/>
  <c r="E665" i="9"/>
  <c r="C665" i="9"/>
  <c r="E309" i="9"/>
  <c r="D309" i="9"/>
  <c r="C309" i="9"/>
  <c r="E479" i="9"/>
  <c r="D479" i="9"/>
  <c r="C479" i="9"/>
  <c r="D625" i="9"/>
  <c r="E625" i="9"/>
  <c r="C625" i="9"/>
  <c r="E157" i="9"/>
  <c r="C157" i="9"/>
  <c r="D157" i="9"/>
  <c r="E241" i="9"/>
  <c r="D241" i="9"/>
  <c r="C241" i="9"/>
  <c r="E346" i="9"/>
  <c r="D346" i="9"/>
  <c r="C346" i="9"/>
  <c r="E431" i="9"/>
  <c r="D431" i="9"/>
  <c r="C431" i="9"/>
  <c r="D517" i="9"/>
  <c r="E517" i="9"/>
  <c r="C517" i="9"/>
  <c r="D589" i="9"/>
  <c r="E589" i="9"/>
  <c r="C589" i="9"/>
  <c r="D653" i="9"/>
  <c r="E653" i="9"/>
  <c r="C653" i="9"/>
  <c r="E205" i="9"/>
  <c r="D205" i="9"/>
  <c r="C205" i="9"/>
  <c r="E415" i="9"/>
  <c r="D415" i="9"/>
  <c r="C415" i="9"/>
  <c r="D577" i="9"/>
  <c r="E577" i="9"/>
  <c r="C577" i="9"/>
  <c r="E221" i="9"/>
  <c r="D221" i="9"/>
  <c r="C221" i="9"/>
  <c r="D335" i="9"/>
  <c r="E335" i="9"/>
  <c r="C335" i="9"/>
  <c r="D421" i="9"/>
  <c r="E421" i="9"/>
  <c r="C421" i="9"/>
  <c r="E506" i="9"/>
  <c r="D506" i="9"/>
  <c r="C506" i="9"/>
  <c r="D581" i="9"/>
  <c r="E581" i="9"/>
  <c r="C581" i="9"/>
  <c r="D645" i="9"/>
  <c r="E645" i="9"/>
  <c r="C645" i="9"/>
  <c r="I147" i="9"/>
  <c r="G147" i="9"/>
  <c r="H147" i="9"/>
  <c r="I583" i="9"/>
  <c r="G583" i="9"/>
  <c r="H583" i="9"/>
  <c r="E225" i="9"/>
  <c r="D225" i="9"/>
  <c r="C225" i="9"/>
  <c r="E290" i="9"/>
  <c r="D290" i="9"/>
  <c r="C290" i="9"/>
  <c r="E379" i="9"/>
  <c r="D379" i="9"/>
  <c r="C379" i="9"/>
  <c r="E443" i="9"/>
  <c r="D443" i="9"/>
  <c r="C443" i="9"/>
  <c r="E550" i="9"/>
  <c r="D550" i="9"/>
  <c r="C550" i="9"/>
  <c r="E662" i="9"/>
  <c r="D662" i="9"/>
  <c r="C662" i="9"/>
  <c r="I58" i="9"/>
  <c r="G58" i="9"/>
  <c r="H58" i="9"/>
  <c r="I550" i="9"/>
  <c r="G550" i="9"/>
  <c r="H550" i="9"/>
  <c r="I647" i="9"/>
  <c r="G647" i="9"/>
  <c r="H647" i="9"/>
  <c r="E61" i="9"/>
  <c r="C61" i="9"/>
  <c r="D61" i="9"/>
  <c r="E145" i="9"/>
  <c r="C145" i="9"/>
  <c r="D145" i="9"/>
  <c r="E209" i="9"/>
  <c r="D209" i="9"/>
  <c r="C209" i="9"/>
  <c r="E250" i="9"/>
  <c r="D250" i="9"/>
  <c r="C250" i="9"/>
  <c r="E282" i="9"/>
  <c r="D282" i="9"/>
  <c r="C282" i="9"/>
  <c r="E310" i="9"/>
  <c r="D310" i="9"/>
  <c r="C310" i="9"/>
  <c r="D331" i="9"/>
  <c r="E331" i="9"/>
  <c r="C331" i="9"/>
  <c r="D353" i="9"/>
  <c r="E353" i="9"/>
  <c r="C353" i="9"/>
  <c r="E374" i="9"/>
  <c r="D374" i="9"/>
  <c r="C374" i="9"/>
  <c r="E395" i="9"/>
  <c r="D395" i="9"/>
  <c r="C395" i="9"/>
  <c r="D417" i="9"/>
  <c r="E417" i="9"/>
  <c r="C417" i="9"/>
  <c r="E438" i="9"/>
  <c r="D438" i="9"/>
  <c r="C438" i="9"/>
  <c r="E459" i="9"/>
  <c r="D459" i="9"/>
  <c r="C459" i="9"/>
  <c r="D481" i="9"/>
  <c r="E481" i="9"/>
  <c r="C481" i="9"/>
  <c r="E502" i="9"/>
  <c r="D502" i="9"/>
  <c r="C502" i="9"/>
  <c r="E523" i="9"/>
  <c r="D523" i="9"/>
  <c r="C523" i="9"/>
  <c r="D545" i="9"/>
  <c r="E545" i="9"/>
  <c r="C545" i="9"/>
  <c r="E562" i="9"/>
  <c r="D562" i="9"/>
  <c r="C562" i="9"/>
  <c r="E578" i="9"/>
  <c r="D578" i="9"/>
  <c r="C578" i="9"/>
  <c r="E594" i="9"/>
  <c r="D594" i="9"/>
  <c r="C594" i="9"/>
  <c r="E610" i="9"/>
  <c r="D610" i="9"/>
  <c r="C610" i="9"/>
  <c r="E626" i="9"/>
  <c r="D626" i="9"/>
  <c r="C626" i="9"/>
  <c r="E642" i="9"/>
  <c r="D642" i="9"/>
  <c r="C642" i="9"/>
  <c r="E658" i="9"/>
  <c r="D658" i="9"/>
  <c r="C658" i="9"/>
  <c r="E674" i="9"/>
  <c r="D674" i="9"/>
  <c r="C674" i="9"/>
  <c r="E690" i="9"/>
  <c r="D690" i="9"/>
  <c r="C690" i="9"/>
  <c r="I683" i="9"/>
  <c r="G683" i="9"/>
  <c r="H683" i="9"/>
  <c r="I662" i="9"/>
  <c r="G662" i="9"/>
  <c r="H662" i="9"/>
  <c r="I641" i="9"/>
  <c r="G641" i="9"/>
  <c r="H641" i="9"/>
  <c r="I619" i="9"/>
  <c r="G619" i="9"/>
  <c r="H619" i="9"/>
  <c r="I598" i="9"/>
  <c r="G598" i="9"/>
  <c r="H598" i="9"/>
  <c r="I574" i="9"/>
  <c r="G574" i="9"/>
  <c r="H574" i="9"/>
  <c r="I530" i="9"/>
  <c r="G530" i="9"/>
  <c r="H530" i="9"/>
  <c r="I457" i="9"/>
  <c r="G457" i="9"/>
  <c r="H457" i="9"/>
  <c r="I329" i="9"/>
  <c r="G329" i="9"/>
  <c r="H329" i="9"/>
  <c r="I179" i="9"/>
  <c r="G179" i="9"/>
  <c r="H179" i="9"/>
  <c r="I693" i="9"/>
  <c r="G693" i="9"/>
  <c r="H693" i="9"/>
  <c r="I671" i="9"/>
  <c r="G671" i="9"/>
  <c r="H671" i="9"/>
  <c r="I650" i="9"/>
  <c r="G650" i="9"/>
  <c r="H650" i="9"/>
  <c r="I629" i="9"/>
  <c r="G629" i="9"/>
  <c r="H629" i="9"/>
  <c r="I607" i="9"/>
  <c r="G607" i="9"/>
  <c r="H607" i="9"/>
  <c r="I586" i="9"/>
  <c r="G586" i="9"/>
  <c r="H586" i="9"/>
  <c r="I557" i="9"/>
  <c r="G557" i="9"/>
  <c r="H557" i="9"/>
  <c r="I494" i="9"/>
  <c r="G494" i="9"/>
  <c r="H494" i="9"/>
  <c r="I385" i="9"/>
  <c r="G385" i="9"/>
  <c r="H385" i="9"/>
  <c r="I254" i="9"/>
  <c r="G254" i="9"/>
  <c r="H254" i="9"/>
  <c r="I83" i="9"/>
  <c r="G83" i="9"/>
  <c r="H83" i="9"/>
  <c r="I675" i="9"/>
  <c r="G675" i="9"/>
  <c r="H675" i="9"/>
  <c r="I654" i="9"/>
  <c r="G654" i="9"/>
  <c r="H654" i="9"/>
  <c r="I633" i="9"/>
  <c r="G633" i="9"/>
  <c r="H633" i="9"/>
  <c r="I611" i="9"/>
  <c r="G611" i="9"/>
  <c r="H611" i="9"/>
  <c r="I590" i="9"/>
  <c r="G590" i="9"/>
  <c r="H590" i="9"/>
  <c r="I562" i="9"/>
  <c r="G562" i="9"/>
  <c r="H562" i="9"/>
  <c r="I506" i="9"/>
  <c r="G506" i="9"/>
  <c r="H506" i="9"/>
  <c r="I409" i="9"/>
  <c r="G409" i="9"/>
  <c r="H409" i="9"/>
  <c r="I281" i="9"/>
  <c r="G281" i="9"/>
  <c r="H281" i="9"/>
  <c r="I115" i="9"/>
  <c r="G115" i="9"/>
  <c r="H115" i="9"/>
  <c r="I545" i="9"/>
  <c r="G545" i="9"/>
  <c r="H545" i="9"/>
  <c r="I529" i="9"/>
  <c r="G529" i="9"/>
  <c r="H529" i="9"/>
  <c r="I513" i="9"/>
  <c r="G513" i="9"/>
  <c r="H513" i="9"/>
  <c r="I497" i="9"/>
  <c r="G497" i="9"/>
  <c r="H497" i="9"/>
  <c r="I481" i="9"/>
  <c r="G481" i="9"/>
  <c r="H481" i="9"/>
  <c r="I454" i="9"/>
  <c r="G454" i="9"/>
  <c r="H454" i="9"/>
  <c r="I422" i="9"/>
  <c r="G422" i="9"/>
  <c r="H422" i="9"/>
  <c r="I390" i="9"/>
  <c r="G390" i="9"/>
  <c r="H390" i="9"/>
  <c r="I358" i="9"/>
  <c r="G358" i="9"/>
  <c r="H358" i="9"/>
  <c r="I326" i="9"/>
  <c r="G326" i="9"/>
  <c r="H326" i="9"/>
  <c r="I294" i="9"/>
  <c r="G294" i="9"/>
  <c r="H294" i="9"/>
  <c r="I260" i="9"/>
  <c r="G260" i="9"/>
  <c r="H260" i="9"/>
  <c r="I218" i="9"/>
  <c r="G218" i="9"/>
  <c r="H218" i="9"/>
  <c r="I175" i="9"/>
  <c r="G175" i="9"/>
  <c r="H175" i="9"/>
  <c r="I132" i="9"/>
  <c r="G132" i="9"/>
  <c r="H132" i="9"/>
  <c r="I90" i="9"/>
  <c r="G90" i="9"/>
  <c r="H90" i="9"/>
  <c r="I31" i="9"/>
  <c r="G31" i="9"/>
  <c r="H31" i="9"/>
  <c r="I684" i="9"/>
  <c r="G684" i="9"/>
  <c r="H684" i="9"/>
  <c r="I668" i="9"/>
  <c r="G668" i="9"/>
  <c r="H668" i="9"/>
  <c r="I652" i="9"/>
  <c r="G652" i="9"/>
  <c r="H652" i="9"/>
  <c r="I636" i="9"/>
  <c r="G636" i="9"/>
  <c r="H636" i="9"/>
  <c r="I620" i="9"/>
  <c r="G620" i="9"/>
  <c r="H620" i="9"/>
  <c r="I604" i="9"/>
  <c r="G604" i="9"/>
  <c r="H604" i="9"/>
  <c r="I588" i="9"/>
  <c r="G588" i="9"/>
  <c r="H588" i="9"/>
  <c r="I572" i="9"/>
  <c r="G572" i="9"/>
  <c r="H572" i="9"/>
  <c r="I556" i="9"/>
  <c r="G556" i="9"/>
  <c r="H556" i="9"/>
  <c r="I540" i="9"/>
  <c r="G540" i="9"/>
  <c r="H540" i="9"/>
  <c r="I524" i="9"/>
  <c r="G524" i="9"/>
  <c r="H524" i="9"/>
  <c r="I508" i="9"/>
  <c r="G508" i="9"/>
  <c r="H508" i="9"/>
  <c r="I492" i="9"/>
  <c r="G492" i="9"/>
  <c r="H492" i="9"/>
  <c r="I474" i="9"/>
  <c r="G474" i="9"/>
  <c r="H474" i="9"/>
  <c r="I445" i="9"/>
  <c r="G445" i="9"/>
  <c r="H445" i="9"/>
  <c r="I413" i="9"/>
  <c r="G413" i="9"/>
  <c r="H413" i="9"/>
  <c r="I381" i="9"/>
  <c r="G381" i="9"/>
  <c r="H381" i="9"/>
  <c r="I349" i="9"/>
  <c r="G349" i="9"/>
  <c r="H349" i="9"/>
  <c r="I317" i="9"/>
  <c r="G317" i="9"/>
  <c r="H317" i="9"/>
  <c r="I285" i="9"/>
  <c r="G285" i="9"/>
  <c r="H285" i="9"/>
  <c r="I248" i="9"/>
  <c r="G248" i="9"/>
  <c r="H248" i="9"/>
  <c r="I206" i="9"/>
  <c r="G206" i="9"/>
  <c r="H206" i="9"/>
  <c r="I163" i="9"/>
  <c r="G163" i="9"/>
  <c r="H163" i="9"/>
  <c r="I120" i="9"/>
  <c r="G120" i="9"/>
  <c r="H120" i="9"/>
  <c r="I78" i="9"/>
  <c r="G78" i="9"/>
  <c r="H78" i="9"/>
  <c r="I579" i="9"/>
  <c r="G579" i="9"/>
  <c r="H579" i="9"/>
  <c r="I563" i="9"/>
  <c r="G563" i="9"/>
  <c r="H563" i="9"/>
  <c r="I547" i="9"/>
  <c r="G547" i="9"/>
  <c r="H547" i="9"/>
  <c r="I531" i="9"/>
  <c r="G531" i="9"/>
  <c r="H531" i="9"/>
  <c r="I515" i="9"/>
  <c r="G515" i="9"/>
  <c r="H515" i="9"/>
  <c r="I499" i="9"/>
  <c r="G499" i="9"/>
  <c r="H499" i="9"/>
  <c r="I483" i="9"/>
  <c r="G483" i="9"/>
  <c r="H483" i="9"/>
  <c r="I458" i="9"/>
  <c r="G458" i="9"/>
  <c r="H458" i="9"/>
  <c r="I426" i="9"/>
  <c r="G426" i="9"/>
  <c r="H426" i="9"/>
  <c r="I394" i="9"/>
  <c r="G394" i="9"/>
  <c r="H394" i="9"/>
  <c r="I362" i="9"/>
  <c r="G362" i="9"/>
  <c r="H362" i="9"/>
  <c r="I330" i="9"/>
  <c r="G330" i="9"/>
  <c r="H330" i="9"/>
  <c r="I298" i="9"/>
  <c r="G298" i="9"/>
  <c r="H298" i="9"/>
  <c r="I266" i="9"/>
  <c r="G266" i="9"/>
  <c r="H266" i="9"/>
  <c r="I223" i="9"/>
  <c r="G223" i="9"/>
  <c r="H223" i="9"/>
  <c r="I180" i="9"/>
  <c r="G180" i="9"/>
  <c r="H180" i="9"/>
  <c r="I138" i="9"/>
  <c r="G138" i="9"/>
  <c r="H138" i="9"/>
  <c r="I95" i="9"/>
  <c r="G95" i="9"/>
  <c r="H95" i="9"/>
  <c r="I42" i="9"/>
  <c r="G42" i="9"/>
  <c r="H42" i="9"/>
  <c r="I46" i="9"/>
  <c r="G46" i="9"/>
  <c r="H46" i="9"/>
  <c r="I468" i="9"/>
  <c r="G468" i="9"/>
  <c r="H468" i="9"/>
  <c r="I452" i="9"/>
  <c r="G452" i="9"/>
  <c r="H452" i="9"/>
  <c r="I436" i="9"/>
  <c r="G436" i="9"/>
  <c r="H436" i="9"/>
  <c r="I420" i="9"/>
  <c r="G420" i="9"/>
  <c r="H420" i="9"/>
  <c r="I404" i="9"/>
  <c r="G404" i="9"/>
  <c r="H404" i="9"/>
  <c r="I388" i="9"/>
  <c r="G388" i="9"/>
  <c r="H388" i="9"/>
  <c r="I372" i="9"/>
  <c r="G372" i="9"/>
  <c r="H372" i="9"/>
  <c r="I356" i="9"/>
  <c r="G356" i="9"/>
  <c r="H356" i="9"/>
  <c r="I340" i="9"/>
  <c r="G340" i="9"/>
  <c r="H340" i="9"/>
  <c r="I324" i="9"/>
  <c r="G324" i="9"/>
  <c r="H324" i="9"/>
  <c r="I308" i="9"/>
  <c r="G308" i="9"/>
  <c r="H308" i="9"/>
  <c r="I292" i="9"/>
  <c r="G292" i="9"/>
  <c r="H292" i="9"/>
  <c r="I276" i="9"/>
  <c r="G276" i="9"/>
  <c r="H276" i="9"/>
  <c r="I258" i="9"/>
  <c r="G258" i="9"/>
  <c r="H258" i="9"/>
  <c r="I236" i="9"/>
  <c r="G236" i="9"/>
  <c r="H236" i="9"/>
  <c r="I215" i="9"/>
  <c r="G215" i="9"/>
  <c r="H215" i="9"/>
  <c r="I194" i="9"/>
  <c r="G194" i="9"/>
  <c r="H194" i="9"/>
  <c r="I172" i="9"/>
  <c r="G172" i="9"/>
  <c r="H172" i="9"/>
  <c r="I151" i="9"/>
  <c r="G151" i="9"/>
  <c r="H151" i="9"/>
  <c r="I130" i="9"/>
  <c r="G130" i="9"/>
  <c r="H130" i="9"/>
  <c r="I108" i="9"/>
  <c r="G108" i="9"/>
  <c r="H108" i="9"/>
  <c r="I87" i="9"/>
  <c r="G87" i="9"/>
  <c r="H87" i="9"/>
  <c r="I66" i="9"/>
  <c r="G66" i="9"/>
  <c r="H66" i="9"/>
  <c r="I44" i="9"/>
  <c r="G44" i="9"/>
  <c r="H44" i="9"/>
  <c r="I479" i="9"/>
  <c r="G479" i="9"/>
  <c r="H479" i="9"/>
  <c r="I463" i="9"/>
  <c r="G463" i="9"/>
  <c r="H463" i="9"/>
  <c r="I447" i="9"/>
  <c r="G447" i="9"/>
  <c r="H447" i="9"/>
  <c r="I431" i="9"/>
  <c r="G431" i="9"/>
  <c r="H431" i="9"/>
  <c r="I415" i="9"/>
  <c r="G415" i="9"/>
  <c r="H415" i="9"/>
  <c r="I399" i="9"/>
  <c r="G399" i="9"/>
  <c r="H399" i="9"/>
  <c r="I383" i="9"/>
  <c r="G383" i="9"/>
  <c r="H383" i="9"/>
  <c r="I367" i="9"/>
  <c r="G367" i="9"/>
  <c r="H367" i="9"/>
  <c r="I351" i="9"/>
  <c r="G351" i="9"/>
  <c r="H351" i="9"/>
  <c r="I335" i="9"/>
  <c r="G335" i="9"/>
  <c r="H335" i="9"/>
  <c r="I319" i="9"/>
  <c r="G319" i="9"/>
  <c r="H319" i="9"/>
  <c r="I303" i="9"/>
  <c r="G303" i="9"/>
  <c r="H303" i="9"/>
  <c r="I287" i="9"/>
  <c r="G287" i="9"/>
  <c r="H287" i="9"/>
  <c r="I271" i="9"/>
  <c r="G271" i="9"/>
  <c r="H271" i="9"/>
  <c r="I251" i="9"/>
  <c r="G251" i="9"/>
  <c r="H251" i="9"/>
  <c r="I230" i="9"/>
  <c r="G230" i="9"/>
  <c r="H230" i="9"/>
  <c r="I208" i="9"/>
  <c r="G208" i="9"/>
  <c r="H208" i="9"/>
  <c r="I187" i="9"/>
  <c r="G187" i="9"/>
  <c r="H187" i="9"/>
  <c r="I166" i="9"/>
  <c r="G166" i="9"/>
  <c r="H166" i="9"/>
  <c r="I144" i="9"/>
  <c r="G144" i="9"/>
  <c r="H144" i="9"/>
  <c r="I123" i="9"/>
  <c r="G123" i="9"/>
  <c r="H123" i="9"/>
  <c r="I102" i="9"/>
  <c r="G102" i="9"/>
  <c r="H102" i="9"/>
  <c r="I80" i="9"/>
  <c r="G80" i="9"/>
  <c r="H80" i="9"/>
  <c r="I59" i="9"/>
  <c r="G59" i="9"/>
  <c r="H59" i="9"/>
  <c r="I38" i="9"/>
  <c r="G38" i="9"/>
  <c r="H38" i="9"/>
  <c r="I261" i="9"/>
  <c r="G261" i="9"/>
  <c r="H261" i="9"/>
  <c r="I245" i="9"/>
  <c r="G245" i="9"/>
  <c r="H245" i="9"/>
  <c r="I229" i="9"/>
  <c r="G229" i="9"/>
  <c r="H229" i="9"/>
  <c r="I213" i="9"/>
  <c r="G213" i="9"/>
  <c r="H213" i="9"/>
  <c r="I197" i="9"/>
  <c r="G197" i="9"/>
  <c r="H197" i="9"/>
  <c r="I181" i="9"/>
  <c r="G181" i="9"/>
  <c r="H181" i="9"/>
  <c r="I165" i="9"/>
  <c r="G165" i="9"/>
  <c r="H165" i="9"/>
  <c r="I149" i="9"/>
  <c r="G149" i="9"/>
  <c r="H149" i="9"/>
  <c r="I133" i="9"/>
  <c r="G133" i="9"/>
  <c r="H133" i="9"/>
  <c r="I117" i="9"/>
  <c r="G117" i="9"/>
  <c r="H117" i="9"/>
  <c r="I101" i="9"/>
  <c r="G101" i="9"/>
  <c r="H101" i="9"/>
  <c r="I85" i="9"/>
  <c r="G85" i="9"/>
  <c r="H85" i="9"/>
  <c r="I69" i="9"/>
  <c r="G69" i="9"/>
  <c r="H69" i="9"/>
  <c r="I53" i="9"/>
  <c r="G53" i="9"/>
  <c r="H53" i="9"/>
  <c r="I37" i="9"/>
  <c r="G37" i="9"/>
  <c r="H37" i="9"/>
  <c r="I569" i="9"/>
  <c r="G569" i="9"/>
  <c r="H569" i="9"/>
  <c r="I679" i="9"/>
  <c r="G679" i="9"/>
  <c r="H679" i="9"/>
  <c r="E93" i="9"/>
  <c r="C93" i="9"/>
  <c r="D93" i="9"/>
  <c r="E169" i="9"/>
  <c r="C169" i="9"/>
  <c r="D169" i="9"/>
  <c r="E238" i="9"/>
  <c r="D238" i="9"/>
  <c r="C238" i="9"/>
  <c r="E294" i="9"/>
  <c r="D294" i="9"/>
  <c r="C294" i="9"/>
  <c r="D339" i="9"/>
  <c r="E339" i="9"/>
  <c r="C339" i="9"/>
  <c r="D377" i="9"/>
  <c r="E377" i="9"/>
  <c r="C377" i="9"/>
  <c r="E419" i="9"/>
  <c r="D419" i="9"/>
  <c r="C419" i="9"/>
  <c r="E462" i="9"/>
  <c r="D462" i="9"/>
  <c r="C462" i="9"/>
  <c r="D505" i="9"/>
  <c r="E505" i="9"/>
  <c r="C505" i="9"/>
  <c r="E547" i="9"/>
  <c r="D547" i="9"/>
  <c r="C547" i="9"/>
  <c r="E580" i="9"/>
  <c r="D580" i="9"/>
  <c r="C580" i="9"/>
  <c r="E612" i="9"/>
  <c r="D612" i="9"/>
  <c r="C612" i="9"/>
  <c r="E640" i="9"/>
  <c r="D640" i="9"/>
  <c r="C640" i="9"/>
  <c r="E668" i="9"/>
  <c r="D668" i="9"/>
  <c r="C668" i="9"/>
  <c r="E548" i="9"/>
  <c r="D548" i="9"/>
  <c r="C548" i="9"/>
  <c r="E532" i="9"/>
  <c r="D532" i="9"/>
  <c r="C532" i="9"/>
  <c r="E516" i="9"/>
  <c r="D516" i="9"/>
  <c r="C516" i="9"/>
  <c r="E500" i="9"/>
  <c r="D500" i="9"/>
  <c r="C500" i="9"/>
  <c r="E484" i="9"/>
  <c r="D484" i="9"/>
  <c r="C484" i="9"/>
  <c r="E468" i="9"/>
  <c r="D468" i="9"/>
  <c r="C468" i="9"/>
  <c r="E452" i="9"/>
  <c r="D452" i="9"/>
  <c r="C452" i="9"/>
  <c r="E436" i="9"/>
  <c r="D436" i="9"/>
  <c r="C436" i="9"/>
  <c r="E420" i="9"/>
  <c r="D420" i="9"/>
  <c r="C420" i="9"/>
  <c r="E404" i="9"/>
  <c r="D404" i="9"/>
  <c r="C404" i="9"/>
  <c r="E388" i="9"/>
  <c r="D388" i="9"/>
  <c r="C388" i="9"/>
  <c r="E372" i="9"/>
  <c r="D372" i="9"/>
  <c r="C372" i="9"/>
  <c r="E356" i="9"/>
  <c r="D356" i="9"/>
  <c r="C356" i="9"/>
  <c r="D340" i="9"/>
  <c r="E340" i="9"/>
  <c r="C340" i="9"/>
  <c r="D324" i="9"/>
  <c r="E324" i="9"/>
  <c r="C324" i="9"/>
  <c r="D308" i="9"/>
  <c r="E308" i="9"/>
  <c r="C308" i="9"/>
  <c r="D292" i="9"/>
  <c r="E292" i="9"/>
  <c r="C292" i="9"/>
  <c r="D276" i="9"/>
  <c r="E276" i="9"/>
  <c r="C276" i="9"/>
  <c r="D260" i="9"/>
  <c r="E260" i="9"/>
  <c r="C260" i="9"/>
  <c r="D244" i="9"/>
  <c r="E244" i="9"/>
  <c r="C244" i="9"/>
  <c r="D228" i="9"/>
  <c r="E228" i="9"/>
  <c r="C228" i="9"/>
  <c r="D212" i="9"/>
  <c r="E212" i="9"/>
  <c r="C212" i="9"/>
  <c r="D196" i="9"/>
  <c r="E196" i="9"/>
  <c r="C196" i="9"/>
  <c r="E180" i="9"/>
  <c r="D180" i="9"/>
  <c r="C180" i="9"/>
  <c r="E164" i="9"/>
  <c r="D164" i="9"/>
  <c r="C164" i="9"/>
  <c r="E148" i="9"/>
  <c r="D148" i="9"/>
  <c r="C148" i="9"/>
  <c r="E129" i="9"/>
  <c r="C129" i="9"/>
  <c r="D129" i="9"/>
  <c r="D107" i="9"/>
  <c r="E107" i="9"/>
  <c r="C107" i="9"/>
  <c r="E86" i="9"/>
  <c r="D86" i="9"/>
  <c r="C86" i="9"/>
  <c r="E65" i="9"/>
  <c r="C65" i="9"/>
  <c r="D65" i="9"/>
  <c r="D43" i="9"/>
  <c r="E43" i="9"/>
  <c r="C43" i="9"/>
  <c r="D299" i="9"/>
  <c r="E299" i="9"/>
  <c r="C299" i="9"/>
  <c r="D283" i="9"/>
  <c r="E283" i="9"/>
  <c r="C283" i="9"/>
  <c r="D267" i="9"/>
  <c r="E267" i="9"/>
  <c r="C267" i="9"/>
  <c r="D251" i="9"/>
  <c r="E251" i="9"/>
  <c r="C251" i="9"/>
  <c r="D235" i="9"/>
  <c r="E235" i="9"/>
  <c r="C235" i="9"/>
  <c r="D219" i="9"/>
  <c r="E219" i="9"/>
  <c r="C219" i="9"/>
  <c r="D203" i="9"/>
  <c r="E203" i="9"/>
  <c r="C203" i="9"/>
  <c r="D187" i="9"/>
  <c r="E187" i="9"/>
  <c r="C187" i="9"/>
  <c r="D171" i="9"/>
  <c r="E171" i="9"/>
  <c r="C171" i="9"/>
  <c r="D155" i="9"/>
  <c r="E155" i="9"/>
  <c r="C155" i="9"/>
  <c r="E138" i="9"/>
  <c r="C138" i="9"/>
  <c r="D138" i="9"/>
  <c r="E117" i="9"/>
  <c r="C117" i="9"/>
  <c r="D117" i="9"/>
  <c r="D95" i="9"/>
  <c r="E95" i="9"/>
  <c r="C95" i="9"/>
  <c r="E74" i="9"/>
  <c r="C74" i="9"/>
  <c r="D74" i="9"/>
  <c r="E53" i="9"/>
  <c r="C53" i="9"/>
  <c r="D53" i="9"/>
  <c r="D31" i="9"/>
  <c r="E31" i="9"/>
  <c r="C31" i="9"/>
  <c r="E218" i="9"/>
  <c r="D218" i="9"/>
  <c r="C218" i="9"/>
  <c r="E202" i="9"/>
  <c r="D202" i="9"/>
  <c r="C202" i="9"/>
  <c r="E186" i="9"/>
  <c r="C186" i="9"/>
  <c r="D186" i="9"/>
  <c r="E170" i="9"/>
  <c r="C170" i="9"/>
  <c r="D170" i="9"/>
  <c r="E154" i="9"/>
  <c r="C154" i="9"/>
  <c r="D154" i="9"/>
  <c r="E137" i="9"/>
  <c r="C137" i="9"/>
  <c r="D137" i="9"/>
  <c r="D115" i="9"/>
  <c r="E115" i="9"/>
  <c r="C115" i="9"/>
  <c r="E94" i="9"/>
  <c r="D94" i="9"/>
  <c r="C94" i="9"/>
  <c r="E73" i="9"/>
  <c r="C73" i="9"/>
  <c r="D73" i="9"/>
  <c r="D51" i="9"/>
  <c r="E51" i="9"/>
  <c r="C51" i="9"/>
  <c r="E30" i="9"/>
  <c r="D30" i="9"/>
  <c r="C30" i="9"/>
  <c r="E132" i="9"/>
  <c r="D132" i="9"/>
  <c r="C132" i="9"/>
  <c r="E116" i="9"/>
  <c r="D116" i="9"/>
  <c r="C116" i="9"/>
  <c r="E100" i="9"/>
  <c r="D100" i="9"/>
  <c r="C100" i="9"/>
  <c r="E84" i="9"/>
  <c r="D84" i="9"/>
  <c r="C84" i="9"/>
  <c r="E68" i="9"/>
  <c r="D68" i="9"/>
  <c r="C68" i="9"/>
  <c r="E52" i="9"/>
  <c r="D52" i="9"/>
  <c r="C52" i="9"/>
  <c r="E36" i="9"/>
  <c r="D36" i="9"/>
  <c r="C36" i="9"/>
  <c r="I337" i="9"/>
  <c r="G337" i="9"/>
  <c r="H337" i="9"/>
  <c r="I621" i="9"/>
  <c r="G621" i="9"/>
  <c r="H621" i="9"/>
  <c r="I561" i="9"/>
  <c r="G561" i="9"/>
  <c r="H561" i="9"/>
  <c r="I653" i="9"/>
  <c r="G653" i="9"/>
  <c r="H653" i="9"/>
  <c r="D87" i="9"/>
  <c r="E87" i="9"/>
  <c r="C87" i="9"/>
  <c r="E165" i="9"/>
  <c r="C165" i="9"/>
  <c r="D165" i="9"/>
  <c r="E229" i="9"/>
  <c r="D229" i="9"/>
  <c r="C229" i="9"/>
  <c r="E261" i="9"/>
  <c r="D261" i="9"/>
  <c r="C261" i="9"/>
  <c r="E293" i="9"/>
  <c r="D293" i="9"/>
  <c r="C293" i="9"/>
  <c r="E317" i="9"/>
  <c r="D317" i="9"/>
  <c r="C317" i="9"/>
  <c r="E338" i="9"/>
  <c r="D338" i="9"/>
  <c r="C338" i="9"/>
  <c r="E359" i="9"/>
  <c r="D359" i="9"/>
  <c r="C359" i="9"/>
  <c r="D381" i="9"/>
  <c r="E381" i="9"/>
  <c r="C381" i="9"/>
  <c r="E402" i="9"/>
  <c r="D402" i="9"/>
  <c r="C402" i="9"/>
  <c r="E423" i="9"/>
  <c r="D423" i="9"/>
  <c r="C423" i="9"/>
  <c r="D445" i="9"/>
  <c r="E445" i="9"/>
  <c r="C445" i="9"/>
  <c r="E466" i="9"/>
  <c r="D466" i="9"/>
  <c r="C466" i="9"/>
  <c r="E487" i="9"/>
  <c r="D487" i="9"/>
  <c r="C487" i="9"/>
  <c r="D509" i="9"/>
  <c r="E509" i="9"/>
  <c r="C509" i="9"/>
  <c r="E530" i="9"/>
  <c r="D530" i="9"/>
  <c r="C530" i="9"/>
  <c r="E551" i="9"/>
  <c r="D551" i="9"/>
  <c r="C551" i="9"/>
  <c r="E567" i="9"/>
  <c r="D567" i="9"/>
  <c r="C567" i="9"/>
  <c r="E583" i="9"/>
  <c r="D583" i="9"/>
  <c r="C583" i="9"/>
  <c r="E599" i="9"/>
  <c r="D599" i="9"/>
  <c r="C599" i="9"/>
  <c r="E615" i="9"/>
  <c r="D615" i="9"/>
  <c r="C615" i="9"/>
  <c r="E631" i="9"/>
  <c r="D631" i="9"/>
  <c r="C631" i="9"/>
  <c r="E647" i="9"/>
  <c r="D647" i="9"/>
  <c r="C647" i="9"/>
  <c r="E663" i="9"/>
  <c r="D663" i="9"/>
  <c r="C663" i="9"/>
  <c r="E679" i="9"/>
  <c r="D679" i="9"/>
  <c r="C679" i="9"/>
  <c r="E695" i="9"/>
  <c r="D695" i="9"/>
  <c r="C695" i="9"/>
  <c r="E270" i="9"/>
  <c r="D270" i="9"/>
  <c r="C270" i="9"/>
  <c r="D323" i="9"/>
  <c r="E323" i="9"/>
  <c r="C323" i="9"/>
  <c r="E371" i="9"/>
  <c r="D371" i="9"/>
  <c r="C371" i="9"/>
  <c r="E414" i="9"/>
  <c r="D414" i="9"/>
  <c r="C414" i="9"/>
  <c r="D457" i="9"/>
  <c r="E457" i="9"/>
  <c r="C457" i="9"/>
  <c r="E499" i="9"/>
  <c r="D499" i="9"/>
  <c r="C499" i="9"/>
  <c r="E542" i="9"/>
  <c r="D542" i="9"/>
  <c r="C542" i="9"/>
  <c r="E576" i="9"/>
  <c r="D576" i="9"/>
  <c r="C576" i="9"/>
  <c r="E608" i="9"/>
  <c r="D608" i="9"/>
  <c r="C608" i="9"/>
  <c r="E644" i="9"/>
  <c r="D644" i="9"/>
  <c r="C644" i="9"/>
  <c r="E680" i="9"/>
  <c r="D680" i="9"/>
  <c r="C680" i="9"/>
  <c r="E98" i="9"/>
  <c r="C98" i="9"/>
  <c r="D98" i="9"/>
  <c r="E297" i="9"/>
  <c r="D297" i="9"/>
  <c r="C297" i="9"/>
  <c r="E383" i="9"/>
  <c r="D383" i="9"/>
  <c r="C383" i="9"/>
  <c r="D469" i="9"/>
  <c r="E469" i="9"/>
  <c r="C469" i="9"/>
  <c r="D553" i="9"/>
  <c r="E553" i="9"/>
  <c r="C553" i="9"/>
  <c r="D617" i="9"/>
  <c r="E617" i="9"/>
  <c r="C617" i="9"/>
  <c r="D681" i="9"/>
  <c r="E681" i="9"/>
  <c r="C681" i="9"/>
  <c r="E351" i="9"/>
  <c r="D351" i="9"/>
  <c r="C351" i="9"/>
  <c r="E522" i="9"/>
  <c r="D522" i="9"/>
  <c r="C522" i="9"/>
  <c r="D657" i="9"/>
  <c r="E657" i="9"/>
  <c r="C657" i="9"/>
  <c r="E34" i="9"/>
  <c r="C34" i="9"/>
  <c r="D34" i="9"/>
  <c r="E273" i="9"/>
  <c r="D273" i="9"/>
  <c r="C273" i="9"/>
  <c r="E367" i="9"/>
  <c r="D367" i="9"/>
  <c r="C367" i="9"/>
  <c r="D453" i="9"/>
  <c r="E453" i="9"/>
  <c r="C453" i="9"/>
  <c r="E538" i="9"/>
  <c r="D538" i="9"/>
  <c r="C538" i="9"/>
  <c r="D605" i="9"/>
  <c r="E605" i="9"/>
  <c r="C605" i="9"/>
  <c r="D669" i="9"/>
  <c r="E669" i="9"/>
  <c r="C669" i="9"/>
  <c r="E281" i="9"/>
  <c r="D281" i="9"/>
  <c r="C281" i="9"/>
  <c r="E458" i="9"/>
  <c r="D458" i="9"/>
  <c r="C458" i="9"/>
  <c r="D609" i="9"/>
  <c r="E609" i="9"/>
  <c r="C609" i="9"/>
  <c r="E257" i="9"/>
  <c r="D257" i="9"/>
  <c r="C257" i="9"/>
  <c r="D357" i="9"/>
  <c r="E357" i="9"/>
  <c r="C357" i="9"/>
  <c r="E442" i="9"/>
  <c r="D442" i="9"/>
  <c r="C442" i="9"/>
  <c r="E527" i="9"/>
  <c r="D527" i="9"/>
  <c r="C527" i="9"/>
  <c r="D597" i="9"/>
  <c r="E597" i="9"/>
  <c r="C597" i="9"/>
  <c r="D661" i="9"/>
  <c r="E661" i="9"/>
  <c r="C661" i="9"/>
  <c r="I669" i="9"/>
  <c r="G669" i="9"/>
  <c r="H669" i="9"/>
  <c r="E337" i="9"/>
  <c r="D337" i="9"/>
  <c r="C337" i="9"/>
  <c r="E507" i="9"/>
  <c r="D507" i="9"/>
  <c r="C507" i="9"/>
  <c r="E598" i="9"/>
  <c r="D598" i="9"/>
  <c r="C598" i="9"/>
  <c r="E678" i="9"/>
  <c r="D678" i="9"/>
  <c r="C678" i="9"/>
  <c r="I657" i="9"/>
  <c r="G657" i="9"/>
  <c r="H657" i="9"/>
  <c r="I614" i="9"/>
  <c r="G614" i="9"/>
  <c r="H614" i="9"/>
  <c r="I566" i="9"/>
  <c r="G566" i="9"/>
  <c r="H566" i="9"/>
  <c r="I425" i="9"/>
  <c r="G425" i="9"/>
  <c r="H425" i="9"/>
  <c r="I297" i="9"/>
  <c r="G297" i="9"/>
  <c r="H297" i="9"/>
  <c r="I136" i="9"/>
  <c r="G136" i="9"/>
  <c r="H136" i="9"/>
  <c r="I687" i="9"/>
  <c r="G687" i="9"/>
  <c r="H687" i="9"/>
  <c r="I666" i="9"/>
  <c r="G666" i="9"/>
  <c r="H666" i="9"/>
  <c r="I645" i="9"/>
  <c r="G645" i="9"/>
  <c r="H645" i="9"/>
  <c r="I623" i="9"/>
  <c r="G623" i="9"/>
  <c r="H623" i="9"/>
  <c r="I602" i="9"/>
  <c r="G602" i="9"/>
  <c r="H602" i="9"/>
  <c r="I581" i="9"/>
  <c r="G581" i="9"/>
  <c r="H581" i="9"/>
  <c r="I477" i="9"/>
  <c r="G477" i="9"/>
  <c r="H477" i="9"/>
  <c r="I353" i="9"/>
  <c r="G353" i="9"/>
  <c r="H353" i="9"/>
  <c r="I691" i="9"/>
  <c r="G691" i="9"/>
  <c r="H691" i="9"/>
  <c r="I670" i="9"/>
  <c r="G670" i="9"/>
  <c r="H670" i="9"/>
  <c r="I649" i="9"/>
  <c r="G649" i="9"/>
  <c r="H649" i="9"/>
  <c r="I627" i="9"/>
  <c r="G627" i="9"/>
  <c r="H627" i="9"/>
  <c r="I606" i="9"/>
  <c r="G606" i="9"/>
  <c r="H606" i="9"/>
  <c r="I585" i="9"/>
  <c r="G585" i="9"/>
  <c r="H585" i="9"/>
  <c r="I554" i="9"/>
  <c r="G554" i="9"/>
  <c r="H554" i="9"/>
  <c r="I490" i="9"/>
  <c r="G490" i="9"/>
  <c r="H490" i="9"/>
  <c r="I377" i="9"/>
  <c r="G377" i="9"/>
  <c r="H377" i="9"/>
  <c r="I243" i="9"/>
  <c r="G243" i="9"/>
  <c r="H243" i="9"/>
  <c r="I72" i="9"/>
  <c r="G72" i="9"/>
  <c r="H72" i="9"/>
  <c r="I541" i="9"/>
  <c r="G541" i="9"/>
  <c r="H541" i="9"/>
  <c r="I525" i="9"/>
  <c r="G525" i="9"/>
  <c r="H525" i="9"/>
  <c r="I509" i="9"/>
  <c r="G509" i="9"/>
  <c r="H509" i="9"/>
  <c r="I493" i="9"/>
  <c r="G493" i="9"/>
  <c r="H493" i="9"/>
  <c r="I476" i="9"/>
  <c r="G476" i="9"/>
  <c r="H476" i="9"/>
  <c r="I446" i="9"/>
  <c r="G446" i="9"/>
  <c r="H446" i="9"/>
  <c r="I414" i="9"/>
  <c r="G414" i="9"/>
  <c r="H414" i="9"/>
  <c r="I382" i="9"/>
  <c r="G382" i="9"/>
  <c r="H382" i="9"/>
  <c r="I350" i="9"/>
  <c r="G350" i="9"/>
  <c r="H350" i="9"/>
  <c r="I318" i="9"/>
  <c r="G318" i="9"/>
  <c r="H318" i="9"/>
  <c r="I286" i="9"/>
  <c r="G286" i="9"/>
  <c r="H286" i="9"/>
  <c r="I250" i="9"/>
  <c r="G250" i="9"/>
  <c r="H250" i="9"/>
  <c r="I207" i="9"/>
  <c r="G207" i="9"/>
  <c r="H207" i="9"/>
  <c r="I164" i="9"/>
  <c r="G164" i="9"/>
  <c r="H164" i="9"/>
  <c r="I122" i="9"/>
  <c r="G122" i="9"/>
  <c r="H122" i="9"/>
  <c r="I79" i="9"/>
  <c r="G79" i="9"/>
  <c r="H79" i="9"/>
  <c r="I24" i="9"/>
  <c r="H24" i="9"/>
  <c r="G24" i="9"/>
  <c r="I680" i="9"/>
  <c r="G680" i="9"/>
  <c r="H680" i="9"/>
  <c r="I664" i="9"/>
  <c r="G664" i="9"/>
  <c r="H664" i="9"/>
  <c r="I648" i="9"/>
  <c r="G648" i="9"/>
  <c r="H648" i="9"/>
  <c r="I632" i="9"/>
  <c r="G632" i="9"/>
  <c r="H632" i="9"/>
  <c r="I616" i="9"/>
  <c r="G616" i="9"/>
  <c r="H616" i="9"/>
  <c r="I600" i="9"/>
  <c r="G600" i="9"/>
  <c r="H600" i="9"/>
  <c r="I584" i="9"/>
  <c r="G584" i="9"/>
  <c r="H584" i="9"/>
  <c r="I568" i="9"/>
  <c r="G568" i="9"/>
  <c r="H568" i="9"/>
  <c r="I552" i="9"/>
  <c r="G552" i="9"/>
  <c r="H552" i="9"/>
  <c r="I536" i="9"/>
  <c r="G536" i="9"/>
  <c r="H536" i="9"/>
  <c r="I520" i="9"/>
  <c r="G520" i="9"/>
  <c r="H520" i="9"/>
  <c r="I504" i="9"/>
  <c r="G504" i="9"/>
  <c r="H504" i="9"/>
  <c r="I488" i="9"/>
  <c r="G488" i="9"/>
  <c r="H488" i="9"/>
  <c r="I469" i="9"/>
  <c r="G469" i="9"/>
  <c r="H469" i="9"/>
  <c r="I437" i="9"/>
  <c r="G437" i="9"/>
  <c r="H437" i="9"/>
  <c r="I405" i="9"/>
  <c r="G405" i="9"/>
  <c r="H405" i="9"/>
  <c r="I373" i="9"/>
  <c r="G373" i="9"/>
  <c r="H373" i="9"/>
  <c r="I341" i="9"/>
  <c r="G341" i="9"/>
  <c r="H341" i="9"/>
  <c r="I309" i="9"/>
  <c r="G309" i="9"/>
  <c r="H309" i="9"/>
  <c r="I277" i="9"/>
  <c r="G277" i="9"/>
  <c r="H277" i="9"/>
  <c r="I238" i="9"/>
  <c r="G238" i="9"/>
  <c r="H238" i="9"/>
  <c r="I195" i="9"/>
  <c r="G195" i="9"/>
  <c r="H195" i="9"/>
  <c r="I152" i="9"/>
  <c r="G152" i="9"/>
  <c r="H152" i="9"/>
  <c r="I110" i="9"/>
  <c r="G110" i="9"/>
  <c r="H110" i="9"/>
  <c r="I67" i="9"/>
  <c r="G67" i="9"/>
  <c r="H67" i="9"/>
  <c r="I575" i="9"/>
  <c r="G575" i="9"/>
  <c r="H575" i="9"/>
  <c r="I559" i="9"/>
  <c r="G559" i="9"/>
  <c r="H559" i="9"/>
  <c r="I543" i="9"/>
  <c r="G543" i="9"/>
  <c r="H543" i="9"/>
  <c r="I527" i="9"/>
  <c r="G527" i="9"/>
  <c r="H527" i="9"/>
  <c r="I511" i="9"/>
  <c r="G511" i="9"/>
  <c r="H511" i="9"/>
  <c r="I495" i="9"/>
  <c r="G495" i="9"/>
  <c r="H495" i="9"/>
  <c r="I478" i="9"/>
  <c r="G478" i="9"/>
  <c r="H478" i="9"/>
  <c r="I450" i="9"/>
  <c r="G450" i="9"/>
  <c r="H450" i="9"/>
  <c r="I418" i="9"/>
  <c r="G418" i="9"/>
  <c r="H418" i="9"/>
  <c r="I386" i="9"/>
  <c r="G386" i="9"/>
  <c r="H386" i="9"/>
  <c r="I354" i="9"/>
  <c r="G354" i="9"/>
  <c r="H354" i="9"/>
  <c r="I322" i="9"/>
  <c r="G322" i="9"/>
  <c r="H322" i="9"/>
  <c r="I290" i="9"/>
  <c r="G290" i="9"/>
  <c r="H290" i="9"/>
  <c r="I255" i="9"/>
  <c r="G255" i="9"/>
  <c r="H255" i="9"/>
  <c r="I212" i="9"/>
  <c r="G212" i="9"/>
  <c r="H212" i="9"/>
  <c r="I170" i="9"/>
  <c r="G170" i="9"/>
  <c r="H170" i="9"/>
  <c r="I127" i="9"/>
  <c r="G127" i="9"/>
  <c r="H127" i="9"/>
  <c r="I84" i="9"/>
  <c r="G84" i="9"/>
  <c r="H84" i="9"/>
  <c r="I62" i="9"/>
  <c r="G62" i="9"/>
  <c r="H62" i="9"/>
  <c r="I40" i="9"/>
  <c r="G40" i="9"/>
  <c r="H40" i="9"/>
  <c r="I464" i="9"/>
  <c r="G464" i="9"/>
  <c r="H464" i="9"/>
  <c r="I448" i="9"/>
  <c r="G448" i="9"/>
  <c r="H448" i="9"/>
  <c r="I432" i="9"/>
  <c r="G432" i="9"/>
  <c r="H432" i="9"/>
  <c r="I416" i="9"/>
  <c r="G416" i="9"/>
  <c r="H416" i="9"/>
  <c r="I400" i="9"/>
  <c r="G400" i="9"/>
  <c r="H400" i="9"/>
  <c r="I384" i="9"/>
  <c r="G384" i="9"/>
  <c r="H384" i="9"/>
  <c r="I368" i="9"/>
  <c r="G368" i="9"/>
  <c r="H368" i="9"/>
  <c r="I352" i="9"/>
  <c r="G352" i="9"/>
  <c r="H352" i="9"/>
  <c r="I336" i="9"/>
  <c r="G336" i="9"/>
  <c r="H336" i="9"/>
  <c r="I320" i="9"/>
  <c r="G320" i="9"/>
  <c r="H320" i="9"/>
  <c r="I304" i="9"/>
  <c r="G304" i="9"/>
  <c r="H304" i="9"/>
  <c r="I288" i="9"/>
  <c r="G288" i="9"/>
  <c r="H288" i="9"/>
  <c r="I272" i="9"/>
  <c r="G272" i="9"/>
  <c r="H272" i="9"/>
  <c r="I252" i="9"/>
  <c r="G252" i="9"/>
  <c r="H252" i="9"/>
  <c r="I231" i="9"/>
  <c r="G231" i="9"/>
  <c r="H231" i="9"/>
  <c r="I210" i="9"/>
  <c r="G210" i="9"/>
  <c r="H210" i="9"/>
  <c r="I188" i="9"/>
  <c r="G188" i="9"/>
  <c r="H188" i="9"/>
  <c r="I167" i="9"/>
  <c r="G167" i="9"/>
  <c r="H167" i="9"/>
  <c r="I146" i="9"/>
  <c r="G146" i="9"/>
  <c r="H146" i="9"/>
  <c r="I124" i="9"/>
  <c r="G124" i="9"/>
  <c r="H124" i="9"/>
  <c r="I103" i="9"/>
  <c r="G103" i="9"/>
  <c r="H103" i="9"/>
  <c r="I82" i="9"/>
  <c r="G82" i="9"/>
  <c r="H82" i="9"/>
  <c r="I60" i="9"/>
  <c r="G60" i="9"/>
  <c r="H60" i="9"/>
  <c r="I39" i="9"/>
  <c r="G39" i="9"/>
  <c r="H39" i="9"/>
  <c r="I475" i="9"/>
  <c r="G475" i="9"/>
  <c r="H475" i="9"/>
  <c r="I459" i="9"/>
  <c r="G459" i="9"/>
  <c r="H459" i="9"/>
  <c r="I443" i="9"/>
  <c r="G443" i="9"/>
  <c r="H443" i="9"/>
  <c r="I427" i="9"/>
  <c r="G427" i="9"/>
  <c r="H427" i="9"/>
  <c r="I411" i="9"/>
  <c r="G411" i="9"/>
  <c r="H411" i="9"/>
  <c r="I395" i="9"/>
  <c r="G395" i="9"/>
  <c r="H395" i="9"/>
  <c r="I379" i="9"/>
  <c r="G379" i="9"/>
  <c r="H379" i="9"/>
  <c r="I363" i="9"/>
  <c r="G363" i="9"/>
  <c r="H363" i="9"/>
  <c r="I347" i="9"/>
  <c r="G347" i="9"/>
  <c r="H347" i="9"/>
  <c r="I331" i="9"/>
  <c r="G331" i="9"/>
  <c r="H331" i="9"/>
  <c r="I315" i="9"/>
  <c r="G315" i="9"/>
  <c r="H315" i="9"/>
  <c r="I299" i="9"/>
  <c r="G299" i="9"/>
  <c r="H299" i="9"/>
  <c r="I283" i="9"/>
  <c r="G283" i="9"/>
  <c r="H283" i="9"/>
  <c r="I267" i="9"/>
  <c r="G267" i="9"/>
  <c r="H267" i="9"/>
  <c r="I246" i="9"/>
  <c r="G246" i="9"/>
  <c r="H246" i="9"/>
  <c r="I224" i="9"/>
  <c r="G224" i="9"/>
  <c r="H224" i="9"/>
  <c r="I203" i="9"/>
  <c r="G203" i="9"/>
  <c r="H203" i="9"/>
  <c r="I182" i="9"/>
  <c r="G182" i="9"/>
  <c r="H182" i="9"/>
  <c r="I160" i="9"/>
  <c r="G160" i="9"/>
  <c r="H160" i="9"/>
  <c r="I139" i="9"/>
  <c r="G139" i="9"/>
  <c r="H139" i="9"/>
  <c r="I118" i="9"/>
  <c r="G118" i="9"/>
  <c r="H118" i="9"/>
  <c r="I96" i="9"/>
  <c r="G96" i="9"/>
  <c r="H96" i="9"/>
  <c r="I75" i="9"/>
  <c r="G75" i="9"/>
  <c r="H75" i="9"/>
  <c r="I54" i="9"/>
  <c r="G54" i="9"/>
  <c r="H54" i="9"/>
  <c r="I32" i="9"/>
  <c r="G32" i="9"/>
  <c r="H32" i="9"/>
  <c r="I257" i="9"/>
  <c r="G257" i="9"/>
  <c r="H257" i="9"/>
  <c r="I241" i="9"/>
  <c r="G241" i="9"/>
  <c r="H241" i="9"/>
  <c r="I225" i="9"/>
  <c r="G225" i="9"/>
  <c r="H225" i="9"/>
  <c r="I209" i="9"/>
  <c r="G209" i="9"/>
  <c r="H209" i="9"/>
  <c r="I193" i="9"/>
  <c r="G193" i="9"/>
  <c r="H193" i="9"/>
  <c r="I177" i="9"/>
  <c r="G177" i="9"/>
  <c r="H177" i="9"/>
  <c r="I161" i="9"/>
  <c r="G161" i="9"/>
  <c r="H161" i="9"/>
  <c r="I145" i="9"/>
  <c r="G145" i="9"/>
  <c r="H145" i="9"/>
  <c r="I129" i="9"/>
  <c r="G129" i="9"/>
  <c r="H129" i="9"/>
  <c r="I113" i="9"/>
  <c r="G113" i="9"/>
  <c r="H113" i="9"/>
  <c r="I97" i="9"/>
  <c r="G97" i="9"/>
  <c r="H97" i="9"/>
  <c r="I81" i="9"/>
  <c r="G81" i="9"/>
  <c r="H81" i="9"/>
  <c r="I65" i="9"/>
  <c r="G65" i="9"/>
  <c r="H65" i="9"/>
  <c r="I49" i="9"/>
  <c r="G49" i="9"/>
  <c r="H49" i="9"/>
  <c r="I33" i="9"/>
  <c r="G33" i="9"/>
  <c r="H33" i="9"/>
  <c r="I305" i="9"/>
  <c r="G305" i="9"/>
  <c r="H305" i="9"/>
  <c r="I594" i="9"/>
  <c r="G594" i="9"/>
  <c r="H594" i="9"/>
  <c r="E29" i="9"/>
  <c r="C29" i="9"/>
  <c r="D29" i="9"/>
  <c r="E114" i="9"/>
  <c r="C114" i="9"/>
  <c r="D114" i="9"/>
  <c r="E185" i="9"/>
  <c r="C185" i="9"/>
  <c r="D185" i="9"/>
  <c r="E254" i="9"/>
  <c r="D254" i="9"/>
  <c r="C254" i="9"/>
  <c r="D307" i="9"/>
  <c r="E307" i="9"/>
  <c r="C307" i="9"/>
  <c r="D345" i="9"/>
  <c r="E345" i="9"/>
  <c r="C345" i="9"/>
  <c r="E387" i="9"/>
  <c r="D387" i="9"/>
  <c r="C387" i="9"/>
  <c r="E430" i="9"/>
  <c r="D430" i="9"/>
  <c r="C430" i="9"/>
  <c r="D473" i="9"/>
  <c r="E473" i="9"/>
  <c r="C473" i="9"/>
  <c r="E515" i="9"/>
  <c r="D515" i="9"/>
  <c r="C515" i="9"/>
  <c r="E556" i="9"/>
  <c r="D556" i="9"/>
  <c r="C556" i="9"/>
  <c r="E588" i="9"/>
  <c r="D588" i="9"/>
  <c r="C588" i="9"/>
  <c r="E616" i="9"/>
  <c r="D616" i="9"/>
  <c r="C616" i="9"/>
  <c r="E648" i="9"/>
  <c r="D648" i="9"/>
  <c r="C648" i="9"/>
  <c r="E676" i="9"/>
  <c r="D676" i="9"/>
  <c r="C676" i="9"/>
  <c r="E544" i="9"/>
  <c r="D544" i="9"/>
  <c r="C544" i="9"/>
  <c r="E528" i="9"/>
  <c r="D528" i="9"/>
  <c r="C528" i="9"/>
  <c r="E512" i="9"/>
  <c r="D512" i="9"/>
  <c r="C512" i="9"/>
  <c r="E496" i="9"/>
  <c r="D496" i="9"/>
  <c r="C496" i="9"/>
  <c r="E480" i="9"/>
  <c r="D480" i="9"/>
  <c r="C480" i="9"/>
  <c r="E464" i="9"/>
  <c r="D464" i="9"/>
  <c r="C464" i="9"/>
  <c r="E448" i="9"/>
  <c r="D448" i="9"/>
  <c r="C448" i="9"/>
  <c r="E432" i="9"/>
  <c r="D432" i="9"/>
  <c r="C432" i="9"/>
  <c r="E416" i="9"/>
  <c r="D416" i="9"/>
  <c r="C416" i="9"/>
  <c r="E400" i="9"/>
  <c r="D400" i="9"/>
  <c r="C400" i="9"/>
  <c r="E384" i="9"/>
  <c r="D384" i="9"/>
  <c r="C384" i="9"/>
  <c r="E368" i="9"/>
  <c r="D368" i="9"/>
  <c r="C368" i="9"/>
  <c r="E352" i="9"/>
  <c r="D352" i="9"/>
  <c r="C352" i="9"/>
  <c r="D336" i="9"/>
  <c r="E336" i="9"/>
  <c r="C336" i="9"/>
  <c r="D320" i="9"/>
  <c r="E320" i="9"/>
  <c r="C320" i="9"/>
  <c r="D304" i="9"/>
  <c r="E304" i="9"/>
  <c r="C304" i="9"/>
  <c r="D288" i="9"/>
  <c r="E288" i="9"/>
  <c r="C288" i="9"/>
  <c r="D272" i="9"/>
  <c r="E272" i="9"/>
  <c r="C272" i="9"/>
  <c r="D256" i="9"/>
  <c r="E256" i="9"/>
  <c r="C256" i="9"/>
  <c r="D240" i="9"/>
  <c r="E240" i="9"/>
  <c r="C240" i="9"/>
  <c r="D224" i="9"/>
  <c r="E224" i="9"/>
  <c r="C224" i="9"/>
  <c r="D208" i="9"/>
  <c r="E208" i="9"/>
  <c r="C208" i="9"/>
  <c r="D192" i="9"/>
  <c r="E192" i="9"/>
  <c r="C192" i="9"/>
  <c r="D176" i="9"/>
  <c r="E176" i="9"/>
  <c r="C176" i="9"/>
  <c r="D160" i="9"/>
  <c r="E160" i="9"/>
  <c r="C160" i="9"/>
  <c r="D144" i="9"/>
  <c r="E144" i="9"/>
  <c r="C144" i="9"/>
  <c r="D123" i="9"/>
  <c r="E123" i="9"/>
  <c r="C123" i="9"/>
  <c r="E102" i="9"/>
  <c r="D102" i="9"/>
  <c r="C102" i="9"/>
  <c r="E81" i="9"/>
  <c r="C81" i="9"/>
  <c r="D81" i="9"/>
  <c r="D59" i="9"/>
  <c r="E59" i="9"/>
  <c r="C59" i="9"/>
  <c r="E38" i="9"/>
  <c r="D38" i="9"/>
  <c r="C38" i="9"/>
  <c r="D295" i="9"/>
  <c r="E295" i="9"/>
  <c r="C295" i="9"/>
  <c r="D279" i="9"/>
  <c r="E279" i="9"/>
  <c r="C279" i="9"/>
  <c r="D263" i="9"/>
  <c r="E263" i="9"/>
  <c r="C263" i="9"/>
  <c r="D247" i="9"/>
  <c r="E247" i="9"/>
  <c r="C247" i="9"/>
  <c r="D231" i="9"/>
  <c r="E231" i="9"/>
  <c r="C231" i="9"/>
  <c r="D215" i="9"/>
  <c r="E215" i="9"/>
  <c r="C215" i="9"/>
  <c r="D199" i="9"/>
  <c r="E199" i="9"/>
  <c r="C199" i="9"/>
  <c r="D183" i="9"/>
  <c r="E183" i="9"/>
  <c r="C183" i="9"/>
  <c r="D167" i="9"/>
  <c r="E167" i="9"/>
  <c r="C167" i="9"/>
  <c r="D151" i="9"/>
  <c r="E151" i="9"/>
  <c r="C151" i="9"/>
  <c r="E133" i="9"/>
  <c r="C133" i="9"/>
  <c r="D133" i="9"/>
  <c r="D111" i="9"/>
  <c r="E111" i="9"/>
  <c r="C111" i="9"/>
  <c r="E90" i="9"/>
  <c r="C90" i="9"/>
  <c r="D90" i="9"/>
  <c r="E69" i="9"/>
  <c r="C69" i="9"/>
  <c r="D69" i="9"/>
  <c r="D47" i="9"/>
  <c r="E47" i="9"/>
  <c r="C47" i="9"/>
  <c r="E26" i="9"/>
  <c r="C26" i="9"/>
  <c r="D26" i="9"/>
  <c r="E214" i="9"/>
  <c r="D214" i="9"/>
  <c r="C214" i="9"/>
  <c r="E198" i="9"/>
  <c r="D198" i="9"/>
  <c r="C198" i="9"/>
  <c r="E182" i="9"/>
  <c r="D182" i="9"/>
  <c r="C182" i="9"/>
  <c r="E166" i="9"/>
  <c r="D166" i="9"/>
  <c r="C166" i="9"/>
  <c r="E150" i="9"/>
  <c r="D150" i="9"/>
  <c r="C150" i="9"/>
  <c r="D131" i="9"/>
  <c r="E131" i="9"/>
  <c r="C131" i="9"/>
  <c r="E110" i="9"/>
  <c r="D110" i="9"/>
  <c r="C110" i="9"/>
  <c r="E89" i="9"/>
  <c r="C89" i="9"/>
  <c r="D89" i="9"/>
  <c r="D67" i="9"/>
  <c r="E67" i="9"/>
  <c r="C67" i="9"/>
  <c r="E46" i="9"/>
  <c r="D46" i="9"/>
  <c r="C46" i="9"/>
  <c r="E25" i="9"/>
  <c r="C25" i="9"/>
  <c r="D25" i="9"/>
  <c r="D128" i="9"/>
  <c r="E128" i="9"/>
  <c r="C128" i="9"/>
  <c r="D112" i="9"/>
  <c r="E112" i="9"/>
  <c r="C112" i="9"/>
  <c r="D96" i="9"/>
  <c r="E96" i="9"/>
  <c r="C96" i="9"/>
  <c r="D80" i="9"/>
  <c r="E80" i="9"/>
  <c r="C80" i="9"/>
  <c r="D64" i="9"/>
  <c r="E64" i="9"/>
  <c r="C64" i="9"/>
  <c r="D48" i="9"/>
  <c r="E48" i="9"/>
  <c r="C48" i="9"/>
  <c r="D32" i="9"/>
  <c r="E32" i="9"/>
  <c r="C32" i="9"/>
  <c r="I465" i="9"/>
  <c r="G465" i="9"/>
  <c r="H465" i="9"/>
  <c r="I642" i="9"/>
  <c r="G642" i="9"/>
  <c r="H642" i="9"/>
  <c r="I273" i="9"/>
  <c r="G273" i="9"/>
  <c r="H273" i="9"/>
  <c r="I589" i="9"/>
  <c r="G589" i="9"/>
  <c r="H589" i="9"/>
  <c r="I674" i="9"/>
  <c r="G674" i="9"/>
  <c r="H674" i="9"/>
  <c r="E109" i="9"/>
  <c r="C109" i="9"/>
  <c r="D109" i="9"/>
  <c r="E181" i="9"/>
  <c r="C181" i="9"/>
  <c r="D181" i="9"/>
  <c r="E237" i="9"/>
  <c r="D237" i="9"/>
  <c r="C237" i="9"/>
  <c r="E269" i="9"/>
  <c r="D269" i="9"/>
  <c r="C269" i="9"/>
  <c r="E301" i="9"/>
  <c r="D301" i="9"/>
  <c r="C301" i="9"/>
  <c r="E322" i="9"/>
  <c r="D322" i="9"/>
  <c r="C322" i="9"/>
  <c r="D343" i="9"/>
  <c r="E343" i="9"/>
  <c r="C343" i="9"/>
  <c r="D365" i="9"/>
  <c r="E365" i="9"/>
  <c r="C365" i="9"/>
  <c r="E386" i="9"/>
  <c r="D386" i="9"/>
  <c r="C386" i="9"/>
  <c r="E407" i="9"/>
  <c r="D407" i="9"/>
  <c r="C407" i="9"/>
  <c r="D429" i="9"/>
  <c r="E429" i="9"/>
  <c r="C429" i="9"/>
  <c r="E450" i="9"/>
  <c r="D450" i="9"/>
  <c r="C450" i="9"/>
  <c r="E471" i="9"/>
  <c r="D471" i="9"/>
  <c r="C471" i="9"/>
  <c r="D493" i="9"/>
  <c r="E493" i="9"/>
  <c r="C493" i="9"/>
  <c r="E514" i="9"/>
  <c r="D514" i="9"/>
  <c r="C514" i="9"/>
  <c r="E535" i="9"/>
  <c r="D535" i="9"/>
  <c r="C535" i="9"/>
  <c r="E555" i="9"/>
  <c r="D555" i="9"/>
  <c r="C555" i="9"/>
  <c r="E571" i="9"/>
  <c r="D571" i="9"/>
  <c r="C571" i="9"/>
  <c r="E587" i="9"/>
  <c r="D587" i="9"/>
  <c r="C587" i="9"/>
  <c r="E603" i="9"/>
  <c r="D603" i="9"/>
  <c r="C603" i="9"/>
  <c r="E619" i="9"/>
  <c r="D619" i="9"/>
  <c r="C619" i="9"/>
  <c r="E635" i="9"/>
  <c r="D635" i="9"/>
  <c r="C635" i="9"/>
  <c r="E651" i="9"/>
  <c r="D651" i="9"/>
  <c r="C651" i="9"/>
  <c r="E667" i="9"/>
  <c r="D667" i="9"/>
  <c r="C667" i="9"/>
  <c r="E683" i="9"/>
  <c r="D683" i="9"/>
  <c r="C683" i="9"/>
  <c r="I615" i="9"/>
  <c r="G615" i="9"/>
  <c r="H615" i="9"/>
  <c r="E286" i="9"/>
  <c r="D286" i="9"/>
  <c r="C286" i="9"/>
  <c r="E334" i="9"/>
  <c r="D334" i="9"/>
  <c r="C334" i="9"/>
  <c r="E382" i="9"/>
  <c r="D382" i="9"/>
  <c r="C382" i="9"/>
  <c r="D425" i="9"/>
  <c r="E425" i="9"/>
  <c r="C425" i="9"/>
  <c r="E467" i="9"/>
  <c r="D467" i="9"/>
  <c r="C467" i="9"/>
  <c r="E510" i="9"/>
  <c r="D510" i="9"/>
  <c r="C510" i="9"/>
  <c r="E552" i="9"/>
  <c r="D552" i="9"/>
  <c r="C552" i="9"/>
  <c r="E584" i="9"/>
  <c r="D584" i="9"/>
  <c r="C584" i="9"/>
  <c r="E620" i="9"/>
  <c r="D620" i="9"/>
  <c r="C620" i="9"/>
  <c r="E652" i="9"/>
  <c r="D652" i="9"/>
  <c r="C652" i="9"/>
  <c r="E688" i="9"/>
  <c r="D688" i="9"/>
  <c r="C688" i="9"/>
  <c r="E173" i="9"/>
  <c r="C173" i="9"/>
  <c r="D173" i="9"/>
  <c r="D319" i="9"/>
  <c r="E319" i="9"/>
  <c r="C319" i="9"/>
  <c r="D405" i="9"/>
  <c r="E405" i="9"/>
  <c r="C405" i="9"/>
  <c r="E490" i="9"/>
  <c r="D490" i="9"/>
  <c r="C490" i="9"/>
  <c r="D569" i="9"/>
  <c r="E569" i="9"/>
  <c r="C569" i="9"/>
  <c r="D633" i="9"/>
  <c r="E633" i="9"/>
  <c r="C633" i="9"/>
  <c r="E141" i="9"/>
  <c r="C141" i="9"/>
  <c r="D141" i="9"/>
  <c r="E394" i="9"/>
  <c r="D394" i="9"/>
  <c r="C394" i="9"/>
  <c r="D561" i="9"/>
  <c r="E561" i="9"/>
  <c r="C561" i="9"/>
  <c r="D689" i="9"/>
  <c r="E689" i="9"/>
  <c r="C689" i="9"/>
  <c r="D119" i="9"/>
  <c r="E119" i="9"/>
  <c r="C119" i="9"/>
  <c r="D303" i="9"/>
  <c r="E303" i="9"/>
  <c r="C303" i="9"/>
  <c r="D389" i="9"/>
  <c r="E389" i="9"/>
  <c r="C389" i="9"/>
  <c r="E474" i="9"/>
  <c r="D474" i="9"/>
  <c r="C474" i="9"/>
  <c r="D557" i="9"/>
  <c r="E557" i="9"/>
  <c r="C557" i="9"/>
  <c r="D621" i="9"/>
  <c r="E621" i="9"/>
  <c r="C621" i="9"/>
  <c r="D685" i="9"/>
  <c r="E685" i="9"/>
  <c r="C685" i="9"/>
  <c r="E330" i="9"/>
  <c r="D330" i="9"/>
  <c r="C330" i="9"/>
  <c r="D501" i="9"/>
  <c r="E501" i="9"/>
  <c r="C501" i="9"/>
  <c r="D641" i="9"/>
  <c r="E641" i="9"/>
  <c r="C641" i="9"/>
  <c r="E289" i="9"/>
  <c r="D289" i="9"/>
  <c r="C289" i="9"/>
  <c r="E378" i="9"/>
  <c r="D378" i="9"/>
  <c r="C378" i="9"/>
  <c r="E463" i="9"/>
  <c r="D463" i="9"/>
  <c r="C463" i="9"/>
  <c r="D549" i="9"/>
  <c r="E549" i="9"/>
  <c r="C549" i="9"/>
  <c r="D613" i="9"/>
  <c r="E613" i="9"/>
  <c r="C613" i="9"/>
  <c r="D677" i="9"/>
  <c r="E677" i="9"/>
  <c r="C677" i="9"/>
  <c r="I232" i="9"/>
  <c r="G232" i="9"/>
  <c r="H232" i="9"/>
  <c r="E82" i="9"/>
  <c r="C82" i="9"/>
  <c r="D82" i="9"/>
  <c r="E258" i="9"/>
  <c r="D258" i="9"/>
  <c r="C258" i="9"/>
  <c r="E358" i="9"/>
  <c r="D358" i="9"/>
  <c r="C358" i="9"/>
  <c r="E422" i="9"/>
  <c r="D422" i="9"/>
  <c r="C422" i="9"/>
  <c r="E486" i="9"/>
  <c r="D486" i="9"/>
  <c r="C486" i="9"/>
  <c r="D529" i="9"/>
  <c r="E529" i="9"/>
  <c r="C529" i="9"/>
  <c r="E582" i="9"/>
  <c r="D582" i="9"/>
  <c r="C582" i="9"/>
  <c r="E630" i="9"/>
  <c r="D630" i="9"/>
  <c r="C630" i="9"/>
  <c r="E694" i="9"/>
  <c r="D694" i="9"/>
  <c r="C694" i="9"/>
  <c r="I635" i="9"/>
  <c r="G635" i="9"/>
  <c r="H635" i="9"/>
  <c r="I514" i="9"/>
  <c r="G514" i="9"/>
  <c r="H514" i="9"/>
  <c r="I542" i="9"/>
  <c r="G542" i="9"/>
  <c r="H542" i="9"/>
  <c r="I605" i="9"/>
  <c r="G605" i="9"/>
  <c r="H605" i="9"/>
  <c r="D103" i="9"/>
  <c r="E103" i="9"/>
  <c r="C103" i="9"/>
  <c r="E266" i="9"/>
  <c r="D266" i="9"/>
  <c r="C266" i="9"/>
  <c r="E321" i="9"/>
  <c r="D321" i="9"/>
  <c r="C321" i="9"/>
  <c r="D385" i="9"/>
  <c r="E385" i="9"/>
  <c r="C385" i="9"/>
  <c r="D449" i="9"/>
  <c r="E449" i="9"/>
  <c r="C449" i="9"/>
  <c r="D513" i="9"/>
  <c r="E513" i="9"/>
  <c r="C513" i="9"/>
  <c r="E554" i="9"/>
  <c r="D554" i="9"/>
  <c r="C554" i="9"/>
  <c r="E602" i="9"/>
  <c r="D602" i="9"/>
  <c r="C602" i="9"/>
  <c r="E618" i="9"/>
  <c r="D618" i="9"/>
  <c r="C618" i="9"/>
  <c r="E650" i="9"/>
  <c r="D650" i="9"/>
  <c r="C650" i="9"/>
  <c r="E666" i="9"/>
  <c r="D666" i="9"/>
  <c r="C666" i="9"/>
  <c r="I694" i="9"/>
  <c r="G694" i="9"/>
  <c r="H694" i="9"/>
  <c r="I673" i="9"/>
  <c r="G673" i="9"/>
  <c r="H673" i="9"/>
  <c r="I651" i="9"/>
  <c r="G651" i="9"/>
  <c r="H651" i="9"/>
  <c r="I630" i="9"/>
  <c r="G630" i="9"/>
  <c r="H630" i="9"/>
  <c r="I609" i="9"/>
  <c r="G609" i="9"/>
  <c r="H609" i="9"/>
  <c r="I587" i="9"/>
  <c r="G587" i="9"/>
  <c r="H587" i="9"/>
  <c r="I558" i="9"/>
  <c r="G558" i="9"/>
  <c r="H558" i="9"/>
  <c r="I498" i="9"/>
  <c r="G498" i="9"/>
  <c r="H498" i="9"/>
  <c r="I393" i="9"/>
  <c r="G393" i="9"/>
  <c r="H393" i="9"/>
  <c r="I264" i="9"/>
  <c r="G264" i="9"/>
  <c r="H264" i="9"/>
  <c r="I94" i="9"/>
  <c r="G94" i="9"/>
  <c r="H94" i="9"/>
  <c r="I682" i="9"/>
  <c r="G682" i="9"/>
  <c r="H682" i="9"/>
  <c r="I661" i="9"/>
  <c r="G661" i="9"/>
  <c r="H661" i="9"/>
  <c r="I639" i="9"/>
  <c r="G639" i="9"/>
  <c r="H639" i="9"/>
  <c r="I618" i="9"/>
  <c r="G618" i="9"/>
  <c r="H618" i="9"/>
  <c r="I597" i="9"/>
  <c r="G597" i="9"/>
  <c r="H597" i="9"/>
  <c r="I573" i="9"/>
  <c r="G573" i="9"/>
  <c r="H573" i="9"/>
  <c r="I526" i="9"/>
  <c r="G526" i="9"/>
  <c r="H526" i="9"/>
  <c r="I449" i="9"/>
  <c r="G449" i="9"/>
  <c r="H449" i="9"/>
  <c r="I321" i="9"/>
  <c r="G321" i="9"/>
  <c r="H321" i="9"/>
  <c r="I168" i="9"/>
  <c r="G168" i="9"/>
  <c r="H168" i="9"/>
  <c r="I686" i="9"/>
  <c r="G686" i="9"/>
  <c r="H686" i="9"/>
  <c r="I665" i="9"/>
  <c r="G665" i="9"/>
  <c r="H665" i="9"/>
  <c r="I643" i="9"/>
  <c r="G643" i="9"/>
  <c r="H643" i="9"/>
  <c r="I622" i="9"/>
  <c r="G622" i="9"/>
  <c r="H622" i="9"/>
  <c r="I601" i="9"/>
  <c r="G601" i="9"/>
  <c r="H601" i="9"/>
  <c r="I578" i="9"/>
  <c r="G578" i="9"/>
  <c r="H578" i="9"/>
  <c r="I538" i="9"/>
  <c r="G538" i="9"/>
  <c r="H538" i="9"/>
  <c r="I472" i="9"/>
  <c r="G472" i="9"/>
  <c r="H472" i="9"/>
  <c r="I345" i="9"/>
  <c r="G345" i="9"/>
  <c r="H345" i="9"/>
  <c r="I200" i="9"/>
  <c r="G200" i="9"/>
  <c r="H200" i="9"/>
  <c r="I553" i="9"/>
  <c r="G553" i="9"/>
  <c r="H553" i="9"/>
  <c r="I537" i="9"/>
  <c r="G537" i="9"/>
  <c r="H537" i="9"/>
  <c r="I521" i="9"/>
  <c r="G521" i="9"/>
  <c r="H521" i="9"/>
  <c r="I505" i="9"/>
  <c r="G505" i="9"/>
  <c r="H505" i="9"/>
  <c r="I489" i="9"/>
  <c r="G489" i="9"/>
  <c r="H489" i="9"/>
  <c r="I470" i="9"/>
  <c r="G470" i="9"/>
  <c r="H470" i="9"/>
  <c r="I438" i="9"/>
  <c r="G438" i="9"/>
  <c r="H438" i="9"/>
  <c r="I406" i="9"/>
  <c r="G406" i="9"/>
  <c r="H406" i="9"/>
  <c r="I374" i="9"/>
  <c r="G374" i="9"/>
  <c r="H374" i="9"/>
  <c r="I342" i="9"/>
  <c r="G342" i="9"/>
  <c r="H342" i="9"/>
  <c r="I310" i="9"/>
  <c r="G310" i="9"/>
  <c r="H310" i="9"/>
  <c r="I278" i="9"/>
  <c r="G278" i="9"/>
  <c r="H278" i="9"/>
  <c r="I239" i="9"/>
  <c r="G239" i="9"/>
  <c r="H239" i="9"/>
  <c r="I196" i="9"/>
  <c r="G196" i="9"/>
  <c r="H196" i="9"/>
  <c r="I154" i="9"/>
  <c r="G154" i="9"/>
  <c r="H154" i="9"/>
  <c r="I111" i="9"/>
  <c r="G111" i="9"/>
  <c r="H111" i="9"/>
  <c r="I68" i="9"/>
  <c r="G68" i="9"/>
  <c r="H68" i="9"/>
  <c r="I692" i="9"/>
  <c r="G692" i="9"/>
  <c r="H692" i="9"/>
  <c r="I676" i="9"/>
  <c r="G676" i="9"/>
  <c r="H676" i="9"/>
  <c r="I660" i="9"/>
  <c r="G660" i="9"/>
  <c r="H660" i="9"/>
  <c r="I644" i="9"/>
  <c r="G644" i="9"/>
  <c r="H644" i="9"/>
  <c r="I628" i="9"/>
  <c r="G628" i="9"/>
  <c r="H628" i="9"/>
  <c r="I612" i="9"/>
  <c r="G612" i="9"/>
  <c r="H612" i="9"/>
  <c r="I596" i="9"/>
  <c r="G596" i="9"/>
  <c r="H596" i="9"/>
  <c r="I580" i="9"/>
  <c r="G580" i="9"/>
  <c r="H580" i="9"/>
  <c r="I564" i="9"/>
  <c r="G564" i="9"/>
  <c r="H564" i="9"/>
  <c r="I548" i="9"/>
  <c r="G548" i="9"/>
  <c r="H548" i="9"/>
  <c r="I532" i="9"/>
  <c r="G532" i="9"/>
  <c r="H532" i="9"/>
  <c r="I516" i="9"/>
  <c r="G516" i="9"/>
  <c r="H516" i="9"/>
  <c r="I500" i="9"/>
  <c r="G500" i="9"/>
  <c r="H500" i="9"/>
  <c r="I484" i="9"/>
  <c r="G484" i="9"/>
  <c r="H484" i="9"/>
  <c r="I461" i="9"/>
  <c r="G461" i="9"/>
  <c r="H461" i="9"/>
  <c r="I429" i="9"/>
  <c r="G429" i="9"/>
  <c r="H429" i="9"/>
  <c r="I397" i="9"/>
  <c r="G397" i="9"/>
  <c r="H397" i="9"/>
  <c r="I365" i="9"/>
  <c r="G365" i="9"/>
  <c r="H365" i="9"/>
  <c r="I333" i="9"/>
  <c r="G333" i="9"/>
  <c r="H333" i="9"/>
  <c r="I301" i="9"/>
  <c r="G301" i="9"/>
  <c r="H301" i="9"/>
  <c r="I269" i="9"/>
  <c r="G269" i="9"/>
  <c r="H269" i="9"/>
  <c r="I227" i="9"/>
  <c r="G227" i="9"/>
  <c r="H227" i="9"/>
  <c r="I184" i="9"/>
  <c r="G184" i="9"/>
  <c r="H184" i="9"/>
  <c r="I142" i="9"/>
  <c r="G142" i="9"/>
  <c r="H142" i="9"/>
  <c r="I99" i="9"/>
  <c r="G99" i="9"/>
  <c r="H99" i="9"/>
  <c r="I47" i="9"/>
  <c r="G47" i="9"/>
  <c r="H47" i="9"/>
  <c r="I571" i="9"/>
  <c r="G571" i="9"/>
  <c r="H571" i="9"/>
  <c r="I555" i="9"/>
  <c r="G555" i="9"/>
  <c r="H555" i="9"/>
  <c r="I539" i="9"/>
  <c r="G539" i="9"/>
  <c r="H539" i="9"/>
  <c r="I523" i="9"/>
  <c r="G523" i="9"/>
  <c r="H523" i="9"/>
  <c r="I507" i="9"/>
  <c r="G507" i="9"/>
  <c r="H507" i="9"/>
  <c r="I491" i="9"/>
  <c r="G491" i="9"/>
  <c r="H491" i="9"/>
  <c r="I473" i="9"/>
  <c r="G473" i="9"/>
  <c r="H473" i="9"/>
  <c r="I442" i="9"/>
  <c r="G442" i="9"/>
  <c r="H442" i="9"/>
  <c r="I410" i="9"/>
  <c r="G410" i="9"/>
  <c r="H410" i="9"/>
  <c r="I378" i="9"/>
  <c r="G378" i="9"/>
  <c r="H378" i="9"/>
  <c r="I346" i="9"/>
  <c r="G346" i="9"/>
  <c r="H346" i="9"/>
  <c r="I314" i="9"/>
  <c r="G314" i="9"/>
  <c r="H314" i="9"/>
  <c r="I282" i="9"/>
  <c r="G282" i="9"/>
  <c r="H282" i="9"/>
  <c r="I244" i="9"/>
  <c r="G244" i="9"/>
  <c r="H244" i="9"/>
  <c r="I202" i="9"/>
  <c r="G202" i="9"/>
  <c r="H202" i="9"/>
  <c r="I159" i="9"/>
  <c r="G159" i="9"/>
  <c r="H159" i="9"/>
  <c r="I116" i="9"/>
  <c r="G116" i="9"/>
  <c r="H116" i="9"/>
  <c r="I74" i="9"/>
  <c r="G74" i="9"/>
  <c r="H74" i="9"/>
  <c r="I56" i="9"/>
  <c r="G56" i="9"/>
  <c r="H56" i="9"/>
  <c r="I35" i="9"/>
  <c r="G35" i="9"/>
  <c r="H35" i="9"/>
  <c r="I460" i="9"/>
  <c r="G460" i="9"/>
  <c r="H460" i="9"/>
  <c r="I444" i="9"/>
  <c r="G444" i="9"/>
  <c r="H444" i="9"/>
  <c r="I428" i="9"/>
  <c r="G428" i="9"/>
  <c r="H428" i="9"/>
  <c r="I412" i="9"/>
  <c r="G412" i="9"/>
  <c r="H412" i="9"/>
  <c r="I396" i="9"/>
  <c r="G396" i="9"/>
  <c r="H396" i="9"/>
  <c r="I380" i="9"/>
  <c r="G380" i="9"/>
  <c r="H380" i="9"/>
  <c r="I364" i="9"/>
  <c r="G364" i="9"/>
  <c r="H364" i="9"/>
  <c r="I348" i="9"/>
  <c r="G348" i="9"/>
  <c r="H348" i="9"/>
  <c r="I332" i="9"/>
  <c r="G332" i="9"/>
  <c r="H332" i="9"/>
  <c r="I316" i="9"/>
  <c r="G316" i="9"/>
  <c r="H316" i="9"/>
  <c r="I300" i="9"/>
  <c r="G300" i="9"/>
  <c r="H300" i="9"/>
  <c r="I284" i="9"/>
  <c r="G284" i="9"/>
  <c r="H284" i="9"/>
  <c r="I268" i="9"/>
  <c r="G268" i="9"/>
  <c r="H268" i="9"/>
  <c r="I247" i="9"/>
  <c r="G247" i="9"/>
  <c r="H247" i="9"/>
  <c r="I226" i="9"/>
  <c r="G226" i="9"/>
  <c r="H226" i="9"/>
  <c r="I204" i="9"/>
  <c r="G204" i="9"/>
  <c r="H204" i="9"/>
  <c r="I183" i="9"/>
  <c r="G183" i="9"/>
  <c r="H183" i="9"/>
  <c r="I162" i="9"/>
  <c r="G162" i="9"/>
  <c r="H162" i="9"/>
  <c r="I140" i="9"/>
  <c r="G140" i="9"/>
  <c r="H140" i="9"/>
  <c r="I119" i="9"/>
  <c r="G119" i="9"/>
  <c r="H119" i="9"/>
  <c r="I98" i="9"/>
  <c r="G98" i="9"/>
  <c r="H98" i="9"/>
  <c r="I76" i="9"/>
  <c r="G76" i="9"/>
  <c r="H76" i="9"/>
  <c r="I55" i="9"/>
  <c r="G55" i="9"/>
  <c r="H55" i="9"/>
  <c r="I34" i="9"/>
  <c r="G34" i="9"/>
  <c r="H34" i="9"/>
  <c r="I471" i="9"/>
  <c r="G471" i="9"/>
  <c r="H471" i="9"/>
  <c r="I455" i="9"/>
  <c r="G455" i="9"/>
  <c r="H455" i="9"/>
  <c r="I439" i="9"/>
  <c r="G439" i="9"/>
  <c r="H439" i="9"/>
  <c r="I423" i="9"/>
  <c r="G423" i="9"/>
  <c r="H423" i="9"/>
  <c r="I407" i="9"/>
  <c r="G407" i="9"/>
  <c r="H407" i="9"/>
  <c r="I391" i="9"/>
  <c r="G391" i="9"/>
  <c r="H391" i="9"/>
  <c r="I375" i="9"/>
  <c r="G375" i="9"/>
  <c r="H375" i="9"/>
  <c r="I359" i="9"/>
  <c r="G359" i="9"/>
  <c r="H359" i="9"/>
  <c r="I343" i="9"/>
  <c r="G343" i="9"/>
  <c r="H343" i="9"/>
  <c r="I327" i="9"/>
  <c r="G327" i="9"/>
  <c r="H327" i="9"/>
  <c r="I311" i="9"/>
  <c r="G311" i="9"/>
  <c r="H311" i="9"/>
  <c r="I295" i="9"/>
  <c r="G295" i="9"/>
  <c r="H295" i="9"/>
  <c r="I279" i="9"/>
  <c r="G279" i="9"/>
  <c r="H279" i="9"/>
  <c r="I262" i="9"/>
  <c r="G262" i="9"/>
  <c r="H262" i="9"/>
  <c r="I240" i="9"/>
  <c r="G240" i="9"/>
  <c r="H240" i="9"/>
  <c r="I219" i="9"/>
  <c r="G219" i="9"/>
  <c r="H219" i="9"/>
  <c r="I198" i="9"/>
  <c r="G198" i="9"/>
  <c r="H198" i="9"/>
  <c r="I176" i="9"/>
  <c r="G176" i="9"/>
  <c r="H176" i="9"/>
  <c r="I155" i="9"/>
  <c r="G155" i="9"/>
  <c r="H155" i="9"/>
  <c r="I134" i="9"/>
  <c r="G134" i="9"/>
  <c r="H134" i="9"/>
  <c r="I112" i="9"/>
  <c r="G112" i="9"/>
  <c r="H112" i="9"/>
  <c r="I91" i="9"/>
  <c r="G91" i="9"/>
  <c r="H91" i="9"/>
  <c r="I70" i="9"/>
  <c r="G70" i="9"/>
  <c r="H70" i="9"/>
  <c r="I48" i="9"/>
  <c r="G48" i="9"/>
  <c r="H48" i="9"/>
  <c r="I27" i="9"/>
  <c r="G27" i="9"/>
  <c r="H27" i="9"/>
  <c r="I253" i="9"/>
  <c r="G253" i="9"/>
  <c r="H253" i="9"/>
  <c r="I237" i="9"/>
  <c r="G237" i="9"/>
  <c r="H237" i="9"/>
  <c r="I221" i="9"/>
  <c r="G221" i="9"/>
  <c r="H221" i="9"/>
  <c r="I205" i="9"/>
  <c r="G205" i="9"/>
  <c r="H205" i="9"/>
  <c r="I189" i="9"/>
  <c r="G189" i="9"/>
  <c r="H189" i="9"/>
  <c r="I173" i="9"/>
  <c r="G173" i="9"/>
  <c r="H173" i="9"/>
  <c r="I157" i="9"/>
  <c r="G157" i="9"/>
  <c r="H157" i="9"/>
  <c r="I141" i="9"/>
  <c r="G141" i="9"/>
  <c r="H141" i="9"/>
  <c r="I125" i="9"/>
  <c r="G125" i="9"/>
  <c r="H125" i="9"/>
  <c r="I109" i="9"/>
  <c r="G109" i="9"/>
  <c r="H109" i="9"/>
  <c r="I93" i="9"/>
  <c r="G93" i="9"/>
  <c r="H93" i="9"/>
  <c r="I77" i="9"/>
  <c r="G77" i="9"/>
  <c r="H77" i="9"/>
  <c r="I61" i="9"/>
  <c r="G61" i="9"/>
  <c r="H61" i="9"/>
  <c r="I45" i="9"/>
  <c r="G45" i="9"/>
  <c r="H45" i="9"/>
  <c r="I29" i="9"/>
  <c r="G29" i="9"/>
  <c r="H29" i="9"/>
  <c r="I433" i="9"/>
  <c r="G433" i="9"/>
  <c r="H433" i="9"/>
  <c r="I637" i="9"/>
  <c r="G637" i="9"/>
  <c r="H637" i="9"/>
  <c r="E50" i="9"/>
  <c r="C50" i="9"/>
  <c r="D50" i="9"/>
  <c r="D135" i="9"/>
  <c r="E135" i="9"/>
  <c r="C135" i="9"/>
  <c r="E201" i="9"/>
  <c r="C201" i="9"/>
  <c r="D201" i="9"/>
  <c r="E262" i="9"/>
  <c r="D262" i="9"/>
  <c r="C262" i="9"/>
  <c r="E318" i="9"/>
  <c r="D318" i="9"/>
  <c r="C318" i="9"/>
  <c r="E355" i="9"/>
  <c r="D355" i="9"/>
  <c r="C355" i="9"/>
  <c r="E398" i="9"/>
  <c r="D398" i="9"/>
  <c r="C398" i="9"/>
  <c r="D441" i="9"/>
  <c r="E441" i="9"/>
  <c r="C441" i="9"/>
  <c r="E483" i="9"/>
  <c r="D483" i="9"/>
  <c r="C483" i="9"/>
  <c r="E526" i="9"/>
  <c r="D526" i="9"/>
  <c r="C526" i="9"/>
  <c r="E564" i="9"/>
  <c r="D564" i="9"/>
  <c r="C564" i="9"/>
  <c r="E596" i="9"/>
  <c r="D596" i="9"/>
  <c r="C596" i="9"/>
  <c r="E624" i="9"/>
  <c r="D624" i="9"/>
  <c r="C624" i="9"/>
  <c r="E656" i="9"/>
  <c r="D656" i="9"/>
  <c r="C656" i="9"/>
  <c r="E684" i="9"/>
  <c r="D684" i="9"/>
  <c r="C684" i="9"/>
  <c r="E540" i="9"/>
  <c r="D540" i="9"/>
  <c r="C540" i="9"/>
  <c r="E524" i="9"/>
  <c r="D524" i="9"/>
  <c r="C524" i="9"/>
  <c r="E508" i="9"/>
  <c r="D508" i="9"/>
  <c r="C508" i="9"/>
  <c r="E492" i="9"/>
  <c r="D492" i="9"/>
  <c r="C492" i="9"/>
  <c r="E476" i="9"/>
  <c r="D476" i="9"/>
  <c r="C476" i="9"/>
  <c r="E460" i="9"/>
  <c r="D460" i="9"/>
  <c r="C460" i="9"/>
  <c r="E444" i="9"/>
  <c r="D444" i="9"/>
  <c r="C444" i="9"/>
  <c r="E428" i="9"/>
  <c r="D428" i="9"/>
  <c r="C428" i="9"/>
  <c r="E412" i="9"/>
  <c r="D412" i="9"/>
  <c r="C412" i="9"/>
  <c r="E396" i="9"/>
  <c r="D396" i="9"/>
  <c r="C396" i="9"/>
  <c r="E380" i="9"/>
  <c r="D380" i="9"/>
  <c r="C380" i="9"/>
  <c r="E364" i="9"/>
  <c r="D364" i="9"/>
  <c r="C364" i="9"/>
  <c r="E348" i="9"/>
  <c r="D348" i="9"/>
  <c r="C348" i="9"/>
  <c r="D332" i="9"/>
  <c r="E332" i="9"/>
  <c r="C332" i="9"/>
  <c r="D316" i="9"/>
  <c r="E316" i="9"/>
  <c r="C316" i="9"/>
  <c r="D300" i="9"/>
  <c r="E300" i="9"/>
  <c r="C300" i="9"/>
  <c r="D284" i="9"/>
  <c r="E284" i="9"/>
  <c r="C284" i="9"/>
  <c r="D268" i="9"/>
  <c r="E268" i="9"/>
  <c r="C268" i="9"/>
  <c r="D252" i="9"/>
  <c r="E252" i="9"/>
  <c r="C252" i="9"/>
  <c r="D236" i="9"/>
  <c r="E236" i="9"/>
  <c r="C236" i="9"/>
  <c r="D220" i="9"/>
  <c r="E220" i="9"/>
  <c r="C220" i="9"/>
  <c r="D204" i="9"/>
  <c r="E204" i="9"/>
  <c r="C204" i="9"/>
  <c r="D188" i="9"/>
  <c r="E188" i="9"/>
  <c r="C188" i="9"/>
  <c r="D172" i="9"/>
  <c r="E172" i="9"/>
  <c r="C172" i="9"/>
  <c r="D156" i="9"/>
  <c r="E156" i="9"/>
  <c r="C156" i="9"/>
  <c r="D139" i="9"/>
  <c r="E139" i="9"/>
  <c r="C139" i="9"/>
  <c r="E118" i="9"/>
  <c r="D118" i="9"/>
  <c r="C118" i="9"/>
  <c r="E97" i="9"/>
  <c r="C97" i="9"/>
  <c r="D97" i="9"/>
  <c r="D75" i="9"/>
  <c r="E75" i="9"/>
  <c r="C75" i="9"/>
  <c r="E54" i="9"/>
  <c r="D54" i="9"/>
  <c r="C54" i="9"/>
  <c r="E33" i="9"/>
  <c r="C33" i="9"/>
  <c r="D33" i="9"/>
  <c r="D291" i="9"/>
  <c r="E291" i="9"/>
  <c r="C291" i="9"/>
  <c r="D275" i="9"/>
  <c r="E275" i="9"/>
  <c r="C275" i="9"/>
  <c r="D259" i="9"/>
  <c r="E259" i="9"/>
  <c r="C259" i="9"/>
  <c r="D243" i="9"/>
  <c r="E243" i="9"/>
  <c r="C243" i="9"/>
  <c r="D227" i="9"/>
  <c r="E227" i="9"/>
  <c r="C227" i="9"/>
  <c r="D211" i="9"/>
  <c r="E211" i="9"/>
  <c r="C211" i="9"/>
  <c r="D195" i="9"/>
  <c r="E195" i="9"/>
  <c r="C195" i="9"/>
  <c r="E179" i="9"/>
  <c r="D179" i="9"/>
  <c r="C179" i="9"/>
  <c r="E163" i="9"/>
  <c r="D163" i="9"/>
  <c r="C163" i="9"/>
  <c r="E147" i="9"/>
  <c r="D147" i="9"/>
  <c r="C147" i="9"/>
  <c r="D127" i="9"/>
  <c r="E127" i="9"/>
  <c r="C127" i="9"/>
  <c r="E106" i="9"/>
  <c r="C106" i="9"/>
  <c r="D106" i="9"/>
  <c r="E85" i="9"/>
  <c r="C85" i="9"/>
  <c r="D85" i="9"/>
  <c r="D63" i="9"/>
  <c r="E63" i="9"/>
  <c r="C63" i="9"/>
  <c r="E42" i="9"/>
  <c r="C42" i="9"/>
  <c r="D42" i="9"/>
  <c r="E226" i="9"/>
  <c r="D226" i="9"/>
  <c r="C226" i="9"/>
  <c r="E210" i="9"/>
  <c r="D210" i="9"/>
  <c r="C210" i="9"/>
  <c r="E194" i="9"/>
  <c r="D194" i="9"/>
  <c r="C194" i="9"/>
  <c r="E178" i="9"/>
  <c r="C178" i="9"/>
  <c r="D178" i="9"/>
  <c r="E162" i="9"/>
  <c r="C162" i="9"/>
  <c r="D162" i="9"/>
  <c r="E146" i="9"/>
  <c r="C146" i="9"/>
  <c r="D146" i="9"/>
  <c r="E126" i="9"/>
  <c r="D126" i="9"/>
  <c r="C126" i="9"/>
  <c r="E105" i="9"/>
  <c r="C105" i="9"/>
  <c r="D105" i="9"/>
  <c r="D83" i="9"/>
  <c r="E83" i="9"/>
  <c r="C83" i="9"/>
  <c r="E62" i="9"/>
  <c r="D62" i="9"/>
  <c r="C62" i="9"/>
  <c r="E41" i="9"/>
  <c r="C41" i="9"/>
  <c r="D41" i="9"/>
  <c r="E140" i="9"/>
  <c r="D140" i="9"/>
  <c r="C140" i="9"/>
  <c r="E124" i="9"/>
  <c r="D124" i="9"/>
  <c r="C124" i="9"/>
  <c r="E108" i="9"/>
  <c r="D108" i="9"/>
  <c r="C108" i="9"/>
  <c r="E92" i="9"/>
  <c r="D92" i="9"/>
  <c r="C92" i="9"/>
  <c r="E76" i="9"/>
  <c r="D76" i="9"/>
  <c r="C76" i="9"/>
  <c r="E60" i="9"/>
  <c r="D60" i="9"/>
  <c r="C60" i="9"/>
  <c r="E44" i="9"/>
  <c r="D44" i="9"/>
  <c r="C44" i="9"/>
  <c r="E28" i="9"/>
  <c r="D28" i="9"/>
  <c r="C28" i="9"/>
  <c r="I577" i="9"/>
  <c r="G577" i="9"/>
  <c r="H577" i="9"/>
  <c r="I663" i="9"/>
  <c r="G663" i="9"/>
  <c r="H663" i="9"/>
  <c r="I401" i="9"/>
  <c r="G401" i="9"/>
  <c r="H401" i="9"/>
  <c r="I610" i="9"/>
  <c r="G610" i="9"/>
  <c r="H610" i="9"/>
  <c r="I695" i="9"/>
  <c r="G695" i="9"/>
  <c r="H695" i="9"/>
  <c r="E130" i="9"/>
  <c r="C130" i="9"/>
  <c r="D130" i="9"/>
  <c r="E197" i="9"/>
  <c r="C197" i="9"/>
  <c r="D197" i="9"/>
  <c r="E245" i="9"/>
  <c r="D245" i="9"/>
  <c r="C245" i="9"/>
  <c r="E277" i="9"/>
  <c r="D277" i="9"/>
  <c r="C277" i="9"/>
  <c r="E306" i="9"/>
  <c r="D306" i="9"/>
  <c r="C306" i="9"/>
  <c r="D327" i="9"/>
  <c r="E327" i="9"/>
  <c r="C327" i="9"/>
  <c r="D349" i="9"/>
  <c r="E349" i="9"/>
  <c r="C349" i="9"/>
  <c r="E370" i="9"/>
  <c r="D370" i="9"/>
  <c r="C370" i="9"/>
  <c r="E391" i="9"/>
  <c r="D391" i="9"/>
  <c r="C391" i="9"/>
  <c r="D413" i="9"/>
  <c r="E413" i="9"/>
  <c r="C413" i="9"/>
  <c r="E434" i="9"/>
  <c r="D434" i="9"/>
  <c r="C434" i="9"/>
  <c r="E455" i="9"/>
  <c r="D455" i="9"/>
  <c r="C455" i="9"/>
  <c r="D477" i="9"/>
  <c r="E477" i="9"/>
  <c r="C477" i="9"/>
  <c r="E498" i="9"/>
  <c r="D498" i="9"/>
  <c r="C498" i="9"/>
  <c r="E519" i="9"/>
  <c r="D519" i="9"/>
  <c r="C519" i="9"/>
  <c r="D541" i="9"/>
  <c r="E541" i="9"/>
  <c r="C541" i="9"/>
  <c r="E559" i="9"/>
  <c r="D559" i="9"/>
  <c r="C559" i="9"/>
  <c r="E575" i="9"/>
  <c r="D575" i="9"/>
  <c r="C575" i="9"/>
  <c r="E591" i="9"/>
  <c r="D591" i="9"/>
  <c r="C591" i="9"/>
  <c r="E607" i="9"/>
  <c r="D607" i="9"/>
  <c r="C607" i="9"/>
  <c r="E623" i="9"/>
  <c r="D623" i="9"/>
  <c r="C623" i="9"/>
  <c r="E639" i="9"/>
  <c r="D639" i="9"/>
  <c r="C639" i="9"/>
  <c r="E655" i="9"/>
  <c r="D655" i="9"/>
  <c r="C655" i="9"/>
  <c r="E671" i="9"/>
  <c r="D671" i="9"/>
  <c r="C671" i="9"/>
  <c r="E687" i="9"/>
  <c r="D687" i="9"/>
  <c r="C687" i="9"/>
  <c r="E217" i="9"/>
  <c r="D217" i="9"/>
  <c r="C217" i="9"/>
  <c r="E302" i="9"/>
  <c r="D302" i="9"/>
  <c r="C302" i="9"/>
  <c r="E350" i="9"/>
  <c r="D350" i="9"/>
  <c r="C350" i="9"/>
  <c r="D393" i="9"/>
  <c r="E393" i="9"/>
  <c r="C393" i="9"/>
  <c r="E435" i="9"/>
  <c r="D435" i="9"/>
  <c r="C435" i="9"/>
  <c r="E478" i="9"/>
  <c r="D478" i="9"/>
  <c r="C478" i="9"/>
  <c r="D521" i="9"/>
  <c r="E521" i="9"/>
  <c r="C521" i="9"/>
  <c r="E560" i="9"/>
  <c r="D560" i="9"/>
  <c r="C560" i="9"/>
  <c r="E592" i="9"/>
  <c r="D592" i="9"/>
  <c r="C592" i="9"/>
  <c r="E628" i="9"/>
  <c r="D628" i="9"/>
  <c r="C628" i="9"/>
  <c r="E664" i="9"/>
  <c r="D664" i="9"/>
  <c r="C664" i="9"/>
  <c r="E24" i="9"/>
  <c r="D24" i="9"/>
  <c r="E233" i="9"/>
  <c r="D233" i="9"/>
  <c r="C233" i="9"/>
  <c r="E341" i="9"/>
  <c r="D341" i="9"/>
  <c r="C341" i="9"/>
  <c r="E426" i="9"/>
  <c r="D426" i="9"/>
  <c r="C426" i="9"/>
  <c r="E511" i="9"/>
  <c r="D511" i="9"/>
  <c r="C511" i="9"/>
  <c r="D585" i="9"/>
  <c r="E585" i="9"/>
  <c r="C585" i="9"/>
  <c r="D649" i="9"/>
  <c r="E649" i="9"/>
  <c r="C649" i="9"/>
  <c r="E249" i="9"/>
  <c r="D249" i="9"/>
  <c r="C249" i="9"/>
  <c r="D437" i="9"/>
  <c r="E437" i="9"/>
  <c r="C437" i="9"/>
  <c r="D593" i="9"/>
  <c r="E593" i="9"/>
  <c r="C593" i="9"/>
  <c r="E77" i="9"/>
  <c r="C77" i="9"/>
  <c r="D77" i="9"/>
  <c r="E189" i="9"/>
  <c r="C189" i="9"/>
  <c r="D189" i="9"/>
  <c r="E325" i="9"/>
  <c r="D325" i="9"/>
  <c r="C325" i="9"/>
  <c r="E410" i="9"/>
  <c r="D410" i="9"/>
  <c r="C410" i="9"/>
  <c r="E495" i="9"/>
  <c r="D495" i="9"/>
  <c r="C495" i="9"/>
  <c r="D573" i="9"/>
  <c r="E573" i="9"/>
  <c r="C573" i="9"/>
  <c r="D637" i="9"/>
  <c r="E637" i="9"/>
  <c r="C637" i="9"/>
  <c r="D55" i="9"/>
  <c r="E55" i="9"/>
  <c r="C55" i="9"/>
  <c r="D373" i="9"/>
  <c r="E373" i="9"/>
  <c r="C373" i="9"/>
  <c r="E543" i="9"/>
  <c r="D543" i="9"/>
  <c r="C543" i="9"/>
  <c r="D673" i="9"/>
  <c r="E673" i="9"/>
  <c r="C673" i="9"/>
  <c r="E314" i="9"/>
  <c r="D314" i="9"/>
  <c r="C314" i="9"/>
  <c r="E399" i="9"/>
  <c r="D399" i="9"/>
  <c r="C399" i="9"/>
  <c r="D485" i="9"/>
  <c r="E485" i="9"/>
  <c r="C485" i="9"/>
  <c r="D565" i="9"/>
  <c r="E565" i="9"/>
  <c r="C565" i="9"/>
  <c r="D629" i="9"/>
  <c r="E629" i="9"/>
  <c r="C629" i="9"/>
  <c r="D693" i="9"/>
  <c r="E693" i="9"/>
  <c r="C693" i="9"/>
  <c r="E45" i="9"/>
  <c r="C45" i="9"/>
  <c r="D45" i="9"/>
  <c r="H13" i="6"/>
  <c r="H696" i="10" l="1"/>
  <c r="H21" i="10" s="1"/>
  <c r="G696" i="10"/>
  <c r="G21" i="10" s="1"/>
  <c r="I696" i="10"/>
  <c r="I21" i="10" s="1"/>
  <c r="C696" i="9"/>
  <c r="C21" i="9" s="1"/>
  <c r="I696" i="9"/>
  <c r="I21" i="9" s="1"/>
  <c r="H696" i="9"/>
  <c r="H21" i="9" s="1"/>
  <c r="G696" i="9"/>
  <c r="G21" i="9" s="1"/>
  <c r="D696" i="9"/>
  <c r="D21" i="9" s="1"/>
  <c r="E696" i="9"/>
  <c r="E21" i="9" s="1"/>
  <c r="D38" i="4" l="1"/>
  <c r="G38" i="4"/>
  <c r="D39" i="4"/>
  <c r="E22" i="9"/>
  <c r="G39" i="4"/>
  <c r="I22" i="9"/>
  <c r="J21" i="10"/>
  <c r="F21" i="9"/>
  <c r="F22" i="9" s="1"/>
  <c r="G37" i="4"/>
  <c r="G41" i="4" s="1"/>
  <c r="J21" i="9"/>
  <c r="J22" i="9" s="1"/>
  <c r="D37" i="4"/>
  <c r="D41" i="4" s="1"/>
  <c r="J22" i="10" l="1"/>
  <c r="K21" i="10"/>
  <c r="G22" i="10"/>
  <c r="D22" i="9"/>
  <c r="I22" i="10"/>
  <c r="H22" i="10"/>
  <c r="C22" i="9"/>
  <c r="H22" i="9"/>
  <c r="G22" i="9"/>
  <c r="K21" i="9"/>
  <c r="H26" i="4" l="1"/>
  <c r="H25" i="4"/>
  <c r="F33" i="4"/>
  <c r="H20" i="4"/>
  <c r="I20" i="4"/>
  <c r="G20" i="4"/>
  <c r="E33" i="4"/>
  <c r="D33" i="4"/>
  <c r="F14" i="4"/>
  <c r="E14" i="4"/>
  <c r="D14" i="4"/>
  <c r="E9" i="4"/>
  <c r="F9" i="4" s="1"/>
  <c r="G9" i="4" s="1"/>
  <c r="H9" i="4" s="1"/>
  <c r="I9" i="4" s="1"/>
</calcChain>
</file>

<file path=xl/sharedStrings.xml><?xml version="1.0" encoding="utf-8"?>
<sst xmlns="http://schemas.openxmlformats.org/spreadsheetml/2006/main" count="191" uniqueCount="73">
  <si>
    <t>Evaporator Temp</t>
  </si>
  <si>
    <t>Compressor Efficiency</t>
  </si>
  <si>
    <t>kJ/kg</t>
  </si>
  <si>
    <t>kW</t>
  </si>
  <si>
    <t>Compressor Power 1-2</t>
  </si>
  <si>
    <r>
      <t>T</t>
    </r>
    <r>
      <rPr>
        <vertAlign val="subscript"/>
        <sz val="12"/>
        <color theme="1"/>
        <rFont val="Aptos Narrow (Body)"/>
      </rPr>
      <t>0</t>
    </r>
  </si>
  <si>
    <t>K</t>
  </si>
  <si>
    <t>Refrigerant</t>
  </si>
  <si>
    <t>R32</t>
  </si>
  <si>
    <r>
      <t>h</t>
    </r>
    <r>
      <rPr>
        <vertAlign val="subscript"/>
        <sz val="12"/>
        <color theme="1"/>
        <rFont val="Aptos Narrow (Body)"/>
      </rPr>
      <t>1</t>
    </r>
  </si>
  <si>
    <t>Data source</t>
  </si>
  <si>
    <r>
      <t>h</t>
    </r>
    <r>
      <rPr>
        <vertAlign val="subscript"/>
        <sz val="12"/>
        <color theme="1"/>
        <rFont val="Aptos Narrow (Body)"/>
      </rPr>
      <t>2</t>
    </r>
  </si>
  <si>
    <r>
      <t>h</t>
    </r>
    <r>
      <rPr>
        <vertAlign val="subscript"/>
        <sz val="12"/>
        <color theme="1"/>
        <rFont val="Aptos Narrow (Body)"/>
      </rPr>
      <t>4</t>
    </r>
  </si>
  <si>
    <r>
      <t>h</t>
    </r>
    <r>
      <rPr>
        <vertAlign val="subscript"/>
        <sz val="12"/>
        <color theme="1"/>
        <rFont val="Aptos Narrow (Body)"/>
      </rPr>
      <t>3</t>
    </r>
  </si>
  <si>
    <t>Superheating</t>
  </si>
  <si>
    <t>Subcooling</t>
  </si>
  <si>
    <r>
      <t>s</t>
    </r>
    <r>
      <rPr>
        <vertAlign val="subscript"/>
        <sz val="12"/>
        <color theme="1"/>
        <rFont val="Aptos Narrow (Body)"/>
      </rPr>
      <t>1</t>
    </r>
  </si>
  <si>
    <r>
      <t>s</t>
    </r>
    <r>
      <rPr>
        <vertAlign val="subscript"/>
        <sz val="12"/>
        <color theme="1"/>
        <rFont val="Aptos Narrow (Body)"/>
      </rPr>
      <t>2</t>
    </r>
  </si>
  <si>
    <r>
      <t>s</t>
    </r>
    <r>
      <rPr>
        <vertAlign val="subscript"/>
        <sz val="12"/>
        <color theme="1"/>
        <rFont val="Aptos Narrow (Body)"/>
      </rPr>
      <t>3</t>
    </r>
  </si>
  <si>
    <r>
      <t>s</t>
    </r>
    <r>
      <rPr>
        <vertAlign val="subscript"/>
        <sz val="12"/>
        <color theme="1"/>
        <rFont val="Aptos Narrow (Body)"/>
      </rPr>
      <t>4</t>
    </r>
  </si>
  <si>
    <t>J/kg.K</t>
  </si>
  <si>
    <t>Refrigerant mass flow</t>
  </si>
  <si>
    <t>kg/s</t>
  </si>
  <si>
    <t>ºC</t>
  </si>
  <si>
    <t>Evaporator temp</t>
  </si>
  <si>
    <t>Condenser temp</t>
  </si>
  <si>
    <t>Expansion Valve</t>
  </si>
  <si>
    <t>Compressor</t>
  </si>
  <si>
    <t>Evaporator</t>
  </si>
  <si>
    <t>Total</t>
  </si>
  <si>
    <t>tlk-energy.de pressure-enthalpy</t>
  </si>
  <si>
    <r>
      <t>h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</si>
  <si>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t>CoP</t>
  </si>
  <si>
    <r>
      <t>COP</t>
    </r>
    <r>
      <rPr>
        <vertAlign val="subscript"/>
        <sz val="12"/>
        <color theme="1"/>
        <rFont val="Aptos Narrow (Body)"/>
      </rPr>
      <t>carnot</t>
    </r>
  </si>
  <si>
    <r>
      <rPr>
        <sz val="12"/>
        <color theme="1"/>
        <rFont val="Aptos Narrow (Body)"/>
      </rPr>
      <t>s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</si>
  <si>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t>Winter</t>
  </si>
  <si>
    <t>Spring/Autumn</t>
  </si>
  <si>
    <t>Summer</t>
  </si>
  <si>
    <t>Rating condition</t>
  </si>
  <si>
    <t>Rating Condition</t>
  </si>
  <si>
    <t>Add source</t>
  </si>
  <si>
    <t>A7W20</t>
  </si>
  <si>
    <t>A15.3W20</t>
  </si>
  <si>
    <t>A7W10</t>
  </si>
  <si>
    <t>Hot Sink ASHP</t>
  </si>
  <si>
    <t>Cold Sink ASHP</t>
  </si>
  <si>
    <t>9.6*</t>
  </si>
  <si>
    <t>8.9*</t>
  </si>
  <si>
    <t>10.7*</t>
  </si>
  <si>
    <t>Sink demand</t>
  </si>
  <si>
    <t>* Ambient temp &gt; sink temp. HP operation replaced with heat exchanger</t>
  </si>
  <si>
    <t>Air temperature higher than condenser temperature</t>
  </si>
  <si>
    <t>A23W20*</t>
  </si>
  <si>
    <t>A15.3W10*</t>
  </si>
  <si>
    <t>A23W10*</t>
  </si>
  <si>
    <t>Condenser</t>
  </si>
  <si>
    <t>Hours</t>
  </si>
  <si>
    <r>
      <rPr>
        <sz val="12"/>
        <color theme="1"/>
        <rFont val="Aptos Narrow (Body)"/>
      </rPr>
      <t>m</t>
    </r>
    <r>
      <rPr>
        <vertAlign val="subscript"/>
        <sz val="12"/>
        <color theme="1"/>
        <rFont val="Aptos Narrow"/>
        <family val="2"/>
        <scheme val="minor"/>
      </rPr>
      <t>refrig, cold</t>
    </r>
  </si>
  <si>
    <r>
      <rPr>
        <sz val="12"/>
        <color theme="1"/>
        <rFont val="Aptos Narrow (Body)"/>
      </rPr>
      <t>m</t>
    </r>
    <r>
      <rPr>
        <vertAlign val="subscript"/>
        <sz val="12"/>
        <color theme="1"/>
        <rFont val="Aptos Narrow"/>
        <family val="2"/>
        <scheme val="minor"/>
      </rPr>
      <t>refrig, hot</t>
    </r>
  </si>
  <si>
    <r>
      <t>Q</t>
    </r>
    <r>
      <rPr>
        <vertAlign val="subscript"/>
        <sz val="12"/>
        <color theme="1"/>
        <rFont val="Aptos Narrow (Body)"/>
      </rPr>
      <t>cond,</t>
    </r>
    <r>
      <rPr>
        <sz val="12"/>
        <color theme="1"/>
        <rFont val="Aptos Narrow"/>
        <family val="2"/>
        <scheme val="minor"/>
      </rPr>
      <t xml:space="preserve"> </t>
    </r>
    <r>
      <rPr>
        <vertAlign val="subscript"/>
        <sz val="12"/>
        <color theme="1"/>
        <rFont val="Aptos Narrow (Body)"/>
      </rPr>
      <t>h</t>
    </r>
  </si>
  <si>
    <r>
      <t>Q</t>
    </r>
    <r>
      <rPr>
        <vertAlign val="subscript"/>
        <sz val="12"/>
        <color theme="1"/>
        <rFont val="Aptos Narrow (Body)"/>
      </rPr>
      <t>cond,</t>
    </r>
    <r>
      <rPr>
        <sz val="12"/>
        <color theme="1"/>
        <rFont val="Aptos Narrow"/>
        <family val="2"/>
        <scheme val="minor"/>
      </rPr>
      <t xml:space="preserve"> </t>
    </r>
    <r>
      <rPr>
        <vertAlign val="subscript"/>
        <sz val="12"/>
        <color theme="1"/>
        <rFont val="Aptos Narrow (Body)"/>
      </rPr>
      <t>c</t>
    </r>
  </si>
  <si>
    <t>›</t>
  </si>
  <si>
    <t>Condenser Temp</t>
  </si>
  <si>
    <t>kWh</t>
  </si>
  <si>
    <t>Total Exergy Destruction</t>
  </si>
  <si>
    <t>Air term ignored</t>
  </si>
  <si>
    <t>Exergy Destruction over 4-week (672 h) period</t>
  </si>
  <si>
    <t>Total (kWh/kgs)</t>
  </si>
  <si>
    <t>A15.3W10</t>
  </si>
  <si>
    <t>spring/autumn</t>
  </si>
  <si>
    <t>Hot</t>
  </si>
  <si>
    <t>Cold</t>
  </si>
  <si>
    <t>Spring/autumn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</si>
</sst>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0.00000"/>
    <numFmt numFmtId="168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sz val="12"/>
      <color theme="1"/>
      <name val="Aptos Narrow (Body)"/>
    </font>
    <font>
      <u/>
      <sz val="12"/>
      <color theme="10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4" fillId="0" borderId="0" xfId="2"/>
    <xf numFmtId="0" fontId="0" fillId="0" borderId="1" xfId="0" applyBorder="1" applyAlignment="1">
      <alignment horizontal="center"/>
    </xf>
    <xf numFmtId="2" fontId="0" fillId="0" borderId="1" xfId="0" applyNumberFormat="1" applyBorder="1"/>
    <xf numFmtId="43" fontId="0" fillId="0" borderId="0" xfId="3" applyFont="1" applyAlignment="1">
      <alignment horizontal="center"/>
    </xf>
    <xf numFmtId="167" fontId="0" fillId="0" borderId="0" xfId="0" applyNumberFormat="1"/>
    <xf numFmtId="9" fontId="0" fillId="0" borderId="0" xfId="0" applyNumberFormat="1"/>
    <xf numFmtId="9" fontId="6" fillId="0" borderId="0" xfId="1" applyFont="1"/>
    <xf numFmtId="0" fontId="6" fillId="0" borderId="0" xfId="0" applyFont="1"/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166" fontId="6" fillId="0" borderId="0" xfId="0" applyNumberFormat="1" applyFont="1"/>
    <xf numFmtId="165" fontId="6" fillId="0" borderId="1" xfId="0" applyNumberFormat="1" applyFont="1" applyBorder="1"/>
    <xf numFmtId="2" fontId="6" fillId="0" borderId="0" xfId="0" applyNumberFormat="1" applyFont="1"/>
    <xf numFmtId="9" fontId="6" fillId="0" borderId="0" xfId="0" applyNumberFormat="1" applyFont="1"/>
    <xf numFmtId="0" fontId="5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43" fontId="0" fillId="0" borderId="0" xfId="0" applyNumberFormat="1"/>
    <xf numFmtId="43" fontId="0" fillId="0" borderId="6" xfId="3" applyFont="1" applyBorder="1"/>
    <xf numFmtId="9" fontId="0" fillId="0" borderId="0" xfId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0" xfId="0" applyFont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44" fontId="0" fillId="0" borderId="3" xfId="4" applyFont="1" applyBorder="1" applyAlignment="1">
      <alignment horizontal="center"/>
    </xf>
    <xf numFmtId="44" fontId="0" fillId="0" borderId="5" xfId="4" applyFont="1" applyBorder="1" applyAlignment="1">
      <alignment horizontal="center"/>
    </xf>
    <xf numFmtId="44" fontId="0" fillId="0" borderId="2" xfId="4" applyFont="1" applyBorder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0" borderId="0" xfId="1" applyNumberFormat="1" applyFont="1"/>
    <xf numFmtId="168" fontId="1" fillId="0" borderId="0" xfId="1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5">
    <cellStyle name="Comma" xfId="3" builtinId="3"/>
    <cellStyle name="Currency" xfId="4" builtinId="4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hyperlink" Target="https://lucid.app/lucidchart/db6dc4f3-3a87-45e0-96a4-bf86360d9230/edit?crop=content&amp;page=0&amp;signature=cecbc885895521dee399376d071913f49ec042bb00a93002863934724d447761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139700</xdr:colOff>
      <xdr:row>44</xdr:row>
      <xdr:rowOff>38100</xdr:rowOff>
    </xdr:from>
    <xdr:to>
      <xdr:col>14</xdr:col>
      <xdr:colOff>471926</xdr:colOff>
      <xdr:row>55</xdr:row>
      <xdr:rowOff>107305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72A160-518E-B24F-80B3-6081A3C7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2700" y="9069211"/>
          <a:ext cx="5327559" cy="2242316"/>
        </a:xfrm>
        <a:prstGeom prst="rect">
          <a:avLst/>
        </a:prstGeom>
      </xdr:spPr>
    </xdr:pic>
    <xdr:clientData/>
  </xdr:twoCellAnchor>
  <xdr:twoCellAnchor>
    <xdr:from>
      <xdr:col>9</xdr:col>
      <xdr:colOff>25400</xdr:colOff>
      <xdr:row>31</xdr:row>
      <xdr:rowOff>59266</xdr:rowOff>
    </xdr:from>
    <xdr:to>
      <xdr:col>10</xdr:col>
      <xdr:colOff>366421</xdr:colOff>
      <xdr:row>33</xdr:row>
      <xdr:rowOff>155692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8528ED-5676-E14E-9088-A489BFAA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200" y="6663266"/>
          <a:ext cx="1170754" cy="502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11</xdr:col>
      <xdr:colOff>47038</xdr:colOff>
      <xdr:row>36</xdr:row>
      <xdr:rowOff>122083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F67CC4-9C7B-0049-A41F-C1D42B03C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7416800"/>
          <a:ext cx="1706505" cy="325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821267</xdr:colOff>
      <xdr:row>36</xdr:row>
      <xdr:rowOff>110067</xdr:rowOff>
    </xdr:from>
    <xdr:to>
      <xdr:col>11</xdr:col>
      <xdr:colOff>48407</xdr:colOff>
      <xdr:row>37</xdr:row>
      <xdr:rowOff>194734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7A5BA4-3681-5E40-A3E1-25A859965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7334" y="7730067"/>
          <a:ext cx="1716340" cy="287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812800</xdr:colOff>
      <xdr:row>37</xdr:row>
      <xdr:rowOff>194733</xdr:rowOff>
    </xdr:from>
    <xdr:to>
      <xdr:col>14</xdr:col>
      <xdr:colOff>21167</xdr:colOff>
      <xdr:row>40</xdr:row>
      <xdr:rowOff>67733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9B196D2-E2BD-BB29-4DE2-9F9824FA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8867" y="8017933"/>
          <a:ext cx="4186767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812800</xdr:colOff>
      <xdr:row>40</xdr:row>
      <xdr:rowOff>59266</xdr:rowOff>
    </xdr:from>
    <xdr:to>
      <xdr:col>14</xdr:col>
      <xdr:colOff>46567</xdr:colOff>
      <xdr:row>42</xdr:row>
      <xdr:rowOff>110066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F8BADF-83EE-F8FA-96C3-8E651D04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8867" y="8492066"/>
          <a:ext cx="4212167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266702</xdr:colOff>
      <xdr:row>17</xdr:row>
      <xdr:rowOff>146755</xdr:rowOff>
    </xdr:from>
    <xdr:to>
      <xdr:col>22</xdr:col>
      <xdr:colOff>457201</xdr:colOff>
      <xdr:row>30</xdr:row>
      <xdr:rowOff>125589</xdr:rowOff>
    </xdr:to>
    <xdr:pic>
      <xdr:nvPicPr>
        <xdr:cNvPr id="2" name="Picture 1" title="Large-Scale ASHP v1.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ECE652-53F9-6D83-DA0E-E21FFDFE1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0146" y="3561644"/>
          <a:ext cx="5185833" cy="2801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17182</xdr:colOff>
      <xdr:row>22</xdr:row>
      <xdr:rowOff>69476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A01950-8059-7DA0-11B4-43DBF4A0C424}"/>
            </a:ext>
          </a:extLst>
        </xdr:cNvPr>
        <xdr:cNvSpPr txBox="1"/>
      </xdr:nvSpPr>
      <xdr:spPr>
        <a:xfrm>
          <a:off x="7054476" y="251982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</xdr:col>
      <xdr:colOff>1195293</xdr:colOff>
      <xdr:row>0</xdr:row>
      <xdr:rowOff>194235</xdr:rowOff>
    </xdr:from>
    <xdr:to>
      <xdr:col>3</xdr:col>
      <xdr:colOff>341517</xdr:colOff>
      <xdr:row>3</xdr:row>
      <xdr:rowOff>91943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8BBE7B-7745-DB49-AB52-6D7A925C1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528" y="194235"/>
          <a:ext cx="1178224" cy="502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17182</xdr:colOff>
      <xdr:row>31</xdr:row>
      <xdr:rowOff>69476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46E090-0B55-D243-ABDF-73BFD4359949}"/>
            </a:ext>
          </a:extLst>
        </xdr:cNvPr>
        <xdr:cNvSpPr txBox="1"/>
      </xdr:nvSpPr>
      <xdr:spPr>
        <a:xfrm>
          <a:off x="7065682" y="46160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9</xdr:col>
      <xdr:colOff>1097950</xdr:colOff>
      <xdr:row>24</xdr:row>
      <xdr:rowOff>24903</xdr:rowOff>
    </xdr:from>
    <xdr:to>
      <xdr:col>11</xdr:col>
      <xdr:colOff>862102</xdr:colOff>
      <xdr:row>25</xdr:row>
      <xdr:rowOff>176778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86AE09-105F-2E4A-960E-66C8A4FAE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5223" y="5012539"/>
          <a:ext cx="1711485" cy="35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1105646</xdr:colOff>
      <xdr:row>25</xdr:row>
      <xdr:rowOff>172503</xdr:rowOff>
    </xdr:from>
    <xdr:to>
      <xdr:col>11</xdr:col>
      <xdr:colOff>855873</xdr:colOff>
      <xdr:row>27</xdr:row>
      <xdr:rowOff>142621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AF7D19-B045-E743-9944-7C905808A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2919" y="5360261"/>
          <a:ext cx="1697560" cy="37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7470</xdr:colOff>
      <xdr:row>29</xdr:row>
      <xdr:rowOff>198536</xdr:rowOff>
    </xdr:from>
    <xdr:to>
      <xdr:col>14</xdr:col>
      <xdr:colOff>683061</xdr:colOff>
      <xdr:row>32</xdr:row>
      <xdr:rowOff>77603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A18DC4-70DE-4B4F-92F4-394116458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3106" y="6186778"/>
          <a:ext cx="4193107" cy="479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15167</xdr:colOff>
      <xdr:row>27</xdr:row>
      <xdr:rowOff>163220</xdr:rowOff>
    </xdr:from>
    <xdr:to>
      <xdr:col>14</xdr:col>
      <xdr:colOff>716158</xdr:colOff>
      <xdr:row>30</xdr:row>
      <xdr:rowOff>15302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CE8235-4267-1344-A595-6DC6193B4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0803" y="5751220"/>
          <a:ext cx="4218507" cy="452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17182</xdr:colOff>
      <xdr:row>31</xdr:row>
      <xdr:rowOff>69476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728692-8BE3-604A-8629-FDDD0D6C40D5}"/>
            </a:ext>
          </a:extLst>
        </xdr:cNvPr>
        <xdr:cNvSpPr txBox="1"/>
      </xdr:nvSpPr>
      <xdr:spPr>
        <a:xfrm>
          <a:off x="11840882" y="64956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9</xdr:col>
      <xdr:colOff>1097950</xdr:colOff>
      <xdr:row>24</xdr:row>
      <xdr:rowOff>24903</xdr:rowOff>
    </xdr:from>
    <xdr:to>
      <xdr:col>11</xdr:col>
      <xdr:colOff>862102</xdr:colOff>
      <xdr:row>25</xdr:row>
      <xdr:rowOff>176778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E12D88-DC52-3346-8E8B-8B18351E9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6750" y="5028703"/>
          <a:ext cx="1707252" cy="35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1105646</xdr:colOff>
      <xdr:row>25</xdr:row>
      <xdr:rowOff>172503</xdr:rowOff>
    </xdr:from>
    <xdr:to>
      <xdr:col>11</xdr:col>
      <xdr:colOff>855873</xdr:colOff>
      <xdr:row>27</xdr:row>
      <xdr:rowOff>142621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BA4013-4BDB-F44D-B5BB-FFA162BF9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446" y="5379503"/>
          <a:ext cx="1693327" cy="376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7470</xdr:colOff>
      <xdr:row>29</xdr:row>
      <xdr:rowOff>198536</xdr:rowOff>
    </xdr:from>
    <xdr:to>
      <xdr:col>14</xdr:col>
      <xdr:colOff>683061</xdr:colOff>
      <xdr:row>32</xdr:row>
      <xdr:rowOff>77603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172D0A-1EDC-F140-85B0-4AC80B95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1170" y="6218336"/>
          <a:ext cx="4193491" cy="488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15167</xdr:colOff>
      <xdr:row>27</xdr:row>
      <xdr:rowOff>163220</xdr:rowOff>
    </xdr:from>
    <xdr:to>
      <xdr:col>14</xdr:col>
      <xdr:colOff>716158</xdr:colOff>
      <xdr:row>30</xdr:row>
      <xdr:rowOff>15302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BB33C2-E961-FD43-BC72-4675556F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8867" y="5776620"/>
          <a:ext cx="4218891" cy="461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lk-energy.de/en/phase-diagrams/pressure-enthalp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9817-42D6-FD40-9AC6-5F70D7F3BEF1}">
  <dimension ref="A2:P54"/>
  <sheetViews>
    <sheetView tabSelected="1" topLeftCell="A27" zoomScale="140" zoomScaleNormal="140" workbookViewId="0">
      <selection activeCell="D66" sqref="D66"/>
    </sheetView>
  </sheetViews>
  <sheetFormatPr baseColWidth="10" defaultRowHeight="16" x14ac:dyDescent="0.2"/>
  <cols>
    <col min="2" max="2" width="17.33203125" customWidth="1"/>
    <col min="3" max="3" width="12.1640625" customWidth="1"/>
    <col min="5" max="5" width="12.33203125" customWidth="1"/>
    <col min="6" max="6" width="10.83203125" style="16"/>
    <col min="8" max="8" width="12.6640625" style="16" customWidth="1"/>
    <col min="9" max="9" width="10.83203125" style="16"/>
  </cols>
  <sheetData>
    <row r="2" spans="1:10" x14ac:dyDescent="0.2">
      <c r="B2" s="5" t="s">
        <v>7</v>
      </c>
      <c r="C2" s="2"/>
      <c r="D2" s="2" t="s">
        <v>8</v>
      </c>
    </row>
    <row r="3" spans="1:10" x14ac:dyDescent="0.2">
      <c r="B3" s="5" t="s">
        <v>10</v>
      </c>
      <c r="C3" s="2"/>
      <c r="D3" s="9" t="s">
        <v>30</v>
      </c>
    </row>
    <row r="4" spans="1:10" ht="18" x14ac:dyDescent="0.25">
      <c r="B4" s="5" t="s">
        <v>5</v>
      </c>
      <c r="C4" s="2" t="s">
        <v>6</v>
      </c>
      <c r="D4">
        <v>273</v>
      </c>
    </row>
    <row r="5" spans="1:10" x14ac:dyDescent="0.2">
      <c r="C5" s="2"/>
    </row>
    <row r="6" spans="1:10" x14ac:dyDescent="0.2">
      <c r="C6" s="2"/>
      <c r="D6" s="33" t="s">
        <v>44</v>
      </c>
      <c r="E6" s="34"/>
      <c r="F6" s="35"/>
      <c r="G6" s="33" t="s">
        <v>45</v>
      </c>
      <c r="H6" s="34"/>
      <c r="I6" s="35"/>
    </row>
    <row r="7" spans="1:10" x14ac:dyDescent="0.2">
      <c r="C7" s="2"/>
      <c r="D7" s="2" t="s">
        <v>35</v>
      </c>
      <c r="E7" s="2" t="s">
        <v>36</v>
      </c>
      <c r="F7" s="19" t="s">
        <v>37</v>
      </c>
      <c r="G7" s="2" t="s">
        <v>35</v>
      </c>
      <c r="H7" s="19" t="s">
        <v>36</v>
      </c>
      <c r="I7" s="19" t="s">
        <v>37</v>
      </c>
    </row>
    <row r="8" spans="1:10" x14ac:dyDescent="0.2">
      <c r="B8" s="5" t="s">
        <v>38</v>
      </c>
      <c r="C8" s="2"/>
      <c r="D8" s="2" t="s">
        <v>41</v>
      </c>
      <c r="E8" s="2" t="s">
        <v>42</v>
      </c>
      <c r="F8" s="19" t="s">
        <v>52</v>
      </c>
      <c r="G8" s="2" t="s">
        <v>43</v>
      </c>
      <c r="H8" s="19" t="s">
        <v>53</v>
      </c>
      <c r="I8" s="19" t="s">
        <v>54</v>
      </c>
    </row>
    <row r="9" spans="1:10" x14ac:dyDescent="0.2">
      <c r="B9" s="5" t="s">
        <v>1</v>
      </c>
      <c r="C9" s="2"/>
      <c r="D9" s="1">
        <v>0.8</v>
      </c>
      <c r="E9" s="1">
        <f>D9</f>
        <v>0.8</v>
      </c>
      <c r="F9" s="15">
        <f>E9</f>
        <v>0.8</v>
      </c>
      <c r="G9" s="14">
        <f>F9</f>
        <v>0.8</v>
      </c>
      <c r="H9" s="24">
        <f t="shared" ref="H9:I9" si="0">G9</f>
        <v>0.8</v>
      </c>
      <c r="I9" s="24">
        <f t="shared" si="0"/>
        <v>0.8</v>
      </c>
      <c r="J9" t="s">
        <v>40</v>
      </c>
    </row>
    <row r="10" spans="1:10" x14ac:dyDescent="0.2">
      <c r="B10" s="5" t="s">
        <v>14</v>
      </c>
      <c r="C10" s="2" t="s">
        <v>6</v>
      </c>
      <c r="D10">
        <v>6</v>
      </c>
      <c r="E10">
        <v>6</v>
      </c>
      <c r="F10" s="16">
        <v>6</v>
      </c>
      <c r="G10">
        <v>6</v>
      </c>
      <c r="H10" s="16">
        <v>6</v>
      </c>
      <c r="I10" s="16">
        <v>6</v>
      </c>
    </row>
    <row r="11" spans="1:10" x14ac:dyDescent="0.2">
      <c r="B11" s="5" t="s">
        <v>15</v>
      </c>
      <c r="C11" s="2" t="s">
        <v>6</v>
      </c>
      <c r="D11">
        <v>5</v>
      </c>
      <c r="E11">
        <v>5</v>
      </c>
      <c r="F11" s="16">
        <v>5</v>
      </c>
      <c r="G11">
        <v>5</v>
      </c>
      <c r="H11" s="16">
        <v>5</v>
      </c>
      <c r="I11" s="16">
        <v>5</v>
      </c>
    </row>
    <row r="13" spans="1:10" x14ac:dyDescent="0.2">
      <c r="B13" s="5" t="s">
        <v>32</v>
      </c>
      <c r="C13" s="2"/>
      <c r="D13">
        <v>6.4</v>
      </c>
      <c r="E13">
        <v>8</v>
      </c>
      <c r="F13" s="17" t="s">
        <v>46</v>
      </c>
      <c r="G13">
        <v>7.2</v>
      </c>
      <c r="H13" s="17" t="s">
        <v>47</v>
      </c>
      <c r="I13" s="17" t="s">
        <v>48</v>
      </c>
    </row>
    <row r="14" spans="1:10" ht="18" x14ac:dyDescent="0.25">
      <c r="B14" s="5" t="s">
        <v>33</v>
      </c>
      <c r="C14" s="2"/>
      <c r="D14" s="6">
        <f>(D19+273)/((D19+273)-(D20+273))</f>
        <v>14.19047619047619</v>
      </c>
      <c r="E14" s="6">
        <f>(E19+273)/((E19+273)-(E20+273))</f>
        <v>23.464566929133881</v>
      </c>
      <c r="F14" s="18">
        <f>(F19+273)/((F19+273)-(F20+273))</f>
        <v>59.6</v>
      </c>
    </row>
    <row r="15" spans="1:10" x14ac:dyDescent="0.2">
      <c r="A15" s="2"/>
      <c r="B15" s="2"/>
      <c r="C15" s="2"/>
      <c r="D15" s="2"/>
      <c r="E15" s="2"/>
      <c r="F15" s="8" t="s">
        <v>50</v>
      </c>
      <c r="G15" s="2"/>
    </row>
    <row r="16" spans="1:10" x14ac:dyDescent="0.2">
      <c r="A16" s="2"/>
      <c r="B16" s="2"/>
      <c r="C16" s="2"/>
      <c r="D16" s="2"/>
      <c r="E16" s="2"/>
      <c r="F16" s="19"/>
      <c r="G16" s="2"/>
    </row>
    <row r="17" spans="2:9" x14ac:dyDescent="0.2">
      <c r="B17" t="s">
        <v>49</v>
      </c>
      <c r="C17" s="2" t="s">
        <v>3</v>
      </c>
    </row>
    <row r="18" spans="2:9" x14ac:dyDescent="0.2">
      <c r="B18" t="s">
        <v>4</v>
      </c>
      <c r="C18" s="2" t="s">
        <v>3</v>
      </c>
    </row>
    <row r="19" spans="2:9" x14ac:dyDescent="0.2">
      <c r="B19" t="s">
        <v>25</v>
      </c>
      <c r="C19" s="2" t="s">
        <v>23</v>
      </c>
      <c r="D19">
        <v>25</v>
      </c>
      <c r="E19">
        <v>25</v>
      </c>
      <c r="F19" s="16">
        <v>25</v>
      </c>
      <c r="G19">
        <v>15</v>
      </c>
      <c r="H19" s="16">
        <v>15</v>
      </c>
      <c r="I19" s="16">
        <v>15</v>
      </c>
    </row>
    <row r="20" spans="2:9" x14ac:dyDescent="0.2">
      <c r="B20" t="s">
        <v>24</v>
      </c>
      <c r="C20" s="2" t="s">
        <v>23</v>
      </c>
      <c r="D20">
        <v>4</v>
      </c>
      <c r="E20">
        <v>12.3</v>
      </c>
      <c r="F20" s="16">
        <v>20</v>
      </c>
      <c r="G20">
        <f>D20</f>
        <v>4</v>
      </c>
      <c r="H20" s="16">
        <f t="shared" ref="H20:I20" si="1">E20</f>
        <v>12.3</v>
      </c>
      <c r="I20" s="16">
        <f t="shared" si="1"/>
        <v>20</v>
      </c>
    </row>
    <row r="21" spans="2:9" x14ac:dyDescent="0.2">
      <c r="C21" s="2"/>
    </row>
    <row r="22" spans="2:9" ht="18" customHeight="1" x14ac:dyDescent="0.25">
      <c r="B22" s="5" t="s">
        <v>9</v>
      </c>
      <c r="C22" s="2" t="s">
        <v>2</v>
      </c>
      <c r="D22" s="3">
        <v>523.4</v>
      </c>
      <c r="E22" s="3">
        <v>524.9</v>
      </c>
      <c r="F22" s="20">
        <v>525.6</v>
      </c>
      <c r="G22" s="3">
        <v>523.4</v>
      </c>
      <c r="H22" s="20">
        <v>524.9</v>
      </c>
      <c r="I22" s="36" t="s">
        <v>51</v>
      </c>
    </row>
    <row r="23" spans="2:9" ht="18" x14ac:dyDescent="0.25">
      <c r="B23" s="5" t="s">
        <v>31</v>
      </c>
      <c r="C23" s="2" t="s">
        <v>2</v>
      </c>
      <c r="D23" s="3">
        <v>553.9</v>
      </c>
      <c r="E23" s="3">
        <v>542.29999999999995</v>
      </c>
      <c r="F23" s="20">
        <v>532.1</v>
      </c>
      <c r="G23" s="3">
        <v>539.6</v>
      </c>
      <c r="H23" s="20">
        <v>528.6</v>
      </c>
      <c r="I23" s="36"/>
    </row>
    <row r="24" spans="2:9" ht="18" x14ac:dyDescent="0.25">
      <c r="B24" s="5" t="s">
        <v>11</v>
      </c>
      <c r="C24" s="2" t="s">
        <v>2</v>
      </c>
      <c r="D24" s="3"/>
      <c r="E24" s="3"/>
      <c r="F24" s="20"/>
      <c r="I24" s="36"/>
    </row>
    <row r="25" spans="2:9" ht="18" x14ac:dyDescent="0.25">
      <c r="B25" s="5" t="s">
        <v>13</v>
      </c>
      <c r="C25" s="2" t="s">
        <v>2</v>
      </c>
      <c r="D25" s="3">
        <v>236.1</v>
      </c>
      <c r="E25" s="3">
        <v>236.1</v>
      </c>
      <c r="F25" s="20">
        <v>236.1</v>
      </c>
      <c r="G25" s="3">
        <v>217.1</v>
      </c>
      <c r="H25" s="20">
        <f>G25</f>
        <v>217.1</v>
      </c>
      <c r="I25" s="36"/>
    </row>
    <row r="26" spans="2:9" ht="18" x14ac:dyDescent="0.25">
      <c r="B26" s="5" t="s">
        <v>12</v>
      </c>
      <c r="C26" s="2" t="s">
        <v>2</v>
      </c>
      <c r="D26" s="3">
        <v>236.1</v>
      </c>
      <c r="E26" s="3">
        <v>236.1</v>
      </c>
      <c r="F26" s="20">
        <v>236.1</v>
      </c>
      <c r="G26" s="3">
        <v>217.7</v>
      </c>
      <c r="H26" s="20">
        <f>G26</f>
        <v>217.7</v>
      </c>
      <c r="I26" s="36"/>
    </row>
    <row r="27" spans="2:9" ht="18" x14ac:dyDescent="0.25">
      <c r="B27" s="5" t="s">
        <v>16</v>
      </c>
      <c r="C27" s="2" t="s">
        <v>20</v>
      </c>
      <c r="D27" s="3">
        <v>2166.6</v>
      </c>
      <c r="E27" s="3">
        <v>2138.1999999999998</v>
      </c>
      <c r="F27" s="20">
        <v>2112.3000000000002</v>
      </c>
      <c r="G27" s="3">
        <v>2166.6</v>
      </c>
      <c r="H27" s="20">
        <v>2138.1999999999998</v>
      </c>
      <c r="I27" s="36"/>
    </row>
    <row r="28" spans="2:9" ht="18" x14ac:dyDescent="0.25">
      <c r="B28" s="5" t="s">
        <v>34</v>
      </c>
      <c r="C28" s="2" t="s">
        <v>20</v>
      </c>
      <c r="D28" s="3">
        <v>2185.4</v>
      </c>
      <c r="E28" s="3">
        <v>2149.1999999999998</v>
      </c>
      <c r="F28" s="20">
        <v>2116.5</v>
      </c>
      <c r="G28" s="3">
        <v>2177.1999999999998</v>
      </c>
      <c r="H28" s="20">
        <v>2140.6999999999998</v>
      </c>
      <c r="I28" s="36"/>
    </row>
    <row r="29" spans="2:9" ht="18" x14ac:dyDescent="0.25">
      <c r="B29" s="5" t="s">
        <v>17</v>
      </c>
      <c r="C29" s="2" t="s">
        <v>20</v>
      </c>
      <c r="D29" s="3"/>
      <c r="F29" s="20"/>
      <c r="I29" s="36"/>
    </row>
    <row r="30" spans="2:9" ht="18" x14ac:dyDescent="0.25">
      <c r="B30" s="5" t="s">
        <v>18</v>
      </c>
      <c r="C30" s="2" t="s">
        <v>20</v>
      </c>
      <c r="D30" s="3">
        <v>1124.3</v>
      </c>
      <c r="E30" s="3">
        <v>1124.3</v>
      </c>
      <c r="F30" s="20">
        <v>1124.3</v>
      </c>
      <c r="G30" s="3">
        <v>1062.0999999999999</v>
      </c>
      <c r="H30" s="20">
        <v>1062.0999999999999</v>
      </c>
      <c r="I30" s="36"/>
    </row>
    <row r="31" spans="2:9" ht="18" x14ac:dyDescent="0.25">
      <c r="B31" s="5" t="s">
        <v>19</v>
      </c>
      <c r="C31" s="2" t="s">
        <v>20</v>
      </c>
      <c r="D31" s="3">
        <v>1129.9000000000001</v>
      </c>
      <c r="E31" s="3">
        <v>1126.7</v>
      </c>
      <c r="F31" s="20">
        <v>1125.0999999999999</v>
      </c>
      <c r="G31" s="3">
        <v>1063.8</v>
      </c>
      <c r="H31" s="20">
        <v>1062.5</v>
      </c>
      <c r="I31" s="36"/>
    </row>
    <row r="32" spans="2:9" x14ac:dyDescent="0.2">
      <c r="C32" s="2"/>
      <c r="D32" s="3"/>
    </row>
    <row r="33" spans="2:16" x14ac:dyDescent="0.2">
      <c r="B33" s="5" t="s">
        <v>21</v>
      </c>
      <c r="C33" s="2" t="s">
        <v>22</v>
      </c>
      <c r="D33" s="7">
        <f>D17/(D23-D25)</f>
        <v>0</v>
      </c>
      <c r="E33" s="7">
        <f>E17/(E23-E25)</f>
        <v>0</v>
      </c>
      <c r="F33" s="21">
        <f>F17/(F23-F25)</f>
        <v>0</v>
      </c>
    </row>
    <row r="34" spans="2:16" x14ac:dyDescent="0.2">
      <c r="C34" s="2"/>
    </row>
    <row r="35" spans="2:16" x14ac:dyDescent="0.2">
      <c r="C35" s="2"/>
    </row>
    <row r="36" spans="2:16" x14ac:dyDescent="0.2">
      <c r="B36" s="8" t="s">
        <v>66</v>
      </c>
      <c r="C36" s="2"/>
      <c r="D36" s="2"/>
      <c r="E36" s="2"/>
      <c r="F36" s="19"/>
    </row>
    <row r="37" spans="2:16" x14ac:dyDescent="0.2">
      <c r="B37" s="5" t="s">
        <v>26</v>
      </c>
      <c r="C37" s="2" t="s">
        <v>63</v>
      </c>
      <c r="D37" s="4">
        <f>Winter!C21</f>
        <v>104.87273555302565</v>
      </c>
      <c r="E37" s="4">
        <f>Spring_autumn!C21</f>
        <v>0</v>
      </c>
      <c r="F37" s="18"/>
      <c r="G37" s="30">
        <f>Winter!G21</f>
        <v>274.78858873900384</v>
      </c>
    </row>
    <row r="38" spans="2:16" x14ac:dyDescent="0.2">
      <c r="B38" s="5" t="s">
        <v>27</v>
      </c>
      <c r="C38" s="2" t="s">
        <v>63</v>
      </c>
      <c r="D38" s="4">
        <f>Winter!D21</f>
        <v>352.07275507086661</v>
      </c>
      <c r="E38" s="4">
        <f>Spring_autumn!D21</f>
        <v>0</v>
      </c>
      <c r="F38" s="18"/>
      <c r="G38" s="30">
        <f>Winter!H21</f>
        <v>1713.3876709607853</v>
      </c>
      <c r="P38" t="s">
        <v>61</v>
      </c>
    </row>
    <row r="39" spans="2:16" x14ac:dyDescent="0.2">
      <c r="B39" s="5" t="s">
        <v>55</v>
      </c>
      <c r="C39" s="2" t="s">
        <v>63</v>
      </c>
      <c r="D39" s="4">
        <f>Winter!E21</f>
        <v>100.05894627727213</v>
      </c>
      <c r="E39" s="4">
        <f>Spring_autumn!E21</f>
        <v>-17.751386034839118</v>
      </c>
      <c r="F39" s="18"/>
      <c r="G39" s="30">
        <f>Winter!I21</f>
        <v>758.36262480417906</v>
      </c>
    </row>
    <row r="40" spans="2:16" x14ac:dyDescent="0.2">
      <c r="B40" s="5" t="s">
        <v>28</v>
      </c>
      <c r="C40" s="10" t="s">
        <v>63</v>
      </c>
      <c r="D40" s="11">
        <v>0</v>
      </c>
      <c r="E40" s="11">
        <v>0</v>
      </c>
      <c r="F40" s="22"/>
      <c r="G40" s="4">
        <v>0</v>
      </c>
      <c r="H40" t="s">
        <v>65</v>
      </c>
    </row>
    <row r="41" spans="2:16" x14ac:dyDescent="0.2">
      <c r="B41" s="5" t="s">
        <v>29</v>
      </c>
      <c r="C41" s="2" t="s">
        <v>63</v>
      </c>
      <c r="D41" s="4">
        <f>SUM(D37:D39)</f>
        <v>557.00443690116435</v>
      </c>
      <c r="E41" s="4">
        <f>SUM(E37:E40)</f>
        <v>-17.751386034839118</v>
      </c>
      <c r="F41" s="23"/>
      <c r="G41" s="31">
        <f>SUM(G37:G40)</f>
        <v>2746.5388845039683</v>
      </c>
    </row>
    <row r="42" spans="2:16" x14ac:dyDescent="0.2">
      <c r="B42" s="5"/>
      <c r="C42" s="2"/>
    </row>
    <row r="43" spans="2:16" x14ac:dyDescent="0.2">
      <c r="C43" s="44" t="s">
        <v>35</v>
      </c>
      <c r="D43" s="44"/>
      <c r="E43" s="44" t="s">
        <v>72</v>
      </c>
      <c r="F43" s="44"/>
    </row>
    <row r="44" spans="2:16" x14ac:dyDescent="0.2">
      <c r="C44" s="45" t="s">
        <v>70</v>
      </c>
      <c r="D44" s="45" t="s">
        <v>71</v>
      </c>
      <c r="E44" s="45" t="s">
        <v>70</v>
      </c>
      <c r="F44" s="45" t="s">
        <v>71</v>
      </c>
    </row>
    <row r="45" spans="2:16" x14ac:dyDescent="0.2">
      <c r="B45" s="5" t="str">
        <f>B37</f>
        <v>Expansion Valve</v>
      </c>
      <c r="C45" s="41">
        <f>Winter!C22</f>
        <v>0.18827989259201253</v>
      </c>
      <c r="D45" s="42">
        <f>Winter!G22</f>
        <v>0.10004904364885092</v>
      </c>
      <c r="E45" s="30">
        <f>Spring_autumn!C22</f>
        <v>0</v>
      </c>
      <c r="F45" s="43">
        <f>Spring_autumn!G22</f>
        <v>0.10004904364885092</v>
      </c>
      <c r="G45" s="1"/>
    </row>
    <row r="46" spans="2:16" x14ac:dyDescent="0.2">
      <c r="B46" s="5" t="str">
        <f t="shared" ref="B46:B48" si="2">B38</f>
        <v>Compressor</v>
      </c>
      <c r="C46" s="41">
        <f>Winter!D22</f>
        <v>0.63208249655888982</v>
      </c>
      <c r="D46" s="42">
        <f>Winter!H22</f>
        <v>0.62383521333987135</v>
      </c>
      <c r="E46" s="30">
        <f>Spring_autumn!D22</f>
        <v>0</v>
      </c>
      <c r="F46" s="43">
        <f>Spring_autumn!H22</f>
        <v>0.62383521333987135</v>
      </c>
      <c r="G46" s="1"/>
    </row>
    <row r="47" spans="2:16" x14ac:dyDescent="0.2">
      <c r="B47" s="5" t="str">
        <f t="shared" si="2"/>
        <v>Condenser</v>
      </c>
      <c r="C47" s="41">
        <f>Winter!E22</f>
        <v>0.17963761084909766</v>
      </c>
      <c r="D47" s="42">
        <f>Winter!I22</f>
        <v>0.27611574301127773</v>
      </c>
      <c r="E47" s="30">
        <f>Spring_autumn!E22</f>
        <v>0</v>
      </c>
      <c r="F47" s="43">
        <f>Spring_autumn!I22</f>
        <v>0.27611574301127773</v>
      </c>
      <c r="G47" s="1"/>
    </row>
    <row r="48" spans="2:16" x14ac:dyDescent="0.2">
      <c r="B48" s="5"/>
      <c r="C48" s="32">
        <f>SUM(C45:C47)</f>
        <v>1</v>
      </c>
      <c r="D48" s="32">
        <f t="shared" ref="D48:F48" si="3">SUM(D45:D47)</f>
        <v>1</v>
      </c>
      <c r="E48" s="32">
        <f t="shared" si="3"/>
        <v>0</v>
      </c>
      <c r="F48" s="32">
        <f t="shared" si="3"/>
        <v>1</v>
      </c>
      <c r="G48" s="1"/>
    </row>
    <row r="49" spans="3:6" x14ac:dyDescent="0.2">
      <c r="C49" s="2"/>
    </row>
    <row r="50" spans="3:6" x14ac:dyDescent="0.2">
      <c r="C50" s="2"/>
      <c r="F50" s="15"/>
    </row>
    <row r="51" spans="3:6" x14ac:dyDescent="0.2">
      <c r="C51" s="2"/>
      <c r="D51" s="6"/>
      <c r="F51" s="15"/>
    </row>
    <row r="52" spans="3:6" x14ac:dyDescent="0.2">
      <c r="C52" s="2"/>
      <c r="F52" s="23"/>
    </row>
    <row r="53" spans="3:6" x14ac:dyDescent="0.2">
      <c r="C53" s="2"/>
      <c r="F53" s="23"/>
    </row>
    <row r="54" spans="3:6" x14ac:dyDescent="0.2">
      <c r="C54" s="2"/>
    </row>
  </sheetData>
  <mergeCells count="5">
    <mergeCell ref="D6:F6"/>
    <mergeCell ref="G6:I6"/>
    <mergeCell ref="I22:I31"/>
    <mergeCell ref="C43:D43"/>
    <mergeCell ref="E43:F43"/>
  </mergeCells>
  <hyperlinks>
    <hyperlink ref="D3" r:id="rId1" xr:uid="{8F48C7A9-EC8F-B041-BB45-E96D3153C04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DC73-3C69-3F4B-8952-8F075E1C94BF}">
  <dimension ref="A5:N687"/>
  <sheetViews>
    <sheetView zoomScale="140" zoomScaleNormal="140" workbookViewId="0">
      <selection activeCell="I29" sqref="I29"/>
    </sheetView>
  </sheetViews>
  <sheetFormatPr baseColWidth="10" defaultRowHeight="16" x14ac:dyDescent="0.2"/>
  <cols>
    <col min="2" max="2" width="15.6640625" style="2" customWidth="1"/>
    <col min="3" max="3" width="11" bestFit="1" customWidth="1"/>
    <col min="4" max="4" width="15" customWidth="1"/>
    <col min="5" max="6" width="14.5" customWidth="1"/>
    <col min="7" max="7" width="11" bestFit="1" customWidth="1"/>
    <col min="8" max="8" width="12.6640625" customWidth="1"/>
    <col min="9" max="9" width="11.5" bestFit="1" customWidth="1"/>
    <col min="10" max="14" width="11" bestFit="1" customWidth="1"/>
  </cols>
  <sheetData>
    <row r="5" spans="1:14" x14ac:dyDescent="0.2">
      <c r="C5" s="33" t="s">
        <v>35</v>
      </c>
      <c r="D5" s="34"/>
      <c r="E5" s="34"/>
      <c r="F5" s="35"/>
      <c r="G5" s="33" t="s">
        <v>36</v>
      </c>
      <c r="H5" s="34"/>
      <c r="I5" s="34"/>
      <c r="J5" s="35"/>
      <c r="K5" s="33" t="s">
        <v>37</v>
      </c>
      <c r="L5" s="34"/>
      <c r="M5" s="34"/>
      <c r="N5" s="35"/>
    </row>
    <row r="6" spans="1:14" x14ac:dyDescent="0.2">
      <c r="C6" s="37" t="s">
        <v>44</v>
      </c>
      <c r="D6" s="37"/>
      <c r="E6" s="37" t="s">
        <v>45</v>
      </c>
      <c r="F6" s="37"/>
      <c r="G6" s="37" t="s">
        <v>44</v>
      </c>
      <c r="H6" s="37"/>
      <c r="I6" s="37" t="s">
        <v>45</v>
      </c>
      <c r="J6" s="37"/>
      <c r="K6" s="38" t="s">
        <v>44</v>
      </c>
      <c r="L6" s="39"/>
      <c r="M6" s="37" t="s">
        <v>45</v>
      </c>
      <c r="N6" s="37"/>
    </row>
    <row r="7" spans="1:14" x14ac:dyDescent="0.2">
      <c r="B7" s="2" t="s">
        <v>39</v>
      </c>
      <c r="C7" s="37" t="str">
        <f>'Large ASHP'!$D$8</f>
        <v>A7W20</v>
      </c>
      <c r="D7" s="37"/>
      <c r="E7" s="37" t="str">
        <f>'Large ASHP'!$G$8</f>
        <v>A7W10</v>
      </c>
      <c r="F7" s="37"/>
      <c r="G7" s="37" t="str">
        <f>'Large ASHP'!$E$8</f>
        <v>A15.3W20</v>
      </c>
      <c r="H7" s="37"/>
      <c r="I7" s="37" t="str">
        <f>'Large ASHP'!$H$8</f>
        <v>A15.3W10*</v>
      </c>
      <c r="J7" s="37"/>
      <c r="K7" s="40" t="str">
        <f>'Large ASHP'!$F$8</f>
        <v>A23W20*</v>
      </c>
      <c r="L7" s="40"/>
      <c r="M7" s="37" t="str">
        <f>'Large ASHP'!$I$8</f>
        <v>A23W10*</v>
      </c>
      <c r="N7" s="37"/>
    </row>
    <row r="8" spans="1:14" ht="18" x14ac:dyDescent="0.25">
      <c r="A8" s="5" t="s">
        <v>11</v>
      </c>
      <c r="B8" s="2" t="s">
        <v>2</v>
      </c>
      <c r="D8" s="2">
        <f>'Large ASHP'!$D$23</f>
        <v>553.9</v>
      </c>
      <c r="E8" s="8"/>
      <c r="F8" s="2">
        <f>'Large ASHP'!$G$23</f>
        <v>539.6</v>
      </c>
      <c r="G8" s="8"/>
      <c r="H8" s="2">
        <f>'Large ASHP'!$E$23</f>
        <v>542.29999999999995</v>
      </c>
      <c r="I8" s="2"/>
      <c r="J8" s="2"/>
      <c r="K8" s="2"/>
      <c r="L8" s="2"/>
      <c r="M8" s="2"/>
      <c r="N8" s="2"/>
    </row>
    <row r="9" spans="1:14" ht="18" x14ac:dyDescent="0.25">
      <c r="A9" s="5" t="s">
        <v>13</v>
      </c>
      <c r="B9" s="2" t="s">
        <v>2</v>
      </c>
      <c r="D9" s="2">
        <f>'Large ASHP'!$D$25</f>
        <v>236.1</v>
      </c>
      <c r="E9" s="8"/>
      <c r="F9" s="2">
        <f>'Large ASHP'!$G$25</f>
        <v>217.1</v>
      </c>
      <c r="G9" s="8"/>
      <c r="H9" s="2">
        <f>'Large ASHP'!$E$25</f>
        <v>236.1</v>
      </c>
      <c r="I9" s="2"/>
      <c r="J9" s="2"/>
      <c r="K9" s="2"/>
      <c r="L9" s="2"/>
      <c r="M9" s="2"/>
      <c r="N9" s="2"/>
    </row>
    <row r="10" spans="1:14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s="2" customFormat="1" ht="18" x14ac:dyDescent="0.25">
      <c r="C11" s="2" t="s">
        <v>59</v>
      </c>
      <c r="D11" s="25" t="s">
        <v>58</v>
      </c>
      <c r="E11" s="2" t="s">
        <v>60</v>
      </c>
      <c r="F11" s="25" t="s">
        <v>57</v>
      </c>
      <c r="G11" s="2" t="s">
        <v>59</v>
      </c>
      <c r="H11" s="25" t="s">
        <v>58</v>
      </c>
      <c r="I11" s="2" t="s">
        <v>60</v>
      </c>
      <c r="J11" s="25" t="s">
        <v>57</v>
      </c>
      <c r="K11" s="2" t="s">
        <v>59</v>
      </c>
      <c r="L11" s="25" t="s">
        <v>58</v>
      </c>
      <c r="M11" s="2" t="s">
        <v>60</v>
      </c>
      <c r="N11" s="25" t="s">
        <v>57</v>
      </c>
    </row>
    <row r="12" spans="1:14" s="2" customFormat="1" x14ac:dyDescent="0.2"/>
    <row r="13" spans="1:14" s="2" customFormat="1" x14ac:dyDescent="0.2">
      <c r="B13" s="2" t="s">
        <v>67</v>
      </c>
      <c r="C13" s="12">
        <f>C687</f>
        <v>21800.467921736501</v>
      </c>
      <c r="D13" s="12">
        <f>D687</f>
        <v>68.598074014274687</v>
      </c>
      <c r="E13" s="12">
        <f t="shared" ref="E13:N13" si="0">E687</f>
        <v>190948.7607591603</v>
      </c>
      <c r="F13" s="12">
        <f t="shared" si="0"/>
        <v>592.08918064855914</v>
      </c>
      <c r="G13" s="12">
        <f t="shared" si="0"/>
        <v>0</v>
      </c>
      <c r="H13" s="12">
        <f t="shared" si="0"/>
        <v>0</v>
      </c>
      <c r="I13" s="12">
        <f t="shared" si="0"/>
        <v>112313.76655398071</v>
      </c>
      <c r="J13" s="12">
        <f t="shared" si="0"/>
        <v>0</v>
      </c>
      <c r="K13" s="12">
        <f t="shared" si="0"/>
        <v>0</v>
      </c>
      <c r="L13" s="12">
        <f t="shared" si="0"/>
        <v>0</v>
      </c>
      <c r="M13" s="12">
        <f t="shared" si="0"/>
        <v>23697.021515946919</v>
      </c>
      <c r="N13" s="12">
        <f t="shared" si="0"/>
        <v>0</v>
      </c>
    </row>
    <row r="14" spans="1:14" s="2" customFormat="1" x14ac:dyDescent="0.2">
      <c r="B14" s="2" t="s">
        <v>56</v>
      </c>
      <c r="C14" s="2" t="s">
        <v>3</v>
      </c>
      <c r="D14" s="2" t="s">
        <v>22</v>
      </c>
      <c r="E14" s="2" t="str">
        <f>C14</f>
        <v>kW</v>
      </c>
      <c r="F14" s="2" t="str">
        <f>D14</f>
        <v>kg/s</v>
      </c>
      <c r="G14" s="2" t="s">
        <v>3</v>
      </c>
      <c r="H14" s="2" t="s">
        <v>22</v>
      </c>
      <c r="I14" s="2" t="str">
        <f>G14</f>
        <v>kW</v>
      </c>
      <c r="J14" s="2" t="str">
        <f>H14</f>
        <v>kg/s</v>
      </c>
      <c r="K14" s="2" t="s">
        <v>3</v>
      </c>
      <c r="L14" s="2" t="s">
        <v>22</v>
      </c>
      <c r="M14" s="2" t="str">
        <f>K14</f>
        <v>kW</v>
      </c>
      <c r="N14" s="2" t="str">
        <f>L14</f>
        <v>kg/s</v>
      </c>
    </row>
    <row r="15" spans="1:14" x14ac:dyDescent="0.2">
      <c r="B15" s="2">
        <v>1</v>
      </c>
      <c r="C15">
        <v>0</v>
      </c>
      <c r="D15" s="13">
        <f>C15/($D$8-$D$9)</f>
        <v>0</v>
      </c>
      <c r="E15">
        <v>0.99979542814784195</v>
      </c>
      <c r="F15">
        <f>E15/($F$8-$F$9)</f>
        <v>3.1001408624739286E-3</v>
      </c>
      <c r="G15">
        <v>0</v>
      </c>
      <c r="H15">
        <f>G15/($H$8-$H$9)</f>
        <v>0</v>
      </c>
      <c r="I15">
        <v>0.999795428147916</v>
      </c>
      <c r="K15">
        <v>0</v>
      </c>
      <c r="M15">
        <v>0.99979542814776801</v>
      </c>
    </row>
    <row r="16" spans="1:14" x14ac:dyDescent="0.2">
      <c r="B16" s="2">
        <v>2</v>
      </c>
      <c r="C16">
        <v>0</v>
      </c>
      <c r="D16" s="13">
        <f t="shared" ref="D16:D79" si="1">C16/($D$8-$D$9)</f>
        <v>0</v>
      </c>
      <c r="E16">
        <v>0.99949925555106101</v>
      </c>
      <c r="F16">
        <f t="shared" ref="F16:F79" si="2">E16/($F$8-$F$9)</f>
        <v>3.0992224978327472E-3</v>
      </c>
      <c r="G16">
        <v>0</v>
      </c>
      <c r="H16">
        <f t="shared" ref="H16:H79" si="3">G16/($H$8-$H$9)</f>
        <v>0</v>
      </c>
      <c r="I16">
        <v>0.99949925555116303</v>
      </c>
      <c r="K16">
        <v>0</v>
      </c>
      <c r="M16">
        <v>0.99949925555095998</v>
      </c>
    </row>
    <row r="17" spans="2:13" x14ac:dyDescent="0.2">
      <c r="B17" s="2">
        <v>3</v>
      </c>
      <c r="C17">
        <v>0</v>
      </c>
      <c r="D17" s="13">
        <f t="shared" si="1"/>
        <v>0</v>
      </c>
      <c r="E17">
        <v>0.99911152389567004</v>
      </c>
      <c r="F17">
        <f t="shared" si="2"/>
        <v>3.0980202291338607E-3</v>
      </c>
      <c r="G17">
        <v>0</v>
      </c>
      <c r="H17">
        <f t="shared" si="3"/>
        <v>0</v>
      </c>
      <c r="I17">
        <v>0.99911152389579905</v>
      </c>
      <c r="K17">
        <v>0</v>
      </c>
      <c r="M17">
        <v>0.99911152389554203</v>
      </c>
    </row>
    <row r="18" spans="2:13" x14ac:dyDescent="0.2">
      <c r="B18" s="2">
        <v>4</v>
      </c>
      <c r="C18">
        <v>0</v>
      </c>
      <c r="D18" s="13">
        <f t="shared" si="1"/>
        <v>0</v>
      </c>
      <c r="E18">
        <v>0.99863228325282005</v>
      </c>
      <c r="F18">
        <f t="shared" si="2"/>
        <v>3.0965342116366515E-3</v>
      </c>
      <c r="G18">
        <v>0</v>
      </c>
      <c r="H18">
        <f t="shared" si="3"/>
        <v>0</v>
      </c>
      <c r="I18">
        <v>0.99863228325297604</v>
      </c>
      <c r="K18">
        <v>0</v>
      </c>
      <c r="M18">
        <v>0.99863228325266495</v>
      </c>
    </row>
    <row r="19" spans="2:13" x14ac:dyDescent="0.2">
      <c r="B19" s="2">
        <v>5</v>
      </c>
      <c r="C19">
        <v>0</v>
      </c>
      <c r="D19" s="13">
        <f t="shared" si="1"/>
        <v>0</v>
      </c>
      <c r="E19">
        <v>0.99806159207261202</v>
      </c>
      <c r="F19">
        <f t="shared" si="2"/>
        <v>3.0947646265817425E-3</v>
      </c>
      <c r="G19">
        <v>0</v>
      </c>
      <c r="H19">
        <f t="shared" si="3"/>
        <v>0</v>
      </c>
      <c r="I19">
        <v>0.99806159207279599</v>
      </c>
      <c r="K19">
        <v>0</v>
      </c>
      <c r="M19">
        <v>0.99806159207242995</v>
      </c>
    </row>
    <row r="20" spans="2:13" x14ac:dyDescent="0.2">
      <c r="B20" s="2">
        <v>6</v>
      </c>
      <c r="C20">
        <v>0</v>
      </c>
      <c r="D20" s="13">
        <f t="shared" si="1"/>
        <v>0</v>
      </c>
      <c r="E20">
        <v>0.99739951717756303</v>
      </c>
      <c r="F20">
        <f t="shared" si="2"/>
        <v>3.092711681170738E-3</v>
      </c>
      <c r="G20">
        <v>0</v>
      </c>
      <c r="H20">
        <f t="shared" si="3"/>
        <v>0</v>
      </c>
      <c r="I20">
        <v>0.99739951717777298</v>
      </c>
      <c r="K20">
        <v>0</v>
      </c>
      <c r="M20">
        <v>0.99674085818165103</v>
      </c>
    </row>
    <row r="21" spans="2:13" x14ac:dyDescent="0.2">
      <c r="B21" s="2">
        <v>7</v>
      </c>
      <c r="C21">
        <v>0</v>
      </c>
      <c r="D21" s="13">
        <f t="shared" si="1"/>
        <v>0</v>
      </c>
      <c r="E21">
        <v>1.20603994021488</v>
      </c>
      <c r="F21">
        <f t="shared" si="2"/>
        <v>3.7396587293484652E-3</v>
      </c>
      <c r="G21">
        <v>0</v>
      </c>
      <c r="H21">
        <f t="shared" si="3"/>
        <v>0</v>
      </c>
      <c r="I21">
        <v>1.18823706693803</v>
      </c>
      <c r="K21">
        <v>0</v>
      </c>
      <c r="M21">
        <v>1.02558818626137</v>
      </c>
    </row>
    <row r="22" spans="2:13" x14ac:dyDescent="0.2">
      <c r="B22" s="2">
        <v>8</v>
      </c>
      <c r="C22">
        <v>0</v>
      </c>
      <c r="D22" s="13">
        <f t="shared" si="1"/>
        <v>0</v>
      </c>
      <c r="E22">
        <v>1.5310026225352</v>
      </c>
      <c r="F22">
        <f t="shared" si="2"/>
        <v>4.7472949535975195E-3</v>
      </c>
      <c r="G22">
        <v>0</v>
      </c>
      <c r="H22">
        <f t="shared" si="3"/>
        <v>0</v>
      </c>
      <c r="I22">
        <v>1.47675087255927</v>
      </c>
      <c r="K22">
        <v>0</v>
      </c>
      <c r="M22">
        <v>1.0899291048283</v>
      </c>
    </row>
    <row r="23" spans="2:13" x14ac:dyDescent="0.2">
      <c r="B23" s="2">
        <v>9</v>
      </c>
      <c r="C23">
        <v>0</v>
      </c>
      <c r="D23" s="13">
        <f t="shared" si="1"/>
        <v>0</v>
      </c>
      <c r="E23">
        <v>1.9276242028447801</v>
      </c>
      <c r="F23">
        <f t="shared" si="2"/>
        <v>5.9771293111466053E-3</v>
      </c>
      <c r="G23">
        <v>0</v>
      </c>
      <c r="H23">
        <f t="shared" si="3"/>
        <v>0</v>
      </c>
      <c r="I23">
        <v>1.77785452695849</v>
      </c>
      <c r="K23">
        <v>0</v>
      </c>
      <c r="M23">
        <v>1.0575388010900899</v>
      </c>
    </row>
    <row r="24" spans="2:13" x14ac:dyDescent="0.2">
      <c r="B24" s="2">
        <v>10</v>
      </c>
      <c r="C24">
        <v>0</v>
      </c>
      <c r="D24" s="13">
        <f t="shared" si="1"/>
        <v>0</v>
      </c>
      <c r="E24">
        <v>2.1486316926997402</v>
      </c>
      <c r="F24">
        <f t="shared" si="2"/>
        <v>6.6624238533325277E-3</v>
      </c>
      <c r="G24">
        <v>0</v>
      </c>
      <c r="H24">
        <f t="shared" si="3"/>
        <v>0</v>
      </c>
      <c r="I24">
        <v>1.87716283957023</v>
      </c>
      <c r="K24">
        <v>0</v>
      </c>
      <c r="M24">
        <v>0.86266421756991396</v>
      </c>
    </row>
    <row r="25" spans="2:13" x14ac:dyDescent="0.2">
      <c r="B25" s="2">
        <v>11</v>
      </c>
      <c r="C25">
        <v>0</v>
      </c>
      <c r="D25" s="13">
        <f t="shared" si="1"/>
        <v>0</v>
      </c>
      <c r="E25">
        <v>2.2934307742485802</v>
      </c>
      <c r="F25">
        <f t="shared" si="2"/>
        <v>7.1114132534839695E-3</v>
      </c>
      <c r="G25">
        <v>0</v>
      </c>
      <c r="H25">
        <f t="shared" si="3"/>
        <v>0</v>
      </c>
      <c r="I25">
        <v>1.8670022677828799</v>
      </c>
      <c r="K25">
        <v>0</v>
      </c>
      <c r="M25">
        <v>0.52475907880490702</v>
      </c>
    </row>
    <row r="26" spans="2:13" x14ac:dyDescent="0.2">
      <c r="B26" s="2">
        <v>12</v>
      </c>
      <c r="C26">
        <v>0</v>
      </c>
      <c r="D26" s="13">
        <f t="shared" si="1"/>
        <v>0</v>
      </c>
      <c r="E26">
        <v>2.3410149458777401</v>
      </c>
      <c r="F26">
        <f t="shared" si="2"/>
        <v>7.2589610724891167E-3</v>
      </c>
      <c r="G26">
        <v>0</v>
      </c>
      <c r="H26">
        <f t="shared" si="3"/>
        <v>0</v>
      </c>
      <c r="I26">
        <v>1.72478130725195</v>
      </c>
      <c r="K26">
        <v>0</v>
      </c>
      <c r="M26">
        <v>1.9681109625529301E-2</v>
      </c>
    </row>
    <row r="27" spans="2:13" x14ac:dyDescent="0.2">
      <c r="B27" s="2">
        <v>13</v>
      </c>
      <c r="C27">
        <v>0</v>
      </c>
      <c r="D27" s="13">
        <f t="shared" si="1"/>
        <v>0</v>
      </c>
      <c r="E27">
        <v>2.2703931219223401</v>
      </c>
      <c r="F27">
        <f t="shared" si="2"/>
        <v>7.0399786726274109E-3</v>
      </c>
      <c r="G27">
        <v>0</v>
      </c>
      <c r="H27">
        <f t="shared" si="3"/>
        <v>0</v>
      </c>
      <c r="I27">
        <v>1.42792744236771</v>
      </c>
      <c r="K27">
        <v>0</v>
      </c>
      <c r="M27">
        <v>0</v>
      </c>
    </row>
    <row r="28" spans="2:13" x14ac:dyDescent="0.2">
      <c r="B28" s="2">
        <v>14</v>
      </c>
      <c r="C28">
        <v>0</v>
      </c>
      <c r="D28" s="13">
        <f t="shared" si="1"/>
        <v>0</v>
      </c>
      <c r="E28">
        <v>2.0605915432618001</v>
      </c>
      <c r="F28">
        <f t="shared" si="2"/>
        <v>6.3894311418970541E-3</v>
      </c>
      <c r="G28">
        <v>0</v>
      </c>
      <c r="H28">
        <f t="shared" si="3"/>
        <v>0</v>
      </c>
      <c r="I28">
        <v>0.95388920109672304</v>
      </c>
      <c r="K28">
        <v>0</v>
      </c>
      <c r="M28">
        <v>0</v>
      </c>
    </row>
    <row r="29" spans="2:13" x14ac:dyDescent="0.2">
      <c r="B29" s="2">
        <v>15</v>
      </c>
      <c r="C29">
        <v>0</v>
      </c>
      <c r="D29" s="13">
        <f t="shared" si="1"/>
        <v>0</v>
      </c>
      <c r="E29">
        <v>1.7257948754094801</v>
      </c>
      <c r="F29">
        <f t="shared" si="2"/>
        <v>5.3513019392542015E-3</v>
      </c>
      <c r="G29">
        <v>0</v>
      </c>
      <c r="H29">
        <f t="shared" si="3"/>
        <v>0</v>
      </c>
      <c r="I29">
        <v>0.31791440176749902</v>
      </c>
      <c r="K29">
        <v>0</v>
      </c>
      <c r="M29">
        <v>0</v>
      </c>
    </row>
    <row r="30" spans="2:13" x14ac:dyDescent="0.2">
      <c r="B30" s="2">
        <v>16</v>
      </c>
      <c r="C30">
        <v>0</v>
      </c>
      <c r="D30" s="13">
        <f t="shared" si="1"/>
        <v>0</v>
      </c>
      <c r="E30">
        <v>1.4802028590262599</v>
      </c>
      <c r="F30">
        <f t="shared" si="2"/>
        <v>4.58977630705817E-3</v>
      </c>
      <c r="G30">
        <v>0</v>
      </c>
      <c r="H30">
        <f t="shared" si="3"/>
        <v>0</v>
      </c>
      <c r="I30">
        <v>0</v>
      </c>
      <c r="K30">
        <v>0</v>
      </c>
      <c r="M30">
        <v>0</v>
      </c>
    </row>
    <row r="31" spans="2:13" x14ac:dyDescent="0.2">
      <c r="B31" s="2">
        <v>17</v>
      </c>
      <c r="C31">
        <v>0</v>
      </c>
      <c r="D31" s="13">
        <f t="shared" si="1"/>
        <v>0</v>
      </c>
      <c r="E31">
        <v>1.14568896997928</v>
      </c>
      <c r="F31">
        <f t="shared" si="2"/>
        <v>3.5525239379202481E-3</v>
      </c>
      <c r="G31">
        <v>0</v>
      </c>
      <c r="H31">
        <f t="shared" si="3"/>
        <v>0</v>
      </c>
      <c r="I31">
        <v>0</v>
      </c>
      <c r="K31">
        <v>0</v>
      </c>
      <c r="M31">
        <v>0</v>
      </c>
    </row>
    <row r="32" spans="2:13" x14ac:dyDescent="0.2">
      <c r="B32" s="2">
        <v>18</v>
      </c>
      <c r="C32">
        <v>0</v>
      </c>
      <c r="D32" s="13">
        <f t="shared" si="1"/>
        <v>0</v>
      </c>
      <c r="E32">
        <v>0.694355973382071</v>
      </c>
      <c r="F32">
        <f t="shared" si="2"/>
        <v>2.1530417779289024E-3</v>
      </c>
      <c r="G32">
        <v>0</v>
      </c>
      <c r="H32">
        <f t="shared" si="3"/>
        <v>0</v>
      </c>
      <c r="I32">
        <v>0</v>
      </c>
      <c r="K32">
        <v>0</v>
      </c>
      <c r="M32">
        <v>0</v>
      </c>
    </row>
    <row r="33" spans="2:13" x14ac:dyDescent="0.2">
      <c r="B33" s="2">
        <v>19</v>
      </c>
      <c r="C33">
        <v>0</v>
      </c>
      <c r="D33" s="13">
        <f t="shared" si="1"/>
        <v>0</v>
      </c>
      <c r="E33">
        <v>0.152449637642838</v>
      </c>
      <c r="F33">
        <f t="shared" si="2"/>
        <v>4.7271205470647445E-4</v>
      </c>
      <c r="G33">
        <v>0</v>
      </c>
      <c r="H33">
        <f t="shared" si="3"/>
        <v>0</v>
      </c>
      <c r="I33">
        <v>0</v>
      </c>
      <c r="K33">
        <v>0</v>
      </c>
      <c r="M33">
        <v>0</v>
      </c>
    </row>
    <row r="34" spans="2:13" x14ac:dyDescent="0.2">
      <c r="B34" s="2">
        <v>20</v>
      </c>
      <c r="C34">
        <v>0</v>
      </c>
      <c r="D34" s="13">
        <f t="shared" si="1"/>
        <v>0</v>
      </c>
      <c r="E34">
        <v>0</v>
      </c>
      <c r="F34">
        <f t="shared" si="2"/>
        <v>0</v>
      </c>
      <c r="G34">
        <v>0</v>
      </c>
      <c r="H34">
        <f t="shared" si="3"/>
        <v>0</v>
      </c>
      <c r="I34">
        <v>0</v>
      </c>
      <c r="K34">
        <v>0</v>
      </c>
      <c r="M34">
        <v>0</v>
      </c>
    </row>
    <row r="35" spans="2:13" x14ac:dyDescent="0.2">
      <c r="B35" s="2">
        <v>21</v>
      </c>
      <c r="C35">
        <v>0</v>
      </c>
      <c r="D35" s="13">
        <f t="shared" si="1"/>
        <v>0</v>
      </c>
      <c r="E35">
        <v>0</v>
      </c>
      <c r="F35">
        <f t="shared" si="2"/>
        <v>0</v>
      </c>
      <c r="G35">
        <v>0</v>
      </c>
      <c r="H35">
        <f t="shared" si="3"/>
        <v>0</v>
      </c>
      <c r="I35">
        <v>0</v>
      </c>
      <c r="K35">
        <v>0</v>
      </c>
      <c r="M35">
        <v>0</v>
      </c>
    </row>
    <row r="36" spans="2:13" x14ac:dyDescent="0.2">
      <c r="B36" s="2">
        <v>22</v>
      </c>
      <c r="C36">
        <v>0</v>
      </c>
      <c r="D36" s="13">
        <f t="shared" si="1"/>
        <v>0</v>
      </c>
      <c r="E36">
        <v>0</v>
      </c>
      <c r="F36">
        <f t="shared" si="2"/>
        <v>0</v>
      </c>
      <c r="G36">
        <v>0</v>
      </c>
      <c r="H36">
        <f t="shared" si="3"/>
        <v>0</v>
      </c>
      <c r="I36">
        <v>0</v>
      </c>
      <c r="K36">
        <v>0</v>
      </c>
      <c r="M36">
        <v>0</v>
      </c>
    </row>
    <row r="37" spans="2:13" x14ac:dyDescent="0.2">
      <c r="B37" s="2">
        <v>23</v>
      </c>
      <c r="C37">
        <v>0</v>
      </c>
      <c r="D37" s="13">
        <f t="shared" si="1"/>
        <v>0</v>
      </c>
      <c r="E37">
        <v>0</v>
      </c>
      <c r="F37">
        <f t="shared" si="2"/>
        <v>0</v>
      </c>
      <c r="G37">
        <v>0</v>
      </c>
      <c r="H37">
        <f t="shared" si="3"/>
        <v>0</v>
      </c>
      <c r="I37">
        <v>0</v>
      </c>
      <c r="K37">
        <v>0</v>
      </c>
      <c r="M37">
        <v>0</v>
      </c>
    </row>
    <row r="38" spans="2:13" x14ac:dyDescent="0.2">
      <c r="B38" s="2">
        <v>24</v>
      </c>
      <c r="C38">
        <v>0</v>
      </c>
      <c r="D38" s="13">
        <f t="shared" si="1"/>
        <v>0</v>
      </c>
      <c r="E38">
        <v>0</v>
      </c>
      <c r="F38">
        <f t="shared" si="2"/>
        <v>0</v>
      </c>
      <c r="G38">
        <v>0</v>
      </c>
      <c r="H38">
        <f t="shared" si="3"/>
        <v>0</v>
      </c>
      <c r="I38">
        <v>0</v>
      </c>
      <c r="K38">
        <v>0</v>
      </c>
      <c r="M38">
        <v>0</v>
      </c>
    </row>
    <row r="39" spans="2:13" x14ac:dyDescent="0.2">
      <c r="B39" s="2">
        <v>25</v>
      </c>
      <c r="C39">
        <v>0</v>
      </c>
      <c r="D39" s="13">
        <f t="shared" si="1"/>
        <v>0</v>
      </c>
      <c r="E39">
        <v>0</v>
      </c>
      <c r="F39">
        <f t="shared" si="2"/>
        <v>0</v>
      </c>
      <c r="G39">
        <v>0</v>
      </c>
      <c r="H39">
        <f t="shared" si="3"/>
        <v>0</v>
      </c>
      <c r="I39">
        <v>0</v>
      </c>
      <c r="K39">
        <v>0</v>
      </c>
      <c r="M39">
        <v>0</v>
      </c>
    </row>
    <row r="40" spans="2:13" x14ac:dyDescent="0.2">
      <c r="B40" s="2">
        <v>26</v>
      </c>
      <c r="C40">
        <v>0</v>
      </c>
      <c r="D40" s="13">
        <f t="shared" si="1"/>
        <v>0</v>
      </c>
      <c r="E40">
        <v>0</v>
      </c>
      <c r="F40">
        <f t="shared" si="2"/>
        <v>0</v>
      </c>
      <c r="G40">
        <v>0</v>
      </c>
      <c r="H40">
        <f t="shared" si="3"/>
        <v>0</v>
      </c>
      <c r="I40">
        <v>0</v>
      </c>
      <c r="K40">
        <v>0</v>
      </c>
      <c r="M40">
        <v>0</v>
      </c>
    </row>
    <row r="41" spans="2:13" x14ac:dyDescent="0.2">
      <c r="B41" s="2">
        <v>27</v>
      </c>
      <c r="C41">
        <v>0</v>
      </c>
      <c r="D41" s="13">
        <f t="shared" si="1"/>
        <v>0</v>
      </c>
      <c r="E41">
        <v>0</v>
      </c>
      <c r="F41">
        <f t="shared" si="2"/>
        <v>0</v>
      </c>
      <c r="G41">
        <v>0</v>
      </c>
      <c r="H41">
        <f t="shared" si="3"/>
        <v>0</v>
      </c>
      <c r="I41">
        <v>0</v>
      </c>
      <c r="K41">
        <v>0</v>
      </c>
      <c r="M41">
        <v>0</v>
      </c>
    </row>
    <row r="42" spans="2:13" x14ac:dyDescent="0.2">
      <c r="B42" s="2">
        <v>28</v>
      </c>
      <c r="C42">
        <v>0</v>
      </c>
      <c r="D42" s="13">
        <f t="shared" si="1"/>
        <v>0</v>
      </c>
      <c r="E42">
        <v>0</v>
      </c>
      <c r="F42">
        <f t="shared" si="2"/>
        <v>0</v>
      </c>
      <c r="G42">
        <v>0</v>
      </c>
      <c r="H42">
        <f t="shared" si="3"/>
        <v>0</v>
      </c>
      <c r="I42">
        <v>0</v>
      </c>
      <c r="K42">
        <v>0</v>
      </c>
      <c r="M42">
        <v>0</v>
      </c>
    </row>
    <row r="43" spans="2:13" x14ac:dyDescent="0.2">
      <c r="B43" s="2">
        <v>29</v>
      </c>
      <c r="C43">
        <v>0</v>
      </c>
      <c r="D43" s="13">
        <f t="shared" si="1"/>
        <v>0</v>
      </c>
      <c r="E43">
        <v>0</v>
      </c>
      <c r="F43">
        <f t="shared" si="2"/>
        <v>0</v>
      </c>
      <c r="G43">
        <v>0</v>
      </c>
      <c r="H43">
        <f t="shared" si="3"/>
        <v>0</v>
      </c>
      <c r="I43">
        <v>0</v>
      </c>
      <c r="K43">
        <v>0</v>
      </c>
      <c r="M43">
        <v>0</v>
      </c>
    </row>
    <row r="44" spans="2:13" x14ac:dyDescent="0.2">
      <c r="B44" s="2">
        <v>30</v>
      </c>
      <c r="C44">
        <v>0</v>
      </c>
      <c r="D44" s="13">
        <f t="shared" si="1"/>
        <v>0</v>
      </c>
      <c r="E44">
        <v>0</v>
      </c>
      <c r="F44">
        <f t="shared" si="2"/>
        <v>0</v>
      </c>
      <c r="G44">
        <v>0</v>
      </c>
      <c r="H44">
        <f t="shared" si="3"/>
        <v>0</v>
      </c>
      <c r="I44">
        <v>0</v>
      </c>
      <c r="K44">
        <v>0</v>
      </c>
      <c r="M44">
        <v>0</v>
      </c>
    </row>
    <row r="45" spans="2:13" x14ac:dyDescent="0.2">
      <c r="B45" s="2">
        <v>31</v>
      </c>
      <c r="C45">
        <v>0</v>
      </c>
      <c r="D45" s="13">
        <f t="shared" si="1"/>
        <v>0</v>
      </c>
      <c r="E45">
        <v>0</v>
      </c>
      <c r="F45">
        <f t="shared" si="2"/>
        <v>0</v>
      </c>
      <c r="G45">
        <v>0</v>
      </c>
      <c r="H45">
        <f t="shared" si="3"/>
        <v>0</v>
      </c>
      <c r="I45">
        <v>0</v>
      </c>
      <c r="K45">
        <v>0</v>
      </c>
      <c r="M45">
        <v>0</v>
      </c>
    </row>
    <row r="46" spans="2:13" x14ac:dyDescent="0.2">
      <c r="B46" s="2">
        <v>32</v>
      </c>
      <c r="C46">
        <v>0</v>
      </c>
      <c r="D46" s="13">
        <f t="shared" si="1"/>
        <v>0</v>
      </c>
      <c r="E46">
        <v>0</v>
      </c>
      <c r="F46">
        <f t="shared" si="2"/>
        <v>0</v>
      </c>
      <c r="G46">
        <v>0</v>
      </c>
      <c r="H46">
        <f t="shared" si="3"/>
        <v>0</v>
      </c>
      <c r="I46">
        <v>0</v>
      </c>
      <c r="K46">
        <v>0</v>
      </c>
      <c r="M46">
        <v>0</v>
      </c>
    </row>
    <row r="47" spans="2:13" x14ac:dyDescent="0.2">
      <c r="B47" s="2">
        <v>33</v>
      </c>
      <c r="C47">
        <v>0</v>
      </c>
      <c r="D47" s="13">
        <f t="shared" si="1"/>
        <v>0</v>
      </c>
      <c r="E47">
        <v>0</v>
      </c>
      <c r="F47">
        <f t="shared" si="2"/>
        <v>0</v>
      </c>
      <c r="G47">
        <v>0</v>
      </c>
      <c r="H47">
        <f t="shared" si="3"/>
        <v>0</v>
      </c>
      <c r="I47">
        <v>0</v>
      </c>
      <c r="K47">
        <v>0</v>
      </c>
      <c r="M47">
        <v>0</v>
      </c>
    </row>
    <row r="48" spans="2:13" x14ac:dyDescent="0.2">
      <c r="B48" s="2">
        <v>34</v>
      </c>
      <c r="C48">
        <v>0</v>
      </c>
      <c r="D48" s="13">
        <f t="shared" si="1"/>
        <v>0</v>
      </c>
      <c r="E48">
        <v>0</v>
      </c>
      <c r="F48">
        <f t="shared" si="2"/>
        <v>0</v>
      </c>
      <c r="G48">
        <v>0</v>
      </c>
      <c r="H48">
        <f t="shared" si="3"/>
        <v>0</v>
      </c>
      <c r="I48">
        <v>0</v>
      </c>
      <c r="K48">
        <v>0</v>
      </c>
      <c r="M48">
        <v>0</v>
      </c>
    </row>
    <row r="49" spans="2:13" x14ac:dyDescent="0.2">
      <c r="B49" s="2">
        <v>35</v>
      </c>
      <c r="C49">
        <v>0</v>
      </c>
      <c r="D49" s="13">
        <f t="shared" si="1"/>
        <v>0</v>
      </c>
      <c r="E49">
        <v>0</v>
      </c>
      <c r="F49">
        <f t="shared" si="2"/>
        <v>0</v>
      </c>
      <c r="G49">
        <v>0</v>
      </c>
      <c r="H49">
        <f t="shared" si="3"/>
        <v>0</v>
      </c>
      <c r="I49">
        <v>0</v>
      </c>
      <c r="K49">
        <v>0</v>
      </c>
      <c r="M49">
        <v>0</v>
      </c>
    </row>
    <row r="50" spans="2:13" x14ac:dyDescent="0.2">
      <c r="B50" s="2">
        <v>36</v>
      </c>
      <c r="C50">
        <v>0</v>
      </c>
      <c r="D50" s="13">
        <f t="shared" si="1"/>
        <v>0</v>
      </c>
      <c r="E50">
        <v>0</v>
      </c>
      <c r="F50">
        <f t="shared" si="2"/>
        <v>0</v>
      </c>
      <c r="G50">
        <v>0</v>
      </c>
      <c r="H50">
        <f t="shared" si="3"/>
        <v>0</v>
      </c>
      <c r="I50">
        <v>0</v>
      </c>
      <c r="K50">
        <v>0</v>
      </c>
      <c r="M50">
        <v>0</v>
      </c>
    </row>
    <row r="51" spans="2:13" x14ac:dyDescent="0.2">
      <c r="B51" s="2">
        <v>37</v>
      </c>
      <c r="C51">
        <v>0</v>
      </c>
      <c r="D51" s="13">
        <f t="shared" si="1"/>
        <v>0</v>
      </c>
      <c r="E51">
        <v>0</v>
      </c>
      <c r="F51">
        <f t="shared" si="2"/>
        <v>0</v>
      </c>
      <c r="G51">
        <v>0</v>
      </c>
      <c r="H51">
        <f t="shared" si="3"/>
        <v>0</v>
      </c>
      <c r="I51">
        <v>0</v>
      </c>
      <c r="K51">
        <v>0</v>
      </c>
      <c r="M51">
        <v>0</v>
      </c>
    </row>
    <row r="52" spans="2:13" x14ac:dyDescent="0.2">
      <c r="B52" s="2">
        <v>38</v>
      </c>
      <c r="C52">
        <v>0</v>
      </c>
      <c r="D52" s="13">
        <f t="shared" si="1"/>
        <v>0</v>
      </c>
      <c r="E52">
        <v>0</v>
      </c>
      <c r="F52">
        <f t="shared" si="2"/>
        <v>0</v>
      </c>
      <c r="G52">
        <v>0</v>
      </c>
      <c r="H52">
        <f t="shared" si="3"/>
        <v>0</v>
      </c>
      <c r="I52">
        <v>0</v>
      </c>
      <c r="K52">
        <v>0</v>
      </c>
      <c r="M52">
        <v>0</v>
      </c>
    </row>
    <row r="53" spans="2:13" x14ac:dyDescent="0.2">
      <c r="B53" s="2">
        <v>39</v>
      </c>
      <c r="C53">
        <v>0</v>
      </c>
      <c r="D53" s="13">
        <f t="shared" si="1"/>
        <v>0</v>
      </c>
      <c r="E53">
        <v>0</v>
      </c>
      <c r="F53">
        <f t="shared" si="2"/>
        <v>0</v>
      </c>
      <c r="G53">
        <v>0</v>
      </c>
      <c r="H53">
        <f t="shared" si="3"/>
        <v>0</v>
      </c>
      <c r="I53">
        <v>0</v>
      </c>
      <c r="K53">
        <v>0</v>
      </c>
      <c r="M53">
        <v>0</v>
      </c>
    </row>
    <row r="54" spans="2:13" x14ac:dyDescent="0.2">
      <c r="B54" s="2">
        <v>40</v>
      </c>
      <c r="C54">
        <v>0</v>
      </c>
      <c r="D54" s="13">
        <f t="shared" si="1"/>
        <v>0</v>
      </c>
      <c r="E54">
        <v>0</v>
      </c>
      <c r="F54">
        <f t="shared" si="2"/>
        <v>0</v>
      </c>
      <c r="G54">
        <v>0</v>
      </c>
      <c r="H54">
        <f t="shared" si="3"/>
        <v>0</v>
      </c>
      <c r="I54">
        <v>0</v>
      </c>
      <c r="K54">
        <v>0</v>
      </c>
      <c r="M54">
        <v>0</v>
      </c>
    </row>
    <row r="55" spans="2:13" x14ac:dyDescent="0.2">
      <c r="B55" s="2">
        <v>41</v>
      </c>
      <c r="C55">
        <v>0</v>
      </c>
      <c r="D55" s="13">
        <f t="shared" si="1"/>
        <v>0</v>
      </c>
      <c r="E55">
        <v>0</v>
      </c>
      <c r="F55">
        <f t="shared" si="2"/>
        <v>0</v>
      </c>
      <c r="G55">
        <v>0</v>
      </c>
      <c r="H55">
        <f t="shared" si="3"/>
        <v>0</v>
      </c>
      <c r="I55">
        <v>0</v>
      </c>
      <c r="K55">
        <v>0</v>
      </c>
      <c r="M55">
        <v>0</v>
      </c>
    </row>
    <row r="56" spans="2:13" x14ac:dyDescent="0.2">
      <c r="B56" s="2">
        <v>42</v>
      </c>
      <c r="C56">
        <v>0</v>
      </c>
      <c r="D56" s="13">
        <f t="shared" si="1"/>
        <v>0</v>
      </c>
      <c r="E56">
        <v>0</v>
      </c>
      <c r="F56">
        <f t="shared" si="2"/>
        <v>0</v>
      </c>
      <c r="G56">
        <v>0</v>
      </c>
      <c r="H56">
        <f t="shared" si="3"/>
        <v>0</v>
      </c>
      <c r="I56">
        <v>0</v>
      </c>
      <c r="K56">
        <v>0</v>
      </c>
      <c r="M56">
        <v>0</v>
      </c>
    </row>
    <row r="57" spans="2:13" x14ac:dyDescent="0.2">
      <c r="B57" s="2">
        <v>43</v>
      </c>
      <c r="C57">
        <v>0</v>
      </c>
      <c r="D57" s="13">
        <f t="shared" si="1"/>
        <v>0</v>
      </c>
      <c r="E57">
        <v>0</v>
      </c>
      <c r="F57">
        <f t="shared" si="2"/>
        <v>0</v>
      </c>
      <c r="G57">
        <v>0</v>
      </c>
      <c r="H57">
        <f t="shared" si="3"/>
        <v>0</v>
      </c>
      <c r="I57">
        <v>0</v>
      </c>
      <c r="K57">
        <v>0</v>
      </c>
      <c r="M57">
        <v>0</v>
      </c>
    </row>
    <row r="58" spans="2:13" x14ac:dyDescent="0.2">
      <c r="B58" s="2">
        <v>44</v>
      </c>
      <c r="C58">
        <v>0</v>
      </c>
      <c r="D58" s="13">
        <f t="shared" si="1"/>
        <v>0</v>
      </c>
      <c r="E58">
        <v>0</v>
      </c>
      <c r="F58">
        <f t="shared" si="2"/>
        <v>0</v>
      </c>
      <c r="G58">
        <v>0</v>
      </c>
      <c r="H58">
        <f t="shared" si="3"/>
        <v>0</v>
      </c>
      <c r="I58">
        <v>0</v>
      </c>
      <c r="K58">
        <v>0</v>
      </c>
      <c r="M58">
        <v>0</v>
      </c>
    </row>
    <row r="59" spans="2:13" x14ac:dyDescent="0.2">
      <c r="B59" s="2">
        <v>45</v>
      </c>
      <c r="C59">
        <v>0</v>
      </c>
      <c r="D59" s="13">
        <f t="shared" si="1"/>
        <v>0</v>
      </c>
      <c r="E59">
        <v>0</v>
      </c>
      <c r="F59">
        <f t="shared" si="2"/>
        <v>0</v>
      </c>
      <c r="G59">
        <v>0</v>
      </c>
      <c r="H59">
        <f t="shared" si="3"/>
        <v>0</v>
      </c>
      <c r="I59">
        <v>0</v>
      </c>
      <c r="K59">
        <v>0</v>
      </c>
      <c r="M59">
        <v>0</v>
      </c>
    </row>
    <row r="60" spans="2:13" x14ac:dyDescent="0.2">
      <c r="B60" s="2">
        <v>46</v>
      </c>
      <c r="C60">
        <v>0</v>
      </c>
      <c r="D60" s="13">
        <f t="shared" si="1"/>
        <v>0</v>
      </c>
      <c r="E60">
        <v>0</v>
      </c>
      <c r="F60">
        <f t="shared" si="2"/>
        <v>0</v>
      </c>
      <c r="G60">
        <v>0</v>
      </c>
      <c r="H60">
        <f t="shared" si="3"/>
        <v>0</v>
      </c>
      <c r="I60">
        <v>0</v>
      </c>
      <c r="K60">
        <v>0</v>
      </c>
      <c r="M60">
        <v>0</v>
      </c>
    </row>
    <row r="61" spans="2:13" x14ac:dyDescent="0.2">
      <c r="B61" s="2">
        <v>47</v>
      </c>
      <c r="C61">
        <v>0</v>
      </c>
      <c r="D61" s="13">
        <f t="shared" si="1"/>
        <v>0</v>
      </c>
      <c r="E61">
        <v>0</v>
      </c>
      <c r="F61">
        <f t="shared" si="2"/>
        <v>0</v>
      </c>
      <c r="G61">
        <v>0</v>
      </c>
      <c r="H61">
        <f t="shared" si="3"/>
        <v>0</v>
      </c>
      <c r="I61">
        <v>0</v>
      </c>
      <c r="K61">
        <v>0</v>
      </c>
      <c r="M61">
        <v>0</v>
      </c>
    </row>
    <row r="62" spans="2:13" x14ac:dyDescent="0.2">
      <c r="B62" s="2">
        <v>48</v>
      </c>
      <c r="C62">
        <v>0</v>
      </c>
      <c r="D62" s="13">
        <f t="shared" si="1"/>
        <v>0</v>
      </c>
      <c r="E62">
        <v>0</v>
      </c>
      <c r="F62">
        <f t="shared" si="2"/>
        <v>0</v>
      </c>
      <c r="G62">
        <v>0</v>
      </c>
      <c r="H62">
        <f t="shared" si="3"/>
        <v>0</v>
      </c>
      <c r="I62">
        <v>0</v>
      </c>
      <c r="K62">
        <v>0</v>
      </c>
      <c r="M62">
        <v>0</v>
      </c>
    </row>
    <row r="63" spans="2:13" x14ac:dyDescent="0.2">
      <c r="B63" s="2">
        <v>49</v>
      </c>
      <c r="C63">
        <v>0</v>
      </c>
      <c r="D63" s="13">
        <f t="shared" si="1"/>
        <v>0</v>
      </c>
      <c r="E63">
        <v>0</v>
      </c>
      <c r="F63">
        <f t="shared" si="2"/>
        <v>0</v>
      </c>
      <c r="G63">
        <v>0</v>
      </c>
      <c r="H63">
        <f t="shared" si="3"/>
        <v>0</v>
      </c>
      <c r="I63">
        <v>0</v>
      </c>
      <c r="K63">
        <v>0</v>
      </c>
      <c r="M63">
        <v>0</v>
      </c>
    </row>
    <row r="64" spans="2:13" x14ac:dyDescent="0.2">
      <c r="B64" s="2">
        <v>50</v>
      </c>
      <c r="C64">
        <v>0</v>
      </c>
      <c r="D64" s="13">
        <f t="shared" si="1"/>
        <v>0</v>
      </c>
      <c r="E64">
        <v>0</v>
      </c>
      <c r="F64">
        <f t="shared" si="2"/>
        <v>0</v>
      </c>
      <c r="G64">
        <v>0</v>
      </c>
      <c r="H64">
        <f t="shared" si="3"/>
        <v>0</v>
      </c>
      <c r="I64">
        <v>0</v>
      </c>
      <c r="K64">
        <v>0</v>
      </c>
      <c r="M64">
        <v>0</v>
      </c>
    </row>
    <row r="65" spans="2:13" x14ac:dyDescent="0.2">
      <c r="B65" s="2">
        <v>51</v>
      </c>
      <c r="C65">
        <v>0</v>
      </c>
      <c r="D65" s="13">
        <f t="shared" si="1"/>
        <v>0</v>
      </c>
      <c r="E65">
        <v>0</v>
      </c>
      <c r="F65">
        <f t="shared" si="2"/>
        <v>0</v>
      </c>
      <c r="G65">
        <v>0</v>
      </c>
      <c r="H65">
        <f t="shared" si="3"/>
        <v>0</v>
      </c>
      <c r="I65">
        <v>0</v>
      </c>
      <c r="K65">
        <v>0</v>
      </c>
      <c r="M65">
        <v>0</v>
      </c>
    </row>
    <row r="66" spans="2:13" x14ac:dyDescent="0.2">
      <c r="B66" s="2">
        <v>52</v>
      </c>
      <c r="C66">
        <v>0</v>
      </c>
      <c r="D66" s="13">
        <f t="shared" si="1"/>
        <v>0</v>
      </c>
      <c r="E66">
        <v>0</v>
      </c>
      <c r="F66">
        <f t="shared" si="2"/>
        <v>0</v>
      </c>
      <c r="G66">
        <v>0</v>
      </c>
      <c r="H66">
        <f t="shared" si="3"/>
        <v>0</v>
      </c>
      <c r="I66">
        <v>0</v>
      </c>
      <c r="K66">
        <v>0</v>
      </c>
      <c r="M66">
        <v>0</v>
      </c>
    </row>
    <row r="67" spans="2:13" x14ac:dyDescent="0.2">
      <c r="B67" s="2">
        <v>53</v>
      </c>
      <c r="C67">
        <v>0</v>
      </c>
      <c r="D67" s="13">
        <f t="shared" si="1"/>
        <v>0</v>
      </c>
      <c r="E67">
        <v>0</v>
      </c>
      <c r="F67">
        <f t="shared" si="2"/>
        <v>0</v>
      </c>
      <c r="G67">
        <v>0</v>
      </c>
      <c r="H67">
        <f t="shared" si="3"/>
        <v>0</v>
      </c>
      <c r="I67">
        <v>0</v>
      </c>
      <c r="K67">
        <v>0</v>
      </c>
      <c r="M67">
        <v>0</v>
      </c>
    </row>
    <row r="68" spans="2:13" x14ac:dyDescent="0.2">
      <c r="B68" s="2">
        <v>54</v>
      </c>
      <c r="C68">
        <v>0</v>
      </c>
      <c r="D68" s="13">
        <f t="shared" si="1"/>
        <v>0</v>
      </c>
      <c r="E68">
        <v>0</v>
      </c>
      <c r="F68">
        <f t="shared" si="2"/>
        <v>0</v>
      </c>
      <c r="G68">
        <v>0</v>
      </c>
      <c r="H68">
        <f t="shared" si="3"/>
        <v>0</v>
      </c>
      <c r="I68">
        <v>0</v>
      </c>
      <c r="K68">
        <v>0</v>
      </c>
      <c r="M68">
        <v>0</v>
      </c>
    </row>
    <row r="69" spans="2:13" x14ac:dyDescent="0.2">
      <c r="B69" s="2">
        <v>55</v>
      </c>
      <c r="C69">
        <v>0</v>
      </c>
      <c r="D69" s="13">
        <f t="shared" si="1"/>
        <v>0</v>
      </c>
      <c r="E69">
        <v>0</v>
      </c>
      <c r="F69">
        <f t="shared" si="2"/>
        <v>0</v>
      </c>
      <c r="G69">
        <v>0</v>
      </c>
      <c r="H69">
        <f t="shared" si="3"/>
        <v>0</v>
      </c>
      <c r="I69">
        <v>0</v>
      </c>
      <c r="K69">
        <v>0</v>
      </c>
      <c r="M69">
        <v>0</v>
      </c>
    </row>
    <row r="70" spans="2:13" x14ac:dyDescent="0.2">
      <c r="B70" s="2">
        <v>56</v>
      </c>
      <c r="C70">
        <v>0</v>
      </c>
      <c r="D70" s="13">
        <f t="shared" si="1"/>
        <v>0</v>
      </c>
      <c r="E70">
        <v>0</v>
      </c>
      <c r="F70">
        <f t="shared" si="2"/>
        <v>0</v>
      </c>
      <c r="G70">
        <v>0</v>
      </c>
      <c r="H70">
        <f t="shared" si="3"/>
        <v>0</v>
      </c>
      <c r="I70">
        <v>0</v>
      </c>
      <c r="K70">
        <v>0</v>
      </c>
      <c r="M70">
        <v>0</v>
      </c>
    </row>
    <row r="71" spans="2:13" x14ac:dyDescent="0.2">
      <c r="B71" s="2">
        <v>57</v>
      </c>
      <c r="C71">
        <v>0</v>
      </c>
      <c r="D71" s="13">
        <f t="shared" si="1"/>
        <v>0</v>
      </c>
      <c r="E71">
        <v>0</v>
      </c>
      <c r="F71">
        <f t="shared" si="2"/>
        <v>0</v>
      </c>
      <c r="G71">
        <v>0</v>
      </c>
      <c r="H71">
        <f t="shared" si="3"/>
        <v>0</v>
      </c>
      <c r="I71">
        <v>0</v>
      </c>
      <c r="K71">
        <v>0</v>
      </c>
      <c r="M71">
        <v>0</v>
      </c>
    </row>
    <row r="72" spans="2:13" x14ac:dyDescent="0.2">
      <c r="B72" s="2">
        <v>58</v>
      </c>
      <c r="C72">
        <v>0</v>
      </c>
      <c r="D72" s="13">
        <f t="shared" si="1"/>
        <v>0</v>
      </c>
      <c r="E72">
        <v>0</v>
      </c>
      <c r="F72">
        <f t="shared" si="2"/>
        <v>0</v>
      </c>
      <c r="G72">
        <v>0</v>
      </c>
      <c r="H72">
        <f t="shared" si="3"/>
        <v>0</v>
      </c>
      <c r="I72">
        <v>0</v>
      </c>
      <c r="K72">
        <v>0</v>
      </c>
      <c r="M72">
        <v>0</v>
      </c>
    </row>
    <row r="73" spans="2:13" x14ac:dyDescent="0.2">
      <c r="B73" s="2">
        <v>59</v>
      </c>
      <c r="C73">
        <v>0</v>
      </c>
      <c r="D73" s="13">
        <f t="shared" si="1"/>
        <v>0</v>
      </c>
      <c r="E73">
        <v>0</v>
      </c>
      <c r="F73">
        <f t="shared" si="2"/>
        <v>0</v>
      </c>
      <c r="G73">
        <v>0</v>
      </c>
      <c r="H73">
        <f t="shared" si="3"/>
        <v>0</v>
      </c>
      <c r="I73">
        <v>0</v>
      </c>
      <c r="K73">
        <v>0</v>
      </c>
      <c r="M73">
        <v>0</v>
      </c>
    </row>
    <row r="74" spans="2:13" x14ac:dyDescent="0.2">
      <c r="B74" s="2">
        <v>60</v>
      </c>
      <c r="C74">
        <v>0</v>
      </c>
      <c r="D74" s="13">
        <f t="shared" si="1"/>
        <v>0</v>
      </c>
      <c r="E74">
        <v>0</v>
      </c>
      <c r="F74">
        <f t="shared" si="2"/>
        <v>0</v>
      </c>
      <c r="G74">
        <v>0</v>
      </c>
      <c r="H74">
        <f t="shared" si="3"/>
        <v>0</v>
      </c>
      <c r="I74">
        <v>0</v>
      </c>
      <c r="K74">
        <v>0</v>
      </c>
      <c r="M74">
        <v>0</v>
      </c>
    </row>
    <row r="75" spans="2:13" x14ac:dyDescent="0.2">
      <c r="B75" s="2">
        <v>61</v>
      </c>
      <c r="C75">
        <v>0</v>
      </c>
      <c r="D75" s="13">
        <f t="shared" si="1"/>
        <v>0</v>
      </c>
      <c r="E75">
        <v>0</v>
      </c>
      <c r="F75">
        <f t="shared" si="2"/>
        <v>0</v>
      </c>
      <c r="G75">
        <v>0</v>
      </c>
      <c r="H75">
        <f t="shared" si="3"/>
        <v>0</v>
      </c>
      <c r="I75">
        <v>0</v>
      </c>
      <c r="K75">
        <v>0</v>
      </c>
      <c r="M75">
        <v>0</v>
      </c>
    </row>
    <row r="76" spans="2:13" x14ac:dyDescent="0.2">
      <c r="B76" s="2">
        <v>62</v>
      </c>
      <c r="C76">
        <v>0</v>
      </c>
      <c r="D76" s="13">
        <f t="shared" si="1"/>
        <v>0</v>
      </c>
      <c r="E76">
        <v>0</v>
      </c>
      <c r="F76">
        <f t="shared" si="2"/>
        <v>0</v>
      </c>
      <c r="G76">
        <v>0</v>
      </c>
      <c r="H76">
        <f t="shared" si="3"/>
        <v>0</v>
      </c>
      <c r="I76">
        <v>0</v>
      </c>
      <c r="K76">
        <v>0</v>
      </c>
      <c r="M76">
        <v>0</v>
      </c>
    </row>
    <row r="77" spans="2:13" x14ac:dyDescent="0.2">
      <c r="B77" s="2">
        <v>63</v>
      </c>
      <c r="C77">
        <v>0</v>
      </c>
      <c r="D77" s="13">
        <f t="shared" si="1"/>
        <v>0</v>
      </c>
      <c r="E77">
        <v>0</v>
      </c>
      <c r="F77">
        <f t="shared" si="2"/>
        <v>0</v>
      </c>
      <c r="G77">
        <v>0</v>
      </c>
      <c r="H77">
        <f t="shared" si="3"/>
        <v>0</v>
      </c>
      <c r="I77">
        <v>0</v>
      </c>
      <c r="K77">
        <v>0</v>
      </c>
      <c r="M77">
        <v>0</v>
      </c>
    </row>
    <row r="78" spans="2:13" x14ac:dyDescent="0.2">
      <c r="B78" s="2">
        <v>64</v>
      </c>
      <c r="C78">
        <v>0</v>
      </c>
      <c r="D78" s="13">
        <f t="shared" si="1"/>
        <v>0</v>
      </c>
      <c r="E78">
        <v>0</v>
      </c>
      <c r="F78">
        <f t="shared" si="2"/>
        <v>0</v>
      </c>
      <c r="G78">
        <v>0</v>
      </c>
      <c r="H78">
        <f t="shared" si="3"/>
        <v>0</v>
      </c>
      <c r="I78">
        <v>0</v>
      </c>
      <c r="K78">
        <v>0</v>
      </c>
      <c r="M78">
        <v>0</v>
      </c>
    </row>
    <row r="79" spans="2:13" x14ac:dyDescent="0.2">
      <c r="B79" s="2">
        <v>65</v>
      </c>
      <c r="C79">
        <v>0</v>
      </c>
      <c r="D79" s="13">
        <f t="shared" si="1"/>
        <v>0</v>
      </c>
      <c r="E79">
        <v>0</v>
      </c>
      <c r="F79">
        <f t="shared" si="2"/>
        <v>0</v>
      </c>
      <c r="G79">
        <v>0</v>
      </c>
      <c r="H79">
        <f t="shared" si="3"/>
        <v>0</v>
      </c>
      <c r="I79">
        <v>0</v>
      </c>
      <c r="K79">
        <v>0</v>
      </c>
      <c r="M79">
        <v>0</v>
      </c>
    </row>
    <row r="80" spans="2:13" x14ac:dyDescent="0.2">
      <c r="B80" s="2">
        <v>66</v>
      </c>
      <c r="C80">
        <v>0</v>
      </c>
      <c r="D80" s="13">
        <f t="shared" ref="D80:D143" si="4">C80/($D$8-$D$9)</f>
        <v>0</v>
      </c>
      <c r="E80">
        <v>0</v>
      </c>
      <c r="F80">
        <f t="shared" ref="F80:F143" si="5">E80/($F$8-$F$9)</f>
        <v>0</v>
      </c>
      <c r="G80">
        <v>0</v>
      </c>
      <c r="H80">
        <f t="shared" ref="H80:H143" si="6">G80/($H$8-$H$9)</f>
        <v>0</v>
      </c>
      <c r="I80">
        <v>0</v>
      </c>
      <c r="K80">
        <v>0</v>
      </c>
      <c r="M80">
        <v>0</v>
      </c>
    </row>
    <row r="81" spans="2:13" x14ac:dyDescent="0.2">
      <c r="B81" s="2">
        <v>67</v>
      </c>
      <c r="C81">
        <v>0</v>
      </c>
      <c r="D81" s="13">
        <f t="shared" si="4"/>
        <v>0</v>
      </c>
      <c r="E81">
        <v>0</v>
      </c>
      <c r="F81">
        <f t="shared" si="5"/>
        <v>0</v>
      </c>
      <c r="G81">
        <v>0</v>
      </c>
      <c r="H81">
        <f t="shared" si="6"/>
        <v>0</v>
      </c>
      <c r="I81">
        <v>0</v>
      </c>
      <c r="K81">
        <v>0</v>
      </c>
      <c r="M81">
        <v>0</v>
      </c>
    </row>
    <row r="82" spans="2:13" x14ac:dyDescent="0.2">
      <c r="B82" s="2">
        <v>68</v>
      </c>
      <c r="C82">
        <v>0</v>
      </c>
      <c r="D82" s="13">
        <f t="shared" si="4"/>
        <v>0</v>
      </c>
      <c r="E82">
        <v>0</v>
      </c>
      <c r="F82">
        <f t="shared" si="5"/>
        <v>0</v>
      </c>
      <c r="G82">
        <v>0</v>
      </c>
      <c r="H82">
        <f t="shared" si="6"/>
        <v>0</v>
      </c>
      <c r="I82">
        <v>0</v>
      </c>
      <c r="K82">
        <v>0</v>
      </c>
      <c r="M82">
        <v>0</v>
      </c>
    </row>
    <row r="83" spans="2:13" x14ac:dyDescent="0.2">
      <c r="B83" s="2">
        <v>69</v>
      </c>
      <c r="C83">
        <v>0</v>
      </c>
      <c r="D83" s="13">
        <f t="shared" si="4"/>
        <v>0</v>
      </c>
      <c r="E83">
        <v>0</v>
      </c>
      <c r="F83">
        <f t="shared" si="5"/>
        <v>0</v>
      </c>
      <c r="G83">
        <v>0</v>
      </c>
      <c r="H83">
        <f t="shared" si="6"/>
        <v>0</v>
      </c>
      <c r="I83">
        <v>0</v>
      </c>
      <c r="K83">
        <v>0</v>
      </c>
      <c r="M83">
        <v>0</v>
      </c>
    </row>
    <row r="84" spans="2:13" x14ac:dyDescent="0.2">
      <c r="B84" s="2">
        <v>70</v>
      </c>
      <c r="C84">
        <v>0</v>
      </c>
      <c r="D84" s="13">
        <f t="shared" si="4"/>
        <v>0</v>
      </c>
      <c r="E84">
        <v>0</v>
      </c>
      <c r="F84">
        <f t="shared" si="5"/>
        <v>0</v>
      </c>
      <c r="G84">
        <v>0</v>
      </c>
      <c r="H84">
        <f t="shared" si="6"/>
        <v>0</v>
      </c>
      <c r="I84">
        <v>0</v>
      </c>
      <c r="K84">
        <v>0</v>
      </c>
      <c r="M84">
        <v>0</v>
      </c>
    </row>
    <row r="85" spans="2:13" x14ac:dyDescent="0.2">
      <c r="B85" s="2">
        <v>71</v>
      </c>
      <c r="C85">
        <v>0</v>
      </c>
      <c r="D85" s="13">
        <f t="shared" si="4"/>
        <v>0</v>
      </c>
      <c r="E85">
        <v>0</v>
      </c>
      <c r="F85">
        <f t="shared" si="5"/>
        <v>0</v>
      </c>
      <c r="G85">
        <v>0</v>
      </c>
      <c r="H85">
        <f t="shared" si="6"/>
        <v>0</v>
      </c>
      <c r="I85">
        <v>0</v>
      </c>
      <c r="K85">
        <v>0</v>
      </c>
      <c r="M85">
        <v>0</v>
      </c>
    </row>
    <row r="86" spans="2:13" x14ac:dyDescent="0.2">
      <c r="B86" s="2">
        <v>72</v>
      </c>
      <c r="C86">
        <v>0</v>
      </c>
      <c r="D86" s="13">
        <f t="shared" si="4"/>
        <v>0</v>
      </c>
      <c r="E86">
        <v>0</v>
      </c>
      <c r="F86">
        <f t="shared" si="5"/>
        <v>0</v>
      </c>
      <c r="G86">
        <v>0</v>
      </c>
      <c r="H86">
        <f t="shared" si="6"/>
        <v>0</v>
      </c>
      <c r="I86">
        <v>0</v>
      </c>
      <c r="K86">
        <v>0</v>
      </c>
      <c r="M86">
        <v>0</v>
      </c>
    </row>
    <row r="87" spans="2:13" x14ac:dyDescent="0.2">
      <c r="B87" s="2">
        <v>73</v>
      </c>
      <c r="C87">
        <v>0</v>
      </c>
      <c r="D87" s="13">
        <f t="shared" si="4"/>
        <v>0</v>
      </c>
      <c r="E87">
        <v>0</v>
      </c>
      <c r="F87">
        <f t="shared" si="5"/>
        <v>0</v>
      </c>
      <c r="G87">
        <v>0</v>
      </c>
      <c r="H87">
        <f t="shared" si="6"/>
        <v>0</v>
      </c>
      <c r="I87">
        <v>0</v>
      </c>
      <c r="K87">
        <v>0</v>
      </c>
      <c r="M87">
        <v>0</v>
      </c>
    </row>
    <row r="88" spans="2:13" x14ac:dyDescent="0.2">
      <c r="B88" s="2">
        <v>74</v>
      </c>
      <c r="C88">
        <v>0</v>
      </c>
      <c r="D88" s="13">
        <f t="shared" si="4"/>
        <v>0</v>
      </c>
      <c r="E88">
        <v>0</v>
      </c>
      <c r="F88">
        <f t="shared" si="5"/>
        <v>0</v>
      </c>
      <c r="G88">
        <v>0</v>
      </c>
      <c r="H88">
        <f t="shared" si="6"/>
        <v>0</v>
      </c>
      <c r="I88">
        <v>0</v>
      </c>
      <c r="K88">
        <v>0</v>
      </c>
      <c r="M88">
        <v>0</v>
      </c>
    </row>
    <row r="89" spans="2:13" x14ac:dyDescent="0.2">
      <c r="B89" s="2">
        <v>75</v>
      </c>
      <c r="C89">
        <v>0</v>
      </c>
      <c r="D89" s="13">
        <f t="shared" si="4"/>
        <v>0</v>
      </c>
      <c r="E89">
        <v>0</v>
      </c>
      <c r="F89">
        <f t="shared" si="5"/>
        <v>0</v>
      </c>
      <c r="G89">
        <v>0</v>
      </c>
      <c r="H89">
        <f t="shared" si="6"/>
        <v>0</v>
      </c>
      <c r="I89">
        <v>0</v>
      </c>
      <c r="K89">
        <v>0</v>
      </c>
      <c r="M89">
        <v>0</v>
      </c>
    </row>
    <row r="90" spans="2:13" x14ac:dyDescent="0.2">
      <c r="B90" s="2">
        <v>76</v>
      </c>
      <c r="C90">
        <v>0</v>
      </c>
      <c r="D90" s="13">
        <f t="shared" si="4"/>
        <v>0</v>
      </c>
      <c r="E90">
        <v>0</v>
      </c>
      <c r="F90">
        <f t="shared" si="5"/>
        <v>0</v>
      </c>
      <c r="G90">
        <v>0</v>
      </c>
      <c r="H90">
        <f t="shared" si="6"/>
        <v>0</v>
      </c>
      <c r="I90">
        <v>0</v>
      </c>
      <c r="K90">
        <v>0</v>
      </c>
      <c r="M90">
        <v>0</v>
      </c>
    </row>
    <row r="91" spans="2:13" x14ac:dyDescent="0.2">
      <c r="B91" s="2">
        <v>77</v>
      </c>
      <c r="C91">
        <v>0</v>
      </c>
      <c r="D91" s="13">
        <f t="shared" si="4"/>
        <v>0</v>
      </c>
      <c r="E91">
        <v>0</v>
      </c>
      <c r="F91">
        <f t="shared" si="5"/>
        <v>0</v>
      </c>
      <c r="G91">
        <v>0</v>
      </c>
      <c r="H91">
        <f t="shared" si="6"/>
        <v>0</v>
      </c>
      <c r="I91">
        <v>0</v>
      </c>
      <c r="K91">
        <v>0</v>
      </c>
      <c r="M91">
        <v>0</v>
      </c>
    </row>
    <row r="92" spans="2:13" x14ac:dyDescent="0.2">
      <c r="B92" s="2">
        <v>78</v>
      </c>
      <c r="C92">
        <v>0</v>
      </c>
      <c r="D92" s="13">
        <f t="shared" si="4"/>
        <v>0</v>
      </c>
      <c r="E92">
        <v>0</v>
      </c>
      <c r="F92">
        <f t="shared" si="5"/>
        <v>0</v>
      </c>
      <c r="G92">
        <v>0</v>
      </c>
      <c r="H92">
        <f t="shared" si="6"/>
        <v>0</v>
      </c>
      <c r="I92">
        <v>0</v>
      </c>
      <c r="K92">
        <v>0</v>
      </c>
      <c r="M92">
        <v>0</v>
      </c>
    </row>
    <row r="93" spans="2:13" x14ac:dyDescent="0.2">
      <c r="B93" s="2">
        <v>79</v>
      </c>
      <c r="C93">
        <v>0</v>
      </c>
      <c r="D93" s="13">
        <f t="shared" si="4"/>
        <v>0</v>
      </c>
      <c r="E93">
        <v>0</v>
      </c>
      <c r="F93">
        <f t="shared" si="5"/>
        <v>0</v>
      </c>
      <c r="G93">
        <v>0</v>
      </c>
      <c r="H93">
        <f t="shared" si="6"/>
        <v>0</v>
      </c>
      <c r="I93">
        <v>0</v>
      </c>
      <c r="K93">
        <v>0</v>
      </c>
      <c r="M93">
        <v>0</v>
      </c>
    </row>
    <row r="94" spans="2:13" x14ac:dyDescent="0.2">
      <c r="B94" s="2">
        <v>80</v>
      </c>
      <c r="C94">
        <v>0</v>
      </c>
      <c r="D94" s="13">
        <f t="shared" si="4"/>
        <v>0</v>
      </c>
      <c r="E94">
        <v>0</v>
      </c>
      <c r="F94">
        <f t="shared" si="5"/>
        <v>0</v>
      </c>
      <c r="G94">
        <v>0</v>
      </c>
      <c r="H94">
        <f t="shared" si="6"/>
        <v>0</v>
      </c>
      <c r="I94">
        <v>0</v>
      </c>
      <c r="K94">
        <v>0</v>
      </c>
      <c r="M94">
        <v>0</v>
      </c>
    </row>
    <row r="95" spans="2:13" x14ac:dyDescent="0.2">
      <c r="B95" s="2">
        <v>81</v>
      </c>
      <c r="C95">
        <v>0</v>
      </c>
      <c r="D95" s="13">
        <f t="shared" si="4"/>
        <v>0</v>
      </c>
      <c r="E95">
        <v>0</v>
      </c>
      <c r="F95">
        <f t="shared" si="5"/>
        <v>0</v>
      </c>
      <c r="G95">
        <v>0</v>
      </c>
      <c r="H95">
        <f t="shared" si="6"/>
        <v>0</v>
      </c>
      <c r="I95">
        <v>0</v>
      </c>
      <c r="K95">
        <v>0</v>
      </c>
      <c r="M95">
        <v>0</v>
      </c>
    </row>
    <row r="96" spans="2:13" x14ac:dyDescent="0.2">
      <c r="B96" s="2">
        <v>82</v>
      </c>
      <c r="C96">
        <v>0</v>
      </c>
      <c r="D96" s="13">
        <f t="shared" si="4"/>
        <v>0</v>
      </c>
      <c r="E96">
        <v>0</v>
      </c>
      <c r="F96">
        <f t="shared" si="5"/>
        <v>0</v>
      </c>
      <c r="G96">
        <v>0</v>
      </c>
      <c r="H96">
        <f t="shared" si="6"/>
        <v>0</v>
      </c>
      <c r="I96">
        <v>0</v>
      </c>
      <c r="K96">
        <v>0</v>
      </c>
      <c r="M96">
        <v>0</v>
      </c>
    </row>
    <row r="97" spans="2:13" x14ac:dyDescent="0.2">
      <c r="B97" s="2">
        <v>83</v>
      </c>
      <c r="C97">
        <v>0</v>
      </c>
      <c r="D97" s="13">
        <f t="shared" si="4"/>
        <v>0</v>
      </c>
      <c r="E97">
        <v>0</v>
      </c>
      <c r="F97">
        <f t="shared" si="5"/>
        <v>0</v>
      </c>
      <c r="G97">
        <v>0</v>
      </c>
      <c r="H97">
        <f t="shared" si="6"/>
        <v>0</v>
      </c>
      <c r="I97">
        <v>0</v>
      </c>
      <c r="K97">
        <v>0</v>
      </c>
      <c r="M97">
        <v>0</v>
      </c>
    </row>
    <row r="98" spans="2:13" x14ac:dyDescent="0.2">
      <c r="B98" s="2">
        <v>84</v>
      </c>
      <c r="C98">
        <v>0</v>
      </c>
      <c r="D98" s="13">
        <f t="shared" si="4"/>
        <v>0</v>
      </c>
      <c r="E98">
        <v>0</v>
      </c>
      <c r="F98">
        <f t="shared" si="5"/>
        <v>0</v>
      </c>
      <c r="G98">
        <v>0</v>
      </c>
      <c r="H98">
        <f t="shared" si="6"/>
        <v>0</v>
      </c>
      <c r="I98">
        <v>0</v>
      </c>
      <c r="K98">
        <v>0</v>
      </c>
      <c r="M98">
        <v>0</v>
      </c>
    </row>
    <row r="99" spans="2:13" x14ac:dyDescent="0.2">
      <c r="B99" s="2">
        <v>85</v>
      </c>
      <c r="C99">
        <v>0</v>
      </c>
      <c r="D99" s="13">
        <f t="shared" si="4"/>
        <v>0</v>
      </c>
      <c r="E99">
        <v>0</v>
      </c>
      <c r="F99">
        <f t="shared" si="5"/>
        <v>0</v>
      </c>
      <c r="G99">
        <v>0</v>
      </c>
      <c r="H99">
        <f t="shared" si="6"/>
        <v>0</v>
      </c>
      <c r="I99">
        <v>0</v>
      </c>
      <c r="K99">
        <v>0</v>
      </c>
      <c r="M99">
        <v>0</v>
      </c>
    </row>
    <row r="100" spans="2:13" x14ac:dyDescent="0.2">
      <c r="B100" s="2">
        <v>86</v>
      </c>
      <c r="C100">
        <v>0</v>
      </c>
      <c r="D100" s="13">
        <f t="shared" si="4"/>
        <v>0</v>
      </c>
      <c r="E100">
        <v>0</v>
      </c>
      <c r="F100">
        <f t="shared" si="5"/>
        <v>0</v>
      </c>
      <c r="G100">
        <v>0</v>
      </c>
      <c r="H100">
        <f t="shared" si="6"/>
        <v>0</v>
      </c>
      <c r="I100">
        <v>0</v>
      </c>
      <c r="K100">
        <v>0</v>
      </c>
      <c r="M100">
        <v>0</v>
      </c>
    </row>
    <row r="101" spans="2:13" x14ac:dyDescent="0.2">
      <c r="B101" s="2">
        <v>87</v>
      </c>
      <c r="C101">
        <v>0</v>
      </c>
      <c r="D101" s="13">
        <f t="shared" si="4"/>
        <v>0</v>
      </c>
      <c r="E101">
        <v>0</v>
      </c>
      <c r="F101">
        <f t="shared" si="5"/>
        <v>0</v>
      </c>
      <c r="G101">
        <v>0</v>
      </c>
      <c r="H101">
        <f t="shared" si="6"/>
        <v>0</v>
      </c>
      <c r="I101">
        <v>0</v>
      </c>
      <c r="K101">
        <v>0</v>
      </c>
      <c r="M101">
        <v>0</v>
      </c>
    </row>
    <row r="102" spans="2:13" x14ac:dyDescent="0.2">
      <c r="B102" s="2">
        <v>88</v>
      </c>
      <c r="C102">
        <v>0</v>
      </c>
      <c r="D102" s="13">
        <f t="shared" si="4"/>
        <v>0</v>
      </c>
      <c r="E102">
        <v>0</v>
      </c>
      <c r="F102">
        <f t="shared" si="5"/>
        <v>0</v>
      </c>
      <c r="G102">
        <v>0</v>
      </c>
      <c r="H102">
        <f t="shared" si="6"/>
        <v>0</v>
      </c>
      <c r="I102">
        <v>0</v>
      </c>
      <c r="K102">
        <v>0</v>
      </c>
      <c r="M102">
        <v>0</v>
      </c>
    </row>
    <row r="103" spans="2:13" x14ac:dyDescent="0.2">
      <c r="B103" s="2">
        <v>89</v>
      </c>
      <c r="C103">
        <v>0</v>
      </c>
      <c r="D103" s="13">
        <f t="shared" si="4"/>
        <v>0</v>
      </c>
      <c r="E103">
        <v>0</v>
      </c>
      <c r="F103">
        <f t="shared" si="5"/>
        <v>0</v>
      </c>
      <c r="G103">
        <v>0</v>
      </c>
      <c r="H103">
        <f t="shared" si="6"/>
        <v>0</v>
      </c>
      <c r="I103">
        <v>0</v>
      </c>
      <c r="K103">
        <v>0</v>
      </c>
      <c r="M103">
        <v>0</v>
      </c>
    </row>
    <row r="104" spans="2:13" x14ac:dyDescent="0.2">
      <c r="B104" s="2">
        <v>90</v>
      </c>
      <c r="C104">
        <v>0</v>
      </c>
      <c r="D104" s="13">
        <f t="shared" si="4"/>
        <v>0</v>
      </c>
      <c r="E104">
        <v>0</v>
      </c>
      <c r="F104">
        <f t="shared" si="5"/>
        <v>0</v>
      </c>
      <c r="G104">
        <v>0</v>
      </c>
      <c r="H104">
        <f t="shared" si="6"/>
        <v>0</v>
      </c>
      <c r="I104">
        <v>0</v>
      </c>
      <c r="K104">
        <v>0</v>
      </c>
      <c r="M104">
        <v>0</v>
      </c>
    </row>
    <row r="105" spans="2:13" x14ac:dyDescent="0.2">
      <c r="B105" s="2">
        <v>91</v>
      </c>
      <c r="C105">
        <v>0</v>
      </c>
      <c r="D105" s="13">
        <f t="shared" si="4"/>
        <v>0</v>
      </c>
      <c r="E105">
        <v>0</v>
      </c>
      <c r="F105">
        <f t="shared" si="5"/>
        <v>0</v>
      </c>
      <c r="G105">
        <v>0</v>
      </c>
      <c r="H105">
        <f t="shared" si="6"/>
        <v>0</v>
      </c>
      <c r="I105">
        <v>0</v>
      </c>
      <c r="K105">
        <v>0</v>
      </c>
      <c r="M105">
        <v>0</v>
      </c>
    </row>
    <row r="106" spans="2:13" x14ac:dyDescent="0.2">
      <c r="B106" s="2">
        <v>92</v>
      </c>
      <c r="C106">
        <v>0</v>
      </c>
      <c r="D106" s="13">
        <f t="shared" si="4"/>
        <v>0</v>
      </c>
      <c r="E106">
        <v>0</v>
      </c>
      <c r="F106">
        <f t="shared" si="5"/>
        <v>0</v>
      </c>
      <c r="G106">
        <v>0</v>
      </c>
      <c r="H106">
        <f t="shared" si="6"/>
        <v>0</v>
      </c>
      <c r="I106">
        <v>0</v>
      </c>
      <c r="K106">
        <v>0</v>
      </c>
      <c r="M106">
        <v>0</v>
      </c>
    </row>
    <row r="107" spans="2:13" x14ac:dyDescent="0.2">
      <c r="B107" s="2">
        <v>93</v>
      </c>
      <c r="C107">
        <v>0</v>
      </c>
      <c r="D107" s="13">
        <f t="shared" si="4"/>
        <v>0</v>
      </c>
      <c r="E107">
        <v>0</v>
      </c>
      <c r="F107">
        <f t="shared" si="5"/>
        <v>0</v>
      </c>
      <c r="G107">
        <v>0</v>
      </c>
      <c r="H107">
        <f t="shared" si="6"/>
        <v>0</v>
      </c>
      <c r="I107">
        <v>0</v>
      </c>
      <c r="K107">
        <v>0</v>
      </c>
      <c r="M107">
        <v>0</v>
      </c>
    </row>
    <row r="108" spans="2:13" x14ac:dyDescent="0.2">
      <c r="B108" s="2">
        <v>94</v>
      </c>
      <c r="C108">
        <v>0</v>
      </c>
      <c r="D108" s="13">
        <f t="shared" si="4"/>
        <v>0</v>
      </c>
      <c r="E108">
        <v>0</v>
      </c>
      <c r="F108">
        <f t="shared" si="5"/>
        <v>0</v>
      </c>
      <c r="G108">
        <v>0</v>
      </c>
      <c r="H108">
        <f t="shared" si="6"/>
        <v>0</v>
      </c>
      <c r="I108">
        <v>0</v>
      </c>
      <c r="K108">
        <v>0</v>
      </c>
      <c r="M108">
        <v>0</v>
      </c>
    </row>
    <row r="109" spans="2:13" x14ac:dyDescent="0.2">
      <c r="B109" s="2">
        <v>95</v>
      </c>
      <c r="C109">
        <v>0</v>
      </c>
      <c r="D109" s="13">
        <f t="shared" si="4"/>
        <v>0</v>
      </c>
      <c r="E109">
        <v>0</v>
      </c>
      <c r="F109">
        <f t="shared" si="5"/>
        <v>0</v>
      </c>
      <c r="G109">
        <v>0</v>
      </c>
      <c r="H109">
        <f t="shared" si="6"/>
        <v>0</v>
      </c>
      <c r="I109">
        <v>0</v>
      </c>
      <c r="K109">
        <v>0</v>
      </c>
      <c r="M109">
        <v>0</v>
      </c>
    </row>
    <row r="110" spans="2:13" x14ac:dyDescent="0.2">
      <c r="B110" s="2">
        <v>96</v>
      </c>
      <c r="C110">
        <v>0</v>
      </c>
      <c r="D110" s="13">
        <f t="shared" si="4"/>
        <v>0</v>
      </c>
      <c r="E110">
        <v>0</v>
      </c>
      <c r="F110">
        <f t="shared" si="5"/>
        <v>0</v>
      </c>
      <c r="G110">
        <v>0</v>
      </c>
      <c r="H110">
        <f t="shared" si="6"/>
        <v>0</v>
      </c>
      <c r="I110">
        <v>0</v>
      </c>
      <c r="K110">
        <v>0</v>
      </c>
      <c r="M110">
        <v>0</v>
      </c>
    </row>
    <row r="111" spans="2:13" x14ac:dyDescent="0.2">
      <c r="B111" s="2">
        <v>97</v>
      </c>
      <c r="C111">
        <v>0</v>
      </c>
      <c r="D111" s="13">
        <f t="shared" si="4"/>
        <v>0</v>
      </c>
      <c r="E111">
        <v>0</v>
      </c>
      <c r="F111">
        <f t="shared" si="5"/>
        <v>0</v>
      </c>
      <c r="G111">
        <v>0</v>
      </c>
      <c r="H111">
        <f t="shared" si="6"/>
        <v>0</v>
      </c>
      <c r="I111">
        <v>0</v>
      </c>
      <c r="K111">
        <v>0</v>
      </c>
      <c r="M111">
        <v>0</v>
      </c>
    </row>
    <row r="112" spans="2:13" x14ac:dyDescent="0.2">
      <c r="B112" s="2">
        <v>98</v>
      </c>
      <c r="C112">
        <v>0</v>
      </c>
      <c r="D112" s="13">
        <f t="shared" si="4"/>
        <v>0</v>
      </c>
      <c r="E112">
        <v>0</v>
      </c>
      <c r="F112">
        <f t="shared" si="5"/>
        <v>0</v>
      </c>
      <c r="G112">
        <v>0</v>
      </c>
      <c r="H112">
        <f t="shared" si="6"/>
        <v>0</v>
      </c>
      <c r="I112">
        <v>0</v>
      </c>
      <c r="K112">
        <v>0</v>
      </c>
      <c r="M112">
        <v>0</v>
      </c>
    </row>
    <row r="113" spans="2:13" x14ac:dyDescent="0.2">
      <c r="B113" s="2">
        <v>99</v>
      </c>
      <c r="C113">
        <v>0</v>
      </c>
      <c r="D113" s="13">
        <f t="shared" si="4"/>
        <v>0</v>
      </c>
      <c r="E113">
        <v>0</v>
      </c>
      <c r="F113">
        <f t="shared" si="5"/>
        <v>0</v>
      </c>
      <c r="G113">
        <v>0</v>
      </c>
      <c r="H113">
        <f t="shared" si="6"/>
        <v>0</v>
      </c>
      <c r="I113">
        <v>0</v>
      </c>
      <c r="K113">
        <v>0</v>
      </c>
      <c r="M113">
        <v>0</v>
      </c>
    </row>
    <row r="114" spans="2:13" x14ac:dyDescent="0.2">
      <c r="B114" s="2">
        <v>100</v>
      </c>
      <c r="C114">
        <v>0</v>
      </c>
      <c r="D114" s="13">
        <f t="shared" si="4"/>
        <v>0</v>
      </c>
      <c r="E114">
        <v>0</v>
      </c>
      <c r="F114">
        <f t="shared" si="5"/>
        <v>0</v>
      </c>
      <c r="G114">
        <v>0</v>
      </c>
      <c r="H114">
        <f t="shared" si="6"/>
        <v>0</v>
      </c>
      <c r="I114">
        <v>0</v>
      </c>
      <c r="K114">
        <v>0</v>
      </c>
      <c r="M114">
        <v>0</v>
      </c>
    </row>
    <row r="115" spans="2:13" x14ac:dyDescent="0.2">
      <c r="B115" s="2">
        <v>101</v>
      </c>
      <c r="C115">
        <v>0</v>
      </c>
      <c r="D115" s="13">
        <f t="shared" si="4"/>
        <v>0</v>
      </c>
      <c r="E115">
        <v>0</v>
      </c>
      <c r="F115">
        <f t="shared" si="5"/>
        <v>0</v>
      </c>
      <c r="G115">
        <v>0</v>
      </c>
      <c r="H115">
        <f t="shared" si="6"/>
        <v>0</v>
      </c>
      <c r="I115">
        <v>0</v>
      </c>
      <c r="K115">
        <v>0</v>
      </c>
      <c r="M115">
        <v>0</v>
      </c>
    </row>
    <row r="116" spans="2:13" x14ac:dyDescent="0.2">
      <c r="B116" s="2">
        <v>102</v>
      </c>
      <c r="C116">
        <v>0</v>
      </c>
      <c r="D116" s="13">
        <f t="shared" si="4"/>
        <v>0</v>
      </c>
      <c r="E116">
        <v>0</v>
      </c>
      <c r="F116">
        <f t="shared" si="5"/>
        <v>0</v>
      </c>
      <c r="G116">
        <v>0</v>
      </c>
      <c r="H116">
        <f t="shared" si="6"/>
        <v>0</v>
      </c>
      <c r="I116">
        <v>0</v>
      </c>
      <c r="K116">
        <v>0</v>
      </c>
      <c r="M116">
        <v>0</v>
      </c>
    </row>
    <row r="117" spans="2:13" x14ac:dyDescent="0.2">
      <c r="B117" s="2">
        <v>103</v>
      </c>
      <c r="C117">
        <v>0</v>
      </c>
      <c r="D117" s="13">
        <f t="shared" si="4"/>
        <v>0</v>
      </c>
      <c r="E117">
        <v>0</v>
      </c>
      <c r="F117">
        <f t="shared" si="5"/>
        <v>0</v>
      </c>
      <c r="G117">
        <v>0</v>
      </c>
      <c r="H117">
        <f t="shared" si="6"/>
        <v>0</v>
      </c>
      <c r="I117">
        <v>0</v>
      </c>
      <c r="K117">
        <v>0</v>
      </c>
      <c r="M117">
        <v>0</v>
      </c>
    </row>
    <row r="118" spans="2:13" x14ac:dyDescent="0.2">
      <c r="B118" s="2">
        <v>104</v>
      </c>
      <c r="C118">
        <v>0</v>
      </c>
      <c r="D118" s="13">
        <f t="shared" si="4"/>
        <v>0</v>
      </c>
      <c r="E118">
        <v>0</v>
      </c>
      <c r="F118">
        <f t="shared" si="5"/>
        <v>0</v>
      </c>
      <c r="G118">
        <v>0</v>
      </c>
      <c r="H118">
        <f t="shared" si="6"/>
        <v>0</v>
      </c>
      <c r="I118">
        <v>0</v>
      </c>
      <c r="K118">
        <v>0</v>
      </c>
      <c r="M118">
        <v>0</v>
      </c>
    </row>
    <row r="119" spans="2:13" x14ac:dyDescent="0.2">
      <c r="B119" s="2">
        <v>105</v>
      </c>
      <c r="C119">
        <v>0</v>
      </c>
      <c r="D119" s="13">
        <f t="shared" si="4"/>
        <v>0</v>
      </c>
      <c r="E119">
        <v>0</v>
      </c>
      <c r="F119">
        <f t="shared" si="5"/>
        <v>0</v>
      </c>
      <c r="G119">
        <v>0</v>
      </c>
      <c r="H119">
        <f t="shared" si="6"/>
        <v>0</v>
      </c>
      <c r="I119">
        <v>0</v>
      </c>
      <c r="K119">
        <v>0</v>
      </c>
      <c r="M119">
        <v>0</v>
      </c>
    </row>
    <row r="120" spans="2:13" x14ac:dyDescent="0.2">
      <c r="B120" s="2">
        <v>106</v>
      </c>
      <c r="C120">
        <v>0</v>
      </c>
      <c r="D120" s="13">
        <f t="shared" si="4"/>
        <v>0</v>
      </c>
      <c r="E120">
        <v>0</v>
      </c>
      <c r="F120">
        <f t="shared" si="5"/>
        <v>0</v>
      </c>
      <c r="G120">
        <v>0</v>
      </c>
      <c r="H120">
        <f t="shared" si="6"/>
        <v>0</v>
      </c>
      <c r="I120">
        <v>0</v>
      </c>
      <c r="K120">
        <v>0</v>
      </c>
      <c r="M120">
        <v>0</v>
      </c>
    </row>
    <row r="121" spans="2:13" x14ac:dyDescent="0.2">
      <c r="B121" s="2">
        <v>107</v>
      </c>
      <c r="C121">
        <v>0</v>
      </c>
      <c r="D121" s="13">
        <f t="shared" si="4"/>
        <v>0</v>
      </c>
      <c r="E121">
        <v>0</v>
      </c>
      <c r="F121">
        <f t="shared" si="5"/>
        <v>0</v>
      </c>
      <c r="G121">
        <v>0</v>
      </c>
      <c r="H121">
        <f t="shared" si="6"/>
        <v>0</v>
      </c>
      <c r="I121">
        <v>0</v>
      </c>
      <c r="K121">
        <v>0</v>
      </c>
      <c r="M121">
        <v>0</v>
      </c>
    </row>
    <row r="122" spans="2:13" x14ac:dyDescent="0.2">
      <c r="B122" s="2">
        <v>108</v>
      </c>
      <c r="C122">
        <v>0</v>
      </c>
      <c r="D122" s="13">
        <f t="shared" si="4"/>
        <v>0</v>
      </c>
      <c r="E122">
        <v>0</v>
      </c>
      <c r="F122">
        <f t="shared" si="5"/>
        <v>0</v>
      </c>
      <c r="G122">
        <v>0</v>
      </c>
      <c r="H122">
        <f t="shared" si="6"/>
        <v>0</v>
      </c>
      <c r="I122">
        <v>0</v>
      </c>
      <c r="K122">
        <v>0</v>
      </c>
      <c r="M122">
        <v>0</v>
      </c>
    </row>
    <row r="123" spans="2:13" x14ac:dyDescent="0.2">
      <c r="B123" s="2">
        <v>109</v>
      </c>
      <c r="C123">
        <v>0</v>
      </c>
      <c r="D123" s="13">
        <f t="shared" si="4"/>
        <v>0</v>
      </c>
      <c r="E123">
        <v>0</v>
      </c>
      <c r="F123">
        <f t="shared" si="5"/>
        <v>0</v>
      </c>
      <c r="G123">
        <v>0</v>
      </c>
      <c r="H123">
        <f t="shared" si="6"/>
        <v>0</v>
      </c>
      <c r="I123">
        <v>0</v>
      </c>
      <c r="K123">
        <v>0</v>
      </c>
      <c r="M123">
        <v>0</v>
      </c>
    </row>
    <row r="124" spans="2:13" x14ac:dyDescent="0.2">
      <c r="B124" s="2">
        <v>110</v>
      </c>
      <c r="C124">
        <v>0</v>
      </c>
      <c r="D124" s="13">
        <f t="shared" si="4"/>
        <v>0</v>
      </c>
      <c r="E124">
        <v>0</v>
      </c>
      <c r="F124">
        <f t="shared" si="5"/>
        <v>0</v>
      </c>
      <c r="G124">
        <v>0</v>
      </c>
      <c r="H124">
        <f t="shared" si="6"/>
        <v>0</v>
      </c>
      <c r="I124">
        <v>0</v>
      </c>
      <c r="K124">
        <v>0</v>
      </c>
      <c r="M124">
        <v>0</v>
      </c>
    </row>
    <row r="125" spans="2:13" x14ac:dyDescent="0.2">
      <c r="B125" s="2">
        <v>111</v>
      </c>
      <c r="C125">
        <v>0</v>
      </c>
      <c r="D125" s="13">
        <f t="shared" si="4"/>
        <v>0</v>
      </c>
      <c r="E125">
        <v>0</v>
      </c>
      <c r="F125">
        <f t="shared" si="5"/>
        <v>0</v>
      </c>
      <c r="G125">
        <v>0</v>
      </c>
      <c r="H125">
        <f t="shared" si="6"/>
        <v>0</v>
      </c>
      <c r="I125">
        <v>0</v>
      </c>
      <c r="K125">
        <v>0</v>
      </c>
      <c r="M125">
        <v>0</v>
      </c>
    </row>
    <row r="126" spans="2:13" x14ac:dyDescent="0.2">
      <c r="B126" s="2">
        <v>112</v>
      </c>
      <c r="C126">
        <v>239.91875304704701</v>
      </c>
      <c r="D126" s="13">
        <f t="shared" si="4"/>
        <v>0.75493629026761178</v>
      </c>
      <c r="E126">
        <v>0</v>
      </c>
      <c r="F126">
        <f t="shared" si="5"/>
        <v>0</v>
      </c>
      <c r="G126">
        <v>0</v>
      </c>
      <c r="H126">
        <f t="shared" si="6"/>
        <v>0</v>
      </c>
      <c r="I126">
        <v>0</v>
      </c>
      <c r="K126">
        <v>0</v>
      </c>
      <c r="M126">
        <v>0</v>
      </c>
    </row>
    <row r="127" spans="2:13" x14ac:dyDescent="0.2">
      <c r="B127" s="2">
        <v>113</v>
      </c>
      <c r="C127">
        <v>246.19929316444001</v>
      </c>
      <c r="D127" s="13">
        <f t="shared" si="4"/>
        <v>0.77469884570308378</v>
      </c>
      <c r="E127">
        <v>0</v>
      </c>
      <c r="F127">
        <f t="shared" si="5"/>
        <v>0</v>
      </c>
      <c r="G127">
        <v>0</v>
      </c>
      <c r="H127">
        <f t="shared" si="6"/>
        <v>0</v>
      </c>
      <c r="I127">
        <v>0</v>
      </c>
      <c r="K127">
        <v>0</v>
      </c>
      <c r="M127">
        <v>0</v>
      </c>
    </row>
    <row r="128" spans="2:13" x14ac:dyDescent="0.2">
      <c r="B128" s="2">
        <v>114</v>
      </c>
      <c r="C128">
        <v>252.471626105501</v>
      </c>
      <c r="D128" s="13">
        <f t="shared" si="4"/>
        <v>0.79443557616583083</v>
      </c>
      <c r="E128">
        <v>0</v>
      </c>
      <c r="F128">
        <f t="shared" si="5"/>
        <v>0</v>
      </c>
      <c r="G128">
        <v>0</v>
      </c>
      <c r="H128">
        <f t="shared" si="6"/>
        <v>0</v>
      </c>
      <c r="I128">
        <v>0</v>
      </c>
      <c r="K128">
        <v>0</v>
      </c>
      <c r="M128">
        <v>0</v>
      </c>
    </row>
    <row r="129" spans="2:13" x14ac:dyDescent="0.2">
      <c r="B129" s="2">
        <v>115</v>
      </c>
      <c r="C129">
        <v>258.73598341354</v>
      </c>
      <c r="D129" s="13">
        <f t="shared" si="4"/>
        <v>0.81414721023769676</v>
      </c>
      <c r="E129">
        <v>0</v>
      </c>
      <c r="F129">
        <f t="shared" si="5"/>
        <v>0</v>
      </c>
      <c r="G129">
        <v>0</v>
      </c>
      <c r="H129">
        <f t="shared" si="6"/>
        <v>0</v>
      </c>
      <c r="I129">
        <v>0</v>
      </c>
      <c r="K129">
        <v>0</v>
      </c>
      <c r="M129">
        <v>0</v>
      </c>
    </row>
    <row r="130" spans="2:13" x14ac:dyDescent="0.2">
      <c r="B130" s="2">
        <v>116</v>
      </c>
      <c r="C130">
        <v>264.99259541323403</v>
      </c>
      <c r="D130" s="13">
        <f t="shared" si="4"/>
        <v>0.8338344726659348</v>
      </c>
      <c r="E130">
        <v>0</v>
      </c>
      <c r="F130">
        <f t="shared" si="5"/>
        <v>0</v>
      </c>
      <c r="G130">
        <v>0</v>
      </c>
      <c r="H130">
        <f t="shared" si="6"/>
        <v>0</v>
      </c>
      <c r="I130">
        <v>0</v>
      </c>
      <c r="K130">
        <v>0</v>
      </c>
      <c r="M130">
        <v>0</v>
      </c>
    </row>
    <row r="131" spans="2:13" x14ac:dyDescent="0.2">
      <c r="B131" s="2">
        <v>117</v>
      </c>
      <c r="C131">
        <v>271.24148985400001</v>
      </c>
      <c r="D131" s="13">
        <f t="shared" si="4"/>
        <v>0.85349745076777861</v>
      </c>
      <c r="E131">
        <v>0</v>
      </c>
      <c r="F131">
        <f t="shared" si="5"/>
        <v>0</v>
      </c>
      <c r="G131">
        <v>0</v>
      </c>
      <c r="H131">
        <f t="shared" si="6"/>
        <v>0</v>
      </c>
      <c r="I131">
        <v>0</v>
      </c>
      <c r="K131">
        <v>0</v>
      </c>
      <c r="M131">
        <v>0</v>
      </c>
    </row>
    <row r="132" spans="2:13" x14ac:dyDescent="0.2">
      <c r="B132" s="2">
        <v>118</v>
      </c>
      <c r="C132">
        <v>277.51793307731401</v>
      </c>
      <c r="D132" s="13">
        <f t="shared" si="4"/>
        <v>0.87324711478072392</v>
      </c>
      <c r="E132">
        <v>0</v>
      </c>
      <c r="F132">
        <f t="shared" si="5"/>
        <v>0</v>
      </c>
      <c r="G132">
        <v>0</v>
      </c>
      <c r="H132">
        <f t="shared" si="6"/>
        <v>0</v>
      </c>
      <c r="I132">
        <v>0</v>
      </c>
      <c r="K132">
        <v>0</v>
      </c>
      <c r="M132">
        <v>0</v>
      </c>
    </row>
    <row r="133" spans="2:13" x14ac:dyDescent="0.2">
      <c r="B133" s="2">
        <v>119</v>
      </c>
      <c r="C133">
        <v>276.156658958744</v>
      </c>
      <c r="D133" s="13">
        <f t="shared" si="4"/>
        <v>0.8689636845775458</v>
      </c>
      <c r="E133">
        <v>0</v>
      </c>
      <c r="F133">
        <f t="shared" si="5"/>
        <v>0</v>
      </c>
      <c r="G133">
        <v>0</v>
      </c>
      <c r="H133">
        <f t="shared" si="6"/>
        <v>0</v>
      </c>
      <c r="I133">
        <v>0</v>
      </c>
      <c r="K133">
        <v>0</v>
      </c>
      <c r="M133">
        <v>0</v>
      </c>
    </row>
    <row r="134" spans="2:13" x14ac:dyDescent="0.2">
      <c r="B134" s="2">
        <v>120</v>
      </c>
      <c r="C134">
        <v>269.60833187186603</v>
      </c>
      <c r="D134" s="13">
        <f t="shared" si="4"/>
        <v>0.84835850179945271</v>
      </c>
      <c r="E134">
        <v>0</v>
      </c>
      <c r="F134">
        <f t="shared" si="5"/>
        <v>0</v>
      </c>
      <c r="G134">
        <v>0</v>
      </c>
      <c r="H134">
        <f t="shared" si="6"/>
        <v>0</v>
      </c>
      <c r="I134">
        <v>0</v>
      </c>
      <c r="K134">
        <v>0</v>
      </c>
      <c r="M134">
        <v>0</v>
      </c>
    </row>
    <row r="135" spans="2:13" x14ac:dyDescent="0.2">
      <c r="B135" s="2">
        <v>121</v>
      </c>
      <c r="C135">
        <v>264.09944199503701</v>
      </c>
      <c r="D135" s="13">
        <f t="shared" si="4"/>
        <v>0.83102404655455331</v>
      </c>
      <c r="E135">
        <v>0</v>
      </c>
      <c r="F135">
        <f t="shared" si="5"/>
        <v>0</v>
      </c>
      <c r="G135">
        <v>0</v>
      </c>
      <c r="H135">
        <f t="shared" si="6"/>
        <v>0</v>
      </c>
      <c r="I135">
        <v>0</v>
      </c>
      <c r="K135">
        <v>0</v>
      </c>
      <c r="M135">
        <v>0</v>
      </c>
    </row>
    <row r="136" spans="2:13" x14ac:dyDescent="0.2">
      <c r="B136" s="2">
        <v>122</v>
      </c>
      <c r="C136">
        <v>259.10790626877798</v>
      </c>
      <c r="D136" s="13">
        <f t="shared" si="4"/>
        <v>0.8153175150055948</v>
      </c>
      <c r="E136">
        <v>0</v>
      </c>
      <c r="F136">
        <f t="shared" si="5"/>
        <v>0</v>
      </c>
      <c r="G136">
        <v>0</v>
      </c>
      <c r="H136">
        <f t="shared" si="6"/>
        <v>0</v>
      </c>
      <c r="I136">
        <v>0</v>
      </c>
      <c r="K136">
        <v>0</v>
      </c>
      <c r="M136">
        <v>0</v>
      </c>
    </row>
    <row r="137" spans="2:13" x14ac:dyDescent="0.2">
      <c r="B137" s="2">
        <v>123</v>
      </c>
      <c r="C137">
        <v>253.91234178000801</v>
      </c>
      <c r="D137" s="13">
        <f t="shared" si="4"/>
        <v>0.79896897979864079</v>
      </c>
      <c r="E137">
        <v>0</v>
      </c>
      <c r="F137">
        <f t="shared" si="5"/>
        <v>0</v>
      </c>
      <c r="G137">
        <v>0</v>
      </c>
      <c r="H137">
        <f t="shared" si="6"/>
        <v>0</v>
      </c>
      <c r="I137">
        <v>0</v>
      </c>
      <c r="K137">
        <v>0</v>
      </c>
      <c r="M137">
        <v>0</v>
      </c>
    </row>
    <row r="138" spans="2:13" x14ac:dyDescent="0.2">
      <c r="B138" s="2">
        <v>124</v>
      </c>
      <c r="C138">
        <v>248.313650555593</v>
      </c>
      <c r="D138" s="13">
        <f t="shared" si="4"/>
        <v>0.78135195266077107</v>
      </c>
      <c r="E138">
        <v>0</v>
      </c>
      <c r="F138">
        <f t="shared" si="5"/>
        <v>0</v>
      </c>
      <c r="G138">
        <v>0</v>
      </c>
      <c r="H138">
        <f t="shared" si="6"/>
        <v>0</v>
      </c>
      <c r="I138">
        <v>0</v>
      </c>
      <c r="K138">
        <v>0</v>
      </c>
      <c r="M138">
        <v>0</v>
      </c>
    </row>
    <row r="139" spans="2:13" x14ac:dyDescent="0.2">
      <c r="B139" s="2">
        <v>125</v>
      </c>
      <c r="C139">
        <v>242.31173852593599</v>
      </c>
      <c r="D139" s="13">
        <f t="shared" si="4"/>
        <v>0.76246613758947779</v>
      </c>
      <c r="E139">
        <v>0</v>
      </c>
      <c r="F139">
        <f t="shared" si="5"/>
        <v>0</v>
      </c>
      <c r="G139">
        <v>0</v>
      </c>
      <c r="H139">
        <f t="shared" si="6"/>
        <v>0</v>
      </c>
      <c r="I139">
        <v>0</v>
      </c>
      <c r="K139">
        <v>0</v>
      </c>
      <c r="M139">
        <v>0</v>
      </c>
    </row>
    <row r="140" spans="2:13" x14ac:dyDescent="0.2">
      <c r="B140" s="2">
        <v>126</v>
      </c>
      <c r="C140">
        <v>235.90651439324699</v>
      </c>
      <c r="D140" s="13">
        <f t="shared" si="4"/>
        <v>0.74231124730411269</v>
      </c>
      <c r="E140">
        <v>0</v>
      </c>
      <c r="F140">
        <f t="shared" si="5"/>
        <v>0</v>
      </c>
      <c r="G140">
        <v>0</v>
      </c>
      <c r="H140">
        <f t="shared" si="6"/>
        <v>0</v>
      </c>
      <c r="I140">
        <v>0</v>
      </c>
      <c r="K140">
        <v>0</v>
      </c>
      <c r="M140">
        <v>0</v>
      </c>
    </row>
    <row r="141" spans="2:13" x14ac:dyDescent="0.2">
      <c r="B141" s="2">
        <v>127</v>
      </c>
      <c r="C141">
        <v>235.33602671659901</v>
      </c>
      <c r="D141" s="13">
        <f t="shared" si="4"/>
        <v>0.74051613189615806</v>
      </c>
      <c r="E141">
        <v>0</v>
      </c>
      <c r="F141">
        <f t="shared" si="5"/>
        <v>0</v>
      </c>
      <c r="G141">
        <v>0</v>
      </c>
      <c r="H141">
        <f t="shared" si="6"/>
        <v>0</v>
      </c>
      <c r="I141">
        <v>0</v>
      </c>
      <c r="K141">
        <v>0</v>
      </c>
      <c r="M141">
        <v>0</v>
      </c>
    </row>
    <row r="142" spans="2:13" x14ac:dyDescent="0.2">
      <c r="B142" s="2">
        <v>128</v>
      </c>
      <c r="C142">
        <v>242.768028635826</v>
      </c>
      <c r="D142" s="13">
        <f t="shared" si="4"/>
        <v>0.76390191515363759</v>
      </c>
      <c r="E142">
        <v>0</v>
      </c>
      <c r="F142">
        <f t="shared" si="5"/>
        <v>0</v>
      </c>
      <c r="G142">
        <v>0</v>
      </c>
      <c r="H142">
        <f t="shared" si="6"/>
        <v>0</v>
      </c>
      <c r="I142">
        <v>0</v>
      </c>
      <c r="K142">
        <v>0</v>
      </c>
      <c r="M142">
        <v>0</v>
      </c>
    </row>
    <row r="143" spans="2:13" x14ac:dyDescent="0.2">
      <c r="B143" s="2">
        <v>129</v>
      </c>
      <c r="C143">
        <v>241.405775407367</v>
      </c>
      <c r="D143" s="13">
        <f t="shared" si="4"/>
        <v>0.75961540405087169</v>
      </c>
      <c r="E143">
        <v>0</v>
      </c>
      <c r="F143">
        <f t="shared" si="5"/>
        <v>0</v>
      </c>
      <c r="G143">
        <v>0</v>
      </c>
      <c r="H143">
        <f t="shared" si="6"/>
        <v>0</v>
      </c>
      <c r="I143">
        <v>0</v>
      </c>
      <c r="K143">
        <v>0</v>
      </c>
      <c r="M143">
        <v>0</v>
      </c>
    </row>
    <row r="144" spans="2:13" x14ac:dyDescent="0.2">
      <c r="B144" s="2">
        <v>130</v>
      </c>
      <c r="C144">
        <v>233.39570222472199</v>
      </c>
      <c r="D144" s="13">
        <f t="shared" ref="D144:D207" si="7">C144/($D$8-$D$9)</f>
        <v>0.73441064262027067</v>
      </c>
      <c r="E144">
        <v>0</v>
      </c>
      <c r="F144">
        <f t="shared" ref="F144:F207" si="8">E144/($F$8-$F$9)</f>
        <v>0</v>
      </c>
      <c r="G144">
        <v>0</v>
      </c>
      <c r="H144">
        <f t="shared" ref="H144:H207" si="9">G144/($H$8-$H$9)</f>
        <v>0</v>
      </c>
      <c r="I144">
        <v>0</v>
      </c>
      <c r="K144">
        <v>0</v>
      </c>
      <c r="M144">
        <v>0</v>
      </c>
    </row>
    <row r="145" spans="2:13" x14ac:dyDescent="0.2">
      <c r="B145" s="2">
        <v>131</v>
      </c>
      <c r="C145">
        <v>225.10775357166301</v>
      </c>
      <c r="D145" s="13">
        <f t="shared" si="7"/>
        <v>0.70833150903607001</v>
      </c>
      <c r="E145">
        <v>0</v>
      </c>
      <c r="F145">
        <f t="shared" si="8"/>
        <v>0</v>
      </c>
      <c r="G145">
        <v>0</v>
      </c>
      <c r="H145">
        <f t="shared" si="9"/>
        <v>0</v>
      </c>
      <c r="I145">
        <v>0</v>
      </c>
      <c r="K145">
        <v>0</v>
      </c>
      <c r="M145">
        <v>0</v>
      </c>
    </row>
    <row r="146" spans="2:13" x14ac:dyDescent="0.2">
      <c r="B146" s="2">
        <v>132</v>
      </c>
      <c r="C146">
        <v>609.07458812852497</v>
      </c>
      <c r="D146" s="13">
        <f t="shared" si="7"/>
        <v>1.9165342609456422</v>
      </c>
      <c r="E146">
        <v>0</v>
      </c>
      <c r="F146">
        <f t="shared" si="8"/>
        <v>0</v>
      </c>
      <c r="G146">
        <v>0</v>
      </c>
      <c r="H146">
        <f t="shared" si="9"/>
        <v>0</v>
      </c>
      <c r="I146">
        <v>0</v>
      </c>
      <c r="K146">
        <v>0</v>
      </c>
      <c r="M146">
        <v>0</v>
      </c>
    </row>
    <row r="147" spans="2:13" x14ac:dyDescent="0.2">
      <c r="B147" s="2">
        <v>133</v>
      </c>
      <c r="C147">
        <v>600.94511810097299</v>
      </c>
      <c r="D147" s="13">
        <f t="shared" si="7"/>
        <v>1.8909538014505132</v>
      </c>
      <c r="E147">
        <v>0</v>
      </c>
      <c r="F147">
        <f t="shared" si="8"/>
        <v>0</v>
      </c>
      <c r="G147">
        <v>0</v>
      </c>
      <c r="H147">
        <f t="shared" si="9"/>
        <v>0</v>
      </c>
      <c r="I147">
        <v>0</v>
      </c>
      <c r="K147">
        <v>0</v>
      </c>
      <c r="M147">
        <v>0</v>
      </c>
    </row>
    <row r="148" spans="2:13" x14ac:dyDescent="0.2">
      <c r="B148" s="2">
        <v>134</v>
      </c>
      <c r="C148">
        <v>592.83010017244396</v>
      </c>
      <c r="D148" s="13">
        <f t="shared" si="7"/>
        <v>1.8654188174085715</v>
      </c>
      <c r="E148">
        <v>0</v>
      </c>
      <c r="F148">
        <f t="shared" si="8"/>
        <v>0</v>
      </c>
      <c r="G148">
        <v>0</v>
      </c>
      <c r="H148">
        <f t="shared" si="9"/>
        <v>0</v>
      </c>
      <c r="I148">
        <v>0</v>
      </c>
      <c r="K148">
        <v>0</v>
      </c>
      <c r="M148">
        <v>0</v>
      </c>
    </row>
    <row r="149" spans="2:13" x14ac:dyDescent="0.2">
      <c r="B149" s="2">
        <v>135</v>
      </c>
      <c r="C149">
        <v>584.72951937293897</v>
      </c>
      <c r="D149" s="13">
        <f t="shared" si="7"/>
        <v>1.8399292617147232</v>
      </c>
      <c r="E149">
        <v>0</v>
      </c>
      <c r="F149">
        <f t="shared" si="8"/>
        <v>0</v>
      </c>
      <c r="G149">
        <v>0</v>
      </c>
      <c r="H149">
        <f t="shared" si="9"/>
        <v>0</v>
      </c>
      <c r="I149">
        <v>0</v>
      </c>
      <c r="K149">
        <v>0</v>
      </c>
      <c r="M149">
        <v>0</v>
      </c>
    </row>
    <row r="150" spans="2:13" x14ac:dyDescent="0.2">
      <c r="B150" s="2">
        <v>136</v>
      </c>
      <c r="C150">
        <v>0</v>
      </c>
      <c r="D150" s="13">
        <f t="shared" si="7"/>
        <v>0</v>
      </c>
      <c r="E150">
        <v>0</v>
      </c>
      <c r="F150">
        <f t="shared" si="8"/>
        <v>0</v>
      </c>
      <c r="G150">
        <v>0</v>
      </c>
      <c r="H150">
        <f t="shared" si="9"/>
        <v>0</v>
      </c>
      <c r="I150">
        <v>0</v>
      </c>
      <c r="K150">
        <v>0</v>
      </c>
      <c r="M150">
        <v>0</v>
      </c>
    </row>
    <row r="151" spans="2:13" x14ac:dyDescent="0.2">
      <c r="B151" s="2">
        <v>137</v>
      </c>
      <c r="C151">
        <v>0</v>
      </c>
      <c r="D151" s="13">
        <f t="shared" si="7"/>
        <v>0</v>
      </c>
      <c r="E151">
        <v>0</v>
      </c>
      <c r="F151">
        <f t="shared" si="8"/>
        <v>0</v>
      </c>
      <c r="G151">
        <v>0</v>
      </c>
      <c r="H151">
        <f t="shared" si="9"/>
        <v>0</v>
      </c>
      <c r="I151">
        <v>0</v>
      </c>
      <c r="K151">
        <v>0</v>
      </c>
      <c r="M151">
        <v>0</v>
      </c>
    </row>
    <row r="152" spans="2:13" x14ac:dyDescent="0.2">
      <c r="B152" s="2">
        <v>138</v>
      </c>
      <c r="C152">
        <v>0</v>
      </c>
      <c r="D152" s="13">
        <f t="shared" si="7"/>
        <v>0</v>
      </c>
      <c r="E152">
        <v>0</v>
      </c>
      <c r="F152">
        <f t="shared" si="8"/>
        <v>0</v>
      </c>
      <c r="G152">
        <v>0</v>
      </c>
      <c r="H152">
        <f t="shared" si="9"/>
        <v>0</v>
      </c>
      <c r="I152">
        <v>0</v>
      </c>
      <c r="K152">
        <v>0</v>
      </c>
      <c r="M152">
        <v>0</v>
      </c>
    </row>
    <row r="153" spans="2:13" x14ac:dyDescent="0.2">
      <c r="B153" s="2">
        <v>139</v>
      </c>
      <c r="C153">
        <v>0</v>
      </c>
      <c r="D153" s="13">
        <f t="shared" si="7"/>
        <v>0</v>
      </c>
      <c r="E153">
        <v>0</v>
      </c>
      <c r="F153">
        <f t="shared" si="8"/>
        <v>0</v>
      </c>
      <c r="G153">
        <v>0</v>
      </c>
      <c r="H153">
        <f t="shared" si="9"/>
        <v>0</v>
      </c>
      <c r="I153">
        <v>0</v>
      </c>
      <c r="K153">
        <v>0</v>
      </c>
      <c r="M153">
        <v>0</v>
      </c>
    </row>
    <row r="154" spans="2:13" x14ac:dyDescent="0.2">
      <c r="B154" s="2">
        <v>140</v>
      </c>
      <c r="C154">
        <v>0</v>
      </c>
      <c r="D154" s="13">
        <f t="shared" si="7"/>
        <v>0</v>
      </c>
      <c r="E154">
        <v>0</v>
      </c>
      <c r="F154">
        <f t="shared" si="8"/>
        <v>0</v>
      </c>
      <c r="G154">
        <v>0</v>
      </c>
      <c r="H154">
        <f t="shared" si="9"/>
        <v>0</v>
      </c>
      <c r="I154">
        <v>0</v>
      </c>
      <c r="K154">
        <v>0</v>
      </c>
      <c r="M154">
        <v>0</v>
      </c>
    </row>
    <row r="155" spans="2:13" x14ac:dyDescent="0.2">
      <c r="B155" s="2">
        <v>141</v>
      </c>
      <c r="C155">
        <v>0</v>
      </c>
      <c r="D155" s="13">
        <f t="shared" si="7"/>
        <v>0</v>
      </c>
      <c r="E155">
        <v>0</v>
      </c>
      <c r="F155">
        <f t="shared" si="8"/>
        <v>0</v>
      </c>
      <c r="G155">
        <v>0</v>
      </c>
      <c r="H155">
        <f t="shared" si="9"/>
        <v>0</v>
      </c>
      <c r="I155">
        <v>0</v>
      </c>
      <c r="K155">
        <v>0</v>
      </c>
      <c r="M155">
        <v>0</v>
      </c>
    </row>
    <row r="156" spans="2:13" x14ac:dyDescent="0.2">
      <c r="B156" s="2">
        <v>142</v>
      </c>
      <c r="C156">
        <v>0</v>
      </c>
      <c r="D156" s="13">
        <f t="shared" si="7"/>
        <v>0</v>
      </c>
      <c r="E156">
        <v>0</v>
      </c>
      <c r="F156">
        <f t="shared" si="8"/>
        <v>0</v>
      </c>
      <c r="G156">
        <v>0</v>
      </c>
      <c r="H156">
        <f t="shared" si="9"/>
        <v>0</v>
      </c>
      <c r="I156">
        <v>0</v>
      </c>
      <c r="K156">
        <v>0</v>
      </c>
      <c r="M156">
        <v>0</v>
      </c>
    </row>
    <row r="157" spans="2:13" x14ac:dyDescent="0.2">
      <c r="B157" s="2">
        <v>143</v>
      </c>
      <c r="C157">
        <v>0</v>
      </c>
      <c r="D157" s="13">
        <f t="shared" si="7"/>
        <v>0</v>
      </c>
      <c r="E157">
        <v>14.106822592206001</v>
      </c>
      <c r="F157">
        <f t="shared" si="8"/>
        <v>4.374208555722791E-2</v>
      </c>
      <c r="G157">
        <v>0</v>
      </c>
      <c r="H157">
        <f t="shared" si="9"/>
        <v>0</v>
      </c>
      <c r="I157">
        <v>0</v>
      </c>
      <c r="K157">
        <v>0</v>
      </c>
      <c r="M157">
        <v>0</v>
      </c>
    </row>
    <row r="158" spans="2:13" x14ac:dyDescent="0.2">
      <c r="B158" s="2">
        <v>144</v>
      </c>
      <c r="C158">
        <v>0</v>
      </c>
      <c r="D158" s="13">
        <f t="shared" si="7"/>
        <v>0</v>
      </c>
      <c r="E158">
        <v>33.329583208905902</v>
      </c>
      <c r="F158">
        <f t="shared" si="8"/>
        <v>0.10334754483381675</v>
      </c>
      <c r="G158">
        <v>0</v>
      </c>
      <c r="H158">
        <f t="shared" si="9"/>
        <v>0</v>
      </c>
      <c r="I158">
        <v>0</v>
      </c>
      <c r="K158">
        <v>0</v>
      </c>
      <c r="M158">
        <v>0</v>
      </c>
    </row>
    <row r="159" spans="2:13" x14ac:dyDescent="0.2">
      <c r="B159" s="2">
        <v>145</v>
      </c>
      <c r="C159">
        <v>0</v>
      </c>
      <c r="D159" s="13">
        <f t="shared" si="7"/>
        <v>0</v>
      </c>
      <c r="E159">
        <v>52.546237546551403</v>
      </c>
      <c r="F159">
        <f t="shared" si="8"/>
        <v>0.1629340699117873</v>
      </c>
      <c r="G159">
        <v>0</v>
      </c>
      <c r="H159">
        <f t="shared" si="9"/>
        <v>0</v>
      </c>
      <c r="I159">
        <v>0</v>
      </c>
      <c r="K159">
        <v>0</v>
      </c>
      <c r="M159">
        <v>0</v>
      </c>
    </row>
    <row r="160" spans="2:13" x14ac:dyDescent="0.2">
      <c r="B160" s="2">
        <v>146</v>
      </c>
      <c r="C160">
        <v>0</v>
      </c>
      <c r="D160" s="13">
        <f t="shared" si="7"/>
        <v>0</v>
      </c>
      <c r="E160">
        <v>71.755025330283004</v>
      </c>
      <c r="F160">
        <f t="shared" si="8"/>
        <v>0.22249620257452093</v>
      </c>
      <c r="G160">
        <v>0</v>
      </c>
      <c r="H160">
        <f t="shared" si="9"/>
        <v>0</v>
      </c>
      <c r="I160">
        <v>0</v>
      </c>
      <c r="K160">
        <v>0</v>
      </c>
      <c r="M160">
        <v>0</v>
      </c>
    </row>
    <row r="161" spans="2:13" x14ac:dyDescent="0.2">
      <c r="B161" s="2">
        <v>147</v>
      </c>
      <c r="C161">
        <v>0</v>
      </c>
      <c r="D161" s="13">
        <f t="shared" si="7"/>
        <v>0</v>
      </c>
      <c r="E161">
        <v>90.954187285665</v>
      </c>
      <c r="F161">
        <f t="shared" si="8"/>
        <v>0.2820284877074884</v>
      </c>
      <c r="G161">
        <v>0</v>
      </c>
      <c r="H161">
        <f t="shared" si="9"/>
        <v>0</v>
      </c>
      <c r="I161">
        <v>0</v>
      </c>
      <c r="K161">
        <v>0</v>
      </c>
      <c r="M161">
        <v>0</v>
      </c>
    </row>
    <row r="162" spans="2:13" x14ac:dyDescent="0.2">
      <c r="B162" s="2">
        <v>148</v>
      </c>
      <c r="C162">
        <v>0</v>
      </c>
      <c r="D162" s="13">
        <f t="shared" si="7"/>
        <v>0</v>
      </c>
      <c r="E162">
        <v>110.141965299768</v>
      </c>
      <c r="F162">
        <f t="shared" si="8"/>
        <v>0.34152547379773024</v>
      </c>
      <c r="G162">
        <v>0</v>
      </c>
      <c r="H162">
        <f t="shared" si="9"/>
        <v>0</v>
      </c>
      <c r="I162">
        <v>0</v>
      </c>
      <c r="K162">
        <v>0</v>
      </c>
      <c r="M162">
        <v>0</v>
      </c>
    </row>
    <row r="163" spans="2:13" x14ac:dyDescent="0.2">
      <c r="B163" s="2">
        <v>149</v>
      </c>
      <c r="C163">
        <v>0</v>
      </c>
      <c r="D163" s="13">
        <f t="shared" si="7"/>
        <v>0</v>
      </c>
      <c r="E163">
        <v>129.31660258211599</v>
      </c>
      <c r="F163">
        <f t="shared" si="8"/>
        <v>0.40098171343291777</v>
      </c>
      <c r="G163">
        <v>0</v>
      </c>
      <c r="H163">
        <f t="shared" si="9"/>
        <v>0</v>
      </c>
      <c r="I163">
        <v>0</v>
      </c>
      <c r="K163">
        <v>0</v>
      </c>
      <c r="M163">
        <v>0</v>
      </c>
    </row>
    <row r="164" spans="2:13" x14ac:dyDescent="0.2">
      <c r="B164" s="2">
        <v>150</v>
      </c>
      <c r="C164">
        <v>0</v>
      </c>
      <c r="D164" s="13">
        <f t="shared" si="7"/>
        <v>0</v>
      </c>
      <c r="E164">
        <v>148.476343825497</v>
      </c>
      <c r="F164">
        <f t="shared" si="8"/>
        <v>0.46039176379999069</v>
      </c>
      <c r="G164">
        <v>0</v>
      </c>
      <c r="H164">
        <f t="shared" si="9"/>
        <v>0</v>
      </c>
      <c r="I164">
        <v>0</v>
      </c>
      <c r="K164">
        <v>0</v>
      </c>
      <c r="M164">
        <v>0</v>
      </c>
    </row>
    <row r="165" spans="2:13" x14ac:dyDescent="0.2">
      <c r="B165" s="2">
        <v>151</v>
      </c>
      <c r="C165">
        <v>0</v>
      </c>
      <c r="D165" s="13">
        <f t="shared" si="7"/>
        <v>0</v>
      </c>
      <c r="E165">
        <v>167.81918420016001</v>
      </c>
      <c r="F165">
        <f t="shared" si="8"/>
        <v>0.52036956341134888</v>
      </c>
      <c r="G165">
        <v>0</v>
      </c>
      <c r="H165">
        <f t="shared" si="9"/>
        <v>0</v>
      </c>
      <c r="I165">
        <v>0</v>
      </c>
      <c r="K165">
        <v>0</v>
      </c>
      <c r="M165">
        <v>0</v>
      </c>
    </row>
    <row r="166" spans="2:13" x14ac:dyDescent="0.2">
      <c r="B166" s="2">
        <v>152</v>
      </c>
      <c r="C166">
        <v>0</v>
      </c>
      <c r="D166" s="13">
        <f t="shared" si="7"/>
        <v>0</v>
      </c>
      <c r="E166">
        <v>187.25370862241101</v>
      </c>
      <c r="F166">
        <f t="shared" si="8"/>
        <v>0.58063165464313493</v>
      </c>
      <c r="G166">
        <v>0</v>
      </c>
      <c r="H166">
        <f t="shared" si="9"/>
        <v>0</v>
      </c>
      <c r="I166">
        <v>0</v>
      </c>
      <c r="K166">
        <v>0</v>
      </c>
      <c r="M166">
        <v>0</v>
      </c>
    </row>
    <row r="167" spans="2:13" x14ac:dyDescent="0.2">
      <c r="B167" s="2">
        <v>153</v>
      </c>
      <c r="C167">
        <v>0</v>
      </c>
      <c r="D167" s="13">
        <f t="shared" si="7"/>
        <v>0</v>
      </c>
      <c r="E167">
        <v>206.75295975982201</v>
      </c>
      <c r="F167">
        <f t="shared" si="8"/>
        <v>0.64109444886766509</v>
      </c>
      <c r="G167">
        <v>0</v>
      </c>
      <c r="H167">
        <f t="shared" si="9"/>
        <v>0</v>
      </c>
      <c r="I167">
        <v>0</v>
      </c>
      <c r="K167">
        <v>0</v>
      </c>
      <c r="M167">
        <v>0</v>
      </c>
    </row>
    <row r="168" spans="2:13" x14ac:dyDescent="0.2">
      <c r="B168" s="2">
        <v>154</v>
      </c>
      <c r="C168">
        <v>0</v>
      </c>
      <c r="D168" s="13">
        <f t="shared" si="7"/>
        <v>0</v>
      </c>
      <c r="E168">
        <v>226.11509286977599</v>
      </c>
      <c r="F168">
        <f t="shared" si="8"/>
        <v>0.70113207091403407</v>
      </c>
      <c r="G168">
        <v>0</v>
      </c>
      <c r="H168">
        <f t="shared" si="9"/>
        <v>0</v>
      </c>
      <c r="I168">
        <v>0</v>
      </c>
      <c r="K168">
        <v>0</v>
      </c>
      <c r="M168">
        <v>0</v>
      </c>
    </row>
    <row r="169" spans="2:13" x14ac:dyDescent="0.2">
      <c r="B169" s="2">
        <v>155</v>
      </c>
      <c r="C169">
        <v>0</v>
      </c>
      <c r="D169" s="13">
        <f t="shared" si="7"/>
        <v>0</v>
      </c>
      <c r="E169">
        <v>245.453428404086</v>
      </c>
      <c r="F169">
        <f t="shared" si="8"/>
        <v>0.76109590202817368</v>
      </c>
      <c r="G169">
        <v>0</v>
      </c>
      <c r="H169">
        <f t="shared" si="9"/>
        <v>0</v>
      </c>
      <c r="I169">
        <v>0</v>
      </c>
      <c r="K169">
        <v>0</v>
      </c>
      <c r="M169">
        <v>0</v>
      </c>
    </row>
    <row r="170" spans="2:13" x14ac:dyDescent="0.2">
      <c r="B170" s="2">
        <v>156</v>
      </c>
      <c r="C170">
        <v>0</v>
      </c>
      <c r="D170" s="13">
        <f t="shared" si="7"/>
        <v>0</v>
      </c>
      <c r="E170">
        <v>264.75788655627099</v>
      </c>
      <c r="F170">
        <f t="shared" si="8"/>
        <v>0.82095468699618912</v>
      </c>
      <c r="G170">
        <v>0</v>
      </c>
      <c r="H170">
        <f t="shared" si="9"/>
        <v>0</v>
      </c>
      <c r="I170">
        <v>0</v>
      </c>
      <c r="K170">
        <v>0</v>
      </c>
      <c r="M170">
        <v>0</v>
      </c>
    </row>
    <row r="171" spans="2:13" x14ac:dyDescent="0.2">
      <c r="B171" s="2">
        <v>157</v>
      </c>
      <c r="C171">
        <v>0</v>
      </c>
      <c r="D171" s="13">
        <f t="shared" si="7"/>
        <v>0</v>
      </c>
      <c r="E171">
        <v>284.00020356802997</v>
      </c>
      <c r="F171">
        <f t="shared" si="8"/>
        <v>0.88062078625745732</v>
      </c>
      <c r="G171">
        <v>0</v>
      </c>
      <c r="H171">
        <f t="shared" si="9"/>
        <v>0</v>
      </c>
      <c r="I171">
        <v>0</v>
      </c>
      <c r="K171">
        <v>0</v>
      </c>
      <c r="M171">
        <v>0</v>
      </c>
    </row>
    <row r="172" spans="2:13" x14ac:dyDescent="0.2">
      <c r="B172" s="2">
        <v>158</v>
      </c>
      <c r="C172">
        <v>0</v>
      </c>
      <c r="D172" s="13">
        <f t="shared" si="7"/>
        <v>0</v>
      </c>
      <c r="E172">
        <v>303.16383169511101</v>
      </c>
      <c r="F172">
        <f t="shared" si="8"/>
        <v>0.94004288897708843</v>
      </c>
      <c r="G172">
        <v>0</v>
      </c>
      <c r="H172">
        <f t="shared" si="9"/>
        <v>0</v>
      </c>
      <c r="I172">
        <v>0</v>
      </c>
      <c r="K172">
        <v>0</v>
      </c>
      <c r="M172">
        <v>0</v>
      </c>
    </row>
    <row r="173" spans="2:13" x14ac:dyDescent="0.2">
      <c r="B173" s="2">
        <v>159</v>
      </c>
      <c r="C173">
        <v>0</v>
      </c>
      <c r="D173" s="13">
        <f t="shared" si="7"/>
        <v>0</v>
      </c>
      <c r="E173">
        <v>322.26097464941301</v>
      </c>
      <c r="F173">
        <f t="shared" si="8"/>
        <v>0.99925883612221089</v>
      </c>
      <c r="G173">
        <v>0</v>
      </c>
      <c r="H173">
        <f t="shared" si="9"/>
        <v>0</v>
      </c>
      <c r="I173">
        <v>0</v>
      </c>
      <c r="K173">
        <v>0</v>
      </c>
      <c r="M173">
        <v>0</v>
      </c>
    </row>
    <row r="174" spans="2:13" x14ac:dyDescent="0.2">
      <c r="B174" s="2">
        <v>160</v>
      </c>
      <c r="C174">
        <v>0</v>
      </c>
      <c r="D174" s="13">
        <f t="shared" si="7"/>
        <v>0</v>
      </c>
      <c r="E174">
        <v>341.493998105885</v>
      </c>
      <c r="F174">
        <f t="shared" si="8"/>
        <v>1.058896118157783</v>
      </c>
      <c r="G174">
        <v>0</v>
      </c>
      <c r="H174">
        <f t="shared" si="9"/>
        <v>0</v>
      </c>
      <c r="I174">
        <v>0</v>
      </c>
      <c r="K174">
        <v>0</v>
      </c>
      <c r="M174">
        <v>0</v>
      </c>
    </row>
    <row r="175" spans="2:13" x14ac:dyDescent="0.2">
      <c r="B175" s="2">
        <v>161</v>
      </c>
      <c r="C175">
        <v>0</v>
      </c>
      <c r="D175" s="13">
        <f t="shared" si="7"/>
        <v>0</v>
      </c>
      <c r="E175">
        <v>360.69839662654698</v>
      </c>
      <c r="F175">
        <f t="shared" si="8"/>
        <v>1.1184446407024713</v>
      </c>
      <c r="G175">
        <v>0</v>
      </c>
      <c r="H175">
        <f t="shared" si="9"/>
        <v>0</v>
      </c>
      <c r="I175">
        <v>0</v>
      </c>
      <c r="K175">
        <v>0</v>
      </c>
      <c r="M175">
        <v>0</v>
      </c>
    </row>
    <row r="176" spans="2:13" x14ac:dyDescent="0.2">
      <c r="B176" s="2">
        <v>162</v>
      </c>
      <c r="C176">
        <v>0</v>
      </c>
      <c r="D176" s="13">
        <f t="shared" si="7"/>
        <v>0</v>
      </c>
      <c r="E176">
        <v>379.84869249306701</v>
      </c>
      <c r="F176">
        <f t="shared" si="8"/>
        <v>1.1778254030792776</v>
      </c>
      <c r="G176">
        <v>0</v>
      </c>
      <c r="H176">
        <f t="shared" si="9"/>
        <v>0</v>
      </c>
      <c r="I176">
        <v>0</v>
      </c>
      <c r="K176">
        <v>0</v>
      </c>
      <c r="M176">
        <v>0</v>
      </c>
    </row>
    <row r="177" spans="2:13" x14ac:dyDescent="0.2">
      <c r="B177" s="2">
        <v>163</v>
      </c>
      <c r="C177">
        <v>0</v>
      </c>
      <c r="D177" s="13">
        <f t="shared" si="7"/>
        <v>0</v>
      </c>
      <c r="E177">
        <v>398.962940737748</v>
      </c>
      <c r="F177">
        <f t="shared" si="8"/>
        <v>1.2370943898844899</v>
      </c>
      <c r="G177">
        <v>0</v>
      </c>
      <c r="H177">
        <f t="shared" si="9"/>
        <v>0</v>
      </c>
      <c r="I177">
        <v>0</v>
      </c>
      <c r="K177">
        <v>0</v>
      </c>
      <c r="M177">
        <v>0</v>
      </c>
    </row>
    <row r="178" spans="2:13" x14ac:dyDescent="0.2">
      <c r="B178" s="2">
        <v>164</v>
      </c>
      <c r="C178">
        <v>0</v>
      </c>
      <c r="D178" s="13">
        <f t="shared" si="7"/>
        <v>0</v>
      </c>
      <c r="E178">
        <v>418.04344357694703</v>
      </c>
      <c r="F178">
        <f t="shared" si="8"/>
        <v>1.2962587397734791</v>
      </c>
      <c r="G178">
        <v>0</v>
      </c>
      <c r="H178">
        <f t="shared" si="9"/>
        <v>0</v>
      </c>
      <c r="I178">
        <v>0</v>
      </c>
      <c r="K178">
        <v>0</v>
      </c>
      <c r="M178">
        <v>0</v>
      </c>
    </row>
    <row r="179" spans="2:13" x14ac:dyDescent="0.2">
      <c r="B179" s="2">
        <v>165</v>
      </c>
      <c r="C179">
        <v>168.09880160379501</v>
      </c>
      <c r="D179" s="13">
        <f t="shared" si="7"/>
        <v>0.52894525363056966</v>
      </c>
      <c r="E179">
        <v>437.159079276488</v>
      </c>
      <c r="F179">
        <f t="shared" si="8"/>
        <v>1.3555320287643038</v>
      </c>
      <c r="G179">
        <v>0</v>
      </c>
      <c r="H179">
        <f t="shared" si="9"/>
        <v>0</v>
      </c>
      <c r="I179">
        <v>0</v>
      </c>
      <c r="K179">
        <v>0</v>
      </c>
      <c r="M179">
        <v>0</v>
      </c>
    </row>
    <row r="180" spans="2:13" x14ac:dyDescent="0.2">
      <c r="B180" s="2">
        <v>166</v>
      </c>
      <c r="C180">
        <v>174.59301294041001</v>
      </c>
      <c r="D180" s="13">
        <f t="shared" si="7"/>
        <v>0.54938015399751428</v>
      </c>
      <c r="E180">
        <v>456.33833737179998</v>
      </c>
      <c r="F180">
        <f t="shared" si="8"/>
        <v>1.4150025965017055</v>
      </c>
      <c r="G180">
        <v>0</v>
      </c>
      <c r="H180">
        <f t="shared" si="9"/>
        <v>0</v>
      </c>
      <c r="I180">
        <v>0</v>
      </c>
      <c r="K180">
        <v>0</v>
      </c>
      <c r="M180">
        <v>0</v>
      </c>
    </row>
    <row r="181" spans="2:13" x14ac:dyDescent="0.2">
      <c r="B181" s="2">
        <v>167</v>
      </c>
      <c r="C181">
        <v>172.78847099511799</v>
      </c>
      <c r="D181" s="13">
        <f t="shared" si="7"/>
        <v>0.54370192257746386</v>
      </c>
      <c r="E181">
        <v>475.58811231953598</v>
      </c>
      <c r="F181">
        <f t="shared" si="8"/>
        <v>1.474691821145848</v>
      </c>
      <c r="G181">
        <v>0</v>
      </c>
      <c r="H181">
        <f t="shared" si="9"/>
        <v>0</v>
      </c>
      <c r="I181">
        <v>0</v>
      </c>
      <c r="K181">
        <v>0</v>
      </c>
      <c r="M181">
        <v>0</v>
      </c>
    </row>
    <row r="182" spans="2:13" x14ac:dyDescent="0.2">
      <c r="B182" s="2">
        <v>168</v>
      </c>
      <c r="C182">
        <v>165.40392786437101</v>
      </c>
      <c r="D182" s="13">
        <f t="shared" si="7"/>
        <v>0.52046547471482385</v>
      </c>
      <c r="E182">
        <v>494.68095463851301</v>
      </c>
      <c r="F182">
        <f t="shared" si="8"/>
        <v>1.5338944329876372</v>
      </c>
      <c r="G182">
        <v>0</v>
      </c>
      <c r="H182">
        <f t="shared" si="9"/>
        <v>0</v>
      </c>
      <c r="I182">
        <v>0</v>
      </c>
      <c r="K182">
        <v>0</v>
      </c>
      <c r="M182">
        <v>0</v>
      </c>
    </row>
    <row r="183" spans="2:13" x14ac:dyDescent="0.2">
      <c r="B183" s="2">
        <v>169</v>
      </c>
      <c r="C183">
        <v>159.267981421652</v>
      </c>
      <c r="D183" s="13">
        <f t="shared" si="7"/>
        <v>0.50115790252250481</v>
      </c>
      <c r="E183">
        <v>513.725427540856</v>
      </c>
      <c r="F183">
        <f t="shared" si="8"/>
        <v>1.5929470621421891</v>
      </c>
      <c r="G183">
        <v>0</v>
      </c>
      <c r="H183">
        <f t="shared" si="9"/>
        <v>0</v>
      </c>
      <c r="I183">
        <v>0.90806143076940105</v>
      </c>
      <c r="K183">
        <v>0</v>
      </c>
      <c r="M183">
        <v>0</v>
      </c>
    </row>
    <row r="184" spans="2:13" x14ac:dyDescent="0.2">
      <c r="B184" s="2">
        <v>170</v>
      </c>
      <c r="C184">
        <v>154.17218519966701</v>
      </c>
      <c r="D184" s="13">
        <f t="shared" si="7"/>
        <v>0.48512330144640353</v>
      </c>
      <c r="E184">
        <v>532.71979324162203</v>
      </c>
      <c r="F184">
        <f t="shared" si="8"/>
        <v>1.6518443201290605</v>
      </c>
      <c r="G184">
        <v>0</v>
      </c>
      <c r="H184">
        <f t="shared" si="9"/>
        <v>0</v>
      </c>
      <c r="I184">
        <v>21.620411361798901</v>
      </c>
      <c r="K184">
        <v>0</v>
      </c>
      <c r="M184">
        <v>0</v>
      </c>
    </row>
    <row r="185" spans="2:13" x14ac:dyDescent="0.2">
      <c r="B185" s="2">
        <v>171</v>
      </c>
      <c r="C185">
        <v>149.07186756019601</v>
      </c>
      <c r="D185" s="13">
        <f t="shared" si="7"/>
        <v>0.46907447312837014</v>
      </c>
      <c r="E185">
        <v>551.66231882416196</v>
      </c>
      <c r="F185">
        <f t="shared" si="8"/>
        <v>1.7105808335632928</v>
      </c>
      <c r="G185">
        <v>0</v>
      </c>
      <c r="H185">
        <f t="shared" si="9"/>
        <v>0</v>
      </c>
      <c r="I185">
        <v>42.327491714478597</v>
      </c>
      <c r="K185">
        <v>0</v>
      </c>
      <c r="M185">
        <v>0</v>
      </c>
    </row>
    <row r="186" spans="2:13" x14ac:dyDescent="0.2">
      <c r="B186" s="2">
        <v>172</v>
      </c>
      <c r="C186">
        <v>143.61869558474899</v>
      </c>
      <c r="D186" s="13">
        <f t="shared" si="7"/>
        <v>0.45191534167636566</v>
      </c>
      <c r="E186">
        <v>570.55127639816897</v>
      </c>
      <c r="F186">
        <f t="shared" si="8"/>
        <v>1.7691512446454851</v>
      </c>
      <c r="G186">
        <v>0</v>
      </c>
      <c r="H186">
        <f t="shared" si="9"/>
        <v>0</v>
      </c>
      <c r="I186">
        <v>63.027405480646003</v>
      </c>
      <c r="K186">
        <v>0</v>
      </c>
      <c r="M186">
        <v>0</v>
      </c>
    </row>
    <row r="187" spans="2:13" x14ac:dyDescent="0.2">
      <c r="B187" s="2">
        <v>173</v>
      </c>
      <c r="C187">
        <v>137.55133983878201</v>
      </c>
      <c r="D187" s="13">
        <f t="shared" si="7"/>
        <v>0.43282359924097558</v>
      </c>
      <c r="E187">
        <v>589.38494325725003</v>
      </c>
      <c r="F187">
        <f t="shared" si="8"/>
        <v>1.8275502116503877</v>
      </c>
      <c r="G187">
        <v>0</v>
      </c>
      <c r="H187">
        <f t="shared" si="9"/>
        <v>0</v>
      </c>
      <c r="I187">
        <v>83.718256610114594</v>
      </c>
      <c r="K187">
        <v>0</v>
      </c>
      <c r="M187">
        <v>0</v>
      </c>
    </row>
    <row r="188" spans="2:13" x14ac:dyDescent="0.2">
      <c r="B188" s="2">
        <v>174</v>
      </c>
      <c r="C188">
        <v>0</v>
      </c>
      <c r="D188" s="13">
        <f t="shared" si="7"/>
        <v>0</v>
      </c>
      <c r="E188">
        <v>608.16160203598599</v>
      </c>
      <c r="F188">
        <f t="shared" si="8"/>
        <v>1.8857724094139101</v>
      </c>
      <c r="G188">
        <v>0</v>
      </c>
      <c r="H188">
        <f t="shared" si="9"/>
        <v>0</v>
      </c>
      <c r="I188">
        <v>104.383223979685</v>
      </c>
      <c r="K188">
        <v>0</v>
      </c>
      <c r="M188">
        <v>0</v>
      </c>
    </row>
    <row r="189" spans="2:13" x14ac:dyDescent="0.2">
      <c r="B189" s="2">
        <v>175</v>
      </c>
      <c r="C189">
        <v>0</v>
      </c>
      <c r="D189" s="13">
        <f t="shared" si="7"/>
        <v>0</v>
      </c>
      <c r="E189">
        <v>627.08016109373898</v>
      </c>
      <c r="F189">
        <f t="shared" si="8"/>
        <v>1.9444346080426016</v>
      </c>
      <c r="G189">
        <v>0</v>
      </c>
      <c r="H189">
        <f t="shared" si="9"/>
        <v>0</v>
      </c>
      <c r="I189">
        <v>125.16019459629899</v>
      </c>
      <c r="K189">
        <v>0</v>
      </c>
      <c r="M189">
        <v>0</v>
      </c>
    </row>
    <row r="190" spans="2:13" x14ac:dyDescent="0.2">
      <c r="B190" s="2">
        <v>176</v>
      </c>
      <c r="C190">
        <v>0</v>
      </c>
      <c r="D190" s="13">
        <f t="shared" si="7"/>
        <v>0</v>
      </c>
      <c r="E190">
        <v>646.04909503036299</v>
      </c>
      <c r="F190">
        <f t="shared" si="8"/>
        <v>2.0032530078460868</v>
      </c>
      <c r="G190">
        <v>0</v>
      </c>
      <c r="H190">
        <f t="shared" si="9"/>
        <v>0</v>
      </c>
      <c r="I190">
        <v>145.96133703673101</v>
      </c>
      <c r="K190">
        <v>0</v>
      </c>
      <c r="M190">
        <v>0</v>
      </c>
    </row>
    <row r="191" spans="2:13" x14ac:dyDescent="0.2">
      <c r="B191" s="2">
        <v>177</v>
      </c>
      <c r="C191">
        <v>0</v>
      </c>
      <c r="D191" s="13">
        <f t="shared" si="7"/>
        <v>0</v>
      </c>
      <c r="E191">
        <v>665.02321663138503</v>
      </c>
      <c r="F191">
        <f t="shared" si="8"/>
        <v>2.0620874934306515</v>
      </c>
      <c r="G191">
        <v>0</v>
      </c>
      <c r="H191">
        <f t="shared" si="9"/>
        <v>0</v>
      </c>
      <c r="I191">
        <v>166.718945235322</v>
      </c>
      <c r="K191">
        <v>0</v>
      </c>
      <c r="M191">
        <v>0</v>
      </c>
    </row>
    <row r="192" spans="2:13" x14ac:dyDescent="0.2">
      <c r="B192" s="2">
        <v>178</v>
      </c>
      <c r="C192">
        <v>0</v>
      </c>
      <c r="D192" s="13">
        <f t="shared" si="7"/>
        <v>0</v>
      </c>
      <c r="E192">
        <v>683.76233600374906</v>
      </c>
      <c r="F192">
        <f t="shared" si="8"/>
        <v>2.1201932899341056</v>
      </c>
      <c r="G192">
        <v>0</v>
      </c>
      <c r="H192">
        <f t="shared" si="9"/>
        <v>0</v>
      </c>
      <c r="I192">
        <v>187.22738907509</v>
      </c>
      <c r="K192">
        <v>0</v>
      </c>
      <c r="M192">
        <v>0</v>
      </c>
    </row>
    <row r="193" spans="2:13" x14ac:dyDescent="0.2">
      <c r="B193" s="2">
        <v>179</v>
      </c>
      <c r="C193">
        <v>0</v>
      </c>
      <c r="D193" s="13">
        <f t="shared" si="7"/>
        <v>0</v>
      </c>
      <c r="E193">
        <v>702.35913827976105</v>
      </c>
      <c r="F193">
        <f t="shared" si="8"/>
        <v>2.1778577931155381</v>
      </c>
      <c r="G193">
        <v>0</v>
      </c>
      <c r="H193">
        <f t="shared" si="9"/>
        <v>0</v>
      </c>
      <c r="I193">
        <v>207.57043376244701</v>
      </c>
      <c r="K193">
        <v>0</v>
      </c>
      <c r="M193">
        <v>0</v>
      </c>
    </row>
    <row r="194" spans="2:13" x14ac:dyDescent="0.2">
      <c r="B194" s="2">
        <v>180</v>
      </c>
      <c r="C194">
        <v>0</v>
      </c>
      <c r="D194" s="13">
        <f t="shared" si="7"/>
        <v>0</v>
      </c>
      <c r="E194">
        <v>720.79090208151399</v>
      </c>
      <c r="F194">
        <f t="shared" si="8"/>
        <v>2.2350105490899659</v>
      </c>
      <c r="G194">
        <v>0</v>
      </c>
      <c r="H194">
        <f t="shared" si="9"/>
        <v>0</v>
      </c>
      <c r="I194">
        <v>227.72381017536301</v>
      </c>
      <c r="K194">
        <v>0</v>
      </c>
      <c r="M194">
        <v>0</v>
      </c>
    </row>
    <row r="195" spans="2:13" x14ac:dyDescent="0.2">
      <c r="B195" s="2">
        <v>181</v>
      </c>
      <c r="C195">
        <v>0</v>
      </c>
      <c r="D195" s="13">
        <f t="shared" si="7"/>
        <v>0</v>
      </c>
      <c r="E195">
        <v>739.03492787898699</v>
      </c>
      <c r="F195">
        <f t="shared" si="8"/>
        <v>2.2915811717177892</v>
      </c>
      <c r="G195">
        <v>0</v>
      </c>
      <c r="H195">
        <f t="shared" si="9"/>
        <v>0</v>
      </c>
      <c r="I195">
        <v>247.66332172545501</v>
      </c>
      <c r="K195">
        <v>0</v>
      </c>
      <c r="M195">
        <v>0</v>
      </c>
    </row>
    <row r="196" spans="2:13" x14ac:dyDescent="0.2">
      <c r="B196" s="2">
        <v>182</v>
      </c>
      <c r="C196">
        <v>0</v>
      </c>
      <c r="D196" s="13">
        <f t="shared" si="7"/>
        <v>0</v>
      </c>
      <c r="E196">
        <v>757.06854005667299</v>
      </c>
      <c r="F196">
        <f t="shared" si="8"/>
        <v>2.3474993490129394</v>
      </c>
      <c r="G196">
        <v>0</v>
      </c>
      <c r="H196">
        <f t="shared" si="9"/>
        <v>0</v>
      </c>
      <c r="I196">
        <v>267.36481349279001</v>
      </c>
      <c r="K196">
        <v>0</v>
      </c>
      <c r="M196">
        <v>0</v>
      </c>
    </row>
    <row r="197" spans="2:13" x14ac:dyDescent="0.2">
      <c r="B197" s="2">
        <v>183</v>
      </c>
      <c r="C197">
        <v>0</v>
      </c>
      <c r="D197" s="13">
        <f t="shared" si="7"/>
        <v>0</v>
      </c>
      <c r="E197">
        <v>774.90422816707803</v>
      </c>
      <c r="F197">
        <f t="shared" si="8"/>
        <v>2.4028038082700096</v>
      </c>
      <c r="G197">
        <v>0</v>
      </c>
      <c r="H197">
        <f t="shared" si="9"/>
        <v>0</v>
      </c>
      <c r="I197">
        <v>286.841934790734</v>
      </c>
      <c r="K197">
        <v>0</v>
      </c>
      <c r="M197">
        <v>0</v>
      </c>
    </row>
    <row r="198" spans="2:13" x14ac:dyDescent="0.2">
      <c r="B198" s="2">
        <v>184</v>
      </c>
      <c r="C198">
        <v>0</v>
      </c>
      <c r="D198" s="13">
        <f t="shared" si="7"/>
        <v>0</v>
      </c>
      <c r="E198">
        <v>792.74739627572001</v>
      </c>
      <c r="F198">
        <f t="shared" si="8"/>
        <v>2.458131461320062</v>
      </c>
      <c r="G198">
        <v>0</v>
      </c>
      <c r="H198">
        <f t="shared" si="9"/>
        <v>0</v>
      </c>
      <c r="I198">
        <v>306.28078046764603</v>
      </c>
      <c r="K198">
        <v>0</v>
      </c>
      <c r="M198">
        <v>0</v>
      </c>
    </row>
    <row r="199" spans="2:13" x14ac:dyDescent="0.2">
      <c r="B199" s="2">
        <v>185</v>
      </c>
      <c r="C199">
        <v>0</v>
      </c>
      <c r="D199" s="13">
        <f t="shared" si="7"/>
        <v>0</v>
      </c>
      <c r="E199">
        <v>810.42068557620496</v>
      </c>
      <c r="F199">
        <f t="shared" si="8"/>
        <v>2.5129323583758292</v>
      </c>
      <c r="G199">
        <v>0</v>
      </c>
      <c r="H199">
        <f t="shared" si="9"/>
        <v>0</v>
      </c>
      <c r="I199">
        <v>325.52265582606498</v>
      </c>
      <c r="K199">
        <v>0</v>
      </c>
      <c r="M199">
        <v>0</v>
      </c>
    </row>
    <row r="200" spans="2:13" x14ac:dyDescent="0.2">
      <c r="B200" s="2">
        <v>186</v>
      </c>
      <c r="C200">
        <v>0</v>
      </c>
      <c r="D200" s="13">
        <f t="shared" si="7"/>
        <v>0</v>
      </c>
      <c r="E200">
        <v>827.89565153136198</v>
      </c>
      <c r="F200">
        <f t="shared" si="8"/>
        <v>2.5671182993220527</v>
      </c>
      <c r="G200">
        <v>0</v>
      </c>
      <c r="H200">
        <f t="shared" si="9"/>
        <v>0</v>
      </c>
      <c r="I200">
        <v>344.52828791873998</v>
      </c>
      <c r="K200">
        <v>0</v>
      </c>
      <c r="M200">
        <v>0</v>
      </c>
    </row>
    <row r="201" spans="2:13" x14ac:dyDescent="0.2">
      <c r="B201" s="2">
        <v>187</v>
      </c>
      <c r="C201">
        <v>0</v>
      </c>
      <c r="D201" s="13">
        <f t="shared" si="7"/>
        <v>0</v>
      </c>
      <c r="E201">
        <v>845.19699408027805</v>
      </c>
      <c r="F201">
        <f t="shared" si="8"/>
        <v>2.6207658731171413</v>
      </c>
      <c r="G201">
        <v>0</v>
      </c>
      <c r="H201">
        <f t="shared" si="9"/>
        <v>0</v>
      </c>
      <c r="I201">
        <v>363.32372025947001</v>
      </c>
      <c r="K201">
        <v>0</v>
      </c>
      <c r="M201">
        <v>0</v>
      </c>
    </row>
    <row r="202" spans="2:13" x14ac:dyDescent="0.2">
      <c r="B202" s="2">
        <v>188</v>
      </c>
      <c r="C202">
        <v>0</v>
      </c>
      <c r="D202" s="13">
        <f t="shared" si="7"/>
        <v>0</v>
      </c>
      <c r="E202">
        <v>862.32451272453704</v>
      </c>
      <c r="F202">
        <f t="shared" si="8"/>
        <v>2.6738744580605798</v>
      </c>
      <c r="G202">
        <v>0</v>
      </c>
      <c r="H202">
        <f t="shared" si="9"/>
        <v>0</v>
      </c>
      <c r="I202">
        <v>381.908232766038</v>
      </c>
      <c r="K202">
        <v>0</v>
      </c>
      <c r="M202">
        <v>0</v>
      </c>
    </row>
    <row r="203" spans="2:13" x14ac:dyDescent="0.2">
      <c r="B203" s="2">
        <v>189</v>
      </c>
      <c r="C203">
        <v>0</v>
      </c>
      <c r="D203" s="13">
        <f t="shared" si="7"/>
        <v>0</v>
      </c>
      <c r="E203">
        <v>879.27254767656098</v>
      </c>
      <c r="F203">
        <f t="shared" si="8"/>
        <v>2.7264265044234448</v>
      </c>
      <c r="G203">
        <v>0</v>
      </c>
      <c r="H203">
        <f t="shared" si="9"/>
        <v>0</v>
      </c>
      <c r="I203">
        <v>400.27524188885502</v>
      </c>
      <c r="K203">
        <v>0</v>
      </c>
      <c r="M203">
        <v>0</v>
      </c>
    </row>
    <row r="204" spans="2:13" x14ac:dyDescent="0.2">
      <c r="B204" s="2">
        <v>190</v>
      </c>
      <c r="C204">
        <v>0</v>
      </c>
      <c r="D204" s="13">
        <f t="shared" si="7"/>
        <v>0</v>
      </c>
      <c r="E204">
        <v>896.06452961212005</v>
      </c>
      <c r="F204">
        <f t="shared" si="8"/>
        <v>2.778494665463938</v>
      </c>
      <c r="G204">
        <v>0</v>
      </c>
      <c r="H204">
        <f t="shared" si="9"/>
        <v>0</v>
      </c>
      <c r="I204">
        <v>418.44942253776799</v>
      </c>
      <c r="K204">
        <v>0</v>
      </c>
      <c r="M204">
        <v>0</v>
      </c>
    </row>
    <row r="205" spans="2:13" x14ac:dyDescent="0.2">
      <c r="B205" s="2">
        <v>191</v>
      </c>
      <c r="C205">
        <v>0</v>
      </c>
      <c r="D205" s="13">
        <f t="shared" si="7"/>
        <v>0</v>
      </c>
      <c r="E205">
        <v>912.82978212411501</v>
      </c>
      <c r="F205">
        <f t="shared" si="8"/>
        <v>2.8304799445708992</v>
      </c>
      <c r="G205">
        <v>0</v>
      </c>
      <c r="H205">
        <f t="shared" si="9"/>
        <v>0</v>
      </c>
      <c r="I205">
        <v>436.55950492034799</v>
      </c>
      <c r="K205">
        <v>0</v>
      </c>
      <c r="M205">
        <v>0</v>
      </c>
    </row>
    <row r="206" spans="2:13" x14ac:dyDescent="0.2">
      <c r="B206" s="2">
        <v>192</v>
      </c>
      <c r="C206">
        <v>0</v>
      </c>
      <c r="D206" s="13">
        <f t="shared" si="7"/>
        <v>0</v>
      </c>
      <c r="E206">
        <v>929.42692758221699</v>
      </c>
      <c r="F206">
        <f t="shared" si="8"/>
        <v>2.8819439614952467</v>
      </c>
      <c r="G206">
        <v>0</v>
      </c>
      <c r="H206">
        <f t="shared" si="9"/>
        <v>0</v>
      </c>
      <c r="I206">
        <v>454.48996889612698</v>
      </c>
      <c r="K206">
        <v>0</v>
      </c>
      <c r="M206">
        <v>0</v>
      </c>
    </row>
    <row r="207" spans="2:13" x14ac:dyDescent="0.2">
      <c r="B207" s="2">
        <v>193</v>
      </c>
      <c r="C207">
        <v>0</v>
      </c>
      <c r="D207" s="13">
        <f t="shared" si="7"/>
        <v>0</v>
      </c>
      <c r="E207">
        <v>945.99734910523705</v>
      </c>
      <c r="F207">
        <f t="shared" si="8"/>
        <v>2.933325113504611</v>
      </c>
      <c r="G207">
        <v>0</v>
      </c>
      <c r="H207">
        <f t="shared" si="9"/>
        <v>0</v>
      </c>
      <c r="I207">
        <v>472.46400554495199</v>
      </c>
      <c r="K207">
        <v>0</v>
      </c>
      <c r="M207">
        <v>0</v>
      </c>
    </row>
    <row r="208" spans="2:13" x14ac:dyDescent="0.2">
      <c r="B208" s="2">
        <v>194</v>
      </c>
      <c r="C208">
        <v>0</v>
      </c>
      <c r="D208" s="13">
        <f t="shared" ref="D208:D271" si="10">C208/($D$8-$D$9)</f>
        <v>0</v>
      </c>
      <c r="E208">
        <v>962.47957221095703</v>
      </c>
      <c r="F208">
        <f t="shared" ref="F208:F271" si="11">E208/($F$8-$F$9)</f>
        <v>2.9844327820494794</v>
      </c>
      <c r="G208">
        <v>0</v>
      </c>
      <c r="H208">
        <f t="shared" ref="H208:H271" si="12">G208/($H$8-$H$9)</f>
        <v>0</v>
      </c>
      <c r="I208">
        <v>490.42814626673203</v>
      </c>
      <c r="K208">
        <v>0</v>
      </c>
      <c r="M208">
        <v>0</v>
      </c>
    </row>
    <row r="209" spans="2:13" x14ac:dyDescent="0.2">
      <c r="B209" s="2">
        <v>195</v>
      </c>
      <c r="C209">
        <v>0</v>
      </c>
      <c r="D209" s="13">
        <f t="shared" si="10"/>
        <v>0</v>
      </c>
      <c r="E209">
        <v>978.87096566368496</v>
      </c>
      <c r="F209">
        <f t="shared" si="11"/>
        <v>3.035258808259488</v>
      </c>
      <c r="G209">
        <v>0</v>
      </c>
      <c r="H209">
        <f t="shared" si="12"/>
        <v>0</v>
      </c>
      <c r="I209">
        <v>508.344486528223</v>
      </c>
      <c r="K209">
        <v>0</v>
      </c>
      <c r="M209">
        <v>0</v>
      </c>
    </row>
    <row r="210" spans="2:13" x14ac:dyDescent="0.2">
      <c r="B210" s="2">
        <v>196</v>
      </c>
      <c r="C210">
        <v>0</v>
      </c>
      <c r="D210" s="13">
        <f t="shared" si="10"/>
        <v>0</v>
      </c>
      <c r="E210">
        <v>995.17004157887197</v>
      </c>
      <c r="F210">
        <f t="shared" si="11"/>
        <v>3.085798578539138</v>
      </c>
      <c r="G210">
        <v>0</v>
      </c>
      <c r="H210">
        <f t="shared" si="12"/>
        <v>0</v>
      </c>
      <c r="I210">
        <v>526.21139184974004</v>
      </c>
      <c r="K210">
        <v>0</v>
      </c>
      <c r="M210">
        <v>0</v>
      </c>
    </row>
    <row r="211" spans="2:13" x14ac:dyDescent="0.2">
      <c r="B211" s="2">
        <v>197</v>
      </c>
      <c r="C211">
        <v>0</v>
      </c>
      <c r="D211" s="13">
        <f t="shared" si="10"/>
        <v>0</v>
      </c>
      <c r="E211">
        <v>1011.37532076925</v>
      </c>
      <c r="F211">
        <f t="shared" si="11"/>
        <v>3.1360475062612405</v>
      </c>
      <c r="G211">
        <v>0</v>
      </c>
      <c r="H211">
        <f t="shared" si="12"/>
        <v>0</v>
      </c>
      <c r="I211">
        <v>544.02723254187902</v>
      </c>
      <c r="K211">
        <v>0</v>
      </c>
      <c r="M211">
        <v>0</v>
      </c>
    </row>
    <row r="212" spans="2:13" x14ac:dyDescent="0.2">
      <c r="B212" s="2">
        <v>198</v>
      </c>
      <c r="C212">
        <v>0</v>
      </c>
      <c r="D212" s="13">
        <f t="shared" si="10"/>
        <v>0</v>
      </c>
      <c r="E212">
        <v>1027.48533287903</v>
      </c>
      <c r="F212">
        <f t="shared" si="11"/>
        <v>3.186001032183039</v>
      </c>
      <c r="G212">
        <v>0</v>
      </c>
      <c r="H212">
        <f t="shared" si="12"/>
        <v>0</v>
      </c>
      <c r="I212">
        <v>561.78568445259998</v>
      </c>
      <c r="K212">
        <v>0</v>
      </c>
      <c r="M212">
        <v>0</v>
      </c>
    </row>
    <row r="213" spans="2:13" x14ac:dyDescent="0.2">
      <c r="B213" s="2">
        <v>199</v>
      </c>
      <c r="C213">
        <v>0</v>
      </c>
      <c r="D213" s="13">
        <f t="shared" si="10"/>
        <v>0</v>
      </c>
      <c r="E213">
        <v>1043.7057303393799</v>
      </c>
      <c r="F213">
        <f t="shared" si="11"/>
        <v>3.236296838261643</v>
      </c>
      <c r="G213">
        <v>0</v>
      </c>
      <c r="H213">
        <f t="shared" si="12"/>
        <v>0</v>
      </c>
      <c r="I213">
        <v>579.637646871274</v>
      </c>
      <c r="K213">
        <v>0</v>
      </c>
      <c r="M213">
        <v>0</v>
      </c>
    </row>
    <row r="214" spans="2:13" x14ac:dyDescent="0.2">
      <c r="B214" s="2">
        <v>200</v>
      </c>
      <c r="C214">
        <v>0</v>
      </c>
      <c r="D214" s="13">
        <f t="shared" si="10"/>
        <v>0</v>
      </c>
      <c r="E214">
        <v>1059.9433132443901</v>
      </c>
      <c r="F214">
        <f t="shared" si="11"/>
        <v>3.2866459325407447</v>
      </c>
      <c r="G214">
        <v>0</v>
      </c>
      <c r="H214">
        <f t="shared" si="12"/>
        <v>0</v>
      </c>
      <c r="I214">
        <v>597.49502283192498</v>
      </c>
      <c r="K214">
        <v>0</v>
      </c>
      <c r="M214">
        <v>0</v>
      </c>
    </row>
    <row r="215" spans="2:13" x14ac:dyDescent="0.2">
      <c r="B215" s="2">
        <v>201</v>
      </c>
      <c r="C215">
        <v>0</v>
      </c>
      <c r="D215" s="13">
        <f t="shared" si="10"/>
        <v>0</v>
      </c>
      <c r="E215">
        <v>1076.1693824520801</v>
      </c>
      <c r="F215">
        <f t="shared" si="11"/>
        <v>3.3369593254328063</v>
      </c>
      <c r="G215">
        <v>0</v>
      </c>
      <c r="H215">
        <f t="shared" si="12"/>
        <v>0</v>
      </c>
      <c r="I215">
        <v>615.28992605551002</v>
      </c>
      <c r="K215">
        <v>0</v>
      </c>
      <c r="M215">
        <v>0</v>
      </c>
    </row>
    <row r="216" spans="2:13" x14ac:dyDescent="0.2">
      <c r="B216" s="2">
        <v>202</v>
      </c>
      <c r="C216">
        <v>0</v>
      </c>
      <c r="D216" s="13">
        <f t="shared" si="10"/>
        <v>0</v>
      </c>
      <c r="E216">
        <v>1092.1552303301401</v>
      </c>
      <c r="F216">
        <f t="shared" si="11"/>
        <v>3.3865278459849306</v>
      </c>
      <c r="G216">
        <v>0</v>
      </c>
      <c r="H216">
        <f t="shared" si="12"/>
        <v>0</v>
      </c>
      <c r="I216">
        <v>632.81414247991802</v>
      </c>
      <c r="K216">
        <v>0</v>
      </c>
      <c r="M216">
        <v>0</v>
      </c>
    </row>
    <row r="217" spans="2:13" x14ac:dyDescent="0.2">
      <c r="B217" s="2">
        <v>203</v>
      </c>
      <c r="C217">
        <v>0</v>
      </c>
      <c r="D217" s="13">
        <f t="shared" si="10"/>
        <v>0</v>
      </c>
      <c r="E217">
        <v>1107.9889018260301</v>
      </c>
      <c r="F217">
        <f t="shared" si="11"/>
        <v>3.43562450178614</v>
      </c>
      <c r="G217">
        <v>0</v>
      </c>
      <c r="H217">
        <f t="shared" si="12"/>
        <v>0</v>
      </c>
      <c r="I217">
        <v>650.15876544126104</v>
      </c>
      <c r="K217">
        <v>0</v>
      </c>
      <c r="M217">
        <v>0</v>
      </c>
    </row>
    <row r="218" spans="2:13" x14ac:dyDescent="0.2">
      <c r="B218" s="2">
        <v>204</v>
      </c>
      <c r="C218">
        <v>0</v>
      </c>
      <c r="D218" s="13">
        <f t="shared" si="10"/>
        <v>0</v>
      </c>
      <c r="E218">
        <v>1123.6509425064401</v>
      </c>
      <c r="F218">
        <f t="shared" si="11"/>
        <v>3.4841889690122172</v>
      </c>
      <c r="G218">
        <v>0</v>
      </c>
      <c r="H218">
        <f t="shared" si="12"/>
        <v>0</v>
      </c>
      <c r="I218">
        <v>667.30303441445994</v>
      </c>
      <c r="K218">
        <v>0</v>
      </c>
      <c r="M218">
        <v>0</v>
      </c>
    </row>
    <row r="219" spans="2:13" x14ac:dyDescent="0.2">
      <c r="B219" s="2">
        <v>205</v>
      </c>
      <c r="C219">
        <v>0</v>
      </c>
      <c r="D219" s="13">
        <f t="shared" si="10"/>
        <v>0</v>
      </c>
      <c r="E219">
        <v>1139.1219196582599</v>
      </c>
      <c r="F219">
        <f t="shared" si="11"/>
        <v>3.5321609911884027</v>
      </c>
      <c r="G219">
        <v>0</v>
      </c>
      <c r="H219">
        <f t="shared" si="12"/>
        <v>0</v>
      </c>
      <c r="I219">
        <v>684.22621282189402</v>
      </c>
      <c r="K219">
        <v>0</v>
      </c>
      <c r="M219">
        <v>0</v>
      </c>
    </row>
    <row r="220" spans="2:13" x14ac:dyDescent="0.2">
      <c r="B220" s="2">
        <v>206</v>
      </c>
      <c r="C220">
        <v>0</v>
      </c>
      <c r="D220" s="13">
        <f t="shared" si="10"/>
        <v>0</v>
      </c>
      <c r="E220">
        <v>1154.3823405921401</v>
      </c>
      <c r="F220">
        <f t="shared" si="11"/>
        <v>3.579480125867101</v>
      </c>
      <c r="G220">
        <v>0</v>
      </c>
      <c r="H220">
        <f t="shared" si="12"/>
        <v>0</v>
      </c>
      <c r="I220">
        <v>700.90758992208998</v>
      </c>
      <c r="K220">
        <v>0</v>
      </c>
      <c r="M220">
        <v>0</v>
      </c>
    </row>
    <row r="221" spans="2:13" x14ac:dyDescent="0.2">
      <c r="B221" s="2">
        <v>207</v>
      </c>
      <c r="C221">
        <v>0</v>
      </c>
      <c r="D221" s="13">
        <f t="shared" si="10"/>
        <v>0</v>
      </c>
      <c r="E221">
        <v>1080.5863283184699</v>
      </c>
      <c r="F221">
        <f t="shared" si="11"/>
        <v>3.3506552816076587</v>
      </c>
      <c r="G221">
        <v>0</v>
      </c>
      <c r="H221">
        <f t="shared" si="12"/>
        <v>0</v>
      </c>
      <c r="I221">
        <v>717.32648269576202</v>
      </c>
      <c r="K221">
        <v>0</v>
      </c>
      <c r="M221">
        <v>0</v>
      </c>
    </row>
    <row r="222" spans="2:13" x14ac:dyDescent="0.2">
      <c r="B222" s="2">
        <v>208</v>
      </c>
      <c r="C222">
        <v>0</v>
      </c>
      <c r="D222" s="13">
        <f t="shared" si="10"/>
        <v>0</v>
      </c>
      <c r="E222">
        <v>1049.62447928851</v>
      </c>
      <c r="F222">
        <f t="shared" si="11"/>
        <v>3.2546495481814262</v>
      </c>
      <c r="G222">
        <v>0</v>
      </c>
      <c r="H222">
        <f t="shared" si="12"/>
        <v>0</v>
      </c>
      <c r="I222">
        <v>733.65200610061095</v>
      </c>
      <c r="K222">
        <v>0</v>
      </c>
      <c r="M222">
        <v>0</v>
      </c>
    </row>
    <row r="223" spans="2:13" x14ac:dyDescent="0.2">
      <c r="B223" s="2">
        <v>209</v>
      </c>
      <c r="C223">
        <v>0</v>
      </c>
      <c r="D223" s="13">
        <f t="shared" si="10"/>
        <v>0</v>
      </c>
      <c r="E223">
        <v>1018.56526000833</v>
      </c>
      <c r="F223">
        <f t="shared" si="11"/>
        <v>3.1583418914986976</v>
      </c>
      <c r="G223">
        <v>0</v>
      </c>
      <c r="H223">
        <f t="shared" si="12"/>
        <v>0</v>
      </c>
      <c r="I223">
        <v>749.834635166672</v>
      </c>
      <c r="K223">
        <v>0</v>
      </c>
      <c r="M223">
        <v>0</v>
      </c>
    </row>
    <row r="224" spans="2:13" x14ac:dyDescent="0.2">
      <c r="B224" s="2">
        <v>210</v>
      </c>
      <c r="C224">
        <v>0</v>
      </c>
      <c r="D224" s="13">
        <f t="shared" si="10"/>
        <v>0</v>
      </c>
      <c r="E224">
        <v>987.39237467792304</v>
      </c>
      <c r="F224">
        <f t="shared" si="11"/>
        <v>3.0616817819470481</v>
      </c>
      <c r="G224">
        <v>0</v>
      </c>
      <c r="H224">
        <f t="shared" si="12"/>
        <v>0</v>
      </c>
      <c r="I224">
        <v>765.84304949627995</v>
      </c>
      <c r="K224">
        <v>0</v>
      </c>
      <c r="M224">
        <v>0</v>
      </c>
    </row>
    <row r="225" spans="2:13" x14ac:dyDescent="0.2">
      <c r="B225" s="2">
        <v>211</v>
      </c>
      <c r="C225">
        <v>0</v>
      </c>
      <c r="D225" s="13">
        <f t="shared" si="10"/>
        <v>0</v>
      </c>
      <c r="E225">
        <v>956.05378329840698</v>
      </c>
      <c r="F225">
        <f t="shared" si="11"/>
        <v>2.9645078551888591</v>
      </c>
      <c r="G225">
        <v>0</v>
      </c>
      <c r="H225">
        <f t="shared" si="12"/>
        <v>0</v>
      </c>
      <c r="I225">
        <v>781.61633686274104</v>
      </c>
      <c r="K225">
        <v>0</v>
      </c>
      <c r="M225">
        <v>0</v>
      </c>
    </row>
    <row r="226" spans="2:13" x14ac:dyDescent="0.2">
      <c r="B226" s="2">
        <v>212</v>
      </c>
      <c r="C226">
        <v>0</v>
      </c>
      <c r="D226" s="13">
        <f t="shared" si="10"/>
        <v>0</v>
      </c>
      <c r="E226">
        <v>924.54011569974898</v>
      </c>
      <c r="F226">
        <f t="shared" si="11"/>
        <v>2.8667910564333301</v>
      </c>
      <c r="G226">
        <v>0</v>
      </c>
      <c r="H226">
        <f t="shared" si="12"/>
        <v>0</v>
      </c>
      <c r="I226">
        <v>797.13947212077096</v>
      </c>
      <c r="K226">
        <v>0</v>
      </c>
      <c r="M226">
        <v>0</v>
      </c>
    </row>
    <row r="227" spans="2:13" x14ac:dyDescent="0.2">
      <c r="B227" s="2">
        <v>213</v>
      </c>
      <c r="C227">
        <v>0</v>
      </c>
      <c r="D227" s="13">
        <f t="shared" si="10"/>
        <v>0</v>
      </c>
      <c r="E227">
        <v>892.82299082180498</v>
      </c>
      <c r="F227">
        <f t="shared" si="11"/>
        <v>2.7684433823931935</v>
      </c>
      <c r="G227">
        <v>0</v>
      </c>
      <c r="H227">
        <f t="shared" si="12"/>
        <v>0</v>
      </c>
      <c r="I227">
        <v>812.37700809340095</v>
      </c>
      <c r="K227">
        <v>0</v>
      </c>
      <c r="M227">
        <v>0</v>
      </c>
    </row>
    <row r="228" spans="2:13" x14ac:dyDescent="0.2">
      <c r="B228" s="2">
        <v>214</v>
      </c>
      <c r="C228">
        <v>0</v>
      </c>
      <c r="D228" s="13">
        <f t="shared" si="10"/>
        <v>0</v>
      </c>
      <c r="E228">
        <v>860.95884958808097</v>
      </c>
      <c r="F228">
        <f t="shared" si="11"/>
        <v>2.6696398436839721</v>
      </c>
      <c r="G228">
        <v>0</v>
      </c>
      <c r="H228">
        <f t="shared" si="12"/>
        <v>0</v>
      </c>
      <c r="I228">
        <v>827.38470094351896</v>
      </c>
      <c r="K228">
        <v>0</v>
      </c>
      <c r="M228">
        <v>0</v>
      </c>
    </row>
    <row r="229" spans="2:13" x14ac:dyDescent="0.2">
      <c r="B229" s="2">
        <v>215</v>
      </c>
      <c r="C229">
        <v>0</v>
      </c>
      <c r="D229" s="13">
        <f t="shared" si="10"/>
        <v>0</v>
      </c>
      <c r="E229">
        <v>829.08036799053195</v>
      </c>
      <c r="F229">
        <f t="shared" si="11"/>
        <v>2.5707918387303317</v>
      </c>
      <c r="G229">
        <v>0</v>
      </c>
      <c r="H229">
        <f t="shared" si="12"/>
        <v>0</v>
      </c>
      <c r="I229">
        <v>842.28932471600103</v>
      </c>
      <c r="K229">
        <v>0</v>
      </c>
      <c r="M229">
        <v>0</v>
      </c>
    </row>
    <row r="230" spans="2:13" x14ac:dyDescent="0.2">
      <c r="B230" s="2">
        <v>216</v>
      </c>
      <c r="C230">
        <v>0</v>
      </c>
      <c r="D230" s="13">
        <f t="shared" si="10"/>
        <v>0</v>
      </c>
      <c r="E230">
        <v>797.04385467468603</v>
      </c>
      <c r="F230">
        <f t="shared" si="11"/>
        <v>2.471453812944763</v>
      </c>
      <c r="G230">
        <v>0</v>
      </c>
      <c r="H230">
        <f t="shared" si="12"/>
        <v>0</v>
      </c>
      <c r="I230">
        <v>856.96958912736102</v>
      </c>
      <c r="K230">
        <v>0</v>
      </c>
      <c r="M230">
        <v>0</v>
      </c>
    </row>
    <row r="231" spans="2:13" x14ac:dyDescent="0.2">
      <c r="B231" s="2">
        <v>217</v>
      </c>
      <c r="C231">
        <v>0</v>
      </c>
      <c r="D231" s="13">
        <f t="shared" si="10"/>
        <v>0</v>
      </c>
      <c r="E231">
        <v>765.00158521309697</v>
      </c>
      <c r="F231">
        <f t="shared" si="11"/>
        <v>2.3720979386452621</v>
      </c>
      <c r="G231">
        <v>0</v>
      </c>
      <c r="H231">
        <f t="shared" si="12"/>
        <v>0</v>
      </c>
      <c r="I231">
        <v>871.65610806127199</v>
      </c>
      <c r="K231">
        <v>0</v>
      </c>
      <c r="M231">
        <v>0</v>
      </c>
    </row>
    <row r="232" spans="2:13" x14ac:dyDescent="0.2">
      <c r="B232" s="2">
        <v>218</v>
      </c>
      <c r="C232">
        <v>0</v>
      </c>
      <c r="D232" s="13">
        <f t="shared" si="10"/>
        <v>0</v>
      </c>
      <c r="E232">
        <v>732.89564997370496</v>
      </c>
      <c r="F232">
        <f t="shared" si="11"/>
        <v>2.2725446510812559</v>
      </c>
      <c r="G232">
        <v>0</v>
      </c>
      <c r="H232">
        <f t="shared" si="12"/>
        <v>0</v>
      </c>
      <c r="I232">
        <v>886.30009851504303</v>
      </c>
      <c r="K232">
        <v>0</v>
      </c>
      <c r="M232">
        <v>0</v>
      </c>
    </row>
    <row r="233" spans="2:13" x14ac:dyDescent="0.2">
      <c r="B233" s="2">
        <v>219</v>
      </c>
      <c r="C233">
        <v>0</v>
      </c>
      <c r="D233" s="13">
        <f t="shared" si="10"/>
        <v>0</v>
      </c>
      <c r="E233">
        <v>700.72764012817197</v>
      </c>
      <c r="F233">
        <f t="shared" si="11"/>
        <v>2.1727988841183627</v>
      </c>
      <c r="G233">
        <v>0</v>
      </c>
      <c r="H233">
        <f t="shared" si="12"/>
        <v>0</v>
      </c>
      <c r="I233">
        <v>900.86053312867102</v>
      </c>
      <c r="K233">
        <v>0</v>
      </c>
      <c r="M233">
        <v>0</v>
      </c>
    </row>
    <row r="234" spans="2:13" x14ac:dyDescent="0.2">
      <c r="B234" s="2">
        <v>220</v>
      </c>
      <c r="C234">
        <v>0</v>
      </c>
      <c r="D234" s="13">
        <f t="shared" si="10"/>
        <v>0</v>
      </c>
      <c r="E234">
        <v>668.50051379211095</v>
      </c>
      <c r="F234">
        <f t="shared" si="11"/>
        <v>2.072869810208096</v>
      </c>
      <c r="G234">
        <v>0</v>
      </c>
      <c r="H234">
        <f t="shared" si="12"/>
        <v>0</v>
      </c>
      <c r="I234">
        <v>915.33609067389602</v>
      </c>
      <c r="K234">
        <v>0</v>
      </c>
      <c r="M234">
        <v>0</v>
      </c>
    </row>
    <row r="235" spans="2:13" x14ac:dyDescent="0.2">
      <c r="B235" s="2">
        <v>221</v>
      </c>
      <c r="C235">
        <v>0</v>
      </c>
      <c r="D235" s="13">
        <f t="shared" si="10"/>
        <v>0</v>
      </c>
      <c r="E235">
        <v>636.21723402968701</v>
      </c>
      <c r="F235">
        <f t="shared" si="11"/>
        <v>1.9727666171463163</v>
      </c>
      <c r="G235">
        <v>0</v>
      </c>
      <c r="H235">
        <f t="shared" si="12"/>
        <v>0</v>
      </c>
      <c r="I235">
        <v>929.72545791134905</v>
      </c>
      <c r="K235">
        <v>0</v>
      </c>
      <c r="M235">
        <v>0</v>
      </c>
    </row>
    <row r="236" spans="2:13" x14ac:dyDescent="0.2">
      <c r="B236" s="2">
        <v>222</v>
      </c>
      <c r="C236">
        <v>0</v>
      </c>
      <c r="D236" s="13">
        <f t="shared" si="10"/>
        <v>0</v>
      </c>
      <c r="E236">
        <v>603.88076858125703</v>
      </c>
      <c r="F236">
        <f t="shared" si="11"/>
        <v>1.8724985072287039</v>
      </c>
      <c r="G236">
        <v>0</v>
      </c>
      <c r="H236">
        <f t="shared" si="12"/>
        <v>0</v>
      </c>
      <c r="I236">
        <v>944.00877979572601</v>
      </c>
      <c r="K236">
        <v>0</v>
      </c>
      <c r="M236">
        <v>0</v>
      </c>
    </row>
    <row r="237" spans="2:13" x14ac:dyDescent="0.2">
      <c r="B237" s="2">
        <v>223</v>
      </c>
      <c r="C237">
        <v>0</v>
      </c>
      <c r="D237" s="13">
        <f t="shared" si="10"/>
        <v>0</v>
      </c>
      <c r="E237">
        <v>571.70733359175802</v>
      </c>
      <c r="F237">
        <f t="shared" si="11"/>
        <v>1.7727359181139783</v>
      </c>
      <c r="G237">
        <v>0</v>
      </c>
      <c r="H237">
        <f t="shared" si="12"/>
        <v>0</v>
      </c>
      <c r="I237">
        <v>958.34232397405196</v>
      </c>
      <c r="K237">
        <v>0</v>
      </c>
      <c r="M237">
        <v>0</v>
      </c>
    </row>
    <row r="238" spans="2:13" x14ac:dyDescent="0.2">
      <c r="B238" s="2">
        <v>224</v>
      </c>
      <c r="C238">
        <v>0</v>
      </c>
      <c r="D238" s="13">
        <f t="shared" si="10"/>
        <v>0</v>
      </c>
      <c r="E238">
        <v>539.60611648066094</v>
      </c>
      <c r="F238">
        <f t="shared" si="11"/>
        <v>1.6731972604051502</v>
      </c>
      <c r="G238">
        <v>0</v>
      </c>
      <c r="H238">
        <f t="shared" si="12"/>
        <v>0</v>
      </c>
      <c r="I238">
        <v>972.64057610708903</v>
      </c>
      <c r="K238">
        <v>0</v>
      </c>
      <c r="M238">
        <v>0</v>
      </c>
    </row>
    <row r="239" spans="2:13" x14ac:dyDescent="0.2">
      <c r="B239" s="2">
        <v>225</v>
      </c>
      <c r="C239">
        <v>0</v>
      </c>
      <c r="D239" s="13">
        <f t="shared" si="10"/>
        <v>0</v>
      </c>
      <c r="E239">
        <v>507.54430066381201</v>
      </c>
      <c r="F239">
        <f t="shared" si="11"/>
        <v>1.5737807772521302</v>
      </c>
      <c r="G239">
        <v>0</v>
      </c>
      <c r="H239">
        <f t="shared" si="12"/>
        <v>0</v>
      </c>
      <c r="I239">
        <v>986.82983210360703</v>
      </c>
      <c r="K239">
        <v>0</v>
      </c>
      <c r="M239">
        <v>0</v>
      </c>
    </row>
    <row r="240" spans="2:13" x14ac:dyDescent="0.2">
      <c r="B240" s="2">
        <v>226</v>
      </c>
      <c r="C240">
        <v>0</v>
      </c>
      <c r="D240" s="13">
        <f t="shared" si="10"/>
        <v>0</v>
      </c>
      <c r="E240">
        <v>475.27489554267498</v>
      </c>
      <c r="F240">
        <f t="shared" si="11"/>
        <v>1.4737206063338759</v>
      </c>
      <c r="G240">
        <v>0</v>
      </c>
      <c r="H240">
        <f t="shared" si="12"/>
        <v>0</v>
      </c>
      <c r="I240">
        <v>1000.69393945249</v>
      </c>
      <c r="K240">
        <v>0</v>
      </c>
      <c r="M240">
        <v>0</v>
      </c>
    </row>
    <row r="241" spans="2:13" x14ac:dyDescent="0.2">
      <c r="B241" s="2">
        <v>227</v>
      </c>
      <c r="C241">
        <v>0</v>
      </c>
      <c r="D241" s="13">
        <f t="shared" si="10"/>
        <v>0</v>
      </c>
      <c r="E241">
        <v>442.90230585783701</v>
      </c>
      <c r="F241">
        <f t="shared" si="11"/>
        <v>1.3733404832801148</v>
      </c>
      <c r="G241">
        <v>0</v>
      </c>
      <c r="H241">
        <f t="shared" si="12"/>
        <v>0</v>
      </c>
      <c r="I241">
        <v>1014.32756567738</v>
      </c>
      <c r="K241">
        <v>0</v>
      </c>
      <c r="M241">
        <v>1.26238103559646</v>
      </c>
    </row>
    <row r="242" spans="2:13" x14ac:dyDescent="0.2">
      <c r="B242" s="2">
        <v>228</v>
      </c>
      <c r="C242">
        <v>0</v>
      </c>
      <c r="D242" s="13">
        <f t="shared" si="10"/>
        <v>0</v>
      </c>
      <c r="E242">
        <v>410.41007688914902</v>
      </c>
      <c r="F242">
        <f t="shared" si="11"/>
        <v>1.2725893857027877</v>
      </c>
      <c r="G242">
        <v>0</v>
      </c>
      <c r="H242">
        <f t="shared" si="12"/>
        <v>0</v>
      </c>
      <c r="I242">
        <v>925.09494378102295</v>
      </c>
      <c r="K242">
        <v>0</v>
      </c>
      <c r="M242">
        <v>20.747298942855402</v>
      </c>
    </row>
    <row r="243" spans="2:13" x14ac:dyDescent="0.2">
      <c r="B243" s="2">
        <v>229</v>
      </c>
      <c r="C243">
        <v>0</v>
      </c>
      <c r="D243" s="13">
        <f t="shared" si="10"/>
        <v>0</v>
      </c>
      <c r="E243">
        <v>377.78177048748501</v>
      </c>
      <c r="F243">
        <f t="shared" si="11"/>
        <v>1.1714163425968527</v>
      </c>
      <c r="G243">
        <v>0</v>
      </c>
      <c r="H243">
        <f t="shared" si="12"/>
        <v>0</v>
      </c>
      <c r="I243">
        <v>892.25503735606799</v>
      </c>
      <c r="K243">
        <v>0</v>
      </c>
      <c r="M243">
        <v>39.987286320702303</v>
      </c>
    </row>
    <row r="244" spans="2:13" x14ac:dyDescent="0.2">
      <c r="B244" s="2">
        <v>230</v>
      </c>
      <c r="C244">
        <v>0</v>
      </c>
      <c r="D244" s="13">
        <f t="shared" si="10"/>
        <v>0</v>
      </c>
      <c r="E244">
        <v>345.00096656869403</v>
      </c>
      <c r="F244">
        <f t="shared" si="11"/>
        <v>1.0697704389726947</v>
      </c>
      <c r="G244">
        <v>0</v>
      </c>
      <c r="H244">
        <f t="shared" si="12"/>
        <v>0</v>
      </c>
      <c r="I244">
        <v>859.14015770573201</v>
      </c>
      <c r="K244">
        <v>0</v>
      </c>
      <c r="M244">
        <v>58.958790833279203</v>
      </c>
    </row>
    <row r="245" spans="2:13" x14ac:dyDescent="0.2">
      <c r="B245" s="2">
        <v>231</v>
      </c>
      <c r="C245">
        <v>0</v>
      </c>
      <c r="D245" s="13">
        <f t="shared" si="10"/>
        <v>0</v>
      </c>
      <c r="E245">
        <v>312.05126460570301</v>
      </c>
      <c r="F245">
        <f t="shared" si="11"/>
        <v>0.96760082048280005</v>
      </c>
      <c r="G245">
        <v>0</v>
      </c>
      <c r="H245">
        <f t="shared" si="12"/>
        <v>0</v>
      </c>
      <c r="I245">
        <v>825.73277290415194</v>
      </c>
      <c r="K245">
        <v>0</v>
      </c>
      <c r="M245">
        <v>77.638289879121402</v>
      </c>
    </row>
    <row r="246" spans="2:13" x14ac:dyDescent="0.2">
      <c r="B246" s="2">
        <v>232</v>
      </c>
      <c r="C246">
        <v>0</v>
      </c>
      <c r="D246" s="13">
        <f t="shared" si="10"/>
        <v>0</v>
      </c>
      <c r="E246">
        <v>279.16475486660198</v>
      </c>
      <c r="F246">
        <f t="shared" si="11"/>
        <v>0.86562714687318443</v>
      </c>
      <c r="G246">
        <v>0</v>
      </c>
      <c r="H246">
        <f t="shared" si="12"/>
        <v>0</v>
      </c>
      <c r="I246">
        <v>792.24860865959101</v>
      </c>
      <c r="K246">
        <v>0</v>
      </c>
      <c r="M246">
        <v>96.1053370193098</v>
      </c>
    </row>
    <row r="247" spans="2:13" x14ac:dyDescent="0.2">
      <c r="B247" s="2">
        <v>233</v>
      </c>
      <c r="C247">
        <v>0</v>
      </c>
      <c r="D247" s="13">
        <f t="shared" si="10"/>
        <v>0</v>
      </c>
      <c r="E247">
        <v>246.24913009014301</v>
      </c>
      <c r="F247">
        <f t="shared" si="11"/>
        <v>0.7635631940779628</v>
      </c>
      <c r="G247">
        <v>0</v>
      </c>
      <c r="H247">
        <f t="shared" si="12"/>
        <v>0</v>
      </c>
      <c r="I247">
        <v>758.623923646962</v>
      </c>
      <c r="K247">
        <v>0</v>
      </c>
      <c r="M247">
        <v>114.396232693155</v>
      </c>
    </row>
    <row r="248" spans="2:13" x14ac:dyDescent="0.2">
      <c r="B248" s="2">
        <v>234</v>
      </c>
      <c r="C248">
        <v>0</v>
      </c>
      <c r="D248" s="13">
        <f t="shared" si="10"/>
        <v>0</v>
      </c>
      <c r="E248">
        <v>213.24324339072899</v>
      </c>
      <c r="F248">
        <f t="shared" si="11"/>
        <v>0.66121935935109766</v>
      </c>
      <c r="G248">
        <v>0</v>
      </c>
      <c r="H248">
        <f t="shared" si="12"/>
        <v>0</v>
      </c>
      <c r="I248">
        <v>724.78186084752804</v>
      </c>
      <c r="K248">
        <v>0</v>
      </c>
      <c r="M248">
        <v>132.406648959976</v>
      </c>
    </row>
    <row r="249" spans="2:13" x14ac:dyDescent="0.2">
      <c r="B249" s="2">
        <v>235</v>
      </c>
      <c r="C249">
        <v>0</v>
      </c>
      <c r="D249" s="13">
        <f t="shared" si="10"/>
        <v>0</v>
      </c>
      <c r="E249">
        <v>180.104048766245</v>
      </c>
      <c r="F249">
        <f t="shared" si="11"/>
        <v>0.55846216671703874</v>
      </c>
      <c r="G249">
        <v>0</v>
      </c>
      <c r="H249">
        <f t="shared" si="12"/>
        <v>0</v>
      </c>
      <c r="I249">
        <v>690.67558483507605</v>
      </c>
      <c r="K249">
        <v>0</v>
      </c>
      <c r="M249">
        <v>150.08070976106501</v>
      </c>
    </row>
    <row r="250" spans="2:13" x14ac:dyDescent="0.2">
      <c r="B250" s="2">
        <v>236</v>
      </c>
      <c r="C250">
        <v>0</v>
      </c>
      <c r="D250" s="13">
        <f t="shared" si="10"/>
        <v>0</v>
      </c>
      <c r="E250">
        <v>146.821844230154</v>
      </c>
      <c r="F250">
        <f t="shared" si="11"/>
        <v>0.45526153249660156</v>
      </c>
      <c r="G250">
        <v>0</v>
      </c>
      <c r="H250">
        <f t="shared" si="12"/>
        <v>0</v>
      </c>
      <c r="I250">
        <v>656.29412076025096</v>
      </c>
      <c r="K250">
        <v>0</v>
      </c>
      <c r="M250">
        <v>167.400944081586</v>
      </c>
    </row>
    <row r="251" spans="2:13" x14ac:dyDescent="0.2">
      <c r="B251" s="2">
        <v>237</v>
      </c>
      <c r="C251">
        <v>0</v>
      </c>
      <c r="D251" s="13">
        <f t="shared" si="10"/>
        <v>0</v>
      </c>
      <c r="E251">
        <v>113.404877888805</v>
      </c>
      <c r="F251">
        <f t="shared" si="11"/>
        <v>0.35164303221334886</v>
      </c>
      <c r="G251">
        <v>0</v>
      </c>
      <c r="H251">
        <f t="shared" si="12"/>
        <v>0</v>
      </c>
      <c r="I251">
        <v>621.64580521741095</v>
      </c>
      <c r="K251">
        <v>0</v>
      </c>
      <c r="M251">
        <v>184.37063232064901</v>
      </c>
    </row>
    <row r="252" spans="2:13" x14ac:dyDescent="0.2">
      <c r="B252" s="2">
        <v>238</v>
      </c>
      <c r="C252">
        <v>0</v>
      </c>
      <c r="D252" s="13">
        <f t="shared" si="10"/>
        <v>0</v>
      </c>
      <c r="E252">
        <v>79.912094742092194</v>
      </c>
      <c r="F252">
        <f t="shared" si="11"/>
        <v>0.24778944106075099</v>
      </c>
      <c r="G252">
        <v>0</v>
      </c>
      <c r="H252">
        <f t="shared" si="12"/>
        <v>0</v>
      </c>
      <c r="I252">
        <v>586.79349053272097</v>
      </c>
      <c r="K252">
        <v>0</v>
      </c>
      <c r="M252">
        <v>201.05153775498101</v>
      </c>
    </row>
    <row r="253" spans="2:13" x14ac:dyDescent="0.2">
      <c r="B253" s="2">
        <v>239</v>
      </c>
      <c r="C253">
        <v>0</v>
      </c>
      <c r="D253" s="13">
        <f t="shared" si="10"/>
        <v>0</v>
      </c>
      <c r="E253">
        <v>46.470830960389698</v>
      </c>
      <c r="F253">
        <f t="shared" si="11"/>
        <v>0.14409559987717735</v>
      </c>
      <c r="G253">
        <v>0</v>
      </c>
      <c r="H253">
        <f t="shared" si="12"/>
        <v>0</v>
      </c>
      <c r="I253">
        <v>551.86038118930298</v>
      </c>
      <c r="K253">
        <v>0</v>
      </c>
      <c r="M253">
        <v>217.53831390836999</v>
      </c>
    </row>
    <row r="254" spans="2:13" x14ac:dyDescent="0.2">
      <c r="B254" s="2">
        <v>240</v>
      </c>
      <c r="C254">
        <v>0</v>
      </c>
      <c r="D254" s="13">
        <f t="shared" si="10"/>
        <v>0</v>
      </c>
      <c r="E254">
        <v>12.9362519600424</v>
      </c>
      <c r="F254">
        <f t="shared" si="11"/>
        <v>4.0112409178426046E-2</v>
      </c>
      <c r="G254">
        <v>0</v>
      </c>
      <c r="H254">
        <f t="shared" si="12"/>
        <v>0</v>
      </c>
      <c r="I254">
        <v>516.725219518833</v>
      </c>
      <c r="K254">
        <v>0</v>
      </c>
      <c r="M254">
        <v>233.86942956069799</v>
      </c>
    </row>
    <row r="255" spans="2:13" x14ac:dyDescent="0.2">
      <c r="B255" s="2">
        <v>241</v>
      </c>
      <c r="C255">
        <v>0</v>
      </c>
      <c r="D255" s="13">
        <f t="shared" si="10"/>
        <v>0</v>
      </c>
      <c r="E255">
        <v>0</v>
      </c>
      <c r="F255">
        <f t="shared" si="11"/>
        <v>0</v>
      </c>
      <c r="G255">
        <v>0</v>
      </c>
      <c r="H255">
        <f t="shared" si="12"/>
        <v>0</v>
      </c>
      <c r="I255">
        <v>481.63720231354898</v>
      </c>
      <c r="K255">
        <v>0</v>
      </c>
      <c r="M255">
        <v>250.23660825840901</v>
      </c>
    </row>
    <row r="256" spans="2:13" x14ac:dyDescent="0.2">
      <c r="B256" s="2">
        <v>242</v>
      </c>
      <c r="C256">
        <v>0</v>
      </c>
      <c r="D256" s="13">
        <f t="shared" si="10"/>
        <v>0</v>
      </c>
      <c r="E256">
        <v>0</v>
      </c>
      <c r="F256">
        <f t="shared" si="11"/>
        <v>0</v>
      </c>
      <c r="G256">
        <v>0</v>
      </c>
      <c r="H256">
        <f t="shared" si="12"/>
        <v>0</v>
      </c>
      <c r="I256">
        <v>446.557179179966</v>
      </c>
      <c r="K256">
        <v>0</v>
      </c>
      <c r="M256">
        <v>266.68323866572001</v>
      </c>
    </row>
    <row r="257" spans="2:13" x14ac:dyDescent="0.2">
      <c r="B257" s="2">
        <v>243</v>
      </c>
      <c r="C257">
        <v>0</v>
      </c>
      <c r="D257" s="13">
        <f t="shared" si="10"/>
        <v>0</v>
      </c>
      <c r="E257">
        <v>0</v>
      </c>
      <c r="F257">
        <f t="shared" si="11"/>
        <v>0</v>
      </c>
      <c r="G257">
        <v>0</v>
      </c>
      <c r="H257">
        <f t="shared" si="12"/>
        <v>0</v>
      </c>
      <c r="I257">
        <v>411.44179705274598</v>
      </c>
      <c r="K257">
        <v>0</v>
      </c>
      <c r="M257">
        <v>283.10275012595599</v>
      </c>
    </row>
    <row r="258" spans="2:13" x14ac:dyDescent="0.2">
      <c r="B258" s="2">
        <v>244</v>
      </c>
      <c r="C258">
        <v>0</v>
      </c>
      <c r="D258" s="13">
        <f t="shared" si="10"/>
        <v>0</v>
      </c>
      <c r="E258">
        <v>0</v>
      </c>
      <c r="F258">
        <f t="shared" si="11"/>
        <v>0</v>
      </c>
      <c r="G258">
        <v>0</v>
      </c>
      <c r="H258">
        <f t="shared" si="12"/>
        <v>0</v>
      </c>
      <c r="I258">
        <v>376.29427993895001</v>
      </c>
      <c r="K258">
        <v>0</v>
      </c>
      <c r="M258">
        <v>299.47287656764797</v>
      </c>
    </row>
    <row r="259" spans="2:13" x14ac:dyDescent="0.2">
      <c r="B259" s="2">
        <v>245</v>
      </c>
      <c r="C259">
        <v>0</v>
      </c>
      <c r="D259" s="13">
        <f t="shared" si="10"/>
        <v>0</v>
      </c>
      <c r="E259">
        <v>0</v>
      </c>
      <c r="F259">
        <f t="shared" si="11"/>
        <v>0</v>
      </c>
      <c r="G259">
        <v>0</v>
      </c>
      <c r="H259">
        <f t="shared" si="12"/>
        <v>0</v>
      </c>
      <c r="I259">
        <v>341.11785427907301</v>
      </c>
      <c r="K259">
        <v>0</v>
      </c>
      <c r="M259">
        <v>315.751393145755</v>
      </c>
    </row>
    <row r="260" spans="2:13" x14ac:dyDescent="0.2">
      <c r="B260" s="2">
        <v>246</v>
      </c>
      <c r="C260">
        <v>0</v>
      </c>
      <c r="D260" s="13">
        <f t="shared" si="10"/>
        <v>0</v>
      </c>
      <c r="E260">
        <v>0</v>
      </c>
      <c r="F260">
        <f t="shared" si="11"/>
        <v>0</v>
      </c>
      <c r="G260">
        <v>0</v>
      </c>
      <c r="H260">
        <f t="shared" si="12"/>
        <v>0</v>
      </c>
      <c r="I260">
        <v>305.89578706934202</v>
      </c>
      <c r="K260">
        <v>0</v>
      </c>
      <c r="M260">
        <v>331.90510831860797</v>
      </c>
    </row>
    <row r="261" spans="2:13" x14ac:dyDescent="0.2">
      <c r="B261" s="2">
        <v>247</v>
      </c>
      <c r="C261">
        <v>0</v>
      </c>
      <c r="D261" s="13">
        <f t="shared" si="10"/>
        <v>0</v>
      </c>
      <c r="E261">
        <v>0</v>
      </c>
      <c r="F261">
        <f t="shared" si="11"/>
        <v>0</v>
      </c>
      <c r="G261">
        <v>0</v>
      </c>
      <c r="H261">
        <f t="shared" si="12"/>
        <v>0</v>
      </c>
      <c r="I261">
        <v>270.79840167157602</v>
      </c>
      <c r="K261">
        <v>0</v>
      </c>
      <c r="M261">
        <v>347.98319571019101</v>
      </c>
    </row>
    <row r="262" spans="2:13" x14ac:dyDescent="0.2">
      <c r="B262" s="2">
        <v>248</v>
      </c>
      <c r="C262">
        <v>0</v>
      </c>
      <c r="D262" s="13">
        <f t="shared" si="10"/>
        <v>0</v>
      </c>
      <c r="E262">
        <v>0</v>
      </c>
      <c r="F262">
        <f t="shared" si="11"/>
        <v>0</v>
      </c>
      <c r="G262">
        <v>0</v>
      </c>
      <c r="H262">
        <f t="shared" si="12"/>
        <v>0</v>
      </c>
      <c r="I262">
        <v>235.745270857826</v>
      </c>
      <c r="K262">
        <v>0</v>
      </c>
      <c r="M262">
        <v>364.00468374778598</v>
      </c>
    </row>
    <row r="263" spans="2:13" x14ac:dyDescent="0.2">
      <c r="B263" s="2">
        <v>249</v>
      </c>
      <c r="C263">
        <v>0</v>
      </c>
      <c r="D263" s="13">
        <f t="shared" si="10"/>
        <v>0</v>
      </c>
      <c r="E263">
        <v>0</v>
      </c>
      <c r="F263">
        <f t="shared" si="11"/>
        <v>0</v>
      </c>
      <c r="G263">
        <v>0</v>
      </c>
      <c r="H263">
        <f t="shared" si="12"/>
        <v>0</v>
      </c>
      <c r="I263">
        <v>200.69355989793101</v>
      </c>
      <c r="K263">
        <v>0</v>
      </c>
      <c r="M263">
        <v>379.903426315459</v>
      </c>
    </row>
    <row r="264" spans="2:13" x14ac:dyDescent="0.2">
      <c r="B264" s="2">
        <v>250</v>
      </c>
      <c r="C264">
        <v>0</v>
      </c>
      <c r="D264" s="13">
        <f t="shared" si="10"/>
        <v>0</v>
      </c>
      <c r="E264">
        <v>0</v>
      </c>
      <c r="F264">
        <f t="shared" si="11"/>
        <v>0</v>
      </c>
      <c r="G264">
        <v>0</v>
      </c>
      <c r="H264">
        <f t="shared" si="12"/>
        <v>0</v>
      </c>
      <c r="I264">
        <v>165.62721310698001</v>
      </c>
      <c r="K264">
        <v>0</v>
      </c>
      <c r="M264">
        <v>395.656909793502</v>
      </c>
    </row>
    <row r="265" spans="2:13" x14ac:dyDescent="0.2">
      <c r="B265" s="2">
        <v>251</v>
      </c>
      <c r="C265">
        <v>0</v>
      </c>
      <c r="D265" s="13">
        <f t="shared" si="10"/>
        <v>0</v>
      </c>
      <c r="E265">
        <v>0</v>
      </c>
      <c r="F265">
        <f t="shared" si="11"/>
        <v>0</v>
      </c>
      <c r="G265">
        <v>0</v>
      </c>
      <c r="H265">
        <f t="shared" si="12"/>
        <v>0</v>
      </c>
      <c r="I265">
        <v>130.53019978244399</v>
      </c>
      <c r="K265">
        <v>0</v>
      </c>
      <c r="M265">
        <v>411.242638878055</v>
      </c>
    </row>
    <row r="266" spans="2:13" x14ac:dyDescent="0.2">
      <c r="B266" s="2">
        <v>252</v>
      </c>
      <c r="C266">
        <v>0</v>
      </c>
      <c r="D266" s="13">
        <f t="shared" si="10"/>
        <v>0</v>
      </c>
      <c r="E266">
        <v>0</v>
      </c>
      <c r="F266">
        <f t="shared" si="11"/>
        <v>0</v>
      </c>
      <c r="G266">
        <v>0</v>
      </c>
      <c r="H266">
        <f t="shared" si="12"/>
        <v>0</v>
      </c>
      <c r="I266">
        <v>95.386515587342799</v>
      </c>
      <c r="K266">
        <v>0</v>
      </c>
      <c r="M266">
        <v>426.63813863433501</v>
      </c>
    </row>
    <row r="267" spans="2:13" x14ac:dyDescent="0.2">
      <c r="B267" s="2">
        <v>253</v>
      </c>
      <c r="C267">
        <v>0</v>
      </c>
      <c r="D267" s="13">
        <f t="shared" si="10"/>
        <v>0</v>
      </c>
      <c r="E267">
        <v>0</v>
      </c>
      <c r="F267">
        <f t="shared" si="11"/>
        <v>0</v>
      </c>
      <c r="G267">
        <v>0</v>
      </c>
      <c r="H267">
        <f t="shared" si="12"/>
        <v>0</v>
      </c>
      <c r="I267">
        <v>60.180183929219901</v>
      </c>
      <c r="K267">
        <v>0</v>
      </c>
      <c r="M267">
        <v>441.82095654769898</v>
      </c>
    </row>
    <row r="268" spans="2:13" x14ac:dyDescent="0.2">
      <c r="B268" s="2">
        <v>254</v>
      </c>
      <c r="C268">
        <v>0</v>
      </c>
      <c r="D268" s="13">
        <f t="shared" si="10"/>
        <v>0</v>
      </c>
      <c r="E268">
        <v>0</v>
      </c>
      <c r="F268">
        <f t="shared" si="11"/>
        <v>0</v>
      </c>
      <c r="G268">
        <v>0</v>
      </c>
      <c r="H268">
        <f t="shared" si="12"/>
        <v>0</v>
      </c>
      <c r="I268">
        <v>24.8952573347953</v>
      </c>
      <c r="K268">
        <v>0</v>
      </c>
      <c r="M268">
        <v>363.346288325008</v>
      </c>
    </row>
    <row r="269" spans="2:13" x14ac:dyDescent="0.2">
      <c r="B269" s="2">
        <v>255</v>
      </c>
      <c r="C269">
        <v>0</v>
      </c>
      <c r="D269" s="13">
        <f t="shared" si="10"/>
        <v>0</v>
      </c>
      <c r="E269">
        <v>0</v>
      </c>
      <c r="F269">
        <f t="shared" si="11"/>
        <v>0</v>
      </c>
      <c r="G269">
        <v>0</v>
      </c>
      <c r="H269">
        <f t="shared" si="12"/>
        <v>0</v>
      </c>
      <c r="I269">
        <v>0</v>
      </c>
      <c r="K269">
        <v>0</v>
      </c>
      <c r="M269">
        <v>332.12351406900302</v>
      </c>
    </row>
    <row r="270" spans="2:13" x14ac:dyDescent="0.2">
      <c r="B270" s="2">
        <v>256</v>
      </c>
      <c r="C270">
        <v>0</v>
      </c>
      <c r="D270" s="13">
        <f t="shared" si="10"/>
        <v>0</v>
      </c>
      <c r="E270">
        <v>0</v>
      </c>
      <c r="F270">
        <f t="shared" si="11"/>
        <v>0</v>
      </c>
      <c r="G270">
        <v>0</v>
      </c>
      <c r="H270">
        <f t="shared" si="12"/>
        <v>0</v>
      </c>
      <c r="I270">
        <v>0</v>
      </c>
      <c r="K270">
        <v>0</v>
      </c>
      <c r="M270">
        <v>300.68693248412899</v>
      </c>
    </row>
    <row r="271" spans="2:13" x14ac:dyDescent="0.2">
      <c r="B271" s="2">
        <v>257</v>
      </c>
      <c r="C271">
        <v>0</v>
      </c>
      <c r="D271" s="13">
        <f t="shared" si="10"/>
        <v>0</v>
      </c>
      <c r="E271">
        <v>0</v>
      </c>
      <c r="F271">
        <f t="shared" si="11"/>
        <v>0</v>
      </c>
      <c r="G271">
        <v>0</v>
      </c>
      <c r="H271">
        <f t="shared" si="12"/>
        <v>0</v>
      </c>
      <c r="I271">
        <v>0</v>
      </c>
      <c r="K271">
        <v>0</v>
      </c>
      <c r="M271">
        <v>268.96611724941101</v>
      </c>
    </row>
    <row r="272" spans="2:13" x14ac:dyDescent="0.2">
      <c r="B272" s="2">
        <v>258</v>
      </c>
      <c r="C272">
        <v>28.056913563470701</v>
      </c>
      <c r="D272" s="13">
        <f t="shared" ref="D272:D335" si="13">C272/($D$8-$D$9)</f>
        <v>8.828481297504942E-2</v>
      </c>
      <c r="E272">
        <v>0</v>
      </c>
      <c r="F272">
        <f t="shared" ref="F272:F335" si="14">E272/($F$8-$F$9)</f>
        <v>0</v>
      </c>
      <c r="G272">
        <v>0</v>
      </c>
      <c r="H272">
        <f t="shared" ref="H272:H335" si="15">G272/($H$8-$H$9)</f>
        <v>0</v>
      </c>
      <c r="I272">
        <v>0</v>
      </c>
      <c r="K272">
        <v>0</v>
      </c>
      <c r="M272">
        <v>236.92726312822299</v>
      </c>
    </row>
    <row r="273" spans="2:13" x14ac:dyDescent="0.2">
      <c r="B273" s="2">
        <v>259</v>
      </c>
      <c r="C273">
        <v>34.686722978072801</v>
      </c>
      <c r="D273" s="13">
        <f t="shared" si="13"/>
        <v>0.10914639074283451</v>
      </c>
      <c r="E273">
        <v>0</v>
      </c>
      <c r="F273">
        <f t="shared" si="14"/>
        <v>0</v>
      </c>
      <c r="G273">
        <v>0</v>
      </c>
      <c r="H273">
        <f t="shared" si="15"/>
        <v>0</v>
      </c>
      <c r="I273">
        <v>0</v>
      </c>
      <c r="K273">
        <v>0</v>
      </c>
      <c r="M273">
        <v>204.61898361360701</v>
      </c>
    </row>
    <row r="274" spans="2:13" x14ac:dyDescent="0.2">
      <c r="B274" s="2">
        <v>260</v>
      </c>
      <c r="C274">
        <v>41.304450998560398</v>
      </c>
      <c r="D274" s="13">
        <f t="shared" si="13"/>
        <v>0.12996995279597359</v>
      </c>
      <c r="E274">
        <v>0</v>
      </c>
      <c r="F274">
        <f t="shared" si="14"/>
        <v>0</v>
      </c>
      <c r="G274">
        <v>0</v>
      </c>
      <c r="H274">
        <f t="shared" si="15"/>
        <v>0</v>
      </c>
      <c r="I274">
        <v>0</v>
      </c>
      <c r="K274">
        <v>0</v>
      </c>
      <c r="M274">
        <v>172.14308848652499</v>
      </c>
    </row>
    <row r="275" spans="2:13" x14ac:dyDescent="0.2">
      <c r="B275" s="2">
        <v>261</v>
      </c>
      <c r="C275">
        <v>47.911522360037502</v>
      </c>
      <c r="D275" s="13">
        <f t="shared" si="13"/>
        <v>0.15075998225310733</v>
      </c>
      <c r="E275">
        <v>0</v>
      </c>
      <c r="F275">
        <f t="shared" si="14"/>
        <v>0</v>
      </c>
      <c r="G275">
        <v>0</v>
      </c>
      <c r="H275">
        <f t="shared" si="15"/>
        <v>0</v>
      </c>
      <c r="I275">
        <v>0</v>
      </c>
      <c r="K275">
        <v>0</v>
      </c>
      <c r="M275">
        <v>139.54559984391901</v>
      </c>
    </row>
    <row r="276" spans="2:13" x14ac:dyDescent="0.2">
      <c r="B276" s="2">
        <v>262</v>
      </c>
      <c r="C276">
        <v>54.509356714916002</v>
      </c>
      <c r="D276" s="13">
        <f t="shared" si="13"/>
        <v>0.17152094623950917</v>
      </c>
      <c r="E276">
        <v>0</v>
      </c>
      <c r="F276">
        <f t="shared" si="14"/>
        <v>0</v>
      </c>
      <c r="G276">
        <v>0</v>
      </c>
      <c r="H276">
        <f t="shared" si="15"/>
        <v>0</v>
      </c>
      <c r="I276">
        <v>0</v>
      </c>
      <c r="K276">
        <v>0</v>
      </c>
      <c r="M276">
        <v>106.87254498906501</v>
      </c>
    </row>
    <row r="277" spans="2:13" x14ac:dyDescent="0.2">
      <c r="B277" s="2">
        <v>263</v>
      </c>
      <c r="C277">
        <v>52.825842735152598</v>
      </c>
      <c r="D277" s="13">
        <f t="shared" si="13"/>
        <v>0.16622354542212903</v>
      </c>
      <c r="E277">
        <v>0</v>
      </c>
      <c r="F277">
        <f t="shared" si="14"/>
        <v>0</v>
      </c>
      <c r="G277">
        <v>0</v>
      </c>
      <c r="H277">
        <f t="shared" si="15"/>
        <v>0</v>
      </c>
      <c r="I277">
        <v>0</v>
      </c>
      <c r="K277">
        <v>0</v>
      </c>
      <c r="M277">
        <v>74.105554094056899</v>
      </c>
    </row>
    <row r="278" spans="2:13" x14ac:dyDescent="0.2">
      <c r="B278" s="2">
        <v>264</v>
      </c>
      <c r="C278">
        <v>46.109242573994699</v>
      </c>
      <c r="D278" s="13">
        <f t="shared" si="13"/>
        <v>0.14508886901823381</v>
      </c>
      <c r="E278">
        <v>0</v>
      </c>
      <c r="F278">
        <f t="shared" si="14"/>
        <v>0</v>
      </c>
      <c r="G278">
        <v>0</v>
      </c>
      <c r="H278">
        <f t="shared" si="15"/>
        <v>0</v>
      </c>
      <c r="I278">
        <v>0</v>
      </c>
      <c r="K278">
        <v>0</v>
      </c>
      <c r="M278">
        <v>41.273409175865297</v>
      </c>
    </row>
    <row r="279" spans="2:13" x14ac:dyDescent="0.2">
      <c r="B279" s="2">
        <v>265</v>
      </c>
      <c r="C279">
        <v>40.650095978219802</v>
      </c>
      <c r="D279" s="13">
        <f t="shared" si="13"/>
        <v>0.1279109376281303</v>
      </c>
      <c r="E279">
        <v>0</v>
      </c>
      <c r="F279">
        <f t="shared" si="14"/>
        <v>0</v>
      </c>
      <c r="G279">
        <v>0</v>
      </c>
      <c r="H279">
        <f t="shared" si="15"/>
        <v>0</v>
      </c>
      <c r="I279">
        <v>0</v>
      </c>
      <c r="K279">
        <v>0</v>
      </c>
      <c r="M279">
        <v>8.4855069315337897</v>
      </c>
    </row>
    <row r="280" spans="2:13" x14ac:dyDescent="0.2">
      <c r="B280" s="2">
        <v>266</v>
      </c>
      <c r="C280">
        <v>35.882828523904003</v>
      </c>
      <c r="D280" s="13">
        <f t="shared" si="13"/>
        <v>0.11291009604752678</v>
      </c>
      <c r="E280">
        <v>0</v>
      </c>
      <c r="F280">
        <f t="shared" si="14"/>
        <v>0</v>
      </c>
      <c r="G280">
        <v>0</v>
      </c>
      <c r="H280">
        <f t="shared" si="15"/>
        <v>0</v>
      </c>
      <c r="I280">
        <v>0</v>
      </c>
      <c r="K280">
        <v>0</v>
      </c>
      <c r="M280">
        <v>0</v>
      </c>
    </row>
    <row r="281" spans="2:13" x14ac:dyDescent="0.2">
      <c r="B281" s="2">
        <v>267</v>
      </c>
      <c r="C281">
        <v>31.1110185090056</v>
      </c>
      <c r="D281" s="13">
        <f t="shared" si="13"/>
        <v>9.7894960695423555E-2</v>
      </c>
      <c r="E281">
        <v>0</v>
      </c>
      <c r="F281">
        <f t="shared" si="14"/>
        <v>0</v>
      </c>
      <c r="G281">
        <v>0</v>
      </c>
      <c r="H281">
        <f t="shared" si="15"/>
        <v>0</v>
      </c>
      <c r="I281">
        <v>0</v>
      </c>
      <c r="K281">
        <v>0</v>
      </c>
      <c r="M281">
        <v>0</v>
      </c>
    </row>
    <row r="282" spans="2:13" x14ac:dyDescent="0.2">
      <c r="B282" s="2">
        <v>268</v>
      </c>
      <c r="C282">
        <v>25.986330985898899</v>
      </c>
      <c r="D282" s="13">
        <f t="shared" si="13"/>
        <v>8.1769449294836066E-2</v>
      </c>
      <c r="E282">
        <v>0</v>
      </c>
      <c r="F282">
        <f t="shared" si="14"/>
        <v>0</v>
      </c>
      <c r="G282">
        <v>0</v>
      </c>
      <c r="H282">
        <f t="shared" si="15"/>
        <v>0</v>
      </c>
      <c r="I282">
        <v>0</v>
      </c>
      <c r="K282">
        <v>0</v>
      </c>
      <c r="M282">
        <v>0</v>
      </c>
    </row>
    <row r="283" spans="2:13" x14ac:dyDescent="0.2">
      <c r="B283" s="2">
        <v>269</v>
      </c>
      <c r="C283">
        <v>20.366184908817601</v>
      </c>
      <c r="D283" s="13">
        <f t="shared" si="13"/>
        <v>6.4084911607355577E-2</v>
      </c>
      <c r="E283">
        <v>0</v>
      </c>
      <c r="F283">
        <f t="shared" si="14"/>
        <v>0</v>
      </c>
      <c r="G283">
        <v>0</v>
      </c>
      <c r="H283">
        <f t="shared" si="15"/>
        <v>0</v>
      </c>
      <c r="I283">
        <v>0</v>
      </c>
      <c r="K283">
        <v>0</v>
      </c>
      <c r="M283">
        <v>0</v>
      </c>
    </row>
    <row r="284" spans="2:13" x14ac:dyDescent="0.2">
      <c r="B284" s="2">
        <v>270</v>
      </c>
      <c r="C284">
        <v>14.202935444078401</v>
      </c>
      <c r="D284" s="13">
        <f t="shared" si="13"/>
        <v>4.4691426822147273E-2</v>
      </c>
      <c r="E284">
        <v>0</v>
      </c>
      <c r="F284">
        <f t="shared" si="14"/>
        <v>0</v>
      </c>
      <c r="G284">
        <v>0</v>
      </c>
      <c r="H284">
        <f t="shared" si="15"/>
        <v>0</v>
      </c>
      <c r="I284">
        <v>0</v>
      </c>
      <c r="K284">
        <v>0</v>
      </c>
      <c r="M284">
        <v>0</v>
      </c>
    </row>
    <row r="285" spans="2:13" x14ac:dyDescent="0.2">
      <c r="B285" s="2">
        <v>271</v>
      </c>
      <c r="C285">
        <v>13.7175230000336</v>
      </c>
      <c r="D285" s="13">
        <f t="shared" si="13"/>
        <v>4.3164011957311524E-2</v>
      </c>
      <c r="E285">
        <v>0</v>
      </c>
      <c r="F285">
        <f t="shared" si="14"/>
        <v>0</v>
      </c>
      <c r="G285">
        <v>0</v>
      </c>
      <c r="H285">
        <f t="shared" si="15"/>
        <v>0</v>
      </c>
      <c r="I285">
        <v>0</v>
      </c>
      <c r="K285">
        <v>0</v>
      </c>
      <c r="M285">
        <v>0</v>
      </c>
    </row>
    <row r="286" spans="2:13" x14ac:dyDescent="0.2">
      <c r="B286" s="2">
        <v>272</v>
      </c>
      <c r="C286">
        <v>21.171530650471301</v>
      </c>
      <c r="D286" s="13">
        <f t="shared" si="13"/>
        <v>6.6619039177065145E-2</v>
      </c>
      <c r="E286">
        <v>0</v>
      </c>
      <c r="F286">
        <f t="shared" si="14"/>
        <v>0</v>
      </c>
      <c r="G286">
        <v>0</v>
      </c>
      <c r="H286">
        <f t="shared" si="15"/>
        <v>0</v>
      </c>
      <c r="I286">
        <v>0</v>
      </c>
      <c r="K286">
        <v>0</v>
      </c>
      <c r="M286">
        <v>0</v>
      </c>
    </row>
    <row r="287" spans="2:13" x14ac:dyDescent="0.2">
      <c r="B287" s="2">
        <v>273</v>
      </c>
      <c r="C287">
        <v>28.188947251895701</v>
      </c>
      <c r="D287" s="13">
        <f t="shared" si="13"/>
        <v>8.8700274549703292E-2</v>
      </c>
      <c r="E287">
        <v>0</v>
      </c>
      <c r="F287">
        <f t="shared" si="14"/>
        <v>0</v>
      </c>
      <c r="G287">
        <v>0</v>
      </c>
      <c r="H287">
        <f t="shared" si="15"/>
        <v>0</v>
      </c>
      <c r="I287">
        <v>0</v>
      </c>
      <c r="K287">
        <v>0</v>
      </c>
      <c r="M287">
        <v>0</v>
      </c>
    </row>
    <row r="288" spans="2:13" x14ac:dyDescent="0.2">
      <c r="B288" s="2">
        <v>274</v>
      </c>
      <c r="C288">
        <v>34.884274185257901</v>
      </c>
      <c r="D288" s="13">
        <f t="shared" si="13"/>
        <v>0.10976801191081782</v>
      </c>
      <c r="E288">
        <v>0</v>
      </c>
      <c r="F288">
        <f t="shared" si="14"/>
        <v>0</v>
      </c>
      <c r="G288">
        <v>0</v>
      </c>
      <c r="H288">
        <f t="shared" si="15"/>
        <v>0</v>
      </c>
      <c r="I288">
        <v>0</v>
      </c>
      <c r="K288">
        <v>0</v>
      </c>
      <c r="M288">
        <v>0</v>
      </c>
    </row>
    <row r="289" spans="2:13" x14ac:dyDescent="0.2">
      <c r="B289" s="2">
        <v>275</v>
      </c>
      <c r="C289">
        <v>41.5572616703503</v>
      </c>
      <c r="D289" s="13">
        <f t="shared" si="13"/>
        <v>0.13076545522451324</v>
      </c>
      <c r="E289">
        <v>0</v>
      </c>
      <c r="F289">
        <f t="shared" si="14"/>
        <v>0</v>
      </c>
      <c r="G289">
        <v>0</v>
      </c>
      <c r="H289">
        <f t="shared" si="15"/>
        <v>0</v>
      </c>
      <c r="I289">
        <v>0</v>
      </c>
      <c r="K289">
        <v>0</v>
      </c>
      <c r="M289">
        <v>0</v>
      </c>
    </row>
    <row r="290" spans="2:13" x14ac:dyDescent="0.2">
      <c r="B290" s="2">
        <v>276</v>
      </c>
      <c r="C290">
        <v>48.222867070895298</v>
      </c>
      <c r="D290" s="13">
        <f t="shared" si="13"/>
        <v>0.15173966982660575</v>
      </c>
      <c r="E290">
        <v>0</v>
      </c>
      <c r="F290">
        <f t="shared" si="14"/>
        <v>0</v>
      </c>
      <c r="G290">
        <v>0</v>
      </c>
      <c r="H290">
        <f t="shared" si="15"/>
        <v>0</v>
      </c>
      <c r="I290">
        <v>0</v>
      </c>
      <c r="K290">
        <v>0</v>
      </c>
      <c r="M290">
        <v>0</v>
      </c>
    </row>
    <row r="291" spans="2:13" x14ac:dyDescent="0.2">
      <c r="B291" s="2">
        <v>277</v>
      </c>
      <c r="C291">
        <v>54.880454500073398</v>
      </c>
      <c r="D291" s="13">
        <f t="shared" si="13"/>
        <v>0.17268865481457962</v>
      </c>
      <c r="E291">
        <v>0</v>
      </c>
      <c r="F291">
        <f t="shared" si="14"/>
        <v>0</v>
      </c>
      <c r="G291">
        <v>0</v>
      </c>
      <c r="H291">
        <f t="shared" si="15"/>
        <v>0</v>
      </c>
      <c r="I291">
        <v>0</v>
      </c>
      <c r="K291">
        <v>0</v>
      </c>
      <c r="M291">
        <v>0</v>
      </c>
    </row>
    <row r="292" spans="2:13" x14ac:dyDescent="0.2">
      <c r="B292" s="2">
        <v>278</v>
      </c>
      <c r="C292">
        <v>61.529538965962303</v>
      </c>
      <c r="D292" s="13">
        <f t="shared" si="13"/>
        <v>0.19361088409679772</v>
      </c>
      <c r="E292">
        <v>0</v>
      </c>
      <c r="F292">
        <f t="shared" si="14"/>
        <v>0</v>
      </c>
      <c r="G292">
        <v>0</v>
      </c>
      <c r="H292">
        <f t="shared" si="15"/>
        <v>0</v>
      </c>
      <c r="I292">
        <v>0</v>
      </c>
      <c r="K292">
        <v>0</v>
      </c>
      <c r="M292">
        <v>0</v>
      </c>
    </row>
    <row r="293" spans="2:13" x14ac:dyDescent="0.2">
      <c r="B293" s="2">
        <v>279</v>
      </c>
      <c r="C293">
        <v>68.170213764464606</v>
      </c>
      <c r="D293" s="13">
        <f t="shared" si="13"/>
        <v>0.21450665124123541</v>
      </c>
      <c r="E293">
        <v>0</v>
      </c>
      <c r="F293">
        <f t="shared" si="14"/>
        <v>0</v>
      </c>
      <c r="G293">
        <v>0</v>
      </c>
      <c r="H293">
        <f t="shared" si="15"/>
        <v>0</v>
      </c>
      <c r="I293">
        <v>0</v>
      </c>
      <c r="K293">
        <v>0</v>
      </c>
      <c r="M293">
        <v>0</v>
      </c>
    </row>
    <row r="294" spans="2:13" x14ac:dyDescent="0.2">
      <c r="B294" s="2">
        <v>280</v>
      </c>
      <c r="C294">
        <v>74.802715568391406</v>
      </c>
      <c r="D294" s="13">
        <f t="shared" si="13"/>
        <v>0.23537670097039465</v>
      </c>
      <c r="E294">
        <v>0</v>
      </c>
      <c r="F294">
        <f t="shared" si="14"/>
        <v>0</v>
      </c>
      <c r="G294">
        <v>0</v>
      </c>
      <c r="H294">
        <f t="shared" si="15"/>
        <v>0</v>
      </c>
      <c r="I294">
        <v>0</v>
      </c>
      <c r="K294">
        <v>0</v>
      </c>
      <c r="M294">
        <v>0</v>
      </c>
    </row>
    <row r="295" spans="2:13" x14ac:dyDescent="0.2">
      <c r="B295" s="2">
        <v>281</v>
      </c>
      <c r="C295">
        <v>81.427279769295396</v>
      </c>
      <c r="D295" s="13">
        <f t="shared" si="13"/>
        <v>0.25622177397512713</v>
      </c>
      <c r="E295">
        <v>0</v>
      </c>
      <c r="F295">
        <f t="shared" si="14"/>
        <v>0</v>
      </c>
      <c r="G295">
        <v>0</v>
      </c>
      <c r="H295">
        <f t="shared" si="15"/>
        <v>0</v>
      </c>
      <c r="I295">
        <v>0</v>
      </c>
      <c r="K295">
        <v>0</v>
      </c>
      <c r="M295">
        <v>0</v>
      </c>
    </row>
    <row r="296" spans="2:13" x14ac:dyDescent="0.2">
      <c r="B296" s="2">
        <v>282</v>
      </c>
      <c r="C296">
        <v>88.044140460966801</v>
      </c>
      <c r="D296" s="13">
        <f t="shared" si="13"/>
        <v>0.27704260686270238</v>
      </c>
      <c r="E296">
        <v>0</v>
      </c>
      <c r="F296">
        <f t="shared" si="14"/>
        <v>0</v>
      </c>
      <c r="G296">
        <v>0</v>
      </c>
      <c r="H296">
        <f t="shared" si="15"/>
        <v>0</v>
      </c>
      <c r="I296">
        <v>0</v>
      </c>
      <c r="K296">
        <v>0</v>
      </c>
      <c r="M296">
        <v>0</v>
      </c>
    </row>
    <row r="297" spans="2:13" x14ac:dyDescent="0.2">
      <c r="B297" s="2">
        <v>283</v>
      </c>
      <c r="C297">
        <v>94.653530423084206</v>
      </c>
      <c r="D297" s="13">
        <f t="shared" si="13"/>
        <v>0.29783993210536253</v>
      </c>
      <c r="E297">
        <v>0</v>
      </c>
      <c r="F297">
        <f t="shared" si="14"/>
        <v>0</v>
      </c>
      <c r="G297">
        <v>0</v>
      </c>
      <c r="H297">
        <f t="shared" si="15"/>
        <v>0</v>
      </c>
      <c r="I297">
        <v>0</v>
      </c>
      <c r="K297">
        <v>0</v>
      </c>
      <c r="M297">
        <v>0</v>
      </c>
    </row>
    <row r="298" spans="2:13" x14ac:dyDescent="0.2">
      <c r="B298" s="2">
        <v>284</v>
      </c>
      <c r="C298">
        <v>101.255681104996</v>
      </c>
      <c r="D298" s="13">
        <f t="shared" si="13"/>
        <v>0.31861447798928888</v>
      </c>
      <c r="E298">
        <v>0</v>
      </c>
      <c r="F298">
        <f t="shared" si="14"/>
        <v>0</v>
      </c>
      <c r="G298">
        <v>0</v>
      </c>
      <c r="H298">
        <f t="shared" si="15"/>
        <v>0</v>
      </c>
      <c r="I298">
        <v>0</v>
      </c>
      <c r="K298">
        <v>0</v>
      </c>
      <c r="M298">
        <v>0</v>
      </c>
    </row>
    <row r="299" spans="2:13" x14ac:dyDescent="0.2">
      <c r="B299" s="2">
        <v>285</v>
      </c>
      <c r="C299">
        <v>107.850621269236</v>
      </c>
      <c r="D299" s="13">
        <f t="shared" si="13"/>
        <v>0.33936633501962243</v>
      </c>
      <c r="E299">
        <v>0</v>
      </c>
      <c r="F299">
        <f t="shared" si="14"/>
        <v>0</v>
      </c>
      <c r="G299">
        <v>0</v>
      </c>
      <c r="H299">
        <f t="shared" si="15"/>
        <v>0</v>
      </c>
      <c r="I299">
        <v>0</v>
      </c>
      <c r="K299">
        <v>0</v>
      </c>
      <c r="M299">
        <v>0</v>
      </c>
    </row>
    <row r="300" spans="2:13" x14ac:dyDescent="0.2">
      <c r="B300" s="2">
        <v>286</v>
      </c>
      <c r="C300">
        <v>114.466612245137</v>
      </c>
      <c r="D300" s="13">
        <f t="shared" si="13"/>
        <v>0.36018443123076466</v>
      </c>
      <c r="E300">
        <v>0</v>
      </c>
      <c r="F300">
        <f t="shared" si="14"/>
        <v>0</v>
      </c>
      <c r="G300">
        <v>0</v>
      </c>
      <c r="H300">
        <f t="shared" si="15"/>
        <v>0</v>
      </c>
      <c r="I300">
        <v>0</v>
      </c>
      <c r="K300">
        <v>0</v>
      </c>
      <c r="M300">
        <v>0</v>
      </c>
    </row>
    <row r="301" spans="2:13" x14ac:dyDescent="0.2">
      <c r="B301" s="2">
        <v>287</v>
      </c>
      <c r="C301">
        <v>113.428670784487</v>
      </c>
      <c r="D301" s="13">
        <f t="shared" si="13"/>
        <v>0.35691841027214288</v>
      </c>
      <c r="E301">
        <v>0</v>
      </c>
      <c r="F301">
        <f t="shared" si="14"/>
        <v>0</v>
      </c>
      <c r="G301">
        <v>0</v>
      </c>
      <c r="H301">
        <f t="shared" si="15"/>
        <v>0</v>
      </c>
      <c r="I301">
        <v>0</v>
      </c>
      <c r="K301">
        <v>0</v>
      </c>
      <c r="M301">
        <v>0</v>
      </c>
    </row>
    <row r="302" spans="2:13" x14ac:dyDescent="0.2">
      <c r="B302" s="2">
        <v>288</v>
      </c>
      <c r="C302">
        <v>107.22898739254499</v>
      </c>
      <c r="D302" s="13">
        <f t="shared" si="13"/>
        <v>0.33741028128554124</v>
      </c>
      <c r="E302">
        <v>0</v>
      </c>
      <c r="F302">
        <f t="shared" si="14"/>
        <v>0</v>
      </c>
      <c r="G302">
        <v>0</v>
      </c>
      <c r="H302">
        <f t="shared" si="15"/>
        <v>0</v>
      </c>
      <c r="I302">
        <v>0</v>
      </c>
      <c r="K302">
        <v>0</v>
      </c>
      <c r="M302">
        <v>0</v>
      </c>
    </row>
    <row r="303" spans="2:13" x14ac:dyDescent="0.2">
      <c r="B303" s="2">
        <v>289</v>
      </c>
      <c r="C303">
        <v>102.06895192928999</v>
      </c>
      <c r="D303" s="13">
        <f t="shared" si="13"/>
        <v>0.32117354288637512</v>
      </c>
      <c r="E303">
        <v>0</v>
      </c>
      <c r="F303">
        <f t="shared" si="14"/>
        <v>0</v>
      </c>
      <c r="G303">
        <v>0</v>
      </c>
      <c r="H303">
        <f t="shared" si="15"/>
        <v>0</v>
      </c>
      <c r="I303">
        <v>0</v>
      </c>
      <c r="K303">
        <v>0</v>
      </c>
      <c r="M303">
        <v>0</v>
      </c>
    </row>
    <row r="304" spans="2:13" x14ac:dyDescent="0.2">
      <c r="B304" s="2">
        <v>290</v>
      </c>
      <c r="C304">
        <v>97.426478634191298</v>
      </c>
      <c r="D304" s="13">
        <f t="shared" si="13"/>
        <v>0.3065653827381728</v>
      </c>
      <c r="E304">
        <v>0</v>
      </c>
      <c r="F304">
        <f t="shared" si="14"/>
        <v>0</v>
      </c>
      <c r="G304">
        <v>0</v>
      </c>
      <c r="H304">
        <f t="shared" si="15"/>
        <v>0</v>
      </c>
      <c r="I304">
        <v>0</v>
      </c>
      <c r="K304">
        <v>0</v>
      </c>
      <c r="M304">
        <v>0</v>
      </c>
    </row>
    <row r="305" spans="2:13" x14ac:dyDescent="0.2">
      <c r="B305" s="2">
        <v>291</v>
      </c>
      <c r="C305">
        <v>92.580181898122106</v>
      </c>
      <c r="D305" s="13">
        <f t="shared" si="13"/>
        <v>0.2913158650035309</v>
      </c>
      <c r="E305">
        <v>0</v>
      </c>
      <c r="F305">
        <f t="shared" si="14"/>
        <v>0</v>
      </c>
      <c r="G305">
        <v>0</v>
      </c>
      <c r="H305">
        <f t="shared" si="15"/>
        <v>0</v>
      </c>
      <c r="I305">
        <v>0</v>
      </c>
      <c r="K305">
        <v>0</v>
      </c>
      <c r="M305">
        <v>0</v>
      </c>
    </row>
    <row r="306" spans="2:13" x14ac:dyDescent="0.2">
      <c r="B306" s="2">
        <v>292</v>
      </c>
      <c r="C306">
        <v>87.330961056914404</v>
      </c>
      <c r="D306" s="13">
        <f t="shared" si="13"/>
        <v>0.27479849294183267</v>
      </c>
      <c r="E306">
        <v>0</v>
      </c>
      <c r="F306">
        <f t="shared" si="14"/>
        <v>0</v>
      </c>
      <c r="G306">
        <v>0</v>
      </c>
      <c r="H306">
        <f t="shared" si="15"/>
        <v>0</v>
      </c>
      <c r="I306">
        <v>0</v>
      </c>
      <c r="K306">
        <v>0</v>
      </c>
      <c r="M306">
        <v>0</v>
      </c>
    </row>
    <row r="307" spans="2:13" x14ac:dyDescent="0.2">
      <c r="B307" s="2">
        <v>293</v>
      </c>
      <c r="C307">
        <v>81.678719354970397</v>
      </c>
      <c r="D307" s="13">
        <f t="shared" si="13"/>
        <v>0.25701296209871116</v>
      </c>
      <c r="E307">
        <v>0</v>
      </c>
      <c r="F307">
        <f t="shared" si="14"/>
        <v>0</v>
      </c>
      <c r="G307">
        <v>0</v>
      </c>
      <c r="H307">
        <f t="shared" si="15"/>
        <v>0</v>
      </c>
      <c r="I307">
        <v>0</v>
      </c>
      <c r="K307">
        <v>0</v>
      </c>
      <c r="M307">
        <v>0</v>
      </c>
    </row>
    <row r="308" spans="2:13" x14ac:dyDescent="0.2">
      <c r="B308" s="2">
        <v>294</v>
      </c>
      <c r="C308">
        <v>75.623362813516707</v>
      </c>
      <c r="D308" s="13">
        <f t="shared" si="13"/>
        <v>0.2379589767574472</v>
      </c>
      <c r="E308">
        <v>0</v>
      </c>
      <c r="F308">
        <f t="shared" si="14"/>
        <v>0</v>
      </c>
      <c r="G308">
        <v>0</v>
      </c>
      <c r="H308">
        <f t="shared" si="15"/>
        <v>0</v>
      </c>
      <c r="I308">
        <v>0</v>
      </c>
      <c r="K308">
        <v>0</v>
      </c>
      <c r="M308">
        <v>0</v>
      </c>
    </row>
    <row r="309" spans="2:13" x14ac:dyDescent="0.2">
      <c r="B309" s="2">
        <v>295</v>
      </c>
      <c r="C309">
        <v>75.386081807754806</v>
      </c>
      <c r="D309" s="13">
        <f t="shared" si="13"/>
        <v>0.23721234049010326</v>
      </c>
      <c r="E309">
        <v>0</v>
      </c>
      <c r="F309">
        <f t="shared" si="14"/>
        <v>0</v>
      </c>
      <c r="G309">
        <v>0</v>
      </c>
      <c r="H309">
        <f t="shared" si="15"/>
        <v>0</v>
      </c>
      <c r="I309">
        <v>0</v>
      </c>
      <c r="K309">
        <v>0</v>
      </c>
      <c r="M309">
        <v>0</v>
      </c>
    </row>
    <row r="310" spans="2:13" x14ac:dyDescent="0.2">
      <c r="B310" s="2">
        <v>296</v>
      </c>
      <c r="C310">
        <v>83.149508054598996</v>
      </c>
      <c r="D310" s="13">
        <f t="shared" si="13"/>
        <v>0.26164099450786349</v>
      </c>
      <c r="E310">
        <v>0</v>
      </c>
      <c r="F310">
        <f t="shared" si="14"/>
        <v>0</v>
      </c>
      <c r="G310">
        <v>0</v>
      </c>
      <c r="H310">
        <f t="shared" si="15"/>
        <v>0</v>
      </c>
      <c r="I310">
        <v>0</v>
      </c>
      <c r="K310">
        <v>0</v>
      </c>
      <c r="M310">
        <v>0</v>
      </c>
    </row>
    <row r="311" spans="2:13" x14ac:dyDescent="0.2">
      <c r="B311" s="2">
        <v>297</v>
      </c>
      <c r="C311">
        <v>82.122553789835806</v>
      </c>
      <c r="D311" s="13">
        <f t="shared" si="13"/>
        <v>0.25840954622352363</v>
      </c>
      <c r="E311">
        <v>0</v>
      </c>
      <c r="F311">
        <f t="shared" si="14"/>
        <v>0</v>
      </c>
      <c r="G311">
        <v>0</v>
      </c>
      <c r="H311">
        <f t="shared" si="15"/>
        <v>0</v>
      </c>
      <c r="I311">
        <v>0</v>
      </c>
      <c r="K311">
        <v>0</v>
      </c>
      <c r="M311">
        <v>0</v>
      </c>
    </row>
    <row r="312" spans="2:13" x14ac:dyDescent="0.2">
      <c r="B312" s="2">
        <v>298</v>
      </c>
      <c r="C312">
        <v>74.463093216028398</v>
      </c>
      <c r="D312" s="13">
        <f t="shared" si="13"/>
        <v>0.23430803403407302</v>
      </c>
      <c r="E312">
        <v>0</v>
      </c>
      <c r="F312">
        <f t="shared" si="14"/>
        <v>0</v>
      </c>
      <c r="G312">
        <v>0</v>
      </c>
      <c r="H312">
        <f t="shared" si="15"/>
        <v>0</v>
      </c>
      <c r="I312">
        <v>0</v>
      </c>
      <c r="K312">
        <v>0</v>
      </c>
      <c r="M312">
        <v>0</v>
      </c>
    </row>
    <row r="313" spans="2:13" x14ac:dyDescent="0.2">
      <c r="B313" s="2">
        <v>299</v>
      </c>
      <c r="C313">
        <v>458.776316195682</v>
      </c>
      <c r="D313" s="13">
        <f t="shared" si="13"/>
        <v>1.4436007432211519</v>
      </c>
      <c r="E313">
        <v>0</v>
      </c>
      <c r="F313">
        <f t="shared" si="14"/>
        <v>0</v>
      </c>
      <c r="G313">
        <v>0</v>
      </c>
      <c r="H313">
        <f t="shared" si="15"/>
        <v>0</v>
      </c>
      <c r="I313">
        <v>0</v>
      </c>
      <c r="K313">
        <v>0</v>
      </c>
      <c r="M313">
        <v>0</v>
      </c>
    </row>
    <row r="314" spans="2:13" x14ac:dyDescent="0.2">
      <c r="B314" s="2">
        <v>300</v>
      </c>
      <c r="C314">
        <v>450.99976609082597</v>
      </c>
      <c r="D314" s="13">
        <f t="shared" si="13"/>
        <v>1.419130793237338</v>
      </c>
      <c r="E314">
        <v>0</v>
      </c>
      <c r="F314">
        <f t="shared" si="14"/>
        <v>0</v>
      </c>
      <c r="G314">
        <v>0</v>
      </c>
      <c r="H314">
        <f t="shared" si="15"/>
        <v>0</v>
      </c>
      <c r="I314">
        <v>0</v>
      </c>
      <c r="K314">
        <v>0</v>
      </c>
      <c r="M314">
        <v>0</v>
      </c>
    </row>
    <row r="315" spans="2:13" x14ac:dyDescent="0.2">
      <c r="B315" s="2">
        <v>301</v>
      </c>
      <c r="C315">
        <v>443.23699772323101</v>
      </c>
      <c r="D315" s="13">
        <f t="shared" si="13"/>
        <v>1.394704209324201</v>
      </c>
      <c r="E315">
        <v>0</v>
      </c>
      <c r="F315">
        <f t="shared" si="14"/>
        <v>0</v>
      </c>
      <c r="G315">
        <v>0</v>
      </c>
      <c r="H315">
        <f t="shared" si="15"/>
        <v>0</v>
      </c>
      <c r="I315">
        <v>0</v>
      </c>
      <c r="K315">
        <v>0</v>
      </c>
      <c r="M315">
        <v>0</v>
      </c>
    </row>
    <row r="316" spans="2:13" x14ac:dyDescent="0.2">
      <c r="B316" s="2">
        <v>302</v>
      </c>
      <c r="C316">
        <v>435.487996970023</v>
      </c>
      <c r="D316" s="13">
        <f t="shared" si="13"/>
        <v>1.3703209470422375</v>
      </c>
      <c r="E316">
        <v>0</v>
      </c>
      <c r="F316">
        <f t="shared" si="14"/>
        <v>0</v>
      </c>
      <c r="G316">
        <v>0</v>
      </c>
      <c r="H316">
        <f t="shared" si="15"/>
        <v>0</v>
      </c>
      <c r="I316">
        <v>0</v>
      </c>
      <c r="K316">
        <v>0</v>
      </c>
      <c r="M316">
        <v>0</v>
      </c>
    </row>
    <row r="317" spans="2:13" x14ac:dyDescent="0.2">
      <c r="B317" s="2">
        <v>303</v>
      </c>
      <c r="C317">
        <v>0</v>
      </c>
      <c r="D317" s="13">
        <f t="shared" si="13"/>
        <v>0</v>
      </c>
      <c r="E317">
        <v>0</v>
      </c>
      <c r="F317">
        <f t="shared" si="14"/>
        <v>0</v>
      </c>
      <c r="G317">
        <v>0</v>
      </c>
      <c r="H317">
        <f t="shared" si="15"/>
        <v>0</v>
      </c>
      <c r="I317">
        <v>0</v>
      </c>
      <c r="K317">
        <v>0</v>
      </c>
      <c r="M317">
        <v>0</v>
      </c>
    </row>
    <row r="318" spans="2:13" x14ac:dyDescent="0.2">
      <c r="B318" s="2">
        <v>304</v>
      </c>
      <c r="C318">
        <v>0</v>
      </c>
      <c r="D318" s="13">
        <f t="shared" si="13"/>
        <v>0</v>
      </c>
      <c r="E318">
        <v>0</v>
      </c>
      <c r="F318">
        <f t="shared" si="14"/>
        <v>0</v>
      </c>
      <c r="G318">
        <v>0</v>
      </c>
      <c r="H318">
        <f t="shared" si="15"/>
        <v>0</v>
      </c>
      <c r="I318">
        <v>0</v>
      </c>
      <c r="K318">
        <v>0</v>
      </c>
      <c r="M318">
        <v>0</v>
      </c>
    </row>
    <row r="319" spans="2:13" x14ac:dyDescent="0.2">
      <c r="B319" s="2">
        <v>305</v>
      </c>
      <c r="C319">
        <v>0</v>
      </c>
      <c r="D319" s="13">
        <f t="shared" si="13"/>
        <v>0</v>
      </c>
      <c r="E319">
        <v>0</v>
      </c>
      <c r="F319">
        <f t="shared" si="14"/>
        <v>0</v>
      </c>
      <c r="G319">
        <v>0</v>
      </c>
      <c r="H319">
        <f t="shared" si="15"/>
        <v>0</v>
      </c>
      <c r="I319">
        <v>0</v>
      </c>
      <c r="K319">
        <v>0</v>
      </c>
      <c r="M319">
        <v>0</v>
      </c>
    </row>
    <row r="320" spans="2:13" x14ac:dyDescent="0.2">
      <c r="B320" s="2">
        <v>306</v>
      </c>
      <c r="C320">
        <v>0</v>
      </c>
      <c r="D320" s="13">
        <f t="shared" si="13"/>
        <v>0</v>
      </c>
      <c r="E320">
        <v>0</v>
      </c>
      <c r="F320">
        <f t="shared" si="14"/>
        <v>0</v>
      </c>
      <c r="G320">
        <v>0</v>
      </c>
      <c r="H320">
        <f t="shared" si="15"/>
        <v>0</v>
      </c>
      <c r="I320">
        <v>0</v>
      </c>
      <c r="K320">
        <v>0</v>
      </c>
      <c r="M320">
        <v>0</v>
      </c>
    </row>
    <row r="321" spans="2:13" x14ac:dyDescent="0.2">
      <c r="B321" s="2">
        <v>307</v>
      </c>
      <c r="C321">
        <v>0</v>
      </c>
      <c r="D321" s="13">
        <f t="shared" si="13"/>
        <v>0</v>
      </c>
      <c r="E321">
        <v>0</v>
      </c>
      <c r="F321">
        <f t="shared" si="14"/>
        <v>0</v>
      </c>
      <c r="G321">
        <v>0</v>
      </c>
      <c r="H321">
        <f t="shared" si="15"/>
        <v>0</v>
      </c>
      <c r="I321">
        <v>0</v>
      </c>
      <c r="K321">
        <v>0</v>
      </c>
      <c r="M321">
        <v>0</v>
      </c>
    </row>
    <row r="322" spans="2:13" x14ac:dyDescent="0.2">
      <c r="B322" s="2">
        <v>308</v>
      </c>
      <c r="C322">
        <v>0</v>
      </c>
      <c r="D322" s="13">
        <f t="shared" si="13"/>
        <v>0</v>
      </c>
      <c r="E322">
        <v>0</v>
      </c>
      <c r="F322">
        <f t="shared" si="14"/>
        <v>0</v>
      </c>
      <c r="G322">
        <v>0</v>
      </c>
      <c r="H322">
        <f t="shared" si="15"/>
        <v>0</v>
      </c>
      <c r="I322">
        <v>0</v>
      </c>
      <c r="K322">
        <v>0</v>
      </c>
      <c r="M322">
        <v>0</v>
      </c>
    </row>
    <row r="323" spans="2:13" x14ac:dyDescent="0.2">
      <c r="B323" s="2">
        <v>309</v>
      </c>
      <c r="C323">
        <v>0</v>
      </c>
      <c r="D323" s="13">
        <f t="shared" si="13"/>
        <v>0</v>
      </c>
      <c r="E323">
        <v>0</v>
      </c>
      <c r="F323">
        <f t="shared" si="14"/>
        <v>0</v>
      </c>
      <c r="G323">
        <v>0</v>
      </c>
      <c r="H323">
        <f t="shared" si="15"/>
        <v>0</v>
      </c>
      <c r="I323">
        <v>0</v>
      </c>
      <c r="K323">
        <v>0</v>
      </c>
      <c r="M323">
        <v>0</v>
      </c>
    </row>
    <row r="324" spans="2:13" x14ac:dyDescent="0.2">
      <c r="B324" s="2">
        <v>310</v>
      </c>
      <c r="C324">
        <v>73.225588055343295</v>
      </c>
      <c r="D324" s="13">
        <f t="shared" si="13"/>
        <v>0.23041405933084741</v>
      </c>
      <c r="E324">
        <v>0</v>
      </c>
      <c r="F324">
        <f t="shared" si="14"/>
        <v>0</v>
      </c>
      <c r="G324">
        <v>0</v>
      </c>
      <c r="H324">
        <f t="shared" si="15"/>
        <v>0</v>
      </c>
      <c r="I324">
        <v>0</v>
      </c>
      <c r="K324">
        <v>0</v>
      </c>
      <c r="M324">
        <v>0</v>
      </c>
    </row>
    <row r="325" spans="2:13" x14ac:dyDescent="0.2">
      <c r="B325" s="2">
        <v>311</v>
      </c>
      <c r="C325">
        <v>73.340834727110007</v>
      </c>
      <c r="D325" s="13">
        <f t="shared" si="13"/>
        <v>0.23077669832319075</v>
      </c>
      <c r="E325">
        <v>0</v>
      </c>
      <c r="F325">
        <f t="shared" si="14"/>
        <v>0</v>
      </c>
      <c r="G325">
        <v>0</v>
      </c>
      <c r="H325">
        <f t="shared" si="15"/>
        <v>0</v>
      </c>
      <c r="I325">
        <v>0</v>
      </c>
      <c r="K325">
        <v>0</v>
      </c>
      <c r="M325">
        <v>0</v>
      </c>
    </row>
    <row r="326" spans="2:13" x14ac:dyDescent="0.2">
      <c r="B326" s="2">
        <v>312</v>
      </c>
      <c r="C326">
        <v>68.134362076469898</v>
      </c>
      <c r="D326" s="13">
        <f t="shared" si="13"/>
        <v>0.21439383913300789</v>
      </c>
      <c r="E326">
        <v>0</v>
      </c>
      <c r="F326">
        <f t="shared" si="14"/>
        <v>0</v>
      </c>
      <c r="G326">
        <v>0</v>
      </c>
      <c r="H326">
        <f t="shared" si="15"/>
        <v>0</v>
      </c>
      <c r="I326">
        <v>0</v>
      </c>
      <c r="K326">
        <v>0</v>
      </c>
      <c r="M326">
        <v>0</v>
      </c>
    </row>
    <row r="327" spans="2:13" x14ac:dyDescent="0.2">
      <c r="B327" s="2">
        <v>313</v>
      </c>
      <c r="C327">
        <v>63.271566594411901</v>
      </c>
      <c r="D327" s="13">
        <f t="shared" si="13"/>
        <v>0.19909240589808658</v>
      </c>
      <c r="E327">
        <v>0</v>
      </c>
      <c r="F327">
        <f t="shared" si="14"/>
        <v>0</v>
      </c>
      <c r="G327">
        <v>0</v>
      </c>
      <c r="H327">
        <f t="shared" si="15"/>
        <v>0</v>
      </c>
      <c r="I327">
        <v>0</v>
      </c>
      <c r="K327">
        <v>0</v>
      </c>
      <c r="M327">
        <v>0</v>
      </c>
    </row>
    <row r="328" spans="2:13" x14ac:dyDescent="0.2">
      <c r="B328" s="2">
        <v>314</v>
      </c>
      <c r="C328">
        <v>58.578446308857103</v>
      </c>
      <c r="D328" s="13">
        <f t="shared" si="13"/>
        <v>0.18432487825316901</v>
      </c>
      <c r="E328">
        <v>0</v>
      </c>
      <c r="F328">
        <f t="shared" si="14"/>
        <v>0</v>
      </c>
      <c r="G328">
        <v>0</v>
      </c>
      <c r="H328">
        <f t="shared" si="15"/>
        <v>0</v>
      </c>
      <c r="I328">
        <v>0</v>
      </c>
      <c r="K328">
        <v>0</v>
      </c>
      <c r="M328">
        <v>0</v>
      </c>
    </row>
    <row r="329" spans="2:13" x14ac:dyDescent="0.2">
      <c r="B329" s="2">
        <v>315</v>
      </c>
      <c r="C329">
        <v>53.706748085207202</v>
      </c>
      <c r="D329" s="13">
        <f t="shared" si="13"/>
        <v>0.16899543135685088</v>
      </c>
      <c r="E329">
        <v>0</v>
      </c>
      <c r="F329">
        <f t="shared" si="14"/>
        <v>0</v>
      </c>
      <c r="G329">
        <v>0</v>
      </c>
      <c r="H329">
        <f t="shared" si="15"/>
        <v>0</v>
      </c>
      <c r="I329">
        <v>0</v>
      </c>
      <c r="K329">
        <v>0</v>
      </c>
      <c r="M329">
        <v>0</v>
      </c>
    </row>
    <row r="330" spans="2:13" x14ac:dyDescent="0.2">
      <c r="B330" s="2">
        <v>316</v>
      </c>
      <c r="C330">
        <v>48.482263380731602</v>
      </c>
      <c r="D330" s="13">
        <f t="shared" si="13"/>
        <v>0.15255589484182383</v>
      </c>
      <c r="E330">
        <v>0</v>
      </c>
      <c r="F330">
        <f t="shared" si="14"/>
        <v>0</v>
      </c>
      <c r="G330">
        <v>0</v>
      </c>
      <c r="H330">
        <f t="shared" si="15"/>
        <v>0</v>
      </c>
      <c r="I330">
        <v>0</v>
      </c>
      <c r="K330">
        <v>0</v>
      </c>
      <c r="M330">
        <v>0</v>
      </c>
    </row>
    <row r="331" spans="2:13" x14ac:dyDescent="0.2">
      <c r="B331" s="2">
        <v>317</v>
      </c>
      <c r="C331">
        <v>42.904912063504597</v>
      </c>
      <c r="D331" s="13">
        <f t="shared" si="13"/>
        <v>0.13500601656231781</v>
      </c>
      <c r="E331">
        <v>0</v>
      </c>
      <c r="F331">
        <f t="shared" si="14"/>
        <v>0</v>
      </c>
      <c r="G331">
        <v>0</v>
      </c>
      <c r="H331">
        <f t="shared" si="15"/>
        <v>0</v>
      </c>
      <c r="I331">
        <v>0</v>
      </c>
      <c r="K331">
        <v>0</v>
      </c>
      <c r="M331">
        <v>0</v>
      </c>
    </row>
    <row r="332" spans="2:13" x14ac:dyDescent="0.2">
      <c r="B332" s="2">
        <v>318</v>
      </c>
      <c r="C332">
        <v>0</v>
      </c>
      <c r="D332" s="13">
        <f t="shared" si="13"/>
        <v>0</v>
      </c>
      <c r="E332">
        <v>0</v>
      </c>
      <c r="F332">
        <f t="shared" si="14"/>
        <v>0</v>
      </c>
      <c r="G332">
        <v>0</v>
      </c>
      <c r="H332">
        <f t="shared" si="15"/>
        <v>0</v>
      </c>
      <c r="I332">
        <v>0</v>
      </c>
      <c r="K332">
        <v>0</v>
      </c>
      <c r="M332">
        <v>0</v>
      </c>
    </row>
    <row r="333" spans="2:13" x14ac:dyDescent="0.2">
      <c r="B333" s="2">
        <v>319</v>
      </c>
      <c r="C333">
        <v>0</v>
      </c>
      <c r="D333" s="13">
        <f t="shared" si="13"/>
        <v>0</v>
      </c>
      <c r="E333">
        <v>0</v>
      </c>
      <c r="F333">
        <f t="shared" si="14"/>
        <v>0</v>
      </c>
      <c r="G333">
        <v>0</v>
      </c>
      <c r="H333">
        <f t="shared" si="15"/>
        <v>0</v>
      </c>
      <c r="I333">
        <v>0</v>
      </c>
      <c r="K333">
        <v>0</v>
      </c>
      <c r="M333">
        <v>0</v>
      </c>
    </row>
    <row r="334" spans="2:13" x14ac:dyDescent="0.2">
      <c r="B334" s="2">
        <v>320</v>
      </c>
      <c r="C334">
        <v>0</v>
      </c>
      <c r="D334" s="13">
        <f t="shared" si="13"/>
        <v>0</v>
      </c>
      <c r="E334">
        <v>0</v>
      </c>
      <c r="F334">
        <f t="shared" si="14"/>
        <v>0</v>
      </c>
      <c r="G334">
        <v>0</v>
      </c>
      <c r="H334">
        <f t="shared" si="15"/>
        <v>0</v>
      </c>
      <c r="I334">
        <v>0</v>
      </c>
      <c r="K334">
        <v>0</v>
      </c>
      <c r="M334">
        <v>0</v>
      </c>
    </row>
    <row r="335" spans="2:13" x14ac:dyDescent="0.2">
      <c r="B335" s="2">
        <v>321</v>
      </c>
      <c r="C335">
        <v>0</v>
      </c>
      <c r="D335" s="13">
        <f t="shared" si="13"/>
        <v>0</v>
      </c>
      <c r="E335">
        <v>0</v>
      </c>
      <c r="F335">
        <f t="shared" si="14"/>
        <v>0</v>
      </c>
      <c r="G335">
        <v>0</v>
      </c>
      <c r="H335">
        <f t="shared" si="15"/>
        <v>0</v>
      </c>
      <c r="I335">
        <v>0</v>
      </c>
      <c r="K335">
        <v>0</v>
      </c>
      <c r="M335">
        <v>0</v>
      </c>
    </row>
    <row r="336" spans="2:13" x14ac:dyDescent="0.2">
      <c r="B336" s="2">
        <v>322</v>
      </c>
      <c r="C336">
        <v>0</v>
      </c>
      <c r="D336" s="13">
        <f t="shared" ref="D336:D399" si="16">C336/($D$8-$D$9)</f>
        <v>0</v>
      </c>
      <c r="E336">
        <v>0</v>
      </c>
      <c r="F336">
        <f t="shared" ref="F336:F399" si="17">E336/($F$8-$F$9)</f>
        <v>0</v>
      </c>
      <c r="G336">
        <v>0</v>
      </c>
      <c r="H336">
        <f t="shared" ref="H336:H399" si="18">G336/($H$8-$H$9)</f>
        <v>0</v>
      </c>
      <c r="I336">
        <v>0</v>
      </c>
      <c r="K336">
        <v>0</v>
      </c>
      <c r="M336">
        <v>0</v>
      </c>
    </row>
    <row r="337" spans="2:13" x14ac:dyDescent="0.2">
      <c r="B337" s="2">
        <v>323</v>
      </c>
      <c r="C337">
        <v>0</v>
      </c>
      <c r="D337" s="13">
        <f t="shared" si="16"/>
        <v>0</v>
      </c>
      <c r="E337">
        <v>0</v>
      </c>
      <c r="F337">
        <f t="shared" si="17"/>
        <v>0</v>
      </c>
      <c r="G337">
        <v>0</v>
      </c>
      <c r="H337">
        <f t="shared" si="18"/>
        <v>0</v>
      </c>
      <c r="I337">
        <v>0</v>
      </c>
      <c r="K337">
        <v>0</v>
      </c>
      <c r="M337">
        <v>0</v>
      </c>
    </row>
    <row r="338" spans="2:13" x14ac:dyDescent="0.2">
      <c r="B338" s="2">
        <v>324</v>
      </c>
      <c r="C338">
        <v>0</v>
      </c>
      <c r="D338" s="13">
        <f t="shared" si="16"/>
        <v>0</v>
      </c>
      <c r="E338">
        <v>0</v>
      </c>
      <c r="F338">
        <f t="shared" si="17"/>
        <v>0</v>
      </c>
      <c r="G338">
        <v>0</v>
      </c>
      <c r="H338">
        <f t="shared" si="18"/>
        <v>0</v>
      </c>
      <c r="I338">
        <v>0</v>
      </c>
      <c r="K338">
        <v>0</v>
      </c>
      <c r="M338">
        <v>0</v>
      </c>
    </row>
    <row r="339" spans="2:13" x14ac:dyDescent="0.2">
      <c r="B339" s="2">
        <v>325</v>
      </c>
      <c r="C339">
        <v>0</v>
      </c>
      <c r="D339" s="13">
        <f t="shared" si="16"/>
        <v>0</v>
      </c>
      <c r="E339">
        <v>0</v>
      </c>
      <c r="F339">
        <f t="shared" si="17"/>
        <v>0</v>
      </c>
      <c r="G339">
        <v>0</v>
      </c>
      <c r="H339">
        <f t="shared" si="18"/>
        <v>0</v>
      </c>
      <c r="I339">
        <v>0</v>
      </c>
      <c r="K339">
        <v>0</v>
      </c>
      <c r="M339">
        <v>0</v>
      </c>
    </row>
    <row r="340" spans="2:13" x14ac:dyDescent="0.2">
      <c r="B340" s="2">
        <v>326</v>
      </c>
      <c r="C340">
        <v>0</v>
      </c>
      <c r="D340" s="13">
        <f t="shared" si="16"/>
        <v>0</v>
      </c>
      <c r="E340">
        <v>0</v>
      </c>
      <c r="F340">
        <f t="shared" si="17"/>
        <v>0</v>
      </c>
      <c r="G340">
        <v>0</v>
      </c>
      <c r="H340">
        <f t="shared" si="18"/>
        <v>0</v>
      </c>
      <c r="I340">
        <v>0</v>
      </c>
      <c r="K340">
        <v>0</v>
      </c>
      <c r="M340">
        <v>0</v>
      </c>
    </row>
    <row r="341" spans="2:13" x14ac:dyDescent="0.2">
      <c r="B341" s="2">
        <v>327</v>
      </c>
      <c r="C341">
        <v>0</v>
      </c>
      <c r="D341" s="13">
        <f t="shared" si="16"/>
        <v>0</v>
      </c>
      <c r="E341">
        <v>0</v>
      </c>
      <c r="F341">
        <f t="shared" si="17"/>
        <v>0</v>
      </c>
      <c r="G341">
        <v>0</v>
      </c>
      <c r="H341">
        <f t="shared" si="18"/>
        <v>0</v>
      </c>
      <c r="I341">
        <v>0</v>
      </c>
      <c r="K341">
        <v>0</v>
      </c>
      <c r="M341">
        <v>0</v>
      </c>
    </row>
    <row r="342" spans="2:13" x14ac:dyDescent="0.2">
      <c r="B342" s="2">
        <v>328</v>
      </c>
      <c r="C342">
        <v>0</v>
      </c>
      <c r="D342" s="13">
        <f t="shared" si="16"/>
        <v>0</v>
      </c>
      <c r="E342">
        <v>0</v>
      </c>
      <c r="F342">
        <f t="shared" si="17"/>
        <v>0</v>
      </c>
      <c r="G342">
        <v>0</v>
      </c>
      <c r="H342">
        <f t="shared" si="18"/>
        <v>0</v>
      </c>
      <c r="I342">
        <v>0</v>
      </c>
      <c r="K342">
        <v>0</v>
      </c>
      <c r="M342">
        <v>0</v>
      </c>
    </row>
    <row r="343" spans="2:13" x14ac:dyDescent="0.2">
      <c r="B343" s="2">
        <v>329</v>
      </c>
      <c r="C343">
        <v>0</v>
      </c>
      <c r="D343" s="13">
        <f t="shared" si="16"/>
        <v>0</v>
      </c>
      <c r="E343">
        <v>0</v>
      </c>
      <c r="F343">
        <f t="shared" si="17"/>
        <v>0</v>
      </c>
      <c r="G343">
        <v>0</v>
      </c>
      <c r="H343">
        <f t="shared" si="18"/>
        <v>0</v>
      </c>
      <c r="I343">
        <v>0</v>
      </c>
      <c r="K343">
        <v>0</v>
      </c>
      <c r="M343">
        <v>0</v>
      </c>
    </row>
    <row r="344" spans="2:13" x14ac:dyDescent="0.2">
      <c r="B344" s="2">
        <v>330</v>
      </c>
      <c r="C344">
        <v>0</v>
      </c>
      <c r="D344" s="13">
        <f t="shared" si="16"/>
        <v>0</v>
      </c>
      <c r="E344">
        <v>14.296671400551601</v>
      </c>
      <c r="F344">
        <f t="shared" si="17"/>
        <v>4.4330764032718142E-2</v>
      </c>
      <c r="G344">
        <v>0</v>
      </c>
      <c r="H344">
        <f t="shared" si="18"/>
        <v>0</v>
      </c>
      <c r="I344">
        <v>0</v>
      </c>
      <c r="K344">
        <v>0</v>
      </c>
      <c r="M344">
        <v>0</v>
      </c>
    </row>
    <row r="345" spans="2:13" x14ac:dyDescent="0.2">
      <c r="B345" s="2">
        <v>331</v>
      </c>
      <c r="C345">
        <v>0</v>
      </c>
      <c r="D345" s="13">
        <f t="shared" si="16"/>
        <v>0</v>
      </c>
      <c r="E345">
        <v>34.0780964768256</v>
      </c>
      <c r="F345">
        <f t="shared" si="17"/>
        <v>0.10566851620721117</v>
      </c>
      <c r="G345">
        <v>0</v>
      </c>
      <c r="H345">
        <f t="shared" si="18"/>
        <v>0</v>
      </c>
      <c r="I345">
        <v>0</v>
      </c>
      <c r="K345">
        <v>0</v>
      </c>
      <c r="M345">
        <v>0</v>
      </c>
    </row>
    <row r="346" spans="2:13" x14ac:dyDescent="0.2">
      <c r="B346" s="2">
        <v>332</v>
      </c>
      <c r="C346">
        <v>0</v>
      </c>
      <c r="D346" s="13">
        <f t="shared" si="16"/>
        <v>0</v>
      </c>
      <c r="E346">
        <v>53.855122819582199</v>
      </c>
      <c r="F346">
        <f t="shared" si="17"/>
        <v>0.16699262889792929</v>
      </c>
      <c r="G346">
        <v>0</v>
      </c>
      <c r="H346">
        <f t="shared" si="18"/>
        <v>0</v>
      </c>
      <c r="I346">
        <v>0</v>
      </c>
      <c r="K346">
        <v>0</v>
      </c>
      <c r="M346">
        <v>0</v>
      </c>
    </row>
    <row r="347" spans="2:13" x14ac:dyDescent="0.2">
      <c r="B347" s="2">
        <v>333</v>
      </c>
      <c r="C347">
        <v>0</v>
      </c>
      <c r="D347" s="13">
        <f t="shared" si="16"/>
        <v>0</v>
      </c>
      <c r="E347">
        <v>73.696486751249694</v>
      </c>
      <c r="F347">
        <f t="shared" si="17"/>
        <v>0.22851623798837115</v>
      </c>
      <c r="G347">
        <v>0</v>
      </c>
      <c r="H347">
        <f t="shared" si="18"/>
        <v>0</v>
      </c>
      <c r="I347">
        <v>0</v>
      </c>
      <c r="K347">
        <v>0</v>
      </c>
      <c r="M347">
        <v>0</v>
      </c>
    </row>
    <row r="348" spans="2:13" x14ac:dyDescent="0.2">
      <c r="B348" s="2">
        <v>334</v>
      </c>
      <c r="C348">
        <v>0</v>
      </c>
      <c r="D348" s="13">
        <f t="shared" si="16"/>
        <v>0</v>
      </c>
      <c r="E348">
        <v>93.630870561129299</v>
      </c>
      <c r="F348">
        <f t="shared" si="17"/>
        <v>0.29032828080970324</v>
      </c>
      <c r="G348">
        <v>0</v>
      </c>
      <c r="H348">
        <f t="shared" si="18"/>
        <v>0</v>
      </c>
      <c r="I348">
        <v>0</v>
      </c>
      <c r="K348">
        <v>0</v>
      </c>
      <c r="M348">
        <v>0</v>
      </c>
    </row>
    <row r="349" spans="2:13" x14ac:dyDescent="0.2">
      <c r="B349" s="2">
        <v>335</v>
      </c>
      <c r="C349">
        <v>0</v>
      </c>
      <c r="D349" s="13">
        <f t="shared" si="16"/>
        <v>0</v>
      </c>
      <c r="E349">
        <v>113.66823312864599</v>
      </c>
      <c r="F349">
        <f t="shared" si="17"/>
        <v>0.35245963760820465</v>
      </c>
      <c r="G349">
        <v>0</v>
      </c>
      <c r="H349">
        <f t="shared" si="18"/>
        <v>0</v>
      </c>
      <c r="I349">
        <v>0</v>
      </c>
      <c r="K349">
        <v>0</v>
      </c>
      <c r="M349">
        <v>0</v>
      </c>
    </row>
    <row r="350" spans="2:13" x14ac:dyDescent="0.2">
      <c r="B350" s="2">
        <v>336</v>
      </c>
      <c r="C350">
        <v>0</v>
      </c>
      <c r="D350" s="13">
        <f t="shared" si="16"/>
        <v>0</v>
      </c>
      <c r="E350">
        <v>133.58490445986499</v>
      </c>
      <c r="F350">
        <f t="shared" si="17"/>
        <v>0.41421675801508523</v>
      </c>
      <c r="G350">
        <v>0</v>
      </c>
      <c r="H350">
        <f t="shared" si="18"/>
        <v>0</v>
      </c>
      <c r="I350">
        <v>0</v>
      </c>
      <c r="K350">
        <v>0</v>
      </c>
      <c r="M350">
        <v>0</v>
      </c>
    </row>
    <row r="351" spans="2:13" x14ac:dyDescent="0.2">
      <c r="B351" s="2">
        <v>337</v>
      </c>
      <c r="C351">
        <v>0</v>
      </c>
      <c r="D351" s="13">
        <f t="shared" si="16"/>
        <v>0</v>
      </c>
      <c r="E351">
        <v>153.486170758106</v>
      </c>
      <c r="F351">
        <f t="shared" si="17"/>
        <v>0.47592611087784809</v>
      </c>
      <c r="G351">
        <v>0</v>
      </c>
      <c r="H351">
        <f t="shared" si="18"/>
        <v>0</v>
      </c>
      <c r="I351">
        <v>0</v>
      </c>
      <c r="K351">
        <v>0</v>
      </c>
      <c r="M351">
        <v>0</v>
      </c>
    </row>
    <row r="352" spans="2:13" x14ac:dyDescent="0.2">
      <c r="B352" s="2">
        <v>338</v>
      </c>
      <c r="C352">
        <v>0</v>
      </c>
      <c r="D352" s="13">
        <f t="shared" si="16"/>
        <v>0</v>
      </c>
      <c r="E352">
        <v>173.37021047862299</v>
      </c>
      <c r="F352">
        <f t="shared" si="17"/>
        <v>0.53758204799573017</v>
      </c>
      <c r="G352">
        <v>0</v>
      </c>
      <c r="H352">
        <f t="shared" si="18"/>
        <v>0</v>
      </c>
      <c r="I352">
        <v>0</v>
      </c>
      <c r="K352">
        <v>0</v>
      </c>
      <c r="M352">
        <v>0</v>
      </c>
    </row>
    <row r="353" spans="2:13" x14ac:dyDescent="0.2">
      <c r="B353" s="2">
        <v>339</v>
      </c>
      <c r="C353">
        <v>0</v>
      </c>
      <c r="D353" s="13">
        <f t="shared" si="16"/>
        <v>0</v>
      </c>
      <c r="E353">
        <v>193.23520394468699</v>
      </c>
      <c r="F353">
        <f t="shared" si="17"/>
        <v>0.59917892696026975</v>
      </c>
      <c r="G353">
        <v>0</v>
      </c>
      <c r="H353">
        <f t="shared" si="18"/>
        <v>0</v>
      </c>
      <c r="I353">
        <v>0</v>
      </c>
      <c r="K353">
        <v>0</v>
      </c>
      <c r="M353">
        <v>0</v>
      </c>
    </row>
    <row r="354" spans="2:13" x14ac:dyDescent="0.2">
      <c r="B354" s="2">
        <v>340</v>
      </c>
      <c r="C354">
        <v>0</v>
      </c>
      <c r="D354" s="13">
        <f t="shared" si="16"/>
        <v>0</v>
      </c>
      <c r="E354">
        <v>213.07933351406601</v>
      </c>
      <c r="F354">
        <f t="shared" si="17"/>
        <v>0.66071111167152252</v>
      </c>
      <c r="G354">
        <v>0</v>
      </c>
      <c r="H354">
        <f t="shared" si="18"/>
        <v>0</v>
      </c>
      <c r="I354">
        <v>0</v>
      </c>
      <c r="K354">
        <v>0</v>
      </c>
      <c r="M354">
        <v>0</v>
      </c>
    </row>
    <row r="355" spans="2:13" x14ac:dyDescent="0.2">
      <c r="B355" s="2">
        <v>341</v>
      </c>
      <c r="C355">
        <v>0</v>
      </c>
      <c r="D355" s="13">
        <f t="shared" si="16"/>
        <v>0</v>
      </c>
      <c r="E355">
        <v>232.90078374528599</v>
      </c>
      <c r="F355">
        <f t="shared" si="17"/>
        <v>0.72217297285359994</v>
      </c>
      <c r="G355">
        <v>0</v>
      </c>
      <c r="H355">
        <f t="shared" si="18"/>
        <v>0</v>
      </c>
      <c r="I355">
        <v>0</v>
      </c>
      <c r="K355">
        <v>0</v>
      </c>
      <c r="M355">
        <v>0</v>
      </c>
    </row>
    <row r="356" spans="2:13" x14ac:dyDescent="0.2">
      <c r="B356" s="2">
        <v>342</v>
      </c>
      <c r="C356">
        <v>0</v>
      </c>
      <c r="D356" s="13">
        <f t="shared" si="16"/>
        <v>0</v>
      </c>
      <c r="E356">
        <v>252.69774156368001</v>
      </c>
      <c r="F356">
        <f t="shared" si="17"/>
        <v>0.78355888856955047</v>
      </c>
      <c r="G356">
        <v>0</v>
      </c>
      <c r="H356">
        <f t="shared" si="18"/>
        <v>0</v>
      </c>
      <c r="I356">
        <v>0</v>
      </c>
      <c r="K356">
        <v>0</v>
      </c>
      <c r="M356">
        <v>0</v>
      </c>
    </row>
    <row r="357" spans="2:13" x14ac:dyDescent="0.2">
      <c r="B357" s="2">
        <v>343</v>
      </c>
      <c r="C357">
        <v>0</v>
      </c>
      <c r="D357" s="13">
        <f t="shared" si="16"/>
        <v>0</v>
      </c>
      <c r="E357">
        <v>272.666562112951</v>
      </c>
      <c r="F357">
        <f t="shared" si="17"/>
        <v>0.84547771197814259</v>
      </c>
      <c r="G357">
        <v>0</v>
      </c>
      <c r="H357">
        <f t="shared" si="18"/>
        <v>0</v>
      </c>
      <c r="I357">
        <v>0</v>
      </c>
      <c r="K357">
        <v>0</v>
      </c>
      <c r="M357">
        <v>0</v>
      </c>
    </row>
    <row r="358" spans="2:13" x14ac:dyDescent="0.2">
      <c r="B358" s="2">
        <v>344</v>
      </c>
      <c r="C358">
        <v>0</v>
      </c>
      <c r="D358" s="13">
        <f t="shared" si="16"/>
        <v>0</v>
      </c>
      <c r="E358">
        <v>292.716296616195</v>
      </c>
      <c r="F358">
        <f t="shared" si="17"/>
        <v>0.90764743136804649</v>
      </c>
      <c r="G358">
        <v>0</v>
      </c>
      <c r="H358">
        <f t="shared" si="18"/>
        <v>0</v>
      </c>
      <c r="I358">
        <v>0</v>
      </c>
      <c r="K358">
        <v>0</v>
      </c>
      <c r="M358">
        <v>0</v>
      </c>
    </row>
    <row r="359" spans="2:13" x14ac:dyDescent="0.2">
      <c r="B359" s="2">
        <v>345</v>
      </c>
      <c r="C359">
        <v>0</v>
      </c>
      <c r="D359" s="13">
        <f t="shared" si="16"/>
        <v>0</v>
      </c>
      <c r="E359">
        <v>312.799479405282</v>
      </c>
      <c r="F359">
        <f t="shared" si="17"/>
        <v>0.96992086637296748</v>
      </c>
      <c r="G359">
        <v>0</v>
      </c>
      <c r="H359">
        <f t="shared" si="18"/>
        <v>0</v>
      </c>
      <c r="I359">
        <v>0</v>
      </c>
      <c r="K359">
        <v>0</v>
      </c>
      <c r="M359">
        <v>0</v>
      </c>
    </row>
    <row r="360" spans="2:13" x14ac:dyDescent="0.2">
      <c r="B360" s="2">
        <v>346</v>
      </c>
      <c r="C360">
        <v>0</v>
      </c>
      <c r="D360" s="13">
        <f t="shared" si="16"/>
        <v>0</v>
      </c>
      <c r="E360">
        <v>332.68001628410502</v>
      </c>
      <c r="F360">
        <f t="shared" si="17"/>
        <v>1.0315659419662171</v>
      </c>
      <c r="G360">
        <v>0</v>
      </c>
      <c r="H360">
        <f t="shared" si="18"/>
        <v>0</v>
      </c>
      <c r="I360">
        <v>0</v>
      </c>
      <c r="K360">
        <v>0</v>
      </c>
      <c r="M360">
        <v>0</v>
      </c>
    </row>
    <row r="361" spans="2:13" x14ac:dyDescent="0.2">
      <c r="B361" s="2">
        <v>347</v>
      </c>
      <c r="C361">
        <v>0</v>
      </c>
      <c r="D361" s="13">
        <f t="shared" si="16"/>
        <v>0</v>
      </c>
      <c r="E361">
        <v>352.44900402680099</v>
      </c>
      <c r="F361">
        <f t="shared" si="17"/>
        <v>1.0928651287652744</v>
      </c>
      <c r="G361">
        <v>0</v>
      </c>
      <c r="H361">
        <f t="shared" si="18"/>
        <v>0</v>
      </c>
      <c r="I361">
        <v>0</v>
      </c>
      <c r="K361">
        <v>0</v>
      </c>
      <c r="M361">
        <v>0</v>
      </c>
    </row>
    <row r="362" spans="2:13" x14ac:dyDescent="0.2">
      <c r="B362" s="2">
        <v>348</v>
      </c>
      <c r="C362">
        <v>0</v>
      </c>
      <c r="D362" s="13">
        <f t="shared" si="16"/>
        <v>0</v>
      </c>
      <c r="E362">
        <v>372.083640378626</v>
      </c>
      <c r="F362">
        <f t="shared" si="17"/>
        <v>1.1537477221042667</v>
      </c>
      <c r="G362">
        <v>0</v>
      </c>
      <c r="H362">
        <f t="shared" si="18"/>
        <v>0</v>
      </c>
      <c r="I362">
        <v>0</v>
      </c>
      <c r="K362">
        <v>0</v>
      </c>
      <c r="M362">
        <v>0</v>
      </c>
    </row>
    <row r="363" spans="2:13" x14ac:dyDescent="0.2">
      <c r="B363" s="2">
        <v>349</v>
      </c>
      <c r="C363">
        <v>0</v>
      </c>
      <c r="D363" s="13">
        <f t="shared" si="16"/>
        <v>0</v>
      </c>
      <c r="E363">
        <v>391.56114199644099</v>
      </c>
      <c r="F363">
        <f t="shared" si="17"/>
        <v>1.2141430759579566</v>
      </c>
      <c r="G363">
        <v>0</v>
      </c>
      <c r="H363">
        <f t="shared" si="18"/>
        <v>0</v>
      </c>
      <c r="I363">
        <v>0</v>
      </c>
      <c r="K363">
        <v>0</v>
      </c>
      <c r="M363">
        <v>0</v>
      </c>
    </row>
    <row r="364" spans="2:13" x14ac:dyDescent="0.2">
      <c r="B364" s="2">
        <v>350</v>
      </c>
      <c r="C364">
        <v>0</v>
      </c>
      <c r="D364" s="13">
        <f t="shared" si="16"/>
        <v>0</v>
      </c>
      <c r="E364">
        <v>410.85874652392101</v>
      </c>
      <c r="F364">
        <f t="shared" si="17"/>
        <v>1.2739806093764994</v>
      </c>
      <c r="G364">
        <v>0</v>
      </c>
      <c r="H364">
        <f t="shared" si="18"/>
        <v>0</v>
      </c>
      <c r="I364">
        <v>0</v>
      </c>
      <c r="K364">
        <v>0</v>
      </c>
      <c r="M364">
        <v>0</v>
      </c>
    </row>
    <row r="365" spans="2:13" x14ac:dyDescent="0.2">
      <c r="B365" s="2">
        <v>351</v>
      </c>
      <c r="C365">
        <v>0</v>
      </c>
      <c r="D365" s="13">
        <f t="shared" si="16"/>
        <v>0</v>
      </c>
      <c r="E365">
        <v>429.988853853889</v>
      </c>
      <c r="F365">
        <f t="shared" si="17"/>
        <v>1.3332987716399658</v>
      </c>
      <c r="G365">
        <v>0</v>
      </c>
      <c r="H365">
        <f t="shared" si="18"/>
        <v>0</v>
      </c>
      <c r="I365">
        <v>0</v>
      </c>
      <c r="K365">
        <v>0</v>
      </c>
      <c r="M365">
        <v>0</v>
      </c>
    </row>
    <row r="366" spans="2:13" x14ac:dyDescent="0.2">
      <c r="B366" s="2">
        <v>352</v>
      </c>
      <c r="C366">
        <v>0</v>
      </c>
      <c r="D366" s="13">
        <f t="shared" si="16"/>
        <v>0</v>
      </c>
      <c r="E366">
        <v>449.15364598671999</v>
      </c>
      <c r="F366">
        <f t="shared" si="17"/>
        <v>1.3927244836797519</v>
      </c>
      <c r="G366">
        <v>0</v>
      </c>
      <c r="H366">
        <f t="shared" si="18"/>
        <v>0</v>
      </c>
      <c r="I366">
        <v>0</v>
      </c>
      <c r="K366">
        <v>0</v>
      </c>
      <c r="M366">
        <v>0</v>
      </c>
    </row>
    <row r="367" spans="2:13" x14ac:dyDescent="0.2">
      <c r="B367" s="2">
        <v>353</v>
      </c>
      <c r="C367">
        <v>0</v>
      </c>
      <c r="D367" s="13">
        <f t="shared" si="16"/>
        <v>0</v>
      </c>
      <c r="E367">
        <v>468.17657268502802</v>
      </c>
      <c r="F367">
        <f t="shared" si="17"/>
        <v>1.4517103028993117</v>
      </c>
      <c r="G367">
        <v>0</v>
      </c>
      <c r="H367">
        <f t="shared" si="18"/>
        <v>0</v>
      </c>
      <c r="I367">
        <v>0</v>
      </c>
      <c r="K367">
        <v>0</v>
      </c>
      <c r="M367">
        <v>0</v>
      </c>
    </row>
    <row r="368" spans="2:13" x14ac:dyDescent="0.2">
      <c r="B368" s="2">
        <v>354</v>
      </c>
      <c r="C368">
        <v>0</v>
      </c>
      <c r="D368" s="13">
        <f t="shared" si="16"/>
        <v>0</v>
      </c>
      <c r="E368">
        <v>487.02949121085999</v>
      </c>
      <c r="F368">
        <f t="shared" si="17"/>
        <v>1.5101689649949146</v>
      </c>
      <c r="G368">
        <v>0</v>
      </c>
      <c r="H368">
        <f t="shared" si="18"/>
        <v>0</v>
      </c>
      <c r="I368">
        <v>0</v>
      </c>
      <c r="K368">
        <v>0</v>
      </c>
      <c r="M368">
        <v>0</v>
      </c>
    </row>
    <row r="369" spans="2:13" x14ac:dyDescent="0.2">
      <c r="B369" s="2">
        <v>355</v>
      </c>
      <c r="C369">
        <v>0</v>
      </c>
      <c r="D369" s="13">
        <f t="shared" si="16"/>
        <v>0</v>
      </c>
      <c r="E369">
        <v>505.73696718891102</v>
      </c>
      <c r="F369">
        <f t="shared" si="17"/>
        <v>1.5681766424462358</v>
      </c>
      <c r="G369">
        <v>0</v>
      </c>
      <c r="H369">
        <f t="shared" si="18"/>
        <v>0</v>
      </c>
      <c r="I369">
        <v>0</v>
      </c>
      <c r="K369">
        <v>0</v>
      </c>
      <c r="M369">
        <v>0</v>
      </c>
    </row>
    <row r="370" spans="2:13" x14ac:dyDescent="0.2">
      <c r="B370" s="2">
        <v>356</v>
      </c>
      <c r="C370">
        <v>0</v>
      </c>
      <c r="D370" s="13">
        <f t="shared" si="16"/>
        <v>0</v>
      </c>
      <c r="E370">
        <v>524.29866336064799</v>
      </c>
      <c r="F370">
        <f t="shared" si="17"/>
        <v>1.6257322894903814</v>
      </c>
      <c r="G370">
        <v>0</v>
      </c>
      <c r="H370">
        <f t="shared" si="18"/>
        <v>0</v>
      </c>
      <c r="I370">
        <v>0</v>
      </c>
      <c r="K370">
        <v>0</v>
      </c>
      <c r="M370">
        <v>0</v>
      </c>
    </row>
    <row r="371" spans="2:13" x14ac:dyDescent="0.2">
      <c r="B371" s="2">
        <v>357</v>
      </c>
      <c r="C371">
        <v>0</v>
      </c>
      <c r="D371" s="13">
        <f t="shared" si="16"/>
        <v>0</v>
      </c>
      <c r="E371">
        <v>542.70878074853499</v>
      </c>
      <c r="F371">
        <f t="shared" si="17"/>
        <v>1.6828179248016588</v>
      </c>
      <c r="G371">
        <v>0</v>
      </c>
      <c r="H371">
        <f t="shared" si="18"/>
        <v>0</v>
      </c>
      <c r="I371">
        <v>0</v>
      </c>
      <c r="K371">
        <v>0</v>
      </c>
      <c r="M371">
        <v>0</v>
      </c>
    </row>
    <row r="372" spans="2:13" x14ac:dyDescent="0.2">
      <c r="B372" s="2">
        <v>358</v>
      </c>
      <c r="C372">
        <v>0</v>
      </c>
      <c r="D372" s="13">
        <f t="shared" si="16"/>
        <v>0</v>
      </c>
      <c r="E372">
        <v>560.99058924032897</v>
      </c>
      <c r="F372">
        <f t="shared" si="17"/>
        <v>1.7395057030707874</v>
      </c>
      <c r="G372">
        <v>0</v>
      </c>
      <c r="H372">
        <f t="shared" si="18"/>
        <v>0</v>
      </c>
      <c r="I372">
        <v>0</v>
      </c>
      <c r="K372">
        <v>0</v>
      </c>
      <c r="M372">
        <v>0</v>
      </c>
    </row>
    <row r="373" spans="2:13" x14ac:dyDescent="0.2">
      <c r="B373" s="2">
        <v>359</v>
      </c>
      <c r="C373">
        <v>0</v>
      </c>
      <c r="D373" s="13">
        <f t="shared" si="16"/>
        <v>0</v>
      </c>
      <c r="E373">
        <v>579.273649707343</v>
      </c>
      <c r="F373">
        <f t="shared" si="17"/>
        <v>1.7961973634336217</v>
      </c>
      <c r="G373">
        <v>0</v>
      </c>
      <c r="H373">
        <f t="shared" si="18"/>
        <v>0</v>
      </c>
      <c r="I373">
        <v>0</v>
      </c>
      <c r="K373">
        <v>0</v>
      </c>
      <c r="M373">
        <v>0</v>
      </c>
    </row>
    <row r="374" spans="2:13" x14ac:dyDescent="0.2">
      <c r="B374" s="2">
        <v>360</v>
      </c>
      <c r="C374">
        <v>0</v>
      </c>
      <c r="D374" s="13">
        <f t="shared" si="16"/>
        <v>0</v>
      </c>
      <c r="E374">
        <v>597.42008179259994</v>
      </c>
      <c r="F374">
        <f t="shared" si="17"/>
        <v>1.8524653698995348</v>
      </c>
      <c r="G374">
        <v>0</v>
      </c>
      <c r="H374">
        <f t="shared" si="18"/>
        <v>0</v>
      </c>
      <c r="I374">
        <v>0</v>
      </c>
      <c r="K374">
        <v>0</v>
      </c>
      <c r="M374">
        <v>0</v>
      </c>
    </row>
    <row r="375" spans="2:13" x14ac:dyDescent="0.2">
      <c r="B375" s="2">
        <v>361</v>
      </c>
      <c r="C375">
        <v>0</v>
      </c>
      <c r="D375" s="13">
        <f t="shared" si="16"/>
        <v>0</v>
      </c>
      <c r="E375">
        <v>615.57089768885703</v>
      </c>
      <c r="F375">
        <f t="shared" si="17"/>
        <v>1.9087469695778512</v>
      </c>
      <c r="G375">
        <v>0</v>
      </c>
      <c r="H375">
        <f t="shared" si="18"/>
        <v>0</v>
      </c>
      <c r="I375">
        <v>0</v>
      </c>
      <c r="K375">
        <v>0</v>
      </c>
      <c r="M375">
        <v>0</v>
      </c>
    </row>
    <row r="376" spans="2:13" x14ac:dyDescent="0.2">
      <c r="B376" s="2">
        <v>362</v>
      </c>
      <c r="C376">
        <v>0</v>
      </c>
      <c r="D376" s="13">
        <f t="shared" si="16"/>
        <v>0</v>
      </c>
      <c r="E376">
        <v>633.663736185875</v>
      </c>
      <c r="F376">
        <f t="shared" si="17"/>
        <v>1.9648487943748061</v>
      </c>
      <c r="G376">
        <v>0</v>
      </c>
      <c r="H376">
        <f t="shared" si="18"/>
        <v>0</v>
      </c>
      <c r="I376">
        <v>0</v>
      </c>
      <c r="K376">
        <v>0</v>
      </c>
      <c r="M376">
        <v>0</v>
      </c>
    </row>
    <row r="377" spans="2:13" x14ac:dyDescent="0.2">
      <c r="B377" s="2">
        <v>363</v>
      </c>
      <c r="C377">
        <v>0</v>
      </c>
      <c r="D377" s="13">
        <f t="shared" si="16"/>
        <v>0</v>
      </c>
      <c r="E377">
        <v>651.69562596831804</v>
      </c>
      <c r="F377">
        <f t="shared" si="17"/>
        <v>2.0207616309095133</v>
      </c>
      <c r="G377">
        <v>0</v>
      </c>
      <c r="H377">
        <f t="shared" si="18"/>
        <v>0</v>
      </c>
      <c r="I377">
        <v>0</v>
      </c>
      <c r="K377">
        <v>0</v>
      </c>
      <c r="M377">
        <v>0</v>
      </c>
    </row>
    <row r="378" spans="2:13" x14ac:dyDescent="0.2">
      <c r="B378" s="2">
        <v>364</v>
      </c>
      <c r="C378">
        <v>0</v>
      </c>
      <c r="D378" s="13">
        <f t="shared" si="16"/>
        <v>0</v>
      </c>
      <c r="E378">
        <v>669.66492405340705</v>
      </c>
      <c r="F378">
        <f t="shared" si="17"/>
        <v>2.0764803846617275</v>
      </c>
      <c r="G378">
        <v>0</v>
      </c>
      <c r="H378">
        <f t="shared" si="18"/>
        <v>0</v>
      </c>
      <c r="I378">
        <v>0</v>
      </c>
      <c r="K378">
        <v>0</v>
      </c>
      <c r="M378">
        <v>0</v>
      </c>
    </row>
    <row r="379" spans="2:13" x14ac:dyDescent="0.2">
      <c r="B379" s="2">
        <v>365</v>
      </c>
      <c r="C379">
        <v>0</v>
      </c>
      <c r="D379" s="13">
        <f t="shared" si="16"/>
        <v>0</v>
      </c>
      <c r="E379">
        <v>687.56999345583699</v>
      </c>
      <c r="F379">
        <f t="shared" si="17"/>
        <v>2.1319999797080218</v>
      </c>
      <c r="G379">
        <v>0</v>
      </c>
      <c r="H379">
        <f t="shared" si="18"/>
        <v>0</v>
      </c>
      <c r="I379">
        <v>0</v>
      </c>
      <c r="K379">
        <v>0</v>
      </c>
      <c r="M379">
        <v>0</v>
      </c>
    </row>
    <row r="380" spans="2:13" x14ac:dyDescent="0.2">
      <c r="B380" s="2">
        <v>366</v>
      </c>
      <c r="C380">
        <v>0</v>
      </c>
      <c r="D380" s="13">
        <f t="shared" si="16"/>
        <v>0</v>
      </c>
      <c r="E380">
        <v>705.40920333685006</v>
      </c>
      <c r="F380">
        <f t="shared" si="17"/>
        <v>2.1873153591840313</v>
      </c>
      <c r="G380">
        <v>0</v>
      </c>
      <c r="H380">
        <f t="shared" si="18"/>
        <v>0</v>
      </c>
      <c r="I380">
        <v>0</v>
      </c>
      <c r="K380">
        <v>0</v>
      </c>
      <c r="M380">
        <v>0</v>
      </c>
    </row>
    <row r="381" spans="2:13" x14ac:dyDescent="0.2">
      <c r="B381" s="2">
        <v>367</v>
      </c>
      <c r="C381">
        <v>0</v>
      </c>
      <c r="D381" s="13">
        <f t="shared" si="16"/>
        <v>0</v>
      </c>
      <c r="E381">
        <v>723.38383989507395</v>
      </c>
      <c r="F381">
        <f t="shared" si="17"/>
        <v>2.2430506663413148</v>
      </c>
      <c r="G381">
        <v>0</v>
      </c>
      <c r="H381">
        <f t="shared" si="18"/>
        <v>0</v>
      </c>
      <c r="I381">
        <v>0</v>
      </c>
      <c r="K381">
        <v>0</v>
      </c>
      <c r="M381">
        <v>0</v>
      </c>
    </row>
    <row r="382" spans="2:13" x14ac:dyDescent="0.2">
      <c r="B382" s="2">
        <v>368</v>
      </c>
      <c r="C382">
        <v>0</v>
      </c>
      <c r="D382" s="13">
        <f t="shared" si="16"/>
        <v>0</v>
      </c>
      <c r="E382">
        <v>741.40177270883805</v>
      </c>
      <c r="F382">
        <f t="shared" si="17"/>
        <v>2.2989202254537613</v>
      </c>
      <c r="G382">
        <v>0</v>
      </c>
      <c r="H382">
        <f t="shared" si="18"/>
        <v>0</v>
      </c>
      <c r="I382">
        <v>0</v>
      </c>
      <c r="K382">
        <v>0</v>
      </c>
      <c r="M382">
        <v>0</v>
      </c>
    </row>
    <row r="383" spans="2:13" x14ac:dyDescent="0.2">
      <c r="B383" s="2">
        <v>369</v>
      </c>
      <c r="C383">
        <v>0</v>
      </c>
      <c r="D383" s="13">
        <f t="shared" si="16"/>
        <v>0</v>
      </c>
      <c r="E383">
        <v>759.43516366346296</v>
      </c>
      <c r="F383">
        <f t="shared" si="17"/>
        <v>2.3548377167859318</v>
      </c>
      <c r="G383">
        <v>0</v>
      </c>
      <c r="H383">
        <f t="shared" si="18"/>
        <v>0</v>
      </c>
      <c r="I383">
        <v>0</v>
      </c>
      <c r="K383">
        <v>0</v>
      </c>
      <c r="M383">
        <v>0</v>
      </c>
    </row>
    <row r="384" spans="2:13" x14ac:dyDescent="0.2">
      <c r="B384" s="2">
        <v>370</v>
      </c>
      <c r="C384">
        <v>0</v>
      </c>
      <c r="D384" s="13">
        <f t="shared" si="16"/>
        <v>0</v>
      </c>
      <c r="E384">
        <v>777.256409127393</v>
      </c>
      <c r="F384">
        <f t="shared" si="17"/>
        <v>2.4100973926430789</v>
      </c>
      <c r="G384">
        <v>0</v>
      </c>
      <c r="H384">
        <f t="shared" si="18"/>
        <v>0</v>
      </c>
      <c r="I384">
        <v>0</v>
      </c>
      <c r="K384">
        <v>0</v>
      </c>
      <c r="M384">
        <v>0</v>
      </c>
    </row>
    <row r="385" spans="2:13" x14ac:dyDescent="0.2">
      <c r="B385" s="2">
        <v>371</v>
      </c>
      <c r="C385">
        <v>0</v>
      </c>
      <c r="D385" s="13">
        <f t="shared" si="16"/>
        <v>0</v>
      </c>
      <c r="E385">
        <v>794.95242107093998</v>
      </c>
      <c r="F385">
        <f t="shared" si="17"/>
        <v>2.4649687475067905</v>
      </c>
      <c r="G385">
        <v>0</v>
      </c>
      <c r="H385">
        <f t="shared" si="18"/>
        <v>0</v>
      </c>
      <c r="I385">
        <v>0</v>
      </c>
      <c r="K385">
        <v>0</v>
      </c>
      <c r="M385">
        <v>0</v>
      </c>
    </row>
    <row r="386" spans="2:13" x14ac:dyDescent="0.2">
      <c r="B386" s="2">
        <v>372</v>
      </c>
      <c r="C386">
        <v>0</v>
      </c>
      <c r="D386" s="13">
        <f t="shared" si="16"/>
        <v>0</v>
      </c>
      <c r="E386">
        <v>812.50351965157199</v>
      </c>
      <c r="F386">
        <f t="shared" si="17"/>
        <v>2.5193907586095254</v>
      </c>
      <c r="G386">
        <v>0</v>
      </c>
      <c r="H386">
        <f t="shared" si="18"/>
        <v>0</v>
      </c>
      <c r="I386">
        <v>0</v>
      </c>
      <c r="K386">
        <v>0</v>
      </c>
      <c r="M386">
        <v>0</v>
      </c>
    </row>
    <row r="387" spans="2:13" x14ac:dyDescent="0.2">
      <c r="B387" s="2">
        <v>373</v>
      </c>
      <c r="C387">
        <v>0</v>
      </c>
      <c r="D387" s="13">
        <f t="shared" si="16"/>
        <v>0</v>
      </c>
      <c r="E387">
        <v>829.89004435800098</v>
      </c>
      <c r="F387">
        <f t="shared" si="17"/>
        <v>2.5733024631255845</v>
      </c>
      <c r="G387">
        <v>0</v>
      </c>
      <c r="H387">
        <f t="shared" si="18"/>
        <v>0</v>
      </c>
      <c r="I387">
        <v>0</v>
      </c>
      <c r="K387">
        <v>0</v>
      </c>
      <c r="M387">
        <v>0</v>
      </c>
    </row>
    <row r="388" spans="2:13" x14ac:dyDescent="0.2">
      <c r="B388" s="2">
        <v>374</v>
      </c>
      <c r="C388">
        <v>0</v>
      </c>
      <c r="D388" s="13">
        <f t="shared" si="16"/>
        <v>0</v>
      </c>
      <c r="E388">
        <v>847.09235579926099</v>
      </c>
      <c r="F388">
        <f t="shared" si="17"/>
        <v>2.6266429637186386</v>
      </c>
      <c r="G388">
        <v>0</v>
      </c>
      <c r="H388">
        <f t="shared" si="18"/>
        <v>0</v>
      </c>
      <c r="I388">
        <v>0</v>
      </c>
      <c r="K388">
        <v>0</v>
      </c>
      <c r="M388">
        <v>0</v>
      </c>
    </row>
    <row r="389" spans="2:13" x14ac:dyDescent="0.2">
      <c r="B389" s="2">
        <v>375</v>
      </c>
      <c r="C389">
        <v>0</v>
      </c>
      <c r="D389" s="13">
        <f t="shared" si="16"/>
        <v>0</v>
      </c>
      <c r="E389">
        <v>864.09083749160504</v>
      </c>
      <c r="F389">
        <f t="shared" si="17"/>
        <v>2.6793514340824962</v>
      </c>
      <c r="G389">
        <v>0</v>
      </c>
      <c r="H389">
        <f t="shared" si="18"/>
        <v>0</v>
      </c>
      <c r="I389">
        <v>0</v>
      </c>
      <c r="K389">
        <v>0</v>
      </c>
      <c r="M389">
        <v>0</v>
      </c>
    </row>
    <row r="390" spans="2:13" x14ac:dyDescent="0.2">
      <c r="B390" s="2">
        <v>376</v>
      </c>
      <c r="C390">
        <v>0</v>
      </c>
      <c r="D390" s="13">
        <f t="shared" si="16"/>
        <v>0</v>
      </c>
      <c r="E390">
        <v>881.07100566207896</v>
      </c>
      <c r="F390">
        <f t="shared" si="17"/>
        <v>2.7320031183320279</v>
      </c>
      <c r="G390">
        <v>0</v>
      </c>
      <c r="H390">
        <f t="shared" si="18"/>
        <v>0</v>
      </c>
      <c r="I390">
        <v>0</v>
      </c>
      <c r="K390">
        <v>0</v>
      </c>
      <c r="M390">
        <v>0</v>
      </c>
    </row>
    <row r="391" spans="2:13" x14ac:dyDescent="0.2">
      <c r="B391" s="2">
        <v>377</v>
      </c>
      <c r="C391">
        <v>0</v>
      </c>
      <c r="D391" s="13">
        <f t="shared" si="16"/>
        <v>0</v>
      </c>
      <c r="E391">
        <v>897.95678680427102</v>
      </c>
      <c r="F391">
        <f t="shared" si="17"/>
        <v>2.7843621296256464</v>
      </c>
      <c r="G391">
        <v>0</v>
      </c>
      <c r="H391">
        <f t="shared" si="18"/>
        <v>0</v>
      </c>
      <c r="I391">
        <v>0</v>
      </c>
      <c r="K391">
        <v>0</v>
      </c>
      <c r="M391">
        <v>0</v>
      </c>
    </row>
    <row r="392" spans="2:13" x14ac:dyDescent="0.2">
      <c r="B392" s="2">
        <v>378</v>
      </c>
      <c r="C392">
        <v>0</v>
      </c>
      <c r="D392" s="13">
        <f t="shared" si="16"/>
        <v>0</v>
      </c>
      <c r="E392">
        <v>914.72819054460797</v>
      </c>
      <c r="F392">
        <f t="shared" si="17"/>
        <v>2.8363664823088621</v>
      </c>
      <c r="G392">
        <v>0</v>
      </c>
      <c r="H392">
        <f t="shared" si="18"/>
        <v>0</v>
      </c>
      <c r="I392">
        <v>0</v>
      </c>
      <c r="K392">
        <v>0</v>
      </c>
      <c r="M392">
        <v>0</v>
      </c>
    </row>
    <row r="393" spans="2:13" x14ac:dyDescent="0.2">
      <c r="B393" s="2">
        <v>379</v>
      </c>
      <c r="C393">
        <v>0</v>
      </c>
      <c r="D393" s="13">
        <f t="shared" si="16"/>
        <v>0</v>
      </c>
      <c r="E393">
        <v>931.32882221771104</v>
      </c>
      <c r="F393">
        <f t="shared" si="17"/>
        <v>2.8878413092022046</v>
      </c>
      <c r="G393">
        <v>0</v>
      </c>
      <c r="H393">
        <f t="shared" si="18"/>
        <v>0</v>
      </c>
      <c r="I393">
        <v>0</v>
      </c>
      <c r="K393">
        <v>0</v>
      </c>
      <c r="M393">
        <v>0</v>
      </c>
    </row>
    <row r="394" spans="2:13" x14ac:dyDescent="0.2">
      <c r="B394" s="2">
        <v>380</v>
      </c>
      <c r="C394">
        <v>0</v>
      </c>
      <c r="D394" s="13">
        <f t="shared" si="16"/>
        <v>0</v>
      </c>
      <c r="E394">
        <v>947.74496384741894</v>
      </c>
      <c r="F394">
        <f t="shared" si="17"/>
        <v>2.9387440739454851</v>
      </c>
      <c r="G394">
        <v>0</v>
      </c>
      <c r="H394">
        <f t="shared" si="18"/>
        <v>0</v>
      </c>
      <c r="I394">
        <v>0</v>
      </c>
      <c r="K394">
        <v>0</v>
      </c>
      <c r="M394">
        <v>0</v>
      </c>
    </row>
    <row r="395" spans="2:13" x14ac:dyDescent="0.2">
      <c r="B395" s="2">
        <v>381</v>
      </c>
      <c r="C395">
        <v>0</v>
      </c>
      <c r="D395" s="13">
        <f t="shared" si="16"/>
        <v>0</v>
      </c>
      <c r="E395">
        <v>963.94389380310304</v>
      </c>
      <c r="F395">
        <f t="shared" si="17"/>
        <v>2.9889733141181489</v>
      </c>
      <c r="G395">
        <v>0</v>
      </c>
      <c r="H395">
        <f t="shared" si="18"/>
        <v>0</v>
      </c>
      <c r="I395">
        <v>0</v>
      </c>
      <c r="K395">
        <v>0</v>
      </c>
      <c r="M395">
        <v>0</v>
      </c>
    </row>
    <row r="396" spans="2:13" x14ac:dyDescent="0.2">
      <c r="B396" s="2">
        <v>382</v>
      </c>
      <c r="C396">
        <v>0</v>
      </c>
      <c r="D396" s="13">
        <f t="shared" si="16"/>
        <v>0</v>
      </c>
      <c r="E396">
        <v>979.97772004753199</v>
      </c>
      <c r="F396">
        <f t="shared" si="17"/>
        <v>3.0386906047985489</v>
      </c>
      <c r="G396">
        <v>0</v>
      </c>
      <c r="H396">
        <f t="shared" si="18"/>
        <v>0</v>
      </c>
      <c r="I396">
        <v>0</v>
      </c>
      <c r="K396">
        <v>0</v>
      </c>
      <c r="M396">
        <v>0</v>
      </c>
    </row>
    <row r="397" spans="2:13" x14ac:dyDescent="0.2">
      <c r="B397" s="2">
        <v>383</v>
      </c>
      <c r="C397">
        <v>0</v>
      </c>
      <c r="D397" s="13">
        <f t="shared" si="16"/>
        <v>0</v>
      </c>
      <c r="E397">
        <v>995.97547644121698</v>
      </c>
      <c r="F397">
        <f t="shared" si="17"/>
        <v>3.0882960509805177</v>
      </c>
      <c r="G397">
        <v>0</v>
      </c>
      <c r="H397">
        <f t="shared" si="18"/>
        <v>0</v>
      </c>
      <c r="I397">
        <v>0</v>
      </c>
      <c r="K397">
        <v>0</v>
      </c>
      <c r="M397">
        <v>0</v>
      </c>
    </row>
    <row r="398" spans="2:13" x14ac:dyDescent="0.2">
      <c r="B398" s="2">
        <v>384</v>
      </c>
      <c r="C398">
        <v>0</v>
      </c>
      <c r="D398" s="13">
        <f t="shared" si="16"/>
        <v>0</v>
      </c>
      <c r="E398">
        <v>1011.79391472776</v>
      </c>
      <c r="F398">
        <f t="shared" si="17"/>
        <v>3.1373454720240619</v>
      </c>
      <c r="G398">
        <v>0</v>
      </c>
      <c r="H398">
        <f t="shared" si="18"/>
        <v>0</v>
      </c>
      <c r="I398">
        <v>0</v>
      </c>
      <c r="K398">
        <v>0</v>
      </c>
      <c r="M398">
        <v>0</v>
      </c>
    </row>
    <row r="399" spans="2:13" x14ac:dyDescent="0.2">
      <c r="B399" s="2">
        <v>385</v>
      </c>
      <c r="C399">
        <v>0</v>
      </c>
      <c r="D399" s="13">
        <f t="shared" si="16"/>
        <v>0</v>
      </c>
      <c r="E399">
        <v>1027.58057817952</v>
      </c>
      <c r="F399">
        <f t="shared" si="17"/>
        <v>3.1862963664481239</v>
      </c>
      <c r="G399">
        <v>0</v>
      </c>
      <c r="H399">
        <f t="shared" si="18"/>
        <v>0</v>
      </c>
      <c r="I399">
        <v>0</v>
      </c>
      <c r="K399">
        <v>0</v>
      </c>
      <c r="M399">
        <v>0</v>
      </c>
    </row>
    <row r="400" spans="2:13" x14ac:dyDescent="0.2">
      <c r="B400" s="2">
        <v>386</v>
      </c>
      <c r="C400">
        <v>0</v>
      </c>
      <c r="D400" s="13">
        <f t="shared" ref="D400:D463" si="19">C400/($D$8-$D$9)</f>
        <v>0</v>
      </c>
      <c r="E400">
        <v>1043.27215846539</v>
      </c>
      <c r="F400">
        <f t="shared" ref="F400:F463" si="20">E400/($F$8-$F$9)</f>
        <v>3.2349524293500465</v>
      </c>
      <c r="G400">
        <v>0</v>
      </c>
      <c r="H400">
        <f t="shared" ref="H400:H463" si="21">G400/($H$8-$H$9)</f>
        <v>0</v>
      </c>
      <c r="I400">
        <v>0</v>
      </c>
      <c r="K400">
        <v>0</v>
      </c>
      <c r="M400">
        <v>0</v>
      </c>
    </row>
    <row r="401" spans="2:13" x14ac:dyDescent="0.2">
      <c r="B401" s="2">
        <v>387</v>
      </c>
      <c r="C401">
        <v>0</v>
      </c>
      <c r="D401" s="13">
        <f t="shared" si="19"/>
        <v>0</v>
      </c>
      <c r="E401">
        <v>1058.8656298108799</v>
      </c>
      <c r="F401">
        <f t="shared" si="20"/>
        <v>3.2833042784833486</v>
      </c>
      <c r="G401">
        <v>0</v>
      </c>
      <c r="H401">
        <f t="shared" si="21"/>
        <v>0</v>
      </c>
      <c r="I401">
        <v>0</v>
      </c>
      <c r="K401">
        <v>0</v>
      </c>
      <c r="M401">
        <v>0</v>
      </c>
    </row>
    <row r="402" spans="2:13" x14ac:dyDescent="0.2">
      <c r="B402" s="2">
        <v>388</v>
      </c>
      <c r="C402">
        <v>0</v>
      </c>
      <c r="D402" s="13">
        <f t="shared" si="19"/>
        <v>0</v>
      </c>
      <c r="E402">
        <v>1074.3595786181199</v>
      </c>
      <c r="F402">
        <f t="shared" si="20"/>
        <v>3.3313475305988214</v>
      </c>
      <c r="G402">
        <v>0</v>
      </c>
      <c r="H402">
        <f t="shared" si="21"/>
        <v>0</v>
      </c>
      <c r="I402">
        <v>0</v>
      </c>
      <c r="K402">
        <v>0</v>
      </c>
      <c r="M402">
        <v>0</v>
      </c>
    </row>
    <row r="403" spans="2:13" x14ac:dyDescent="0.2">
      <c r="B403" s="2">
        <v>389</v>
      </c>
      <c r="C403">
        <v>0</v>
      </c>
      <c r="D403" s="13">
        <f t="shared" si="19"/>
        <v>0</v>
      </c>
      <c r="E403">
        <v>1089.75260063513</v>
      </c>
      <c r="F403">
        <f t="shared" si="20"/>
        <v>3.3790778314267595</v>
      </c>
      <c r="G403">
        <v>0</v>
      </c>
      <c r="H403">
        <f t="shared" si="21"/>
        <v>0</v>
      </c>
      <c r="I403">
        <v>0</v>
      </c>
      <c r="K403">
        <v>0</v>
      </c>
      <c r="M403">
        <v>0</v>
      </c>
    </row>
    <row r="404" spans="2:13" x14ac:dyDescent="0.2">
      <c r="B404" s="2">
        <v>390</v>
      </c>
      <c r="C404">
        <v>0</v>
      </c>
      <c r="D404" s="13">
        <f t="shared" si="19"/>
        <v>0</v>
      </c>
      <c r="E404">
        <v>1105.0433010829299</v>
      </c>
      <c r="F404">
        <f t="shared" si="20"/>
        <v>3.4264908560711005</v>
      </c>
      <c r="G404">
        <v>0</v>
      </c>
      <c r="H404">
        <f t="shared" si="21"/>
        <v>0</v>
      </c>
      <c r="I404">
        <v>0</v>
      </c>
      <c r="K404">
        <v>0</v>
      </c>
      <c r="M404">
        <v>0</v>
      </c>
    </row>
    <row r="405" spans="2:13" x14ac:dyDescent="0.2">
      <c r="B405" s="2">
        <v>391</v>
      </c>
      <c r="C405">
        <v>0</v>
      </c>
      <c r="D405" s="13">
        <f t="shared" si="19"/>
        <v>0</v>
      </c>
      <c r="E405">
        <v>1120.4394116125</v>
      </c>
      <c r="F405">
        <f t="shared" si="20"/>
        <v>3.4742307336821705</v>
      </c>
      <c r="G405">
        <v>0</v>
      </c>
      <c r="H405">
        <f t="shared" si="21"/>
        <v>0</v>
      </c>
      <c r="I405">
        <v>0</v>
      </c>
      <c r="K405">
        <v>0</v>
      </c>
      <c r="M405">
        <v>0</v>
      </c>
    </row>
    <row r="406" spans="2:13" x14ac:dyDescent="0.2">
      <c r="B406" s="2">
        <v>392</v>
      </c>
      <c r="C406">
        <v>0</v>
      </c>
      <c r="D406" s="13">
        <f t="shared" si="19"/>
        <v>0</v>
      </c>
      <c r="E406">
        <v>1135.84720111719</v>
      </c>
      <c r="F406">
        <f t="shared" si="20"/>
        <v>3.5220068251695813</v>
      </c>
      <c r="G406">
        <v>0</v>
      </c>
      <c r="H406">
        <f t="shared" si="21"/>
        <v>0</v>
      </c>
      <c r="I406">
        <v>0</v>
      </c>
      <c r="K406">
        <v>0</v>
      </c>
      <c r="M406">
        <v>0</v>
      </c>
    </row>
    <row r="407" spans="2:13" x14ac:dyDescent="0.2">
      <c r="B407" s="2">
        <v>393</v>
      </c>
      <c r="C407">
        <v>0</v>
      </c>
      <c r="D407" s="13">
        <f t="shared" si="19"/>
        <v>0</v>
      </c>
      <c r="E407">
        <v>1151.2293227467001</v>
      </c>
      <c r="F407">
        <f t="shared" si="20"/>
        <v>3.5697033263463567</v>
      </c>
      <c r="G407">
        <v>0</v>
      </c>
      <c r="H407">
        <f t="shared" si="21"/>
        <v>0</v>
      </c>
      <c r="I407">
        <v>0</v>
      </c>
      <c r="K407">
        <v>0</v>
      </c>
      <c r="M407">
        <v>0</v>
      </c>
    </row>
    <row r="408" spans="2:13" x14ac:dyDescent="0.2">
      <c r="B408" s="2">
        <v>394</v>
      </c>
      <c r="C408">
        <v>0</v>
      </c>
      <c r="D408" s="13">
        <f t="shared" si="19"/>
        <v>0</v>
      </c>
      <c r="E408">
        <v>1166.33805407453</v>
      </c>
      <c r="F408">
        <f t="shared" si="20"/>
        <v>3.6165521056574574</v>
      </c>
      <c r="G408">
        <v>0</v>
      </c>
      <c r="H408">
        <f t="shared" si="21"/>
        <v>0</v>
      </c>
      <c r="I408">
        <v>0</v>
      </c>
      <c r="K408">
        <v>0</v>
      </c>
      <c r="M408">
        <v>0</v>
      </c>
    </row>
    <row r="409" spans="2:13" x14ac:dyDescent="0.2">
      <c r="B409" s="2">
        <v>395</v>
      </c>
      <c r="C409">
        <v>0</v>
      </c>
      <c r="D409" s="13">
        <f t="shared" si="19"/>
        <v>0</v>
      </c>
      <c r="E409">
        <v>1181.2717447989901</v>
      </c>
      <c r="F409">
        <f t="shared" si="20"/>
        <v>3.6628581234077213</v>
      </c>
      <c r="G409">
        <v>0</v>
      </c>
      <c r="H409">
        <f t="shared" si="21"/>
        <v>0</v>
      </c>
      <c r="I409">
        <v>0</v>
      </c>
      <c r="K409">
        <v>0</v>
      </c>
      <c r="M409">
        <v>0</v>
      </c>
    </row>
    <row r="410" spans="2:13" x14ac:dyDescent="0.2">
      <c r="B410" s="2">
        <v>396</v>
      </c>
      <c r="C410">
        <v>0</v>
      </c>
      <c r="D410" s="13">
        <f t="shared" si="19"/>
        <v>0</v>
      </c>
      <c r="E410">
        <v>1196.0096432815201</v>
      </c>
      <c r="F410">
        <f t="shared" si="20"/>
        <v>3.7085570334310702</v>
      </c>
      <c r="G410">
        <v>0</v>
      </c>
      <c r="H410">
        <f t="shared" si="21"/>
        <v>0</v>
      </c>
      <c r="I410">
        <v>0</v>
      </c>
      <c r="K410">
        <v>0</v>
      </c>
      <c r="M410">
        <v>0</v>
      </c>
    </row>
    <row r="411" spans="2:13" x14ac:dyDescent="0.2">
      <c r="B411" s="2">
        <v>397</v>
      </c>
      <c r="C411">
        <v>0</v>
      </c>
      <c r="D411" s="13">
        <f t="shared" si="19"/>
        <v>0</v>
      </c>
      <c r="E411">
        <v>1210.5310219968101</v>
      </c>
      <c r="F411">
        <f t="shared" si="20"/>
        <v>3.7535845643311938</v>
      </c>
      <c r="G411">
        <v>0</v>
      </c>
      <c r="H411">
        <f t="shared" si="21"/>
        <v>0</v>
      </c>
      <c r="I411">
        <v>0</v>
      </c>
      <c r="K411">
        <v>0</v>
      </c>
      <c r="M411">
        <v>0</v>
      </c>
    </row>
    <row r="412" spans="2:13" x14ac:dyDescent="0.2">
      <c r="B412" s="2">
        <v>398</v>
      </c>
      <c r="C412">
        <v>0</v>
      </c>
      <c r="D412" s="13">
        <f t="shared" si="19"/>
        <v>0</v>
      </c>
      <c r="E412">
        <v>1224.8151794191101</v>
      </c>
      <c r="F412">
        <f t="shared" si="20"/>
        <v>3.7978765253305742</v>
      </c>
      <c r="G412">
        <v>0</v>
      </c>
      <c r="H412">
        <f t="shared" si="21"/>
        <v>0</v>
      </c>
      <c r="I412">
        <v>0</v>
      </c>
      <c r="K412">
        <v>0</v>
      </c>
      <c r="M412">
        <v>0</v>
      </c>
    </row>
    <row r="413" spans="2:13" x14ac:dyDescent="0.2">
      <c r="B413" s="2">
        <v>399</v>
      </c>
      <c r="C413">
        <v>0</v>
      </c>
      <c r="D413" s="13">
        <f t="shared" si="19"/>
        <v>0</v>
      </c>
      <c r="E413">
        <v>1238.8414419058099</v>
      </c>
      <c r="F413">
        <f t="shared" si="20"/>
        <v>3.8413688121110385</v>
      </c>
      <c r="G413">
        <v>0</v>
      </c>
      <c r="H413">
        <f t="shared" si="21"/>
        <v>0</v>
      </c>
      <c r="I413">
        <v>0</v>
      </c>
      <c r="K413">
        <v>0</v>
      </c>
      <c r="M413">
        <v>0</v>
      </c>
    </row>
    <row r="414" spans="2:13" x14ac:dyDescent="0.2">
      <c r="B414" s="2">
        <v>400</v>
      </c>
      <c r="C414">
        <v>0</v>
      </c>
      <c r="D414" s="13">
        <f t="shared" si="19"/>
        <v>0</v>
      </c>
      <c r="E414">
        <v>1252.8349932369199</v>
      </c>
      <c r="F414">
        <f t="shared" si="20"/>
        <v>3.8847596689516894</v>
      </c>
      <c r="G414">
        <v>0</v>
      </c>
      <c r="H414">
        <f t="shared" si="21"/>
        <v>0</v>
      </c>
      <c r="I414">
        <v>0</v>
      </c>
      <c r="K414">
        <v>0</v>
      </c>
      <c r="M414">
        <v>0</v>
      </c>
    </row>
    <row r="415" spans="2:13" x14ac:dyDescent="0.2">
      <c r="B415" s="2">
        <v>401</v>
      </c>
      <c r="C415">
        <v>0</v>
      </c>
      <c r="D415" s="13">
        <f t="shared" si="19"/>
        <v>0</v>
      </c>
      <c r="E415">
        <v>1266.7001897217101</v>
      </c>
      <c r="F415">
        <f t="shared" si="20"/>
        <v>3.9277525262688684</v>
      </c>
      <c r="G415">
        <v>0</v>
      </c>
      <c r="H415">
        <f t="shared" si="21"/>
        <v>0</v>
      </c>
      <c r="I415">
        <v>0</v>
      </c>
      <c r="K415">
        <v>0</v>
      </c>
      <c r="M415">
        <v>0</v>
      </c>
    </row>
    <row r="416" spans="2:13" x14ac:dyDescent="0.2">
      <c r="B416" s="2">
        <v>402</v>
      </c>
      <c r="C416">
        <v>0</v>
      </c>
      <c r="D416" s="13">
        <f t="shared" si="19"/>
        <v>0</v>
      </c>
      <c r="E416">
        <v>1280.37207224032</v>
      </c>
      <c r="F416">
        <f t="shared" si="20"/>
        <v>3.9701459604351008</v>
      </c>
      <c r="G416">
        <v>0</v>
      </c>
      <c r="H416">
        <f t="shared" si="21"/>
        <v>0</v>
      </c>
      <c r="I416">
        <v>0</v>
      </c>
      <c r="K416">
        <v>0</v>
      </c>
      <c r="M416">
        <v>0</v>
      </c>
    </row>
    <row r="417" spans="2:13" x14ac:dyDescent="0.2">
      <c r="B417" s="2">
        <v>403</v>
      </c>
      <c r="C417">
        <v>0</v>
      </c>
      <c r="D417" s="13">
        <f t="shared" si="19"/>
        <v>0</v>
      </c>
      <c r="E417">
        <v>1186.5939507227599</v>
      </c>
      <c r="F417">
        <f t="shared" si="20"/>
        <v>3.6793610875124338</v>
      </c>
      <c r="G417">
        <v>0</v>
      </c>
      <c r="H417">
        <f t="shared" si="21"/>
        <v>0</v>
      </c>
      <c r="I417">
        <v>0</v>
      </c>
      <c r="K417">
        <v>0</v>
      </c>
      <c r="M417">
        <v>0</v>
      </c>
    </row>
    <row r="418" spans="2:13" x14ac:dyDescent="0.2">
      <c r="B418" s="2">
        <v>404</v>
      </c>
      <c r="C418">
        <v>0</v>
      </c>
      <c r="D418" s="13">
        <f t="shared" si="19"/>
        <v>0</v>
      </c>
      <c r="E418">
        <v>1153.82567257971</v>
      </c>
      <c r="F418">
        <f t="shared" si="20"/>
        <v>3.577754023502977</v>
      </c>
      <c r="G418">
        <v>0</v>
      </c>
      <c r="H418">
        <f t="shared" si="21"/>
        <v>0</v>
      </c>
      <c r="I418">
        <v>0</v>
      </c>
      <c r="K418">
        <v>0</v>
      </c>
      <c r="M418">
        <v>0</v>
      </c>
    </row>
    <row r="419" spans="2:13" x14ac:dyDescent="0.2">
      <c r="B419" s="2">
        <v>405</v>
      </c>
      <c r="C419">
        <v>0</v>
      </c>
      <c r="D419" s="13">
        <f t="shared" si="19"/>
        <v>0</v>
      </c>
      <c r="E419">
        <v>1120.82838851922</v>
      </c>
      <c r="F419">
        <f t="shared" si="20"/>
        <v>3.4754368636254882</v>
      </c>
      <c r="G419">
        <v>0</v>
      </c>
      <c r="H419">
        <f t="shared" si="21"/>
        <v>0</v>
      </c>
      <c r="I419">
        <v>0</v>
      </c>
      <c r="K419">
        <v>0</v>
      </c>
      <c r="M419">
        <v>0</v>
      </c>
    </row>
    <row r="420" spans="2:13" x14ac:dyDescent="0.2">
      <c r="B420" s="2">
        <v>406</v>
      </c>
      <c r="C420">
        <v>0</v>
      </c>
      <c r="D420" s="13">
        <f t="shared" si="19"/>
        <v>0</v>
      </c>
      <c r="E420">
        <v>1087.6610948364601</v>
      </c>
      <c r="F420">
        <f t="shared" si="20"/>
        <v>3.3725925421285581</v>
      </c>
      <c r="G420">
        <v>0</v>
      </c>
      <c r="H420">
        <f t="shared" si="21"/>
        <v>0</v>
      </c>
      <c r="I420">
        <v>0</v>
      </c>
      <c r="K420">
        <v>0</v>
      </c>
      <c r="M420">
        <v>0</v>
      </c>
    </row>
    <row r="421" spans="2:13" x14ac:dyDescent="0.2">
      <c r="B421" s="2">
        <v>407</v>
      </c>
      <c r="C421">
        <v>0</v>
      </c>
      <c r="D421" s="13">
        <f t="shared" si="19"/>
        <v>0</v>
      </c>
      <c r="E421">
        <v>1054.4513649221401</v>
      </c>
      <c r="F421">
        <f t="shared" si="20"/>
        <v>3.2696166354174885</v>
      </c>
      <c r="G421">
        <v>0</v>
      </c>
      <c r="H421">
        <f t="shared" si="21"/>
        <v>0</v>
      </c>
      <c r="I421">
        <v>0</v>
      </c>
      <c r="K421">
        <v>0</v>
      </c>
      <c r="M421">
        <v>0</v>
      </c>
    </row>
    <row r="422" spans="2:13" x14ac:dyDescent="0.2">
      <c r="B422" s="2">
        <v>408</v>
      </c>
      <c r="C422">
        <v>0</v>
      </c>
      <c r="D422" s="13">
        <f t="shared" si="19"/>
        <v>0</v>
      </c>
      <c r="E422">
        <v>1021.05531419635</v>
      </c>
      <c r="F422">
        <f t="shared" si="20"/>
        <v>3.1660629897561239</v>
      </c>
      <c r="G422">
        <v>0</v>
      </c>
      <c r="H422">
        <f t="shared" si="21"/>
        <v>0</v>
      </c>
      <c r="I422">
        <v>0</v>
      </c>
      <c r="K422">
        <v>0</v>
      </c>
      <c r="M422">
        <v>0</v>
      </c>
    </row>
    <row r="423" spans="2:13" x14ac:dyDescent="0.2">
      <c r="B423" s="2">
        <v>409</v>
      </c>
      <c r="C423">
        <v>0</v>
      </c>
      <c r="D423" s="13">
        <f t="shared" si="19"/>
        <v>0</v>
      </c>
      <c r="E423">
        <v>987.64216246317301</v>
      </c>
      <c r="F423">
        <f t="shared" si="20"/>
        <v>3.0624563177152653</v>
      </c>
      <c r="G423">
        <v>0</v>
      </c>
      <c r="H423">
        <f t="shared" si="21"/>
        <v>0</v>
      </c>
      <c r="I423">
        <v>0</v>
      </c>
      <c r="K423">
        <v>0</v>
      </c>
      <c r="M423">
        <v>0</v>
      </c>
    </row>
    <row r="424" spans="2:13" x14ac:dyDescent="0.2">
      <c r="B424" s="2">
        <v>410</v>
      </c>
      <c r="C424">
        <v>0</v>
      </c>
      <c r="D424" s="13">
        <f t="shared" si="19"/>
        <v>0</v>
      </c>
      <c r="E424">
        <v>954.14695775558005</v>
      </c>
      <c r="F424">
        <f t="shared" si="20"/>
        <v>2.9585952178467601</v>
      </c>
      <c r="G424">
        <v>0</v>
      </c>
      <c r="H424">
        <f t="shared" si="21"/>
        <v>0</v>
      </c>
      <c r="I424">
        <v>0</v>
      </c>
      <c r="K424">
        <v>0</v>
      </c>
      <c r="M424">
        <v>0</v>
      </c>
    </row>
    <row r="425" spans="2:13" x14ac:dyDescent="0.2">
      <c r="B425" s="2">
        <v>411</v>
      </c>
      <c r="C425">
        <v>0</v>
      </c>
      <c r="D425" s="13">
        <f t="shared" si="19"/>
        <v>0</v>
      </c>
      <c r="E425">
        <v>920.56962086625003</v>
      </c>
      <c r="F425">
        <f t="shared" si="20"/>
        <v>2.8544794445465116</v>
      </c>
      <c r="G425">
        <v>0</v>
      </c>
      <c r="H425">
        <f t="shared" si="21"/>
        <v>0</v>
      </c>
      <c r="I425">
        <v>0</v>
      </c>
      <c r="K425">
        <v>0</v>
      </c>
      <c r="M425">
        <v>0</v>
      </c>
    </row>
    <row r="426" spans="2:13" x14ac:dyDescent="0.2">
      <c r="B426" s="2">
        <v>412</v>
      </c>
      <c r="C426">
        <v>0</v>
      </c>
      <c r="D426" s="13">
        <f t="shared" si="19"/>
        <v>0</v>
      </c>
      <c r="E426">
        <v>886.91324226247502</v>
      </c>
      <c r="F426">
        <f t="shared" si="20"/>
        <v>2.7501185806588371</v>
      </c>
      <c r="G426">
        <v>0</v>
      </c>
      <c r="H426">
        <f t="shared" si="21"/>
        <v>0</v>
      </c>
      <c r="I426">
        <v>0</v>
      </c>
      <c r="K426">
        <v>0</v>
      </c>
      <c r="M426">
        <v>0</v>
      </c>
    </row>
    <row r="427" spans="2:13" x14ac:dyDescent="0.2">
      <c r="B427" s="2">
        <v>413</v>
      </c>
      <c r="C427">
        <v>0</v>
      </c>
      <c r="D427" s="13">
        <f t="shared" si="19"/>
        <v>0</v>
      </c>
      <c r="E427">
        <v>853.18091916527703</v>
      </c>
      <c r="F427">
        <f t="shared" si="20"/>
        <v>2.6455222299698513</v>
      </c>
      <c r="G427">
        <v>0</v>
      </c>
      <c r="H427">
        <f t="shared" si="21"/>
        <v>0</v>
      </c>
      <c r="I427">
        <v>0</v>
      </c>
      <c r="K427">
        <v>0</v>
      </c>
      <c r="M427">
        <v>0</v>
      </c>
    </row>
    <row r="428" spans="2:13" x14ac:dyDescent="0.2">
      <c r="B428" s="2">
        <v>414</v>
      </c>
      <c r="C428">
        <v>0</v>
      </c>
      <c r="D428" s="13">
        <f t="shared" si="19"/>
        <v>0</v>
      </c>
      <c r="E428">
        <v>819.37575526446301</v>
      </c>
      <c r="F428">
        <f t="shared" si="20"/>
        <v>2.5407000163239162</v>
      </c>
      <c r="G428">
        <v>0</v>
      </c>
      <c r="H428">
        <f t="shared" si="21"/>
        <v>0</v>
      </c>
      <c r="I428">
        <v>0</v>
      </c>
      <c r="K428">
        <v>0</v>
      </c>
      <c r="M428">
        <v>0</v>
      </c>
    </row>
    <row r="429" spans="2:13" x14ac:dyDescent="0.2">
      <c r="B429" s="2">
        <v>415</v>
      </c>
      <c r="C429">
        <v>0</v>
      </c>
      <c r="D429" s="13">
        <f t="shared" si="19"/>
        <v>0</v>
      </c>
      <c r="E429">
        <v>785.71768326358006</v>
      </c>
      <c r="F429">
        <f t="shared" si="20"/>
        <v>2.4363339015924965</v>
      </c>
      <c r="G429">
        <v>0</v>
      </c>
      <c r="H429">
        <f t="shared" si="21"/>
        <v>0</v>
      </c>
      <c r="I429">
        <v>0</v>
      </c>
      <c r="K429">
        <v>0</v>
      </c>
      <c r="M429">
        <v>0</v>
      </c>
    </row>
    <row r="430" spans="2:13" x14ac:dyDescent="0.2">
      <c r="B430" s="2">
        <v>416</v>
      </c>
      <c r="C430">
        <v>0</v>
      </c>
      <c r="D430" s="13">
        <f t="shared" si="19"/>
        <v>0</v>
      </c>
      <c r="E430">
        <v>752.11496328237297</v>
      </c>
      <c r="F430">
        <f t="shared" si="20"/>
        <v>2.3321394210306137</v>
      </c>
      <c r="G430">
        <v>0</v>
      </c>
      <c r="H430">
        <f t="shared" si="21"/>
        <v>0</v>
      </c>
      <c r="I430">
        <v>0</v>
      </c>
      <c r="K430">
        <v>0</v>
      </c>
      <c r="M430">
        <v>0</v>
      </c>
    </row>
    <row r="431" spans="2:13" x14ac:dyDescent="0.2">
      <c r="B431" s="2">
        <v>417</v>
      </c>
      <c r="C431">
        <v>0</v>
      </c>
      <c r="D431" s="13">
        <f t="shared" si="19"/>
        <v>0</v>
      </c>
      <c r="E431">
        <v>718.55299755351996</v>
      </c>
      <c r="F431">
        <f t="shared" si="20"/>
        <v>2.2280713102434726</v>
      </c>
      <c r="G431">
        <v>0</v>
      </c>
      <c r="H431">
        <f t="shared" si="21"/>
        <v>0</v>
      </c>
      <c r="I431">
        <v>0</v>
      </c>
      <c r="K431">
        <v>0</v>
      </c>
      <c r="M431">
        <v>0</v>
      </c>
    </row>
    <row r="432" spans="2:13" x14ac:dyDescent="0.2">
      <c r="B432" s="2">
        <v>418</v>
      </c>
      <c r="C432">
        <v>0</v>
      </c>
      <c r="D432" s="13">
        <f t="shared" si="19"/>
        <v>0</v>
      </c>
      <c r="E432">
        <v>685.004597806471</v>
      </c>
      <c r="F432">
        <f t="shared" si="20"/>
        <v>2.1240452645161891</v>
      </c>
      <c r="G432">
        <v>0</v>
      </c>
      <c r="H432">
        <f t="shared" si="21"/>
        <v>0</v>
      </c>
      <c r="I432">
        <v>0</v>
      </c>
      <c r="K432">
        <v>0</v>
      </c>
      <c r="M432">
        <v>0</v>
      </c>
    </row>
    <row r="433" spans="2:13" x14ac:dyDescent="0.2">
      <c r="B433" s="2">
        <v>419</v>
      </c>
      <c r="C433">
        <v>0</v>
      </c>
      <c r="D433" s="13">
        <f t="shared" si="19"/>
        <v>0</v>
      </c>
      <c r="E433">
        <v>651.45114005310302</v>
      </c>
      <c r="F433">
        <f t="shared" si="20"/>
        <v>2.0200035350483816</v>
      </c>
      <c r="G433">
        <v>0</v>
      </c>
      <c r="H433">
        <f t="shared" si="21"/>
        <v>0</v>
      </c>
      <c r="I433">
        <v>0</v>
      </c>
      <c r="K433">
        <v>0</v>
      </c>
      <c r="M433">
        <v>0</v>
      </c>
    </row>
    <row r="434" spans="2:13" x14ac:dyDescent="0.2">
      <c r="B434" s="2">
        <v>420</v>
      </c>
      <c r="C434">
        <v>0</v>
      </c>
      <c r="D434" s="13">
        <f t="shared" si="19"/>
        <v>0</v>
      </c>
      <c r="E434">
        <v>617.87834154140205</v>
      </c>
      <c r="F434">
        <f t="shared" si="20"/>
        <v>1.9159018342369056</v>
      </c>
      <c r="G434">
        <v>0</v>
      </c>
      <c r="H434">
        <f t="shared" si="21"/>
        <v>0</v>
      </c>
      <c r="I434">
        <v>0</v>
      </c>
      <c r="K434">
        <v>0</v>
      </c>
      <c r="M434">
        <v>0</v>
      </c>
    </row>
    <row r="435" spans="2:13" x14ac:dyDescent="0.2">
      <c r="B435" s="2">
        <v>421</v>
      </c>
      <c r="C435">
        <v>0</v>
      </c>
      <c r="D435" s="13">
        <f t="shared" si="19"/>
        <v>0</v>
      </c>
      <c r="E435">
        <v>584.27193969349196</v>
      </c>
      <c r="F435">
        <f t="shared" si="20"/>
        <v>1.8116959370340835</v>
      </c>
      <c r="G435">
        <v>0</v>
      </c>
      <c r="H435">
        <f t="shared" si="21"/>
        <v>0</v>
      </c>
      <c r="I435">
        <v>0</v>
      </c>
      <c r="K435">
        <v>0</v>
      </c>
      <c r="M435">
        <v>0</v>
      </c>
    </row>
    <row r="436" spans="2:13" x14ac:dyDescent="0.2">
      <c r="B436" s="2">
        <v>422</v>
      </c>
      <c r="C436">
        <v>0</v>
      </c>
      <c r="D436" s="13">
        <f t="shared" si="19"/>
        <v>0</v>
      </c>
      <c r="E436">
        <v>550.61769334783298</v>
      </c>
      <c r="F436">
        <f t="shared" si="20"/>
        <v>1.707341684799482</v>
      </c>
      <c r="G436">
        <v>0</v>
      </c>
      <c r="H436">
        <f t="shared" si="21"/>
        <v>0</v>
      </c>
      <c r="I436">
        <v>0</v>
      </c>
      <c r="K436">
        <v>0</v>
      </c>
      <c r="M436">
        <v>0</v>
      </c>
    </row>
    <row r="437" spans="2:13" x14ac:dyDescent="0.2">
      <c r="B437" s="2">
        <v>423</v>
      </c>
      <c r="C437">
        <v>0</v>
      </c>
      <c r="D437" s="13">
        <f t="shared" si="19"/>
        <v>0</v>
      </c>
      <c r="E437">
        <v>516.93416642438604</v>
      </c>
      <c r="F437">
        <f t="shared" si="20"/>
        <v>1.6028966400756157</v>
      </c>
      <c r="G437">
        <v>0</v>
      </c>
      <c r="H437">
        <f t="shared" si="21"/>
        <v>0</v>
      </c>
      <c r="I437">
        <v>0</v>
      </c>
      <c r="K437">
        <v>0</v>
      </c>
      <c r="M437">
        <v>0</v>
      </c>
    </row>
    <row r="438" spans="2:13" x14ac:dyDescent="0.2">
      <c r="B438" s="2">
        <v>424</v>
      </c>
      <c r="C438">
        <v>0</v>
      </c>
      <c r="D438" s="13">
        <f t="shared" si="19"/>
        <v>0</v>
      </c>
      <c r="E438">
        <v>483.21420584066902</v>
      </c>
      <c r="F438">
        <f t="shared" si="20"/>
        <v>1.4983386227617643</v>
      </c>
      <c r="G438">
        <v>0</v>
      </c>
      <c r="H438">
        <f t="shared" si="21"/>
        <v>0</v>
      </c>
      <c r="I438">
        <v>0</v>
      </c>
      <c r="K438">
        <v>0</v>
      </c>
      <c r="M438">
        <v>0</v>
      </c>
    </row>
    <row r="439" spans="2:13" x14ac:dyDescent="0.2">
      <c r="B439" s="2">
        <v>425</v>
      </c>
      <c r="C439">
        <v>0</v>
      </c>
      <c r="D439" s="13">
        <f t="shared" si="19"/>
        <v>0</v>
      </c>
      <c r="E439">
        <v>449.39827462162202</v>
      </c>
      <c r="F439">
        <f t="shared" si="20"/>
        <v>1.3934830220825489</v>
      </c>
      <c r="G439">
        <v>0</v>
      </c>
      <c r="H439">
        <f t="shared" si="21"/>
        <v>0</v>
      </c>
      <c r="I439">
        <v>17.971650497133101</v>
      </c>
      <c r="K439">
        <v>0</v>
      </c>
      <c r="M439">
        <v>0</v>
      </c>
    </row>
    <row r="440" spans="2:13" x14ac:dyDescent="0.2">
      <c r="B440" s="2">
        <v>426</v>
      </c>
      <c r="C440">
        <v>0</v>
      </c>
      <c r="D440" s="13">
        <f t="shared" si="19"/>
        <v>0</v>
      </c>
      <c r="E440">
        <v>415.45863089816902</v>
      </c>
      <c r="F440">
        <f t="shared" si="20"/>
        <v>1.2882438167385086</v>
      </c>
      <c r="G440">
        <v>0</v>
      </c>
      <c r="H440">
        <f t="shared" si="21"/>
        <v>0</v>
      </c>
      <c r="I440">
        <v>37.548972296732103</v>
      </c>
      <c r="K440">
        <v>0</v>
      </c>
      <c r="M440">
        <v>0</v>
      </c>
    </row>
    <row r="441" spans="2:13" x14ac:dyDescent="0.2">
      <c r="B441" s="2">
        <v>427</v>
      </c>
      <c r="C441">
        <v>0</v>
      </c>
      <c r="D441" s="13">
        <f t="shared" si="19"/>
        <v>0</v>
      </c>
      <c r="E441">
        <v>381.43899928509597</v>
      </c>
      <c r="F441">
        <f t="shared" si="20"/>
        <v>1.1827565869305301</v>
      </c>
      <c r="G441">
        <v>0</v>
      </c>
      <c r="H441">
        <f t="shared" si="21"/>
        <v>0</v>
      </c>
      <c r="I441">
        <v>56.983637415723102</v>
      </c>
      <c r="K441">
        <v>0</v>
      </c>
      <c r="M441">
        <v>0</v>
      </c>
    </row>
    <row r="442" spans="2:13" x14ac:dyDescent="0.2">
      <c r="B442" s="2">
        <v>428</v>
      </c>
      <c r="C442">
        <v>0</v>
      </c>
      <c r="D442" s="13">
        <f t="shared" si="19"/>
        <v>0</v>
      </c>
      <c r="E442">
        <v>347.42880598678698</v>
      </c>
      <c r="F442">
        <f t="shared" si="20"/>
        <v>1.0772986232148434</v>
      </c>
      <c r="G442">
        <v>0</v>
      </c>
      <c r="H442">
        <f t="shared" si="21"/>
        <v>0</v>
      </c>
      <c r="I442">
        <v>76.366671612126495</v>
      </c>
      <c r="K442">
        <v>0</v>
      </c>
      <c r="M442">
        <v>0</v>
      </c>
    </row>
    <row r="443" spans="2:13" x14ac:dyDescent="0.2">
      <c r="B443" s="2">
        <v>429</v>
      </c>
      <c r="C443">
        <v>0</v>
      </c>
      <c r="D443" s="13">
        <f t="shared" si="19"/>
        <v>0</v>
      </c>
      <c r="E443">
        <v>313.46891550547201</v>
      </c>
      <c r="F443">
        <f t="shared" si="20"/>
        <v>0.97199663722626983</v>
      </c>
      <c r="G443">
        <v>0</v>
      </c>
      <c r="H443">
        <f t="shared" si="21"/>
        <v>0</v>
      </c>
      <c r="I443">
        <v>95.736996660091606</v>
      </c>
      <c r="K443">
        <v>0</v>
      </c>
      <c r="M443">
        <v>0</v>
      </c>
    </row>
    <row r="444" spans="2:13" x14ac:dyDescent="0.2">
      <c r="B444" s="2">
        <v>430</v>
      </c>
      <c r="C444">
        <v>0</v>
      </c>
      <c r="D444" s="13">
        <f t="shared" si="19"/>
        <v>0</v>
      </c>
      <c r="E444">
        <v>279.60026441140798</v>
      </c>
      <c r="F444">
        <f t="shared" si="20"/>
        <v>0.86697756406638138</v>
      </c>
      <c r="G444">
        <v>0</v>
      </c>
      <c r="H444">
        <f t="shared" si="21"/>
        <v>0</v>
      </c>
      <c r="I444">
        <v>115.133475589334</v>
      </c>
      <c r="K444">
        <v>0</v>
      </c>
      <c r="M444">
        <v>0</v>
      </c>
    </row>
    <row r="445" spans="2:13" x14ac:dyDescent="0.2">
      <c r="B445" s="2">
        <v>431</v>
      </c>
      <c r="C445">
        <v>0</v>
      </c>
      <c r="D445" s="13">
        <f t="shared" si="19"/>
        <v>0</v>
      </c>
      <c r="E445">
        <v>245.84108698267801</v>
      </c>
      <c r="F445">
        <f t="shared" si="20"/>
        <v>0.76229794413233487</v>
      </c>
      <c r="G445">
        <v>0</v>
      </c>
      <c r="H445">
        <f t="shared" si="21"/>
        <v>0</v>
      </c>
      <c r="I445">
        <v>134.57074368745501</v>
      </c>
      <c r="K445">
        <v>0</v>
      </c>
      <c r="M445">
        <v>0</v>
      </c>
    </row>
    <row r="446" spans="2:13" x14ac:dyDescent="0.2">
      <c r="B446" s="2">
        <v>432</v>
      </c>
      <c r="C446">
        <v>0</v>
      </c>
      <c r="D446" s="13">
        <f t="shared" si="19"/>
        <v>0</v>
      </c>
      <c r="E446">
        <v>211.94780472292999</v>
      </c>
      <c r="F446">
        <f t="shared" si="20"/>
        <v>0.65720249526489916</v>
      </c>
      <c r="G446">
        <v>0</v>
      </c>
      <c r="H446">
        <f t="shared" si="21"/>
        <v>0</v>
      </c>
      <c r="I446">
        <v>153.923130310955</v>
      </c>
      <c r="K446">
        <v>0</v>
      </c>
      <c r="M446">
        <v>0</v>
      </c>
    </row>
    <row r="447" spans="2:13" x14ac:dyDescent="0.2">
      <c r="B447" s="2">
        <v>433</v>
      </c>
      <c r="C447">
        <v>0</v>
      </c>
      <c r="D447" s="13">
        <f t="shared" si="19"/>
        <v>0</v>
      </c>
      <c r="E447">
        <v>178.04047748907999</v>
      </c>
      <c r="F447">
        <f t="shared" si="20"/>
        <v>0.55206349609017047</v>
      </c>
      <c r="G447">
        <v>0</v>
      </c>
      <c r="H447">
        <f t="shared" si="21"/>
        <v>0</v>
      </c>
      <c r="I447">
        <v>173.287255010515</v>
      </c>
      <c r="K447">
        <v>0</v>
      </c>
      <c r="M447">
        <v>0</v>
      </c>
    </row>
    <row r="448" spans="2:13" x14ac:dyDescent="0.2">
      <c r="B448" s="2">
        <v>434</v>
      </c>
      <c r="C448">
        <v>0</v>
      </c>
      <c r="D448" s="13">
        <f t="shared" si="19"/>
        <v>0</v>
      </c>
      <c r="E448">
        <v>144.122215184043</v>
      </c>
      <c r="F448">
        <f t="shared" si="20"/>
        <v>0.44689058971796281</v>
      </c>
      <c r="G448">
        <v>0</v>
      </c>
      <c r="H448">
        <f t="shared" si="21"/>
        <v>0</v>
      </c>
      <c r="I448">
        <v>192.63242359364699</v>
      </c>
      <c r="K448">
        <v>0</v>
      </c>
      <c r="M448">
        <v>0</v>
      </c>
    </row>
    <row r="449" spans="2:13" x14ac:dyDescent="0.2">
      <c r="B449" s="2">
        <v>435</v>
      </c>
      <c r="C449">
        <v>0</v>
      </c>
      <c r="D449" s="13">
        <f t="shared" si="19"/>
        <v>0</v>
      </c>
      <c r="E449">
        <v>110.196128219263</v>
      </c>
      <c r="F449">
        <f t="shared" si="20"/>
        <v>0.34169342083492404</v>
      </c>
      <c r="G449">
        <v>0</v>
      </c>
      <c r="H449">
        <f t="shared" si="21"/>
        <v>0</v>
      </c>
      <c r="I449">
        <v>211.95686604677999</v>
      </c>
      <c r="K449">
        <v>0</v>
      </c>
      <c r="M449">
        <v>0</v>
      </c>
    </row>
    <row r="450" spans="2:13" x14ac:dyDescent="0.2">
      <c r="B450" s="2">
        <v>436</v>
      </c>
      <c r="C450">
        <v>0</v>
      </c>
      <c r="D450" s="13">
        <f t="shared" si="19"/>
        <v>0</v>
      </c>
      <c r="E450">
        <v>76.265327229565102</v>
      </c>
      <c r="F450">
        <f t="shared" si="20"/>
        <v>0.23648163482035692</v>
      </c>
      <c r="G450">
        <v>0</v>
      </c>
      <c r="H450">
        <f t="shared" si="21"/>
        <v>0</v>
      </c>
      <c r="I450">
        <v>231.25881453692199</v>
      </c>
      <c r="K450">
        <v>0</v>
      </c>
      <c r="M450">
        <v>0</v>
      </c>
    </row>
    <row r="451" spans="2:13" x14ac:dyDescent="0.2">
      <c r="B451" s="2">
        <v>437</v>
      </c>
      <c r="C451">
        <v>0</v>
      </c>
      <c r="D451" s="13">
        <f t="shared" si="19"/>
        <v>0</v>
      </c>
      <c r="E451">
        <v>42.332922788016099</v>
      </c>
      <c r="F451">
        <f t="shared" si="20"/>
        <v>0.13126487686206542</v>
      </c>
      <c r="G451">
        <v>0</v>
      </c>
      <c r="H451">
        <f t="shared" si="21"/>
        <v>0</v>
      </c>
      <c r="I451">
        <v>250.53650357333299</v>
      </c>
      <c r="K451">
        <v>0</v>
      </c>
      <c r="M451">
        <v>0</v>
      </c>
    </row>
    <row r="452" spans="2:13" x14ac:dyDescent="0.2">
      <c r="B452" s="2">
        <v>438</v>
      </c>
      <c r="C452">
        <v>0</v>
      </c>
      <c r="D452" s="13">
        <f t="shared" si="19"/>
        <v>0</v>
      </c>
      <c r="E452">
        <v>8.4020251208498795</v>
      </c>
      <c r="F452">
        <f t="shared" si="20"/>
        <v>2.6052791072402728E-2</v>
      </c>
      <c r="G452">
        <v>0</v>
      </c>
      <c r="H452">
        <f t="shared" si="21"/>
        <v>0</v>
      </c>
      <c r="I452">
        <v>269.787413816563</v>
      </c>
      <c r="K452">
        <v>0</v>
      </c>
      <c r="M452">
        <v>0</v>
      </c>
    </row>
    <row r="453" spans="2:13" x14ac:dyDescent="0.2">
      <c r="B453" s="2">
        <v>439</v>
      </c>
      <c r="C453">
        <v>0</v>
      </c>
      <c r="D453" s="13">
        <f t="shared" si="19"/>
        <v>0</v>
      </c>
      <c r="E453">
        <v>0</v>
      </c>
      <c r="F453">
        <f t="shared" si="20"/>
        <v>0</v>
      </c>
      <c r="G453">
        <v>0</v>
      </c>
      <c r="H453">
        <f t="shared" si="21"/>
        <v>0</v>
      </c>
      <c r="I453">
        <v>289.16665749693499</v>
      </c>
      <c r="K453">
        <v>0</v>
      </c>
      <c r="M453">
        <v>0</v>
      </c>
    </row>
    <row r="454" spans="2:13" x14ac:dyDescent="0.2">
      <c r="B454" s="2">
        <v>440</v>
      </c>
      <c r="C454">
        <v>0</v>
      </c>
      <c r="D454" s="13">
        <f t="shared" si="19"/>
        <v>0</v>
      </c>
      <c r="E454">
        <v>0</v>
      </c>
      <c r="F454">
        <f t="shared" si="20"/>
        <v>0</v>
      </c>
      <c r="G454">
        <v>0</v>
      </c>
      <c r="H454">
        <f t="shared" si="21"/>
        <v>0</v>
      </c>
      <c r="I454">
        <v>308.58170664611902</v>
      </c>
      <c r="K454">
        <v>0</v>
      </c>
      <c r="M454">
        <v>0</v>
      </c>
    </row>
    <row r="455" spans="2:13" x14ac:dyDescent="0.2">
      <c r="B455" s="2">
        <v>441</v>
      </c>
      <c r="C455">
        <v>0</v>
      </c>
      <c r="D455" s="13">
        <f t="shared" si="19"/>
        <v>0</v>
      </c>
      <c r="E455">
        <v>0</v>
      </c>
      <c r="F455">
        <f t="shared" si="20"/>
        <v>0</v>
      </c>
      <c r="G455">
        <v>0</v>
      </c>
      <c r="H455">
        <f t="shared" si="21"/>
        <v>0</v>
      </c>
      <c r="I455">
        <v>327.99102477306798</v>
      </c>
      <c r="K455">
        <v>0</v>
      </c>
      <c r="M455">
        <v>0</v>
      </c>
    </row>
    <row r="456" spans="2:13" x14ac:dyDescent="0.2">
      <c r="B456" s="2">
        <v>442</v>
      </c>
      <c r="C456">
        <v>0</v>
      </c>
      <c r="D456" s="13">
        <f t="shared" si="19"/>
        <v>0</v>
      </c>
      <c r="E456">
        <v>0</v>
      </c>
      <c r="F456">
        <f t="shared" si="20"/>
        <v>0</v>
      </c>
      <c r="G456">
        <v>0</v>
      </c>
      <c r="H456">
        <f t="shared" si="21"/>
        <v>0</v>
      </c>
      <c r="I456">
        <v>347.37464688552302</v>
      </c>
      <c r="K456">
        <v>0</v>
      </c>
      <c r="M456">
        <v>0</v>
      </c>
    </row>
    <row r="457" spans="2:13" x14ac:dyDescent="0.2">
      <c r="B457" s="2">
        <v>443</v>
      </c>
      <c r="C457">
        <v>0</v>
      </c>
      <c r="D457" s="13">
        <f t="shared" si="19"/>
        <v>0</v>
      </c>
      <c r="E457">
        <v>0</v>
      </c>
      <c r="F457">
        <f t="shared" si="20"/>
        <v>0</v>
      </c>
      <c r="G457">
        <v>0</v>
      </c>
      <c r="H457">
        <f t="shared" si="21"/>
        <v>0</v>
      </c>
      <c r="I457">
        <v>366.71263914914499</v>
      </c>
      <c r="K457">
        <v>0</v>
      </c>
      <c r="M457">
        <v>0</v>
      </c>
    </row>
    <row r="458" spans="2:13" x14ac:dyDescent="0.2">
      <c r="B458" s="2">
        <v>444</v>
      </c>
      <c r="C458">
        <v>0</v>
      </c>
      <c r="D458" s="13">
        <f t="shared" si="19"/>
        <v>0</v>
      </c>
      <c r="E458">
        <v>0</v>
      </c>
      <c r="F458">
        <f t="shared" si="20"/>
        <v>0</v>
      </c>
      <c r="G458">
        <v>0</v>
      </c>
      <c r="H458">
        <f t="shared" si="21"/>
        <v>0</v>
      </c>
      <c r="I458">
        <v>385.98510060924599</v>
      </c>
      <c r="K458">
        <v>0</v>
      </c>
      <c r="M458">
        <v>0</v>
      </c>
    </row>
    <row r="459" spans="2:13" x14ac:dyDescent="0.2">
      <c r="B459" s="2">
        <v>445</v>
      </c>
      <c r="C459">
        <v>0</v>
      </c>
      <c r="D459" s="13">
        <f t="shared" si="19"/>
        <v>0</v>
      </c>
      <c r="E459">
        <v>0</v>
      </c>
      <c r="F459">
        <f t="shared" si="20"/>
        <v>0</v>
      </c>
      <c r="G459">
        <v>0</v>
      </c>
      <c r="H459">
        <f t="shared" si="21"/>
        <v>0</v>
      </c>
      <c r="I459">
        <v>405.17216490728902</v>
      </c>
      <c r="K459">
        <v>0</v>
      </c>
      <c r="M459">
        <v>0</v>
      </c>
    </row>
    <row r="460" spans="2:13" x14ac:dyDescent="0.2">
      <c r="B460" s="2">
        <v>446</v>
      </c>
      <c r="C460">
        <v>0</v>
      </c>
      <c r="D460" s="13">
        <f t="shared" si="19"/>
        <v>0</v>
      </c>
      <c r="E460">
        <v>0</v>
      </c>
      <c r="F460">
        <f t="shared" si="20"/>
        <v>0</v>
      </c>
      <c r="G460">
        <v>0</v>
      </c>
      <c r="H460">
        <f t="shared" si="21"/>
        <v>0</v>
      </c>
      <c r="I460">
        <v>424.281856044807</v>
      </c>
      <c r="K460">
        <v>0</v>
      </c>
      <c r="M460">
        <v>0</v>
      </c>
    </row>
    <row r="461" spans="2:13" x14ac:dyDescent="0.2">
      <c r="B461" s="2">
        <v>447</v>
      </c>
      <c r="C461">
        <v>0</v>
      </c>
      <c r="D461" s="13">
        <f t="shared" si="19"/>
        <v>0</v>
      </c>
      <c r="E461">
        <v>0</v>
      </c>
      <c r="F461">
        <f t="shared" si="20"/>
        <v>0</v>
      </c>
      <c r="G461">
        <v>0</v>
      </c>
      <c r="H461">
        <f t="shared" si="21"/>
        <v>0</v>
      </c>
      <c r="I461">
        <v>443.340156426649</v>
      </c>
      <c r="K461">
        <v>0</v>
      </c>
      <c r="M461">
        <v>0</v>
      </c>
    </row>
    <row r="462" spans="2:13" x14ac:dyDescent="0.2">
      <c r="B462" s="2">
        <v>448</v>
      </c>
      <c r="C462">
        <v>0</v>
      </c>
      <c r="D462" s="13">
        <f t="shared" si="19"/>
        <v>0</v>
      </c>
      <c r="E462">
        <v>0</v>
      </c>
      <c r="F462">
        <f t="shared" si="20"/>
        <v>0</v>
      </c>
      <c r="G462">
        <v>0</v>
      </c>
      <c r="H462">
        <f t="shared" si="21"/>
        <v>0</v>
      </c>
      <c r="I462">
        <v>462.35415866797098</v>
      </c>
      <c r="K462">
        <v>0</v>
      </c>
      <c r="M462">
        <v>0</v>
      </c>
    </row>
    <row r="463" spans="2:13" x14ac:dyDescent="0.2">
      <c r="B463" s="2">
        <v>449</v>
      </c>
      <c r="C463">
        <v>0</v>
      </c>
      <c r="D463" s="13">
        <f t="shared" si="19"/>
        <v>0</v>
      </c>
      <c r="E463">
        <v>0</v>
      </c>
      <c r="F463">
        <f t="shared" si="20"/>
        <v>0</v>
      </c>
      <c r="G463">
        <v>0</v>
      </c>
      <c r="H463">
        <f t="shared" si="21"/>
        <v>0</v>
      </c>
      <c r="I463">
        <v>481.33094741924799</v>
      </c>
      <c r="K463">
        <v>0</v>
      </c>
      <c r="M463">
        <v>0</v>
      </c>
    </row>
    <row r="464" spans="2:13" x14ac:dyDescent="0.2">
      <c r="B464" s="2">
        <v>450</v>
      </c>
      <c r="C464">
        <v>0</v>
      </c>
      <c r="D464" s="13">
        <f t="shared" ref="D464:D527" si="22">C464/($D$8-$D$9)</f>
        <v>0</v>
      </c>
      <c r="E464">
        <v>0</v>
      </c>
      <c r="F464">
        <f t="shared" ref="F464:F527" si="23">E464/($F$8-$F$9)</f>
        <v>0</v>
      </c>
      <c r="G464">
        <v>0</v>
      </c>
      <c r="H464">
        <f t="shared" ref="H464:H527" si="24">G464/($H$8-$H$9)</f>
        <v>0</v>
      </c>
      <c r="I464">
        <v>500.27759875438602</v>
      </c>
      <c r="K464">
        <v>0</v>
      </c>
      <c r="M464">
        <v>0</v>
      </c>
    </row>
    <row r="465" spans="2:13" x14ac:dyDescent="0.2">
      <c r="B465" s="2">
        <v>451</v>
      </c>
      <c r="C465">
        <v>0</v>
      </c>
      <c r="D465" s="13">
        <f t="shared" si="22"/>
        <v>0</v>
      </c>
      <c r="E465">
        <v>0</v>
      </c>
      <c r="F465">
        <f t="shared" si="23"/>
        <v>0</v>
      </c>
      <c r="G465">
        <v>0</v>
      </c>
      <c r="H465">
        <f t="shared" si="24"/>
        <v>0</v>
      </c>
      <c r="I465">
        <v>519.20117956041804</v>
      </c>
      <c r="K465">
        <v>0</v>
      </c>
      <c r="M465">
        <v>0</v>
      </c>
    </row>
    <row r="466" spans="2:13" x14ac:dyDescent="0.2">
      <c r="B466" s="2">
        <v>452</v>
      </c>
      <c r="C466">
        <v>0</v>
      </c>
      <c r="D466" s="13">
        <f t="shared" si="22"/>
        <v>0</v>
      </c>
      <c r="E466">
        <v>0</v>
      </c>
      <c r="F466">
        <f t="shared" si="23"/>
        <v>0</v>
      </c>
      <c r="G466">
        <v>0</v>
      </c>
      <c r="H466">
        <f t="shared" si="24"/>
        <v>0</v>
      </c>
      <c r="I466">
        <v>538.10874692882203</v>
      </c>
      <c r="K466">
        <v>0</v>
      </c>
      <c r="M466">
        <v>0</v>
      </c>
    </row>
    <row r="467" spans="2:13" x14ac:dyDescent="0.2">
      <c r="B467" s="2">
        <v>453</v>
      </c>
      <c r="C467">
        <v>0</v>
      </c>
      <c r="D467" s="13">
        <f t="shared" si="22"/>
        <v>0</v>
      </c>
      <c r="E467">
        <v>0</v>
      </c>
      <c r="F467">
        <f t="shared" si="23"/>
        <v>0</v>
      </c>
      <c r="G467">
        <v>0</v>
      </c>
      <c r="H467">
        <f t="shared" si="24"/>
        <v>0</v>
      </c>
      <c r="I467">
        <v>556.96850879884505</v>
      </c>
      <c r="K467">
        <v>0</v>
      </c>
      <c r="M467">
        <v>0</v>
      </c>
    </row>
    <row r="468" spans="2:13" x14ac:dyDescent="0.2">
      <c r="B468" s="2">
        <v>454</v>
      </c>
      <c r="C468">
        <v>5.7651105341242301</v>
      </c>
      <c r="D468" s="13">
        <f t="shared" si="22"/>
        <v>1.8140687646709348E-2</v>
      </c>
      <c r="E468">
        <v>0</v>
      </c>
      <c r="F468">
        <f t="shared" si="23"/>
        <v>0</v>
      </c>
      <c r="G468">
        <v>0</v>
      </c>
      <c r="H468">
        <f t="shared" si="24"/>
        <v>0</v>
      </c>
      <c r="I468">
        <v>575.79919430625398</v>
      </c>
      <c r="K468">
        <v>0</v>
      </c>
      <c r="M468">
        <v>0</v>
      </c>
    </row>
    <row r="469" spans="2:13" x14ac:dyDescent="0.2">
      <c r="B469" s="2">
        <v>455</v>
      </c>
      <c r="C469">
        <v>4.8795964720976004</v>
      </c>
      <c r="D469" s="13">
        <f t="shared" si="22"/>
        <v>1.5354299786336064E-2</v>
      </c>
      <c r="E469">
        <v>0</v>
      </c>
      <c r="F469">
        <f t="shared" si="23"/>
        <v>0</v>
      </c>
      <c r="G469">
        <v>0</v>
      </c>
      <c r="H469">
        <f t="shared" si="24"/>
        <v>0</v>
      </c>
      <c r="I469">
        <v>594.66994559710497</v>
      </c>
      <c r="K469">
        <v>0</v>
      </c>
      <c r="M469">
        <v>0</v>
      </c>
    </row>
    <row r="470" spans="2:13" x14ac:dyDescent="0.2">
      <c r="B470" s="2">
        <v>456</v>
      </c>
      <c r="C470">
        <v>0</v>
      </c>
      <c r="D470" s="13">
        <f t="shared" si="22"/>
        <v>0</v>
      </c>
      <c r="E470">
        <v>0</v>
      </c>
      <c r="F470">
        <f t="shared" si="23"/>
        <v>0</v>
      </c>
      <c r="G470">
        <v>0</v>
      </c>
      <c r="H470">
        <f t="shared" si="24"/>
        <v>0</v>
      </c>
      <c r="I470">
        <v>613.41318122659504</v>
      </c>
      <c r="K470">
        <v>0</v>
      </c>
      <c r="M470">
        <v>0</v>
      </c>
    </row>
    <row r="471" spans="2:13" x14ac:dyDescent="0.2">
      <c r="B471" s="2">
        <v>457</v>
      </c>
      <c r="C471">
        <v>0</v>
      </c>
      <c r="D471" s="13">
        <f t="shared" si="22"/>
        <v>0</v>
      </c>
      <c r="E471">
        <v>0</v>
      </c>
      <c r="F471">
        <f t="shared" si="23"/>
        <v>0</v>
      </c>
      <c r="G471">
        <v>0</v>
      </c>
      <c r="H471">
        <f t="shared" si="24"/>
        <v>0</v>
      </c>
      <c r="I471">
        <v>632.09954518657105</v>
      </c>
      <c r="K471">
        <v>0</v>
      </c>
      <c r="M471">
        <v>0</v>
      </c>
    </row>
    <row r="472" spans="2:13" x14ac:dyDescent="0.2">
      <c r="B472" s="2">
        <v>458</v>
      </c>
      <c r="C472">
        <v>0</v>
      </c>
      <c r="D472" s="13">
        <f t="shared" si="22"/>
        <v>0</v>
      </c>
      <c r="E472">
        <v>0</v>
      </c>
      <c r="F472">
        <f t="shared" si="23"/>
        <v>0</v>
      </c>
      <c r="G472">
        <v>0</v>
      </c>
      <c r="H472">
        <f t="shared" si="24"/>
        <v>0</v>
      </c>
      <c r="I472">
        <v>650.72500957272302</v>
      </c>
      <c r="K472">
        <v>0</v>
      </c>
      <c r="M472">
        <v>0</v>
      </c>
    </row>
    <row r="473" spans="2:13" x14ac:dyDescent="0.2">
      <c r="B473" s="2">
        <v>459</v>
      </c>
      <c r="C473">
        <v>0</v>
      </c>
      <c r="D473" s="13">
        <f t="shared" si="22"/>
        <v>0</v>
      </c>
      <c r="E473">
        <v>0</v>
      </c>
      <c r="F473">
        <f t="shared" si="23"/>
        <v>0</v>
      </c>
      <c r="G473">
        <v>0</v>
      </c>
      <c r="H473">
        <f t="shared" si="24"/>
        <v>0</v>
      </c>
      <c r="I473">
        <v>669.28787699219095</v>
      </c>
      <c r="K473">
        <v>0</v>
      </c>
      <c r="M473">
        <v>0</v>
      </c>
    </row>
    <row r="474" spans="2:13" x14ac:dyDescent="0.2">
      <c r="B474" s="2">
        <v>460</v>
      </c>
      <c r="C474">
        <v>0</v>
      </c>
      <c r="D474" s="13">
        <f t="shared" si="22"/>
        <v>0</v>
      </c>
      <c r="E474">
        <v>0</v>
      </c>
      <c r="F474">
        <f t="shared" si="23"/>
        <v>0</v>
      </c>
      <c r="G474">
        <v>0</v>
      </c>
      <c r="H474">
        <f t="shared" si="24"/>
        <v>0</v>
      </c>
      <c r="I474">
        <v>687.78645605870497</v>
      </c>
      <c r="K474">
        <v>0</v>
      </c>
      <c r="M474">
        <v>0</v>
      </c>
    </row>
    <row r="475" spans="2:13" x14ac:dyDescent="0.2">
      <c r="B475" s="2">
        <v>461</v>
      </c>
      <c r="C475">
        <v>0</v>
      </c>
      <c r="D475" s="13">
        <f t="shared" si="22"/>
        <v>0</v>
      </c>
      <c r="E475">
        <v>0</v>
      </c>
      <c r="F475">
        <f t="shared" si="23"/>
        <v>0</v>
      </c>
      <c r="G475">
        <v>0</v>
      </c>
      <c r="H475">
        <f t="shared" si="24"/>
        <v>0</v>
      </c>
      <c r="I475">
        <v>706.21906154665305</v>
      </c>
      <c r="K475">
        <v>0</v>
      </c>
      <c r="M475">
        <v>0</v>
      </c>
    </row>
    <row r="476" spans="2:13" x14ac:dyDescent="0.2">
      <c r="B476" s="2">
        <v>462</v>
      </c>
      <c r="C476">
        <v>0</v>
      </c>
      <c r="D476" s="13">
        <f t="shared" si="22"/>
        <v>0</v>
      </c>
      <c r="E476">
        <v>0</v>
      </c>
      <c r="F476">
        <f t="shared" si="23"/>
        <v>0</v>
      </c>
      <c r="G476">
        <v>0</v>
      </c>
      <c r="H476">
        <f t="shared" si="24"/>
        <v>0</v>
      </c>
      <c r="I476">
        <v>724.584014544556</v>
      </c>
      <c r="K476">
        <v>0</v>
      </c>
      <c r="M476">
        <v>0</v>
      </c>
    </row>
    <row r="477" spans="2:13" x14ac:dyDescent="0.2">
      <c r="B477" s="2">
        <v>463</v>
      </c>
      <c r="C477">
        <v>0</v>
      </c>
      <c r="D477" s="13">
        <f t="shared" si="22"/>
        <v>0</v>
      </c>
      <c r="E477">
        <v>0</v>
      </c>
      <c r="F477">
        <f t="shared" si="23"/>
        <v>0</v>
      </c>
      <c r="G477">
        <v>0</v>
      </c>
      <c r="H477">
        <f t="shared" si="24"/>
        <v>0</v>
      </c>
      <c r="I477">
        <v>743.06215368582002</v>
      </c>
      <c r="K477">
        <v>0</v>
      </c>
      <c r="M477">
        <v>0</v>
      </c>
    </row>
    <row r="478" spans="2:13" x14ac:dyDescent="0.2">
      <c r="B478" s="2">
        <v>464</v>
      </c>
      <c r="C478">
        <v>0</v>
      </c>
      <c r="D478" s="13">
        <f t="shared" si="22"/>
        <v>0</v>
      </c>
      <c r="E478">
        <v>0</v>
      </c>
      <c r="F478">
        <f t="shared" si="23"/>
        <v>0</v>
      </c>
      <c r="G478">
        <v>0</v>
      </c>
      <c r="H478">
        <f t="shared" si="24"/>
        <v>0</v>
      </c>
      <c r="I478">
        <v>761.55849594907295</v>
      </c>
      <c r="K478">
        <v>0</v>
      </c>
      <c r="M478">
        <v>0</v>
      </c>
    </row>
    <row r="479" spans="2:13" x14ac:dyDescent="0.2">
      <c r="B479" s="2">
        <v>465</v>
      </c>
      <c r="C479">
        <v>0</v>
      </c>
      <c r="D479" s="13">
        <f t="shared" si="22"/>
        <v>0</v>
      </c>
      <c r="E479">
        <v>0</v>
      </c>
      <c r="F479">
        <f t="shared" si="23"/>
        <v>0</v>
      </c>
      <c r="G479">
        <v>0</v>
      </c>
      <c r="H479">
        <f t="shared" si="24"/>
        <v>0</v>
      </c>
      <c r="I479">
        <v>780.00432346597199</v>
      </c>
      <c r="K479">
        <v>0</v>
      </c>
      <c r="M479">
        <v>0</v>
      </c>
    </row>
    <row r="480" spans="2:13" x14ac:dyDescent="0.2">
      <c r="B480" s="2">
        <v>466</v>
      </c>
      <c r="C480">
        <v>0</v>
      </c>
      <c r="D480" s="13">
        <f t="shared" si="22"/>
        <v>0</v>
      </c>
      <c r="E480">
        <v>0</v>
      </c>
      <c r="F480">
        <f t="shared" si="23"/>
        <v>0</v>
      </c>
      <c r="G480">
        <v>0</v>
      </c>
      <c r="H480">
        <f t="shared" si="24"/>
        <v>0</v>
      </c>
      <c r="I480">
        <v>798.19488893001005</v>
      </c>
      <c r="K480">
        <v>0</v>
      </c>
      <c r="M480">
        <v>0</v>
      </c>
    </row>
    <row r="481" spans="2:13" x14ac:dyDescent="0.2">
      <c r="B481" s="2">
        <v>467</v>
      </c>
      <c r="C481">
        <v>352.920598541581</v>
      </c>
      <c r="D481" s="13">
        <f t="shared" si="22"/>
        <v>1.1105116379533702</v>
      </c>
      <c r="E481">
        <v>0</v>
      </c>
      <c r="F481">
        <f t="shared" si="23"/>
        <v>0</v>
      </c>
      <c r="G481">
        <v>0</v>
      </c>
      <c r="H481">
        <f t="shared" si="24"/>
        <v>0</v>
      </c>
      <c r="I481">
        <v>816.22267931031297</v>
      </c>
      <c r="K481">
        <v>0</v>
      </c>
      <c r="M481">
        <v>0</v>
      </c>
    </row>
    <row r="482" spans="2:13" x14ac:dyDescent="0.2">
      <c r="B482" s="2">
        <v>468</v>
      </c>
      <c r="C482">
        <v>345.39319578054102</v>
      </c>
      <c r="D482" s="13">
        <f t="shared" si="22"/>
        <v>1.0868256632490279</v>
      </c>
      <c r="E482">
        <v>0</v>
      </c>
      <c r="F482">
        <f t="shared" si="23"/>
        <v>0</v>
      </c>
      <c r="G482">
        <v>0</v>
      </c>
      <c r="H482">
        <f t="shared" si="24"/>
        <v>0</v>
      </c>
      <c r="I482">
        <v>834.069161568548</v>
      </c>
      <c r="K482">
        <v>0</v>
      </c>
      <c r="M482">
        <v>0</v>
      </c>
    </row>
    <row r="483" spans="2:13" x14ac:dyDescent="0.2">
      <c r="B483" s="2">
        <v>469</v>
      </c>
      <c r="C483">
        <v>337.87909993533799</v>
      </c>
      <c r="D483" s="13">
        <f t="shared" si="22"/>
        <v>1.0631815605265513</v>
      </c>
      <c r="E483">
        <v>0</v>
      </c>
      <c r="F483">
        <f t="shared" si="23"/>
        <v>0</v>
      </c>
      <c r="G483">
        <v>0</v>
      </c>
      <c r="H483">
        <f t="shared" si="24"/>
        <v>0</v>
      </c>
      <c r="I483">
        <v>851.72445828719697</v>
      </c>
      <c r="K483">
        <v>0</v>
      </c>
      <c r="M483">
        <v>0</v>
      </c>
    </row>
    <row r="484" spans="2:13" x14ac:dyDescent="0.2">
      <c r="B484" s="2">
        <v>470</v>
      </c>
      <c r="C484">
        <v>330.37829748835702</v>
      </c>
      <c r="D484" s="13">
        <f t="shared" si="22"/>
        <v>1.0395792872509662</v>
      </c>
      <c r="E484">
        <v>0</v>
      </c>
      <c r="F484">
        <f t="shared" si="23"/>
        <v>0</v>
      </c>
      <c r="G484">
        <v>0</v>
      </c>
      <c r="H484">
        <f t="shared" si="24"/>
        <v>0</v>
      </c>
      <c r="I484">
        <v>869.19292078341505</v>
      </c>
      <c r="K484">
        <v>0</v>
      </c>
      <c r="M484">
        <v>0</v>
      </c>
    </row>
    <row r="485" spans="2:13" x14ac:dyDescent="0.2">
      <c r="B485" s="2">
        <v>471</v>
      </c>
      <c r="C485">
        <v>0</v>
      </c>
      <c r="D485" s="13">
        <f t="shared" si="22"/>
        <v>0</v>
      </c>
      <c r="E485">
        <v>0</v>
      </c>
      <c r="F485">
        <f t="shared" si="23"/>
        <v>0</v>
      </c>
      <c r="G485">
        <v>0</v>
      </c>
      <c r="H485">
        <f t="shared" si="24"/>
        <v>0</v>
      </c>
      <c r="I485">
        <v>886.43547191679295</v>
      </c>
      <c r="K485">
        <v>0</v>
      </c>
      <c r="M485">
        <v>0</v>
      </c>
    </row>
    <row r="486" spans="2:13" x14ac:dyDescent="0.2">
      <c r="B486" s="2">
        <v>472</v>
      </c>
      <c r="C486">
        <v>0</v>
      </c>
      <c r="D486" s="13">
        <f t="shared" si="22"/>
        <v>0</v>
      </c>
      <c r="E486">
        <v>0</v>
      </c>
      <c r="F486">
        <f t="shared" si="23"/>
        <v>0</v>
      </c>
      <c r="G486">
        <v>0</v>
      </c>
      <c r="H486">
        <f t="shared" si="24"/>
        <v>0</v>
      </c>
      <c r="I486">
        <v>903.59334108926396</v>
      </c>
      <c r="K486">
        <v>0</v>
      </c>
      <c r="M486">
        <v>0</v>
      </c>
    </row>
    <row r="487" spans="2:13" x14ac:dyDescent="0.2">
      <c r="B487" s="2">
        <v>473</v>
      </c>
      <c r="C487">
        <v>0</v>
      </c>
      <c r="D487" s="13">
        <f t="shared" si="22"/>
        <v>0</v>
      </c>
      <c r="E487">
        <v>0</v>
      </c>
      <c r="F487">
        <f t="shared" si="23"/>
        <v>0</v>
      </c>
      <c r="G487">
        <v>0</v>
      </c>
      <c r="H487">
        <f t="shared" si="24"/>
        <v>0</v>
      </c>
      <c r="I487">
        <v>920.64377304986499</v>
      </c>
      <c r="K487">
        <v>0</v>
      </c>
      <c r="M487">
        <v>0</v>
      </c>
    </row>
    <row r="488" spans="2:13" x14ac:dyDescent="0.2">
      <c r="B488" s="2">
        <v>474</v>
      </c>
      <c r="C488">
        <v>0</v>
      </c>
      <c r="D488" s="13">
        <f t="shared" si="22"/>
        <v>0</v>
      </c>
      <c r="E488">
        <v>0</v>
      </c>
      <c r="F488">
        <f t="shared" si="23"/>
        <v>0</v>
      </c>
      <c r="G488">
        <v>0</v>
      </c>
      <c r="H488">
        <f t="shared" si="24"/>
        <v>0</v>
      </c>
      <c r="I488">
        <v>937.61470298583095</v>
      </c>
      <c r="K488">
        <v>0</v>
      </c>
      <c r="M488">
        <v>0</v>
      </c>
    </row>
    <row r="489" spans="2:13" x14ac:dyDescent="0.2">
      <c r="B489" s="2">
        <v>475</v>
      </c>
      <c r="C489">
        <v>0</v>
      </c>
      <c r="D489" s="13">
        <f t="shared" si="22"/>
        <v>0</v>
      </c>
      <c r="E489">
        <v>0</v>
      </c>
      <c r="F489">
        <f t="shared" si="23"/>
        <v>0</v>
      </c>
      <c r="G489">
        <v>0</v>
      </c>
      <c r="H489">
        <f t="shared" si="24"/>
        <v>0</v>
      </c>
      <c r="I489">
        <v>954.51641385481196</v>
      </c>
      <c r="K489">
        <v>0</v>
      </c>
      <c r="M489">
        <v>0</v>
      </c>
    </row>
    <row r="490" spans="2:13" x14ac:dyDescent="0.2">
      <c r="B490" s="2">
        <v>476</v>
      </c>
      <c r="C490">
        <v>0</v>
      </c>
      <c r="D490" s="13">
        <f t="shared" si="22"/>
        <v>0</v>
      </c>
      <c r="E490">
        <v>0</v>
      </c>
      <c r="F490">
        <f t="shared" si="23"/>
        <v>0</v>
      </c>
      <c r="G490">
        <v>0</v>
      </c>
      <c r="H490">
        <f t="shared" si="24"/>
        <v>0</v>
      </c>
      <c r="I490">
        <v>971.37555116053898</v>
      </c>
      <c r="K490">
        <v>0</v>
      </c>
      <c r="M490">
        <v>0</v>
      </c>
    </row>
    <row r="491" spans="2:13" x14ac:dyDescent="0.2">
      <c r="B491" s="2">
        <v>477</v>
      </c>
      <c r="C491">
        <v>0</v>
      </c>
      <c r="D491" s="13">
        <f t="shared" si="22"/>
        <v>0</v>
      </c>
      <c r="E491">
        <v>0</v>
      </c>
      <c r="F491">
        <f t="shared" si="23"/>
        <v>0</v>
      </c>
      <c r="G491">
        <v>0</v>
      </c>
      <c r="H491">
        <f t="shared" si="24"/>
        <v>0</v>
      </c>
      <c r="I491">
        <v>988.23040494288603</v>
      </c>
      <c r="K491">
        <v>0</v>
      </c>
      <c r="M491">
        <v>0</v>
      </c>
    </row>
    <row r="492" spans="2:13" x14ac:dyDescent="0.2">
      <c r="B492" s="2">
        <v>478</v>
      </c>
      <c r="C492">
        <v>0</v>
      </c>
      <c r="D492" s="13">
        <f t="shared" si="22"/>
        <v>0</v>
      </c>
      <c r="E492">
        <v>0</v>
      </c>
      <c r="F492">
        <f t="shared" si="23"/>
        <v>0</v>
      </c>
      <c r="G492">
        <v>0</v>
      </c>
      <c r="H492">
        <f t="shared" si="24"/>
        <v>0</v>
      </c>
      <c r="I492">
        <v>1005.09505567599</v>
      </c>
      <c r="K492">
        <v>0</v>
      </c>
      <c r="M492">
        <v>0</v>
      </c>
    </row>
    <row r="493" spans="2:13" x14ac:dyDescent="0.2">
      <c r="B493" s="2">
        <v>479</v>
      </c>
      <c r="C493">
        <v>0</v>
      </c>
      <c r="D493" s="13">
        <f t="shared" si="22"/>
        <v>0</v>
      </c>
      <c r="E493">
        <v>0</v>
      </c>
      <c r="F493">
        <f t="shared" si="23"/>
        <v>0</v>
      </c>
      <c r="G493">
        <v>0</v>
      </c>
      <c r="H493">
        <f t="shared" si="24"/>
        <v>0</v>
      </c>
      <c r="I493">
        <v>1021.9714637534599</v>
      </c>
      <c r="K493">
        <v>0</v>
      </c>
      <c r="M493">
        <v>0</v>
      </c>
    </row>
    <row r="494" spans="2:13" x14ac:dyDescent="0.2">
      <c r="B494" s="2">
        <v>480</v>
      </c>
      <c r="C494">
        <v>0</v>
      </c>
      <c r="D494" s="13">
        <f t="shared" si="22"/>
        <v>0</v>
      </c>
      <c r="E494">
        <v>0</v>
      </c>
      <c r="F494">
        <f t="shared" si="23"/>
        <v>0</v>
      </c>
      <c r="G494">
        <v>0</v>
      </c>
      <c r="H494">
        <f t="shared" si="24"/>
        <v>0</v>
      </c>
      <c r="I494">
        <v>1038.6415029637501</v>
      </c>
      <c r="K494">
        <v>0</v>
      </c>
      <c r="M494">
        <v>0</v>
      </c>
    </row>
    <row r="495" spans="2:13" x14ac:dyDescent="0.2">
      <c r="B495" s="2">
        <v>481</v>
      </c>
      <c r="C495">
        <v>0</v>
      </c>
      <c r="D495" s="13">
        <f t="shared" si="22"/>
        <v>0</v>
      </c>
      <c r="E495">
        <v>0</v>
      </c>
      <c r="F495">
        <f t="shared" si="23"/>
        <v>0</v>
      </c>
      <c r="G495">
        <v>0</v>
      </c>
      <c r="H495">
        <f t="shared" si="24"/>
        <v>0</v>
      </c>
      <c r="I495">
        <v>1055.21370231486</v>
      </c>
      <c r="K495">
        <v>0</v>
      </c>
      <c r="M495">
        <v>0</v>
      </c>
    </row>
    <row r="496" spans="2:13" x14ac:dyDescent="0.2">
      <c r="B496" s="2">
        <v>482</v>
      </c>
      <c r="C496">
        <v>0</v>
      </c>
      <c r="D496" s="13">
        <f t="shared" si="22"/>
        <v>0</v>
      </c>
      <c r="E496">
        <v>0</v>
      </c>
      <c r="F496">
        <f t="shared" si="23"/>
        <v>0</v>
      </c>
      <c r="G496">
        <v>0</v>
      </c>
      <c r="H496">
        <f t="shared" si="24"/>
        <v>0</v>
      </c>
      <c r="I496">
        <v>1071.6865584638599</v>
      </c>
      <c r="K496">
        <v>0</v>
      </c>
      <c r="M496">
        <v>0</v>
      </c>
    </row>
    <row r="497" spans="2:13" x14ac:dyDescent="0.2">
      <c r="B497" s="2">
        <v>483</v>
      </c>
      <c r="C497">
        <v>0</v>
      </c>
      <c r="D497" s="13">
        <f t="shared" si="22"/>
        <v>0</v>
      </c>
      <c r="E497">
        <v>0</v>
      </c>
      <c r="F497">
        <f t="shared" si="23"/>
        <v>0</v>
      </c>
      <c r="G497">
        <v>0</v>
      </c>
      <c r="H497">
        <f t="shared" si="24"/>
        <v>0</v>
      </c>
      <c r="I497">
        <v>1088.05857741149</v>
      </c>
      <c r="K497">
        <v>0</v>
      </c>
      <c r="M497">
        <v>0</v>
      </c>
    </row>
    <row r="498" spans="2:13" x14ac:dyDescent="0.2">
      <c r="B498" s="2">
        <v>484</v>
      </c>
      <c r="C498">
        <v>0</v>
      </c>
      <c r="D498" s="13">
        <f t="shared" si="22"/>
        <v>0</v>
      </c>
      <c r="E498">
        <v>0</v>
      </c>
      <c r="F498">
        <f t="shared" si="23"/>
        <v>0</v>
      </c>
      <c r="G498">
        <v>0</v>
      </c>
      <c r="H498">
        <f t="shared" si="24"/>
        <v>0</v>
      </c>
      <c r="I498">
        <v>1104.3282746375901</v>
      </c>
      <c r="K498">
        <v>0</v>
      </c>
      <c r="M498">
        <v>0</v>
      </c>
    </row>
    <row r="499" spans="2:13" x14ac:dyDescent="0.2">
      <c r="B499" s="2">
        <v>485</v>
      </c>
      <c r="C499">
        <v>0</v>
      </c>
      <c r="D499" s="13">
        <f t="shared" si="22"/>
        <v>0</v>
      </c>
      <c r="E499">
        <v>0</v>
      </c>
      <c r="F499">
        <f t="shared" si="23"/>
        <v>0</v>
      </c>
      <c r="G499">
        <v>0</v>
      </c>
      <c r="H499">
        <f t="shared" si="24"/>
        <v>0</v>
      </c>
      <c r="I499">
        <v>1120.4941752356301</v>
      </c>
      <c r="K499">
        <v>0</v>
      </c>
      <c r="M499">
        <v>0</v>
      </c>
    </row>
    <row r="500" spans="2:13" x14ac:dyDescent="0.2">
      <c r="B500" s="2">
        <v>486</v>
      </c>
      <c r="C500">
        <v>0</v>
      </c>
      <c r="D500" s="13">
        <f t="shared" si="22"/>
        <v>0</v>
      </c>
      <c r="E500">
        <v>0</v>
      </c>
      <c r="F500">
        <f t="shared" si="23"/>
        <v>0</v>
      </c>
      <c r="G500">
        <v>0</v>
      </c>
      <c r="H500">
        <f t="shared" si="24"/>
        <v>0</v>
      </c>
      <c r="I500">
        <v>1136.55481404642</v>
      </c>
      <c r="K500">
        <v>0</v>
      </c>
      <c r="M500">
        <v>0</v>
      </c>
    </row>
    <row r="501" spans="2:13" x14ac:dyDescent="0.2">
      <c r="B501" s="2">
        <v>487</v>
      </c>
      <c r="C501">
        <v>0</v>
      </c>
      <c r="D501" s="13">
        <f t="shared" si="22"/>
        <v>0</v>
      </c>
      <c r="E501">
        <v>0</v>
      </c>
      <c r="F501">
        <f t="shared" si="23"/>
        <v>0</v>
      </c>
      <c r="G501">
        <v>0</v>
      </c>
      <c r="H501">
        <f t="shared" si="24"/>
        <v>0</v>
      </c>
      <c r="I501">
        <v>1152.6992335699999</v>
      </c>
      <c r="K501">
        <v>0</v>
      </c>
      <c r="M501">
        <v>0</v>
      </c>
    </row>
    <row r="502" spans="2:13" x14ac:dyDescent="0.2">
      <c r="B502" s="2">
        <v>488</v>
      </c>
      <c r="C502">
        <v>0</v>
      </c>
      <c r="D502" s="13">
        <f t="shared" si="22"/>
        <v>0</v>
      </c>
      <c r="E502">
        <v>0</v>
      </c>
      <c r="F502">
        <f t="shared" si="23"/>
        <v>0</v>
      </c>
      <c r="G502">
        <v>0</v>
      </c>
      <c r="H502">
        <f t="shared" si="24"/>
        <v>0</v>
      </c>
      <c r="I502">
        <v>1168.85467094296</v>
      </c>
      <c r="K502">
        <v>0</v>
      </c>
      <c r="M502">
        <v>0</v>
      </c>
    </row>
    <row r="503" spans="2:13" x14ac:dyDescent="0.2">
      <c r="B503" s="2">
        <v>489</v>
      </c>
      <c r="C503">
        <v>0</v>
      </c>
      <c r="D503" s="13">
        <f t="shared" si="22"/>
        <v>0</v>
      </c>
      <c r="E503">
        <v>0</v>
      </c>
      <c r="F503">
        <f t="shared" si="23"/>
        <v>0</v>
      </c>
      <c r="G503">
        <v>0</v>
      </c>
      <c r="H503">
        <f t="shared" si="24"/>
        <v>0</v>
      </c>
      <c r="I503">
        <v>1184.9429197611501</v>
      </c>
      <c r="K503">
        <v>0</v>
      </c>
      <c r="M503">
        <v>0</v>
      </c>
    </row>
    <row r="504" spans="2:13" x14ac:dyDescent="0.2">
      <c r="B504" s="2">
        <v>490</v>
      </c>
      <c r="C504">
        <v>0</v>
      </c>
      <c r="D504" s="13">
        <f t="shared" si="22"/>
        <v>0</v>
      </c>
      <c r="E504">
        <v>0</v>
      </c>
      <c r="F504">
        <f t="shared" si="23"/>
        <v>0</v>
      </c>
      <c r="G504">
        <v>0</v>
      </c>
      <c r="H504">
        <f t="shared" si="24"/>
        <v>0</v>
      </c>
      <c r="I504">
        <v>1200.7559049152301</v>
      </c>
      <c r="K504">
        <v>0</v>
      </c>
      <c r="M504">
        <v>0</v>
      </c>
    </row>
    <row r="505" spans="2:13" x14ac:dyDescent="0.2">
      <c r="B505" s="2">
        <v>491</v>
      </c>
      <c r="C505">
        <v>0</v>
      </c>
      <c r="D505" s="13">
        <f t="shared" si="22"/>
        <v>0</v>
      </c>
      <c r="E505">
        <v>0</v>
      </c>
      <c r="F505">
        <f t="shared" si="23"/>
        <v>0</v>
      </c>
      <c r="G505">
        <v>0</v>
      </c>
      <c r="H505">
        <f t="shared" si="24"/>
        <v>0</v>
      </c>
      <c r="I505">
        <v>1216.3914945394899</v>
      </c>
      <c r="K505">
        <v>0</v>
      </c>
      <c r="M505">
        <v>0</v>
      </c>
    </row>
    <row r="506" spans="2:13" x14ac:dyDescent="0.2">
      <c r="B506" s="2">
        <v>492</v>
      </c>
      <c r="C506">
        <v>0</v>
      </c>
      <c r="D506" s="13">
        <f t="shared" si="22"/>
        <v>0</v>
      </c>
      <c r="E506">
        <v>0</v>
      </c>
      <c r="F506">
        <f t="shared" si="23"/>
        <v>0</v>
      </c>
      <c r="G506">
        <v>0</v>
      </c>
      <c r="H506">
        <f t="shared" si="24"/>
        <v>0</v>
      </c>
      <c r="I506">
        <v>1231.83347582238</v>
      </c>
      <c r="K506">
        <v>0</v>
      </c>
      <c r="M506">
        <v>0</v>
      </c>
    </row>
    <row r="507" spans="2:13" x14ac:dyDescent="0.2">
      <c r="B507" s="2">
        <v>493</v>
      </c>
      <c r="C507">
        <v>0</v>
      </c>
      <c r="D507" s="13">
        <f t="shared" si="22"/>
        <v>0</v>
      </c>
      <c r="E507">
        <v>0</v>
      </c>
      <c r="F507">
        <f t="shared" si="23"/>
        <v>0</v>
      </c>
      <c r="G507">
        <v>0</v>
      </c>
      <c r="H507">
        <f t="shared" si="24"/>
        <v>0</v>
      </c>
      <c r="I507">
        <v>1247.06565772503</v>
      </c>
      <c r="K507">
        <v>0</v>
      </c>
      <c r="M507">
        <v>0</v>
      </c>
    </row>
    <row r="508" spans="2:13" x14ac:dyDescent="0.2">
      <c r="B508" s="2">
        <v>494</v>
      </c>
      <c r="C508">
        <v>0</v>
      </c>
      <c r="D508" s="13">
        <f t="shared" si="22"/>
        <v>0</v>
      </c>
      <c r="E508">
        <v>0</v>
      </c>
      <c r="F508">
        <f t="shared" si="23"/>
        <v>0</v>
      </c>
      <c r="G508">
        <v>0</v>
      </c>
      <c r="H508">
        <f t="shared" si="24"/>
        <v>0</v>
      </c>
      <c r="I508">
        <v>1173.2455165373101</v>
      </c>
      <c r="K508">
        <v>0</v>
      </c>
      <c r="M508">
        <v>0</v>
      </c>
    </row>
    <row r="509" spans="2:13" x14ac:dyDescent="0.2">
      <c r="B509" s="2">
        <v>495</v>
      </c>
      <c r="C509">
        <v>0</v>
      </c>
      <c r="D509" s="13">
        <f t="shared" si="22"/>
        <v>0</v>
      </c>
      <c r="E509">
        <v>0</v>
      </c>
      <c r="F509">
        <f t="shared" si="23"/>
        <v>0</v>
      </c>
      <c r="G509">
        <v>0</v>
      </c>
      <c r="H509">
        <f t="shared" si="24"/>
        <v>0</v>
      </c>
      <c r="I509">
        <v>1142.0872806678101</v>
      </c>
      <c r="K509">
        <v>0</v>
      </c>
      <c r="M509">
        <v>0</v>
      </c>
    </row>
    <row r="510" spans="2:13" x14ac:dyDescent="0.2">
      <c r="B510" s="2">
        <v>496</v>
      </c>
      <c r="C510">
        <v>0</v>
      </c>
      <c r="D510" s="13">
        <f t="shared" si="22"/>
        <v>0</v>
      </c>
      <c r="E510">
        <v>0</v>
      </c>
      <c r="F510">
        <f t="shared" si="23"/>
        <v>0</v>
      </c>
      <c r="G510">
        <v>0</v>
      </c>
      <c r="H510">
        <f t="shared" si="24"/>
        <v>0</v>
      </c>
      <c r="I510">
        <v>1110.9330276696501</v>
      </c>
      <c r="K510">
        <v>0</v>
      </c>
      <c r="M510">
        <v>0</v>
      </c>
    </row>
    <row r="511" spans="2:13" x14ac:dyDescent="0.2">
      <c r="B511" s="2">
        <v>497</v>
      </c>
      <c r="C511">
        <v>0</v>
      </c>
      <c r="D511" s="13">
        <f t="shared" si="22"/>
        <v>0</v>
      </c>
      <c r="E511">
        <v>0</v>
      </c>
      <c r="F511">
        <f t="shared" si="23"/>
        <v>0</v>
      </c>
      <c r="G511">
        <v>0</v>
      </c>
      <c r="H511">
        <f t="shared" si="24"/>
        <v>0</v>
      </c>
      <c r="I511">
        <v>1079.641642885</v>
      </c>
      <c r="K511">
        <v>0</v>
      </c>
      <c r="M511">
        <v>0</v>
      </c>
    </row>
    <row r="512" spans="2:13" x14ac:dyDescent="0.2">
      <c r="B512" s="2">
        <v>498</v>
      </c>
      <c r="C512">
        <v>0</v>
      </c>
      <c r="D512" s="13">
        <f t="shared" si="22"/>
        <v>0</v>
      </c>
      <c r="E512">
        <v>0</v>
      </c>
      <c r="F512">
        <f t="shared" si="23"/>
        <v>0</v>
      </c>
      <c r="G512">
        <v>0</v>
      </c>
      <c r="H512">
        <f t="shared" si="24"/>
        <v>0</v>
      </c>
      <c r="I512">
        <v>1048.17893117064</v>
      </c>
      <c r="K512">
        <v>0</v>
      </c>
      <c r="M512">
        <v>0</v>
      </c>
    </row>
    <row r="513" spans="2:13" x14ac:dyDescent="0.2">
      <c r="B513" s="2">
        <v>499</v>
      </c>
      <c r="C513">
        <v>0</v>
      </c>
      <c r="D513" s="13">
        <f t="shared" si="22"/>
        <v>0</v>
      </c>
      <c r="E513">
        <v>0</v>
      </c>
      <c r="F513">
        <f t="shared" si="23"/>
        <v>0</v>
      </c>
      <c r="G513">
        <v>0</v>
      </c>
      <c r="H513">
        <f t="shared" si="24"/>
        <v>0</v>
      </c>
      <c r="I513">
        <v>1016.5688670662</v>
      </c>
      <c r="K513">
        <v>0</v>
      </c>
      <c r="M513">
        <v>0</v>
      </c>
    </row>
    <row r="514" spans="2:13" x14ac:dyDescent="0.2">
      <c r="B514" s="2">
        <v>500</v>
      </c>
      <c r="C514">
        <v>0</v>
      </c>
      <c r="D514" s="13">
        <f t="shared" si="22"/>
        <v>0</v>
      </c>
      <c r="E514">
        <v>0</v>
      </c>
      <c r="F514">
        <f t="shared" si="23"/>
        <v>0</v>
      </c>
      <c r="G514">
        <v>0</v>
      </c>
      <c r="H514">
        <f t="shared" si="24"/>
        <v>0</v>
      </c>
      <c r="I514">
        <v>984.818494745051</v>
      </c>
      <c r="K514">
        <v>0</v>
      </c>
      <c r="M514">
        <v>0</v>
      </c>
    </row>
    <row r="515" spans="2:13" x14ac:dyDescent="0.2">
      <c r="B515" s="2">
        <v>501</v>
      </c>
      <c r="C515">
        <v>0</v>
      </c>
      <c r="D515" s="13">
        <f t="shared" si="22"/>
        <v>0</v>
      </c>
      <c r="E515">
        <v>0</v>
      </c>
      <c r="F515">
        <f t="shared" si="23"/>
        <v>0</v>
      </c>
      <c r="G515">
        <v>0</v>
      </c>
      <c r="H515">
        <f t="shared" si="24"/>
        <v>0</v>
      </c>
      <c r="I515">
        <v>953.00644417768297</v>
      </c>
      <c r="K515">
        <v>0</v>
      </c>
      <c r="M515">
        <v>0</v>
      </c>
    </row>
    <row r="516" spans="2:13" x14ac:dyDescent="0.2">
      <c r="B516" s="2">
        <v>502</v>
      </c>
      <c r="C516">
        <v>0</v>
      </c>
      <c r="D516" s="13">
        <f t="shared" si="22"/>
        <v>0</v>
      </c>
      <c r="E516">
        <v>0</v>
      </c>
      <c r="F516">
        <f t="shared" si="23"/>
        <v>0</v>
      </c>
      <c r="G516">
        <v>0</v>
      </c>
      <c r="H516">
        <f t="shared" si="24"/>
        <v>0</v>
      </c>
      <c r="I516">
        <v>921.16829178297598</v>
      </c>
      <c r="K516">
        <v>0</v>
      </c>
      <c r="M516">
        <v>0</v>
      </c>
    </row>
    <row r="517" spans="2:13" x14ac:dyDescent="0.2">
      <c r="B517" s="2">
        <v>503</v>
      </c>
      <c r="C517">
        <v>0</v>
      </c>
      <c r="D517" s="13">
        <f t="shared" si="22"/>
        <v>0</v>
      </c>
      <c r="E517">
        <v>0</v>
      </c>
      <c r="F517">
        <f t="shared" si="23"/>
        <v>0</v>
      </c>
      <c r="G517">
        <v>0</v>
      </c>
      <c r="H517">
        <f t="shared" si="24"/>
        <v>0</v>
      </c>
      <c r="I517">
        <v>889.31155300018997</v>
      </c>
      <c r="K517">
        <v>0</v>
      </c>
      <c r="M517">
        <v>0</v>
      </c>
    </row>
    <row r="518" spans="2:13" x14ac:dyDescent="0.2">
      <c r="B518" s="2">
        <v>504</v>
      </c>
      <c r="C518">
        <v>0</v>
      </c>
      <c r="D518" s="13">
        <f t="shared" si="22"/>
        <v>0</v>
      </c>
      <c r="E518">
        <v>0</v>
      </c>
      <c r="F518">
        <f t="shared" si="23"/>
        <v>0</v>
      </c>
      <c r="G518">
        <v>0</v>
      </c>
      <c r="H518">
        <f t="shared" si="24"/>
        <v>0</v>
      </c>
      <c r="I518">
        <v>857.27668253048</v>
      </c>
      <c r="K518">
        <v>0</v>
      </c>
      <c r="M518">
        <v>0</v>
      </c>
    </row>
    <row r="519" spans="2:13" x14ac:dyDescent="0.2">
      <c r="B519" s="2">
        <v>505</v>
      </c>
      <c r="C519">
        <v>0</v>
      </c>
      <c r="D519" s="13">
        <f t="shared" si="22"/>
        <v>0</v>
      </c>
      <c r="E519">
        <v>0</v>
      </c>
      <c r="F519">
        <f t="shared" si="23"/>
        <v>0</v>
      </c>
      <c r="G519">
        <v>0</v>
      </c>
      <c r="H519">
        <f t="shared" si="24"/>
        <v>0</v>
      </c>
      <c r="I519">
        <v>825.19981851533998</v>
      </c>
      <c r="K519">
        <v>0</v>
      </c>
      <c r="M519">
        <v>2.3206176133281402</v>
      </c>
    </row>
    <row r="520" spans="2:13" x14ac:dyDescent="0.2">
      <c r="B520" s="2">
        <v>506</v>
      </c>
      <c r="C520">
        <v>0</v>
      </c>
      <c r="D520" s="13">
        <f t="shared" si="22"/>
        <v>0</v>
      </c>
      <c r="E520">
        <v>0</v>
      </c>
      <c r="F520">
        <f t="shared" si="23"/>
        <v>0</v>
      </c>
      <c r="G520">
        <v>0</v>
      </c>
      <c r="H520">
        <f t="shared" si="24"/>
        <v>0</v>
      </c>
      <c r="I520">
        <v>793.05324907681995</v>
      </c>
      <c r="K520">
        <v>0</v>
      </c>
      <c r="M520">
        <v>23.120667050727601</v>
      </c>
    </row>
    <row r="521" spans="2:13" x14ac:dyDescent="0.2">
      <c r="B521" s="2">
        <v>507</v>
      </c>
      <c r="C521">
        <v>0</v>
      </c>
      <c r="D521" s="13">
        <f t="shared" si="22"/>
        <v>0</v>
      </c>
      <c r="E521">
        <v>0</v>
      </c>
      <c r="F521">
        <f t="shared" si="23"/>
        <v>0</v>
      </c>
      <c r="G521">
        <v>0</v>
      </c>
      <c r="H521">
        <f t="shared" si="24"/>
        <v>0</v>
      </c>
      <c r="I521">
        <v>760.83909792029397</v>
      </c>
      <c r="K521">
        <v>0</v>
      </c>
      <c r="M521">
        <v>43.915313564787901</v>
      </c>
    </row>
    <row r="522" spans="2:13" x14ac:dyDescent="0.2">
      <c r="B522" s="2">
        <v>508</v>
      </c>
      <c r="C522">
        <v>0</v>
      </c>
      <c r="D522" s="13">
        <f t="shared" si="22"/>
        <v>0</v>
      </c>
      <c r="E522">
        <v>0</v>
      </c>
      <c r="F522">
        <f t="shared" si="23"/>
        <v>0</v>
      </c>
      <c r="G522">
        <v>0</v>
      </c>
      <c r="H522">
        <f t="shared" si="24"/>
        <v>0</v>
      </c>
      <c r="I522">
        <v>728.56032826455396</v>
      </c>
      <c r="K522">
        <v>0</v>
      </c>
      <c r="M522">
        <v>64.682016543354194</v>
      </c>
    </row>
    <row r="523" spans="2:13" x14ac:dyDescent="0.2">
      <c r="B523" s="2">
        <v>509</v>
      </c>
      <c r="C523">
        <v>0</v>
      </c>
      <c r="D523" s="13">
        <f t="shared" si="22"/>
        <v>0</v>
      </c>
      <c r="E523">
        <v>0</v>
      </c>
      <c r="F523">
        <f t="shared" si="23"/>
        <v>0</v>
      </c>
      <c r="G523">
        <v>0</v>
      </c>
      <c r="H523">
        <f t="shared" si="24"/>
        <v>0</v>
      </c>
      <c r="I523">
        <v>696.21990878040401</v>
      </c>
      <c r="K523">
        <v>0</v>
      </c>
      <c r="M523">
        <v>85.370419630821601</v>
      </c>
    </row>
    <row r="524" spans="2:13" x14ac:dyDescent="0.2">
      <c r="B524" s="2">
        <v>510</v>
      </c>
      <c r="C524">
        <v>0</v>
      </c>
      <c r="D524" s="13">
        <f t="shared" si="22"/>
        <v>0</v>
      </c>
      <c r="E524">
        <v>0</v>
      </c>
      <c r="F524">
        <f t="shared" si="23"/>
        <v>0</v>
      </c>
      <c r="G524">
        <v>0</v>
      </c>
      <c r="H524">
        <f t="shared" si="24"/>
        <v>0</v>
      </c>
      <c r="I524">
        <v>663.817457095029</v>
      </c>
      <c r="K524">
        <v>0</v>
      </c>
      <c r="M524">
        <v>105.93921021071399</v>
      </c>
    </row>
    <row r="525" spans="2:13" x14ac:dyDescent="0.2">
      <c r="B525" s="2">
        <v>511</v>
      </c>
      <c r="C525">
        <v>0</v>
      </c>
      <c r="D525" s="13">
        <f t="shared" si="22"/>
        <v>0</v>
      </c>
      <c r="E525">
        <v>0</v>
      </c>
      <c r="F525">
        <f t="shared" si="23"/>
        <v>0</v>
      </c>
      <c r="G525">
        <v>0</v>
      </c>
      <c r="H525">
        <f t="shared" si="24"/>
        <v>0</v>
      </c>
      <c r="I525">
        <v>631.51356063948799</v>
      </c>
      <c r="K525">
        <v>0</v>
      </c>
      <c r="M525">
        <v>126.438415093415</v>
      </c>
    </row>
    <row r="526" spans="2:13" x14ac:dyDescent="0.2">
      <c r="B526" s="2">
        <v>512</v>
      </c>
      <c r="C526">
        <v>0</v>
      </c>
      <c r="D526" s="13">
        <f t="shared" si="22"/>
        <v>0</v>
      </c>
      <c r="E526">
        <v>0</v>
      </c>
      <c r="F526">
        <f t="shared" si="23"/>
        <v>0</v>
      </c>
      <c r="G526">
        <v>0</v>
      </c>
      <c r="H526">
        <f t="shared" si="24"/>
        <v>0</v>
      </c>
      <c r="I526">
        <v>599.21940290592204</v>
      </c>
      <c r="K526">
        <v>0</v>
      </c>
      <c r="M526">
        <v>146.88425596061401</v>
      </c>
    </row>
    <row r="527" spans="2:13" x14ac:dyDescent="0.2">
      <c r="B527" s="2">
        <v>513</v>
      </c>
      <c r="C527">
        <v>0</v>
      </c>
      <c r="D527" s="13">
        <f t="shared" si="22"/>
        <v>0</v>
      </c>
      <c r="E527">
        <v>0</v>
      </c>
      <c r="F527">
        <f t="shared" si="23"/>
        <v>0</v>
      </c>
      <c r="G527">
        <v>0</v>
      </c>
      <c r="H527">
        <f t="shared" si="24"/>
        <v>0</v>
      </c>
      <c r="I527">
        <v>566.86305159716096</v>
      </c>
      <c r="K527">
        <v>0</v>
      </c>
      <c r="M527">
        <v>167.14338099386899</v>
      </c>
    </row>
    <row r="528" spans="2:13" x14ac:dyDescent="0.2">
      <c r="B528" s="2">
        <v>514</v>
      </c>
      <c r="C528">
        <v>0</v>
      </c>
      <c r="D528" s="13">
        <f t="shared" ref="D528:D591" si="25">C528/($D$8-$D$9)</f>
        <v>0</v>
      </c>
      <c r="E528">
        <v>0</v>
      </c>
      <c r="F528">
        <f t="shared" ref="F528:F591" si="26">E528/($F$8-$F$9)</f>
        <v>0</v>
      </c>
      <c r="G528">
        <v>0</v>
      </c>
      <c r="H528">
        <f t="shared" ref="H528:H591" si="27">G528/($H$8-$H$9)</f>
        <v>0</v>
      </c>
      <c r="I528">
        <v>534.22992213304099</v>
      </c>
      <c r="K528">
        <v>0</v>
      </c>
      <c r="M528">
        <v>187.148915687363</v>
      </c>
    </row>
    <row r="529" spans="2:13" x14ac:dyDescent="0.2">
      <c r="B529" s="2">
        <v>515</v>
      </c>
      <c r="C529">
        <v>0</v>
      </c>
      <c r="D529" s="13">
        <f t="shared" si="25"/>
        <v>0</v>
      </c>
      <c r="E529">
        <v>0</v>
      </c>
      <c r="F529">
        <f t="shared" si="26"/>
        <v>0</v>
      </c>
      <c r="G529">
        <v>0</v>
      </c>
      <c r="H529">
        <f t="shared" si="27"/>
        <v>0</v>
      </c>
      <c r="I529">
        <v>501.41830019869502</v>
      </c>
      <c r="K529">
        <v>0</v>
      </c>
      <c r="M529">
        <v>206.919197985078</v>
      </c>
    </row>
    <row r="530" spans="2:13" x14ac:dyDescent="0.2">
      <c r="B530" s="2">
        <v>516</v>
      </c>
      <c r="C530">
        <v>0</v>
      </c>
      <c r="D530" s="13">
        <f t="shared" si="25"/>
        <v>0</v>
      </c>
      <c r="E530">
        <v>0</v>
      </c>
      <c r="F530">
        <f t="shared" si="26"/>
        <v>0</v>
      </c>
      <c r="G530">
        <v>0</v>
      </c>
      <c r="H530">
        <f t="shared" si="27"/>
        <v>0</v>
      </c>
      <c r="I530">
        <v>468.40910685186202</v>
      </c>
      <c r="K530">
        <v>0</v>
      </c>
      <c r="M530">
        <v>226.42897560899399</v>
      </c>
    </row>
    <row r="531" spans="2:13" x14ac:dyDescent="0.2">
      <c r="B531" s="2">
        <v>517</v>
      </c>
      <c r="C531">
        <v>0</v>
      </c>
      <c r="D531" s="13">
        <f t="shared" si="25"/>
        <v>0</v>
      </c>
      <c r="E531">
        <v>0</v>
      </c>
      <c r="F531">
        <f t="shared" si="26"/>
        <v>0</v>
      </c>
      <c r="G531">
        <v>0</v>
      </c>
      <c r="H531">
        <f t="shared" si="27"/>
        <v>0</v>
      </c>
      <c r="I531">
        <v>435.18328569031303</v>
      </c>
      <c r="K531">
        <v>0</v>
      </c>
      <c r="M531">
        <v>245.65302460258499</v>
      </c>
    </row>
    <row r="532" spans="2:13" x14ac:dyDescent="0.2">
      <c r="B532" s="2">
        <v>518</v>
      </c>
      <c r="C532">
        <v>0</v>
      </c>
      <c r="D532" s="13">
        <f t="shared" si="25"/>
        <v>0</v>
      </c>
      <c r="E532">
        <v>0</v>
      </c>
      <c r="F532">
        <f t="shared" si="26"/>
        <v>0</v>
      </c>
      <c r="G532">
        <v>0</v>
      </c>
      <c r="H532">
        <f t="shared" si="27"/>
        <v>0</v>
      </c>
      <c r="I532">
        <v>401.72180458944899</v>
      </c>
      <c r="K532">
        <v>0</v>
      </c>
      <c r="M532">
        <v>264.56615163574702</v>
      </c>
    </row>
    <row r="533" spans="2:13" x14ac:dyDescent="0.2">
      <c r="B533" s="2">
        <v>519</v>
      </c>
      <c r="C533">
        <v>0</v>
      </c>
      <c r="D533" s="13">
        <f t="shared" si="25"/>
        <v>0</v>
      </c>
      <c r="E533">
        <v>0</v>
      </c>
      <c r="F533">
        <f t="shared" si="26"/>
        <v>0</v>
      </c>
      <c r="G533">
        <v>0</v>
      </c>
      <c r="H533">
        <f t="shared" si="27"/>
        <v>0</v>
      </c>
      <c r="I533">
        <v>368.04343363157</v>
      </c>
      <c r="K533">
        <v>0</v>
      </c>
      <c r="M533">
        <v>283.18371245248198</v>
      </c>
    </row>
    <row r="534" spans="2:13" x14ac:dyDescent="0.2">
      <c r="B534" s="2">
        <v>520</v>
      </c>
      <c r="C534">
        <v>0</v>
      </c>
      <c r="D534" s="13">
        <f t="shared" si="25"/>
        <v>0</v>
      </c>
      <c r="E534">
        <v>0</v>
      </c>
      <c r="F534">
        <f t="shared" si="26"/>
        <v>0</v>
      </c>
      <c r="G534">
        <v>0</v>
      </c>
      <c r="H534">
        <f t="shared" si="27"/>
        <v>0</v>
      </c>
      <c r="I534">
        <v>334.35388282319201</v>
      </c>
      <c r="K534">
        <v>0</v>
      </c>
      <c r="M534">
        <v>301.57382400323399</v>
      </c>
    </row>
    <row r="535" spans="2:13" x14ac:dyDescent="0.2">
      <c r="B535" s="2">
        <v>521</v>
      </c>
      <c r="C535">
        <v>0</v>
      </c>
      <c r="D535" s="13">
        <f t="shared" si="25"/>
        <v>0</v>
      </c>
      <c r="E535">
        <v>0</v>
      </c>
      <c r="F535">
        <f t="shared" si="26"/>
        <v>0</v>
      </c>
      <c r="G535">
        <v>0</v>
      </c>
      <c r="H535">
        <f t="shared" si="27"/>
        <v>0</v>
      </c>
      <c r="I535">
        <v>300.49901702503098</v>
      </c>
      <c r="K535">
        <v>0</v>
      </c>
      <c r="M535">
        <v>319.67591650513901</v>
      </c>
    </row>
    <row r="536" spans="2:13" x14ac:dyDescent="0.2">
      <c r="B536" s="2">
        <v>522</v>
      </c>
      <c r="C536">
        <v>0</v>
      </c>
      <c r="D536" s="13">
        <f t="shared" si="25"/>
        <v>0</v>
      </c>
      <c r="E536">
        <v>0</v>
      </c>
      <c r="F536">
        <f t="shared" si="26"/>
        <v>0</v>
      </c>
      <c r="G536">
        <v>0</v>
      </c>
      <c r="H536">
        <f t="shared" si="27"/>
        <v>0</v>
      </c>
      <c r="I536">
        <v>266.44024119319801</v>
      </c>
      <c r="K536">
        <v>0</v>
      </c>
      <c r="M536">
        <v>337.42685200992599</v>
      </c>
    </row>
    <row r="537" spans="2:13" x14ac:dyDescent="0.2">
      <c r="B537" s="2">
        <v>523</v>
      </c>
      <c r="C537">
        <v>0</v>
      </c>
      <c r="D537" s="13">
        <f t="shared" si="25"/>
        <v>0</v>
      </c>
      <c r="E537">
        <v>0</v>
      </c>
      <c r="F537">
        <f t="shared" si="26"/>
        <v>0</v>
      </c>
      <c r="G537">
        <v>0</v>
      </c>
      <c r="H537">
        <f t="shared" si="27"/>
        <v>0</v>
      </c>
      <c r="I537">
        <v>232.20863368108999</v>
      </c>
      <c r="K537">
        <v>0</v>
      </c>
      <c r="M537">
        <v>354.854387918621</v>
      </c>
    </row>
    <row r="538" spans="2:13" x14ac:dyDescent="0.2">
      <c r="B538" s="2">
        <v>524</v>
      </c>
      <c r="C538">
        <v>0</v>
      </c>
      <c r="D538" s="13">
        <f t="shared" si="25"/>
        <v>0</v>
      </c>
      <c r="E538">
        <v>0</v>
      </c>
      <c r="F538">
        <f t="shared" si="26"/>
        <v>0</v>
      </c>
      <c r="G538">
        <v>0</v>
      </c>
      <c r="H538">
        <f t="shared" si="27"/>
        <v>0</v>
      </c>
      <c r="I538">
        <v>197.808497462205</v>
      </c>
      <c r="K538">
        <v>0</v>
      </c>
      <c r="M538">
        <v>371.95755923286299</v>
      </c>
    </row>
    <row r="539" spans="2:13" x14ac:dyDescent="0.2">
      <c r="B539" s="2">
        <v>525</v>
      </c>
      <c r="C539">
        <v>0</v>
      </c>
      <c r="D539" s="13">
        <f t="shared" si="25"/>
        <v>0</v>
      </c>
      <c r="E539">
        <v>0</v>
      </c>
      <c r="F539">
        <f t="shared" si="26"/>
        <v>0</v>
      </c>
      <c r="G539">
        <v>0</v>
      </c>
      <c r="H539">
        <f t="shared" si="27"/>
        <v>0</v>
      </c>
      <c r="I539">
        <v>163.23825983383199</v>
      </c>
      <c r="K539">
        <v>0</v>
      </c>
      <c r="M539">
        <v>388.72916811088999</v>
      </c>
    </row>
    <row r="540" spans="2:13" x14ac:dyDescent="0.2">
      <c r="B540" s="2">
        <v>526</v>
      </c>
      <c r="C540">
        <v>0</v>
      </c>
      <c r="D540" s="13">
        <f t="shared" si="25"/>
        <v>0</v>
      </c>
      <c r="E540">
        <v>0</v>
      </c>
      <c r="F540">
        <f t="shared" si="26"/>
        <v>0</v>
      </c>
      <c r="G540">
        <v>0</v>
      </c>
      <c r="H540">
        <f t="shared" si="27"/>
        <v>0</v>
      </c>
      <c r="I540">
        <v>128.52759392054401</v>
      </c>
      <c r="K540">
        <v>0</v>
      </c>
      <c r="M540">
        <v>405.19549520410698</v>
      </c>
    </row>
    <row r="541" spans="2:13" x14ac:dyDescent="0.2">
      <c r="B541" s="2">
        <v>527</v>
      </c>
      <c r="C541">
        <v>0</v>
      </c>
      <c r="D541" s="13">
        <f t="shared" si="25"/>
        <v>0</v>
      </c>
      <c r="E541">
        <v>0</v>
      </c>
      <c r="F541">
        <f t="shared" si="26"/>
        <v>0</v>
      </c>
      <c r="G541">
        <v>0</v>
      </c>
      <c r="H541">
        <f t="shared" si="27"/>
        <v>0</v>
      </c>
      <c r="I541">
        <v>93.805114151155095</v>
      </c>
      <c r="K541">
        <v>0</v>
      </c>
      <c r="M541">
        <v>421.45701083007998</v>
      </c>
    </row>
    <row r="542" spans="2:13" x14ac:dyDescent="0.2">
      <c r="B542" s="2">
        <v>528</v>
      </c>
      <c r="C542">
        <v>0</v>
      </c>
      <c r="D542" s="13">
        <f t="shared" si="25"/>
        <v>0</v>
      </c>
      <c r="E542">
        <v>0</v>
      </c>
      <c r="F542">
        <f t="shared" si="26"/>
        <v>0</v>
      </c>
      <c r="G542">
        <v>0</v>
      </c>
      <c r="H542">
        <f t="shared" si="27"/>
        <v>0</v>
      </c>
      <c r="I542">
        <v>58.9470400800869</v>
      </c>
      <c r="K542">
        <v>0</v>
      </c>
      <c r="M542">
        <v>437.54921990038599</v>
      </c>
    </row>
    <row r="543" spans="2:13" x14ac:dyDescent="0.2">
      <c r="B543" s="2">
        <v>529</v>
      </c>
      <c r="C543">
        <v>0</v>
      </c>
      <c r="D543" s="13">
        <f t="shared" si="25"/>
        <v>0</v>
      </c>
      <c r="E543">
        <v>4.6581989960305599</v>
      </c>
      <c r="F543">
        <f t="shared" si="26"/>
        <v>1.4444027894668404E-2</v>
      </c>
      <c r="G543">
        <v>0</v>
      </c>
      <c r="H543">
        <f t="shared" si="27"/>
        <v>0</v>
      </c>
      <c r="I543">
        <v>24.178985002922101</v>
      </c>
      <c r="K543">
        <v>0</v>
      </c>
      <c r="M543">
        <v>453.657641599611</v>
      </c>
    </row>
    <row r="544" spans="2:13" x14ac:dyDescent="0.2">
      <c r="B544" s="2">
        <v>530</v>
      </c>
      <c r="C544">
        <v>0</v>
      </c>
      <c r="D544" s="13">
        <f t="shared" si="25"/>
        <v>0</v>
      </c>
      <c r="E544">
        <v>22.908487463716</v>
      </c>
      <c r="F544">
        <f t="shared" si="26"/>
        <v>7.1034069654933335E-2</v>
      </c>
      <c r="G544">
        <v>0</v>
      </c>
      <c r="H544">
        <f t="shared" si="27"/>
        <v>0</v>
      </c>
      <c r="I544">
        <v>0</v>
      </c>
      <c r="K544">
        <v>0</v>
      </c>
      <c r="M544">
        <v>469.82153680151703</v>
      </c>
    </row>
    <row r="545" spans="2:13" x14ac:dyDescent="0.2">
      <c r="B545" s="2">
        <v>531</v>
      </c>
      <c r="C545">
        <v>0</v>
      </c>
      <c r="D545" s="13">
        <f t="shared" si="25"/>
        <v>0</v>
      </c>
      <c r="E545">
        <v>41.1537791434084</v>
      </c>
      <c r="F545">
        <f t="shared" si="26"/>
        <v>0.12760861749894079</v>
      </c>
      <c r="G545">
        <v>0</v>
      </c>
      <c r="H545">
        <f t="shared" si="27"/>
        <v>0</v>
      </c>
      <c r="I545">
        <v>0</v>
      </c>
      <c r="K545">
        <v>0</v>
      </c>
      <c r="M545">
        <v>485.93919347108601</v>
      </c>
    </row>
    <row r="546" spans="2:13" x14ac:dyDescent="0.2">
      <c r="B546" s="2">
        <v>532</v>
      </c>
      <c r="C546">
        <v>0</v>
      </c>
      <c r="D546" s="13">
        <f t="shared" si="25"/>
        <v>0</v>
      </c>
      <c r="E546">
        <v>59.392402611420302</v>
      </c>
      <c r="F546">
        <f t="shared" si="26"/>
        <v>0.18416248871758234</v>
      </c>
      <c r="G546">
        <v>0</v>
      </c>
      <c r="H546">
        <f t="shared" si="27"/>
        <v>0</v>
      </c>
      <c r="I546">
        <v>0</v>
      </c>
      <c r="K546">
        <v>0</v>
      </c>
      <c r="M546">
        <v>501.988999777532</v>
      </c>
    </row>
    <row r="547" spans="2:13" x14ac:dyDescent="0.2">
      <c r="B547" s="2">
        <v>533</v>
      </c>
      <c r="C547">
        <v>0</v>
      </c>
      <c r="D547" s="13">
        <f t="shared" si="25"/>
        <v>0</v>
      </c>
      <c r="E547">
        <v>77.6226873205527</v>
      </c>
      <c r="F547">
        <f t="shared" si="26"/>
        <v>0.24069050331954325</v>
      </c>
      <c r="G547">
        <v>0</v>
      </c>
      <c r="H547">
        <f t="shared" si="27"/>
        <v>0</v>
      </c>
      <c r="I547">
        <v>0</v>
      </c>
      <c r="K547">
        <v>0</v>
      </c>
      <c r="M547">
        <v>517.93535632333499</v>
      </c>
    </row>
    <row r="548" spans="2:13" x14ac:dyDescent="0.2">
      <c r="B548" s="2">
        <v>534</v>
      </c>
      <c r="C548">
        <v>0</v>
      </c>
      <c r="D548" s="13">
        <f t="shared" si="25"/>
        <v>0</v>
      </c>
      <c r="E548">
        <v>95.842963753064794</v>
      </c>
      <c r="F548">
        <f t="shared" si="26"/>
        <v>0.29718748450562726</v>
      </c>
      <c r="G548">
        <v>0</v>
      </c>
      <c r="H548">
        <f t="shared" si="27"/>
        <v>0</v>
      </c>
      <c r="I548">
        <v>0</v>
      </c>
      <c r="K548">
        <v>0</v>
      </c>
      <c r="M548">
        <v>533.74540208821202</v>
      </c>
    </row>
    <row r="549" spans="2:13" x14ac:dyDescent="0.2">
      <c r="B549" s="2">
        <v>535</v>
      </c>
      <c r="C549">
        <v>0</v>
      </c>
      <c r="D549" s="13">
        <f t="shared" si="25"/>
        <v>0</v>
      </c>
      <c r="E549">
        <v>114.253630939812</v>
      </c>
      <c r="F549">
        <f t="shared" si="26"/>
        <v>0.3542748246195721</v>
      </c>
      <c r="G549">
        <v>0</v>
      </c>
      <c r="H549">
        <f t="shared" si="27"/>
        <v>0</v>
      </c>
      <c r="I549">
        <v>0</v>
      </c>
      <c r="K549">
        <v>0</v>
      </c>
      <c r="M549">
        <v>549.46827198437904</v>
      </c>
    </row>
    <row r="550" spans="2:13" x14ac:dyDescent="0.2">
      <c r="B550" s="2">
        <v>536</v>
      </c>
      <c r="C550">
        <v>0</v>
      </c>
      <c r="D550" s="13">
        <f t="shared" si="25"/>
        <v>0</v>
      </c>
      <c r="E550">
        <v>132.762618538206</v>
      </c>
      <c r="F550">
        <f t="shared" si="26"/>
        <v>0.41166703422699535</v>
      </c>
      <c r="G550">
        <v>0</v>
      </c>
      <c r="H550">
        <f t="shared" si="27"/>
        <v>0</v>
      </c>
      <c r="I550">
        <v>0</v>
      </c>
      <c r="K550">
        <v>0</v>
      </c>
      <c r="M550">
        <v>565.12400095295595</v>
      </c>
    </row>
    <row r="551" spans="2:13" x14ac:dyDescent="0.2">
      <c r="B551" s="2">
        <v>537</v>
      </c>
      <c r="C551">
        <v>0</v>
      </c>
      <c r="D551" s="13">
        <f t="shared" si="25"/>
        <v>0</v>
      </c>
      <c r="E551">
        <v>151.34238936025801</v>
      </c>
      <c r="F551">
        <f t="shared" si="26"/>
        <v>0.46927872669847448</v>
      </c>
      <c r="G551">
        <v>0</v>
      </c>
      <c r="H551">
        <f t="shared" si="27"/>
        <v>0</v>
      </c>
      <c r="I551">
        <v>0</v>
      </c>
      <c r="K551">
        <v>0</v>
      </c>
      <c r="M551">
        <v>580.58305103663804</v>
      </c>
    </row>
    <row r="552" spans="2:13" x14ac:dyDescent="0.2">
      <c r="B552" s="2">
        <v>538</v>
      </c>
      <c r="C552">
        <v>0</v>
      </c>
      <c r="D552" s="13">
        <f t="shared" si="25"/>
        <v>0</v>
      </c>
      <c r="E552">
        <v>169.77330808276801</v>
      </c>
      <c r="F552">
        <f t="shared" si="26"/>
        <v>0.52642886227214891</v>
      </c>
      <c r="G552">
        <v>0</v>
      </c>
      <c r="H552">
        <f t="shared" si="27"/>
        <v>0</v>
      </c>
      <c r="I552">
        <v>0</v>
      </c>
      <c r="K552">
        <v>0</v>
      </c>
      <c r="M552">
        <v>595.78236184299499</v>
      </c>
    </row>
    <row r="553" spans="2:13" x14ac:dyDescent="0.2">
      <c r="B553" s="2">
        <v>539</v>
      </c>
      <c r="C553">
        <v>0</v>
      </c>
      <c r="D553" s="13">
        <f t="shared" si="25"/>
        <v>0</v>
      </c>
      <c r="E553">
        <v>188.13791820227101</v>
      </c>
      <c r="F553">
        <f t="shared" si="26"/>
        <v>0.58337338977448372</v>
      </c>
      <c r="G553">
        <v>0</v>
      </c>
      <c r="H553">
        <f t="shared" si="27"/>
        <v>0</v>
      </c>
      <c r="I553">
        <v>0</v>
      </c>
      <c r="K553">
        <v>0</v>
      </c>
      <c r="M553">
        <v>521.91772941335398</v>
      </c>
    </row>
    <row r="554" spans="2:13" x14ac:dyDescent="0.2">
      <c r="B554" s="2">
        <v>540</v>
      </c>
      <c r="C554">
        <v>0</v>
      </c>
      <c r="D554" s="13">
        <f t="shared" si="25"/>
        <v>0</v>
      </c>
      <c r="E554">
        <v>206.41638609516099</v>
      </c>
      <c r="F554">
        <f t="shared" si="26"/>
        <v>0.64005080959739846</v>
      </c>
      <c r="G554">
        <v>0</v>
      </c>
      <c r="H554">
        <f t="shared" si="27"/>
        <v>0</v>
      </c>
      <c r="I554">
        <v>0</v>
      </c>
      <c r="K554">
        <v>0</v>
      </c>
      <c r="M554">
        <v>490.667865563693</v>
      </c>
    </row>
    <row r="555" spans="2:13" x14ac:dyDescent="0.2">
      <c r="B555" s="2">
        <v>541</v>
      </c>
      <c r="C555">
        <v>0</v>
      </c>
      <c r="D555" s="13">
        <f t="shared" si="25"/>
        <v>0</v>
      </c>
      <c r="E555">
        <v>224.58898669889999</v>
      </c>
      <c r="F555">
        <f t="shared" si="26"/>
        <v>0.69639995875627902</v>
      </c>
      <c r="G555">
        <v>0</v>
      </c>
      <c r="H555">
        <f t="shared" si="27"/>
        <v>0</v>
      </c>
      <c r="I555">
        <v>0</v>
      </c>
      <c r="K555">
        <v>0</v>
      </c>
      <c r="M555">
        <v>459.15721209410401</v>
      </c>
    </row>
    <row r="556" spans="2:13" x14ac:dyDescent="0.2">
      <c r="B556" s="2">
        <v>542</v>
      </c>
      <c r="C556">
        <v>0</v>
      </c>
      <c r="D556" s="13">
        <f t="shared" si="25"/>
        <v>0</v>
      </c>
      <c r="E556">
        <v>242.636010627796</v>
      </c>
      <c r="F556">
        <f t="shared" si="26"/>
        <v>0.75235972287688679</v>
      </c>
      <c r="G556">
        <v>0</v>
      </c>
      <c r="H556">
        <f t="shared" si="27"/>
        <v>0</v>
      </c>
      <c r="I556">
        <v>0</v>
      </c>
      <c r="K556">
        <v>0</v>
      </c>
      <c r="M556">
        <v>427.36859402649901</v>
      </c>
    </row>
    <row r="557" spans="2:13" x14ac:dyDescent="0.2">
      <c r="B557" s="2">
        <v>543</v>
      </c>
      <c r="C557">
        <v>0</v>
      </c>
      <c r="D557" s="13">
        <f t="shared" si="25"/>
        <v>0</v>
      </c>
      <c r="E557">
        <v>260.53776596743597</v>
      </c>
      <c r="F557">
        <f t="shared" si="26"/>
        <v>0.80786904175949137</v>
      </c>
      <c r="G557">
        <v>0</v>
      </c>
      <c r="H557">
        <f t="shared" si="27"/>
        <v>0</v>
      </c>
      <c r="I557">
        <v>0</v>
      </c>
      <c r="K557">
        <v>0</v>
      </c>
      <c r="M557">
        <v>395.28486496299899</v>
      </c>
    </row>
    <row r="558" spans="2:13" x14ac:dyDescent="0.2">
      <c r="B558" s="2">
        <v>544</v>
      </c>
      <c r="C558">
        <v>0</v>
      </c>
      <c r="D558" s="13">
        <f t="shared" si="25"/>
        <v>0</v>
      </c>
      <c r="E558">
        <v>278.477566879243</v>
      </c>
      <c r="F558">
        <f t="shared" si="26"/>
        <v>0.86349633140850546</v>
      </c>
      <c r="G558">
        <v>0</v>
      </c>
      <c r="H558">
        <f t="shared" si="27"/>
        <v>0</v>
      </c>
      <c r="I558">
        <v>0</v>
      </c>
      <c r="K558">
        <v>0</v>
      </c>
      <c r="M558">
        <v>362.95330676348698</v>
      </c>
    </row>
    <row r="559" spans="2:13" x14ac:dyDescent="0.2">
      <c r="B559" s="2">
        <v>545</v>
      </c>
      <c r="C559">
        <v>0</v>
      </c>
      <c r="D559" s="13">
        <f t="shared" si="25"/>
        <v>0</v>
      </c>
      <c r="E559">
        <v>296.37976097608203</v>
      </c>
      <c r="F559">
        <f t="shared" si="26"/>
        <v>0.91900701077854896</v>
      </c>
      <c r="G559">
        <v>0</v>
      </c>
      <c r="H559">
        <f t="shared" si="27"/>
        <v>0</v>
      </c>
      <c r="I559">
        <v>0</v>
      </c>
      <c r="K559">
        <v>0</v>
      </c>
      <c r="M559">
        <v>330.435430928139</v>
      </c>
    </row>
    <row r="560" spans="2:13" x14ac:dyDescent="0.2">
      <c r="B560" s="2">
        <v>546</v>
      </c>
      <c r="C560">
        <v>0</v>
      </c>
      <c r="D560" s="13">
        <f t="shared" si="25"/>
        <v>0</v>
      </c>
      <c r="E560">
        <v>314.22448060678602</v>
      </c>
      <c r="F560">
        <f t="shared" si="26"/>
        <v>0.97433947474972404</v>
      </c>
      <c r="G560">
        <v>0</v>
      </c>
      <c r="H560">
        <f t="shared" si="27"/>
        <v>0</v>
      </c>
      <c r="I560">
        <v>0</v>
      </c>
      <c r="K560">
        <v>0</v>
      </c>
      <c r="M560">
        <v>297.682870504101</v>
      </c>
    </row>
    <row r="561" spans="2:13" x14ac:dyDescent="0.2">
      <c r="B561" s="2">
        <v>547</v>
      </c>
      <c r="C561">
        <v>0</v>
      </c>
      <c r="D561" s="13">
        <f t="shared" si="25"/>
        <v>0</v>
      </c>
      <c r="E561">
        <v>331.95516121826199</v>
      </c>
      <c r="F561">
        <f t="shared" si="26"/>
        <v>1.0293183293589518</v>
      </c>
      <c r="G561">
        <v>0</v>
      </c>
      <c r="H561">
        <f t="shared" si="27"/>
        <v>0</v>
      </c>
      <c r="I561">
        <v>0</v>
      </c>
      <c r="K561">
        <v>0</v>
      </c>
      <c r="M561">
        <v>264.634428590239</v>
      </c>
    </row>
    <row r="562" spans="2:13" x14ac:dyDescent="0.2">
      <c r="B562" s="2">
        <v>548</v>
      </c>
      <c r="C562">
        <v>0</v>
      </c>
      <c r="D562" s="13">
        <f t="shared" si="25"/>
        <v>0</v>
      </c>
      <c r="E562">
        <v>349.557910092067</v>
      </c>
      <c r="F562">
        <f t="shared" si="26"/>
        <v>1.08390049640951</v>
      </c>
      <c r="G562">
        <v>0</v>
      </c>
      <c r="H562">
        <f t="shared" si="27"/>
        <v>0</v>
      </c>
      <c r="I562">
        <v>0</v>
      </c>
      <c r="K562">
        <v>0</v>
      </c>
      <c r="M562">
        <v>231.278076161229</v>
      </c>
    </row>
    <row r="563" spans="2:13" x14ac:dyDescent="0.2">
      <c r="B563" s="2">
        <v>549</v>
      </c>
      <c r="C563">
        <v>0</v>
      </c>
      <c r="D563" s="13">
        <f t="shared" si="25"/>
        <v>0</v>
      </c>
      <c r="E563">
        <v>366.99982602302401</v>
      </c>
      <c r="F563">
        <f t="shared" si="26"/>
        <v>1.1379839566605396</v>
      </c>
      <c r="G563">
        <v>0</v>
      </c>
      <c r="H563">
        <f t="shared" si="27"/>
        <v>0</v>
      </c>
      <c r="I563">
        <v>0</v>
      </c>
      <c r="K563">
        <v>0</v>
      </c>
      <c r="M563">
        <v>197.57986300261399</v>
      </c>
    </row>
    <row r="564" spans="2:13" x14ac:dyDescent="0.2">
      <c r="B564" s="2">
        <v>550</v>
      </c>
      <c r="C564">
        <v>0</v>
      </c>
      <c r="D564" s="13">
        <f t="shared" si="25"/>
        <v>0</v>
      </c>
      <c r="E564">
        <v>384.33283258980902</v>
      </c>
      <c r="F564">
        <f t="shared" si="26"/>
        <v>1.1917297134567721</v>
      </c>
      <c r="G564">
        <v>0</v>
      </c>
      <c r="H564">
        <f t="shared" si="27"/>
        <v>0</v>
      </c>
      <c r="I564">
        <v>0</v>
      </c>
      <c r="K564">
        <v>0</v>
      </c>
      <c r="M564">
        <v>163.60363044645999</v>
      </c>
    </row>
    <row r="565" spans="2:13" x14ac:dyDescent="0.2">
      <c r="B565" s="2">
        <v>551</v>
      </c>
      <c r="C565">
        <v>0</v>
      </c>
      <c r="D565" s="13">
        <f t="shared" si="25"/>
        <v>0</v>
      </c>
      <c r="E565">
        <v>401.68623011328401</v>
      </c>
      <c r="F565">
        <f t="shared" si="26"/>
        <v>1.2455386980256868</v>
      </c>
      <c r="G565">
        <v>0</v>
      </c>
      <c r="H565">
        <f t="shared" si="27"/>
        <v>0</v>
      </c>
      <c r="I565">
        <v>0</v>
      </c>
      <c r="K565">
        <v>0</v>
      </c>
      <c r="M565">
        <v>129.45447675906399</v>
      </c>
    </row>
    <row r="566" spans="2:13" x14ac:dyDescent="0.2">
      <c r="B566" s="2">
        <v>552</v>
      </c>
      <c r="C566">
        <v>0</v>
      </c>
      <c r="D566" s="13">
        <f t="shared" si="25"/>
        <v>0</v>
      </c>
      <c r="E566">
        <v>418.919864788008</v>
      </c>
      <c r="F566">
        <f t="shared" si="26"/>
        <v>1.2989763249240558</v>
      </c>
      <c r="G566">
        <v>0</v>
      </c>
      <c r="H566">
        <f t="shared" si="27"/>
        <v>0</v>
      </c>
      <c r="I566">
        <v>0</v>
      </c>
      <c r="K566">
        <v>0</v>
      </c>
      <c r="M566">
        <v>95.172531090452907</v>
      </c>
    </row>
    <row r="567" spans="2:13" x14ac:dyDescent="0.2">
      <c r="B567" s="2">
        <v>553</v>
      </c>
      <c r="C567">
        <v>0</v>
      </c>
      <c r="D567" s="13">
        <f t="shared" si="25"/>
        <v>0</v>
      </c>
      <c r="E567">
        <v>436.17262195937298</v>
      </c>
      <c r="F567">
        <f t="shared" si="26"/>
        <v>1.3524732463856526</v>
      </c>
      <c r="G567">
        <v>0</v>
      </c>
      <c r="H567">
        <f t="shared" si="27"/>
        <v>0</v>
      </c>
      <c r="I567">
        <v>0</v>
      </c>
      <c r="K567">
        <v>0</v>
      </c>
      <c r="M567">
        <v>60.947908294127998</v>
      </c>
    </row>
    <row r="568" spans="2:13" x14ac:dyDescent="0.2">
      <c r="B568" s="2">
        <v>554</v>
      </c>
      <c r="C568">
        <v>0</v>
      </c>
      <c r="D568" s="13">
        <f t="shared" si="25"/>
        <v>0</v>
      </c>
      <c r="E568">
        <v>453.383653807592</v>
      </c>
      <c r="F568">
        <f t="shared" si="26"/>
        <v>1.4058407870002854</v>
      </c>
      <c r="G568">
        <v>0</v>
      </c>
      <c r="H568">
        <f t="shared" si="27"/>
        <v>0</v>
      </c>
      <c r="I568">
        <v>0</v>
      </c>
      <c r="K568">
        <v>0</v>
      </c>
      <c r="M568">
        <v>26.820641508864799</v>
      </c>
    </row>
    <row r="569" spans="2:13" x14ac:dyDescent="0.2">
      <c r="B569" s="2">
        <v>555</v>
      </c>
      <c r="C569">
        <v>0</v>
      </c>
      <c r="D569" s="13">
        <f t="shared" si="25"/>
        <v>0</v>
      </c>
      <c r="E569">
        <v>470.55039995004103</v>
      </c>
      <c r="F569">
        <f t="shared" si="26"/>
        <v>1.4590710075970263</v>
      </c>
      <c r="G569">
        <v>0</v>
      </c>
      <c r="H569">
        <f t="shared" si="27"/>
        <v>0</v>
      </c>
      <c r="I569">
        <v>0</v>
      </c>
      <c r="K569">
        <v>0</v>
      </c>
      <c r="M569">
        <v>0</v>
      </c>
    </row>
    <row r="570" spans="2:13" x14ac:dyDescent="0.2">
      <c r="B570" s="2">
        <v>556</v>
      </c>
      <c r="C570">
        <v>0</v>
      </c>
      <c r="D570" s="13">
        <f t="shared" si="25"/>
        <v>0</v>
      </c>
      <c r="E570">
        <v>487.67129405085802</v>
      </c>
      <c r="F570">
        <f t="shared" si="26"/>
        <v>1.5121590513204899</v>
      </c>
      <c r="G570">
        <v>0</v>
      </c>
      <c r="H570">
        <f t="shared" si="27"/>
        <v>0</v>
      </c>
      <c r="I570">
        <v>0</v>
      </c>
      <c r="K570">
        <v>0</v>
      </c>
      <c r="M570">
        <v>0</v>
      </c>
    </row>
    <row r="571" spans="2:13" x14ac:dyDescent="0.2">
      <c r="B571" s="2">
        <v>557</v>
      </c>
      <c r="C571">
        <v>0</v>
      </c>
      <c r="D571" s="13">
        <f t="shared" si="25"/>
        <v>0</v>
      </c>
      <c r="E571">
        <v>504.74477422525803</v>
      </c>
      <c r="F571">
        <f t="shared" si="26"/>
        <v>1.5651000751170792</v>
      </c>
      <c r="G571">
        <v>0</v>
      </c>
      <c r="H571">
        <f t="shared" si="27"/>
        <v>0</v>
      </c>
      <c r="I571">
        <v>0</v>
      </c>
      <c r="K571">
        <v>0</v>
      </c>
      <c r="M571">
        <v>0</v>
      </c>
    </row>
    <row r="572" spans="2:13" x14ac:dyDescent="0.2">
      <c r="B572" s="2">
        <v>558</v>
      </c>
      <c r="C572">
        <v>0</v>
      </c>
      <c r="D572" s="13">
        <f t="shared" si="25"/>
        <v>0</v>
      </c>
      <c r="E572">
        <v>521.76928318198497</v>
      </c>
      <c r="F572">
        <f t="shared" si="26"/>
        <v>1.6178892501766975</v>
      </c>
      <c r="G572">
        <v>0</v>
      </c>
      <c r="H572">
        <f t="shared" si="27"/>
        <v>0</v>
      </c>
      <c r="I572">
        <v>0</v>
      </c>
      <c r="K572">
        <v>0</v>
      </c>
      <c r="M572">
        <v>0</v>
      </c>
    </row>
    <row r="573" spans="2:13" x14ac:dyDescent="0.2">
      <c r="B573" s="2">
        <v>559</v>
      </c>
      <c r="C573">
        <v>0</v>
      </c>
      <c r="D573" s="13">
        <f t="shared" si="25"/>
        <v>0</v>
      </c>
      <c r="E573">
        <v>538.94821096329804</v>
      </c>
      <c r="F573">
        <f t="shared" si="26"/>
        <v>1.6711572432970483</v>
      </c>
      <c r="G573">
        <v>0</v>
      </c>
      <c r="H573">
        <f t="shared" si="27"/>
        <v>0</v>
      </c>
      <c r="I573">
        <v>0</v>
      </c>
      <c r="K573">
        <v>0</v>
      </c>
      <c r="M573">
        <v>0</v>
      </c>
    </row>
    <row r="574" spans="2:13" x14ac:dyDescent="0.2">
      <c r="B574" s="2">
        <v>560</v>
      </c>
      <c r="C574">
        <v>0</v>
      </c>
      <c r="D574" s="13">
        <f t="shared" si="25"/>
        <v>0</v>
      </c>
      <c r="E574">
        <v>556.18881391586399</v>
      </c>
      <c r="F574">
        <f t="shared" si="26"/>
        <v>1.7246164772584931</v>
      </c>
      <c r="G574">
        <v>0</v>
      </c>
      <c r="H574">
        <f t="shared" si="27"/>
        <v>0</v>
      </c>
      <c r="I574">
        <v>0</v>
      </c>
      <c r="K574">
        <v>0</v>
      </c>
      <c r="M574">
        <v>0</v>
      </c>
    </row>
    <row r="575" spans="2:13" x14ac:dyDescent="0.2">
      <c r="B575" s="2">
        <v>561</v>
      </c>
      <c r="C575">
        <v>0</v>
      </c>
      <c r="D575" s="13">
        <f t="shared" si="25"/>
        <v>0</v>
      </c>
      <c r="E575">
        <v>573.45882976413998</v>
      </c>
      <c r="F575">
        <f t="shared" si="26"/>
        <v>1.7781669139973333</v>
      </c>
      <c r="G575">
        <v>0</v>
      </c>
      <c r="H575">
        <f t="shared" si="27"/>
        <v>0</v>
      </c>
      <c r="I575">
        <v>0</v>
      </c>
      <c r="K575">
        <v>0</v>
      </c>
      <c r="M575">
        <v>0</v>
      </c>
    </row>
    <row r="576" spans="2:13" x14ac:dyDescent="0.2">
      <c r="B576" s="2">
        <v>562</v>
      </c>
      <c r="C576">
        <v>0</v>
      </c>
      <c r="D576" s="13">
        <f t="shared" si="25"/>
        <v>0</v>
      </c>
      <c r="E576">
        <v>590.51673157983805</v>
      </c>
      <c r="F576">
        <f t="shared" si="26"/>
        <v>1.8310596328056994</v>
      </c>
      <c r="G576">
        <v>0</v>
      </c>
      <c r="H576">
        <f t="shared" si="27"/>
        <v>0</v>
      </c>
      <c r="I576">
        <v>0</v>
      </c>
      <c r="K576">
        <v>0</v>
      </c>
      <c r="M576">
        <v>0</v>
      </c>
    </row>
    <row r="577" spans="2:13" x14ac:dyDescent="0.2">
      <c r="B577" s="2">
        <v>563</v>
      </c>
      <c r="C577">
        <v>0</v>
      </c>
      <c r="D577" s="13">
        <f t="shared" si="25"/>
        <v>0</v>
      </c>
      <c r="E577">
        <v>607.45566532629903</v>
      </c>
      <c r="F577">
        <f t="shared" si="26"/>
        <v>1.8835834583761211</v>
      </c>
      <c r="G577">
        <v>0</v>
      </c>
      <c r="H577">
        <f t="shared" si="27"/>
        <v>0</v>
      </c>
      <c r="I577">
        <v>0</v>
      </c>
      <c r="K577">
        <v>0</v>
      </c>
      <c r="M577">
        <v>0</v>
      </c>
    </row>
    <row r="578" spans="2:13" x14ac:dyDescent="0.2">
      <c r="B578" s="2">
        <v>564</v>
      </c>
      <c r="C578">
        <v>0</v>
      </c>
      <c r="D578" s="13">
        <f t="shared" si="25"/>
        <v>0</v>
      </c>
      <c r="E578">
        <v>624.25469604007401</v>
      </c>
      <c r="F578">
        <f t="shared" si="26"/>
        <v>1.9356734760932528</v>
      </c>
      <c r="G578">
        <v>0</v>
      </c>
      <c r="H578">
        <f t="shared" si="27"/>
        <v>0</v>
      </c>
      <c r="I578">
        <v>0</v>
      </c>
      <c r="K578">
        <v>0</v>
      </c>
      <c r="M578">
        <v>0</v>
      </c>
    </row>
    <row r="579" spans="2:13" x14ac:dyDescent="0.2">
      <c r="B579" s="2">
        <v>565</v>
      </c>
      <c r="C579">
        <v>0</v>
      </c>
      <c r="D579" s="13">
        <f t="shared" si="25"/>
        <v>0</v>
      </c>
      <c r="E579">
        <v>640.89290771195101</v>
      </c>
      <c r="F579">
        <f t="shared" si="26"/>
        <v>1.9872648301145768</v>
      </c>
      <c r="G579">
        <v>0</v>
      </c>
      <c r="H579">
        <f t="shared" si="27"/>
        <v>0</v>
      </c>
      <c r="I579">
        <v>0</v>
      </c>
      <c r="K579">
        <v>0</v>
      </c>
      <c r="M579">
        <v>0</v>
      </c>
    </row>
    <row r="580" spans="2:13" x14ac:dyDescent="0.2">
      <c r="B580" s="2">
        <v>566</v>
      </c>
      <c r="C580">
        <v>0</v>
      </c>
      <c r="D580" s="13">
        <f t="shared" si="25"/>
        <v>0</v>
      </c>
      <c r="E580">
        <v>657.34940519156896</v>
      </c>
      <c r="F580">
        <f t="shared" si="26"/>
        <v>2.0382927292761828</v>
      </c>
      <c r="G580">
        <v>0</v>
      </c>
      <c r="H580">
        <f t="shared" si="27"/>
        <v>0</v>
      </c>
      <c r="I580">
        <v>0</v>
      </c>
      <c r="K580">
        <v>0</v>
      </c>
      <c r="M580">
        <v>0</v>
      </c>
    </row>
    <row r="581" spans="2:13" x14ac:dyDescent="0.2">
      <c r="B581" s="2">
        <v>567</v>
      </c>
      <c r="C581">
        <v>0</v>
      </c>
      <c r="D581" s="13">
        <f t="shared" si="25"/>
        <v>0</v>
      </c>
      <c r="E581">
        <v>673.60331608982801</v>
      </c>
      <c r="F581">
        <f t="shared" si="26"/>
        <v>2.0886924529917148</v>
      </c>
      <c r="G581">
        <v>0</v>
      </c>
      <c r="H581">
        <f t="shared" si="27"/>
        <v>0</v>
      </c>
      <c r="I581">
        <v>0</v>
      </c>
      <c r="K581">
        <v>0</v>
      </c>
      <c r="M581">
        <v>0</v>
      </c>
    </row>
    <row r="582" spans="2:13" x14ac:dyDescent="0.2">
      <c r="B582" s="2">
        <v>568</v>
      </c>
      <c r="C582">
        <v>0</v>
      </c>
      <c r="D582" s="13">
        <f t="shared" si="25"/>
        <v>0</v>
      </c>
      <c r="E582">
        <v>689.87423967726295</v>
      </c>
      <c r="F582">
        <f t="shared" si="26"/>
        <v>2.139144929231823</v>
      </c>
      <c r="G582">
        <v>0</v>
      </c>
      <c r="H582">
        <f t="shared" si="27"/>
        <v>0</v>
      </c>
      <c r="I582">
        <v>0</v>
      </c>
      <c r="K582">
        <v>0</v>
      </c>
      <c r="M582">
        <v>0</v>
      </c>
    </row>
    <row r="583" spans="2:13" x14ac:dyDescent="0.2">
      <c r="B583" s="2">
        <v>569</v>
      </c>
      <c r="C583">
        <v>0</v>
      </c>
      <c r="D583" s="13">
        <f t="shared" si="25"/>
        <v>0</v>
      </c>
      <c r="E583">
        <v>706.06786939599704</v>
      </c>
      <c r="F583">
        <f t="shared" si="26"/>
        <v>2.1893577345612312</v>
      </c>
      <c r="G583">
        <v>0</v>
      </c>
      <c r="H583">
        <f t="shared" si="27"/>
        <v>0</v>
      </c>
      <c r="I583">
        <v>0</v>
      </c>
      <c r="K583">
        <v>0</v>
      </c>
      <c r="M583">
        <v>0</v>
      </c>
    </row>
    <row r="584" spans="2:13" x14ac:dyDescent="0.2">
      <c r="B584" s="2">
        <v>570</v>
      </c>
      <c r="C584">
        <v>0</v>
      </c>
      <c r="D584" s="13">
        <f t="shared" si="25"/>
        <v>0</v>
      </c>
      <c r="E584">
        <v>722.119715799147</v>
      </c>
      <c r="F584">
        <f t="shared" si="26"/>
        <v>2.2391309017027816</v>
      </c>
      <c r="G584">
        <v>0</v>
      </c>
      <c r="H584">
        <f t="shared" si="27"/>
        <v>0</v>
      </c>
      <c r="I584">
        <v>0</v>
      </c>
      <c r="K584">
        <v>0</v>
      </c>
      <c r="M584">
        <v>0</v>
      </c>
    </row>
    <row r="585" spans="2:13" x14ac:dyDescent="0.2">
      <c r="B585" s="2">
        <v>571</v>
      </c>
      <c r="C585">
        <v>0</v>
      </c>
      <c r="D585" s="13">
        <f t="shared" si="25"/>
        <v>0</v>
      </c>
      <c r="E585">
        <v>737.98228176914904</v>
      </c>
      <c r="F585">
        <f t="shared" si="26"/>
        <v>2.2883171527725552</v>
      </c>
      <c r="G585">
        <v>0</v>
      </c>
      <c r="H585">
        <f t="shared" si="27"/>
        <v>0</v>
      </c>
      <c r="I585">
        <v>0</v>
      </c>
      <c r="K585">
        <v>0</v>
      </c>
      <c r="M585">
        <v>0</v>
      </c>
    </row>
    <row r="586" spans="2:13" x14ac:dyDescent="0.2">
      <c r="B586" s="2">
        <v>572</v>
      </c>
      <c r="C586">
        <v>0</v>
      </c>
      <c r="D586" s="13">
        <f t="shared" si="25"/>
        <v>0</v>
      </c>
      <c r="E586">
        <v>753.64142580075099</v>
      </c>
      <c r="F586">
        <f t="shared" si="26"/>
        <v>2.3368726381418634</v>
      </c>
      <c r="G586">
        <v>0</v>
      </c>
      <c r="H586">
        <f t="shared" si="27"/>
        <v>0</v>
      </c>
      <c r="I586">
        <v>0</v>
      </c>
      <c r="K586">
        <v>0</v>
      </c>
      <c r="M586">
        <v>0</v>
      </c>
    </row>
    <row r="587" spans="2:13" x14ac:dyDescent="0.2">
      <c r="B587" s="2">
        <v>573</v>
      </c>
      <c r="C587">
        <v>0</v>
      </c>
      <c r="D587" s="13">
        <f t="shared" si="25"/>
        <v>0</v>
      </c>
      <c r="E587">
        <v>769.10096845533303</v>
      </c>
      <c r="F587">
        <f t="shared" si="26"/>
        <v>2.3848092045126608</v>
      </c>
      <c r="G587">
        <v>0</v>
      </c>
      <c r="H587">
        <f t="shared" si="27"/>
        <v>0</v>
      </c>
      <c r="I587">
        <v>0</v>
      </c>
      <c r="K587">
        <v>0</v>
      </c>
      <c r="M587">
        <v>0</v>
      </c>
    </row>
    <row r="588" spans="2:13" x14ac:dyDescent="0.2">
      <c r="B588" s="2">
        <v>574</v>
      </c>
      <c r="C588">
        <v>0</v>
      </c>
      <c r="D588" s="13">
        <f t="shared" si="25"/>
        <v>0</v>
      </c>
      <c r="E588">
        <v>784.41544244580302</v>
      </c>
      <c r="F588">
        <f t="shared" si="26"/>
        <v>2.4322959455683817</v>
      </c>
      <c r="G588">
        <v>0</v>
      </c>
      <c r="H588">
        <f t="shared" si="27"/>
        <v>0</v>
      </c>
      <c r="I588">
        <v>0</v>
      </c>
      <c r="K588">
        <v>0</v>
      </c>
      <c r="M588">
        <v>0</v>
      </c>
    </row>
    <row r="589" spans="2:13" x14ac:dyDescent="0.2">
      <c r="B589" s="2">
        <v>575</v>
      </c>
      <c r="C589">
        <v>0</v>
      </c>
      <c r="D589" s="13">
        <f t="shared" si="25"/>
        <v>0</v>
      </c>
      <c r="E589">
        <v>799.70890832648104</v>
      </c>
      <c r="F589">
        <f t="shared" si="26"/>
        <v>2.4797175451983908</v>
      </c>
      <c r="G589">
        <v>0</v>
      </c>
      <c r="H589">
        <f t="shared" si="27"/>
        <v>0</v>
      </c>
      <c r="I589">
        <v>0</v>
      </c>
      <c r="K589">
        <v>0</v>
      </c>
      <c r="M589">
        <v>0</v>
      </c>
    </row>
    <row r="590" spans="2:13" x14ac:dyDescent="0.2">
      <c r="B590" s="2">
        <v>576</v>
      </c>
      <c r="C590">
        <v>0</v>
      </c>
      <c r="D590" s="13">
        <f t="shared" si="25"/>
        <v>0</v>
      </c>
      <c r="E590">
        <v>814.83924495691497</v>
      </c>
      <c r="F590">
        <f t="shared" si="26"/>
        <v>2.5266333176958602</v>
      </c>
      <c r="G590">
        <v>0</v>
      </c>
      <c r="H590">
        <f t="shared" si="27"/>
        <v>0</v>
      </c>
      <c r="I590">
        <v>0</v>
      </c>
      <c r="K590">
        <v>0</v>
      </c>
      <c r="M590">
        <v>0</v>
      </c>
    </row>
    <row r="591" spans="2:13" x14ac:dyDescent="0.2">
      <c r="B591" s="2">
        <v>577</v>
      </c>
      <c r="C591">
        <v>0</v>
      </c>
      <c r="D591" s="13">
        <f t="shared" si="25"/>
        <v>0</v>
      </c>
      <c r="E591">
        <v>829.960553503136</v>
      </c>
      <c r="F591">
        <f t="shared" si="26"/>
        <v>2.5735210961337551</v>
      </c>
      <c r="G591">
        <v>0</v>
      </c>
      <c r="H591">
        <f t="shared" si="27"/>
        <v>0</v>
      </c>
      <c r="I591">
        <v>0</v>
      </c>
      <c r="K591">
        <v>0</v>
      </c>
      <c r="M591">
        <v>0</v>
      </c>
    </row>
    <row r="592" spans="2:13" x14ac:dyDescent="0.2">
      <c r="B592" s="2">
        <v>578</v>
      </c>
      <c r="C592">
        <v>0</v>
      </c>
      <c r="D592" s="13">
        <f t="shared" ref="D592:D655" si="28">C592/($D$8-$D$9)</f>
        <v>0</v>
      </c>
      <c r="E592">
        <v>845.00558614021304</v>
      </c>
      <c r="F592">
        <f t="shared" ref="F592:F655" si="29">E592/($F$8-$F$9)</f>
        <v>2.6201723601246916</v>
      </c>
      <c r="G592">
        <v>0</v>
      </c>
      <c r="H592">
        <f t="shared" ref="H592:H655" si="30">G592/($H$8-$H$9)</f>
        <v>0</v>
      </c>
      <c r="I592">
        <v>0</v>
      </c>
      <c r="K592">
        <v>0</v>
      </c>
      <c r="M592">
        <v>0</v>
      </c>
    </row>
    <row r="593" spans="2:13" x14ac:dyDescent="0.2">
      <c r="B593" s="2">
        <v>579</v>
      </c>
      <c r="C593">
        <v>0</v>
      </c>
      <c r="D593" s="13">
        <f t="shared" si="28"/>
        <v>0</v>
      </c>
      <c r="E593">
        <v>859.97078399625195</v>
      </c>
      <c r="F593">
        <f t="shared" si="29"/>
        <v>2.6665760744069829</v>
      </c>
      <c r="G593">
        <v>0</v>
      </c>
      <c r="H593">
        <f t="shared" si="30"/>
        <v>0</v>
      </c>
      <c r="I593">
        <v>0</v>
      </c>
      <c r="K593">
        <v>0</v>
      </c>
      <c r="M593">
        <v>0</v>
      </c>
    </row>
    <row r="594" spans="2:13" x14ac:dyDescent="0.2">
      <c r="B594" s="2">
        <v>580</v>
      </c>
      <c r="C594">
        <v>0</v>
      </c>
      <c r="D594" s="13">
        <f t="shared" si="28"/>
        <v>0</v>
      </c>
      <c r="E594">
        <v>874.85478815493695</v>
      </c>
      <c r="F594">
        <f t="shared" si="29"/>
        <v>2.7127280252866264</v>
      </c>
      <c r="G594">
        <v>0</v>
      </c>
      <c r="H594">
        <f t="shared" si="30"/>
        <v>0</v>
      </c>
      <c r="I594">
        <v>0</v>
      </c>
      <c r="K594">
        <v>0</v>
      </c>
      <c r="M594">
        <v>0</v>
      </c>
    </row>
    <row r="595" spans="2:13" x14ac:dyDescent="0.2">
      <c r="B595" s="2">
        <v>581</v>
      </c>
      <c r="C595">
        <v>0</v>
      </c>
      <c r="D595" s="13">
        <f t="shared" si="28"/>
        <v>0</v>
      </c>
      <c r="E595">
        <v>889.65624735723804</v>
      </c>
      <c r="F595">
        <f t="shared" si="29"/>
        <v>2.7586240228131413</v>
      </c>
      <c r="G595">
        <v>0</v>
      </c>
      <c r="H595">
        <f t="shared" si="30"/>
        <v>0</v>
      </c>
      <c r="I595">
        <v>0</v>
      </c>
      <c r="K595">
        <v>0</v>
      </c>
      <c r="M595">
        <v>0</v>
      </c>
    </row>
    <row r="596" spans="2:13" x14ac:dyDescent="0.2">
      <c r="B596" s="2">
        <v>582</v>
      </c>
      <c r="C596">
        <v>0</v>
      </c>
      <c r="D596" s="13">
        <f t="shared" si="28"/>
        <v>0</v>
      </c>
      <c r="E596">
        <v>904.37381812404203</v>
      </c>
      <c r="F596">
        <f t="shared" si="29"/>
        <v>2.8042599011598202</v>
      </c>
      <c r="G596">
        <v>0</v>
      </c>
      <c r="H596">
        <f t="shared" si="30"/>
        <v>0</v>
      </c>
      <c r="I596">
        <v>0</v>
      </c>
      <c r="K596">
        <v>0</v>
      </c>
      <c r="M596">
        <v>0</v>
      </c>
    </row>
    <row r="597" spans="2:13" x14ac:dyDescent="0.2">
      <c r="B597" s="2">
        <v>583</v>
      </c>
      <c r="C597">
        <v>0</v>
      </c>
      <c r="D597" s="13">
        <f t="shared" si="28"/>
        <v>0</v>
      </c>
      <c r="E597">
        <v>919.21672208582095</v>
      </c>
      <c r="F597">
        <f t="shared" si="29"/>
        <v>2.8502844095684372</v>
      </c>
      <c r="G597">
        <v>0</v>
      </c>
      <c r="H597">
        <f t="shared" si="30"/>
        <v>0</v>
      </c>
      <c r="I597">
        <v>0</v>
      </c>
      <c r="K597">
        <v>0</v>
      </c>
      <c r="M597">
        <v>0</v>
      </c>
    </row>
    <row r="598" spans="2:13" x14ac:dyDescent="0.2">
      <c r="B598" s="2">
        <v>584</v>
      </c>
      <c r="C598">
        <v>0</v>
      </c>
      <c r="D598" s="13">
        <f t="shared" si="28"/>
        <v>0</v>
      </c>
      <c r="E598">
        <v>934.09077343049796</v>
      </c>
      <c r="F598">
        <f t="shared" si="29"/>
        <v>2.8964054990092962</v>
      </c>
      <c r="G598">
        <v>0</v>
      </c>
      <c r="H598">
        <f t="shared" si="30"/>
        <v>0</v>
      </c>
      <c r="I598">
        <v>0</v>
      </c>
      <c r="K598">
        <v>0</v>
      </c>
      <c r="M598">
        <v>0</v>
      </c>
    </row>
    <row r="599" spans="2:13" x14ac:dyDescent="0.2">
      <c r="B599" s="2">
        <v>585</v>
      </c>
      <c r="C599">
        <v>0</v>
      </c>
      <c r="D599" s="13">
        <f t="shared" si="28"/>
        <v>0</v>
      </c>
      <c r="E599">
        <v>948.98024046231603</v>
      </c>
      <c r="F599">
        <f t="shared" si="29"/>
        <v>2.9425743890304372</v>
      </c>
      <c r="G599">
        <v>0</v>
      </c>
      <c r="H599">
        <f t="shared" si="30"/>
        <v>0</v>
      </c>
      <c r="I599">
        <v>0</v>
      </c>
      <c r="K599">
        <v>0</v>
      </c>
      <c r="M599">
        <v>0</v>
      </c>
    </row>
    <row r="600" spans="2:13" x14ac:dyDescent="0.2">
      <c r="B600" s="2">
        <v>586</v>
      </c>
      <c r="C600">
        <v>0</v>
      </c>
      <c r="D600" s="13">
        <f t="shared" si="28"/>
        <v>0</v>
      </c>
      <c r="E600">
        <v>963.85888154325198</v>
      </c>
      <c r="F600">
        <f t="shared" si="29"/>
        <v>2.988709710211634</v>
      </c>
      <c r="G600">
        <v>0</v>
      </c>
      <c r="H600">
        <f t="shared" si="30"/>
        <v>0</v>
      </c>
      <c r="I600">
        <v>0</v>
      </c>
      <c r="K600">
        <v>0</v>
      </c>
      <c r="M600">
        <v>0</v>
      </c>
    </row>
    <row r="601" spans="2:13" x14ac:dyDescent="0.2">
      <c r="B601" s="2">
        <v>587</v>
      </c>
      <c r="C601">
        <v>0</v>
      </c>
      <c r="D601" s="13">
        <f t="shared" si="28"/>
        <v>0</v>
      </c>
      <c r="E601">
        <v>978.69994318794204</v>
      </c>
      <c r="F601">
        <f t="shared" si="29"/>
        <v>3.0347285060091225</v>
      </c>
      <c r="G601">
        <v>0</v>
      </c>
      <c r="H601">
        <f t="shared" si="30"/>
        <v>0</v>
      </c>
      <c r="I601">
        <v>0</v>
      </c>
      <c r="K601">
        <v>0</v>
      </c>
      <c r="M601">
        <v>0</v>
      </c>
    </row>
    <row r="602" spans="2:13" x14ac:dyDescent="0.2">
      <c r="B602" s="2">
        <v>588</v>
      </c>
      <c r="C602">
        <v>0</v>
      </c>
      <c r="D602" s="13">
        <f t="shared" si="28"/>
        <v>0</v>
      </c>
      <c r="E602">
        <v>993.48477355211105</v>
      </c>
      <c r="F602">
        <f t="shared" si="29"/>
        <v>3.0805729412468561</v>
      </c>
      <c r="G602">
        <v>0</v>
      </c>
      <c r="H602">
        <f t="shared" si="30"/>
        <v>0</v>
      </c>
      <c r="I602">
        <v>0</v>
      </c>
      <c r="K602">
        <v>0</v>
      </c>
      <c r="M602">
        <v>0</v>
      </c>
    </row>
    <row r="603" spans="2:13" x14ac:dyDescent="0.2">
      <c r="B603" s="2">
        <v>589</v>
      </c>
      <c r="C603">
        <v>0</v>
      </c>
      <c r="D603" s="13">
        <f t="shared" si="28"/>
        <v>0</v>
      </c>
      <c r="E603">
        <v>1008.1947507285</v>
      </c>
      <c r="F603">
        <f t="shared" si="29"/>
        <v>3.1261852735767444</v>
      </c>
      <c r="G603">
        <v>0</v>
      </c>
      <c r="H603">
        <f t="shared" si="30"/>
        <v>0</v>
      </c>
      <c r="I603">
        <v>0</v>
      </c>
      <c r="K603">
        <v>0</v>
      </c>
      <c r="M603">
        <v>0</v>
      </c>
    </row>
    <row r="604" spans="2:13" x14ac:dyDescent="0.2">
      <c r="B604" s="2">
        <v>590</v>
      </c>
      <c r="C604">
        <v>0</v>
      </c>
      <c r="D604" s="13">
        <f t="shared" si="28"/>
        <v>0</v>
      </c>
      <c r="E604">
        <v>1022.81124817006</v>
      </c>
      <c r="F604">
        <f t="shared" si="29"/>
        <v>3.1715077462637522</v>
      </c>
      <c r="G604">
        <v>0</v>
      </c>
      <c r="H604">
        <f t="shared" si="30"/>
        <v>0</v>
      </c>
      <c r="I604">
        <v>0</v>
      </c>
      <c r="K604">
        <v>0</v>
      </c>
      <c r="M604">
        <v>0</v>
      </c>
    </row>
    <row r="605" spans="2:13" x14ac:dyDescent="0.2">
      <c r="B605" s="2">
        <v>591</v>
      </c>
      <c r="C605">
        <v>0</v>
      </c>
      <c r="D605" s="13">
        <f t="shared" si="28"/>
        <v>0</v>
      </c>
      <c r="E605">
        <v>1037.3480776762599</v>
      </c>
      <c r="F605">
        <f t="shared" si="29"/>
        <v>3.2165831865930539</v>
      </c>
      <c r="G605">
        <v>0</v>
      </c>
      <c r="H605">
        <f t="shared" si="30"/>
        <v>0</v>
      </c>
      <c r="I605">
        <v>0</v>
      </c>
      <c r="K605">
        <v>0</v>
      </c>
      <c r="M605">
        <v>0</v>
      </c>
    </row>
    <row r="606" spans="2:13" x14ac:dyDescent="0.2">
      <c r="B606" s="2">
        <v>592</v>
      </c>
      <c r="C606">
        <v>0</v>
      </c>
      <c r="D606" s="13">
        <f t="shared" si="28"/>
        <v>0</v>
      </c>
      <c r="E606">
        <v>1051.79345098317</v>
      </c>
      <c r="F606">
        <f t="shared" si="29"/>
        <v>3.2613750418082792</v>
      </c>
      <c r="G606">
        <v>0</v>
      </c>
      <c r="H606">
        <f t="shared" si="30"/>
        <v>0</v>
      </c>
      <c r="I606">
        <v>0</v>
      </c>
      <c r="K606">
        <v>0</v>
      </c>
      <c r="M606">
        <v>0</v>
      </c>
    </row>
    <row r="607" spans="2:13" x14ac:dyDescent="0.2">
      <c r="B607" s="2">
        <v>593</v>
      </c>
      <c r="C607">
        <v>0</v>
      </c>
      <c r="D607" s="13">
        <f t="shared" si="28"/>
        <v>0</v>
      </c>
      <c r="E607">
        <v>1066.0832750201901</v>
      </c>
      <c r="F607">
        <f t="shared" si="29"/>
        <v>3.3056845737060159</v>
      </c>
      <c r="G607">
        <v>0</v>
      </c>
      <c r="H607">
        <f t="shared" si="30"/>
        <v>0</v>
      </c>
      <c r="I607">
        <v>0</v>
      </c>
      <c r="K607">
        <v>0</v>
      </c>
      <c r="M607">
        <v>0</v>
      </c>
    </row>
    <row r="608" spans="2:13" x14ac:dyDescent="0.2">
      <c r="B608" s="2">
        <v>594</v>
      </c>
      <c r="C608">
        <v>0</v>
      </c>
      <c r="D608" s="13">
        <f t="shared" si="28"/>
        <v>0</v>
      </c>
      <c r="E608">
        <v>1080.18526433847</v>
      </c>
      <c r="F608">
        <f t="shared" si="29"/>
        <v>3.3494116723673488</v>
      </c>
      <c r="G608">
        <v>0</v>
      </c>
      <c r="H608">
        <f t="shared" si="30"/>
        <v>0</v>
      </c>
      <c r="I608">
        <v>0</v>
      </c>
      <c r="K608">
        <v>0</v>
      </c>
      <c r="M608">
        <v>0</v>
      </c>
    </row>
    <row r="609" spans="2:13" x14ac:dyDescent="0.2">
      <c r="B609" s="2">
        <v>595</v>
      </c>
      <c r="C609">
        <v>0</v>
      </c>
      <c r="D609" s="13">
        <f t="shared" si="28"/>
        <v>0</v>
      </c>
      <c r="E609">
        <v>1094.1386150143601</v>
      </c>
      <c r="F609">
        <f t="shared" si="29"/>
        <v>3.3926778760135194</v>
      </c>
      <c r="G609">
        <v>0</v>
      </c>
      <c r="H609">
        <f t="shared" si="30"/>
        <v>0</v>
      </c>
      <c r="I609">
        <v>0</v>
      </c>
      <c r="K609">
        <v>0</v>
      </c>
      <c r="M609">
        <v>0</v>
      </c>
    </row>
    <row r="610" spans="2:13" x14ac:dyDescent="0.2">
      <c r="B610" s="2">
        <v>596</v>
      </c>
      <c r="C610">
        <v>0</v>
      </c>
      <c r="D610" s="13">
        <f t="shared" si="28"/>
        <v>0</v>
      </c>
      <c r="E610">
        <v>1108.0285371294101</v>
      </c>
      <c r="F610">
        <f t="shared" si="29"/>
        <v>3.4357474019516592</v>
      </c>
      <c r="G610">
        <v>0</v>
      </c>
      <c r="H610">
        <f t="shared" si="30"/>
        <v>0</v>
      </c>
      <c r="I610">
        <v>0</v>
      </c>
      <c r="K610">
        <v>0</v>
      </c>
      <c r="M610">
        <v>0</v>
      </c>
    </row>
    <row r="611" spans="2:13" x14ac:dyDescent="0.2">
      <c r="B611" s="2">
        <v>597</v>
      </c>
      <c r="C611">
        <v>0</v>
      </c>
      <c r="D611" s="13">
        <f t="shared" si="28"/>
        <v>0</v>
      </c>
      <c r="E611">
        <v>1121.8917729951399</v>
      </c>
      <c r="F611">
        <f t="shared" si="29"/>
        <v>3.4787341798298912</v>
      </c>
      <c r="G611">
        <v>0</v>
      </c>
      <c r="H611">
        <f t="shared" si="30"/>
        <v>0</v>
      </c>
      <c r="I611">
        <v>0</v>
      </c>
      <c r="K611">
        <v>0</v>
      </c>
      <c r="M611">
        <v>0</v>
      </c>
    </row>
    <row r="612" spans="2:13" x14ac:dyDescent="0.2">
      <c r="B612" s="2">
        <v>598</v>
      </c>
      <c r="C612">
        <v>0</v>
      </c>
      <c r="D612" s="13">
        <f t="shared" si="28"/>
        <v>0</v>
      </c>
      <c r="E612">
        <v>1135.7650092829099</v>
      </c>
      <c r="F612">
        <f t="shared" si="29"/>
        <v>3.5217519667687127</v>
      </c>
      <c r="G612">
        <v>0</v>
      </c>
      <c r="H612">
        <f t="shared" si="30"/>
        <v>0</v>
      </c>
      <c r="I612">
        <v>0</v>
      </c>
      <c r="K612">
        <v>0</v>
      </c>
      <c r="M612">
        <v>0</v>
      </c>
    </row>
    <row r="613" spans="2:13" x14ac:dyDescent="0.2">
      <c r="B613" s="2">
        <v>599</v>
      </c>
      <c r="C613">
        <v>0</v>
      </c>
      <c r="D613" s="13">
        <f t="shared" si="28"/>
        <v>0</v>
      </c>
      <c r="E613">
        <v>1149.6601765953201</v>
      </c>
      <c r="F613">
        <f t="shared" si="29"/>
        <v>3.5648377568847134</v>
      </c>
      <c r="G613">
        <v>0</v>
      </c>
      <c r="H613">
        <f t="shared" si="30"/>
        <v>0</v>
      </c>
      <c r="I613">
        <v>0</v>
      </c>
      <c r="K613">
        <v>0</v>
      </c>
      <c r="M613">
        <v>0</v>
      </c>
    </row>
    <row r="614" spans="2:13" x14ac:dyDescent="0.2">
      <c r="B614" s="2">
        <v>600</v>
      </c>
      <c r="C614">
        <v>0</v>
      </c>
      <c r="D614" s="13">
        <f t="shared" si="28"/>
        <v>0</v>
      </c>
      <c r="E614">
        <v>1083.69751419459</v>
      </c>
      <c r="F614">
        <f t="shared" si="29"/>
        <v>3.3603023695956278</v>
      </c>
      <c r="G614">
        <v>0</v>
      </c>
      <c r="H614">
        <f t="shared" si="30"/>
        <v>0</v>
      </c>
      <c r="I614">
        <v>0</v>
      </c>
      <c r="K614">
        <v>0</v>
      </c>
      <c r="M614">
        <v>0</v>
      </c>
    </row>
    <row r="615" spans="2:13" x14ac:dyDescent="0.2">
      <c r="B615" s="2">
        <v>601</v>
      </c>
      <c r="C615">
        <v>0</v>
      </c>
      <c r="D615" s="13">
        <f t="shared" si="28"/>
        <v>0</v>
      </c>
      <c r="E615">
        <v>1051.3039304358001</v>
      </c>
      <c r="F615">
        <f t="shared" si="29"/>
        <v>3.2598571486381398</v>
      </c>
      <c r="G615">
        <v>0</v>
      </c>
      <c r="H615">
        <f t="shared" si="30"/>
        <v>0</v>
      </c>
      <c r="I615">
        <v>0</v>
      </c>
      <c r="K615">
        <v>0</v>
      </c>
      <c r="M615">
        <v>0</v>
      </c>
    </row>
    <row r="616" spans="2:13" x14ac:dyDescent="0.2">
      <c r="B616" s="2">
        <v>602</v>
      </c>
      <c r="C616">
        <v>0</v>
      </c>
      <c r="D616" s="13">
        <f t="shared" si="28"/>
        <v>0</v>
      </c>
      <c r="E616">
        <v>1018.81913498829</v>
      </c>
      <c r="F616">
        <f t="shared" si="29"/>
        <v>3.1591291007388835</v>
      </c>
      <c r="G616">
        <v>0</v>
      </c>
      <c r="H616">
        <f t="shared" si="30"/>
        <v>0</v>
      </c>
      <c r="I616">
        <v>0</v>
      </c>
      <c r="K616">
        <v>0</v>
      </c>
      <c r="M616">
        <v>0</v>
      </c>
    </row>
    <row r="617" spans="2:13" x14ac:dyDescent="0.2">
      <c r="B617" s="2">
        <v>603</v>
      </c>
      <c r="C617">
        <v>0</v>
      </c>
      <c r="D617" s="13">
        <f t="shared" si="28"/>
        <v>0</v>
      </c>
      <c r="E617">
        <v>986.24611962712595</v>
      </c>
      <c r="F617">
        <f t="shared" si="29"/>
        <v>3.0581275027197705</v>
      </c>
      <c r="G617">
        <v>0</v>
      </c>
      <c r="H617">
        <f t="shared" si="30"/>
        <v>0</v>
      </c>
      <c r="I617">
        <v>0</v>
      </c>
      <c r="K617">
        <v>0</v>
      </c>
      <c r="M617">
        <v>0</v>
      </c>
    </row>
    <row r="618" spans="2:13" x14ac:dyDescent="0.2">
      <c r="B618" s="2">
        <v>604</v>
      </c>
      <c r="C618">
        <v>0</v>
      </c>
      <c r="D618" s="13">
        <f t="shared" si="28"/>
        <v>0</v>
      </c>
      <c r="E618">
        <v>953.58788373795596</v>
      </c>
      <c r="F618">
        <f t="shared" si="29"/>
        <v>2.956861655001414</v>
      </c>
      <c r="G618">
        <v>0</v>
      </c>
      <c r="H618">
        <f t="shared" si="30"/>
        <v>0</v>
      </c>
      <c r="I618">
        <v>0</v>
      </c>
      <c r="K618">
        <v>0</v>
      </c>
      <c r="M618">
        <v>0</v>
      </c>
    </row>
    <row r="619" spans="2:13" x14ac:dyDescent="0.2">
      <c r="B619" s="2">
        <v>605</v>
      </c>
      <c r="C619">
        <v>0</v>
      </c>
      <c r="D619" s="13">
        <f t="shared" si="28"/>
        <v>0</v>
      </c>
      <c r="E619">
        <v>920.84743404092796</v>
      </c>
      <c r="F619">
        <f t="shared" si="29"/>
        <v>2.8553408807470633</v>
      </c>
      <c r="G619">
        <v>0</v>
      </c>
      <c r="H619">
        <f t="shared" si="30"/>
        <v>0</v>
      </c>
      <c r="I619">
        <v>0</v>
      </c>
      <c r="K619">
        <v>0</v>
      </c>
      <c r="M619">
        <v>0</v>
      </c>
    </row>
    <row r="620" spans="2:13" x14ac:dyDescent="0.2">
      <c r="B620" s="2">
        <v>606</v>
      </c>
      <c r="C620">
        <v>0</v>
      </c>
      <c r="D620" s="13">
        <f t="shared" si="28"/>
        <v>0</v>
      </c>
      <c r="E620">
        <v>888.02778431393301</v>
      </c>
      <c r="F620">
        <f t="shared" si="29"/>
        <v>2.7535745250044434</v>
      </c>
      <c r="G620">
        <v>0</v>
      </c>
      <c r="H620">
        <f t="shared" si="30"/>
        <v>0</v>
      </c>
      <c r="I620">
        <v>0</v>
      </c>
      <c r="K620">
        <v>0</v>
      </c>
      <c r="M620">
        <v>0</v>
      </c>
    </row>
    <row r="621" spans="2:13" x14ac:dyDescent="0.2">
      <c r="B621" s="2">
        <v>607</v>
      </c>
      <c r="C621">
        <v>0</v>
      </c>
      <c r="D621" s="13">
        <f t="shared" si="28"/>
        <v>0</v>
      </c>
      <c r="E621">
        <v>855.34634369880803</v>
      </c>
      <c r="F621">
        <f t="shared" si="29"/>
        <v>2.6522367246474667</v>
      </c>
      <c r="G621">
        <v>0</v>
      </c>
      <c r="H621">
        <f t="shared" si="30"/>
        <v>0</v>
      </c>
      <c r="I621">
        <v>0</v>
      </c>
      <c r="K621">
        <v>0</v>
      </c>
      <c r="M621">
        <v>0</v>
      </c>
    </row>
    <row r="622" spans="2:13" x14ac:dyDescent="0.2">
      <c r="B622" s="2">
        <v>608</v>
      </c>
      <c r="C622">
        <v>0</v>
      </c>
      <c r="D622" s="13">
        <f t="shared" si="28"/>
        <v>0</v>
      </c>
      <c r="E622">
        <v>822.71206407439695</v>
      </c>
      <c r="F622">
        <f t="shared" si="29"/>
        <v>2.5510451599206108</v>
      </c>
      <c r="G622">
        <v>0</v>
      </c>
      <c r="H622">
        <f t="shared" si="30"/>
        <v>0</v>
      </c>
      <c r="I622">
        <v>0</v>
      </c>
      <c r="K622">
        <v>0</v>
      </c>
      <c r="M622">
        <v>0</v>
      </c>
    </row>
    <row r="623" spans="2:13" x14ac:dyDescent="0.2">
      <c r="B623" s="2">
        <v>609</v>
      </c>
      <c r="C623">
        <v>0</v>
      </c>
      <c r="D623" s="13">
        <f t="shared" si="28"/>
        <v>0</v>
      </c>
      <c r="E623">
        <v>790.11365347737296</v>
      </c>
      <c r="F623">
        <f t="shared" si="29"/>
        <v>2.4499648169841022</v>
      </c>
      <c r="G623">
        <v>0</v>
      </c>
      <c r="H623">
        <f t="shared" si="30"/>
        <v>0</v>
      </c>
      <c r="I623">
        <v>0</v>
      </c>
      <c r="K623">
        <v>0</v>
      </c>
      <c r="M623">
        <v>0</v>
      </c>
    </row>
    <row r="624" spans="2:13" x14ac:dyDescent="0.2">
      <c r="B624" s="2">
        <v>610</v>
      </c>
      <c r="C624">
        <v>0</v>
      </c>
      <c r="D624" s="13">
        <f t="shared" si="28"/>
        <v>0</v>
      </c>
      <c r="E624">
        <v>757.54896811811898</v>
      </c>
      <c r="F624">
        <f t="shared" si="29"/>
        <v>2.348989048428276</v>
      </c>
      <c r="G624">
        <v>0</v>
      </c>
      <c r="H624">
        <f t="shared" si="30"/>
        <v>0</v>
      </c>
      <c r="I624">
        <v>0</v>
      </c>
      <c r="K624">
        <v>0</v>
      </c>
      <c r="M624">
        <v>0</v>
      </c>
    </row>
    <row r="625" spans="2:13" x14ac:dyDescent="0.2">
      <c r="B625" s="2">
        <v>611</v>
      </c>
      <c r="C625">
        <v>0</v>
      </c>
      <c r="D625" s="13">
        <f t="shared" si="28"/>
        <v>0</v>
      </c>
      <c r="E625">
        <v>724.99007191246096</v>
      </c>
      <c r="F625">
        <f t="shared" si="29"/>
        <v>2.2480312307363133</v>
      </c>
      <c r="G625">
        <v>0</v>
      </c>
      <c r="H625">
        <f t="shared" si="30"/>
        <v>0</v>
      </c>
      <c r="I625">
        <v>0</v>
      </c>
      <c r="K625">
        <v>0</v>
      </c>
      <c r="M625">
        <v>0</v>
      </c>
    </row>
    <row r="626" spans="2:13" x14ac:dyDescent="0.2">
      <c r="B626" s="2">
        <v>612</v>
      </c>
      <c r="C626">
        <v>0</v>
      </c>
      <c r="D626" s="13">
        <f t="shared" si="28"/>
        <v>0</v>
      </c>
      <c r="E626">
        <v>692.42058035065099</v>
      </c>
      <c r="F626">
        <f t="shared" si="29"/>
        <v>2.1470405592268249</v>
      </c>
      <c r="G626">
        <v>0</v>
      </c>
      <c r="H626">
        <f t="shared" si="30"/>
        <v>0</v>
      </c>
      <c r="I626">
        <v>0</v>
      </c>
      <c r="K626">
        <v>0</v>
      </c>
      <c r="M626">
        <v>0</v>
      </c>
    </row>
    <row r="627" spans="2:13" x14ac:dyDescent="0.2">
      <c r="B627" s="2">
        <v>613</v>
      </c>
      <c r="C627">
        <v>0</v>
      </c>
      <c r="D627" s="13">
        <f t="shared" si="28"/>
        <v>0</v>
      </c>
      <c r="E627">
        <v>659.82669398027804</v>
      </c>
      <c r="F627">
        <f t="shared" si="29"/>
        <v>2.0459742449000871</v>
      </c>
      <c r="G627">
        <v>0</v>
      </c>
      <c r="H627">
        <f t="shared" si="30"/>
        <v>0</v>
      </c>
      <c r="I627">
        <v>0</v>
      </c>
      <c r="K627">
        <v>0</v>
      </c>
      <c r="M627">
        <v>0</v>
      </c>
    </row>
    <row r="628" spans="2:13" x14ac:dyDescent="0.2">
      <c r="B628" s="2">
        <v>614</v>
      </c>
      <c r="C628">
        <v>0</v>
      </c>
      <c r="D628" s="13">
        <f t="shared" si="28"/>
        <v>0</v>
      </c>
      <c r="E628">
        <v>627.22054339555098</v>
      </c>
      <c r="F628">
        <f t="shared" si="29"/>
        <v>1.9448699020017084</v>
      </c>
      <c r="G628">
        <v>0</v>
      </c>
      <c r="H628">
        <f t="shared" si="30"/>
        <v>0</v>
      </c>
      <c r="I628">
        <v>0</v>
      </c>
      <c r="K628">
        <v>0</v>
      </c>
      <c r="M628">
        <v>0</v>
      </c>
    </row>
    <row r="629" spans="2:13" x14ac:dyDescent="0.2">
      <c r="B629" s="2">
        <v>615</v>
      </c>
      <c r="C629">
        <v>0</v>
      </c>
      <c r="D629" s="13">
        <f t="shared" si="28"/>
        <v>0</v>
      </c>
      <c r="E629">
        <v>594.63095020272999</v>
      </c>
      <c r="F629">
        <f t="shared" si="29"/>
        <v>1.8438168998534263</v>
      </c>
      <c r="G629">
        <v>0</v>
      </c>
      <c r="H629">
        <f t="shared" si="30"/>
        <v>0</v>
      </c>
      <c r="I629">
        <v>0</v>
      </c>
      <c r="K629">
        <v>0</v>
      </c>
      <c r="M629">
        <v>0</v>
      </c>
    </row>
    <row r="630" spans="2:13" x14ac:dyDescent="0.2">
      <c r="B630" s="2">
        <v>616</v>
      </c>
      <c r="C630">
        <v>0</v>
      </c>
      <c r="D630" s="13">
        <f t="shared" si="28"/>
        <v>0</v>
      </c>
      <c r="E630">
        <v>562.06915066566501</v>
      </c>
      <c r="F630">
        <f t="shared" si="29"/>
        <v>1.7428500795834574</v>
      </c>
      <c r="G630">
        <v>0</v>
      </c>
      <c r="H630">
        <f t="shared" si="30"/>
        <v>0</v>
      </c>
      <c r="I630">
        <v>0</v>
      </c>
      <c r="K630">
        <v>0</v>
      </c>
      <c r="M630">
        <v>0</v>
      </c>
    </row>
    <row r="631" spans="2:13" x14ac:dyDescent="0.2">
      <c r="B631" s="2">
        <v>617</v>
      </c>
      <c r="C631">
        <v>0</v>
      </c>
      <c r="D631" s="13">
        <f t="shared" si="28"/>
        <v>0</v>
      </c>
      <c r="E631">
        <v>529.54635908176499</v>
      </c>
      <c r="F631">
        <f t="shared" si="29"/>
        <v>1.6420042142070232</v>
      </c>
      <c r="G631">
        <v>0</v>
      </c>
      <c r="H631">
        <f t="shared" si="30"/>
        <v>0</v>
      </c>
      <c r="I631">
        <v>0</v>
      </c>
      <c r="K631">
        <v>0</v>
      </c>
      <c r="M631">
        <v>0</v>
      </c>
    </row>
    <row r="632" spans="2:13" x14ac:dyDescent="0.2">
      <c r="B632" s="2">
        <v>618</v>
      </c>
      <c r="C632">
        <v>0</v>
      </c>
      <c r="D632" s="13">
        <f t="shared" si="28"/>
        <v>0</v>
      </c>
      <c r="E632">
        <v>497.07376683016503</v>
      </c>
      <c r="F632">
        <f t="shared" si="29"/>
        <v>1.5413140056749304</v>
      </c>
      <c r="G632">
        <v>0</v>
      </c>
      <c r="H632">
        <f t="shared" si="30"/>
        <v>0</v>
      </c>
      <c r="I632">
        <v>0</v>
      </c>
      <c r="K632">
        <v>0</v>
      </c>
      <c r="M632">
        <v>0</v>
      </c>
    </row>
    <row r="633" spans="2:13" x14ac:dyDescent="0.2">
      <c r="B633" s="2">
        <v>619</v>
      </c>
      <c r="C633">
        <v>0</v>
      </c>
      <c r="D633" s="13">
        <f t="shared" si="28"/>
        <v>0</v>
      </c>
      <c r="E633">
        <v>464.66254142316501</v>
      </c>
      <c r="F633">
        <f t="shared" si="29"/>
        <v>1.4408140819322945</v>
      </c>
      <c r="G633">
        <v>0</v>
      </c>
      <c r="H633">
        <f t="shared" si="30"/>
        <v>0</v>
      </c>
      <c r="I633">
        <v>0</v>
      </c>
      <c r="K633">
        <v>0</v>
      </c>
      <c r="M633">
        <v>0</v>
      </c>
    </row>
    <row r="634" spans="2:13" x14ac:dyDescent="0.2">
      <c r="B634" s="2">
        <v>620</v>
      </c>
      <c r="C634">
        <v>0</v>
      </c>
      <c r="D634" s="13">
        <f t="shared" si="28"/>
        <v>0</v>
      </c>
      <c r="E634">
        <v>432.323825561045</v>
      </c>
      <c r="F634">
        <f t="shared" si="29"/>
        <v>1.3405389939877363</v>
      </c>
      <c r="G634">
        <v>0</v>
      </c>
      <c r="H634">
        <f t="shared" si="30"/>
        <v>0</v>
      </c>
      <c r="I634">
        <v>0</v>
      </c>
      <c r="K634">
        <v>0</v>
      </c>
      <c r="M634">
        <v>0</v>
      </c>
    </row>
    <row r="635" spans="2:13" x14ac:dyDescent="0.2">
      <c r="B635" s="2">
        <v>621</v>
      </c>
      <c r="C635">
        <v>0</v>
      </c>
      <c r="D635" s="13">
        <f t="shared" si="28"/>
        <v>0</v>
      </c>
      <c r="E635">
        <v>400.032608618209</v>
      </c>
      <c r="F635">
        <f t="shared" si="29"/>
        <v>1.2404111895138263</v>
      </c>
      <c r="G635">
        <v>0</v>
      </c>
      <c r="H635">
        <f t="shared" si="30"/>
        <v>0</v>
      </c>
      <c r="I635">
        <v>0</v>
      </c>
      <c r="K635">
        <v>0</v>
      </c>
      <c r="M635">
        <v>0</v>
      </c>
    </row>
    <row r="636" spans="2:13" x14ac:dyDescent="0.2">
      <c r="B636" s="2">
        <v>622</v>
      </c>
      <c r="C636">
        <v>0</v>
      </c>
      <c r="D636" s="13">
        <f t="shared" si="28"/>
        <v>0</v>
      </c>
      <c r="E636">
        <v>367.80725889042799</v>
      </c>
      <c r="F636">
        <f t="shared" si="29"/>
        <v>1.1404876244664435</v>
      </c>
      <c r="G636">
        <v>0</v>
      </c>
      <c r="H636">
        <f t="shared" si="30"/>
        <v>0</v>
      </c>
      <c r="I636">
        <v>0</v>
      </c>
      <c r="K636">
        <v>0</v>
      </c>
      <c r="M636">
        <v>0</v>
      </c>
    </row>
    <row r="637" spans="2:13" x14ac:dyDescent="0.2">
      <c r="B637" s="2">
        <v>623</v>
      </c>
      <c r="C637">
        <v>0</v>
      </c>
      <c r="D637" s="13">
        <f t="shared" si="28"/>
        <v>0</v>
      </c>
      <c r="E637">
        <v>335.65879551628899</v>
      </c>
      <c r="F637">
        <f t="shared" si="29"/>
        <v>1.0408024667171751</v>
      </c>
      <c r="G637">
        <v>0</v>
      </c>
      <c r="H637">
        <f t="shared" si="30"/>
        <v>0</v>
      </c>
      <c r="I637">
        <v>0</v>
      </c>
      <c r="K637">
        <v>0</v>
      </c>
      <c r="M637">
        <v>0</v>
      </c>
    </row>
    <row r="638" spans="2:13" x14ac:dyDescent="0.2">
      <c r="B638" s="2">
        <v>624</v>
      </c>
      <c r="C638">
        <v>0</v>
      </c>
      <c r="D638" s="13">
        <f t="shared" si="28"/>
        <v>0</v>
      </c>
      <c r="E638">
        <v>303.36108681896002</v>
      </c>
      <c r="F638">
        <f t="shared" si="29"/>
        <v>0.94065453277196909</v>
      </c>
      <c r="G638">
        <v>0</v>
      </c>
      <c r="H638">
        <f t="shared" si="30"/>
        <v>0</v>
      </c>
      <c r="I638">
        <v>0</v>
      </c>
      <c r="K638">
        <v>0</v>
      </c>
      <c r="M638">
        <v>0</v>
      </c>
    </row>
    <row r="639" spans="2:13" x14ac:dyDescent="0.2">
      <c r="B639" s="2">
        <v>625</v>
      </c>
      <c r="C639">
        <v>0</v>
      </c>
      <c r="D639" s="13">
        <f t="shared" si="28"/>
        <v>0</v>
      </c>
      <c r="E639">
        <v>271.04070164756098</v>
      </c>
      <c r="F639">
        <f t="shared" si="29"/>
        <v>0.84043628417848371</v>
      </c>
      <c r="G639">
        <v>0</v>
      </c>
      <c r="H639">
        <f t="shared" si="30"/>
        <v>0</v>
      </c>
      <c r="I639">
        <v>0</v>
      </c>
      <c r="K639">
        <v>0</v>
      </c>
      <c r="M639">
        <v>0</v>
      </c>
    </row>
    <row r="640" spans="2:13" x14ac:dyDescent="0.2">
      <c r="B640" s="2">
        <v>626</v>
      </c>
      <c r="C640">
        <v>0</v>
      </c>
      <c r="D640" s="13">
        <f t="shared" si="28"/>
        <v>0</v>
      </c>
      <c r="E640">
        <v>238.700605828867</v>
      </c>
      <c r="F640">
        <f t="shared" si="29"/>
        <v>0.74015691729881239</v>
      </c>
      <c r="G640">
        <v>0</v>
      </c>
      <c r="H640">
        <f t="shared" si="30"/>
        <v>0</v>
      </c>
      <c r="I640">
        <v>0</v>
      </c>
      <c r="K640">
        <v>0</v>
      </c>
      <c r="M640">
        <v>0</v>
      </c>
    </row>
    <row r="641" spans="2:13" x14ac:dyDescent="0.2">
      <c r="B641" s="2">
        <v>627</v>
      </c>
      <c r="C641">
        <v>0</v>
      </c>
      <c r="D641" s="13">
        <f t="shared" si="28"/>
        <v>0</v>
      </c>
      <c r="E641">
        <v>206.343766525354</v>
      </c>
      <c r="F641">
        <f t="shared" si="29"/>
        <v>0.63982563263675662</v>
      </c>
      <c r="G641">
        <v>0</v>
      </c>
      <c r="H641">
        <f t="shared" si="30"/>
        <v>0</v>
      </c>
      <c r="I641">
        <v>0</v>
      </c>
      <c r="K641">
        <v>0</v>
      </c>
      <c r="M641">
        <v>0</v>
      </c>
    </row>
    <row r="642" spans="2:13" x14ac:dyDescent="0.2">
      <c r="B642" s="2">
        <v>628</v>
      </c>
      <c r="C642">
        <v>0</v>
      </c>
      <c r="D642" s="13">
        <f t="shared" si="28"/>
        <v>0</v>
      </c>
      <c r="E642">
        <v>173.97315196304299</v>
      </c>
      <c r="F642">
        <f t="shared" si="29"/>
        <v>0.53945163399393181</v>
      </c>
      <c r="G642">
        <v>0</v>
      </c>
      <c r="H642">
        <f t="shared" si="30"/>
        <v>0</v>
      </c>
      <c r="I642">
        <v>0</v>
      </c>
      <c r="K642">
        <v>0</v>
      </c>
      <c r="M642">
        <v>0</v>
      </c>
    </row>
    <row r="643" spans="2:13" x14ac:dyDescent="0.2">
      <c r="B643" s="2">
        <v>629</v>
      </c>
      <c r="C643">
        <v>0</v>
      </c>
      <c r="D643" s="13">
        <f t="shared" si="28"/>
        <v>0</v>
      </c>
      <c r="E643">
        <v>141.59173115928999</v>
      </c>
      <c r="F643">
        <f t="shared" si="29"/>
        <v>0.43904412762570538</v>
      </c>
      <c r="G643">
        <v>0</v>
      </c>
      <c r="H643">
        <f t="shared" si="30"/>
        <v>0</v>
      </c>
      <c r="I643">
        <v>0</v>
      </c>
      <c r="K643">
        <v>0</v>
      </c>
      <c r="M643">
        <v>0</v>
      </c>
    </row>
    <row r="644" spans="2:13" x14ac:dyDescent="0.2">
      <c r="B644" s="2">
        <v>630</v>
      </c>
      <c r="C644">
        <v>0</v>
      </c>
      <c r="D644" s="13">
        <f t="shared" si="28"/>
        <v>0</v>
      </c>
      <c r="E644">
        <v>109.202473650538</v>
      </c>
      <c r="F644">
        <f t="shared" si="29"/>
        <v>0.33861232139701702</v>
      </c>
      <c r="G644">
        <v>0</v>
      </c>
      <c r="H644">
        <f t="shared" si="30"/>
        <v>0</v>
      </c>
      <c r="I644">
        <v>0</v>
      </c>
      <c r="K644">
        <v>0</v>
      </c>
      <c r="M644">
        <v>0</v>
      </c>
    </row>
    <row r="645" spans="2:13" x14ac:dyDescent="0.2">
      <c r="B645" s="2">
        <v>631</v>
      </c>
      <c r="C645">
        <v>0</v>
      </c>
      <c r="D645" s="13">
        <f t="shared" si="28"/>
        <v>0</v>
      </c>
      <c r="E645">
        <v>77.021799161764093</v>
      </c>
      <c r="F645">
        <f t="shared" si="29"/>
        <v>0.23882728422252433</v>
      </c>
      <c r="G645">
        <v>0</v>
      </c>
      <c r="H645">
        <f t="shared" si="30"/>
        <v>0</v>
      </c>
      <c r="I645">
        <v>0</v>
      </c>
      <c r="K645">
        <v>0</v>
      </c>
      <c r="M645">
        <v>0</v>
      </c>
    </row>
    <row r="646" spans="2:13" x14ac:dyDescent="0.2">
      <c r="B646" s="2">
        <v>632</v>
      </c>
      <c r="C646">
        <v>0</v>
      </c>
      <c r="D646" s="13">
        <f t="shared" si="28"/>
        <v>0</v>
      </c>
      <c r="E646">
        <v>44.958697967312403</v>
      </c>
      <c r="F646">
        <f t="shared" si="29"/>
        <v>0.13940681540251909</v>
      </c>
      <c r="G646">
        <v>0</v>
      </c>
      <c r="H646">
        <f t="shared" si="30"/>
        <v>0</v>
      </c>
      <c r="I646">
        <v>0</v>
      </c>
      <c r="K646">
        <v>0</v>
      </c>
      <c r="M646">
        <v>0</v>
      </c>
    </row>
    <row r="647" spans="2:13" x14ac:dyDescent="0.2">
      <c r="B647" s="2">
        <v>633</v>
      </c>
      <c r="C647">
        <v>0</v>
      </c>
      <c r="D647" s="13">
        <f t="shared" si="28"/>
        <v>0</v>
      </c>
      <c r="E647">
        <v>12.987010906417099</v>
      </c>
      <c r="F647">
        <f t="shared" si="29"/>
        <v>4.0269801260208057E-2</v>
      </c>
      <c r="G647">
        <v>0</v>
      </c>
      <c r="H647">
        <f t="shared" si="30"/>
        <v>0</v>
      </c>
      <c r="I647">
        <v>0</v>
      </c>
      <c r="K647">
        <v>0</v>
      </c>
      <c r="M647">
        <v>0</v>
      </c>
    </row>
    <row r="648" spans="2:13" x14ac:dyDescent="0.2">
      <c r="B648" s="2">
        <v>634</v>
      </c>
      <c r="C648">
        <v>0</v>
      </c>
      <c r="D648" s="13">
        <f t="shared" si="28"/>
        <v>0</v>
      </c>
      <c r="E648">
        <v>0</v>
      </c>
      <c r="F648">
        <f t="shared" si="29"/>
        <v>0</v>
      </c>
      <c r="G648">
        <v>0</v>
      </c>
      <c r="H648">
        <f t="shared" si="30"/>
        <v>0</v>
      </c>
      <c r="I648">
        <v>0</v>
      </c>
      <c r="K648">
        <v>0</v>
      </c>
      <c r="M648">
        <v>0</v>
      </c>
    </row>
    <row r="649" spans="2:13" x14ac:dyDescent="0.2">
      <c r="B649" s="2">
        <v>635</v>
      </c>
      <c r="C649">
        <v>288.66497709450402</v>
      </c>
      <c r="D649" s="13">
        <f t="shared" si="28"/>
        <v>0.90832277248113302</v>
      </c>
      <c r="E649">
        <v>0</v>
      </c>
      <c r="F649">
        <f t="shared" si="29"/>
        <v>0</v>
      </c>
      <c r="G649">
        <v>0</v>
      </c>
      <c r="H649">
        <f t="shared" si="30"/>
        <v>0</v>
      </c>
      <c r="I649">
        <v>0</v>
      </c>
      <c r="K649">
        <v>0</v>
      </c>
      <c r="M649">
        <v>0</v>
      </c>
    </row>
    <row r="650" spans="2:13" x14ac:dyDescent="0.2">
      <c r="B650" s="2">
        <v>636</v>
      </c>
      <c r="C650">
        <v>281.305077883813</v>
      </c>
      <c r="D650" s="13">
        <f t="shared" si="28"/>
        <v>0.88516386999311847</v>
      </c>
      <c r="E650">
        <v>0</v>
      </c>
      <c r="F650">
        <f t="shared" si="29"/>
        <v>0</v>
      </c>
      <c r="G650">
        <v>0</v>
      </c>
      <c r="H650">
        <f t="shared" si="30"/>
        <v>0</v>
      </c>
      <c r="I650">
        <v>0</v>
      </c>
      <c r="K650">
        <v>0</v>
      </c>
      <c r="M650">
        <v>0</v>
      </c>
    </row>
    <row r="651" spans="2:13" x14ac:dyDescent="0.2">
      <c r="B651" s="2">
        <v>637</v>
      </c>
      <c r="C651">
        <v>273.95812267620101</v>
      </c>
      <c r="D651" s="13">
        <f t="shared" si="28"/>
        <v>0.86204569753367233</v>
      </c>
      <c r="E651">
        <v>0</v>
      </c>
      <c r="F651">
        <f t="shared" si="29"/>
        <v>0</v>
      </c>
      <c r="G651">
        <v>0</v>
      </c>
      <c r="H651">
        <f t="shared" si="30"/>
        <v>0</v>
      </c>
      <c r="I651">
        <v>0</v>
      </c>
      <c r="K651">
        <v>0</v>
      </c>
      <c r="M651">
        <v>0</v>
      </c>
    </row>
    <row r="652" spans="2:13" x14ac:dyDescent="0.2">
      <c r="B652" s="2">
        <v>638</v>
      </c>
      <c r="C652">
        <v>266.62409856154898</v>
      </c>
      <c r="D652" s="13">
        <f t="shared" si="28"/>
        <v>0.83896821447938641</v>
      </c>
      <c r="E652">
        <v>0</v>
      </c>
      <c r="F652">
        <f t="shared" si="29"/>
        <v>0</v>
      </c>
      <c r="G652">
        <v>0</v>
      </c>
      <c r="H652">
        <f t="shared" si="30"/>
        <v>0</v>
      </c>
      <c r="I652">
        <v>0</v>
      </c>
      <c r="K652">
        <v>0</v>
      </c>
      <c r="M652">
        <v>0</v>
      </c>
    </row>
    <row r="653" spans="2:13" x14ac:dyDescent="0.2">
      <c r="B653" s="2">
        <v>639</v>
      </c>
      <c r="C653">
        <v>259.30299260719499</v>
      </c>
      <c r="D653" s="13">
        <f t="shared" si="28"/>
        <v>0.81593138013591893</v>
      </c>
      <c r="E653">
        <v>0</v>
      </c>
      <c r="F653">
        <f t="shared" si="29"/>
        <v>0</v>
      </c>
      <c r="G653">
        <v>0</v>
      </c>
      <c r="H653">
        <f t="shared" si="30"/>
        <v>0</v>
      </c>
      <c r="I653">
        <v>0</v>
      </c>
      <c r="K653">
        <v>0</v>
      </c>
      <c r="M653">
        <v>0</v>
      </c>
    </row>
    <row r="654" spans="2:13" x14ac:dyDescent="0.2">
      <c r="B654" s="2">
        <v>640</v>
      </c>
      <c r="C654">
        <v>258.09306327183202</v>
      </c>
      <c r="D654" s="13">
        <f t="shared" si="28"/>
        <v>0.81212417643748291</v>
      </c>
      <c r="E654">
        <v>0</v>
      </c>
      <c r="F654">
        <f t="shared" si="29"/>
        <v>0</v>
      </c>
      <c r="G654">
        <v>0</v>
      </c>
      <c r="H654">
        <f t="shared" si="30"/>
        <v>0</v>
      </c>
      <c r="I654">
        <v>0</v>
      </c>
      <c r="K654">
        <v>0</v>
      </c>
      <c r="M654">
        <v>0</v>
      </c>
    </row>
    <row r="655" spans="2:13" x14ac:dyDescent="0.2">
      <c r="B655" s="2">
        <v>641</v>
      </c>
      <c r="C655">
        <v>265.24836216943299</v>
      </c>
      <c r="D655" s="13">
        <f t="shared" si="28"/>
        <v>0.83463927680753003</v>
      </c>
      <c r="E655">
        <v>0</v>
      </c>
      <c r="F655">
        <f t="shared" si="29"/>
        <v>0</v>
      </c>
      <c r="G655">
        <v>0</v>
      </c>
      <c r="H655">
        <f t="shared" si="30"/>
        <v>0</v>
      </c>
      <c r="I655">
        <v>0</v>
      </c>
      <c r="K655">
        <v>0</v>
      </c>
      <c r="M655">
        <v>0</v>
      </c>
    </row>
    <row r="656" spans="2:13" x14ac:dyDescent="0.2">
      <c r="B656" s="2">
        <v>642</v>
      </c>
      <c r="C656">
        <v>272.39119173172202</v>
      </c>
      <c r="D656" s="13">
        <f t="shared" ref="D656:D686" si="31">C656/($D$8-$D$9)</f>
        <v>0.85711514075431738</v>
      </c>
      <c r="E656">
        <v>0</v>
      </c>
      <c r="F656">
        <f t="shared" ref="F656:F686" si="32">E656/($F$8-$F$9)</f>
        <v>0</v>
      </c>
      <c r="G656">
        <v>0</v>
      </c>
      <c r="H656">
        <f t="shared" ref="H656:H686" si="33">G656/($H$8-$H$9)</f>
        <v>0</v>
      </c>
      <c r="I656">
        <v>0</v>
      </c>
      <c r="K656">
        <v>0</v>
      </c>
      <c r="M656">
        <v>0</v>
      </c>
    </row>
    <row r="657" spans="2:13" x14ac:dyDescent="0.2">
      <c r="B657" s="2">
        <v>643</v>
      </c>
      <c r="C657">
        <v>279.52237140287099</v>
      </c>
      <c r="D657" s="13">
        <f t="shared" si="31"/>
        <v>0.87955434676800193</v>
      </c>
      <c r="E657">
        <v>0</v>
      </c>
      <c r="F657">
        <f t="shared" si="32"/>
        <v>0</v>
      </c>
      <c r="G657">
        <v>0</v>
      </c>
      <c r="H657">
        <f t="shared" si="33"/>
        <v>0</v>
      </c>
      <c r="I657">
        <v>0</v>
      </c>
      <c r="K657">
        <v>0</v>
      </c>
      <c r="M657">
        <v>0</v>
      </c>
    </row>
    <row r="658" spans="2:13" x14ac:dyDescent="0.2">
      <c r="B658" s="2">
        <v>644</v>
      </c>
      <c r="C658">
        <v>286.64259249819298</v>
      </c>
      <c r="D658" s="13">
        <f t="shared" si="31"/>
        <v>0.90195907016423227</v>
      </c>
      <c r="E658">
        <v>0</v>
      </c>
      <c r="F658">
        <f t="shared" si="32"/>
        <v>0</v>
      </c>
      <c r="G658">
        <v>0</v>
      </c>
      <c r="H658">
        <f t="shared" si="33"/>
        <v>0</v>
      </c>
      <c r="I658">
        <v>0</v>
      </c>
      <c r="K658">
        <v>0</v>
      </c>
      <c r="M658">
        <v>0</v>
      </c>
    </row>
    <row r="659" spans="2:13" x14ac:dyDescent="0.2">
      <c r="B659" s="2">
        <v>645</v>
      </c>
      <c r="C659">
        <v>293.97790332456202</v>
      </c>
      <c r="D659" s="13">
        <f t="shared" si="31"/>
        <v>0.92504060202820038</v>
      </c>
      <c r="E659">
        <v>0</v>
      </c>
      <c r="F659">
        <f t="shared" si="32"/>
        <v>0</v>
      </c>
      <c r="G659">
        <v>0</v>
      </c>
      <c r="H659">
        <f t="shared" si="33"/>
        <v>0</v>
      </c>
      <c r="I659">
        <v>0</v>
      </c>
      <c r="K659">
        <v>0</v>
      </c>
      <c r="M659">
        <v>0</v>
      </c>
    </row>
    <row r="660" spans="2:13" x14ac:dyDescent="0.2">
      <c r="B660" s="2">
        <v>646</v>
      </c>
      <c r="C660">
        <v>301.86865569320298</v>
      </c>
      <c r="D660" s="13">
        <f t="shared" si="31"/>
        <v>0.94986990463562937</v>
      </c>
      <c r="E660">
        <v>0</v>
      </c>
      <c r="F660">
        <f t="shared" si="32"/>
        <v>0</v>
      </c>
      <c r="G660">
        <v>0</v>
      </c>
      <c r="H660">
        <f t="shared" si="33"/>
        <v>0</v>
      </c>
      <c r="I660">
        <v>0</v>
      </c>
      <c r="K660">
        <v>0</v>
      </c>
      <c r="M660">
        <v>0</v>
      </c>
    </row>
    <row r="661" spans="2:13" x14ac:dyDescent="0.2">
      <c r="B661" s="2">
        <v>647</v>
      </c>
      <c r="C661">
        <v>302.42738181007701</v>
      </c>
      <c r="D661" s="13">
        <f t="shared" si="31"/>
        <v>0.95162801073026138</v>
      </c>
      <c r="E661">
        <v>0</v>
      </c>
      <c r="F661">
        <f t="shared" si="32"/>
        <v>0</v>
      </c>
      <c r="G661">
        <v>0</v>
      </c>
      <c r="H661">
        <f t="shared" si="33"/>
        <v>0</v>
      </c>
      <c r="I661">
        <v>0</v>
      </c>
      <c r="K661">
        <v>0</v>
      </c>
      <c r="M661">
        <v>0</v>
      </c>
    </row>
    <row r="662" spans="2:13" x14ac:dyDescent="0.2">
      <c r="B662" s="2">
        <v>648</v>
      </c>
      <c r="C662">
        <v>297.79892576349101</v>
      </c>
      <c r="D662" s="13">
        <f t="shared" si="31"/>
        <v>0.93706395772023621</v>
      </c>
      <c r="E662">
        <v>0</v>
      </c>
      <c r="F662">
        <f t="shared" si="32"/>
        <v>0</v>
      </c>
      <c r="G662">
        <v>0</v>
      </c>
      <c r="H662">
        <f t="shared" si="33"/>
        <v>0</v>
      </c>
      <c r="I662">
        <v>0</v>
      </c>
      <c r="K662">
        <v>0</v>
      </c>
      <c r="M662">
        <v>0</v>
      </c>
    </row>
    <row r="663" spans="2:13" x14ac:dyDescent="0.2">
      <c r="B663" s="2">
        <v>649</v>
      </c>
      <c r="C663">
        <v>293.51133956019402</v>
      </c>
      <c r="D663" s="13">
        <f t="shared" si="31"/>
        <v>0.92357249704277555</v>
      </c>
      <c r="E663">
        <v>0</v>
      </c>
      <c r="F663">
        <f t="shared" si="32"/>
        <v>0</v>
      </c>
      <c r="G663">
        <v>0</v>
      </c>
      <c r="H663">
        <f t="shared" si="33"/>
        <v>0</v>
      </c>
      <c r="I663">
        <v>0</v>
      </c>
      <c r="K663">
        <v>0</v>
      </c>
      <c r="M663">
        <v>0</v>
      </c>
    </row>
    <row r="664" spans="2:13" x14ac:dyDescent="0.2">
      <c r="B664" s="2">
        <v>650</v>
      </c>
      <c r="C664">
        <v>289.39062416502298</v>
      </c>
      <c r="D664" s="13">
        <f t="shared" si="31"/>
        <v>0.91060611757401833</v>
      </c>
      <c r="E664">
        <v>0</v>
      </c>
      <c r="F664">
        <f t="shared" si="32"/>
        <v>0</v>
      </c>
      <c r="G664">
        <v>0</v>
      </c>
      <c r="H664">
        <f t="shared" si="33"/>
        <v>0</v>
      </c>
      <c r="I664">
        <v>0</v>
      </c>
      <c r="K664">
        <v>0</v>
      </c>
      <c r="M664">
        <v>0</v>
      </c>
    </row>
    <row r="665" spans="2:13" x14ac:dyDescent="0.2">
      <c r="B665" s="2">
        <v>651</v>
      </c>
      <c r="C665">
        <v>285.088529391164</v>
      </c>
      <c r="D665" s="13">
        <f t="shared" si="31"/>
        <v>0.89706900374815624</v>
      </c>
      <c r="E665">
        <v>0</v>
      </c>
      <c r="F665">
        <f t="shared" si="32"/>
        <v>0</v>
      </c>
      <c r="G665">
        <v>0</v>
      </c>
      <c r="H665">
        <f t="shared" si="33"/>
        <v>0</v>
      </c>
      <c r="I665">
        <v>0</v>
      </c>
      <c r="K665">
        <v>0</v>
      </c>
      <c r="M665">
        <v>0</v>
      </c>
    </row>
    <row r="666" spans="2:13" x14ac:dyDescent="0.2">
      <c r="B666" s="2">
        <v>652</v>
      </c>
      <c r="C666">
        <v>280.43084965448298</v>
      </c>
      <c r="D666" s="13">
        <f t="shared" si="31"/>
        <v>0.88241299450749855</v>
      </c>
      <c r="E666">
        <v>0</v>
      </c>
      <c r="F666">
        <f t="shared" si="32"/>
        <v>0</v>
      </c>
      <c r="G666">
        <v>0</v>
      </c>
      <c r="H666">
        <f t="shared" si="33"/>
        <v>0</v>
      </c>
      <c r="I666">
        <v>0</v>
      </c>
      <c r="K666">
        <v>0</v>
      </c>
      <c r="M666">
        <v>0</v>
      </c>
    </row>
    <row r="667" spans="2:13" x14ac:dyDescent="0.2">
      <c r="B667" s="2">
        <v>653</v>
      </c>
      <c r="C667">
        <v>275.41750779243699</v>
      </c>
      <c r="D667" s="13">
        <f t="shared" si="31"/>
        <v>0.86663784704983338</v>
      </c>
      <c r="E667">
        <v>0</v>
      </c>
      <c r="F667">
        <f t="shared" si="32"/>
        <v>0</v>
      </c>
      <c r="G667">
        <v>0</v>
      </c>
      <c r="H667">
        <f t="shared" si="33"/>
        <v>0</v>
      </c>
      <c r="I667">
        <v>0</v>
      </c>
      <c r="K667">
        <v>0</v>
      </c>
      <c r="M667">
        <v>0</v>
      </c>
    </row>
    <row r="668" spans="2:13" x14ac:dyDescent="0.2">
      <c r="B668" s="2">
        <v>654</v>
      </c>
      <c r="C668">
        <v>270.04842907373097</v>
      </c>
      <c r="D668" s="13">
        <f t="shared" si="31"/>
        <v>0.84974332622319382</v>
      </c>
      <c r="E668">
        <v>0</v>
      </c>
      <c r="F668">
        <f t="shared" si="32"/>
        <v>0</v>
      </c>
      <c r="G668">
        <v>0</v>
      </c>
      <c r="H668">
        <f t="shared" si="33"/>
        <v>0</v>
      </c>
      <c r="I668">
        <v>0</v>
      </c>
      <c r="K668">
        <v>0</v>
      </c>
      <c r="M668">
        <v>0</v>
      </c>
    </row>
    <row r="669" spans="2:13" x14ac:dyDescent="0.2">
      <c r="B669" s="2">
        <v>655</v>
      </c>
      <c r="C669">
        <v>270.460369138251</v>
      </c>
      <c r="D669" s="13">
        <f t="shared" si="31"/>
        <v>0.8510395504664916</v>
      </c>
      <c r="E669">
        <v>0</v>
      </c>
      <c r="F669">
        <f t="shared" si="32"/>
        <v>0</v>
      </c>
      <c r="G669">
        <v>0</v>
      </c>
      <c r="H669">
        <f t="shared" si="33"/>
        <v>0</v>
      </c>
      <c r="I669">
        <v>0</v>
      </c>
      <c r="K669">
        <v>0</v>
      </c>
      <c r="M669">
        <v>0</v>
      </c>
    </row>
    <row r="670" spans="2:13" x14ac:dyDescent="0.2">
      <c r="B670" s="2">
        <v>656</v>
      </c>
      <c r="C670">
        <v>278.90522913414401</v>
      </c>
      <c r="D670" s="13">
        <f t="shared" si="31"/>
        <v>0.87761242647622417</v>
      </c>
      <c r="E670">
        <v>0</v>
      </c>
      <c r="F670">
        <f t="shared" si="32"/>
        <v>0</v>
      </c>
      <c r="G670">
        <v>0</v>
      </c>
      <c r="H670">
        <f t="shared" si="33"/>
        <v>0</v>
      </c>
      <c r="I670">
        <v>0</v>
      </c>
      <c r="K670">
        <v>0</v>
      </c>
      <c r="M670">
        <v>0</v>
      </c>
    </row>
    <row r="671" spans="2:13" x14ac:dyDescent="0.2">
      <c r="B671" s="2">
        <v>657</v>
      </c>
      <c r="C671">
        <v>278.62193231980399</v>
      </c>
      <c r="D671" s="13">
        <f t="shared" si="31"/>
        <v>0.87672099534236636</v>
      </c>
      <c r="E671">
        <v>0</v>
      </c>
      <c r="F671">
        <f t="shared" si="32"/>
        <v>0</v>
      </c>
      <c r="G671">
        <v>0</v>
      </c>
      <c r="H671">
        <f t="shared" si="33"/>
        <v>0</v>
      </c>
      <c r="I671">
        <v>0</v>
      </c>
      <c r="K671">
        <v>0</v>
      </c>
      <c r="M671">
        <v>0</v>
      </c>
    </row>
    <row r="672" spans="2:13" x14ac:dyDescent="0.2">
      <c r="B672" s="2">
        <v>658</v>
      </c>
      <c r="C672">
        <v>271.83835532419499</v>
      </c>
      <c r="D672" s="13">
        <f t="shared" si="31"/>
        <v>0.85537556741408127</v>
      </c>
      <c r="E672">
        <v>0</v>
      </c>
      <c r="F672">
        <f t="shared" si="32"/>
        <v>0</v>
      </c>
      <c r="G672">
        <v>0</v>
      </c>
      <c r="H672">
        <f t="shared" si="33"/>
        <v>0</v>
      </c>
      <c r="I672">
        <v>0</v>
      </c>
      <c r="K672">
        <v>0</v>
      </c>
      <c r="M672">
        <v>0</v>
      </c>
    </row>
    <row r="673" spans="2:13" x14ac:dyDescent="0.2">
      <c r="B673" s="2">
        <v>659</v>
      </c>
      <c r="C673">
        <v>0</v>
      </c>
      <c r="D673" s="13">
        <f t="shared" si="31"/>
        <v>0</v>
      </c>
      <c r="E673">
        <v>0</v>
      </c>
      <c r="F673">
        <f t="shared" si="32"/>
        <v>0</v>
      </c>
      <c r="G673">
        <v>0</v>
      </c>
      <c r="H673">
        <f t="shared" si="33"/>
        <v>0</v>
      </c>
      <c r="I673">
        <v>0</v>
      </c>
      <c r="K673">
        <v>0</v>
      </c>
      <c r="M673">
        <v>0</v>
      </c>
    </row>
    <row r="674" spans="2:13" x14ac:dyDescent="0.2">
      <c r="B674" s="2">
        <v>660</v>
      </c>
      <c r="C674">
        <v>0</v>
      </c>
      <c r="D674" s="13">
        <f t="shared" si="31"/>
        <v>0</v>
      </c>
      <c r="E674">
        <v>0</v>
      </c>
      <c r="F674">
        <f t="shared" si="32"/>
        <v>0</v>
      </c>
      <c r="G674">
        <v>0</v>
      </c>
      <c r="H674">
        <f t="shared" si="33"/>
        <v>0</v>
      </c>
      <c r="I674">
        <v>0</v>
      </c>
      <c r="K674">
        <v>0</v>
      </c>
      <c r="M674">
        <v>0</v>
      </c>
    </row>
    <row r="675" spans="2:13" x14ac:dyDescent="0.2">
      <c r="B675" s="2">
        <v>661</v>
      </c>
      <c r="C675">
        <v>0</v>
      </c>
      <c r="D675" s="13">
        <f t="shared" si="31"/>
        <v>0</v>
      </c>
      <c r="E675">
        <v>0</v>
      </c>
      <c r="F675">
        <f t="shared" si="32"/>
        <v>0</v>
      </c>
      <c r="G675">
        <v>0</v>
      </c>
      <c r="H675">
        <f t="shared" si="33"/>
        <v>0</v>
      </c>
      <c r="I675">
        <v>0</v>
      </c>
      <c r="K675">
        <v>0</v>
      </c>
      <c r="M675">
        <v>0</v>
      </c>
    </row>
    <row r="676" spans="2:13" x14ac:dyDescent="0.2">
      <c r="B676" s="2">
        <v>662</v>
      </c>
      <c r="C676">
        <v>0</v>
      </c>
      <c r="D676" s="13">
        <f t="shared" si="31"/>
        <v>0</v>
      </c>
      <c r="E676">
        <v>0</v>
      </c>
      <c r="F676">
        <f t="shared" si="32"/>
        <v>0</v>
      </c>
      <c r="G676">
        <v>0</v>
      </c>
      <c r="H676">
        <f t="shared" si="33"/>
        <v>0</v>
      </c>
      <c r="I676">
        <v>0</v>
      </c>
      <c r="K676">
        <v>0</v>
      </c>
      <c r="M676">
        <v>0</v>
      </c>
    </row>
    <row r="677" spans="2:13" x14ac:dyDescent="0.2">
      <c r="B677" s="2">
        <v>663</v>
      </c>
      <c r="C677">
        <v>0</v>
      </c>
      <c r="D677" s="13">
        <f t="shared" si="31"/>
        <v>0</v>
      </c>
      <c r="E677">
        <v>0</v>
      </c>
      <c r="F677">
        <f t="shared" si="32"/>
        <v>0</v>
      </c>
      <c r="G677">
        <v>0</v>
      </c>
      <c r="H677">
        <f t="shared" si="33"/>
        <v>0</v>
      </c>
      <c r="I677">
        <v>0</v>
      </c>
      <c r="K677">
        <v>0</v>
      </c>
      <c r="M677">
        <v>0</v>
      </c>
    </row>
    <row r="678" spans="2:13" x14ac:dyDescent="0.2">
      <c r="B678" s="2">
        <v>664</v>
      </c>
      <c r="C678">
        <v>0</v>
      </c>
      <c r="D678" s="13">
        <f t="shared" si="31"/>
        <v>0</v>
      </c>
      <c r="E678">
        <v>0</v>
      </c>
      <c r="F678">
        <f t="shared" si="32"/>
        <v>0</v>
      </c>
      <c r="G678">
        <v>0</v>
      </c>
      <c r="H678">
        <f t="shared" si="33"/>
        <v>0</v>
      </c>
      <c r="I678">
        <v>0</v>
      </c>
      <c r="K678">
        <v>0</v>
      </c>
      <c r="M678">
        <v>0</v>
      </c>
    </row>
    <row r="679" spans="2:13" x14ac:dyDescent="0.2">
      <c r="B679" s="2">
        <v>665</v>
      </c>
      <c r="C679">
        <v>0</v>
      </c>
      <c r="D679" s="13">
        <f t="shared" si="31"/>
        <v>0</v>
      </c>
      <c r="E679">
        <v>0</v>
      </c>
      <c r="F679">
        <f t="shared" si="32"/>
        <v>0</v>
      </c>
      <c r="G679">
        <v>0</v>
      </c>
      <c r="H679">
        <f t="shared" si="33"/>
        <v>0</v>
      </c>
      <c r="I679">
        <v>0</v>
      </c>
      <c r="K679">
        <v>0</v>
      </c>
      <c r="M679">
        <v>0</v>
      </c>
    </row>
    <row r="680" spans="2:13" x14ac:dyDescent="0.2">
      <c r="B680" s="2">
        <v>666</v>
      </c>
      <c r="C680">
        <v>0</v>
      </c>
      <c r="D680" s="13">
        <f t="shared" si="31"/>
        <v>0</v>
      </c>
      <c r="E680">
        <v>0</v>
      </c>
      <c r="F680">
        <f t="shared" si="32"/>
        <v>0</v>
      </c>
      <c r="G680">
        <v>0</v>
      </c>
      <c r="H680">
        <f t="shared" si="33"/>
        <v>0</v>
      </c>
      <c r="I680">
        <v>0</v>
      </c>
      <c r="K680">
        <v>0</v>
      </c>
      <c r="M680">
        <v>0</v>
      </c>
    </row>
    <row r="681" spans="2:13" x14ac:dyDescent="0.2">
      <c r="B681" s="2">
        <v>667</v>
      </c>
      <c r="C681">
        <v>0</v>
      </c>
      <c r="D681" s="13">
        <f t="shared" si="31"/>
        <v>0</v>
      </c>
      <c r="E681">
        <v>0</v>
      </c>
      <c r="F681">
        <f t="shared" si="32"/>
        <v>0</v>
      </c>
      <c r="G681">
        <v>0</v>
      </c>
      <c r="H681">
        <f t="shared" si="33"/>
        <v>0</v>
      </c>
      <c r="I681">
        <v>0</v>
      </c>
      <c r="K681">
        <v>0</v>
      </c>
      <c r="M681">
        <v>0</v>
      </c>
    </row>
    <row r="682" spans="2:13" x14ac:dyDescent="0.2">
      <c r="B682" s="2">
        <v>668</v>
      </c>
      <c r="C682">
        <v>0</v>
      </c>
      <c r="D682" s="13">
        <f t="shared" si="31"/>
        <v>0</v>
      </c>
      <c r="E682">
        <v>0</v>
      </c>
      <c r="F682">
        <f t="shared" si="32"/>
        <v>0</v>
      </c>
      <c r="G682">
        <v>0</v>
      </c>
      <c r="H682">
        <f t="shared" si="33"/>
        <v>0</v>
      </c>
      <c r="I682">
        <v>0</v>
      </c>
      <c r="K682">
        <v>0</v>
      </c>
      <c r="M682">
        <v>0</v>
      </c>
    </row>
    <row r="683" spans="2:13" x14ac:dyDescent="0.2">
      <c r="B683" s="2">
        <v>669</v>
      </c>
      <c r="C683">
        <v>0</v>
      </c>
      <c r="D683" s="13">
        <f t="shared" si="31"/>
        <v>0</v>
      </c>
      <c r="E683">
        <v>0</v>
      </c>
      <c r="F683">
        <f t="shared" si="32"/>
        <v>0</v>
      </c>
      <c r="G683">
        <v>0</v>
      </c>
      <c r="H683">
        <f t="shared" si="33"/>
        <v>0</v>
      </c>
      <c r="I683">
        <v>0</v>
      </c>
      <c r="K683">
        <v>0</v>
      </c>
      <c r="M683">
        <v>0</v>
      </c>
    </row>
    <row r="684" spans="2:13" x14ac:dyDescent="0.2">
      <c r="B684" s="2">
        <v>670</v>
      </c>
      <c r="C684">
        <v>0</v>
      </c>
      <c r="D684" s="13">
        <f t="shared" si="31"/>
        <v>0</v>
      </c>
      <c r="E684">
        <v>0</v>
      </c>
      <c r="F684">
        <f t="shared" si="32"/>
        <v>0</v>
      </c>
      <c r="G684">
        <v>0</v>
      </c>
      <c r="H684">
        <f t="shared" si="33"/>
        <v>0</v>
      </c>
      <c r="I684">
        <v>0</v>
      </c>
      <c r="K684">
        <v>0</v>
      </c>
      <c r="M684">
        <v>0</v>
      </c>
    </row>
    <row r="685" spans="2:13" x14ac:dyDescent="0.2">
      <c r="B685" s="2">
        <v>671</v>
      </c>
      <c r="C685">
        <v>0</v>
      </c>
      <c r="D685" s="13">
        <f t="shared" si="31"/>
        <v>0</v>
      </c>
      <c r="E685">
        <v>0</v>
      </c>
      <c r="F685">
        <f t="shared" si="32"/>
        <v>0</v>
      </c>
      <c r="G685">
        <v>0</v>
      </c>
      <c r="H685">
        <f t="shared" si="33"/>
        <v>0</v>
      </c>
      <c r="I685">
        <v>0</v>
      </c>
      <c r="K685">
        <v>0</v>
      </c>
      <c r="M685">
        <v>0</v>
      </c>
    </row>
    <row r="686" spans="2:13" x14ac:dyDescent="0.2">
      <c r="B686" s="2">
        <v>672</v>
      </c>
      <c r="C686">
        <v>0</v>
      </c>
      <c r="D686" s="13">
        <f t="shared" si="31"/>
        <v>0</v>
      </c>
      <c r="E686">
        <v>0</v>
      </c>
      <c r="F686">
        <f t="shared" si="32"/>
        <v>0</v>
      </c>
      <c r="G686">
        <v>0</v>
      </c>
      <c r="H686">
        <f t="shared" si="33"/>
        <v>0</v>
      </c>
      <c r="I686">
        <v>0</v>
      </c>
      <c r="K686">
        <v>0</v>
      </c>
      <c r="M686">
        <v>0</v>
      </c>
    </row>
    <row r="687" spans="2:13" x14ac:dyDescent="0.2">
      <c r="B687" s="26" t="s">
        <v>29</v>
      </c>
      <c r="C687" s="27">
        <f>SUM(C15:C686)</f>
        <v>21800.467921736501</v>
      </c>
      <c r="D687" s="27">
        <f>SUM(D15:D686)</f>
        <v>68.598074014274687</v>
      </c>
      <c r="E687" s="27">
        <f>SUM(E15:E686)</f>
        <v>190948.7607591603</v>
      </c>
      <c r="F687" s="27">
        <f t="shared" ref="F687:M687" si="34">SUM(F15:F686)</f>
        <v>592.08918064855914</v>
      </c>
      <c r="G687" s="27">
        <f t="shared" si="34"/>
        <v>0</v>
      </c>
      <c r="H687" s="27">
        <f t="shared" si="34"/>
        <v>0</v>
      </c>
      <c r="I687" s="27">
        <f t="shared" si="34"/>
        <v>112313.76655398071</v>
      </c>
      <c r="J687" s="27">
        <f t="shared" si="34"/>
        <v>0</v>
      </c>
      <c r="K687" s="27">
        <f t="shared" si="34"/>
        <v>0</v>
      </c>
      <c r="L687" s="27">
        <f t="shared" si="34"/>
        <v>0</v>
      </c>
      <c r="M687" s="27">
        <f t="shared" si="34"/>
        <v>23697.021515946919</v>
      </c>
    </row>
  </sheetData>
  <mergeCells count="15">
    <mergeCell ref="M7:N7"/>
    <mergeCell ref="C5:F5"/>
    <mergeCell ref="G5:J5"/>
    <mergeCell ref="K5:N5"/>
    <mergeCell ref="C6:D6"/>
    <mergeCell ref="E6:F6"/>
    <mergeCell ref="G6:H6"/>
    <mergeCell ref="I6:J6"/>
    <mergeCell ref="M6:N6"/>
    <mergeCell ref="K6:L6"/>
    <mergeCell ref="C7:D7"/>
    <mergeCell ref="E7:F7"/>
    <mergeCell ref="G7:H7"/>
    <mergeCell ref="I7:J7"/>
    <mergeCell ref="K7:L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1EDC-E5EA-9547-9CE5-2782003B8CF2}">
  <dimension ref="A6:R696"/>
  <sheetViews>
    <sheetView topLeftCell="A8" zoomScale="180" zoomScaleNormal="180" workbookViewId="0">
      <selection activeCell="C24" sqref="C24"/>
    </sheetView>
  </sheetViews>
  <sheetFormatPr baseColWidth="10" defaultRowHeight="16" x14ac:dyDescent="0.2"/>
  <cols>
    <col min="1" max="1" width="22.33203125" customWidth="1"/>
    <col min="2" max="2" width="15.6640625" style="2" customWidth="1"/>
    <col min="3" max="3" width="13.6640625" customWidth="1"/>
    <col min="4" max="7" width="15" customWidth="1"/>
    <col min="8" max="10" width="14.5" customWidth="1"/>
    <col min="11" max="11" width="11" bestFit="1" customWidth="1"/>
    <col min="12" max="12" width="12.6640625" customWidth="1"/>
    <col min="13" max="13" width="11.5" bestFit="1" customWidth="1"/>
    <col min="14" max="18" width="11" bestFit="1" customWidth="1"/>
  </cols>
  <sheetData>
    <row r="6" spans="1:10" ht="18" x14ac:dyDescent="0.25">
      <c r="B6" s="5" t="s">
        <v>5</v>
      </c>
      <c r="C6">
        <f>'Large ASHP'!$D$4</f>
        <v>273</v>
      </c>
      <c r="D6" t="s">
        <v>6</v>
      </c>
    </row>
    <row r="7" spans="1:10" x14ac:dyDescent="0.2">
      <c r="C7" s="33" t="s">
        <v>35</v>
      </c>
      <c r="D7" s="34"/>
      <c r="E7" s="34"/>
      <c r="F7" s="34"/>
      <c r="G7" s="34"/>
      <c r="H7" s="34"/>
      <c r="I7" s="34"/>
      <c r="J7" s="35"/>
    </row>
    <row r="8" spans="1:10" x14ac:dyDescent="0.2">
      <c r="C8" s="33" t="s">
        <v>44</v>
      </c>
      <c r="D8" s="34"/>
      <c r="E8" s="34"/>
      <c r="F8" s="35"/>
      <c r="G8" s="33" t="s">
        <v>45</v>
      </c>
      <c r="H8" s="34"/>
      <c r="I8" s="34"/>
      <c r="J8" s="35"/>
    </row>
    <row r="9" spans="1:10" x14ac:dyDescent="0.2">
      <c r="B9" s="2" t="s">
        <v>39</v>
      </c>
      <c r="C9" s="33" t="str">
        <f>'Large ASHP'!$D$8</f>
        <v>A7W20</v>
      </c>
      <c r="D9" s="34"/>
      <c r="E9" s="34"/>
      <c r="F9" s="35"/>
      <c r="G9" s="33" t="str">
        <f>'Large ASHP'!$G$8</f>
        <v>A7W10</v>
      </c>
      <c r="H9" s="34"/>
      <c r="I9" s="34"/>
      <c r="J9" s="35"/>
    </row>
    <row r="10" spans="1:10" x14ac:dyDescent="0.2">
      <c r="A10" t="s">
        <v>62</v>
      </c>
      <c r="B10" s="2" t="s">
        <v>23</v>
      </c>
      <c r="C10" s="2">
        <f>'Large ASHP'!D19</f>
        <v>25</v>
      </c>
      <c r="D10" s="2"/>
      <c r="E10" s="2"/>
      <c r="F10" s="2"/>
      <c r="G10" s="2">
        <f>'Large ASHP'!G19</f>
        <v>15</v>
      </c>
      <c r="H10" s="2"/>
      <c r="I10" s="2"/>
      <c r="J10" s="2"/>
    </row>
    <row r="11" spans="1:10" x14ac:dyDescent="0.2">
      <c r="A11" t="s">
        <v>0</v>
      </c>
      <c r="B11" s="2" t="s">
        <v>23</v>
      </c>
      <c r="C11" s="2">
        <f>'Large ASHP'!D20</f>
        <v>4</v>
      </c>
      <c r="D11" s="2"/>
      <c r="E11" s="2"/>
      <c r="F11" s="2"/>
      <c r="G11" s="2">
        <f>'Large ASHP'!G20</f>
        <v>4</v>
      </c>
      <c r="H11" s="2"/>
      <c r="I11" s="2"/>
      <c r="J11" s="2"/>
    </row>
    <row r="12" spans="1:10" ht="18" x14ac:dyDescent="0.25">
      <c r="A12" s="5" t="s">
        <v>9</v>
      </c>
      <c r="B12" s="2" t="s">
        <v>2</v>
      </c>
      <c r="C12">
        <f>'Large ASHP'!D22</f>
        <v>523.4</v>
      </c>
      <c r="D12" s="2"/>
      <c r="E12" s="2"/>
      <c r="F12" s="2"/>
      <c r="G12" s="2">
        <f>'Large ASHP'!G22</f>
        <v>523.4</v>
      </c>
      <c r="H12" s="2"/>
      <c r="I12" s="2"/>
      <c r="J12" s="2"/>
    </row>
    <row r="13" spans="1:10" ht="18" x14ac:dyDescent="0.25">
      <c r="A13" s="5" t="s">
        <v>31</v>
      </c>
      <c r="B13" s="2" t="s">
        <v>2</v>
      </c>
      <c r="C13">
        <f>'Large ASHP'!D23</f>
        <v>553.9</v>
      </c>
      <c r="D13" s="2"/>
      <c r="E13" s="2"/>
      <c r="F13" s="2"/>
      <c r="G13" s="2">
        <f>'Large ASHP'!G23</f>
        <v>539.6</v>
      </c>
      <c r="H13" s="2"/>
      <c r="I13" s="2"/>
      <c r="J13" s="2"/>
    </row>
    <row r="14" spans="1:10" ht="18" x14ac:dyDescent="0.25">
      <c r="A14" s="5" t="s">
        <v>13</v>
      </c>
      <c r="B14" s="2" t="s">
        <v>2</v>
      </c>
      <c r="C14">
        <f>'Large ASHP'!D25</f>
        <v>236.1</v>
      </c>
      <c r="D14" s="2"/>
      <c r="E14" s="2"/>
      <c r="F14" s="2"/>
      <c r="G14" s="2">
        <f>'Large ASHP'!G25</f>
        <v>217.1</v>
      </c>
      <c r="H14" s="2"/>
      <c r="I14" s="2"/>
      <c r="J14" s="2"/>
    </row>
    <row r="15" spans="1:10" ht="18" x14ac:dyDescent="0.25">
      <c r="A15" s="5" t="s">
        <v>12</v>
      </c>
      <c r="B15" s="2" t="s">
        <v>2</v>
      </c>
      <c r="C15">
        <f>'Large ASHP'!D26</f>
        <v>236.1</v>
      </c>
      <c r="D15" s="2"/>
      <c r="E15" s="2"/>
      <c r="F15" s="2"/>
      <c r="G15" s="2">
        <f>'Large ASHP'!G26</f>
        <v>217.7</v>
      </c>
      <c r="H15" s="2"/>
      <c r="I15" s="2"/>
      <c r="J15" s="2"/>
    </row>
    <row r="16" spans="1:10" ht="18" x14ac:dyDescent="0.25">
      <c r="A16" s="5" t="s">
        <v>16</v>
      </c>
      <c r="B16" s="2" t="s">
        <v>20</v>
      </c>
      <c r="C16">
        <f>'Large ASHP'!D27</f>
        <v>2166.6</v>
      </c>
      <c r="D16" s="2"/>
      <c r="E16" s="2"/>
      <c r="F16" s="2"/>
      <c r="G16" s="2">
        <f>'Large ASHP'!G27</f>
        <v>2166.6</v>
      </c>
      <c r="H16" s="2"/>
      <c r="I16" s="2"/>
      <c r="J16" s="2"/>
    </row>
    <row r="17" spans="1:18" ht="18" x14ac:dyDescent="0.25">
      <c r="A17" s="5" t="s">
        <v>34</v>
      </c>
      <c r="B17" s="2" t="s">
        <v>20</v>
      </c>
      <c r="C17">
        <f>'Large ASHP'!D28</f>
        <v>2185.4</v>
      </c>
      <c r="D17" s="2"/>
      <c r="E17" s="2"/>
      <c r="F17" s="2"/>
      <c r="G17" s="2">
        <f>'Large ASHP'!G28</f>
        <v>2177.1999999999998</v>
      </c>
      <c r="H17" s="2"/>
      <c r="I17" s="2"/>
      <c r="J17" s="2"/>
    </row>
    <row r="18" spans="1:18" ht="18" x14ac:dyDescent="0.25">
      <c r="A18" s="5" t="s">
        <v>18</v>
      </c>
      <c r="B18" s="2" t="s">
        <v>20</v>
      </c>
      <c r="C18">
        <f>'Large ASHP'!D30</f>
        <v>1124.3</v>
      </c>
      <c r="D18" s="2"/>
      <c r="E18" s="2"/>
      <c r="F18" s="2"/>
      <c r="G18" s="2">
        <f>'Large ASHP'!G30</f>
        <v>1062.0999999999999</v>
      </c>
      <c r="H18" s="2"/>
      <c r="I18" s="2"/>
      <c r="J18" s="2"/>
    </row>
    <row r="19" spans="1:18" ht="18" x14ac:dyDescent="0.25">
      <c r="A19" s="5" t="s">
        <v>19</v>
      </c>
      <c r="B19" s="2" t="s">
        <v>20</v>
      </c>
      <c r="C19">
        <f>'Large ASHP'!D31</f>
        <v>1129.9000000000001</v>
      </c>
      <c r="D19" s="2"/>
      <c r="E19" s="2"/>
      <c r="F19" s="2"/>
      <c r="G19" s="2">
        <f>'Large ASHP'!G31</f>
        <v>1063.8</v>
      </c>
      <c r="H19" s="2"/>
      <c r="I19" s="2"/>
      <c r="J19" s="2"/>
    </row>
    <row r="20" spans="1:18" s="28" customFormat="1" ht="24" customHeight="1" x14ac:dyDescent="0.2">
      <c r="C20" s="29" t="s">
        <v>26</v>
      </c>
      <c r="D20" s="29" t="s">
        <v>27</v>
      </c>
      <c r="E20" s="29" t="s">
        <v>55</v>
      </c>
      <c r="F20" s="29" t="s">
        <v>29</v>
      </c>
      <c r="G20" s="29" t="str">
        <f>C20</f>
        <v>Expansion Valve</v>
      </c>
      <c r="H20" s="29" t="str">
        <f>D20</f>
        <v>Compressor</v>
      </c>
      <c r="I20" s="29" t="str">
        <f>E20</f>
        <v>Condenser</v>
      </c>
      <c r="J20" s="29" t="str">
        <f t="shared" ref="J20" si="0">F20</f>
        <v>Total</v>
      </c>
      <c r="K20" s="28" t="s">
        <v>29</v>
      </c>
    </row>
    <row r="21" spans="1:18" s="2" customFormat="1" x14ac:dyDescent="0.2">
      <c r="A21" s="5" t="s">
        <v>64</v>
      </c>
      <c r="B21" s="2" t="s">
        <v>63</v>
      </c>
      <c r="C21" s="12">
        <f>C696</f>
        <v>104.87273555302565</v>
      </c>
      <c r="D21" s="12">
        <f t="shared" ref="D21:I21" si="1">D696</f>
        <v>352.07275507086661</v>
      </c>
      <c r="E21" s="12">
        <f t="shared" si="1"/>
        <v>100.05894627727213</v>
      </c>
      <c r="F21" s="12">
        <f>SUM(C21:E21)</f>
        <v>557.00443690116435</v>
      </c>
      <c r="G21" s="12">
        <f t="shared" si="1"/>
        <v>274.78858873900384</v>
      </c>
      <c r="H21" s="12">
        <f t="shared" si="1"/>
        <v>1713.3876709607853</v>
      </c>
      <c r="I21" s="12">
        <f t="shared" si="1"/>
        <v>758.36262480417906</v>
      </c>
      <c r="J21" s="12">
        <f>SUM(G21:I21)</f>
        <v>2746.5388845039683</v>
      </c>
      <c r="K21" s="12">
        <f>J21+F21</f>
        <v>3303.5433214051327</v>
      </c>
      <c r="L21" s="12" t="s">
        <v>63</v>
      </c>
      <c r="M21" s="12"/>
      <c r="N21" s="12"/>
      <c r="O21" s="12"/>
      <c r="P21" s="12"/>
      <c r="Q21" s="12"/>
      <c r="R21" s="12"/>
    </row>
    <row r="22" spans="1:18" s="2" customFormat="1" x14ac:dyDescent="0.2">
      <c r="A22" s="5"/>
      <c r="C22" s="41">
        <f>C21/$F$21</f>
        <v>0.18827989259201253</v>
      </c>
      <c r="D22" s="41">
        <f t="shared" ref="D22:F22" si="2">D21/$F$21</f>
        <v>0.63208249655888982</v>
      </c>
      <c r="E22" s="41">
        <f t="shared" si="2"/>
        <v>0.17963761084909766</v>
      </c>
      <c r="F22" s="41">
        <f t="shared" si="2"/>
        <v>1</v>
      </c>
      <c r="G22" s="41">
        <f>G21/$J$21</f>
        <v>0.10004904364885092</v>
      </c>
      <c r="H22" s="41">
        <f t="shared" ref="H22:J22" si="3">H21/$J$21</f>
        <v>0.62383521333987135</v>
      </c>
      <c r="I22" s="41">
        <f t="shared" si="3"/>
        <v>0.27611574301127773</v>
      </c>
      <c r="J22" s="41">
        <f t="shared" si="3"/>
        <v>1</v>
      </c>
      <c r="K22" s="12"/>
      <c r="L22" s="12"/>
      <c r="M22" s="12"/>
      <c r="N22" s="12"/>
      <c r="O22" s="12"/>
      <c r="P22" s="12"/>
      <c r="Q22" s="12"/>
      <c r="R22" s="12"/>
    </row>
    <row r="23" spans="1:18" s="2" customFormat="1" x14ac:dyDescent="0.2">
      <c r="B23" s="2" t="s">
        <v>56</v>
      </c>
    </row>
    <row r="24" spans="1:18" x14ac:dyDescent="0.2">
      <c r="B24" s="2">
        <v>1</v>
      </c>
      <c r="C24">
        <f>'Refrig Mass Flow &amp; Cond kW'!D15*$C$6*(($C$19-$C$18)/1000)</f>
        <v>0</v>
      </c>
      <c r="D24">
        <f>'Refrig Mass Flow &amp; Cond kW'!D15*Winter!$C$6*((Winter!$C$17-Winter!$C$16)/1000)</f>
        <v>0</v>
      </c>
      <c r="E24">
        <f>'Refrig Mass Flow &amp; Cond kW'!D15*(($C$13-$C$14)-$C$6*($C$17-$C$18)/1000)-'Refrig Mass Flow &amp; Cond kW'!C15*(1-$C$6/($C$10+273))</f>
        <v>0</v>
      </c>
      <c r="F24" s="13"/>
      <c r="G24" s="13">
        <f>'Refrig Mass Flow &amp; Cond kW'!F15*$C$6*($G$19-$G$18)/1000</f>
        <v>1.4387753742741889E-3</v>
      </c>
      <c r="H24">
        <f>'Refrig Mass Flow &amp; Cond kW'!F15*$C$6*($G$17-$G$16)/1000</f>
        <v>8.9711876278269782E-3</v>
      </c>
      <c r="I24">
        <f>'Refrig Mass Flow &amp; Cond kW'!F15*(($G$13-$G$14)-$C$6*($G$17-$G$18)/1000)-'Refrig Mass Flow &amp; Cond kW'!E15*(1-$C$6/($G$10+273))</f>
        <v>3.9707379201781093E-3</v>
      </c>
    </row>
    <row r="25" spans="1:18" x14ac:dyDescent="0.2">
      <c r="B25" s="2">
        <v>2</v>
      </c>
      <c r="C25">
        <f>'Refrig Mass Flow &amp; Cond kW'!D16*$C$6*(($C$19-$C$18)/1000)</f>
        <v>0</v>
      </c>
      <c r="D25">
        <f>'Refrig Mass Flow &amp; Cond kW'!D16*Winter!$C$6*((Winter!$C$17-Winter!$C$16)/1000)</f>
        <v>0</v>
      </c>
      <c r="E25">
        <f>'Refrig Mass Flow &amp; Cond kW'!D16*(($C$13-$C$14)-$C$6*($C$17-$C$18)/1000)-'Refrig Mass Flow &amp; Cond kW'!C16*(1-$C$6/($C$10+273))</f>
        <v>0</v>
      </c>
      <c r="F25" s="13"/>
      <c r="G25" s="13">
        <f>'Refrig Mass Flow &amp; Cond kW'!F16*$C$6*($G$19-$G$18)/1000</f>
        <v>1.4383491612442166E-3</v>
      </c>
      <c r="H25">
        <f>'Refrig Mass Flow &amp; Cond kW'!F16*$C$6*($G$17-$G$16)/1000</f>
        <v>8.9685300642283264E-3</v>
      </c>
      <c r="I25">
        <f>'Refrig Mass Flow &amp; Cond kW'!F16*(($G$13-$G$14)-$C$6*($G$17-$G$18)/1000)-'Refrig Mass Flow &amp; Cond kW'!E16*(1-$C$6/($G$10+273))</f>
        <v>3.9695616557865673E-3</v>
      </c>
    </row>
    <row r="26" spans="1:18" x14ac:dyDescent="0.2">
      <c r="B26" s="2">
        <v>3</v>
      </c>
      <c r="C26">
        <f>'Refrig Mass Flow &amp; Cond kW'!D17*$C$6*(($C$19-$C$18)/1000)</f>
        <v>0</v>
      </c>
      <c r="D26">
        <f>'Refrig Mass Flow &amp; Cond kW'!D17*Winter!$C$6*((Winter!$C$17-Winter!$C$16)/1000)</f>
        <v>0</v>
      </c>
      <c r="E26">
        <f>'Refrig Mass Flow &amp; Cond kW'!D17*(($C$13-$C$14)-$C$6*($C$17-$C$18)/1000)-'Refrig Mass Flow &amp; Cond kW'!C17*(1-$C$6/($C$10+273))</f>
        <v>0</v>
      </c>
      <c r="F26" s="13"/>
      <c r="G26" s="13">
        <f>'Refrig Mass Flow &amp; Cond kW'!F17*$C$6*($G$19-$G$18)/1000</f>
        <v>1.4377911883410631E-3</v>
      </c>
      <c r="H26">
        <f>'Refrig Mass Flow &amp; Cond kW'!F17*$C$6*($G$17-$G$16)/1000</f>
        <v>8.9650509390674891E-3</v>
      </c>
      <c r="I26">
        <f>'Refrig Mass Flow &amp; Cond kW'!F17*(($G$13-$G$14)-$C$6*($G$17-$G$18)/1000)-'Refrig Mass Flow &amp; Cond kW'!E17*(1-$C$6/($G$10+273))</f>
        <v>3.9680217599803169E-3</v>
      </c>
    </row>
    <row r="27" spans="1:18" x14ac:dyDescent="0.2">
      <c r="B27" s="2">
        <v>4</v>
      </c>
      <c r="C27">
        <f>'Refrig Mass Flow &amp; Cond kW'!D18*$C$6*(($C$19-$C$18)/1000)</f>
        <v>0</v>
      </c>
      <c r="D27">
        <f>'Refrig Mass Flow &amp; Cond kW'!D18*Winter!$C$6*((Winter!$C$17-Winter!$C$16)/1000)</f>
        <v>0</v>
      </c>
      <c r="E27">
        <f>'Refrig Mass Flow &amp; Cond kW'!D18*(($C$13-$C$14)-$C$6*($C$17-$C$18)/1000)-'Refrig Mass Flow &amp; Cond kW'!C18*(1-$C$6/($C$10+273))</f>
        <v>0</v>
      </c>
      <c r="F27" s="13"/>
      <c r="G27" s="13">
        <f>'Refrig Mass Flow &amp; Cond kW'!F18*$C$6*($G$19-$G$18)/1000</f>
        <v>1.4371015276206085E-3</v>
      </c>
      <c r="H27">
        <f>'Refrig Mass Flow &amp; Cond kW'!F18*$C$6*($G$17-$G$16)/1000</f>
        <v>8.960750701634065E-3</v>
      </c>
      <c r="I27">
        <f>'Refrig Mass Flow &amp; Cond kW'!F18*(($G$13-$G$14)-$C$6*($G$17-$G$18)/1000)-'Refrig Mass Flow &amp; Cond kW'!E18*(1-$C$6/($G$10+273))</f>
        <v>3.9661184316194531E-3</v>
      </c>
    </row>
    <row r="28" spans="1:18" x14ac:dyDescent="0.2">
      <c r="B28" s="2">
        <v>5</v>
      </c>
      <c r="C28">
        <f>'Refrig Mass Flow &amp; Cond kW'!D19*$C$6*(($C$19-$C$18)/1000)</f>
        <v>0</v>
      </c>
      <c r="D28">
        <f>'Refrig Mass Flow &amp; Cond kW'!D19*Winter!$C$6*((Winter!$C$17-Winter!$C$16)/1000)</f>
        <v>0</v>
      </c>
      <c r="E28">
        <f>'Refrig Mass Flow &amp; Cond kW'!D19*(($C$13-$C$14)-$C$6*($C$17-$C$18)/1000)-'Refrig Mass Flow &amp; Cond kW'!C19*(1-$C$6/($C$10+273))</f>
        <v>0</v>
      </c>
      <c r="F28" s="13"/>
      <c r="G28" s="13">
        <f>'Refrig Mass Flow &amp; Cond kW'!F19*$C$6*($G$19-$G$18)/1000</f>
        <v>1.4362802631966251E-3</v>
      </c>
      <c r="H28">
        <f>'Refrig Mass Flow &amp; Cond kW'!F19*$C$6*($G$17-$G$16)/1000</f>
        <v>8.955629876402171E-3</v>
      </c>
      <c r="I28">
        <f>'Refrig Mass Flow &amp; Cond kW'!F19*(($G$13-$G$14)-$C$6*($G$17-$G$18)/1000)-'Refrig Mass Flow &amp; Cond kW'!E19*(1-$C$6/($G$10+273))</f>
        <v>3.9638519028415004E-3</v>
      </c>
    </row>
    <row r="29" spans="1:18" x14ac:dyDescent="0.2">
      <c r="B29" s="2">
        <v>6</v>
      </c>
      <c r="C29">
        <f>'Refrig Mass Flow &amp; Cond kW'!D20*$C$6*(($C$19-$C$18)/1000)</f>
        <v>0</v>
      </c>
      <c r="D29">
        <f>'Refrig Mass Flow &amp; Cond kW'!D20*Winter!$C$6*((Winter!$C$17-Winter!$C$16)/1000)</f>
        <v>0</v>
      </c>
      <c r="E29">
        <f>'Refrig Mass Flow &amp; Cond kW'!D20*(($C$13-$C$14)-$C$6*($C$17-$C$18)/1000)-'Refrig Mass Flow &amp; Cond kW'!C20*(1-$C$6/($C$10+273))</f>
        <v>0</v>
      </c>
      <c r="F29" s="13"/>
      <c r="G29" s="13">
        <f>'Refrig Mass Flow &amp; Cond kW'!F20*$C$6*($G$19-$G$18)/1000</f>
        <v>1.4353274912313778E-3</v>
      </c>
      <c r="H29">
        <f>'Refrig Mass Flow &amp; Cond kW'!F20*$C$6*($G$17-$G$16)/1000</f>
        <v>8.9496890629718051E-3</v>
      </c>
      <c r="I29">
        <f>'Refrig Mass Flow &amp; Cond kW'!F20*(($G$13-$G$14)-$C$6*($G$17-$G$18)/1000)-'Refrig Mass Flow &amp; Cond kW'!E20*(1-$C$6/($G$10+273))</f>
        <v>3.9612224390354472E-3</v>
      </c>
    </row>
    <row r="30" spans="1:18" x14ac:dyDescent="0.2">
      <c r="B30" s="2">
        <v>7</v>
      </c>
      <c r="C30">
        <f>'Refrig Mass Flow &amp; Cond kW'!D21*$C$6*(($C$19-$C$18)/1000)</f>
        <v>0</v>
      </c>
      <c r="D30">
        <f>'Refrig Mass Flow &amp; Cond kW'!D21*Winter!$C$6*((Winter!$C$17-Winter!$C$16)/1000)</f>
        <v>0</v>
      </c>
      <c r="E30">
        <f>'Refrig Mass Flow &amp; Cond kW'!D21*(($C$13-$C$14)-$C$6*($C$17-$C$18)/1000)-'Refrig Mass Flow &amp; Cond kW'!C21*(1-$C$6/($C$10+273))</f>
        <v>0</v>
      </c>
      <c r="F30" s="13"/>
      <c r="G30" s="13">
        <f>'Refrig Mass Flow &amp; Cond kW'!F21*$C$6*($G$19-$G$18)/1000</f>
        <v>1.7355756162906692E-3</v>
      </c>
      <c r="H30">
        <f>'Refrig Mass Flow &amp; Cond kW'!F21*$C$6*($G$17-$G$16)/1000</f>
        <v>1.0821824430988496E-2</v>
      </c>
      <c r="I30">
        <f>'Refrig Mass Flow &amp; Cond kW'!F21*(($G$13-$G$14)-$C$6*($G$17-$G$18)/1000)-'Refrig Mass Flow &amp; Cond kW'!E21*(1-$C$6/($G$10+273))</f>
        <v>4.7898483920176815E-3</v>
      </c>
    </row>
    <row r="31" spans="1:18" x14ac:dyDescent="0.2">
      <c r="B31" s="2">
        <v>8</v>
      </c>
      <c r="C31">
        <f>'Refrig Mass Flow &amp; Cond kW'!D22*$C$6*(($C$19-$C$18)/1000)</f>
        <v>0</v>
      </c>
      <c r="D31">
        <f>'Refrig Mass Flow &amp; Cond kW'!D22*Winter!$C$6*((Winter!$C$17-Winter!$C$16)/1000)</f>
        <v>0</v>
      </c>
      <c r="E31">
        <f>'Refrig Mass Flow &amp; Cond kW'!D22*(($C$13-$C$14)-$C$6*($C$17-$C$18)/1000)-'Refrig Mass Flow &amp; Cond kW'!C22*(1-$C$6/($C$10+273))</f>
        <v>0</v>
      </c>
      <c r="F31" s="13"/>
      <c r="G31" s="13">
        <f>'Refrig Mass Flow &amp; Cond kW'!F22*$C$6*($G$19-$G$18)/1000</f>
        <v>2.203219587964668E-3</v>
      </c>
      <c r="H31">
        <f>'Refrig Mass Flow &amp; Cond kW'!F22*$C$6*($G$17-$G$16)/1000</f>
        <v>1.3737722136720384E-2</v>
      </c>
      <c r="I31">
        <f>'Refrig Mass Flow &amp; Cond kW'!F22*(($G$13-$G$14)-$C$6*($G$17-$G$18)/1000)-'Refrig Mass Flow &amp; Cond kW'!E22*(1-$C$6/($G$10+273))</f>
        <v>6.0804540589414618E-3</v>
      </c>
    </row>
    <row r="32" spans="1:18" x14ac:dyDescent="0.2">
      <c r="B32" s="2">
        <v>9</v>
      </c>
      <c r="C32">
        <f>'Refrig Mass Flow &amp; Cond kW'!D23*$C$6*(($C$19-$C$18)/1000)</f>
        <v>0</v>
      </c>
      <c r="D32">
        <f>'Refrig Mass Flow &amp; Cond kW'!D23*Winter!$C$6*((Winter!$C$17-Winter!$C$16)/1000)</f>
        <v>0</v>
      </c>
      <c r="E32">
        <f>'Refrig Mass Flow &amp; Cond kW'!D23*(($C$13-$C$14)-$C$6*($C$17-$C$18)/1000)-'Refrig Mass Flow &amp; Cond kW'!C23*(1-$C$6/($C$10+273))</f>
        <v>0</v>
      </c>
      <c r="F32" s="13"/>
      <c r="G32" s="13">
        <f>'Refrig Mass Flow &amp; Cond kW'!F23*$C$6*($G$19-$G$18)/1000</f>
        <v>2.7739857133032134E-3</v>
      </c>
      <c r="H32">
        <f>'Refrig Mass Flow &amp; Cond kW'!F23*$C$6*($G$17-$G$16)/1000</f>
        <v>1.7296616800595899E-2</v>
      </c>
      <c r="I32">
        <f>'Refrig Mass Flow &amp; Cond kW'!F23*(($G$13-$G$14)-$C$6*($G$17-$G$18)/1000)-'Refrig Mass Flow &amp; Cond kW'!E23*(1-$C$6/($G$10+273))</f>
        <v>7.655656649949244E-3</v>
      </c>
      <c r="K32" s="8"/>
    </row>
    <row r="33" spans="2:9" x14ac:dyDescent="0.2">
      <c r="B33" s="2">
        <v>10</v>
      </c>
      <c r="C33">
        <f>'Refrig Mass Flow &amp; Cond kW'!D24*$C$6*(($C$19-$C$18)/1000)</f>
        <v>0</v>
      </c>
      <c r="D33">
        <f>'Refrig Mass Flow &amp; Cond kW'!D24*Winter!$C$6*((Winter!$C$17-Winter!$C$16)/1000)</f>
        <v>0</v>
      </c>
      <c r="E33">
        <f>'Refrig Mass Flow &amp; Cond kW'!D24*(($C$13-$C$14)-$C$6*($C$17-$C$18)/1000)-'Refrig Mass Flow &amp; Cond kW'!C24*(1-$C$6/($C$10+273))</f>
        <v>0</v>
      </c>
      <c r="F33" s="13"/>
      <c r="G33" s="13">
        <f>'Refrig Mass Flow &amp; Cond kW'!F24*$C$6*($G$19-$G$18)/1000</f>
        <v>3.0920309103317084E-3</v>
      </c>
      <c r="H33">
        <f>'Refrig Mass Flow &amp; Cond kW'!F24*$C$6*($G$17-$G$16)/1000</f>
        <v>1.9279722146773502E-2</v>
      </c>
      <c r="I33">
        <f>'Refrig Mass Flow &amp; Cond kW'!F24*(($G$13-$G$14)-$C$6*($G$17-$G$18)/1000)-'Refrig Mass Flow &amp; Cond kW'!E24*(1-$C$6/($G$10+273))</f>
        <v>8.5333990319445135E-3</v>
      </c>
    </row>
    <row r="34" spans="2:9" x14ac:dyDescent="0.2">
      <c r="B34" s="2">
        <v>11</v>
      </c>
      <c r="C34">
        <f>'Refrig Mass Flow &amp; Cond kW'!D25*$C$6*(($C$19-$C$18)/1000)</f>
        <v>0</v>
      </c>
      <c r="D34">
        <f>'Refrig Mass Flow &amp; Cond kW'!D25*Winter!$C$6*((Winter!$C$17-Winter!$C$16)/1000)</f>
        <v>0</v>
      </c>
      <c r="E34">
        <f>'Refrig Mass Flow &amp; Cond kW'!D25*(($C$13-$C$14)-$C$6*($C$17-$C$18)/1000)-'Refrig Mass Flow &amp; Cond kW'!C25*(1-$C$6/($C$10+273))</f>
        <v>0</v>
      </c>
      <c r="F34" s="13"/>
      <c r="G34" s="13">
        <f>'Refrig Mass Flow &amp; Cond kW'!F25*$C$6*($G$19-$G$18)/1000</f>
        <v>3.3004068909419986E-3</v>
      </c>
      <c r="H34">
        <f>'Refrig Mass Flow &amp; Cond kW'!F25*$C$6*($G$17-$G$16)/1000</f>
        <v>2.0579007672931734E-2</v>
      </c>
      <c r="I34">
        <f>'Refrig Mass Flow &amp; Cond kW'!F25*(($G$13-$G$14)-$C$6*($G$17-$G$18)/1000)-'Refrig Mass Flow &amp; Cond kW'!E25*(1-$C$6/($G$10+273))</f>
        <v>9.1084758803934851E-3</v>
      </c>
    </row>
    <row r="35" spans="2:9" x14ac:dyDescent="0.2">
      <c r="B35" s="2">
        <v>12</v>
      </c>
      <c r="C35">
        <f>'Refrig Mass Flow &amp; Cond kW'!D26*$C$6*(($C$19-$C$18)/1000)</f>
        <v>0</v>
      </c>
      <c r="D35">
        <f>'Refrig Mass Flow &amp; Cond kW'!D26*Winter!$C$6*((Winter!$C$17-Winter!$C$16)/1000)</f>
        <v>0</v>
      </c>
      <c r="E35">
        <f>'Refrig Mass Flow &amp; Cond kW'!D26*(($C$13-$C$14)-$C$6*($C$17-$C$18)/1000)-'Refrig Mass Flow &amp; Cond kW'!C26*(1-$C$6/($C$10+273))</f>
        <v>0</v>
      </c>
      <c r="F35" s="13"/>
      <c r="G35" s="13">
        <f>'Refrig Mass Flow &amp; Cond kW'!F26*$C$6*($G$19-$G$18)/1000</f>
        <v>3.3688838337422892E-3</v>
      </c>
      <c r="H35">
        <f>'Refrig Mass Flow &amp; Cond kW'!F26*$C$6*($G$17-$G$16)/1000</f>
        <v>2.1005981551568825E-2</v>
      </c>
      <c r="I35">
        <f>'Refrig Mass Flow &amp; Cond kW'!F26*(($G$13-$G$14)-$C$6*($G$17-$G$18)/1000)-'Refrig Mass Flow &amp; Cond kW'!E26*(1-$C$6/($G$10+273))</f>
        <v>9.2974588156707338E-3</v>
      </c>
    </row>
    <row r="36" spans="2:9" x14ac:dyDescent="0.2">
      <c r="B36" s="2">
        <v>13</v>
      </c>
      <c r="C36">
        <f>'Refrig Mass Flow &amp; Cond kW'!D27*$C$6*(($C$19-$C$18)/1000)</f>
        <v>0</v>
      </c>
      <c r="D36">
        <f>'Refrig Mass Flow &amp; Cond kW'!D27*Winter!$C$6*((Winter!$C$17-Winter!$C$16)/1000)</f>
        <v>0</v>
      </c>
      <c r="E36">
        <f>'Refrig Mass Flow &amp; Cond kW'!D27*(($C$13-$C$14)-$C$6*($C$17-$C$18)/1000)-'Refrig Mass Flow &amp; Cond kW'!C27*(1-$C$6/($C$10+273))</f>
        <v>0</v>
      </c>
      <c r="F36" s="13"/>
      <c r="G36" s="13">
        <f>'Refrig Mass Flow &amp; Cond kW'!F27*$C$6*($G$19-$G$18)/1000</f>
        <v>3.2672541019664689E-3</v>
      </c>
      <c r="H36">
        <f>'Refrig Mass Flow &amp; Cond kW'!F27*$C$6*($G$17-$G$16)/1000</f>
        <v>2.037229028284903E-2</v>
      </c>
      <c r="I36">
        <f>'Refrig Mass Flow &amp; Cond kW'!F27*(($G$13-$G$14)-$C$6*($G$17-$G$18)/1000)-'Refrig Mass Flow &amp; Cond kW'!E27*(1-$C$6/($G$10+273))</f>
        <v>9.0169806833678562E-3</v>
      </c>
    </row>
    <row r="37" spans="2:9" x14ac:dyDescent="0.2">
      <c r="B37" s="2">
        <v>14</v>
      </c>
      <c r="C37">
        <f>'Refrig Mass Flow &amp; Cond kW'!D28*$C$6*(($C$19-$C$18)/1000)</f>
        <v>0</v>
      </c>
      <c r="D37">
        <f>'Refrig Mass Flow &amp; Cond kW'!D28*Winter!$C$6*((Winter!$C$17-Winter!$C$16)/1000)</f>
        <v>0</v>
      </c>
      <c r="E37">
        <f>'Refrig Mass Flow &amp; Cond kW'!D28*(($C$13-$C$14)-$C$6*($C$17-$C$18)/1000)-'Refrig Mass Flow &amp; Cond kW'!C28*(1-$C$6/($C$10+273))</f>
        <v>0</v>
      </c>
      <c r="F37" s="13"/>
      <c r="G37" s="13">
        <f>'Refrig Mass Flow &amp; Cond kW'!F28*$C$6*($G$19-$G$18)/1000</f>
        <v>2.9653349929545021E-3</v>
      </c>
      <c r="H37">
        <f>'Refrig Mass Flow &amp; Cond kW'!F28*$C$6*($G$17-$G$16)/1000</f>
        <v>1.8489735838421534E-2</v>
      </c>
      <c r="I37">
        <f>'Refrig Mass Flow &amp; Cond kW'!F28*(($G$13-$G$14)-$C$6*($G$17-$G$18)/1000)-'Refrig Mass Flow &amp; Cond kW'!E28*(1-$C$6/($G$10+273))</f>
        <v>8.1837431423201629E-3</v>
      </c>
    </row>
    <row r="38" spans="2:9" x14ac:dyDescent="0.2">
      <c r="B38" s="2">
        <v>15</v>
      </c>
      <c r="C38">
        <f>'Refrig Mass Flow &amp; Cond kW'!D29*$C$6*(($C$19-$C$18)/1000)</f>
        <v>0</v>
      </c>
      <c r="D38">
        <f>'Refrig Mass Flow &amp; Cond kW'!D29*Winter!$C$6*((Winter!$C$17-Winter!$C$16)/1000)</f>
        <v>0</v>
      </c>
      <c r="E38">
        <f>'Refrig Mass Flow &amp; Cond kW'!D29*(($C$13-$C$14)-$C$6*($C$17-$C$18)/1000)-'Refrig Mass Flow &amp; Cond kW'!C29*(1-$C$6/($C$10+273))</f>
        <v>0</v>
      </c>
      <c r="F38" s="13"/>
      <c r="G38" s="13">
        <f>'Refrig Mass Flow &amp; Cond kW'!F29*$C$6*($G$19-$G$18)/1000</f>
        <v>2.4835392300079414E-3</v>
      </c>
      <c r="H38">
        <f>'Refrig Mass Flow &amp; Cond kW'!F29*$C$6*($G$17-$G$16)/1000</f>
        <v>1.5485597551813677E-2</v>
      </c>
      <c r="I38">
        <f>'Refrig Mass Flow &amp; Cond kW'!F29*(($G$13-$G$14)-$C$6*($G$17-$G$18)/1000)-'Refrig Mass Flow &amp; Cond kW'!E29*(1-$C$6/($G$10+273))</f>
        <v>6.8540813063451556E-3</v>
      </c>
    </row>
    <row r="39" spans="2:9" x14ac:dyDescent="0.2">
      <c r="B39" s="2">
        <v>16</v>
      </c>
      <c r="C39">
        <f>'Refrig Mass Flow &amp; Cond kW'!D30*$C$6*(($C$19-$C$18)/1000)</f>
        <v>0</v>
      </c>
      <c r="D39">
        <f>'Refrig Mass Flow &amp; Cond kW'!D30*Winter!$C$6*((Winter!$C$17-Winter!$C$16)/1000)</f>
        <v>0</v>
      </c>
      <c r="E39">
        <f>'Refrig Mass Flow &amp; Cond kW'!D30*(($C$13-$C$14)-$C$6*($C$17-$C$18)/1000)-'Refrig Mass Flow &amp; Cond kW'!C30*(1-$C$6/($C$10+273))</f>
        <v>0</v>
      </c>
      <c r="F39" s="13"/>
      <c r="G39" s="13">
        <f>'Refrig Mass Flow &amp; Cond kW'!F30*$C$6*($G$19-$G$18)/1000</f>
        <v>2.1301151841057538E-3</v>
      </c>
      <c r="H39">
        <f>'Refrig Mass Flow &amp; Cond kW'!F30*$C$6*($G$17-$G$16)/1000</f>
        <v>1.3281894677364818E-2</v>
      </c>
      <c r="I39">
        <f>'Refrig Mass Flow &amp; Cond kW'!F30*(($G$13-$G$14)-$C$6*($G$17-$G$18)/1000)-'Refrig Mass Flow &amp; Cond kW'!E30*(1-$C$6/($G$10+273))</f>
        <v>5.8787002384876885E-3</v>
      </c>
    </row>
    <row r="40" spans="2:9" x14ac:dyDescent="0.2">
      <c r="B40" s="2">
        <v>17</v>
      </c>
      <c r="C40">
        <f>'Refrig Mass Flow &amp; Cond kW'!D31*$C$6*(($C$19-$C$18)/1000)</f>
        <v>0</v>
      </c>
      <c r="D40">
        <f>'Refrig Mass Flow &amp; Cond kW'!D31*Winter!$C$6*((Winter!$C$17-Winter!$C$16)/1000)</f>
        <v>0</v>
      </c>
      <c r="E40">
        <f>'Refrig Mass Flow &amp; Cond kW'!D31*(($C$13-$C$14)-$C$6*($C$17-$C$18)/1000)-'Refrig Mass Flow &amp; Cond kW'!C31*(1-$C$6/($C$10+273))</f>
        <v>0</v>
      </c>
      <c r="F40" s="13"/>
      <c r="G40" s="13">
        <f>'Refrig Mass Flow &amp; Cond kW'!F31*$C$6*($G$19-$G$18)/1000</f>
        <v>1.648726359588831E-3</v>
      </c>
      <c r="H40">
        <f>'Refrig Mass Flow &amp; Cond kW'!F31*$C$6*($G$17-$G$16)/1000</f>
        <v>1.0280293771553525E-2</v>
      </c>
      <c r="I40">
        <f>'Refrig Mass Flow &amp; Cond kW'!F31*(($G$13-$G$14)-$C$6*($G$17-$G$18)/1000)-'Refrig Mass Flow &amp; Cond kW'!E31*(1-$C$6/($G$10+273))</f>
        <v>4.5501614727866402E-3</v>
      </c>
    </row>
    <row r="41" spans="2:9" x14ac:dyDescent="0.2">
      <c r="B41" s="2">
        <v>18</v>
      </c>
      <c r="C41">
        <f>'Refrig Mass Flow &amp; Cond kW'!D32*$C$6*(($C$19-$C$18)/1000)</f>
        <v>0</v>
      </c>
      <c r="D41">
        <f>'Refrig Mass Flow &amp; Cond kW'!D32*Winter!$C$6*((Winter!$C$17-Winter!$C$16)/1000)</f>
        <v>0</v>
      </c>
      <c r="E41">
        <f>'Refrig Mass Flow &amp; Cond kW'!D32*(($C$13-$C$14)-$C$6*($C$17-$C$18)/1000)-'Refrig Mass Flow &amp; Cond kW'!C32*(1-$C$6/($C$10+273))</f>
        <v>0</v>
      </c>
      <c r="F41" s="13"/>
      <c r="G41" s="13">
        <f>'Refrig Mass Flow &amp; Cond kW'!F32*$C$6*($G$19-$G$18)/1000</f>
        <v>9.9922668913683026E-4</v>
      </c>
      <c r="H41">
        <f>'Refrig Mass Flow &amp; Cond kW'!F32*$C$6*($G$17-$G$16)/1000</f>
        <v>6.2304722969706034E-3</v>
      </c>
      <c r="I41">
        <f>'Refrig Mass Flow &amp; Cond kW'!F32*(($G$13-$G$14)-$C$6*($G$17-$G$18)/1000)-'Refrig Mass Flow &amp; Cond kW'!E32*(1-$C$6/($G$10+273))</f>
        <v>2.7576697352157467E-3</v>
      </c>
    </row>
    <row r="42" spans="2:9" x14ac:dyDescent="0.2">
      <c r="B42" s="2">
        <v>19</v>
      </c>
      <c r="C42">
        <f>'Refrig Mass Flow &amp; Cond kW'!D33*$C$6*(($C$19-$C$18)/1000)</f>
        <v>0</v>
      </c>
      <c r="D42">
        <f>'Refrig Mass Flow &amp; Cond kW'!D33*Winter!$C$6*((Winter!$C$17-Winter!$C$16)/1000)</f>
        <v>0</v>
      </c>
      <c r="E42">
        <f>'Refrig Mass Flow &amp; Cond kW'!D33*(($C$13-$C$14)-$C$6*($C$17-$C$18)/1000)-'Refrig Mass Flow &amp; Cond kW'!C33*(1-$C$6/($C$10+273))</f>
        <v>0</v>
      </c>
      <c r="F42" s="13"/>
      <c r="G42" s="13">
        <f>'Refrig Mass Flow &amp; Cond kW'!F33*$C$6*($G$19-$G$18)/1000</f>
        <v>2.1938566458928066E-4</v>
      </c>
      <c r="H42">
        <f>'Refrig Mass Flow &amp; Cond kW'!F33*$C$6*($G$17-$G$16)/1000</f>
        <v>1.367934143909584E-3</v>
      </c>
      <c r="I42">
        <f>'Refrig Mass Flow &amp; Cond kW'!F33*(($G$13-$G$14)-$C$6*($G$17-$G$18)/1000)-'Refrig Mass Flow &amp; Cond kW'!E33*(1-$C$6/($G$10+273))</f>
        <v>6.0546141746941132E-4</v>
      </c>
    </row>
    <row r="43" spans="2:9" x14ac:dyDescent="0.2">
      <c r="B43" s="2">
        <v>20</v>
      </c>
      <c r="C43">
        <f>'Refrig Mass Flow &amp; Cond kW'!D34*$C$6*(($C$19-$C$18)/1000)</f>
        <v>0</v>
      </c>
      <c r="D43">
        <f>'Refrig Mass Flow &amp; Cond kW'!D34*Winter!$C$6*((Winter!$C$17-Winter!$C$16)/1000)</f>
        <v>0</v>
      </c>
      <c r="E43">
        <f>'Refrig Mass Flow &amp; Cond kW'!D34*(($C$13-$C$14)-$C$6*($C$17-$C$18)/1000)-'Refrig Mass Flow &amp; Cond kW'!C34*(1-$C$6/($C$10+273))</f>
        <v>0</v>
      </c>
      <c r="F43" s="13"/>
      <c r="G43" s="13">
        <f>'Refrig Mass Flow &amp; Cond kW'!F34*$C$6*($G$19-$G$18)/1000</f>
        <v>0</v>
      </c>
      <c r="H43">
        <f>'Refrig Mass Flow &amp; Cond kW'!F34*$C$6*($G$17-$G$16)/1000</f>
        <v>0</v>
      </c>
      <c r="I43">
        <f>'Refrig Mass Flow &amp; Cond kW'!F34*(($G$13-$G$14)-$C$6*($G$17-$G$18)/1000)-'Refrig Mass Flow &amp; Cond kW'!E34*(1-$C$6/($G$10+273))</f>
        <v>0</v>
      </c>
    </row>
    <row r="44" spans="2:9" x14ac:dyDescent="0.2">
      <c r="B44" s="2">
        <v>21</v>
      </c>
      <c r="C44">
        <f>'Refrig Mass Flow &amp; Cond kW'!D35*$C$6*(($C$19-$C$18)/1000)</f>
        <v>0</v>
      </c>
      <c r="D44">
        <f>'Refrig Mass Flow &amp; Cond kW'!D35*Winter!$C$6*((Winter!$C$17-Winter!$C$16)/1000)</f>
        <v>0</v>
      </c>
      <c r="E44">
        <f>'Refrig Mass Flow &amp; Cond kW'!D35*(($C$13-$C$14)-$C$6*($C$17-$C$18)/1000)-'Refrig Mass Flow &amp; Cond kW'!C35*(1-$C$6/($C$10+273))</f>
        <v>0</v>
      </c>
      <c r="F44" s="13"/>
      <c r="G44" s="13">
        <f>'Refrig Mass Flow &amp; Cond kW'!F35*$C$6*($G$19-$G$18)/1000</f>
        <v>0</v>
      </c>
      <c r="H44">
        <f>'Refrig Mass Flow &amp; Cond kW'!F35*$C$6*($G$17-$G$16)/1000</f>
        <v>0</v>
      </c>
      <c r="I44">
        <f>'Refrig Mass Flow &amp; Cond kW'!F35*(($G$13-$G$14)-$C$6*($G$17-$G$18)/1000)-'Refrig Mass Flow &amp; Cond kW'!E35*(1-$C$6/($G$10+273))</f>
        <v>0</v>
      </c>
    </row>
    <row r="45" spans="2:9" x14ac:dyDescent="0.2">
      <c r="B45" s="2">
        <v>22</v>
      </c>
      <c r="C45">
        <f>'Refrig Mass Flow &amp; Cond kW'!D36*$C$6*(($C$19-$C$18)/1000)</f>
        <v>0</v>
      </c>
      <c r="D45">
        <f>'Refrig Mass Flow &amp; Cond kW'!D36*Winter!$C$6*((Winter!$C$17-Winter!$C$16)/1000)</f>
        <v>0</v>
      </c>
      <c r="E45">
        <f>'Refrig Mass Flow &amp; Cond kW'!D36*(($C$13-$C$14)-$C$6*($C$17-$C$18)/1000)-'Refrig Mass Flow &amp; Cond kW'!C36*(1-$C$6/($C$10+273))</f>
        <v>0</v>
      </c>
      <c r="F45" s="13"/>
      <c r="G45" s="13">
        <f>'Refrig Mass Flow &amp; Cond kW'!F36*$C$6*($G$19-$G$18)/1000</f>
        <v>0</v>
      </c>
      <c r="H45">
        <f>'Refrig Mass Flow &amp; Cond kW'!F36*$C$6*($G$17-$G$16)/1000</f>
        <v>0</v>
      </c>
      <c r="I45">
        <f>'Refrig Mass Flow &amp; Cond kW'!F36*(($G$13-$G$14)-$C$6*($G$17-$G$18)/1000)-'Refrig Mass Flow &amp; Cond kW'!E36*(1-$C$6/($G$10+273))</f>
        <v>0</v>
      </c>
    </row>
    <row r="46" spans="2:9" x14ac:dyDescent="0.2">
      <c r="B46" s="2">
        <v>23</v>
      </c>
      <c r="C46">
        <f>'Refrig Mass Flow &amp; Cond kW'!D37*$C$6*(($C$19-$C$18)/1000)</f>
        <v>0</v>
      </c>
      <c r="D46">
        <f>'Refrig Mass Flow &amp; Cond kW'!D37*Winter!$C$6*((Winter!$C$17-Winter!$C$16)/1000)</f>
        <v>0</v>
      </c>
      <c r="E46">
        <f>'Refrig Mass Flow &amp; Cond kW'!D37*(($C$13-$C$14)-$C$6*($C$17-$C$18)/1000)-'Refrig Mass Flow &amp; Cond kW'!C37*(1-$C$6/($C$10+273))</f>
        <v>0</v>
      </c>
      <c r="F46" s="13"/>
      <c r="G46" s="13">
        <f>'Refrig Mass Flow &amp; Cond kW'!F37*$C$6*($G$19-$G$18)/1000</f>
        <v>0</v>
      </c>
      <c r="H46">
        <f>'Refrig Mass Flow &amp; Cond kW'!F37*$C$6*($G$17-$G$16)/1000</f>
        <v>0</v>
      </c>
      <c r="I46">
        <f>'Refrig Mass Flow &amp; Cond kW'!F37*(($G$13-$G$14)-$C$6*($G$17-$G$18)/1000)-'Refrig Mass Flow &amp; Cond kW'!E37*(1-$C$6/($G$10+273))</f>
        <v>0</v>
      </c>
    </row>
    <row r="47" spans="2:9" x14ac:dyDescent="0.2">
      <c r="B47" s="2">
        <v>24</v>
      </c>
      <c r="C47">
        <f>'Refrig Mass Flow &amp; Cond kW'!D38*$C$6*(($C$19-$C$18)/1000)</f>
        <v>0</v>
      </c>
      <c r="D47">
        <f>'Refrig Mass Flow &amp; Cond kW'!D38*Winter!$C$6*((Winter!$C$17-Winter!$C$16)/1000)</f>
        <v>0</v>
      </c>
      <c r="E47">
        <f>'Refrig Mass Flow &amp; Cond kW'!D38*(($C$13-$C$14)-$C$6*($C$17-$C$18)/1000)-'Refrig Mass Flow &amp; Cond kW'!C38*(1-$C$6/($C$10+273))</f>
        <v>0</v>
      </c>
      <c r="F47" s="13"/>
      <c r="G47" s="13">
        <f>'Refrig Mass Flow &amp; Cond kW'!F38*$C$6*($G$19-$G$18)/1000</f>
        <v>0</v>
      </c>
      <c r="H47">
        <f>'Refrig Mass Flow &amp; Cond kW'!F38*$C$6*($G$17-$G$16)/1000</f>
        <v>0</v>
      </c>
      <c r="I47">
        <f>'Refrig Mass Flow &amp; Cond kW'!F38*(($G$13-$G$14)-$C$6*($G$17-$G$18)/1000)-'Refrig Mass Flow &amp; Cond kW'!E38*(1-$C$6/($G$10+273))</f>
        <v>0</v>
      </c>
    </row>
    <row r="48" spans="2:9" x14ac:dyDescent="0.2">
      <c r="B48" s="2">
        <v>25</v>
      </c>
      <c r="C48">
        <f>'Refrig Mass Flow &amp; Cond kW'!D39*$C$6*(($C$19-$C$18)/1000)</f>
        <v>0</v>
      </c>
      <c r="D48">
        <f>'Refrig Mass Flow &amp; Cond kW'!D39*Winter!$C$6*((Winter!$C$17-Winter!$C$16)/1000)</f>
        <v>0</v>
      </c>
      <c r="E48">
        <f>'Refrig Mass Flow &amp; Cond kW'!D39*(($C$13-$C$14)-$C$6*($C$17-$C$18)/1000)-'Refrig Mass Flow &amp; Cond kW'!C39*(1-$C$6/($C$10+273))</f>
        <v>0</v>
      </c>
      <c r="F48" s="13"/>
      <c r="G48" s="13">
        <f>'Refrig Mass Flow &amp; Cond kW'!F39*$C$6*($G$19-$G$18)/1000</f>
        <v>0</v>
      </c>
      <c r="H48">
        <f>'Refrig Mass Flow &amp; Cond kW'!F39*$C$6*($G$17-$G$16)/1000</f>
        <v>0</v>
      </c>
      <c r="I48">
        <f>'Refrig Mass Flow &amp; Cond kW'!F39*(($G$13-$G$14)-$C$6*($G$17-$G$18)/1000)-'Refrig Mass Flow &amp; Cond kW'!E39*(1-$C$6/($G$10+273))</f>
        <v>0</v>
      </c>
    </row>
    <row r="49" spans="2:9" x14ac:dyDescent="0.2">
      <c r="B49" s="2">
        <v>26</v>
      </c>
      <c r="C49">
        <f>'Refrig Mass Flow &amp; Cond kW'!D40*$C$6*(($C$19-$C$18)/1000)</f>
        <v>0</v>
      </c>
      <c r="D49">
        <f>'Refrig Mass Flow &amp; Cond kW'!D40*Winter!$C$6*((Winter!$C$17-Winter!$C$16)/1000)</f>
        <v>0</v>
      </c>
      <c r="E49">
        <f>'Refrig Mass Flow &amp; Cond kW'!D40*(($C$13-$C$14)-$C$6*($C$17-$C$18)/1000)-'Refrig Mass Flow &amp; Cond kW'!C40*(1-$C$6/($C$10+273))</f>
        <v>0</v>
      </c>
      <c r="F49" s="13"/>
      <c r="G49" s="13">
        <f>'Refrig Mass Flow &amp; Cond kW'!F40*$C$6*($G$19-$G$18)/1000</f>
        <v>0</v>
      </c>
      <c r="H49">
        <f>'Refrig Mass Flow &amp; Cond kW'!F40*$C$6*($G$17-$G$16)/1000</f>
        <v>0</v>
      </c>
      <c r="I49">
        <f>'Refrig Mass Flow &amp; Cond kW'!F40*(($G$13-$G$14)-$C$6*($G$17-$G$18)/1000)-'Refrig Mass Flow &amp; Cond kW'!E40*(1-$C$6/($G$10+273))</f>
        <v>0</v>
      </c>
    </row>
    <row r="50" spans="2:9" x14ac:dyDescent="0.2">
      <c r="B50" s="2">
        <v>27</v>
      </c>
      <c r="C50">
        <f>'Refrig Mass Flow &amp; Cond kW'!D41*$C$6*(($C$19-$C$18)/1000)</f>
        <v>0</v>
      </c>
      <c r="D50">
        <f>'Refrig Mass Flow &amp; Cond kW'!D41*Winter!$C$6*((Winter!$C$17-Winter!$C$16)/1000)</f>
        <v>0</v>
      </c>
      <c r="E50">
        <f>'Refrig Mass Flow &amp; Cond kW'!D41*(($C$13-$C$14)-$C$6*($C$17-$C$18)/1000)-'Refrig Mass Flow &amp; Cond kW'!C41*(1-$C$6/($C$10+273))</f>
        <v>0</v>
      </c>
      <c r="F50" s="13"/>
      <c r="G50" s="13">
        <f>'Refrig Mass Flow &amp; Cond kW'!F41*$C$6*($G$19-$G$18)/1000</f>
        <v>0</v>
      </c>
      <c r="H50">
        <f>'Refrig Mass Flow &amp; Cond kW'!F41*$C$6*($G$17-$G$16)/1000</f>
        <v>0</v>
      </c>
      <c r="I50">
        <f>'Refrig Mass Flow &amp; Cond kW'!F41*(($G$13-$G$14)-$C$6*($G$17-$G$18)/1000)-'Refrig Mass Flow &amp; Cond kW'!E41*(1-$C$6/($G$10+273))</f>
        <v>0</v>
      </c>
    </row>
    <row r="51" spans="2:9" x14ac:dyDescent="0.2">
      <c r="B51" s="2">
        <v>28</v>
      </c>
      <c r="C51">
        <f>'Refrig Mass Flow &amp; Cond kW'!D42*$C$6*(($C$19-$C$18)/1000)</f>
        <v>0</v>
      </c>
      <c r="D51">
        <f>'Refrig Mass Flow &amp; Cond kW'!D42*Winter!$C$6*((Winter!$C$17-Winter!$C$16)/1000)</f>
        <v>0</v>
      </c>
      <c r="E51">
        <f>'Refrig Mass Flow &amp; Cond kW'!D42*(($C$13-$C$14)-$C$6*($C$17-$C$18)/1000)-'Refrig Mass Flow &amp; Cond kW'!C42*(1-$C$6/($C$10+273))</f>
        <v>0</v>
      </c>
      <c r="F51" s="13"/>
      <c r="G51" s="13">
        <f>'Refrig Mass Flow &amp; Cond kW'!F42*$C$6*($G$19-$G$18)/1000</f>
        <v>0</v>
      </c>
      <c r="H51">
        <f>'Refrig Mass Flow &amp; Cond kW'!F42*$C$6*($G$17-$G$16)/1000</f>
        <v>0</v>
      </c>
      <c r="I51">
        <f>'Refrig Mass Flow &amp; Cond kW'!F42*(($G$13-$G$14)-$C$6*($G$17-$G$18)/1000)-'Refrig Mass Flow &amp; Cond kW'!E42*(1-$C$6/($G$10+273))</f>
        <v>0</v>
      </c>
    </row>
    <row r="52" spans="2:9" x14ac:dyDescent="0.2">
      <c r="B52" s="2">
        <v>29</v>
      </c>
      <c r="C52">
        <f>'Refrig Mass Flow &amp; Cond kW'!D43*$C$6*(($C$19-$C$18)/1000)</f>
        <v>0</v>
      </c>
      <c r="D52">
        <f>'Refrig Mass Flow &amp; Cond kW'!D43*Winter!$C$6*((Winter!$C$17-Winter!$C$16)/1000)</f>
        <v>0</v>
      </c>
      <c r="E52">
        <f>'Refrig Mass Flow &amp; Cond kW'!D43*(($C$13-$C$14)-$C$6*($C$17-$C$18)/1000)-'Refrig Mass Flow &amp; Cond kW'!C43*(1-$C$6/($C$10+273))</f>
        <v>0</v>
      </c>
      <c r="F52" s="13"/>
      <c r="G52" s="13">
        <f>'Refrig Mass Flow &amp; Cond kW'!F43*$C$6*($G$19-$G$18)/1000</f>
        <v>0</v>
      </c>
      <c r="H52">
        <f>'Refrig Mass Flow &amp; Cond kW'!F43*$C$6*($G$17-$G$16)/1000</f>
        <v>0</v>
      </c>
      <c r="I52">
        <f>'Refrig Mass Flow &amp; Cond kW'!F43*(($G$13-$G$14)-$C$6*($G$17-$G$18)/1000)-'Refrig Mass Flow &amp; Cond kW'!E43*(1-$C$6/($G$10+273))</f>
        <v>0</v>
      </c>
    </row>
    <row r="53" spans="2:9" x14ac:dyDescent="0.2">
      <c r="B53" s="2">
        <v>30</v>
      </c>
      <c r="C53">
        <f>'Refrig Mass Flow &amp; Cond kW'!D44*$C$6*(($C$19-$C$18)/1000)</f>
        <v>0</v>
      </c>
      <c r="D53">
        <f>'Refrig Mass Flow &amp; Cond kW'!D44*Winter!$C$6*((Winter!$C$17-Winter!$C$16)/1000)</f>
        <v>0</v>
      </c>
      <c r="E53">
        <f>'Refrig Mass Flow &amp; Cond kW'!D44*(($C$13-$C$14)-$C$6*($C$17-$C$18)/1000)-'Refrig Mass Flow &amp; Cond kW'!C44*(1-$C$6/($C$10+273))</f>
        <v>0</v>
      </c>
      <c r="F53" s="13"/>
      <c r="G53" s="13">
        <f>'Refrig Mass Flow &amp; Cond kW'!F44*$C$6*($G$19-$G$18)/1000</f>
        <v>0</v>
      </c>
      <c r="H53">
        <f>'Refrig Mass Flow &amp; Cond kW'!F44*$C$6*($G$17-$G$16)/1000</f>
        <v>0</v>
      </c>
      <c r="I53">
        <f>'Refrig Mass Flow &amp; Cond kW'!F44*(($G$13-$G$14)-$C$6*($G$17-$G$18)/1000)-'Refrig Mass Flow &amp; Cond kW'!E44*(1-$C$6/($G$10+273))</f>
        <v>0</v>
      </c>
    </row>
    <row r="54" spans="2:9" x14ac:dyDescent="0.2">
      <c r="B54" s="2">
        <v>31</v>
      </c>
      <c r="C54">
        <f>'Refrig Mass Flow &amp; Cond kW'!D45*$C$6*(($C$19-$C$18)/1000)</f>
        <v>0</v>
      </c>
      <c r="D54">
        <f>'Refrig Mass Flow &amp; Cond kW'!D45*Winter!$C$6*((Winter!$C$17-Winter!$C$16)/1000)</f>
        <v>0</v>
      </c>
      <c r="E54">
        <f>'Refrig Mass Flow &amp; Cond kW'!D45*(($C$13-$C$14)-$C$6*($C$17-$C$18)/1000)-'Refrig Mass Flow &amp; Cond kW'!C45*(1-$C$6/($C$10+273))</f>
        <v>0</v>
      </c>
      <c r="F54" s="13"/>
      <c r="G54" s="13">
        <f>'Refrig Mass Flow &amp; Cond kW'!F45*$C$6*($G$19-$G$18)/1000</f>
        <v>0</v>
      </c>
      <c r="H54">
        <f>'Refrig Mass Flow &amp; Cond kW'!F45*$C$6*($G$17-$G$16)/1000</f>
        <v>0</v>
      </c>
      <c r="I54">
        <f>'Refrig Mass Flow &amp; Cond kW'!F45*(($G$13-$G$14)-$C$6*($G$17-$G$18)/1000)-'Refrig Mass Flow &amp; Cond kW'!E45*(1-$C$6/($G$10+273))</f>
        <v>0</v>
      </c>
    </row>
    <row r="55" spans="2:9" x14ac:dyDescent="0.2">
      <c r="B55" s="2">
        <v>32</v>
      </c>
      <c r="C55">
        <f>'Refrig Mass Flow &amp; Cond kW'!D46*$C$6*(($C$19-$C$18)/1000)</f>
        <v>0</v>
      </c>
      <c r="D55">
        <f>'Refrig Mass Flow &amp; Cond kW'!D46*Winter!$C$6*((Winter!$C$17-Winter!$C$16)/1000)</f>
        <v>0</v>
      </c>
      <c r="E55">
        <f>'Refrig Mass Flow &amp; Cond kW'!D46*(($C$13-$C$14)-$C$6*($C$17-$C$18)/1000)-'Refrig Mass Flow &amp; Cond kW'!C46*(1-$C$6/($C$10+273))</f>
        <v>0</v>
      </c>
      <c r="F55" s="13"/>
      <c r="G55" s="13">
        <f>'Refrig Mass Flow &amp; Cond kW'!F46*$C$6*($G$19-$G$18)/1000</f>
        <v>0</v>
      </c>
      <c r="H55">
        <f>'Refrig Mass Flow &amp; Cond kW'!F46*$C$6*($G$17-$G$16)/1000</f>
        <v>0</v>
      </c>
      <c r="I55">
        <f>'Refrig Mass Flow &amp; Cond kW'!F46*(($G$13-$G$14)-$C$6*($G$17-$G$18)/1000)-'Refrig Mass Flow &amp; Cond kW'!E46*(1-$C$6/($G$10+273))</f>
        <v>0</v>
      </c>
    </row>
    <row r="56" spans="2:9" x14ac:dyDescent="0.2">
      <c r="B56" s="2">
        <v>33</v>
      </c>
      <c r="C56">
        <f>'Refrig Mass Flow &amp; Cond kW'!D47*$C$6*(($C$19-$C$18)/1000)</f>
        <v>0</v>
      </c>
      <c r="D56">
        <f>'Refrig Mass Flow &amp; Cond kW'!D47*Winter!$C$6*((Winter!$C$17-Winter!$C$16)/1000)</f>
        <v>0</v>
      </c>
      <c r="E56">
        <f>'Refrig Mass Flow &amp; Cond kW'!D47*(($C$13-$C$14)-$C$6*($C$17-$C$18)/1000)-'Refrig Mass Flow &amp; Cond kW'!C47*(1-$C$6/($C$10+273))</f>
        <v>0</v>
      </c>
      <c r="F56" s="13"/>
      <c r="G56" s="13">
        <f>'Refrig Mass Flow &amp; Cond kW'!F47*$C$6*($G$19-$G$18)/1000</f>
        <v>0</v>
      </c>
      <c r="H56">
        <f>'Refrig Mass Flow &amp; Cond kW'!F47*$C$6*($G$17-$G$16)/1000</f>
        <v>0</v>
      </c>
      <c r="I56">
        <f>'Refrig Mass Flow &amp; Cond kW'!F47*(($G$13-$G$14)-$C$6*($G$17-$G$18)/1000)-'Refrig Mass Flow &amp; Cond kW'!E47*(1-$C$6/($G$10+273))</f>
        <v>0</v>
      </c>
    </row>
    <row r="57" spans="2:9" x14ac:dyDescent="0.2">
      <c r="B57" s="2">
        <v>34</v>
      </c>
      <c r="C57">
        <f>'Refrig Mass Flow &amp; Cond kW'!D48*$C$6*(($C$19-$C$18)/1000)</f>
        <v>0</v>
      </c>
      <c r="D57">
        <f>'Refrig Mass Flow &amp; Cond kW'!D48*Winter!$C$6*((Winter!$C$17-Winter!$C$16)/1000)</f>
        <v>0</v>
      </c>
      <c r="E57">
        <f>'Refrig Mass Flow &amp; Cond kW'!D48*(($C$13-$C$14)-$C$6*($C$17-$C$18)/1000)-'Refrig Mass Flow &amp; Cond kW'!C48*(1-$C$6/($C$10+273))</f>
        <v>0</v>
      </c>
      <c r="F57" s="13"/>
      <c r="G57" s="13">
        <f>'Refrig Mass Flow &amp; Cond kW'!F48*$C$6*($G$19-$G$18)/1000</f>
        <v>0</v>
      </c>
      <c r="H57">
        <f>'Refrig Mass Flow &amp; Cond kW'!F48*$C$6*($G$17-$G$16)/1000</f>
        <v>0</v>
      </c>
      <c r="I57">
        <f>'Refrig Mass Flow &amp; Cond kW'!F48*(($G$13-$G$14)-$C$6*($G$17-$G$18)/1000)-'Refrig Mass Flow &amp; Cond kW'!E48*(1-$C$6/($G$10+273))</f>
        <v>0</v>
      </c>
    </row>
    <row r="58" spans="2:9" x14ac:dyDescent="0.2">
      <c r="B58" s="2">
        <v>35</v>
      </c>
      <c r="C58">
        <f>'Refrig Mass Flow &amp; Cond kW'!D49*$C$6*(($C$19-$C$18)/1000)</f>
        <v>0</v>
      </c>
      <c r="D58">
        <f>'Refrig Mass Flow &amp; Cond kW'!D49*Winter!$C$6*((Winter!$C$17-Winter!$C$16)/1000)</f>
        <v>0</v>
      </c>
      <c r="E58">
        <f>'Refrig Mass Flow &amp; Cond kW'!D49*(($C$13-$C$14)-$C$6*($C$17-$C$18)/1000)-'Refrig Mass Flow &amp; Cond kW'!C49*(1-$C$6/($C$10+273))</f>
        <v>0</v>
      </c>
      <c r="F58" s="13"/>
      <c r="G58" s="13">
        <f>'Refrig Mass Flow &amp; Cond kW'!F49*$C$6*($G$19-$G$18)/1000</f>
        <v>0</v>
      </c>
      <c r="H58">
        <f>'Refrig Mass Flow &amp; Cond kW'!F49*$C$6*($G$17-$G$16)/1000</f>
        <v>0</v>
      </c>
      <c r="I58">
        <f>'Refrig Mass Flow &amp; Cond kW'!F49*(($G$13-$G$14)-$C$6*($G$17-$G$18)/1000)-'Refrig Mass Flow &amp; Cond kW'!E49*(1-$C$6/($G$10+273))</f>
        <v>0</v>
      </c>
    </row>
    <row r="59" spans="2:9" x14ac:dyDescent="0.2">
      <c r="B59" s="2">
        <v>36</v>
      </c>
      <c r="C59">
        <f>'Refrig Mass Flow &amp; Cond kW'!D50*$C$6*(($C$19-$C$18)/1000)</f>
        <v>0</v>
      </c>
      <c r="D59">
        <f>'Refrig Mass Flow &amp; Cond kW'!D50*Winter!$C$6*((Winter!$C$17-Winter!$C$16)/1000)</f>
        <v>0</v>
      </c>
      <c r="E59">
        <f>'Refrig Mass Flow &amp; Cond kW'!D50*(($C$13-$C$14)-$C$6*($C$17-$C$18)/1000)-'Refrig Mass Flow &amp; Cond kW'!C50*(1-$C$6/($C$10+273))</f>
        <v>0</v>
      </c>
      <c r="F59" s="13"/>
      <c r="G59" s="13">
        <f>'Refrig Mass Flow &amp; Cond kW'!F50*$C$6*($G$19-$G$18)/1000</f>
        <v>0</v>
      </c>
      <c r="H59">
        <f>'Refrig Mass Flow &amp; Cond kW'!F50*$C$6*($G$17-$G$16)/1000</f>
        <v>0</v>
      </c>
      <c r="I59">
        <f>'Refrig Mass Flow &amp; Cond kW'!F50*(($G$13-$G$14)-$C$6*($G$17-$G$18)/1000)-'Refrig Mass Flow &amp; Cond kW'!E50*(1-$C$6/($G$10+273))</f>
        <v>0</v>
      </c>
    </row>
    <row r="60" spans="2:9" x14ac:dyDescent="0.2">
      <c r="B60" s="2">
        <v>37</v>
      </c>
      <c r="C60">
        <f>'Refrig Mass Flow &amp; Cond kW'!D51*$C$6*(($C$19-$C$18)/1000)</f>
        <v>0</v>
      </c>
      <c r="D60">
        <f>'Refrig Mass Flow &amp; Cond kW'!D51*Winter!$C$6*((Winter!$C$17-Winter!$C$16)/1000)</f>
        <v>0</v>
      </c>
      <c r="E60">
        <f>'Refrig Mass Flow &amp; Cond kW'!D51*(($C$13-$C$14)-$C$6*($C$17-$C$18)/1000)-'Refrig Mass Flow &amp; Cond kW'!C51*(1-$C$6/($C$10+273))</f>
        <v>0</v>
      </c>
      <c r="F60" s="13"/>
      <c r="G60" s="13">
        <f>'Refrig Mass Flow &amp; Cond kW'!F51*$C$6*($G$19-$G$18)/1000</f>
        <v>0</v>
      </c>
      <c r="H60">
        <f>'Refrig Mass Flow &amp; Cond kW'!F51*$C$6*($G$17-$G$16)/1000</f>
        <v>0</v>
      </c>
      <c r="I60">
        <f>'Refrig Mass Flow &amp; Cond kW'!F51*(($G$13-$G$14)-$C$6*($G$17-$G$18)/1000)-'Refrig Mass Flow &amp; Cond kW'!E51*(1-$C$6/($G$10+273))</f>
        <v>0</v>
      </c>
    </row>
    <row r="61" spans="2:9" x14ac:dyDescent="0.2">
      <c r="B61" s="2">
        <v>38</v>
      </c>
      <c r="C61">
        <f>'Refrig Mass Flow &amp; Cond kW'!D52*$C$6*(($C$19-$C$18)/1000)</f>
        <v>0</v>
      </c>
      <c r="D61">
        <f>'Refrig Mass Flow &amp; Cond kW'!D52*Winter!$C$6*((Winter!$C$17-Winter!$C$16)/1000)</f>
        <v>0</v>
      </c>
      <c r="E61">
        <f>'Refrig Mass Flow &amp; Cond kW'!D52*(($C$13-$C$14)-$C$6*($C$17-$C$18)/1000)-'Refrig Mass Flow &amp; Cond kW'!C52*(1-$C$6/($C$10+273))</f>
        <v>0</v>
      </c>
      <c r="F61" s="13"/>
      <c r="G61" s="13">
        <f>'Refrig Mass Flow &amp; Cond kW'!F52*$C$6*($G$19-$G$18)/1000</f>
        <v>0</v>
      </c>
      <c r="H61">
        <f>'Refrig Mass Flow &amp; Cond kW'!F52*$C$6*($G$17-$G$16)/1000</f>
        <v>0</v>
      </c>
      <c r="I61">
        <f>'Refrig Mass Flow &amp; Cond kW'!F52*(($G$13-$G$14)-$C$6*($G$17-$G$18)/1000)-'Refrig Mass Flow &amp; Cond kW'!E52*(1-$C$6/($G$10+273))</f>
        <v>0</v>
      </c>
    </row>
    <row r="62" spans="2:9" x14ac:dyDescent="0.2">
      <c r="B62" s="2">
        <v>39</v>
      </c>
      <c r="C62">
        <f>'Refrig Mass Flow &amp; Cond kW'!D53*$C$6*(($C$19-$C$18)/1000)</f>
        <v>0</v>
      </c>
      <c r="D62">
        <f>'Refrig Mass Flow &amp; Cond kW'!D53*Winter!$C$6*((Winter!$C$17-Winter!$C$16)/1000)</f>
        <v>0</v>
      </c>
      <c r="E62">
        <f>'Refrig Mass Flow &amp; Cond kW'!D53*(($C$13-$C$14)-$C$6*($C$17-$C$18)/1000)-'Refrig Mass Flow &amp; Cond kW'!C53*(1-$C$6/($C$10+273))</f>
        <v>0</v>
      </c>
      <c r="F62" s="13"/>
      <c r="G62" s="13">
        <f>'Refrig Mass Flow &amp; Cond kW'!F53*$C$6*($G$19-$G$18)/1000</f>
        <v>0</v>
      </c>
      <c r="H62">
        <f>'Refrig Mass Flow &amp; Cond kW'!F53*$C$6*($G$17-$G$16)/1000</f>
        <v>0</v>
      </c>
      <c r="I62">
        <f>'Refrig Mass Flow &amp; Cond kW'!F53*(($G$13-$G$14)-$C$6*($G$17-$G$18)/1000)-'Refrig Mass Flow &amp; Cond kW'!E53*(1-$C$6/($G$10+273))</f>
        <v>0</v>
      </c>
    </row>
    <row r="63" spans="2:9" x14ac:dyDescent="0.2">
      <c r="B63" s="2">
        <v>40</v>
      </c>
      <c r="C63">
        <f>'Refrig Mass Flow &amp; Cond kW'!D54*$C$6*(($C$19-$C$18)/1000)</f>
        <v>0</v>
      </c>
      <c r="D63">
        <f>'Refrig Mass Flow &amp; Cond kW'!D54*Winter!$C$6*((Winter!$C$17-Winter!$C$16)/1000)</f>
        <v>0</v>
      </c>
      <c r="E63">
        <f>'Refrig Mass Flow &amp; Cond kW'!D54*(($C$13-$C$14)-$C$6*($C$17-$C$18)/1000)-'Refrig Mass Flow &amp; Cond kW'!C54*(1-$C$6/($C$10+273))</f>
        <v>0</v>
      </c>
      <c r="F63" s="13"/>
      <c r="G63" s="13">
        <f>'Refrig Mass Flow &amp; Cond kW'!F54*$C$6*($G$19-$G$18)/1000</f>
        <v>0</v>
      </c>
      <c r="H63">
        <f>'Refrig Mass Flow &amp; Cond kW'!F54*$C$6*($G$17-$G$16)/1000</f>
        <v>0</v>
      </c>
      <c r="I63">
        <f>'Refrig Mass Flow &amp; Cond kW'!F54*(($G$13-$G$14)-$C$6*($G$17-$G$18)/1000)-'Refrig Mass Flow &amp; Cond kW'!E54*(1-$C$6/($G$10+273))</f>
        <v>0</v>
      </c>
    </row>
    <row r="64" spans="2:9" x14ac:dyDescent="0.2">
      <c r="B64" s="2">
        <v>41</v>
      </c>
      <c r="C64">
        <f>'Refrig Mass Flow &amp; Cond kW'!D55*$C$6*(($C$19-$C$18)/1000)</f>
        <v>0</v>
      </c>
      <c r="D64">
        <f>'Refrig Mass Flow &amp; Cond kW'!D55*Winter!$C$6*((Winter!$C$17-Winter!$C$16)/1000)</f>
        <v>0</v>
      </c>
      <c r="E64">
        <f>'Refrig Mass Flow &amp; Cond kW'!D55*(($C$13-$C$14)-$C$6*($C$17-$C$18)/1000)-'Refrig Mass Flow &amp; Cond kW'!C55*(1-$C$6/($C$10+273))</f>
        <v>0</v>
      </c>
      <c r="F64" s="13"/>
      <c r="G64" s="13">
        <f>'Refrig Mass Flow &amp; Cond kW'!F55*$C$6*($G$19-$G$18)/1000</f>
        <v>0</v>
      </c>
      <c r="H64">
        <f>'Refrig Mass Flow &amp; Cond kW'!F55*$C$6*($G$17-$G$16)/1000</f>
        <v>0</v>
      </c>
      <c r="I64">
        <f>'Refrig Mass Flow &amp; Cond kW'!F55*(($G$13-$G$14)-$C$6*($G$17-$G$18)/1000)-'Refrig Mass Flow &amp; Cond kW'!E55*(1-$C$6/($G$10+273))</f>
        <v>0</v>
      </c>
    </row>
    <row r="65" spans="2:9" x14ac:dyDescent="0.2">
      <c r="B65" s="2">
        <v>42</v>
      </c>
      <c r="C65">
        <f>'Refrig Mass Flow &amp; Cond kW'!D56*$C$6*(($C$19-$C$18)/1000)</f>
        <v>0</v>
      </c>
      <c r="D65">
        <f>'Refrig Mass Flow &amp; Cond kW'!D56*Winter!$C$6*((Winter!$C$17-Winter!$C$16)/1000)</f>
        <v>0</v>
      </c>
      <c r="E65">
        <f>'Refrig Mass Flow &amp; Cond kW'!D56*(($C$13-$C$14)-$C$6*($C$17-$C$18)/1000)-'Refrig Mass Flow &amp; Cond kW'!C56*(1-$C$6/($C$10+273))</f>
        <v>0</v>
      </c>
      <c r="F65" s="13"/>
      <c r="G65" s="13">
        <f>'Refrig Mass Flow &amp; Cond kW'!F56*$C$6*($G$19-$G$18)/1000</f>
        <v>0</v>
      </c>
      <c r="H65">
        <f>'Refrig Mass Flow &amp; Cond kW'!F56*$C$6*($G$17-$G$16)/1000</f>
        <v>0</v>
      </c>
      <c r="I65">
        <f>'Refrig Mass Flow &amp; Cond kW'!F56*(($G$13-$G$14)-$C$6*($G$17-$G$18)/1000)-'Refrig Mass Flow &amp; Cond kW'!E56*(1-$C$6/($G$10+273))</f>
        <v>0</v>
      </c>
    </row>
    <row r="66" spans="2:9" x14ac:dyDescent="0.2">
      <c r="B66" s="2">
        <v>43</v>
      </c>
      <c r="C66">
        <f>'Refrig Mass Flow &amp; Cond kW'!D57*$C$6*(($C$19-$C$18)/1000)</f>
        <v>0</v>
      </c>
      <c r="D66">
        <f>'Refrig Mass Flow &amp; Cond kW'!D57*Winter!$C$6*((Winter!$C$17-Winter!$C$16)/1000)</f>
        <v>0</v>
      </c>
      <c r="E66">
        <f>'Refrig Mass Flow &amp; Cond kW'!D57*(($C$13-$C$14)-$C$6*($C$17-$C$18)/1000)-'Refrig Mass Flow &amp; Cond kW'!C57*(1-$C$6/($C$10+273))</f>
        <v>0</v>
      </c>
      <c r="F66" s="13"/>
      <c r="G66" s="13">
        <f>'Refrig Mass Flow &amp; Cond kW'!F57*$C$6*($G$19-$G$18)/1000</f>
        <v>0</v>
      </c>
      <c r="H66">
        <f>'Refrig Mass Flow &amp; Cond kW'!F57*$C$6*($G$17-$G$16)/1000</f>
        <v>0</v>
      </c>
      <c r="I66">
        <f>'Refrig Mass Flow &amp; Cond kW'!F57*(($G$13-$G$14)-$C$6*($G$17-$G$18)/1000)-'Refrig Mass Flow &amp; Cond kW'!E57*(1-$C$6/($G$10+273))</f>
        <v>0</v>
      </c>
    </row>
    <row r="67" spans="2:9" x14ac:dyDescent="0.2">
      <c r="B67" s="2">
        <v>44</v>
      </c>
      <c r="C67">
        <f>'Refrig Mass Flow &amp; Cond kW'!D58*$C$6*(($C$19-$C$18)/1000)</f>
        <v>0</v>
      </c>
      <c r="D67">
        <f>'Refrig Mass Flow &amp; Cond kW'!D58*Winter!$C$6*((Winter!$C$17-Winter!$C$16)/1000)</f>
        <v>0</v>
      </c>
      <c r="E67">
        <f>'Refrig Mass Flow &amp; Cond kW'!D58*(($C$13-$C$14)-$C$6*($C$17-$C$18)/1000)-'Refrig Mass Flow &amp; Cond kW'!C58*(1-$C$6/($C$10+273))</f>
        <v>0</v>
      </c>
      <c r="F67" s="13"/>
      <c r="G67" s="13">
        <f>'Refrig Mass Flow &amp; Cond kW'!F58*$C$6*($G$19-$G$18)/1000</f>
        <v>0</v>
      </c>
      <c r="H67">
        <f>'Refrig Mass Flow &amp; Cond kW'!F58*$C$6*($G$17-$G$16)/1000</f>
        <v>0</v>
      </c>
      <c r="I67">
        <f>'Refrig Mass Flow &amp; Cond kW'!F58*(($G$13-$G$14)-$C$6*($G$17-$G$18)/1000)-'Refrig Mass Flow &amp; Cond kW'!E58*(1-$C$6/($G$10+273))</f>
        <v>0</v>
      </c>
    </row>
    <row r="68" spans="2:9" x14ac:dyDescent="0.2">
      <c r="B68" s="2">
        <v>45</v>
      </c>
      <c r="C68">
        <f>'Refrig Mass Flow &amp; Cond kW'!D59*$C$6*(($C$19-$C$18)/1000)</f>
        <v>0</v>
      </c>
      <c r="D68">
        <f>'Refrig Mass Flow &amp; Cond kW'!D59*Winter!$C$6*((Winter!$C$17-Winter!$C$16)/1000)</f>
        <v>0</v>
      </c>
      <c r="E68">
        <f>'Refrig Mass Flow &amp; Cond kW'!D59*(($C$13-$C$14)-$C$6*($C$17-$C$18)/1000)-'Refrig Mass Flow &amp; Cond kW'!C59*(1-$C$6/($C$10+273))</f>
        <v>0</v>
      </c>
      <c r="F68" s="13"/>
      <c r="G68" s="13">
        <f>'Refrig Mass Flow &amp; Cond kW'!F59*$C$6*($G$19-$G$18)/1000</f>
        <v>0</v>
      </c>
      <c r="H68">
        <f>'Refrig Mass Flow &amp; Cond kW'!F59*$C$6*($G$17-$G$16)/1000</f>
        <v>0</v>
      </c>
      <c r="I68">
        <f>'Refrig Mass Flow &amp; Cond kW'!F59*(($G$13-$G$14)-$C$6*($G$17-$G$18)/1000)-'Refrig Mass Flow &amp; Cond kW'!E59*(1-$C$6/($G$10+273))</f>
        <v>0</v>
      </c>
    </row>
    <row r="69" spans="2:9" x14ac:dyDescent="0.2">
      <c r="B69" s="2">
        <v>46</v>
      </c>
      <c r="C69">
        <f>'Refrig Mass Flow &amp; Cond kW'!D60*$C$6*(($C$19-$C$18)/1000)</f>
        <v>0</v>
      </c>
      <c r="D69">
        <f>'Refrig Mass Flow &amp; Cond kW'!D60*Winter!$C$6*((Winter!$C$17-Winter!$C$16)/1000)</f>
        <v>0</v>
      </c>
      <c r="E69">
        <f>'Refrig Mass Flow &amp; Cond kW'!D60*(($C$13-$C$14)-$C$6*($C$17-$C$18)/1000)-'Refrig Mass Flow &amp; Cond kW'!C60*(1-$C$6/($C$10+273))</f>
        <v>0</v>
      </c>
      <c r="F69" s="13"/>
      <c r="G69" s="13">
        <f>'Refrig Mass Flow &amp; Cond kW'!F60*$C$6*($G$19-$G$18)/1000</f>
        <v>0</v>
      </c>
      <c r="H69">
        <f>'Refrig Mass Flow &amp; Cond kW'!F60*$C$6*($G$17-$G$16)/1000</f>
        <v>0</v>
      </c>
      <c r="I69">
        <f>'Refrig Mass Flow &amp; Cond kW'!F60*(($G$13-$G$14)-$C$6*($G$17-$G$18)/1000)-'Refrig Mass Flow &amp; Cond kW'!E60*(1-$C$6/($G$10+273))</f>
        <v>0</v>
      </c>
    </row>
    <row r="70" spans="2:9" x14ac:dyDescent="0.2">
      <c r="B70" s="2">
        <v>47</v>
      </c>
      <c r="C70">
        <f>'Refrig Mass Flow &amp; Cond kW'!D61*$C$6*(($C$19-$C$18)/1000)</f>
        <v>0</v>
      </c>
      <c r="D70">
        <f>'Refrig Mass Flow &amp; Cond kW'!D61*Winter!$C$6*((Winter!$C$17-Winter!$C$16)/1000)</f>
        <v>0</v>
      </c>
      <c r="E70">
        <f>'Refrig Mass Flow &amp; Cond kW'!D61*(($C$13-$C$14)-$C$6*($C$17-$C$18)/1000)-'Refrig Mass Flow &amp; Cond kW'!C61*(1-$C$6/($C$10+273))</f>
        <v>0</v>
      </c>
      <c r="F70" s="13"/>
      <c r="G70" s="13">
        <f>'Refrig Mass Flow &amp; Cond kW'!F61*$C$6*($G$19-$G$18)/1000</f>
        <v>0</v>
      </c>
      <c r="H70">
        <f>'Refrig Mass Flow &amp; Cond kW'!F61*$C$6*($G$17-$G$16)/1000</f>
        <v>0</v>
      </c>
      <c r="I70">
        <f>'Refrig Mass Flow &amp; Cond kW'!F61*(($G$13-$G$14)-$C$6*($G$17-$G$18)/1000)-'Refrig Mass Flow &amp; Cond kW'!E61*(1-$C$6/($G$10+273))</f>
        <v>0</v>
      </c>
    </row>
    <row r="71" spans="2:9" x14ac:dyDescent="0.2">
      <c r="B71" s="2">
        <v>48</v>
      </c>
      <c r="C71">
        <f>'Refrig Mass Flow &amp; Cond kW'!D62*$C$6*(($C$19-$C$18)/1000)</f>
        <v>0</v>
      </c>
      <c r="D71">
        <f>'Refrig Mass Flow &amp; Cond kW'!D62*Winter!$C$6*((Winter!$C$17-Winter!$C$16)/1000)</f>
        <v>0</v>
      </c>
      <c r="E71">
        <f>'Refrig Mass Flow &amp; Cond kW'!D62*(($C$13-$C$14)-$C$6*($C$17-$C$18)/1000)-'Refrig Mass Flow &amp; Cond kW'!C62*(1-$C$6/($C$10+273))</f>
        <v>0</v>
      </c>
      <c r="F71" s="13"/>
      <c r="G71" s="13">
        <f>'Refrig Mass Flow &amp; Cond kW'!F62*$C$6*($G$19-$G$18)/1000</f>
        <v>0</v>
      </c>
      <c r="H71">
        <f>'Refrig Mass Flow &amp; Cond kW'!F62*$C$6*($G$17-$G$16)/1000</f>
        <v>0</v>
      </c>
      <c r="I71">
        <f>'Refrig Mass Flow &amp; Cond kW'!F62*(($G$13-$G$14)-$C$6*($G$17-$G$18)/1000)-'Refrig Mass Flow &amp; Cond kW'!E62*(1-$C$6/($G$10+273))</f>
        <v>0</v>
      </c>
    </row>
    <row r="72" spans="2:9" x14ac:dyDescent="0.2">
      <c r="B72" s="2">
        <v>49</v>
      </c>
      <c r="C72">
        <f>'Refrig Mass Flow &amp; Cond kW'!D63*$C$6*(($C$19-$C$18)/1000)</f>
        <v>0</v>
      </c>
      <c r="D72">
        <f>'Refrig Mass Flow &amp; Cond kW'!D63*Winter!$C$6*((Winter!$C$17-Winter!$C$16)/1000)</f>
        <v>0</v>
      </c>
      <c r="E72">
        <f>'Refrig Mass Flow &amp; Cond kW'!D63*(($C$13-$C$14)-$C$6*($C$17-$C$18)/1000)-'Refrig Mass Flow &amp; Cond kW'!C63*(1-$C$6/($C$10+273))</f>
        <v>0</v>
      </c>
      <c r="F72" s="13"/>
      <c r="G72" s="13">
        <f>'Refrig Mass Flow &amp; Cond kW'!F63*$C$6*($G$19-$G$18)/1000</f>
        <v>0</v>
      </c>
      <c r="H72">
        <f>'Refrig Mass Flow &amp; Cond kW'!F63*$C$6*($G$17-$G$16)/1000</f>
        <v>0</v>
      </c>
      <c r="I72">
        <f>'Refrig Mass Flow &amp; Cond kW'!F63*(($G$13-$G$14)-$C$6*($G$17-$G$18)/1000)-'Refrig Mass Flow &amp; Cond kW'!E63*(1-$C$6/($G$10+273))</f>
        <v>0</v>
      </c>
    </row>
    <row r="73" spans="2:9" x14ac:dyDescent="0.2">
      <c r="B73" s="2">
        <v>50</v>
      </c>
      <c r="C73">
        <f>'Refrig Mass Flow &amp; Cond kW'!D64*$C$6*(($C$19-$C$18)/1000)</f>
        <v>0</v>
      </c>
      <c r="D73">
        <f>'Refrig Mass Flow &amp; Cond kW'!D64*Winter!$C$6*((Winter!$C$17-Winter!$C$16)/1000)</f>
        <v>0</v>
      </c>
      <c r="E73">
        <f>'Refrig Mass Flow &amp; Cond kW'!D64*(($C$13-$C$14)-$C$6*($C$17-$C$18)/1000)-'Refrig Mass Flow &amp; Cond kW'!C64*(1-$C$6/($C$10+273))</f>
        <v>0</v>
      </c>
      <c r="F73" s="13"/>
      <c r="G73" s="13">
        <f>'Refrig Mass Flow &amp; Cond kW'!F64*$C$6*($G$19-$G$18)/1000</f>
        <v>0</v>
      </c>
      <c r="H73">
        <f>'Refrig Mass Flow &amp; Cond kW'!F64*$C$6*($G$17-$G$16)/1000</f>
        <v>0</v>
      </c>
      <c r="I73">
        <f>'Refrig Mass Flow &amp; Cond kW'!F64*(($G$13-$G$14)-$C$6*($G$17-$G$18)/1000)-'Refrig Mass Flow &amp; Cond kW'!E64*(1-$C$6/($G$10+273))</f>
        <v>0</v>
      </c>
    </row>
    <row r="74" spans="2:9" x14ac:dyDescent="0.2">
      <c r="B74" s="2">
        <v>51</v>
      </c>
      <c r="C74">
        <f>'Refrig Mass Flow &amp; Cond kW'!D65*$C$6*(($C$19-$C$18)/1000)</f>
        <v>0</v>
      </c>
      <c r="D74">
        <f>'Refrig Mass Flow &amp; Cond kW'!D65*Winter!$C$6*((Winter!$C$17-Winter!$C$16)/1000)</f>
        <v>0</v>
      </c>
      <c r="E74">
        <f>'Refrig Mass Flow &amp; Cond kW'!D65*(($C$13-$C$14)-$C$6*($C$17-$C$18)/1000)-'Refrig Mass Flow &amp; Cond kW'!C65*(1-$C$6/($C$10+273))</f>
        <v>0</v>
      </c>
      <c r="F74" s="13"/>
      <c r="G74" s="13">
        <f>'Refrig Mass Flow &amp; Cond kW'!F65*$C$6*($G$19-$G$18)/1000</f>
        <v>0</v>
      </c>
      <c r="H74">
        <f>'Refrig Mass Flow &amp; Cond kW'!F65*$C$6*($G$17-$G$16)/1000</f>
        <v>0</v>
      </c>
      <c r="I74">
        <f>'Refrig Mass Flow &amp; Cond kW'!F65*(($G$13-$G$14)-$C$6*($G$17-$G$18)/1000)-'Refrig Mass Flow &amp; Cond kW'!E65*(1-$C$6/($G$10+273))</f>
        <v>0</v>
      </c>
    </row>
    <row r="75" spans="2:9" x14ac:dyDescent="0.2">
      <c r="B75" s="2">
        <v>52</v>
      </c>
      <c r="C75">
        <f>'Refrig Mass Flow &amp; Cond kW'!D66*$C$6*(($C$19-$C$18)/1000)</f>
        <v>0</v>
      </c>
      <c r="D75">
        <f>'Refrig Mass Flow &amp; Cond kW'!D66*Winter!$C$6*((Winter!$C$17-Winter!$C$16)/1000)</f>
        <v>0</v>
      </c>
      <c r="E75">
        <f>'Refrig Mass Flow &amp; Cond kW'!D66*(($C$13-$C$14)-$C$6*($C$17-$C$18)/1000)-'Refrig Mass Flow &amp; Cond kW'!C66*(1-$C$6/($C$10+273))</f>
        <v>0</v>
      </c>
      <c r="F75" s="13"/>
      <c r="G75" s="13">
        <f>'Refrig Mass Flow &amp; Cond kW'!F66*$C$6*($G$19-$G$18)/1000</f>
        <v>0</v>
      </c>
      <c r="H75">
        <f>'Refrig Mass Flow &amp; Cond kW'!F66*$C$6*($G$17-$G$16)/1000</f>
        <v>0</v>
      </c>
      <c r="I75">
        <f>'Refrig Mass Flow &amp; Cond kW'!F66*(($G$13-$G$14)-$C$6*($G$17-$G$18)/1000)-'Refrig Mass Flow &amp; Cond kW'!E66*(1-$C$6/($G$10+273))</f>
        <v>0</v>
      </c>
    </row>
    <row r="76" spans="2:9" x14ac:dyDescent="0.2">
      <c r="B76" s="2">
        <v>53</v>
      </c>
      <c r="C76">
        <f>'Refrig Mass Flow &amp; Cond kW'!D67*$C$6*(($C$19-$C$18)/1000)</f>
        <v>0</v>
      </c>
      <c r="D76">
        <f>'Refrig Mass Flow &amp; Cond kW'!D67*Winter!$C$6*((Winter!$C$17-Winter!$C$16)/1000)</f>
        <v>0</v>
      </c>
      <c r="E76">
        <f>'Refrig Mass Flow &amp; Cond kW'!D67*(($C$13-$C$14)-$C$6*($C$17-$C$18)/1000)-'Refrig Mass Flow &amp; Cond kW'!C67*(1-$C$6/($C$10+273))</f>
        <v>0</v>
      </c>
      <c r="F76" s="13"/>
      <c r="G76" s="13">
        <f>'Refrig Mass Flow &amp; Cond kW'!F67*$C$6*($G$19-$G$18)/1000</f>
        <v>0</v>
      </c>
      <c r="H76">
        <f>'Refrig Mass Flow &amp; Cond kW'!F67*$C$6*($G$17-$G$16)/1000</f>
        <v>0</v>
      </c>
      <c r="I76">
        <f>'Refrig Mass Flow &amp; Cond kW'!F67*(($G$13-$G$14)-$C$6*($G$17-$G$18)/1000)-'Refrig Mass Flow &amp; Cond kW'!E67*(1-$C$6/($G$10+273))</f>
        <v>0</v>
      </c>
    </row>
    <row r="77" spans="2:9" x14ac:dyDescent="0.2">
      <c r="B77" s="2">
        <v>54</v>
      </c>
      <c r="C77">
        <f>'Refrig Mass Flow &amp; Cond kW'!D68*$C$6*(($C$19-$C$18)/1000)</f>
        <v>0</v>
      </c>
      <c r="D77">
        <f>'Refrig Mass Flow &amp; Cond kW'!D68*Winter!$C$6*((Winter!$C$17-Winter!$C$16)/1000)</f>
        <v>0</v>
      </c>
      <c r="E77">
        <f>'Refrig Mass Flow &amp; Cond kW'!D68*(($C$13-$C$14)-$C$6*($C$17-$C$18)/1000)-'Refrig Mass Flow &amp; Cond kW'!C68*(1-$C$6/($C$10+273))</f>
        <v>0</v>
      </c>
      <c r="F77" s="13"/>
      <c r="G77" s="13">
        <f>'Refrig Mass Flow &amp; Cond kW'!F68*$C$6*($G$19-$G$18)/1000</f>
        <v>0</v>
      </c>
      <c r="H77">
        <f>'Refrig Mass Flow &amp; Cond kW'!F68*$C$6*($G$17-$G$16)/1000</f>
        <v>0</v>
      </c>
      <c r="I77">
        <f>'Refrig Mass Flow &amp; Cond kW'!F68*(($G$13-$G$14)-$C$6*($G$17-$G$18)/1000)-'Refrig Mass Flow &amp; Cond kW'!E68*(1-$C$6/($G$10+273))</f>
        <v>0</v>
      </c>
    </row>
    <row r="78" spans="2:9" x14ac:dyDescent="0.2">
      <c r="B78" s="2">
        <v>55</v>
      </c>
      <c r="C78">
        <f>'Refrig Mass Flow &amp; Cond kW'!D69*$C$6*(($C$19-$C$18)/1000)</f>
        <v>0</v>
      </c>
      <c r="D78">
        <f>'Refrig Mass Flow &amp; Cond kW'!D69*Winter!$C$6*((Winter!$C$17-Winter!$C$16)/1000)</f>
        <v>0</v>
      </c>
      <c r="E78">
        <f>'Refrig Mass Flow &amp; Cond kW'!D69*(($C$13-$C$14)-$C$6*($C$17-$C$18)/1000)-'Refrig Mass Flow &amp; Cond kW'!C69*(1-$C$6/($C$10+273))</f>
        <v>0</v>
      </c>
      <c r="F78" s="13"/>
      <c r="G78" s="13">
        <f>'Refrig Mass Flow &amp; Cond kW'!F69*$C$6*($G$19-$G$18)/1000</f>
        <v>0</v>
      </c>
      <c r="H78">
        <f>'Refrig Mass Flow &amp; Cond kW'!F69*$C$6*($G$17-$G$16)/1000</f>
        <v>0</v>
      </c>
      <c r="I78">
        <f>'Refrig Mass Flow &amp; Cond kW'!F69*(($G$13-$G$14)-$C$6*($G$17-$G$18)/1000)-'Refrig Mass Flow &amp; Cond kW'!E69*(1-$C$6/($G$10+273))</f>
        <v>0</v>
      </c>
    </row>
    <row r="79" spans="2:9" x14ac:dyDescent="0.2">
      <c r="B79" s="2">
        <v>56</v>
      </c>
      <c r="C79">
        <f>'Refrig Mass Flow &amp; Cond kW'!D70*$C$6*(($C$19-$C$18)/1000)</f>
        <v>0</v>
      </c>
      <c r="D79">
        <f>'Refrig Mass Flow &amp; Cond kW'!D70*Winter!$C$6*((Winter!$C$17-Winter!$C$16)/1000)</f>
        <v>0</v>
      </c>
      <c r="E79">
        <f>'Refrig Mass Flow &amp; Cond kW'!D70*(($C$13-$C$14)-$C$6*($C$17-$C$18)/1000)-'Refrig Mass Flow &amp; Cond kW'!C70*(1-$C$6/($C$10+273))</f>
        <v>0</v>
      </c>
      <c r="F79" s="13"/>
      <c r="G79" s="13">
        <f>'Refrig Mass Flow &amp; Cond kW'!F70*$C$6*($G$19-$G$18)/1000</f>
        <v>0</v>
      </c>
      <c r="H79">
        <f>'Refrig Mass Flow &amp; Cond kW'!F70*$C$6*($G$17-$G$16)/1000</f>
        <v>0</v>
      </c>
      <c r="I79">
        <f>'Refrig Mass Flow &amp; Cond kW'!F70*(($G$13-$G$14)-$C$6*($G$17-$G$18)/1000)-'Refrig Mass Flow &amp; Cond kW'!E70*(1-$C$6/($G$10+273))</f>
        <v>0</v>
      </c>
    </row>
    <row r="80" spans="2:9" x14ac:dyDescent="0.2">
      <c r="B80" s="2">
        <v>57</v>
      </c>
      <c r="C80">
        <f>'Refrig Mass Flow &amp; Cond kW'!D71*$C$6*(($C$19-$C$18)/1000)</f>
        <v>0</v>
      </c>
      <c r="D80">
        <f>'Refrig Mass Flow &amp; Cond kW'!D71*Winter!$C$6*((Winter!$C$17-Winter!$C$16)/1000)</f>
        <v>0</v>
      </c>
      <c r="E80">
        <f>'Refrig Mass Flow &amp; Cond kW'!D71*(($C$13-$C$14)-$C$6*($C$17-$C$18)/1000)-'Refrig Mass Flow &amp; Cond kW'!C71*(1-$C$6/($C$10+273))</f>
        <v>0</v>
      </c>
      <c r="F80" s="13"/>
      <c r="G80" s="13">
        <f>'Refrig Mass Flow &amp; Cond kW'!F71*$C$6*($G$19-$G$18)/1000</f>
        <v>0</v>
      </c>
      <c r="H80">
        <f>'Refrig Mass Flow &amp; Cond kW'!F71*$C$6*($G$17-$G$16)/1000</f>
        <v>0</v>
      </c>
      <c r="I80">
        <f>'Refrig Mass Flow &amp; Cond kW'!F71*(($G$13-$G$14)-$C$6*($G$17-$G$18)/1000)-'Refrig Mass Flow &amp; Cond kW'!E71*(1-$C$6/($G$10+273))</f>
        <v>0</v>
      </c>
    </row>
    <row r="81" spans="2:9" x14ac:dyDescent="0.2">
      <c r="B81" s="2">
        <v>58</v>
      </c>
      <c r="C81">
        <f>'Refrig Mass Flow &amp; Cond kW'!D72*$C$6*(($C$19-$C$18)/1000)</f>
        <v>0</v>
      </c>
      <c r="D81">
        <f>'Refrig Mass Flow &amp; Cond kW'!D72*Winter!$C$6*((Winter!$C$17-Winter!$C$16)/1000)</f>
        <v>0</v>
      </c>
      <c r="E81">
        <f>'Refrig Mass Flow &amp; Cond kW'!D72*(($C$13-$C$14)-$C$6*($C$17-$C$18)/1000)-'Refrig Mass Flow &amp; Cond kW'!C72*(1-$C$6/($C$10+273))</f>
        <v>0</v>
      </c>
      <c r="F81" s="13"/>
      <c r="G81" s="13">
        <f>'Refrig Mass Flow &amp; Cond kW'!F72*$C$6*($G$19-$G$18)/1000</f>
        <v>0</v>
      </c>
      <c r="H81">
        <f>'Refrig Mass Flow &amp; Cond kW'!F72*$C$6*($G$17-$G$16)/1000</f>
        <v>0</v>
      </c>
      <c r="I81">
        <f>'Refrig Mass Flow &amp; Cond kW'!F72*(($G$13-$G$14)-$C$6*($G$17-$G$18)/1000)-'Refrig Mass Flow &amp; Cond kW'!E72*(1-$C$6/($G$10+273))</f>
        <v>0</v>
      </c>
    </row>
    <row r="82" spans="2:9" x14ac:dyDescent="0.2">
      <c r="B82" s="2">
        <v>59</v>
      </c>
      <c r="C82">
        <f>'Refrig Mass Flow &amp; Cond kW'!D73*$C$6*(($C$19-$C$18)/1000)</f>
        <v>0</v>
      </c>
      <c r="D82">
        <f>'Refrig Mass Flow &amp; Cond kW'!D73*Winter!$C$6*((Winter!$C$17-Winter!$C$16)/1000)</f>
        <v>0</v>
      </c>
      <c r="E82">
        <f>'Refrig Mass Flow &amp; Cond kW'!D73*(($C$13-$C$14)-$C$6*($C$17-$C$18)/1000)-'Refrig Mass Flow &amp; Cond kW'!C73*(1-$C$6/($C$10+273))</f>
        <v>0</v>
      </c>
      <c r="F82" s="13"/>
      <c r="G82" s="13">
        <f>'Refrig Mass Flow &amp; Cond kW'!F73*$C$6*($G$19-$G$18)/1000</f>
        <v>0</v>
      </c>
      <c r="H82">
        <f>'Refrig Mass Flow &amp; Cond kW'!F73*$C$6*($G$17-$G$16)/1000</f>
        <v>0</v>
      </c>
      <c r="I82">
        <f>'Refrig Mass Flow &amp; Cond kW'!F73*(($G$13-$G$14)-$C$6*($G$17-$G$18)/1000)-'Refrig Mass Flow &amp; Cond kW'!E73*(1-$C$6/($G$10+273))</f>
        <v>0</v>
      </c>
    </row>
    <row r="83" spans="2:9" x14ac:dyDescent="0.2">
      <c r="B83" s="2">
        <v>60</v>
      </c>
      <c r="C83">
        <f>'Refrig Mass Flow &amp; Cond kW'!D74*$C$6*(($C$19-$C$18)/1000)</f>
        <v>0</v>
      </c>
      <c r="D83">
        <f>'Refrig Mass Flow &amp; Cond kW'!D74*Winter!$C$6*((Winter!$C$17-Winter!$C$16)/1000)</f>
        <v>0</v>
      </c>
      <c r="E83">
        <f>'Refrig Mass Flow &amp; Cond kW'!D74*(($C$13-$C$14)-$C$6*($C$17-$C$18)/1000)-'Refrig Mass Flow &amp; Cond kW'!C74*(1-$C$6/($C$10+273))</f>
        <v>0</v>
      </c>
      <c r="F83" s="13"/>
      <c r="G83" s="13">
        <f>'Refrig Mass Flow &amp; Cond kW'!F74*$C$6*($G$19-$G$18)/1000</f>
        <v>0</v>
      </c>
      <c r="H83">
        <f>'Refrig Mass Flow &amp; Cond kW'!F74*$C$6*($G$17-$G$16)/1000</f>
        <v>0</v>
      </c>
      <c r="I83">
        <f>'Refrig Mass Flow &amp; Cond kW'!F74*(($G$13-$G$14)-$C$6*($G$17-$G$18)/1000)-'Refrig Mass Flow &amp; Cond kW'!E74*(1-$C$6/($G$10+273))</f>
        <v>0</v>
      </c>
    </row>
    <row r="84" spans="2:9" x14ac:dyDescent="0.2">
      <c r="B84" s="2">
        <v>61</v>
      </c>
      <c r="C84">
        <f>'Refrig Mass Flow &amp; Cond kW'!D75*$C$6*(($C$19-$C$18)/1000)</f>
        <v>0</v>
      </c>
      <c r="D84">
        <f>'Refrig Mass Flow &amp; Cond kW'!D75*Winter!$C$6*((Winter!$C$17-Winter!$C$16)/1000)</f>
        <v>0</v>
      </c>
      <c r="E84">
        <f>'Refrig Mass Flow &amp; Cond kW'!D75*(($C$13-$C$14)-$C$6*($C$17-$C$18)/1000)-'Refrig Mass Flow &amp; Cond kW'!C75*(1-$C$6/($C$10+273))</f>
        <v>0</v>
      </c>
      <c r="F84" s="13"/>
      <c r="G84" s="13">
        <f>'Refrig Mass Flow &amp; Cond kW'!F75*$C$6*($G$19-$G$18)/1000</f>
        <v>0</v>
      </c>
      <c r="H84">
        <f>'Refrig Mass Flow &amp; Cond kW'!F75*$C$6*($G$17-$G$16)/1000</f>
        <v>0</v>
      </c>
      <c r="I84">
        <f>'Refrig Mass Flow &amp; Cond kW'!F75*(($G$13-$G$14)-$C$6*($G$17-$G$18)/1000)-'Refrig Mass Flow &amp; Cond kW'!E75*(1-$C$6/($G$10+273))</f>
        <v>0</v>
      </c>
    </row>
    <row r="85" spans="2:9" x14ac:dyDescent="0.2">
      <c r="B85" s="2">
        <v>62</v>
      </c>
      <c r="C85">
        <f>'Refrig Mass Flow &amp; Cond kW'!D76*$C$6*(($C$19-$C$18)/1000)</f>
        <v>0</v>
      </c>
      <c r="D85">
        <f>'Refrig Mass Flow &amp; Cond kW'!D76*Winter!$C$6*((Winter!$C$17-Winter!$C$16)/1000)</f>
        <v>0</v>
      </c>
      <c r="E85">
        <f>'Refrig Mass Flow &amp; Cond kW'!D76*(($C$13-$C$14)-$C$6*($C$17-$C$18)/1000)-'Refrig Mass Flow &amp; Cond kW'!C76*(1-$C$6/($C$10+273))</f>
        <v>0</v>
      </c>
      <c r="F85" s="13"/>
      <c r="G85" s="13">
        <f>'Refrig Mass Flow &amp; Cond kW'!F76*$C$6*($G$19-$G$18)/1000</f>
        <v>0</v>
      </c>
      <c r="H85">
        <f>'Refrig Mass Flow &amp; Cond kW'!F76*$C$6*($G$17-$G$16)/1000</f>
        <v>0</v>
      </c>
      <c r="I85">
        <f>'Refrig Mass Flow &amp; Cond kW'!F76*(($G$13-$G$14)-$C$6*($G$17-$G$18)/1000)-'Refrig Mass Flow &amp; Cond kW'!E76*(1-$C$6/($G$10+273))</f>
        <v>0</v>
      </c>
    </row>
    <row r="86" spans="2:9" x14ac:dyDescent="0.2">
      <c r="B86" s="2">
        <v>63</v>
      </c>
      <c r="C86">
        <f>'Refrig Mass Flow &amp; Cond kW'!D77*$C$6*(($C$19-$C$18)/1000)</f>
        <v>0</v>
      </c>
      <c r="D86">
        <f>'Refrig Mass Flow &amp; Cond kW'!D77*Winter!$C$6*((Winter!$C$17-Winter!$C$16)/1000)</f>
        <v>0</v>
      </c>
      <c r="E86">
        <f>'Refrig Mass Flow &amp; Cond kW'!D77*(($C$13-$C$14)-$C$6*($C$17-$C$18)/1000)-'Refrig Mass Flow &amp; Cond kW'!C77*(1-$C$6/($C$10+273))</f>
        <v>0</v>
      </c>
      <c r="F86" s="13"/>
      <c r="G86" s="13">
        <f>'Refrig Mass Flow &amp; Cond kW'!F77*$C$6*($G$19-$G$18)/1000</f>
        <v>0</v>
      </c>
      <c r="H86">
        <f>'Refrig Mass Flow &amp; Cond kW'!F77*$C$6*($G$17-$G$16)/1000</f>
        <v>0</v>
      </c>
      <c r="I86">
        <f>'Refrig Mass Flow &amp; Cond kW'!F77*(($G$13-$G$14)-$C$6*($G$17-$G$18)/1000)-'Refrig Mass Flow &amp; Cond kW'!E77*(1-$C$6/($G$10+273))</f>
        <v>0</v>
      </c>
    </row>
    <row r="87" spans="2:9" x14ac:dyDescent="0.2">
      <c r="B87" s="2">
        <v>64</v>
      </c>
      <c r="C87">
        <f>'Refrig Mass Flow &amp; Cond kW'!D78*$C$6*(($C$19-$C$18)/1000)</f>
        <v>0</v>
      </c>
      <c r="D87">
        <f>'Refrig Mass Flow &amp; Cond kW'!D78*Winter!$C$6*((Winter!$C$17-Winter!$C$16)/1000)</f>
        <v>0</v>
      </c>
      <c r="E87">
        <f>'Refrig Mass Flow &amp; Cond kW'!D78*(($C$13-$C$14)-$C$6*($C$17-$C$18)/1000)-'Refrig Mass Flow &amp; Cond kW'!C78*(1-$C$6/($C$10+273))</f>
        <v>0</v>
      </c>
      <c r="F87" s="13"/>
      <c r="G87" s="13">
        <f>'Refrig Mass Flow &amp; Cond kW'!F78*$C$6*($G$19-$G$18)/1000</f>
        <v>0</v>
      </c>
      <c r="H87">
        <f>'Refrig Mass Flow &amp; Cond kW'!F78*$C$6*($G$17-$G$16)/1000</f>
        <v>0</v>
      </c>
      <c r="I87">
        <f>'Refrig Mass Flow &amp; Cond kW'!F78*(($G$13-$G$14)-$C$6*($G$17-$G$18)/1000)-'Refrig Mass Flow &amp; Cond kW'!E78*(1-$C$6/($G$10+273))</f>
        <v>0</v>
      </c>
    </row>
    <row r="88" spans="2:9" x14ac:dyDescent="0.2">
      <c r="B88" s="2">
        <v>65</v>
      </c>
      <c r="C88">
        <f>'Refrig Mass Flow &amp; Cond kW'!D79*$C$6*(($C$19-$C$18)/1000)</f>
        <v>0</v>
      </c>
      <c r="D88">
        <f>'Refrig Mass Flow &amp; Cond kW'!D79*Winter!$C$6*((Winter!$C$17-Winter!$C$16)/1000)</f>
        <v>0</v>
      </c>
      <c r="E88">
        <f>'Refrig Mass Flow &amp; Cond kW'!D79*(($C$13-$C$14)-$C$6*($C$17-$C$18)/1000)-'Refrig Mass Flow &amp; Cond kW'!C79*(1-$C$6/($C$10+273))</f>
        <v>0</v>
      </c>
      <c r="F88" s="13"/>
      <c r="G88" s="13">
        <f>'Refrig Mass Flow &amp; Cond kW'!F79*$C$6*($G$19-$G$18)/1000</f>
        <v>0</v>
      </c>
      <c r="H88">
        <f>'Refrig Mass Flow &amp; Cond kW'!F79*$C$6*($G$17-$G$16)/1000</f>
        <v>0</v>
      </c>
      <c r="I88">
        <f>'Refrig Mass Flow &amp; Cond kW'!F79*(($G$13-$G$14)-$C$6*($G$17-$G$18)/1000)-'Refrig Mass Flow &amp; Cond kW'!E79*(1-$C$6/($G$10+273))</f>
        <v>0</v>
      </c>
    </row>
    <row r="89" spans="2:9" x14ac:dyDescent="0.2">
      <c r="B89" s="2">
        <v>66</v>
      </c>
      <c r="C89">
        <f>'Refrig Mass Flow &amp; Cond kW'!D80*$C$6*(($C$19-$C$18)/1000)</f>
        <v>0</v>
      </c>
      <c r="D89">
        <f>'Refrig Mass Flow &amp; Cond kW'!D80*Winter!$C$6*((Winter!$C$17-Winter!$C$16)/1000)</f>
        <v>0</v>
      </c>
      <c r="E89">
        <f>'Refrig Mass Flow &amp; Cond kW'!D80*(($C$13-$C$14)-$C$6*($C$17-$C$18)/1000)-'Refrig Mass Flow &amp; Cond kW'!C80*(1-$C$6/($C$10+273))</f>
        <v>0</v>
      </c>
      <c r="F89" s="13"/>
      <c r="G89" s="13">
        <f>'Refrig Mass Flow &amp; Cond kW'!F80*$C$6*($G$19-$G$18)/1000</f>
        <v>0</v>
      </c>
      <c r="H89">
        <f>'Refrig Mass Flow &amp; Cond kW'!F80*$C$6*($G$17-$G$16)/1000</f>
        <v>0</v>
      </c>
      <c r="I89">
        <f>'Refrig Mass Flow &amp; Cond kW'!F80*(($G$13-$G$14)-$C$6*($G$17-$G$18)/1000)-'Refrig Mass Flow &amp; Cond kW'!E80*(1-$C$6/($G$10+273))</f>
        <v>0</v>
      </c>
    </row>
    <row r="90" spans="2:9" x14ac:dyDescent="0.2">
      <c r="B90" s="2">
        <v>67</v>
      </c>
      <c r="C90">
        <f>'Refrig Mass Flow &amp; Cond kW'!D81*$C$6*(($C$19-$C$18)/1000)</f>
        <v>0</v>
      </c>
      <c r="D90">
        <f>'Refrig Mass Flow &amp; Cond kW'!D81*Winter!$C$6*((Winter!$C$17-Winter!$C$16)/1000)</f>
        <v>0</v>
      </c>
      <c r="E90">
        <f>'Refrig Mass Flow &amp; Cond kW'!D81*(($C$13-$C$14)-$C$6*($C$17-$C$18)/1000)-'Refrig Mass Flow &amp; Cond kW'!C81*(1-$C$6/($C$10+273))</f>
        <v>0</v>
      </c>
      <c r="F90" s="13"/>
      <c r="G90" s="13">
        <f>'Refrig Mass Flow &amp; Cond kW'!F81*$C$6*($G$19-$G$18)/1000</f>
        <v>0</v>
      </c>
      <c r="H90">
        <f>'Refrig Mass Flow &amp; Cond kW'!F81*$C$6*($G$17-$G$16)/1000</f>
        <v>0</v>
      </c>
      <c r="I90">
        <f>'Refrig Mass Flow &amp; Cond kW'!F81*(($G$13-$G$14)-$C$6*($G$17-$G$18)/1000)-'Refrig Mass Flow &amp; Cond kW'!E81*(1-$C$6/($G$10+273))</f>
        <v>0</v>
      </c>
    </row>
    <row r="91" spans="2:9" x14ac:dyDescent="0.2">
      <c r="B91" s="2">
        <v>68</v>
      </c>
      <c r="C91">
        <f>'Refrig Mass Flow &amp; Cond kW'!D82*$C$6*(($C$19-$C$18)/1000)</f>
        <v>0</v>
      </c>
      <c r="D91">
        <f>'Refrig Mass Flow &amp; Cond kW'!D82*Winter!$C$6*((Winter!$C$17-Winter!$C$16)/1000)</f>
        <v>0</v>
      </c>
      <c r="E91">
        <f>'Refrig Mass Flow &amp; Cond kW'!D82*(($C$13-$C$14)-$C$6*($C$17-$C$18)/1000)-'Refrig Mass Flow &amp; Cond kW'!C82*(1-$C$6/($C$10+273))</f>
        <v>0</v>
      </c>
      <c r="F91" s="13"/>
      <c r="G91" s="13">
        <f>'Refrig Mass Flow &amp; Cond kW'!F82*$C$6*($G$19-$G$18)/1000</f>
        <v>0</v>
      </c>
      <c r="H91">
        <f>'Refrig Mass Flow &amp; Cond kW'!F82*$C$6*($G$17-$G$16)/1000</f>
        <v>0</v>
      </c>
      <c r="I91">
        <f>'Refrig Mass Flow &amp; Cond kW'!F82*(($G$13-$G$14)-$C$6*($G$17-$G$18)/1000)-'Refrig Mass Flow &amp; Cond kW'!E82*(1-$C$6/($G$10+273))</f>
        <v>0</v>
      </c>
    </row>
    <row r="92" spans="2:9" x14ac:dyDescent="0.2">
      <c r="B92" s="2">
        <v>69</v>
      </c>
      <c r="C92">
        <f>'Refrig Mass Flow &amp; Cond kW'!D83*$C$6*(($C$19-$C$18)/1000)</f>
        <v>0</v>
      </c>
      <c r="D92">
        <f>'Refrig Mass Flow &amp; Cond kW'!D83*Winter!$C$6*((Winter!$C$17-Winter!$C$16)/1000)</f>
        <v>0</v>
      </c>
      <c r="E92">
        <f>'Refrig Mass Flow &amp; Cond kW'!D83*(($C$13-$C$14)-$C$6*($C$17-$C$18)/1000)-'Refrig Mass Flow &amp; Cond kW'!C83*(1-$C$6/($C$10+273))</f>
        <v>0</v>
      </c>
      <c r="F92" s="13"/>
      <c r="G92" s="13">
        <f>'Refrig Mass Flow &amp; Cond kW'!F83*$C$6*($G$19-$G$18)/1000</f>
        <v>0</v>
      </c>
      <c r="H92">
        <f>'Refrig Mass Flow &amp; Cond kW'!F83*$C$6*($G$17-$G$16)/1000</f>
        <v>0</v>
      </c>
      <c r="I92">
        <f>'Refrig Mass Flow &amp; Cond kW'!F83*(($G$13-$G$14)-$C$6*($G$17-$G$18)/1000)-'Refrig Mass Flow &amp; Cond kW'!E83*(1-$C$6/($G$10+273))</f>
        <v>0</v>
      </c>
    </row>
    <row r="93" spans="2:9" x14ac:dyDescent="0.2">
      <c r="B93" s="2">
        <v>70</v>
      </c>
      <c r="C93">
        <f>'Refrig Mass Flow &amp; Cond kW'!D84*$C$6*(($C$19-$C$18)/1000)</f>
        <v>0</v>
      </c>
      <c r="D93">
        <f>'Refrig Mass Flow &amp; Cond kW'!D84*Winter!$C$6*((Winter!$C$17-Winter!$C$16)/1000)</f>
        <v>0</v>
      </c>
      <c r="E93">
        <f>'Refrig Mass Flow &amp; Cond kW'!D84*(($C$13-$C$14)-$C$6*($C$17-$C$18)/1000)-'Refrig Mass Flow &amp; Cond kW'!C84*(1-$C$6/($C$10+273))</f>
        <v>0</v>
      </c>
      <c r="F93" s="13"/>
      <c r="G93" s="13">
        <f>'Refrig Mass Flow &amp; Cond kW'!F84*$C$6*($G$19-$G$18)/1000</f>
        <v>0</v>
      </c>
      <c r="H93">
        <f>'Refrig Mass Flow &amp; Cond kW'!F84*$C$6*($G$17-$G$16)/1000</f>
        <v>0</v>
      </c>
      <c r="I93">
        <f>'Refrig Mass Flow &amp; Cond kW'!F84*(($G$13-$G$14)-$C$6*($G$17-$G$18)/1000)-'Refrig Mass Flow &amp; Cond kW'!E84*(1-$C$6/($G$10+273))</f>
        <v>0</v>
      </c>
    </row>
    <row r="94" spans="2:9" x14ac:dyDescent="0.2">
      <c r="B94" s="2">
        <v>71</v>
      </c>
      <c r="C94">
        <f>'Refrig Mass Flow &amp; Cond kW'!D85*$C$6*(($C$19-$C$18)/1000)</f>
        <v>0</v>
      </c>
      <c r="D94">
        <f>'Refrig Mass Flow &amp; Cond kW'!D85*Winter!$C$6*((Winter!$C$17-Winter!$C$16)/1000)</f>
        <v>0</v>
      </c>
      <c r="E94">
        <f>'Refrig Mass Flow &amp; Cond kW'!D85*(($C$13-$C$14)-$C$6*($C$17-$C$18)/1000)-'Refrig Mass Flow &amp; Cond kW'!C85*(1-$C$6/($C$10+273))</f>
        <v>0</v>
      </c>
      <c r="F94" s="13"/>
      <c r="G94" s="13">
        <f>'Refrig Mass Flow &amp; Cond kW'!F85*$C$6*($G$19-$G$18)/1000</f>
        <v>0</v>
      </c>
      <c r="H94">
        <f>'Refrig Mass Flow &amp; Cond kW'!F85*$C$6*($G$17-$G$16)/1000</f>
        <v>0</v>
      </c>
      <c r="I94">
        <f>'Refrig Mass Flow &amp; Cond kW'!F85*(($G$13-$G$14)-$C$6*($G$17-$G$18)/1000)-'Refrig Mass Flow &amp; Cond kW'!E85*(1-$C$6/($G$10+273))</f>
        <v>0</v>
      </c>
    </row>
    <row r="95" spans="2:9" x14ac:dyDescent="0.2">
      <c r="B95" s="2">
        <v>72</v>
      </c>
      <c r="C95">
        <f>'Refrig Mass Flow &amp; Cond kW'!D86*$C$6*(($C$19-$C$18)/1000)</f>
        <v>0</v>
      </c>
      <c r="D95">
        <f>'Refrig Mass Flow &amp; Cond kW'!D86*Winter!$C$6*((Winter!$C$17-Winter!$C$16)/1000)</f>
        <v>0</v>
      </c>
      <c r="E95">
        <f>'Refrig Mass Flow &amp; Cond kW'!D86*(($C$13-$C$14)-$C$6*($C$17-$C$18)/1000)-'Refrig Mass Flow &amp; Cond kW'!C86*(1-$C$6/($C$10+273))</f>
        <v>0</v>
      </c>
      <c r="F95" s="13"/>
      <c r="G95" s="13">
        <f>'Refrig Mass Flow &amp; Cond kW'!F86*$C$6*($G$19-$G$18)/1000</f>
        <v>0</v>
      </c>
      <c r="H95">
        <f>'Refrig Mass Flow &amp; Cond kW'!F86*$C$6*($G$17-$G$16)/1000</f>
        <v>0</v>
      </c>
      <c r="I95">
        <f>'Refrig Mass Flow &amp; Cond kW'!F86*(($G$13-$G$14)-$C$6*($G$17-$G$18)/1000)-'Refrig Mass Flow &amp; Cond kW'!E86*(1-$C$6/($G$10+273))</f>
        <v>0</v>
      </c>
    </row>
    <row r="96" spans="2:9" x14ac:dyDescent="0.2">
      <c r="B96" s="2">
        <v>73</v>
      </c>
      <c r="C96">
        <f>'Refrig Mass Flow &amp; Cond kW'!D87*$C$6*(($C$19-$C$18)/1000)</f>
        <v>0</v>
      </c>
      <c r="D96">
        <f>'Refrig Mass Flow &amp; Cond kW'!D87*Winter!$C$6*((Winter!$C$17-Winter!$C$16)/1000)</f>
        <v>0</v>
      </c>
      <c r="E96">
        <f>'Refrig Mass Flow &amp; Cond kW'!D87*(($C$13-$C$14)-$C$6*($C$17-$C$18)/1000)-'Refrig Mass Flow &amp; Cond kW'!C87*(1-$C$6/($C$10+273))</f>
        <v>0</v>
      </c>
      <c r="F96" s="13"/>
      <c r="G96" s="13">
        <f>'Refrig Mass Flow &amp; Cond kW'!F87*$C$6*($G$19-$G$18)/1000</f>
        <v>0</v>
      </c>
      <c r="H96">
        <f>'Refrig Mass Flow &amp; Cond kW'!F87*$C$6*($G$17-$G$16)/1000</f>
        <v>0</v>
      </c>
      <c r="I96">
        <f>'Refrig Mass Flow &amp; Cond kW'!F87*(($G$13-$G$14)-$C$6*($G$17-$G$18)/1000)-'Refrig Mass Flow &amp; Cond kW'!E87*(1-$C$6/($G$10+273))</f>
        <v>0</v>
      </c>
    </row>
    <row r="97" spans="2:9" x14ac:dyDescent="0.2">
      <c r="B97" s="2">
        <v>74</v>
      </c>
      <c r="C97">
        <f>'Refrig Mass Flow &amp; Cond kW'!D88*$C$6*(($C$19-$C$18)/1000)</f>
        <v>0</v>
      </c>
      <c r="D97">
        <f>'Refrig Mass Flow &amp; Cond kW'!D88*Winter!$C$6*((Winter!$C$17-Winter!$C$16)/1000)</f>
        <v>0</v>
      </c>
      <c r="E97">
        <f>'Refrig Mass Flow &amp; Cond kW'!D88*(($C$13-$C$14)-$C$6*($C$17-$C$18)/1000)-'Refrig Mass Flow &amp; Cond kW'!C88*(1-$C$6/($C$10+273))</f>
        <v>0</v>
      </c>
      <c r="F97" s="13"/>
      <c r="G97" s="13">
        <f>'Refrig Mass Flow &amp; Cond kW'!F88*$C$6*($G$19-$G$18)/1000</f>
        <v>0</v>
      </c>
      <c r="H97">
        <f>'Refrig Mass Flow &amp; Cond kW'!F88*$C$6*($G$17-$G$16)/1000</f>
        <v>0</v>
      </c>
      <c r="I97">
        <f>'Refrig Mass Flow &amp; Cond kW'!F88*(($G$13-$G$14)-$C$6*($G$17-$G$18)/1000)-'Refrig Mass Flow &amp; Cond kW'!E88*(1-$C$6/($G$10+273))</f>
        <v>0</v>
      </c>
    </row>
    <row r="98" spans="2:9" x14ac:dyDescent="0.2">
      <c r="B98" s="2">
        <v>75</v>
      </c>
      <c r="C98">
        <f>'Refrig Mass Flow &amp; Cond kW'!D89*$C$6*(($C$19-$C$18)/1000)</f>
        <v>0</v>
      </c>
      <c r="D98">
        <f>'Refrig Mass Flow &amp; Cond kW'!D89*Winter!$C$6*((Winter!$C$17-Winter!$C$16)/1000)</f>
        <v>0</v>
      </c>
      <c r="E98">
        <f>'Refrig Mass Flow &amp; Cond kW'!D89*(($C$13-$C$14)-$C$6*($C$17-$C$18)/1000)-'Refrig Mass Flow &amp; Cond kW'!C89*(1-$C$6/($C$10+273))</f>
        <v>0</v>
      </c>
      <c r="F98" s="13"/>
      <c r="G98" s="13">
        <f>'Refrig Mass Flow &amp; Cond kW'!F89*$C$6*($G$19-$G$18)/1000</f>
        <v>0</v>
      </c>
      <c r="H98">
        <f>'Refrig Mass Flow &amp; Cond kW'!F89*$C$6*($G$17-$G$16)/1000</f>
        <v>0</v>
      </c>
      <c r="I98">
        <f>'Refrig Mass Flow &amp; Cond kW'!F89*(($G$13-$G$14)-$C$6*($G$17-$G$18)/1000)-'Refrig Mass Flow &amp; Cond kW'!E89*(1-$C$6/($G$10+273))</f>
        <v>0</v>
      </c>
    </row>
    <row r="99" spans="2:9" x14ac:dyDescent="0.2">
      <c r="B99" s="2">
        <v>76</v>
      </c>
      <c r="C99">
        <f>'Refrig Mass Flow &amp; Cond kW'!D90*$C$6*(($C$19-$C$18)/1000)</f>
        <v>0</v>
      </c>
      <c r="D99">
        <f>'Refrig Mass Flow &amp; Cond kW'!D90*Winter!$C$6*((Winter!$C$17-Winter!$C$16)/1000)</f>
        <v>0</v>
      </c>
      <c r="E99">
        <f>'Refrig Mass Flow &amp; Cond kW'!D90*(($C$13-$C$14)-$C$6*($C$17-$C$18)/1000)-'Refrig Mass Flow &amp; Cond kW'!C90*(1-$C$6/($C$10+273))</f>
        <v>0</v>
      </c>
      <c r="F99" s="13"/>
      <c r="G99" s="13">
        <f>'Refrig Mass Flow &amp; Cond kW'!F90*$C$6*($G$19-$G$18)/1000</f>
        <v>0</v>
      </c>
      <c r="H99">
        <f>'Refrig Mass Flow &amp; Cond kW'!F90*$C$6*($G$17-$G$16)/1000</f>
        <v>0</v>
      </c>
      <c r="I99">
        <f>'Refrig Mass Flow &amp; Cond kW'!F90*(($G$13-$G$14)-$C$6*($G$17-$G$18)/1000)-'Refrig Mass Flow &amp; Cond kW'!E90*(1-$C$6/($G$10+273))</f>
        <v>0</v>
      </c>
    </row>
    <row r="100" spans="2:9" x14ac:dyDescent="0.2">
      <c r="B100" s="2">
        <v>77</v>
      </c>
      <c r="C100">
        <f>'Refrig Mass Flow &amp; Cond kW'!D91*$C$6*(($C$19-$C$18)/1000)</f>
        <v>0</v>
      </c>
      <c r="D100">
        <f>'Refrig Mass Flow &amp; Cond kW'!D91*Winter!$C$6*((Winter!$C$17-Winter!$C$16)/1000)</f>
        <v>0</v>
      </c>
      <c r="E100">
        <f>'Refrig Mass Flow &amp; Cond kW'!D91*(($C$13-$C$14)-$C$6*($C$17-$C$18)/1000)-'Refrig Mass Flow &amp; Cond kW'!C91*(1-$C$6/($C$10+273))</f>
        <v>0</v>
      </c>
      <c r="F100" s="13"/>
      <c r="G100" s="13">
        <f>'Refrig Mass Flow &amp; Cond kW'!F91*$C$6*($G$19-$G$18)/1000</f>
        <v>0</v>
      </c>
      <c r="H100">
        <f>'Refrig Mass Flow &amp; Cond kW'!F91*$C$6*($G$17-$G$16)/1000</f>
        <v>0</v>
      </c>
      <c r="I100">
        <f>'Refrig Mass Flow &amp; Cond kW'!F91*(($G$13-$G$14)-$C$6*($G$17-$G$18)/1000)-'Refrig Mass Flow &amp; Cond kW'!E91*(1-$C$6/($G$10+273))</f>
        <v>0</v>
      </c>
    </row>
    <row r="101" spans="2:9" x14ac:dyDescent="0.2">
      <c r="B101" s="2">
        <v>78</v>
      </c>
      <c r="C101">
        <f>'Refrig Mass Flow &amp; Cond kW'!D92*$C$6*(($C$19-$C$18)/1000)</f>
        <v>0</v>
      </c>
      <c r="D101">
        <f>'Refrig Mass Flow &amp; Cond kW'!D92*Winter!$C$6*((Winter!$C$17-Winter!$C$16)/1000)</f>
        <v>0</v>
      </c>
      <c r="E101">
        <f>'Refrig Mass Flow &amp; Cond kW'!D92*(($C$13-$C$14)-$C$6*($C$17-$C$18)/1000)-'Refrig Mass Flow &amp; Cond kW'!C92*(1-$C$6/($C$10+273))</f>
        <v>0</v>
      </c>
      <c r="F101" s="13"/>
      <c r="G101" s="13">
        <f>'Refrig Mass Flow &amp; Cond kW'!F92*$C$6*($G$19-$G$18)/1000</f>
        <v>0</v>
      </c>
      <c r="H101">
        <f>'Refrig Mass Flow &amp; Cond kW'!F92*$C$6*($G$17-$G$16)/1000</f>
        <v>0</v>
      </c>
      <c r="I101">
        <f>'Refrig Mass Flow &amp; Cond kW'!F92*(($G$13-$G$14)-$C$6*($G$17-$G$18)/1000)-'Refrig Mass Flow &amp; Cond kW'!E92*(1-$C$6/($G$10+273))</f>
        <v>0</v>
      </c>
    </row>
    <row r="102" spans="2:9" x14ac:dyDescent="0.2">
      <c r="B102" s="2">
        <v>79</v>
      </c>
      <c r="C102">
        <f>'Refrig Mass Flow &amp; Cond kW'!D93*$C$6*(($C$19-$C$18)/1000)</f>
        <v>0</v>
      </c>
      <c r="D102">
        <f>'Refrig Mass Flow &amp; Cond kW'!D93*Winter!$C$6*((Winter!$C$17-Winter!$C$16)/1000)</f>
        <v>0</v>
      </c>
      <c r="E102">
        <f>'Refrig Mass Flow &amp; Cond kW'!D93*(($C$13-$C$14)-$C$6*($C$17-$C$18)/1000)-'Refrig Mass Flow &amp; Cond kW'!C93*(1-$C$6/($C$10+273))</f>
        <v>0</v>
      </c>
      <c r="F102" s="13"/>
      <c r="G102" s="13">
        <f>'Refrig Mass Flow &amp; Cond kW'!F93*$C$6*($G$19-$G$18)/1000</f>
        <v>0</v>
      </c>
      <c r="H102">
        <f>'Refrig Mass Flow &amp; Cond kW'!F93*$C$6*($G$17-$G$16)/1000</f>
        <v>0</v>
      </c>
      <c r="I102">
        <f>'Refrig Mass Flow &amp; Cond kW'!F93*(($G$13-$G$14)-$C$6*($G$17-$G$18)/1000)-'Refrig Mass Flow &amp; Cond kW'!E93*(1-$C$6/($G$10+273))</f>
        <v>0</v>
      </c>
    </row>
    <row r="103" spans="2:9" x14ac:dyDescent="0.2">
      <c r="B103" s="2">
        <v>80</v>
      </c>
      <c r="C103">
        <f>'Refrig Mass Flow &amp; Cond kW'!D94*$C$6*(($C$19-$C$18)/1000)</f>
        <v>0</v>
      </c>
      <c r="D103">
        <f>'Refrig Mass Flow &amp; Cond kW'!D94*Winter!$C$6*((Winter!$C$17-Winter!$C$16)/1000)</f>
        <v>0</v>
      </c>
      <c r="E103">
        <f>'Refrig Mass Flow &amp; Cond kW'!D94*(($C$13-$C$14)-$C$6*($C$17-$C$18)/1000)-'Refrig Mass Flow &amp; Cond kW'!C94*(1-$C$6/($C$10+273))</f>
        <v>0</v>
      </c>
      <c r="F103" s="13"/>
      <c r="G103" s="13">
        <f>'Refrig Mass Flow &amp; Cond kW'!F94*$C$6*($G$19-$G$18)/1000</f>
        <v>0</v>
      </c>
      <c r="H103">
        <f>'Refrig Mass Flow &amp; Cond kW'!F94*$C$6*($G$17-$G$16)/1000</f>
        <v>0</v>
      </c>
      <c r="I103">
        <f>'Refrig Mass Flow &amp; Cond kW'!F94*(($G$13-$G$14)-$C$6*($G$17-$G$18)/1000)-'Refrig Mass Flow &amp; Cond kW'!E94*(1-$C$6/($G$10+273))</f>
        <v>0</v>
      </c>
    </row>
    <row r="104" spans="2:9" x14ac:dyDescent="0.2">
      <c r="B104" s="2">
        <v>81</v>
      </c>
      <c r="C104">
        <f>'Refrig Mass Flow &amp; Cond kW'!D95*$C$6*(($C$19-$C$18)/1000)</f>
        <v>0</v>
      </c>
      <c r="D104">
        <f>'Refrig Mass Flow &amp; Cond kW'!D95*Winter!$C$6*((Winter!$C$17-Winter!$C$16)/1000)</f>
        <v>0</v>
      </c>
      <c r="E104">
        <f>'Refrig Mass Flow &amp; Cond kW'!D95*(($C$13-$C$14)-$C$6*($C$17-$C$18)/1000)-'Refrig Mass Flow &amp; Cond kW'!C95*(1-$C$6/($C$10+273))</f>
        <v>0</v>
      </c>
      <c r="F104" s="13"/>
      <c r="G104" s="13">
        <f>'Refrig Mass Flow &amp; Cond kW'!F95*$C$6*($G$19-$G$18)/1000</f>
        <v>0</v>
      </c>
      <c r="H104">
        <f>'Refrig Mass Flow &amp; Cond kW'!F95*$C$6*($G$17-$G$16)/1000</f>
        <v>0</v>
      </c>
      <c r="I104">
        <f>'Refrig Mass Flow &amp; Cond kW'!F95*(($G$13-$G$14)-$C$6*($G$17-$G$18)/1000)-'Refrig Mass Flow &amp; Cond kW'!E95*(1-$C$6/($G$10+273))</f>
        <v>0</v>
      </c>
    </row>
    <row r="105" spans="2:9" x14ac:dyDescent="0.2">
      <c r="B105" s="2">
        <v>82</v>
      </c>
      <c r="C105">
        <f>'Refrig Mass Flow &amp; Cond kW'!D96*$C$6*(($C$19-$C$18)/1000)</f>
        <v>0</v>
      </c>
      <c r="D105">
        <f>'Refrig Mass Flow &amp; Cond kW'!D96*Winter!$C$6*((Winter!$C$17-Winter!$C$16)/1000)</f>
        <v>0</v>
      </c>
      <c r="E105">
        <f>'Refrig Mass Flow &amp; Cond kW'!D96*(($C$13-$C$14)-$C$6*($C$17-$C$18)/1000)-'Refrig Mass Flow &amp; Cond kW'!C96*(1-$C$6/($C$10+273))</f>
        <v>0</v>
      </c>
      <c r="F105" s="13"/>
      <c r="G105" s="13">
        <f>'Refrig Mass Flow &amp; Cond kW'!F96*$C$6*($G$19-$G$18)/1000</f>
        <v>0</v>
      </c>
      <c r="H105">
        <f>'Refrig Mass Flow &amp; Cond kW'!F96*$C$6*($G$17-$G$16)/1000</f>
        <v>0</v>
      </c>
      <c r="I105">
        <f>'Refrig Mass Flow &amp; Cond kW'!F96*(($G$13-$G$14)-$C$6*($G$17-$G$18)/1000)-'Refrig Mass Flow &amp; Cond kW'!E96*(1-$C$6/($G$10+273))</f>
        <v>0</v>
      </c>
    </row>
    <row r="106" spans="2:9" x14ac:dyDescent="0.2">
      <c r="B106" s="2">
        <v>83</v>
      </c>
      <c r="C106">
        <f>'Refrig Mass Flow &amp; Cond kW'!D97*$C$6*(($C$19-$C$18)/1000)</f>
        <v>0</v>
      </c>
      <c r="D106">
        <f>'Refrig Mass Flow &amp; Cond kW'!D97*Winter!$C$6*((Winter!$C$17-Winter!$C$16)/1000)</f>
        <v>0</v>
      </c>
      <c r="E106">
        <f>'Refrig Mass Flow &amp; Cond kW'!D97*(($C$13-$C$14)-$C$6*($C$17-$C$18)/1000)-'Refrig Mass Flow &amp; Cond kW'!C97*(1-$C$6/($C$10+273))</f>
        <v>0</v>
      </c>
      <c r="F106" s="13"/>
      <c r="G106" s="13">
        <f>'Refrig Mass Flow &amp; Cond kW'!F97*$C$6*($G$19-$G$18)/1000</f>
        <v>0</v>
      </c>
      <c r="H106">
        <f>'Refrig Mass Flow &amp; Cond kW'!F97*$C$6*($G$17-$G$16)/1000</f>
        <v>0</v>
      </c>
      <c r="I106">
        <f>'Refrig Mass Flow &amp; Cond kW'!F97*(($G$13-$G$14)-$C$6*($G$17-$G$18)/1000)-'Refrig Mass Flow &amp; Cond kW'!E97*(1-$C$6/($G$10+273))</f>
        <v>0</v>
      </c>
    </row>
    <row r="107" spans="2:9" x14ac:dyDescent="0.2">
      <c r="B107" s="2">
        <v>84</v>
      </c>
      <c r="C107">
        <f>'Refrig Mass Flow &amp; Cond kW'!D98*$C$6*(($C$19-$C$18)/1000)</f>
        <v>0</v>
      </c>
      <c r="D107">
        <f>'Refrig Mass Flow &amp; Cond kW'!D98*Winter!$C$6*((Winter!$C$17-Winter!$C$16)/1000)</f>
        <v>0</v>
      </c>
      <c r="E107">
        <f>'Refrig Mass Flow &amp; Cond kW'!D98*(($C$13-$C$14)-$C$6*($C$17-$C$18)/1000)-'Refrig Mass Flow &amp; Cond kW'!C98*(1-$C$6/($C$10+273))</f>
        <v>0</v>
      </c>
      <c r="F107" s="13"/>
      <c r="G107" s="13">
        <f>'Refrig Mass Flow &amp; Cond kW'!F98*$C$6*($G$19-$G$18)/1000</f>
        <v>0</v>
      </c>
      <c r="H107">
        <f>'Refrig Mass Flow &amp; Cond kW'!F98*$C$6*($G$17-$G$16)/1000</f>
        <v>0</v>
      </c>
      <c r="I107">
        <f>'Refrig Mass Flow &amp; Cond kW'!F98*(($G$13-$G$14)-$C$6*($G$17-$G$18)/1000)-'Refrig Mass Flow &amp; Cond kW'!E98*(1-$C$6/($G$10+273))</f>
        <v>0</v>
      </c>
    </row>
    <row r="108" spans="2:9" x14ac:dyDescent="0.2">
      <c r="B108" s="2">
        <v>85</v>
      </c>
      <c r="C108">
        <f>'Refrig Mass Flow &amp; Cond kW'!D99*$C$6*(($C$19-$C$18)/1000)</f>
        <v>0</v>
      </c>
      <c r="D108">
        <f>'Refrig Mass Flow &amp; Cond kW'!D99*Winter!$C$6*((Winter!$C$17-Winter!$C$16)/1000)</f>
        <v>0</v>
      </c>
      <c r="E108">
        <f>'Refrig Mass Flow &amp; Cond kW'!D99*(($C$13-$C$14)-$C$6*($C$17-$C$18)/1000)-'Refrig Mass Flow &amp; Cond kW'!C99*(1-$C$6/($C$10+273))</f>
        <v>0</v>
      </c>
      <c r="F108" s="13"/>
      <c r="G108" s="13">
        <f>'Refrig Mass Flow &amp; Cond kW'!F99*$C$6*($G$19-$G$18)/1000</f>
        <v>0</v>
      </c>
      <c r="H108">
        <f>'Refrig Mass Flow &amp; Cond kW'!F99*$C$6*($G$17-$G$16)/1000</f>
        <v>0</v>
      </c>
      <c r="I108">
        <f>'Refrig Mass Flow &amp; Cond kW'!F99*(($G$13-$G$14)-$C$6*($G$17-$G$18)/1000)-'Refrig Mass Flow &amp; Cond kW'!E99*(1-$C$6/($G$10+273))</f>
        <v>0</v>
      </c>
    </row>
    <row r="109" spans="2:9" x14ac:dyDescent="0.2">
      <c r="B109" s="2">
        <v>86</v>
      </c>
      <c r="C109">
        <f>'Refrig Mass Flow &amp; Cond kW'!D100*$C$6*(($C$19-$C$18)/1000)</f>
        <v>0</v>
      </c>
      <c r="D109">
        <f>'Refrig Mass Flow &amp; Cond kW'!D100*Winter!$C$6*((Winter!$C$17-Winter!$C$16)/1000)</f>
        <v>0</v>
      </c>
      <c r="E109">
        <f>'Refrig Mass Flow &amp; Cond kW'!D100*(($C$13-$C$14)-$C$6*($C$17-$C$18)/1000)-'Refrig Mass Flow &amp; Cond kW'!C100*(1-$C$6/($C$10+273))</f>
        <v>0</v>
      </c>
      <c r="F109" s="13"/>
      <c r="G109" s="13">
        <f>'Refrig Mass Flow &amp; Cond kW'!F100*$C$6*($G$19-$G$18)/1000</f>
        <v>0</v>
      </c>
      <c r="H109">
        <f>'Refrig Mass Flow &amp; Cond kW'!F100*$C$6*($G$17-$G$16)/1000</f>
        <v>0</v>
      </c>
      <c r="I109">
        <f>'Refrig Mass Flow &amp; Cond kW'!F100*(($G$13-$G$14)-$C$6*($G$17-$G$18)/1000)-'Refrig Mass Flow &amp; Cond kW'!E100*(1-$C$6/($G$10+273))</f>
        <v>0</v>
      </c>
    </row>
    <row r="110" spans="2:9" x14ac:dyDescent="0.2">
      <c r="B110" s="2">
        <v>87</v>
      </c>
      <c r="C110">
        <f>'Refrig Mass Flow &amp; Cond kW'!D101*$C$6*(($C$19-$C$18)/1000)</f>
        <v>0</v>
      </c>
      <c r="D110">
        <f>'Refrig Mass Flow &amp; Cond kW'!D101*Winter!$C$6*((Winter!$C$17-Winter!$C$16)/1000)</f>
        <v>0</v>
      </c>
      <c r="E110">
        <f>'Refrig Mass Flow &amp; Cond kW'!D101*(($C$13-$C$14)-$C$6*($C$17-$C$18)/1000)-'Refrig Mass Flow &amp; Cond kW'!C101*(1-$C$6/($C$10+273))</f>
        <v>0</v>
      </c>
      <c r="F110" s="13"/>
      <c r="G110" s="13">
        <f>'Refrig Mass Flow &amp; Cond kW'!F101*$C$6*($G$19-$G$18)/1000</f>
        <v>0</v>
      </c>
      <c r="H110">
        <f>'Refrig Mass Flow &amp; Cond kW'!F101*$C$6*($G$17-$G$16)/1000</f>
        <v>0</v>
      </c>
      <c r="I110">
        <f>'Refrig Mass Flow &amp; Cond kW'!F101*(($G$13-$G$14)-$C$6*($G$17-$G$18)/1000)-'Refrig Mass Flow &amp; Cond kW'!E101*(1-$C$6/($G$10+273))</f>
        <v>0</v>
      </c>
    </row>
    <row r="111" spans="2:9" x14ac:dyDescent="0.2">
      <c r="B111" s="2">
        <v>88</v>
      </c>
      <c r="C111">
        <f>'Refrig Mass Flow &amp; Cond kW'!D102*$C$6*(($C$19-$C$18)/1000)</f>
        <v>0</v>
      </c>
      <c r="D111">
        <f>'Refrig Mass Flow &amp; Cond kW'!D102*Winter!$C$6*((Winter!$C$17-Winter!$C$16)/1000)</f>
        <v>0</v>
      </c>
      <c r="E111">
        <f>'Refrig Mass Flow &amp; Cond kW'!D102*(($C$13-$C$14)-$C$6*($C$17-$C$18)/1000)-'Refrig Mass Flow &amp; Cond kW'!C102*(1-$C$6/($C$10+273))</f>
        <v>0</v>
      </c>
      <c r="F111" s="13"/>
      <c r="G111" s="13">
        <f>'Refrig Mass Flow &amp; Cond kW'!F102*$C$6*($G$19-$G$18)/1000</f>
        <v>0</v>
      </c>
      <c r="H111">
        <f>'Refrig Mass Flow &amp; Cond kW'!F102*$C$6*($G$17-$G$16)/1000</f>
        <v>0</v>
      </c>
      <c r="I111">
        <f>'Refrig Mass Flow &amp; Cond kW'!F102*(($G$13-$G$14)-$C$6*($G$17-$G$18)/1000)-'Refrig Mass Flow &amp; Cond kW'!E102*(1-$C$6/($G$10+273))</f>
        <v>0</v>
      </c>
    </row>
    <row r="112" spans="2:9" x14ac:dyDescent="0.2">
      <c r="B112" s="2">
        <v>89</v>
      </c>
      <c r="C112">
        <f>'Refrig Mass Flow &amp; Cond kW'!D103*$C$6*(($C$19-$C$18)/1000)</f>
        <v>0</v>
      </c>
      <c r="D112">
        <f>'Refrig Mass Flow &amp; Cond kW'!D103*Winter!$C$6*((Winter!$C$17-Winter!$C$16)/1000)</f>
        <v>0</v>
      </c>
      <c r="E112">
        <f>'Refrig Mass Flow &amp; Cond kW'!D103*(($C$13-$C$14)-$C$6*($C$17-$C$18)/1000)-'Refrig Mass Flow &amp; Cond kW'!C103*(1-$C$6/($C$10+273))</f>
        <v>0</v>
      </c>
      <c r="F112" s="13"/>
      <c r="G112" s="13">
        <f>'Refrig Mass Flow &amp; Cond kW'!F103*$C$6*($G$19-$G$18)/1000</f>
        <v>0</v>
      </c>
      <c r="H112">
        <f>'Refrig Mass Flow &amp; Cond kW'!F103*$C$6*($G$17-$G$16)/1000</f>
        <v>0</v>
      </c>
      <c r="I112">
        <f>'Refrig Mass Flow &amp; Cond kW'!F103*(($G$13-$G$14)-$C$6*($G$17-$G$18)/1000)-'Refrig Mass Flow &amp; Cond kW'!E103*(1-$C$6/($G$10+273))</f>
        <v>0</v>
      </c>
    </row>
    <row r="113" spans="2:9" x14ac:dyDescent="0.2">
      <c r="B113" s="2">
        <v>90</v>
      </c>
      <c r="C113">
        <f>'Refrig Mass Flow &amp; Cond kW'!D104*$C$6*(($C$19-$C$18)/1000)</f>
        <v>0</v>
      </c>
      <c r="D113">
        <f>'Refrig Mass Flow &amp; Cond kW'!D104*Winter!$C$6*((Winter!$C$17-Winter!$C$16)/1000)</f>
        <v>0</v>
      </c>
      <c r="E113">
        <f>'Refrig Mass Flow &amp; Cond kW'!D104*(($C$13-$C$14)-$C$6*($C$17-$C$18)/1000)-'Refrig Mass Flow &amp; Cond kW'!C104*(1-$C$6/($C$10+273))</f>
        <v>0</v>
      </c>
      <c r="F113" s="13"/>
      <c r="G113" s="13">
        <f>'Refrig Mass Flow &amp; Cond kW'!F104*$C$6*($G$19-$G$18)/1000</f>
        <v>0</v>
      </c>
      <c r="H113">
        <f>'Refrig Mass Flow &amp; Cond kW'!F104*$C$6*($G$17-$G$16)/1000</f>
        <v>0</v>
      </c>
      <c r="I113">
        <f>'Refrig Mass Flow &amp; Cond kW'!F104*(($G$13-$G$14)-$C$6*($G$17-$G$18)/1000)-'Refrig Mass Flow &amp; Cond kW'!E104*(1-$C$6/($G$10+273))</f>
        <v>0</v>
      </c>
    </row>
    <row r="114" spans="2:9" x14ac:dyDescent="0.2">
      <c r="B114" s="2">
        <v>91</v>
      </c>
      <c r="C114">
        <f>'Refrig Mass Flow &amp; Cond kW'!D105*$C$6*(($C$19-$C$18)/1000)</f>
        <v>0</v>
      </c>
      <c r="D114">
        <f>'Refrig Mass Flow &amp; Cond kW'!D105*Winter!$C$6*((Winter!$C$17-Winter!$C$16)/1000)</f>
        <v>0</v>
      </c>
      <c r="E114">
        <f>'Refrig Mass Flow &amp; Cond kW'!D105*(($C$13-$C$14)-$C$6*($C$17-$C$18)/1000)-'Refrig Mass Flow &amp; Cond kW'!C105*(1-$C$6/($C$10+273))</f>
        <v>0</v>
      </c>
      <c r="F114" s="13"/>
      <c r="G114" s="13">
        <f>'Refrig Mass Flow &amp; Cond kW'!F105*$C$6*($G$19-$G$18)/1000</f>
        <v>0</v>
      </c>
      <c r="H114">
        <f>'Refrig Mass Flow &amp; Cond kW'!F105*$C$6*($G$17-$G$16)/1000</f>
        <v>0</v>
      </c>
      <c r="I114">
        <f>'Refrig Mass Flow &amp; Cond kW'!F105*(($G$13-$G$14)-$C$6*($G$17-$G$18)/1000)-'Refrig Mass Flow &amp; Cond kW'!E105*(1-$C$6/($G$10+273))</f>
        <v>0</v>
      </c>
    </row>
    <row r="115" spans="2:9" x14ac:dyDescent="0.2">
      <c r="B115" s="2">
        <v>92</v>
      </c>
      <c r="C115">
        <f>'Refrig Mass Flow &amp; Cond kW'!D106*$C$6*(($C$19-$C$18)/1000)</f>
        <v>0</v>
      </c>
      <c r="D115">
        <f>'Refrig Mass Flow &amp; Cond kW'!D106*Winter!$C$6*((Winter!$C$17-Winter!$C$16)/1000)</f>
        <v>0</v>
      </c>
      <c r="E115">
        <f>'Refrig Mass Flow &amp; Cond kW'!D106*(($C$13-$C$14)-$C$6*($C$17-$C$18)/1000)-'Refrig Mass Flow &amp; Cond kW'!C106*(1-$C$6/($C$10+273))</f>
        <v>0</v>
      </c>
      <c r="F115" s="13"/>
      <c r="G115" s="13">
        <f>'Refrig Mass Flow &amp; Cond kW'!F106*$C$6*($G$19-$G$18)/1000</f>
        <v>0</v>
      </c>
      <c r="H115">
        <f>'Refrig Mass Flow &amp; Cond kW'!F106*$C$6*($G$17-$G$16)/1000</f>
        <v>0</v>
      </c>
      <c r="I115">
        <f>'Refrig Mass Flow &amp; Cond kW'!F106*(($G$13-$G$14)-$C$6*($G$17-$G$18)/1000)-'Refrig Mass Flow &amp; Cond kW'!E106*(1-$C$6/($G$10+273))</f>
        <v>0</v>
      </c>
    </row>
    <row r="116" spans="2:9" x14ac:dyDescent="0.2">
      <c r="B116" s="2">
        <v>93</v>
      </c>
      <c r="C116">
        <f>'Refrig Mass Flow &amp; Cond kW'!D107*$C$6*(($C$19-$C$18)/1000)</f>
        <v>0</v>
      </c>
      <c r="D116">
        <f>'Refrig Mass Flow &amp; Cond kW'!D107*Winter!$C$6*((Winter!$C$17-Winter!$C$16)/1000)</f>
        <v>0</v>
      </c>
      <c r="E116">
        <f>'Refrig Mass Flow &amp; Cond kW'!D107*(($C$13-$C$14)-$C$6*($C$17-$C$18)/1000)-'Refrig Mass Flow &amp; Cond kW'!C107*(1-$C$6/($C$10+273))</f>
        <v>0</v>
      </c>
      <c r="F116" s="13"/>
      <c r="G116" s="13">
        <f>'Refrig Mass Flow &amp; Cond kW'!F107*$C$6*($G$19-$G$18)/1000</f>
        <v>0</v>
      </c>
      <c r="H116">
        <f>'Refrig Mass Flow &amp; Cond kW'!F107*$C$6*($G$17-$G$16)/1000</f>
        <v>0</v>
      </c>
      <c r="I116">
        <f>'Refrig Mass Flow &amp; Cond kW'!F107*(($G$13-$G$14)-$C$6*($G$17-$G$18)/1000)-'Refrig Mass Flow &amp; Cond kW'!E107*(1-$C$6/($G$10+273))</f>
        <v>0</v>
      </c>
    </row>
    <row r="117" spans="2:9" x14ac:dyDescent="0.2">
      <c r="B117" s="2">
        <v>94</v>
      </c>
      <c r="C117">
        <f>'Refrig Mass Flow &amp; Cond kW'!D108*$C$6*(($C$19-$C$18)/1000)</f>
        <v>0</v>
      </c>
      <c r="D117">
        <f>'Refrig Mass Flow &amp; Cond kW'!D108*Winter!$C$6*((Winter!$C$17-Winter!$C$16)/1000)</f>
        <v>0</v>
      </c>
      <c r="E117">
        <f>'Refrig Mass Flow &amp; Cond kW'!D108*(($C$13-$C$14)-$C$6*($C$17-$C$18)/1000)-'Refrig Mass Flow &amp; Cond kW'!C108*(1-$C$6/($C$10+273))</f>
        <v>0</v>
      </c>
      <c r="F117" s="13"/>
      <c r="G117" s="13">
        <f>'Refrig Mass Flow &amp; Cond kW'!F108*$C$6*($G$19-$G$18)/1000</f>
        <v>0</v>
      </c>
      <c r="H117">
        <f>'Refrig Mass Flow &amp; Cond kW'!F108*$C$6*($G$17-$G$16)/1000</f>
        <v>0</v>
      </c>
      <c r="I117">
        <f>'Refrig Mass Flow &amp; Cond kW'!F108*(($G$13-$G$14)-$C$6*($G$17-$G$18)/1000)-'Refrig Mass Flow &amp; Cond kW'!E108*(1-$C$6/($G$10+273))</f>
        <v>0</v>
      </c>
    </row>
    <row r="118" spans="2:9" x14ac:dyDescent="0.2">
      <c r="B118" s="2">
        <v>95</v>
      </c>
      <c r="C118">
        <f>'Refrig Mass Flow &amp; Cond kW'!D109*$C$6*(($C$19-$C$18)/1000)</f>
        <v>0</v>
      </c>
      <c r="D118">
        <f>'Refrig Mass Flow &amp; Cond kW'!D109*Winter!$C$6*((Winter!$C$17-Winter!$C$16)/1000)</f>
        <v>0</v>
      </c>
      <c r="E118">
        <f>'Refrig Mass Flow &amp; Cond kW'!D109*(($C$13-$C$14)-$C$6*($C$17-$C$18)/1000)-'Refrig Mass Flow &amp; Cond kW'!C109*(1-$C$6/($C$10+273))</f>
        <v>0</v>
      </c>
      <c r="F118" s="13"/>
      <c r="G118" s="13">
        <f>'Refrig Mass Flow &amp; Cond kW'!F109*$C$6*($G$19-$G$18)/1000</f>
        <v>0</v>
      </c>
      <c r="H118">
        <f>'Refrig Mass Flow &amp; Cond kW'!F109*$C$6*($G$17-$G$16)/1000</f>
        <v>0</v>
      </c>
      <c r="I118">
        <f>'Refrig Mass Flow &amp; Cond kW'!F109*(($G$13-$G$14)-$C$6*($G$17-$G$18)/1000)-'Refrig Mass Flow &amp; Cond kW'!E109*(1-$C$6/($G$10+273))</f>
        <v>0</v>
      </c>
    </row>
    <row r="119" spans="2:9" x14ac:dyDescent="0.2">
      <c r="B119" s="2">
        <v>96</v>
      </c>
      <c r="C119">
        <f>'Refrig Mass Flow &amp; Cond kW'!D110*$C$6*(($C$19-$C$18)/1000)</f>
        <v>0</v>
      </c>
      <c r="D119">
        <f>'Refrig Mass Flow &amp; Cond kW'!D110*Winter!$C$6*((Winter!$C$17-Winter!$C$16)/1000)</f>
        <v>0</v>
      </c>
      <c r="E119">
        <f>'Refrig Mass Flow &amp; Cond kW'!D110*(($C$13-$C$14)-$C$6*($C$17-$C$18)/1000)-'Refrig Mass Flow &amp; Cond kW'!C110*(1-$C$6/($C$10+273))</f>
        <v>0</v>
      </c>
      <c r="F119" s="13"/>
      <c r="G119" s="13">
        <f>'Refrig Mass Flow &amp; Cond kW'!F110*$C$6*($G$19-$G$18)/1000</f>
        <v>0</v>
      </c>
      <c r="H119">
        <f>'Refrig Mass Flow &amp; Cond kW'!F110*$C$6*($G$17-$G$16)/1000</f>
        <v>0</v>
      </c>
      <c r="I119">
        <f>'Refrig Mass Flow &amp; Cond kW'!F110*(($G$13-$G$14)-$C$6*($G$17-$G$18)/1000)-'Refrig Mass Flow &amp; Cond kW'!E110*(1-$C$6/($G$10+273))</f>
        <v>0</v>
      </c>
    </row>
    <row r="120" spans="2:9" x14ac:dyDescent="0.2">
      <c r="B120" s="2">
        <v>97</v>
      </c>
      <c r="C120">
        <f>'Refrig Mass Flow &amp; Cond kW'!D111*$C$6*(($C$19-$C$18)/1000)</f>
        <v>0</v>
      </c>
      <c r="D120">
        <f>'Refrig Mass Flow &amp; Cond kW'!D111*Winter!$C$6*((Winter!$C$17-Winter!$C$16)/1000)</f>
        <v>0</v>
      </c>
      <c r="E120">
        <f>'Refrig Mass Flow &amp; Cond kW'!D111*(($C$13-$C$14)-$C$6*($C$17-$C$18)/1000)-'Refrig Mass Flow &amp; Cond kW'!C111*(1-$C$6/($C$10+273))</f>
        <v>0</v>
      </c>
      <c r="F120" s="13"/>
      <c r="G120" s="13">
        <f>'Refrig Mass Flow &amp; Cond kW'!F111*$C$6*($G$19-$G$18)/1000</f>
        <v>0</v>
      </c>
      <c r="H120">
        <f>'Refrig Mass Flow &amp; Cond kW'!F111*$C$6*($G$17-$G$16)/1000</f>
        <v>0</v>
      </c>
      <c r="I120">
        <f>'Refrig Mass Flow &amp; Cond kW'!F111*(($G$13-$G$14)-$C$6*($G$17-$G$18)/1000)-'Refrig Mass Flow &amp; Cond kW'!E111*(1-$C$6/($G$10+273))</f>
        <v>0</v>
      </c>
    </row>
    <row r="121" spans="2:9" x14ac:dyDescent="0.2">
      <c r="B121" s="2">
        <v>98</v>
      </c>
      <c r="C121">
        <f>'Refrig Mass Flow &amp; Cond kW'!D112*$C$6*(($C$19-$C$18)/1000)</f>
        <v>0</v>
      </c>
      <c r="D121">
        <f>'Refrig Mass Flow &amp; Cond kW'!D112*Winter!$C$6*((Winter!$C$17-Winter!$C$16)/1000)</f>
        <v>0</v>
      </c>
      <c r="E121">
        <f>'Refrig Mass Flow &amp; Cond kW'!D112*(($C$13-$C$14)-$C$6*($C$17-$C$18)/1000)-'Refrig Mass Flow &amp; Cond kW'!C112*(1-$C$6/($C$10+273))</f>
        <v>0</v>
      </c>
      <c r="F121" s="13"/>
      <c r="G121" s="13">
        <f>'Refrig Mass Flow &amp; Cond kW'!F112*$C$6*($G$19-$G$18)/1000</f>
        <v>0</v>
      </c>
      <c r="H121">
        <f>'Refrig Mass Flow &amp; Cond kW'!F112*$C$6*($G$17-$G$16)/1000</f>
        <v>0</v>
      </c>
      <c r="I121">
        <f>'Refrig Mass Flow &amp; Cond kW'!F112*(($G$13-$G$14)-$C$6*($G$17-$G$18)/1000)-'Refrig Mass Flow &amp; Cond kW'!E112*(1-$C$6/($G$10+273))</f>
        <v>0</v>
      </c>
    </row>
    <row r="122" spans="2:9" x14ac:dyDescent="0.2">
      <c r="B122" s="2">
        <v>99</v>
      </c>
      <c r="C122">
        <f>'Refrig Mass Flow &amp; Cond kW'!D113*$C$6*(($C$19-$C$18)/1000)</f>
        <v>0</v>
      </c>
      <c r="D122">
        <f>'Refrig Mass Flow &amp; Cond kW'!D113*Winter!$C$6*((Winter!$C$17-Winter!$C$16)/1000)</f>
        <v>0</v>
      </c>
      <c r="E122">
        <f>'Refrig Mass Flow &amp; Cond kW'!D113*(($C$13-$C$14)-$C$6*($C$17-$C$18)/1000)-'Refrig Mass Flow &amp; Cond kW'!C113*(1-$C$6/($C$10+273))</f>
        <v>0</v>
      </c>
      <c r="F122" s="13"/>
      <c r="G122" s="13">
        <f>'Refrig Mass Flow &amp; Cond kW'!F113*$C$6*($G$19-$G$18)/1000</f>
        <v>0</v>
      </c>
      <c r="H122">
        <f>'Refrig Mass Flow &amp; Cond kW'!F113*$C$6*($G$17-$G$16)/1000</f>
        <v>0</v>
      </c>
      <c r="I122">
        <f>'Refrig Mass Flow &amp; Cond kW'!F113*(($G$13-$G$14)-$C$6*($G$17-$G$18)/1000)-'Refrig Mass Flow &amp; Cond kW'!E113*(1-$C$6/($G$10+273))</f>
        <v>0</v>
      </c>
    </row>
    <row r="123" spans="2:9" x14ac:dyDescent="0.2">
      <c r="B123" s="2">
        <v>100</v>
      </c>
      <c r="C123">
        <f>'Refrig Mass Flow &amp; Cond kW'!D114*$C$6*(($C$19-$C$18)/1000)</f>
        <v>0</v>
      </c>
      <c r="D123">
        <f>'Refrig Mass Flow &amp; Cond kW'!D114*Winter!$C$6*((Winter!$C$17-Winter!$C$16)/1000)</f>
        <v>0</v>
      </c>
      <c r="E123">
        <f>'Refrig Mass Flow &amp; Cond kW'!D114*(($C$13-$C$14)-$C$6*($C$17-$C$18)/1000)-'Refrig Mass Flow &amp; Cond kW'!C114*(1-$C$6/($C$10+273))</f>
        <v>0</v>
      </c>
      <c r="F123" s="13"/>
      <c r="G123" s="13">
        <f>'Refrig Mass Flow &amp; Cond kW'!F114*$C$6*($G$19-$G$18)/1000</f>
        <v>0</v>
      </c>
      <c r="H123">
        <f>'Refrig Mass Flow &amp; Cond kW'!F114*$C$6*($G$17-$G$16)/1000</f>
        <v>0</v>
      </c>
      <c r="I123">
        <f>'Refrig Mass Flow &amp; Cond kW'!F114*(($G$13-$G$14)-$C$6*($G$17-$G$18)/1000)-'Refrig Mass Flow &amp; Cond kW'!E114*(1-$C$6/($G$10+273))</f>
        <v>0</v>
      </c>
    </row>
    <row r="124" spans="2:9" x14ac:dyDescent="0.2">
      <c r="B124" s="2">
        <v>101</v>
      </c>
      <c r="C124">
        <f>'Refrig Mass Flow &amp; Cond kW'!D115*$C$6*(($C$19-$C$18)/1000)</f>
        <v>0</v>
      </c>
      <c r="D124">
        <f>'Refrig Mass Flow &amp; Cond kW'!D115*Winter!$C$6*((Winter!$C$17-Winter!$C$16)/1000)</f>
        <v>0</v>
      </c>
      <c r="E124">
        <f>'Refrig Mass Flow &amp; Cond kW'!D115*(($C$13-$C$14)-$C$6*($C$17-$C$18)/1000)-'Refrig Mass Flow &amp; Cond kW'!C115*(1-$C$6/($C$10+273))</f>
        <v>0</v>
      </c>
      <c r="F124" s="13"/>
      <c r="G124" s="13">
        <f>'Refrig Mass Flow &amp; Cond kW'!F115*$C$6*($G$19-$G$18)/1000</f>
        <v>0</v>
      </c>
      <c r="H124">
        <f>'Refrig Mass Flow &amp; Cond kW'!F115*$C$6*($G$17-$G$16)/1000</f>
        <v>0</v>
      </c>
      <c r="I124">
        <f>'Refrig Mass Flow &amp; Cond kW'!F115*(($G$13-$G$14)-$C$6*($G$17-$G$18)/1000)-'Refrig Mass Flow &amp; Cond kW'!E115*(1-$C$6/($G$10+273))</f>
        <v>0</v>
      </c>
    </row>
    <row r="125" spans="2:9" x14ac:dyDescent="0.2">
      <c r="B125" s="2">
        <v>102</v>
      </c>
      <c r="C125">
        <f>'Refrig Mass Flow &amp; Cond kW'!D116*$C$6*(($C$19-$C$18)/1000)</f>
        <v>0</v>
      </c>
      <c r="D125">
        <f>'Refrig Mass Flow &amp; Cond kW'!D116*Winter!$C$6*((Winter!$C$17-Winter!$C$16)/1000)</f>
        <v>0</v>
      </c>
      <c r="E125">
        <f>'Refrig Mass Flow &amp; Cond kW'!D116*(($C$13-$C$14)-$C$6*($C$17-$C$18)/1000)-'Refrig Mass Flow &amp; Cond kW'!C116*(1-$C$6/($C$10+273))</f>
        <v>0</v>
      </c>
      <c r="F125" s="13"/>
      <c r="G125" s="13">
        <f>'Refrig Mass Flow &amp; Cond kW'!F116*$C$6*($G$19-$G$18)/1000</f>
        <v>0</v>
      </c>
      <c r="H125">
        <f>'Refrig Mass Flow &amp; Cond kW'!F116*$C$6*($G$17-$G$16)/1000</f>
        <v>0</v>
      </c>
      <c r="I125">
        <f>'Refrig Mass Flow &amp; Cond kW'!F116*(($G$13-$G$14)-$C$6*($G$17-$G$18)/1000)-'Refrig Mass Flow &amp; Cond kW'!E116*(1-$C$6/($G$10+273))</f>
        <v>0</v>
      </c>
    </row>
    <row r="126" spans="2:9" x14ac:dyDescent="0.2">
      <c r="B126" s="2">
        <v>103</v>
      </c>
      <c r="C126">
        <f>'Refrig Mass Flow &amp; Cond kW'!D117*$C$6*(($C$19-$C$18)/1000)</f>
        <v>0</v>
      </c>
      <c r="D126">
        <f>'Refrig Mass Flow &amp; Cond kW'!D117*Winter!$C$6*((Winter!$C$17-Winter!$C$16)/1000)</f>
        <v>0</v>
      </c>
      <c r="E126">
        <f>'Refrig Mass Flow &amp; Cond kW'!D117*(($C$13-$C$14)-$C$6*($C$17-$C$18)/1000)-'Refrig Mass Flow &amp; Cond kW'!C117*(1-$C$6/($C$10+273))</f>
        <v>0</v>
      </c>
      <c r="F126" s="13"/>
      <c r="G126" s="13">
        <f>'Refrig Mass Flow &amp; Cond kW'!F117*$C$6*($G$19-$G$18)/1000</f>
        <v>0</v>
      </c>
      <c r="H126">
        <f>'Refrig Mass Flow &amp; Cond kW'!F117*$C$6*($G$17-$G$16)/1000</f>
        <v>0</v>
      </c>
      <c r="I126">
        <f>'Refrig Mass Flow &amp; Cond kW'!F117*(($G$13-$G$14)-$C$6*($G$17-$G$18)/1000)-'Refrig Mass Flow &amp; Cond kW'!E117*(1-$C$6/($G$10+273))</f>
        <v>0</v>
      </c>
    </row>
    <row r="127" spans="2:9" x14ac:dyDescent="0.2">
      <c r="B127" s="2">
        <v>104</v>
      </c>
      <c r="C127">
        <f>'Refrig Mass Flow &amp; Cond kW'!D118*$C$6*(($C$19-$C$18)/1000)</f>
        <v>0</v>
      </c>
      <c r="D127">
        <f>'Refrig Mass Flow &amp; Cond kW'!D118*Winter!$C$6*((Winter!$C$17-Winter!$C$16)/1000)</f>
        <v>0</v>
      </c>
      <c r="E127">
        <f>'Refrig Mass Flow &amp; Cond kW'!D118*(($C$13-$C$14)-$C$6*($C$17-$C$18)/1000)-'Refrig Mass Flow &amp; Cond kW'!C118*(1-$C$6/($C$10+273))</f>
        <v>0</v>
      </c>
      <c r="F127" s="13"/>
      <c r="G127" s="13">
        <f>'Refrig Mass Flow &amp; Cond kW'!F118*$C$6*($G$19-$G$18)/1000</f>
        <v>0</v>
      </c>
      <c r="H127">
        <f>'Refrig Mass Flow &amp; Cond kW'!F118*$C$6*($G$17-$G$16)/1000</f>
        <v>0</v>
      </c>
      <c r="I127">
        <f>'Refrig Mass Flow &amp; Cond kW'!F118*(($G$13-$G$14)-$C$6*($G$17-$G$18)/1000)-'Refrig Mass Flow &amp; Cond kW'!E118*(1-$C$6/($G$10+273))</f>
        <v>0</v>
      </c>
    </row>
    <row r="128" spans="2:9" x14ac:dyDescent="0.2">
      <c r="B128" s="2">
        <v>105</v>
      </c>
      <c r="C128">
        <f>'Refrig Mass Flow &amp; Cond kW'!D119*$C$6*(($C$19-$C$18)/1000)</f>
        <v>0</v>
      </c>
      <c r="D128">
        <f>'Refrig Mass Flow &amp; Cond kW'!D119*Winter!$C$6*((Winter!$C$17-Winter!$C$16)/1000)</f>
        <v>0</v>
      </c>
      <c r="E128">
        <f>'Refrig Mass Flow &amp; Cond kW'!D119*(($C$13-$C$14)-$C$6*($C$17-$C$18)/1000)-'Refrig Mass Flow &amp; Cond kW'!C119*(1-$C$6/($C$10+273))</f>
        <v>0</v>
      </c>
      <c r="F128" s="13"/>
      <c r="G128" s="13">
        <f>'Refrig Mass Flow &amp; Cond kW'!F119*$C$6*($G$19-$G$18)/1000</f>
        <v>0</v>
      </c>
      <c r="H128">
        <f>'Refrig Mass Flow &amp; Cond kW'!F119*$C$6*($G$17-$G$16)/1000</f>
        <v>0</v>
      </c>
      <c r="I128">
        <f>'Refrig Mass Flow &amp; Cond kW'!F119*(($G$13-$G$14)-$C$6*($G$17-$G$18)/1000)-'Refrig Mass Flow &amp; Cond kW'!E119*(1-$C$6/($G$10+273))</f>
        <v>0</v>
      </c>
    </row>
    <row r="129" spans="2:9" x14ac:dyDescent="0.2">
      <c r="B129" s="2">
        <v>106</v>
      </c>
      <c r="C129">
        <f>'Refrig Mass Flow &amp; Cond kW'!D120*$C$6*(($C$19-$C$18)/1000)</f>
        <v>0</v>
      </c>
      <c r="D129">
        <f>'Refrig Mass Flow &amp; Cond kW'!D120*Winter!$C$6*((Winter!$C$17-Winter!$C$16)/1000)</f>
        <v>0</v>
      </c>
      <c r="E129">
        <f>'Refrig Mass Flow &amp; Cond kW'!D120*(($C$13-$C$14)-$C$6*($C$17-$C$18)/1000)-'Refrig Mass Flow &amp; Cond kW'!C120*(1-$C$6/($C$10+273))</f>
        <v>0</v>
      </c>
      <c r="F129" s="13"/>
      <c r="G129" s="13">
        <f>'Refrig Mass Flow &amp; Cond kW'!F120*$C$6*($G$19-$G$18)/1000</f>
        <v>0</v>
      </c>
      <c r="H129">
        <f>'Refrig Mass Flow &amp; Cond kW'!F120*$C$6*($G$17-$G$16)/1000</f>
        <v>0</v>
      </c>
      <c r="I129">
        <f>'Refrig Mass Flow &amp; Cond kW'!F120*(($G$13-$G$14)-$C$6*($G$17-$G$18)/1000)-'Refrig Mass Flow &amp; Cond kW'!E120*(1-$C$6/($G$10+273))</f>
        <v>0</v>
      </c>
    </row>
    <row r="130" spans="2:9" x14ac:dyDescent="0.2">
      <c r="B130" s="2">
        <v>107</v>
      </c>
      <c r="C130">
        <f>'Refrig Mass Flow &amp; Cond kW'!D121*$C$6*(($C$19-$C$18)/1000)</f>
        <v>0</v>
      </c>
      <c r="D130">
        <f>'Refrig Mass Flow &amp; Cond kW'!D121*Winter!$C$6*((Winter!$C$17-Winter!$C$16)/1000)</f>
        <v>0</v>
      </c>
      <c r="E130">
        <f>'Refrig Mass Flow &amp; Cond kW'!D121*(($C$13-$C$14)-$C$6*($C$17-$C$18)/1000)-'Refrig Mass Flow &amp; Cond kW'!C121*(1-$C$6/($C$10+273))</f>
        <v>0</v>
      </c>
      <c r="F130" s="13"/>
      <c r="G130" s="13">
        <f>'Refrig Mass Flow &amp; Cond kW'!F121*$C$6*($G$19-$G$18)/1000</f>
        <v>0</v>
      </c>
      <c r="H130">
        <f>'Refrig Mass Flow &amp; Cond kW'!F121*$C$6*($G$17-$G$16)/1000</f>
        <v>0</v>
      </c>
      <c r="I130">
        <f>'Refrig Mass Flow &amp; Cond kW'!F121*(($G$13-$G$14)-$C$6*($G$17-$G$18)/1000)-'Refrig Mass Flow &amp; Cond kW'!E121*(1-$C$6/($G$10+273))</f>
        <v>0</v>
      </c>
    </row>
    <row r="131" spans="2:9" x14ac:dyDescent="0.2">
      <c r="B131" s="2">
        <v>108</v>
      </c>
      <c r="C131">
        <f>'Refrig Mass Flow &amp; Cond kW'!D122*$C$6*(($C$19-$C$18)/1000)</f>
        <v>0</v>
      </c>
      <c r="D131">
        <f>'Refrig Mass Flow &amp; Cond kW'!D122*Winter!$C$6*((Winter!$C$17-Winter!$C$16)/1000)</f>
        <v>0</v>
      </c>
      <c r="E131">
        <f>'Refrig Mass Flow &amp; Cond kW'!D122*(($C$13-$C$14)-$C$6*($C$17-$C$18)/1000)-'Refrig Mass Flow &amp; Cond kW'!C122*(1-$C$6/($C$10+273))</f>
        <v>0</v>
      </c>
      <c r="F131" s="13"/>
      <c r="G131" s="13">
        <f>'Refrig Mass Flow &amp; Cond kW'!F122*$C$6*($G$19-$G$18)/1000</f>
        <v>0</v>
      </c>
      <c r="H131">
        <f>'Refrig Mass Flow &amp; Cond kW'!F122*$C$6*($G$17-$G$16)/1000</f>
        <v>0</v>
      </c>
      <c r="I131">
        <f>'Refrig Mass Flow &amp; Cond kW'!F122*(($G$13-$G$14)-$C$6*($G$17-$G$18)/1000)-'Refrig Mass Flow &amp; Cond kW'!E122*(1-$C$6/($G$10+273))</f>
        <v>0</v>
      </c>
    </row>
    <row r="132" spans="2:9" x14ac:dyDescent="0.2">
      <c r="B132" s="2">
        <v>109</v>
      </c>
      <c r="C132">
        <f>'Refrig Mass Flow &amp; Cond kW'!D123*$C$6*(($C$19-$C$18)/1000)</f>
        <v>0</v>
      </c>
      <c r="D132">
        <f>'Refrig Mass Flow &amp; Cond kW'!D123*Winter!$C$6*((Winter!$C$17-Winter!$C$16)/1000)</f>
        <v>0</v>
      </c>
      <c r="E132">
        <f>'Refrig Mass Flow &amp; Cond kW'!D123*(($C$13-$C$14)-$C$6*($C$17-$C$18)/1000)-'Refrig Mass Flow &amp; Cond kW'!C123*(1-$C$6/($C$10+273))</f>
        <v>0</v>
      </c>
      <c r="F132" s="13"/>
      <c r="G132" s="13">
        <f>'Refrig Mass Flow &amp; Cond kW'!F123*$C$6*($G$19-$G$18)/1000</f>
        <v>0</v>
      </c>
      <c r="H132">
        <f>'Refrig Mass Flow &amp; Cond kW'!F123*$C$6*($G$17-$G$16)/1000</f>
        <v>0</v>
      </c>
      <c r="I132">
        <f>'Refrig Mass Flow &amp; Cond kW'!F123*(($G$13-$G$14)-$C$6*($G$17-$G$18)/1000)-'Refrig Mass Flow &amp; Cond kW'!E123*(1-$C$6/($G$10+273))</f>
        <v>0</v>
      </c>
    </row>
    <row r="133" spans="2:9" x14ac:dyDescent="0.2">
      <c r="B133" s="2">
        <v>110</v>
      </c>
      <c r="C133">
        <f>'Refrig Mass Flow &amp; Cond kW'!D124*$C$6*(($C$19-$C$18)/1000)</f>
        <v>0</v>
      </c>
      <c r="D133">
        <f>'Refrig Mass Flow &amp; Cond kW'!D124*Winter!$C$6*((Winter!$C$17-Winter!$C$16)/1000)</f>
        <v>0</v>
      </c>
      <c r="E133">
        <f>'Refrig Mass Flow &amp; Cond kW'!D124*(($C$13-$C$14)-$C$6*($C$17-$C$18)/1000)-'Refrig Mass Flow &amp; Cond kW'!C124*(1-$C$6/($C$10+273))</f>
        <v>0</v>
      </c>
      <c r="F133" s="13"/>
      <c r="G133" s="13">
        <f>'Refrig Mass Flow &amp; Cond kW'!F124*$C$6*($G$19-$G$18)/1000</f>
        <v>0</v>
      </c>
      <c r="H133">
        <f>'Refrig Mass Flow &amp; Cond kW'!F124*$C$6*($G$17-$G$16)/1000</f>
        <v>0</v>
      </c>
      <c r="I133">
        <f>'Refrig Mass Flow &amp; Cond kW'!F124*(($G$13-$G$14)-$C$6*($G$17-$G$18)/1000)-'Refrig Mass Flow &amp; Cond kW'!E124*(1-$C$6/($G$10+273))</f>
        <v>0</v>
      </c>
    </row>
    <row r="134" spans="2:9" x14ac:dyDescent="0.2">
      <c r="B134" s="2">
        <v>111</v>
      </c>
      <c r="C134">
        <f>'Refrig Mass Flow &amp; Cond kW'!D125*$C$6*(($C$19-$C$18)/1000)</f>
        <v>0</v>
      </c>
      <c r="D134">
        <f>'Refrig Mass Flow &amp; Cond kW'!D125*Winter!$C$6*((Winter!$C$17-Winter!$C$16)/1000)</f>
        <v>0</v>
      </c>
      <c r="E134">
        <f>'Refrig Mass Flow &amp; Cond kW'!D125*(($C$13-$C$14)-$C$6*($C$17-$C$18)/1000)-'Refrig Mass Flow &amp; Cond kW'!C125*(1-$C$6/($C$10+273))</f>
        <v>0</v>
      </c>
      <c r="F134" s="13"/>
      <c r="G134" s="13">
        <f>'Refrig Mass Flow &amp; Cond kW'!F125*$C$6*($G$19-$G$18)/1000</f>
        <v>0</v>
      </c>
      <c r="H134">
        <f>'Refrig Mass Flow &amp; Cond kW'!F125*$C$6*($G$17-$G$16)/1000</f>
        <v>0</v>
      </c>
      <c r="I134">
        <f>'Refrig Mass Flow &amp; Cond kW'!F125*(($G$13-$G$14)-$C$6*($G$17-$G$18)/1000)-'Refrig Mass Flow &amp; Cond kW'!E125*(1-$C$6/($G$10+273))</f>
        <v>0</v>
      </c>
    </row>
    <row r="135" spans="2:9" x14ac:dyDescent="0.2">
      <c r="B135" s="2">
        <v>112</v>
      </c>
      <c r="C135">
        <f>'Refrig Mass Flow &amp; Cond kW'!D126*$C$6*(($C$19-$C$18)/1000)</f>
        <v>1.1541466005611529</v>
      </c>
      <c r="D135">
        <f>'Refrig Mass Flow &amp; Cond kW'!D126*Winter!$C$6*((Winter!$C$17-Winter!$C$16)/1000)</f>
        <v>3.874635016169528</v>
      </c>
      <c r="E135">
        <f>'Refrig Mass Flow &amp; Cond kW'!D126*(($C$13-$C$14)-$C$6*($C$17-$C$18)/1000)-'Refrig Mass Flow &amp; Cond kW'!C126*(1-$C$6/($C$10+273))</f>
        <v>1.1011698330616575</v>
      </c>
      <c r="F135" s="13"/>
      <c r="G135" s="13">
        <f>'Refrig Mass Flow &amp; Cond kW'!F126*$C$6*($G$19-$G$18)/1000</f>
        <v>0</v>
      </c>
      <c r="H135">
        <f>'Refrig Mass Flow &amp; Cond kW'!F126*$C$6*($G$17-$G$16)/1000</f>
        <v>0</v>
      </c>
      <c r="I135">
        <f>'Refrig Mass Flow &amp; Cond kW'!F126*(($G$13-$G$14)-$C$6*($G$17-$G$18)/1000)-'Refrig Mass Flow &amp; Cond kW'!E126*(1-$C$6/($G$10+273))</f>
        <v>0</v>
      </c>
    </row>
    <row r="136" spans="2:9" x14ac:dyDescent="0.2">
      <c r="B136" s="2">
        <v>113</v>
      </c>
      <c r="C136">
        <f>'Refrig Mass Flow &amp; Cond kW'!D127*$C$6*(($C$19-$C$18)/1000)</f>
        <v>1.1843595953109032</v>
      </c>
      <c r="D136">
        <f>'Refrig Mass Flow &amp; Cond kW'!D127*Winter!$C$6*((Winter!$C$17-Winter!$C$16)/1000)</f>
        <v>3.9760643556865456</v>
      </c>
      <c r="E136">
        <f>'Refrig Mass Flow &amp; Cond kW'!D127*(($C$13-$C$14)-$C$6*($C$17-$C$18)/1000)-'Refrig Mass Flow &amp; Cond kW'!C127*(1-$C$6/($C$10+273))</f>
        <v>1.1299960136947753</v>
      </c>
      <c r="F136" s="13"/>
      <c r="G136" s="13">
        <f>'Refrig Mass Flow &amp; Cond kW'!F127*$C$6*($G$19-$G$18)/1000</f>
        <v>0</v>
      </c>
      <c r="H136">
        <f>'Refrig Mass Flow &amp; Cond kW'!F127*$C$6*($G$17-$G$16)/1000</f>
        <v>0</v>
      </c>
      <c r="I136">
        <f>'Refrig Mass Flow &amp; Cond kW'!F127*(($G$13-$G$14)-$C$6*($G$17-$G$18)/1000)-'Refrig Mass Flow &amp; Cond kW'!E127*(1-$C$6/($G$10+273))</f>
        <v>0</v>
      </c>
    </row>
    <row r="137" spans="2:9" x14ac:dyDescent="0.2">
      <c r="B137" s="2">
        <v>114</v>
      </c>
      <c r="C137">
        <f>'Refrig Mass Flow &amp; Cond kW'!D128*$C$6*(($C$19-$C$18)/1000)</f>
        <v>1.2145331088423517</v>
      </c>
      <c r="D137">
        <f>'Refrig Mass Flow &amp; Cond kW'!D128*Winter!$C$6*((Winter!$C$17-Winter!$C$16)/1000)</f>
        <v>4.0773611511135499</v>
      </c>
      <c r="E137">
        <f>'Refrig Mass Flow &amp; Cond kW'!D128*(($C$13-$C$14)-$C$6*($C$17-$C$18)/1000)-'Refrig Mass Flow &amp; Cond kW'!C128*(1-$C$6/($C$10+273))</f>
        <v>1.1587845253467215</v>
      </c>
      <c r="F137" s="13"/>
      <c r="G137" s="13">
        <f>'Refrig Mass Flow &amp; Cond kW'!F128*$C$6*($G$19-$G$18)/1000</f>
        <v>0</v>
      </c>
      <c r="H137">
        <f>'Refrig Mass Flow &amp; Cond kW'!F128*$C$6*($G$17-$G$16)/1000</f>
        <v>0</v>
      </c>
      <c r="I137">
        <f>'Refrig Mass Flow &amp; Cond kW'!F128*(($G$13-$G$14)-$C$6*($G$17-$G$18)/1000)-'Refrig Mass Flow &amp; Cond kW'!E128*(1-$C$6/($G$10+273))</f>
        <v>0</v>
      </c>
    </row>
    <row r="138" spans="2:9" x14ac:dyDescent="0.2">
      <c r="B138" s="2">
        <v>115</v>
      </c>
      <c r="C138">
        <f>'Refrig Mass Flow &amp; Cond kW'!D129*$C$6*(($C$19-$C$18)/1000)</f>
        <v>1.244668255011421</v>
      </c>
      <c r="D138">
        <f>'Refrig Mass Flow &amp; Cond kW'!D129*Winter!$C$6*((Winter!$C$17-Winter!$C$16)/1000)</f>
        <v>4.1785291418239954</v>
      </c>
      <c r="E138">
        <f>'Refrig Mass Flow &amp; Cond kW'!D129*(($C$13-$C$14)-$C$6*($C$17-$C$18)/1000)-'Refrig Mass Flow &amp; Cond kW'!C129*(1-$C$6/($C$10+273))</f>
        <v>1.187536430746043</v>
      </c>
      <c r="F138" s="13"/>
      <c r="G138" s="13">
        <f>'Refrig Mass Flow &amp; Cond kW'!F129*$C$6*($G$19-$G$18)/1000</f>
        <v>0</v>
      </c>
      <c r="H138">
        <f>'Refrig Mass Flow &amp; Cond kW'!F129*$C$6*($G$17-$G$16)/1000</f>
        <v>0</v>
      </c>
      <c r="I138">
        <f>'Refrig Mass Flow &amp; Cond kW'!F129*(($G$13-$G$14)-$C$6*($G$17-$G$18)/1000)-'Refrig Mass Flow &amp; Cond kW'!E129*(1-$C$6/($G$10+273))</f>
        <v>0</v>
      </c>
    </row>
    <row r="139" spans="2:9" x14ac:dyDescent="0.2">
      <c r="B139" s="2">
        <v>116</v>
      </c>
      <c r="C139">
        <f>'Refrig Mass Flow &amp; Cond kW'!D130*$C$6*(($C$19-$C$18)/1000)</f>
        <v>1.2747661418117122</v>
      </c>
      <c r="D139">
        <f>'Refrig Mass Flow &amp; Cond kW'!D130*Winter!$C$6*((Winter!$C$17-Winter!$C$16)/1000)</f>
        <v>4.2795720475106851</v>
      </c>
      <c r="E139">
        <f>'Refrig Mass Flow &amp; Cond kW'!D130*(($C$13-$C$14)-$C$6*($C$17-$C$18)/1000)-'Refrig Mass Flow &amp; Cond kW'!C130*(1-$C$6/($C$10+273))</f>
        <v>1.2162527870280542</v>
      </c>
      <c r="F139" s="13"/>
      <c r="G139" s="13">
        <f>'Refrig Mass Flow &amp; Cond kW'!F130*$C$6*($G$19-$G$18)/1000</f>
        <v>0</v>
      </c>
      <c r="H139">
        <f>'Refrig Mass Flow &amp; Cond kW'!F130*$C$6*($G$17-$G$16)/1000</f>
        <v>0</v>
      </c>
      <c r="I139">
        <f>'Refrig Mass Flow &amp; Cond kW'!F130*(($G$13-$G$14)-$C$6*($G$17-$G$18)/1000)-'Refrig Mass Flow &amp; Cond kW'!E130*(1-$C$6/($G$10+273))</f>
        <v>0</v>
      </c>
    </row>
    <row r="140" spans="2:9" x14ac:dyDescent="0.2">
      <c r="B140" s="2">
        <v>117</v>
      </c>
      <c r="C140">
        <f>'Refrig Mass Flow &amp; Cond kW'!D131*$C$6*(($C$19-$C$18)/1000)</f>
        <v>1.3048269027338117</v>
      </c>
      <c r="D140">
        <f>'Refrig Mass Flow &amp; Cond kW'!D131*Winter!$C$6*((Winter!$C$17-Winter!$C$16)/1000)</f>
        <v>4.3804903163205893</v>
      </c>
      <c r="E140">
        <f>'Refrig Mass Flow &amp; Cond kW'!D131*(($C$13-$C$14)-$C$6*($C$17-$C$18)/1000)-'Refrig Mass Flow &amp; Cond kW'!C131*(1-$C$6/($C$10+273))</f>
        <v>1.2449337215559559</v>
      </c>
      <c r="F140" s="13"/>
      <c r="G140" s="13">
        <f>'Refrig Mass Flow &amp; Cond kW'!F131*$C$6*($G$19-$G$18)/1000</f>
        <v>0</v>
      </c>
      <c r="H140">
        <f>'Refrig Mass Flow &amp; Cond kW'!F131*$C$6*($G$17-$G$16)/1000</f>
        <v>0</v>
      </c>
      <c r="I140">
        <f>'Refrig Mass Flow &amp; Cond kW'!F131*(($G$13-$G$14)-$C$6*($G$17-$G$18)/1000)-'Refrig Mass Flow &amp; Cond kW'!E131*(1-$C$6/($G$10+273))</f>
        <v>0</v>
      </c>
    </row>
    <row r="141" spans="2:9" x14ac:dyDescent="0.2">
      <c r="B141" s="2">
        <v>118</v>
      </c>
      <c r="C141">
        <f>'Refrig Mass Flow &amp; Cond kW'!D132*$C$6*(($C$19-$C$18)/1000)</f>
        <v>1.3350201890768032</v>
      </c>
      <c r="D141">
        <f>'Refrig Mass Flow &amp; Cond kW'!D132*Winter!$C$6*((Winter!$C$17-Winter!$C$16)/1000)</f>
        <v>4.4818534919006305</v>
      </c>
      <c r="E141">
        <f>'Refrig Mass Flow &amp; Cond kW'!D132*(($C$13-$C$14)-$C$6*($C$17-$C$18)/1000)-'Refrig Mass Flow &amp; Cond kW'!C132*(1-$C$6/($C$10+273))</f>
        <v>1.2737410984227502</v>
      </c>
      <c r="F141" s="13"/>
      <c r="G141" s="13">
        <f>'Refrig Mass Flow &amp; Cond kW'!F132*$C$6*($G$19-$G$18)/1000</f>
        <v>0</v>
      </c>
      <c r="H141">
        <f>'Refrig Mass Flow &amp; Cond kW'!F132*$C$6*($G$17-$G$16)/1000</f>
        <v>0</v>
      </c>
      <c r="I141">
        <f>'Refrig Mass Flow &amp; Cond kW'!F132*(($G$13-$G$14)-$C$6*($G$17-$G$18)/1000)-'Refrig Mass Flow &amp; Cond kW'!E132*(1-$C$6/($G$10+273))</f>
        <v>0</v>
      </c>
    </row>
    <row r="142" spans="2:9" x14ac:dyDescent="0.2">
      <c r="B142" s="2">
        <v>119</v>
      </c>
      <c r="C142">
        <f>'Refrig Mass Flow &amp; Cond kW'!D133*$C$6*(($C$19-$C$18)/1000)</f>
        <v>1.3284716809821844</v>
      </c>
      <c r="D142">
        <f>'Refrig Mass Flow &amp; Cond kW'!D133*Winter!$C$6*((Winter!$C$17-Winter!$C$16)/1000)</f>
        <v>4.4598692147258392</v>
      </c>
      <c r="E142">
        <f>'Refrig Mass Flow &amp; Cond kW'!D133*(($C$13-$C$14)-$C$6*($C$17-$C$18)/1000)-'Refrig Mass Flow &amp; Cond kW'!C133*(1-$C$6/($C$10+273))</f>
        <v>1.2674931750117651</v>
      </c>
      <c r="F142" s="13"/>
      <c r="G142" s="13">
        <f>'Refrig Mass Flow &amp; Cond kW'!F133*$C$6*($G$19-$G$18)/1000</f>
        <v>0</v>
      </c>
      <c r="H142">
        <f>'Refrig Mass Flow &amp; Cond kW'!F133*$C$6*($G$17-$G$16)/1000</f>
        <v>0</v>
      </c>
      <c r="I142">
        <f>'Refrig Mass Flow &amp; Cond kW'!F133*(($G$13-$G$14)-$C$6*($G$17-$G$18)/1000)-'Refrig Mass Flow &amp; Cond kW'!E133*(1-$C$6/($G$10+273))</f>
        <v>0</v>
      </c>
    </row>
    <row r="143" spans="2:9" x14ac:dyDescent="0.2">
      <c r="B143" s="2">
        <v>120</v>
      </c>
      <c r="C143">
        <f>'Refrig Mass Flow &amp; Cond kW'!D134*$C$6*(($C$19-$C$18)/1000)</f>
        <v>1.2969704775510349</v>
      </c>
      <c r="D143">
        <f>'Refrig Mass Flow &amp; Cond kW'!D134*Winter!$C$6*((Winter!$C$17-Winter!$C$16)/1000)</f>
        <v>4.3541151746355533</v>
      </c>
      <c r="E143">
        <f>'Refrig Mass Flow &amp; Cond kW'!D134*(($C$13-$C$14)-$C$6*($C$17-$C$18)/1000)-'Refrig Mass Flow &amp; Cond kW'!C134*(1-$C$6/($C$10+273))</f>
        <v>1.2374379160813547</v>
      </c>
      <c r="F143" s="13"/>
      <c r="G143" s="13">
        <f>'Refrig Mass Flow &amp; Cond kW'!F134*$C$6*($G$19-$G$18)/1000</f>
        <v>0</v>
      </c>
      <c r="H143">
        <f>'Refrig Mass Flow &amp; Cond kW'!F134*$C$6*($G$17-$G$16)/1000</f>
        <v>0</v>
      </c>
      <c r="I143">
        <f>'Refrig Mass Flow &amp; Cond kW'!F134*(($G$13-$G$14)-$C$6*($G$17-$G$18)/1000)-'Refrig Mass Flow &amp; Cond kW'!E134*(1-$C$6/($G$10+273))</f>
        <v>0</v>
      </c>
    </row>
    <row r="144" spans="2:9" x14ac:dyDescent="0.2">
      <c r="B144" s="2">
        <v>121</v>
      </c>
      <c r="C144">
        <f>'Refrig Mass Flow &amp; Cond kW'!D135*$C$6*(($C$19-$C$18)/1000)</f>
        <v>1.2704695623726319</v>
      </c>
      <c r="D144">
        <f>'Refrig Mass Flow &amp; Cond kW'!D135*Winter!$C$6*((Winter!$C$17-Winter!$C$16)/1000)</f>
        <v>4.2651478165366301</v>
      </c>
      <c r="E144">
        <f>'Refrig Mass Flow &amp; Cond kW'!D135*(($C$13-$C$14)-$C$6*($C$17-$C$18)/1000)-'Refrig Mass Flow &amp; Cond kW'!C135*(1-$C$6/($C$10+273))</f>
        <v>1.2121534259405031</v>
      </c>
      <c r="F144" s="13"/>
      <c r="G144" s="13">
        <f>'Refrig Mass Flow &amp; Cond kW'!F135*$C$6*($G$19-$G$18)/1000</f>
        <v>0</v>
      </c>
      <c r="H144">
        <f>'Refrig Mass Flow &amp; Cond kW'!F135*$C$6*($G$17-$G$16)/1000</f>
        <v>0</v>
      </c>
      <c r="I144">
        <f>'Refrig Mass Flow &amp; Cond kW'!F135*(($G$13-$G$14)-$C$6*($G$17-$G$18)/1000)-'Refrig Mass Flow &amp; Cond kW'!E135*(1-$C$6/($G$10+273))</f>
        <v>0</v>
      </c>
    </row>
    <row r="145" spans="2:9" x14ac:dyDescent="0.2">
      <c r="B145" s="2">
        <v>122</v>
      </c>
      <c r="C145">
        <f>'Refrig Mass Flow &amp; Cond kW'!D136*$C$6*(($C$19-$C$18)/1000)</f>
        <v>1.2464574169405835</v>
      </c>
      <c r="D145">
        <f>'Refrig Mass Flow &amp; Cond kW'!D136*Winter!$C$6*((Winter!$C$17-Winter!$C$16)/1000)</f>
        <v>4.1845356140147549</v>
      </c>
      <c r="E145">
        <f>'Refrig Mass Flow &amp; Cond kW'!D136*(($C$13-$C$14)-$C$6*($C$17-$C$18)/1000)-'Refrig Mass Flow &amp; Cond kW'!C136*(1-$C$6/($C$10+273))</f>
        <v>1.1892434679126396</v>
      </c>
      <c r="F145" s="13"/>
      <c r="G145" s="13">
        <f>'Refrig Mass Flow &amp; Cond kW'!F136*$C$6*($G$19-$G$18)/1000</f>
        <v>0</v>
      </c>
      <c r="H145">
        <f>'Refrig Mass Flow &amp; Cond kW'!F136*$C$6*($G$17-$G$16)/1000</f>
        <v>0</v>
      </c>
      <c r="I145">
        <f>'Refrig Mass Flow &amp; Cond kW'!F136*(($G$13-$G$14)-$C$6*($G$17-$G$18)/1000)-'Refrig Mass Flow &amp; Cond kW'!E136*(1-$C$6/($G$10+273))</f>
        <v>0</v>
      </c>
    </row>
    <row r="146" spans="2:9" x14ac:dyDescent="0.2">
      <c r="B146" s="2">
        <v>123</v>
      </c>
      <c r="C146">
        <f>'Refrig Mass Flow &amp; Cond kW'!D137*$C$6*(($C$19-$C$18)/1000)</f>
        <v>1.2214637763161917</v>
      </c>
      <c r="D146">
        <f>'Refrig Mass Flow &amp; Cond kW'!D137*Winter!$C$6*((Winter!$C$17-Winter!$C$16)/1000)</f>
        <v>4.1006283919185833</v>
      </c>
      <c r="E146">
        <f>'Refrig Mass Flow &amp; Cond kW'!D137*(($C$13-$C$14)-$C$6*($C$17-$C$18)/1000)-'Refrig Mass Flow &amp; Cond kW'!C137*(1-$C$6/($C$10+273))</f>
        <v>1.165397066545097</v>
      </c>
      <c r="F146" s="13"/>
      <c r="G146" s="13">
        <f>'Refrig Mass Flow &amp; Cond kW'!F137*$C$6*($G$19-$G$18)/1000</f>
        <v>0</v>
      </c>
      <c r="H146">
        <f>'Refrig Mass Flow &amp; Cond kW'!F137*$C$6*($G$17-$G$16)/1000</f>
        <v>0</v>
      </c>
      <c r="I146">
        <f>'Refrig Mass Flow &amp; Cond kW'!F137*(($G$13-$G$14)-$C$6*($G$17-$G$18)/1000)-'Refrig Mass Flow &amp; Cond kW'!E137*(1-$C$6/($G$10+273))</f>
        <v>0</v>
      </c>
    </row>
    <row r="147" spans="2:9" x14ac:dyDescent="0.2">
      <c r="B147" s="2">
        <v>124</v>
      </c>
      <c r="C147">
        <f>'Refrig Mass Flow &amp; Cond kW'!D138*$C$6*(($C$19-$C$18)/1000)</f>
        <v>1.1945308652278157</v>
      </c>
      <c r="D147">
        <f>'Refrig Mass Flow &amp; Cond kW'!D138*Winter!$C$6*((Winter!$C$17-Winter!$C$16)/1000)</f>
        <v>4.0102107618361797</v>
      </c>
      <c r="E147">
        <f>'Refrig Mass Flow &amp; Cond kW'!D138*(($C$13-$C$14)-$C$6*($C$17-$C$18)/1000)-'Refrig Mass Flow &amp; Cond kW'!C138*(1-$C$6/($C$10+273))</f>
        <v>1.1397004096449841</v>
      </c>
      <c r="F147" s="13"/>
      <c r="G147" s="13">
        <f>'Refrig Mass Flow &amp; Cond kW'!F138*$C$6*($G$19-$G$18)/1000</f>
        <v>0</v>
      </c>
      <c r="H147">
        <f>'Refrig Mass Flow &amp; Cond kW'!F138*$C$6*($G$17-$G$16)/1000</f>
        <v>0</v>
      </c>
      <c r="I147">
        <f>'Refrig Mass Flow &amp; Cond kW'!F138*(($G$13-$G$14)-$C$6*($G$17-$G$18)/1000)-'Refrig Mass Flow &amp; Cond kW'!E138*(1-$C$6/($G$10+273))</f>
        <v>0</v>
      </c>
    </row>
    <row r="148" spans="2:9" x14ac:dyDescent="0.2">
      <c r="B148" s="2">
        <v>125</v>
      </c>
      <c r="C148">
        <f>'Refrig Mass Flow &amp; Cond kW'!D139*$C$6*(($C$19-$C$18)/1000)</f>
        <v>1.165658231146822</v>
      </c>
      <c r="D148">
        <f>'Refrig Mass Flow &amp; Cond kW'!D139*Winter!$C$6*((Winter!$C$17-Winter!$C$16)/1000)</f>
        <v>3.9132812045642735</v>
      </c>
      <c r="E148">
        <f>'Refrig Mass Flow &amp; Cond kW'!D139*(($C$13-$C$14)-$C$6*($C$17-$C$18)/1000)-'Refrig Mass Flow &amp; Cond kW'!C139*(1-$C$6/($C$10+273))</f>
        <v>1.1121530654552956</v>
      </c>
      <c r="F148" s="13"/>
      <c r="G148" s="13">
        <f>'Refrig Mass Flow &amp; Cond kW'!F139*$C$6*($G$19-$G$18)/1000</f>
        <v>0</v>
      </c>
      <c r="H148">
        <f>'Refrig Mass Flow &amp; Cond kW'!F139*$C$6*($G$17-$G$16)/1000</f>
        <v>0</v>
      </c>
      <c r="I148">
        <f>'Refrig Mass Flow &amp; Cond kW'!F139*(($G$13-$G$14)-$C$6*($G$17-$G$18)/1000)-'Refrig Mass Flow &amp; Cond kW'!E139*(1-$C$6/($G$10+273))</f>
        <v>0</v>
      </c>
    </row>
    <row r="149" spans="2:9" x14ac:dyDescent="0.2">
      <c r="B149" s="2">
        <v>126</v>
      </c>
      <c r="C149">
        <f>'Refrig Mass Flow &amp; Cond kW'!D140*$C$6*(($C$19-$C$18)/1000)</f>
        <v>1.134845434878555</v>
      </c>
      <c r="D149">
        <f>'Refrig Mass Flow &amp; Cond kW'!D140*Winter!$C$6*((Winter!$C$17-Winter!$C$16)/1000)</f>
        <v>3.8098382456636646</v>
      </c>
      <c r="E149">
        <f>'Refrig Mass Flow &amp; Cond kW'!D140*(($C$13-$C$14)-$C$6*($C$17-$C$18)/1000)-'Refrig Mass Flow &amp; Cond kW'!C140*(1-$C$6/($C$10+273))</f>
        <v>1.0827546149409528</v>
      </c>
      <c r="F149" s="13"/>
      <c r="G149" s="13">
        <f>'Refrig Mass Flow &amp; Cond kW'!F140*$C$6*($G$19-$G$18)/1000</f>
        <v>0</v>
      </c>
      <c r="H149">
        <f>'Refrig Mass Flow &amp; Cond kW'!F140*$C$6*($G$17-$G$16)/1000</f>
        <v>0</v>
      </c>
      <c r="I149">
        <f>'Refrig Mass Flow &amp; Cond kW'!F140*(($G$13-$G$14)-$C$6*($G$17-$G$18)/1000)-'Refrig Mass Flow &amp; Cond kW'!E140*(1-$C$6/($G$10+273))</f>
        <v>0</v>
      </c>
    </row>
    <row r="150" spans="2:9" x14ac:dyDescent="0.2">
      <c r="B150" s="2">
        <v>127</v>
      </c>
      <c r="C150">
        <f>'Refrig Mass Flow &amp; Cond kW'!D141*$C$6*(($C$19-$C$18)/1000)</f>
        <v>1.132101062442874</v>
      </c>
      <c r="D150">
        <f>'Refrig Mass Flow &amp; Cond kW'!D141*Winter!$C$6*((Winter!$C$17-Winter!$C$16)/1000)</f>
        <v>3.800624995343878</v>
      </c>
      <c r="E150">
        <f>'Refrig Mass Flow &amp; Cond kW'!D141*(($C$13-$C$14)-$C$6*($C$17-$C$18)/1000)-'Refrig Mass Flow &amp; Cond kW'!C141*(1-$C$6/($C$10+273))</f>
        <v>1.0801362126206691</v>
      </c>
      <c r="F150" s="13"/>
      <c r="G150" s="13">
        <f>'Refrig Mass Flow &amp; Cond kW'!F141*$C$6*($G$19-$G$18)/1000</f>
        <v>0</v>
      </c>
      <c r="H150">
        <f>'Refrig Mass Flow &amp; Cond kW'!F141*$C$6*($G$17-$G$16)/1000</f>
        <v>0</v>
      </c>
      <c r="I150">
        <f>'Refrig Mass Flow &amp; Cond kW'!F141*(($G$13-$G$14)-$C$6*($G$17-$G$18)/1000)-'Refrig Mass Flow &amp; Cond kW'!E141*(1-$C$6/($G$10+273))</f>
        <v>0</v>
      </c>
    </row>
    <row r="151" spans="2:9" x14ac:dyDescent="0.2">
      <c r="B151" s="2">
        <v>128</v>
      </c>
      <c r="C151">
        <f>'Refrig Mass Flow &amp; Cond kW'!D142*$C$6*(($C$19-$C$18)/1000)</f>
        <v>1.1678532478869095</v>
      </c>
      <c r="D151">
        <f>'Refrig Mass Flow &amp; Cond kW'!D142*Winter!$C$6*((Winter!$C$17-Winter!$C$16)/1000)</f>
        <v>3.9206501893345673</v>
      </c>
      <c r="E151">
        <f>'Refrig Mass Flow &amp; Cond kW'!D142*(($C$13-$C$14)-$C$6*($C$17-$C$18)/1000)-'Refrig Mass Flow &amp; Cond kW'!C142*(1-$C$6/($C$10+273))</f>
        <v>1.11424732819113</v>
      </c>
      <c r="F151" s="13"/>
      <c r="G151" s="13">
        <f>'Refrig Mass Flow &amp; Cond kW'!F142*$C$6*($G$19-$G$18)/1000</f>
        <v>0</v>
      </c>
      <c r="H151">
        <f>'Refrig Mass Flow &amp; Cond kW'!F142*$C$6*($G$17-$G$16)/1000</f>
        <v>0</v>
      </c>
      <c r="I151">
        <f>'Refrig Mass Flow &amp; Cond kW'!F142*(($G$13-$G$14)-$C$6*($G$17-$G$18)/1000)-'Refrig Mass Flow &amp; Cond kW'!E142*(1-$C$6/($G$10+273))</f>
        <v>0</v>
      </c>
    </row>
    <row r="152" spans="2:9" x14ac:dyDescent="0.2">
      <c r="B152" s="2">
        <v>129</v>
      </c>
      <c r="C152">
        <f>'Refrig Mass Flow &amp; Cond kW'!D143*$C$6*(($C$19-$C$18)/1000)</f>
        <v>1.1613000297130009</v>
      </c>
      <c r="D152">
        <f>'Refrig Mass Flow &amp; Cond kW'!D143*Winter!$C$6*((Winter!$C$17-Winter!$C$16)/1000)</f>
        <v>3.8986500997507316</v>
      </c>
      <c r="E152">
        <f>'Refrig Mass Flow &amp; Cond kW'!D143*(($C$13-$C$14)-$C$6*($C$17-$C$18)/1000)-'Refrig Mass Flow &amp; Cond kW'!C143*(1-$C$6/($C$10+273))</f>
        <v>1.1079949108993681</v>
      </c>
      <c r="F152" s="13"/>
      <c r="G152" s="13">
        <f>'Refrig Mass Flow &amp; Cond kW'!F143*$C$6*($G$19-$G$18)/1000</f>
        <v>0</v>
      </c>
      <c r="H152">
        <f>'Refrig Mass Flow &amp; Cond kW'!F143*$C$6*($G$17-$G$16)/1000</f>
        <v>0</v>
      </c>
      <c r="I152">
        <f>'Refrig Mass Flow &amp; Cond kW'!F143*(($G$13-$G$14)-$C$6*($G$17-$G$18)/1000)-'Refrig Mass Flow &amp; Cond kW'!E143*(1-$C$6/($G$10+273))</f>
        <v>0</v>
      </c>
    </row>
    <row r="153" spans="2:9" x14ac:dyDescent="0.2">
      <c r="B153" s="2">
        <v>130</v>
      </c>
      <c r="C153">
        <f>'Refrig Mass Flow &amp; Cond kW'!D144*$C$6*(($C$19-$C$18)/1000)</f>
        <v>1.1227669904378972</v>
      </c>
      <c r="D153">
        <f>'Refrig Mass Flow &amp; Cond kW'!D144*Winter!$C$6*((Winter!$C$17-Winter!$C$16)/1000)</f>
        <v>3.7692891821843135</v>
      </c>
      <c r="E153">
        <f>'Refrig Mass Flow &amp; Cond kW'!D144*(($C$13-$C$14)-$C$6*($C$17-$C$18)/1000)-'Refrig Mass Flow &amp; Cond kW'!C144*(1-$C$6/($C$10+273))</f>
        <v>1.0712305861547513</v>
      </c>
      <c r="F153" s="13"/>
      <c r="G153" s="13">
        <f>'Refrig Mass Flow &amp; Cond kW'!F144*$C$6*($G$19-$G$18)/1000</f>
        <v>0</v>
      </c>
      <c r="H153">
        <f>'Refrig Mass Flow &amp; Cond kW'!F144*$C$6*($G$17-$G$16)/1000</f>
        <v>0</v>
      </c>
      <c r="I153">
        <f>'Refrig Mass Flow &amp; Cond kW'!F144*(($G$13-$G$14)-$C$6*($G$17-$G$18)/1000)-'Refrig Mass Flow &amp; Cond kW'!E144*(1-$C$6/($G$10+273))</f>
        <v>0</v>
      </c>
    </row>
    <row r="154" spans="2:9" x14ac:dyDescent="0.2">
      <c r="B154" s="2">
        <v>131</v>
      </c>
      <c r="C154">
        <f>'Refrig Mass Flow &amp; Cond kW'!D145*$C$6*(($C$19-$C$18)/1000)</f>
        <v>1.0828972110143702</v>
      </c>
      <c r="D154">
        <f>'Refrig Mass Flow &amp; Cond kW'!D145*Winter!$C$6*((Winter!$C$17-Winter!$C$16)/1000)</f>
        <v>3.6354406369767607</v>
      </c>
      <c r="E154">
        <f>'Refrig Mass Flow &amp; Cond kW'!D145*(($C$13-$C$14)-$C$6*($C$17-$C$18)/1000)-'Refrig Mass Flow &amp; Cond kW'!C145*(1-$C$6/($C$10+273))</f>
        <v>1.0331908793006477</v>
      </c>
      <c r="F154" s="13"/>
      <c r="G154" s="13">
        <f>'Refrig Mass Flow &amp; Cond kW'!F145*$C$6*($G$19-$G$18)/1000</f>
        <v>0</v>
      </c>
      <c r="H154">
        <f>'Refrig Mass Flow &amp; Cond kW'!F145*$C$6*($G$17-$G$16)/1000</f>
        <v>0</v>
      </c>
      <c r="I154">
        <f>'Refrig Mass Flow &amp; Cond kW'!F145*(($G$13-$G$14)-$C$6*($G$17-$G$18)/1000)-'Refrig Mass Flow &amp; Cond kW'!E145*(1-$C$6/($G$10+273))</f>
        <v>0</v>
      </c>
    </row>
    <row r="155" spans="2:9" x14ac:dyDescent="0.2">
      <c r="B155" s="2">
        <v>132</v>
      </c>
      <c r="C155">
        <f>'Refrig Mass Flow &amp; Cond kW'!D146*$C$6*(($C$19-$C$18)/1000)</f>
        <v>2.9299975781337686</v>
      </c>
      <c r="D155">
        <f>'Refrig Mass Flow &amp; Cond kW'!D146*Winter!$C$6*((Winter!$C$17-Winter!$C$16)/1000)</f>
        <v>9.8364204408775073</v>
      </c>
      <c r="E155">
        <f>'Refrig Mass Flow &amp; Cond kW'!D146*(($C$13-$C$14)-$C$6*($C$17-$C$18)/1000)-'Refrig Mass Flow &amp; Cond kW'!C146*(1-$C$6/($C$10+273))</f>
        <v>2.7955070373347013</v>
      </c>
      <c r="F155" s="13"/>
      <c r="G155" s="13">
        <f>'Refrig Mass Flow &amp; Cond kW'!F146*$C$6*($G$19-$G$18)/1000</f>
        <v>0</v>
      </c>
      <c r="H155">
        <f>'Refrig Mass Flow &amp; Cond kW'!F146*$C$6*($G$17-$G$16)/1000</f>
        <v>0</v>
      </c>
      <c r="I155">
        <f>'Refrig Mass Flow &amp; Cond kW'!F146*(($G$13-$G$14)-$C$6*($G$17-$G$18)/1000)-'Refrig Mass Flow &amp; Cond kW'!E146*(1-$C$6/($G$10+273))</f>
        <v>0</v>
      </c>
    </row>
    <row r="156" spans="2:9" x14ac:dyDescent="0.2">
      <c r="B156" s="2">
        <v>133</v>
      </c>
      <c r="C156">
        <f>'Refrig Mass Flow &amp; Cond kW'!D147*$C$6*(($C$19-$C$18)/1000)</f>
        <v>2.8908901716576145</v>
      </c>
      <c r="D156">
        <f>'Refrig Mass Flow &amp; Cond kW'!D147*Winter!$C$6*((Winter!$C$17-Winter!$C$16)/1000)</f>
        <v>9.7051312905647062</v>
      </c>
      <c r="E156">
        <f>'Refrig Mass Flow &amp; Cond kW'!D147*(($C$13-$C$14)-$C$6*($C$17-$C$18)/1000)-'Refrig Mass Flow &amp; Cond kW'!C147*(1-$C$6/($C$10+273))</f>
        <v>2.7581947095594614</v>
      </c>
      <c r="F156" s="13"/>
      <c r="G156" s="13">
        <f>'Refrig Mass Flow &amp; Cond kW'!F147*$C$6*($G$19-$G$18)/1000</f>
        <v>0</v>
      </c>
      <c r="H156">
        <f>'Refrig Mass Flow &amp; Cond kW'!F147*$C$6*($G$17-$G$16)/1000</f>
        <v>0</v>
      </c>
      <c r="I156">
        <f>'Refrig Mass Flow &amp; Cond kW'!F147*(($G$13-$G$14)-$C$6*($G$17-$G$18)/1000)-'Refrig Mass Flow &amp; Cond kW'!E147*(1-$C$6/($G$10+273))</f>
        <v>0</v>
      </c>
    </row>
    <row r="157" spans="2:9" x14ac:dyDescent="0.2">
      <c r="B157" s="2">
        <v>134</v>
      </c>
      <c r="C157">
        <f>'Refrig Mass Flow &amp; Cond kW'!D148*$C$6*(($C$19-$C$18)/1000)</f>
        <v>2.8518522880542934</v>
      </c>
      <c r="D157">
        <f>'Refrig Mass Flow &amp; Cond kW'!D148*Winter!$C$6*((Winter!$C$17-Winter!$C$16)/1000)</f>
        <v>9.5740755384678451</v>
      </c>
      <c r="E157">
        <f>'Refrig Mass Flow &amp; Cond kW'!D148*(($C$13-$C$14)-$C$6*($C$17-$C$18)/1000)-'Refrig Mass Flow &amp; Cond kW'!C148*(1-$C$6/($C$10+273))</f>
        <v>2.720948713470527</v>
      </c>
      <c r="F157" s="13"/>
      <c r="G157" s="13">
        <f>'Refrig Mass Flow &amp; Cond kW'!F148*$C$6*($G$19-$G$18)/1000</f>
        <v>0</v>
      </c>
      <c r="H157">
        <f>'Refrig Mass Flow &amp; Cond kW'!F148*$C$6*($G$17-$G$16)/1000</f>
        <v>0</v>
      </c>
      <c r="I157">
        <f>'Refrig Mass Flow &amp; Cond kW'!F148*(($G$13-$G$14)-$C$6*($G$17-$G$18)/1000)-'Refrig Mass Flow &amp; Cond kW'!E148*(1-$C$6/($G$10+273))</f>
        <v>0</v>
      </c>
    </row>
    <row r="158" spans="2:9" x14ac:dyDescent="0.2">
      <c r="B158" s="2">
        <v>135</v>
      </c>
      <c r="C158">
        <f>'Refrig Mass Flow &amp; Cond kW'!D149*$C$6*(($C$19-$C$18)/1000)</f>
        <v>2.8128838553095372</v>
      </c>
      <c r="D158">
        <f>'Refrig Mass Flow &amp; Cond kW'!D149*Winter!$C$6*((Winter!$C$17-Winter!$C$16)/1000)</f>
        <v>9.4432529428247367</v>
      </c>
      <c r="E158">
        <f>'Refrig Mass Flow &amp; Cond kW'!D149*(($C$13-$C$14)-$C$6*($C$17-$C$18)/1000)-'Refrig Mass Flow &amp; Cond kW'!C149*(1-$C$6/($C$10+273))</f>
        <v>2.68376898035919</v>
      </c>
      <c r="F158" s="13"/>
      <c r="G158" s="13">
        <f>'Refrig Mass Flow &amp; Cond kW'!F149*$C$6*($G$19-$G$18)/1000</f>
        <v>0</v>
      </c>
      <c r="H158">
        <f>'Refrig Mass Flow &amp; Cond kW'!F149*$C$6*($G$17-$G$16)/1000</f>
        <v>0</v>
      </c>
      <c r="I158">
        <f>'Refrig Mass Flow &amp; Cond kW'!F149*(($G$13-$G$14)-$C$6*($G$17-$G$18)/1000)-'Refrig Mass Flow &amp; Cond kW'!E149*(1-$C$6/($G$10+273))</f>
        <v>0</v>
      </c>
    </row>
    <row r="159" spans="2:9" x14ac:dyDescent="0.2">
      <c r="B159" s="2">
        <v>136</v>
      </c>
      <c r="C159">
        <f>'Refrig Mass Flow &amp; Cond kW'!D150*$C$6*(($C$19-$C$18)/1000)</f>
        <v>0</v>
      </c>
      <c r="D159">
        <f>'Refrig Mass Flow &amp; Cond kW'!D150*Winter!$C$6*((Winter!$C$17-Winter!$C$16)/1000)</f>
        <v>0</v>
      </c>
      <c r="E159">
        <f>'Refrig Mass Flow &amp; Cond kW'!D150*(($C$13-$C$14)-$C$6*($C$17-$C$18)/1000)-'Refrig Mass Flow &amp; Cond kW'!C150*(1-$C$6/($C$10+273))</f>
        <v>0</v>
      </c>
      <c r="F159" s="13"/>
      <c r="G159" s="13">
        <f>'Refrig Mass Flow &amp; Cond kW'!F150*$C$6*($G$19-$G$18)/1000</f>
        <v>0</v>
      </c>
      <c r="H159">
        <f>'Refrig Mass Flow &amp; Cond kW'!F150*$C$6*($G$17-$G$16)/1000</f>
        <v>0</v>
      </c>
      <c r="I159">
        <f>'Refrig Mass Flow &amp; Cond kW'!F150*(($G$13-$G$14)-$C$6*($G$17-$G$18)/1000)-'Refrig Mass Flow &amp; Cond kW'!E150*(1-$C$6/($G$10+273))</f>
        <v>0</v>
      </c>
    </row>
    <row r="160" spans="2:9" x14ac:dyDescent="0.2">
      <c r="B160" s="2">
        <v>137</v>
      </c>
      <c r="C160">
        <f>'Refrig Mass Flow &amp; Cond kW'!D151*$C$6*(($C$19-$C$18)/1000)</f>
        <v>0</v>
      </c>
      <c r="D160">
        <f>'Refrig Mass Flow &amp; Cond kW'!D151*Winter!$C$6*((Winter!$C$17-Winter!$C$16)/1000)</f>
        <v>0</v>
      </c>
      <c r="E160">
        <f>'Refrig Mass Flow &amp; Cond kW'!D151*(($C$13-$C$14)-$C$6*($C$17-$C$18)/1000)-'Refrig Mass Flow &amp; Cond kW'!C151*(1-$C$6/($C$10+273))</f>
        <v>0</v>
      </c>
      <c r="F160" s="13"/>
      <c r="G160" s="13">
        <f>'Refrig Mass Flow &amp; Cond kW'!F151*$C$6*($G$19-$G$18)/1000</f>
        <v>0</v>
      </c>
      <c r="H160">
        <f>'Refrig Mass Flow &amp; Cond kW'!F151*$C$6*($G$17-$G$16)/1000</f>
        <v>0</v>
      </c>
      <c r="I160">
        <f>'Refrig Mass Flow &amp; Cond kW'!F151*(($G$13-$G$14)-$C$6*($G$17-$G$18)/1000)-'Refrig Mass Flow &amp; Cond kW'!E151*(1-$C$6/($G$10+273))</f>
        <v>0</v>
      </c>
    </row>
    <row r="161" spans="2:9" x14ac:dyDescent="0.2">
      <c r="B161" s="2">
        <v>138</v>
      </c>
      <c r="C161">
        <f>'Refrig Mass Flow &amp; Cond kW'!D152*$C$6*(($C$19-$C$18)/1000)</f>
        <v>0</v>
      </c>
      <c r="D161">
        <f>'Refrig Mass Flow &amp; Cond kW'!D152*Winter!$C$6*((Winter!$C$17-Winter!$C$16)/1000)</f>
        <v>0</v>
      </c>
      <c r="E161">
        <f>'Refrig Mass Flow &amp; Cond kW'!D152*(($C$13-$C$14)-$C$6*($C$17-$C$18)/1000)-'Refrig Mass Flow &amp; Cond kW'!C152*(1-$C$6/($C$10+273))</f>
        <v>0</v>
      </c>
      <c r="F161" s="13"/>
      <c r="G161" s="13">
        <f>'Refrig Mass Flow &amp; Cond kW'!F152*$C$6*($G$19-$G$18)/1000</f>
        <v>0</v>
      </c>
      <c r="H161">
        <f>'Refrig Mass Flow &amp; Cond kW'!F152*$C$6*($G$17-$G$16)/1000</f>
        <v>0</v>
      </c>
      <c r="I161">
        <f>'Refrig Mass Flow &amp; Cond kW'!F152*(($G$13-$G$14)-$C$6*($G$17-$G$18)/1000)-'Refrig Mass Flow &amp; Cond kW'!E152*(1-$C$6/($G$10+273))</f>
        <v>0</v>
      </c>
    </row>
    <row r="162" spans="2:9" x14ac:dyDescent="0.2">
      <c r="B162" s="2">
        <v>139</v>
      </c>
      <c r="C162">
        <f>'Refrig Mass Flow &amp; Cond kW'!D153*$C$6*(($C$19-$C$18)/1000)</f>
        <v>0</v>
      </c>
      <c r="D162">
        <f>'Refrig Mass Flow &amp; Cond kW'!D153*Winter!$C$6*((Winter!$C$17-Winter!$C$16)/1000)</f>
        <v>0</v>
      </c>
      <c r="E162">
        <f>'Refrig Mass Flow &amp; Cond kW'!D153*(($C$13-$C$14)-$C$6*($C$17-$C$18)/1000)-'Refrig Mass Flow &amp; Cond kW'!C153*(1-$C$6/($C$10+273))</f>
        <v>0</v>
      </c>
      <c r="F162" s="13"/>
      <c r="G162" s="13">
        <f>'Refrig Mass Flow &amp; Cond kW'!F153*$C$6*($G$19-$G$18)/1000</f>
        <v>0</v>
      </c>
      <c r="H162">
        <f>'Refrig Mass Flow &amp; Cond kW'!F153*$C$6*($G$17-$G$16)/1000</f>
        <v>0</v>
      </c>
      <c r="I162">
        <f>'Refrig Mass Flow &amp; Cond kW'!F153*(($G$13-$G$14)-$C$6*($G$17-$G$18)/1000)-'Refrig Mass Flow &amp; Cond kW'!E153*(1-$C$6/($G$10+273))</f>
        <v>0</v>
      </c>
    </row>
    <row r="163" spans="2:9" x14ac:dyDescent="0.2">
      <c r="B163" s="2">
        <v>140</v>
      </c>
      <c r="C163">
        <f>'Refrig Mass Flow &amp; Cond kW'!D154*$C$6*(($C$19-$C$18)/1000)</f>
        <v>0</v>
      </c>
      <c r="D163">
        <f>'Refrig Mass Flow &amp; Cond kW'!D154*Winter!$C$6*((Winter!$C$17-Winter!$C$16)/1000)</f>
        <v>0</v>
      </c>
      <c r="E163">
        <f>'Refrig Mass Flow &amp; Cond kW'!D154*(($C$13-$C$14)-$C$6*($C$17-$C$18)/1000)-'Refrig Mass Flow &amp; Cond kW'!C154*(1-$C$6/($C$10+273))</f>
        <v>0</v>
      </c>
      <c r="F163" s="13"/>
      <c r="G163" s="13">
        <f>'Refrig Mass Flow &amp; Cond kW'!F154*$C$6*($G$19-$G$18)/1000</f>
        <v>0</v>
      </c>
      <c r="H163">
        <f>'Refrig Mass Flow &amp; Cond kW'!F154*$C$6*($G$17-$G$16)/1000</f>
        <v>0</v>
      </c>
      <c r="I163">
        <f>'Refrig Mass Flow &amp; Cond kW'!F154*(($G$13-$G$14)-$C$6*($G$17-$G$18)/1000)-'Refrig Mass Flow &amp; Cond kW'!E154*(1-$C$6/($G$10+273))</f>
        <v>0</v>
      </c>
    </row>
    <row r="164" spans="2:9" x14ac:dyDescent="0.2">
      <c r="B164" s="2">
        <v>141</v>
      </c>
      <c r="C164">
        <f>'Refrig Mass Flow &amp; Cond kW'!D155*$C$6*(($C$19-$C$18)/1000)</f>
        <v>0</v>
      </c>
      <c r="D164">
        <f>'Refrig Mass Flow &amp; Cond kW'!D155*Winter!$C$6*((Winter!$C$17-Winter!$C$16)/1000)</f>
        <v>0</v>
      </c>
      <c r="E164">
        <f>'Refrig Mass Flow &amp; Cond kW'!D155*(($C$13-$C$14)-$C$6*($C$17-$C$18)/1000)-'Refrig Mass Flow &amp; Cond kW'!C155*(1-$C$6/($C$10+273))</f>
        <v>0</v>
      </c>
      <c r="F164" s="13"/>
      <c r="G164" s="13">
        <f>'Refrig Mass Flow &amp; Cond kW'!F155*$C$6*($G$19-$G$18)/1000</f>
        <v>0</v>
      </c>
      <c r="H164">
        <f>'Refrig Mass Flow &amp; Cond kW'!F155*$C$6*($G$17-$G$16)/1000</f>
        <v>0</v>
      </c>
      <c r="I164">
        <f>'Refrig Mass Flow &amp; Cond kW'!F155*(($G$13-$G$14)-$C$6*($G$17-$G$18)/1000)-'Refrig Mass Flow &amp; Cond kW'!E155*(1-$C$6/($G$10+273))</f>
        <v>0</v>
      </c>
    </row>
    <row r="165" spans="2:9" x14ac:dyDescent="0.2">
      <c r="B165" s="2">
        <v>142</v>
      </c>
      <c r="C165">
        <f>'Refrig Mass Flow &amp; Cond kW'!D156*$C$6*(($C$19-$C$18)/1000)</f>
        <v>0</v>
      </c>
      <c r="D165">
        <f>'Refrig Mass Flow &amp; Cond kW'!D156*Winter!$C$6*((Winter!$C$17-Winter!$C$16)/1000)</f>
        <v>0</v>
      </c>
      <c r="E165">
        <f>'Refrig Mass Flow &amp; Cond kW'!D156*(($C$13-$C$14)-$C$6*($C$17-$C$18)/1000)-'Refrig Mass Flow &amp; Cond kW'!C156*(1-$C$6/($C$10+273))</f>
        <v>0</v>
      </c>
      <c r="F165" s="13"/>
      <c r="G165" s="13">
        <f>'Refrig Mass Flow &amp; Cond kW'!F156*$C$6*($G$19-$G$18)/1000</f>
        <v>0</v>
      </c>
      <c r="H165">
        <f>'Refrig Mass Flow &amp; Cond kW'!F156*$C$6*($G$17-$G$16)/1000</f>
        <v>0</v>
      </c>
      <c r="I165">
        <f>'Refrig Mass Flow &amp; Cond kW'!F156*(($G$13-$G$14)-$C$6*($G$17-$G$18)/1000)-'Refrig Mass Flow &amp; Cond kW'!E156*(1-$C$6/($G$10+273))</f>
        <v>0</v>
      </c>
    </row>
    <row r="166" spans="2:9" x14ac:dyDescent="0.2">
      <c r="B166" s="2">
        <v>143</v>
      </c>
      <c r="C166">
        <f>'Refrig Mass Flow &amp; Cond kW'!D157*$C$6*(($C$19-$C$18)/1000)</f>
        <v>0</v>
      </c>
      <c r="D166">
        <f>'Refrig Mass Flow &amp; Cond kW'!D157*Winter!$C$6*((Winter!$C$17-Winter!$C$16)/1000)</f>
        <v>0</v>
      </c>
      <c r="E166">
        <f>'Refrig Mass Flow &amp; Cond kW'!D157*(($C$13-$C$14)-$C$6*($C$17-$C$18)/1000)-'Refrig Mass Flow &amp; Cond kW'!C157*(1-$C$6/($C$10+273))</f>
        <v>0</v>
      </c>
      <c r="F166" s="13"/>
      <c r="G166" s="13">
        <f>'Refrig Mass Flow &amp; Cond kW'!F157*$C$6*($G$19-$G$18)/1000</f>
        <v>2.0300701907110013E-2</v>
      </c>
      <c r="H166">
        <f>'Refrig Mass Flow &amp; Cond kW'!F157*$C$6*($G$17-$G$16)/1000</f>
        <v>0.12658084718550502</v>
      </c>
      <c r="I166">
        <f>'Refrig Mass Flow &amp; Cond kW'!F157*(($G$13-$G$14)-$C$6*($G$17-$G$18)/1000)-'Refrig Mass Flow &amp; Cond kW'!E157*(1-$C$6/($G$10+273))</f>
        <v>5.6025956733835591E-2</v>
      </c>
    </row>
    <row r="167" spans="2:9" x14ac:dyDescent="0.2">
      <c r="B167" s="2">
        <v>144</v>
      </c>
      <c r="C167">
        <f>'Refrig Mass Flow &amp; Cond kW'!D158*$C$6*(($C$19-$C$18)/1000)</f>
        <v>0</v>
      </c>
      <c r="D167">
        <f>'Refrig Mass Flow &amp; Cond kW'!D158*Winter!$C$6*((Winter!$C$17-Winter!$C$16)/1000)</f>
        <v>0</v>
      </c>
      <c r="E167">
        <f>'Refrig Mass Flow &amp; Cond kW'!D158*(($C$13-$C$14)-$C$6*($C$17-$C$18)/1000)-'Refrig Mass Flow &amp; Cond kW'!C158*(1-$C$6/($C$10+273))</f>
        <v>0</v>
      </c>
      <c r="F167" s="13"/>
      <c r="G167" s="13">
        <f>'Refrig Mass Flow &amp; Cond kW'!F158*$C$6*($G$19-$G$18)/1000</f>
        <v>4.7963595557375643E-2</v>
      </c>
      <c r="H167">
        <f>'Refrig Mass Flow &amp; Cond kW'!F158*$C$6*($G$17-$G$16)/1000</f>
        <v>0.29906712524009632</v>
      </c>
      <c r="I167">
        <f>'Refrig Mass Flow &amp; Cond kW'!F158*(($G$13-$G$14)-$C$6*($G$17-$G$18)/1000)-'Refrig Mass Flow &amp; Cond kW'!E158*(1-$C$6/($G$10+273))</f>
        <v>0.13237011911177121</v>
      </c>
    </row>
    <row r="168" spans="2:9" x14ac:dyDescent="0.2">
      <c r="B168" s="2">
        <v>145</v>
      </c>
      <c r="C168">
        <f>'Refrig Mass Flow &amp; Cond kW'!D159*$C$6*(($C$19-$C$18)/1000)</f>
        <v>0</v>
      </c>
      <c r="D168">
        <f>'Refrig Mass Flow &amp; Cond kW'!D159*Winter!$C$6*((Winter!$C$17-Winter!$C$16)/1000)</f>
        <v>0</v>
      </c>
      <c r="E168">
        <f>'Refrig Mass Flow &amp; Cond kW'!D159*(($C$13-$C$14)-$C$6*($C$17-$C$18)/1000)-'Refrig Mass Flow &amp; Cond kW'!C159*(1-$C$6/($C$10+273))</f>
        <v>0</v>
      </c>
      <c r="F168" s="13"/>
      <c r="G168" s="13">
        <f>'Refrig Mass Flow &amp; Cond kW'!F159*$C$6*($G$19-$G$18)/1000</f>
        <v>7.5617701846062507E-2</v>
      </c>
      <c r="H168">
        <f>'Refrig Mass Flow &amp; Cond kW'!F159*$C$6*($G$17-$G$16)/1000</f>
        <v>0.47149861151072603</v>
      </c>
      <c r="I168">
        <f>'Refrig Mass Flow &amp; Cond kW'!F159*(($G$13-$G$14)-$C$6*($G$17-$G$18)/1000)-'Refrig Mass Flow &amp; Cond kW'!E159*(1-$C$6/($G$10+273))</f>
        <v>0.20869003009476206</v>
      </c>
    </row>
    <row r="169" spans="2:9" x14ac:dyDescent="0.2">
      <c r="B169" s="2">
        <v>146</v>
      </c>
      <c r="C169">
        <f>'Refrig Mass Flow &amp; Cond kW'!D160*$C$6*(($C$19-$C$18)/1000)</f>
        <v>0</v>
      </c>
      <c r="D169">
        <f>'Refrig Mass Flow &amp; Cond kW'!D160*Winter!$C$6*((Winter!$C$17-Winter!$C$16)/1000)</f>
        <v>0</v>
      </c>
      <c r="E169">
        <f>'Refrig Mass Flow &amp; Cond kW'!D160*(($C$13-$C$14)-$C$6*($C$17-$C$18)/1000)-'Refrig Mass Flow &amp; Cond kW'!C160*(1-$C$6/($C$10+273))</f>
        <v>0</v>
      </c>
      <c r="F169" s="13"/>
      <c r="G169" s="13">
        <f>'Refrig Mass Flow &amp; Cond kW'!F160*$C$6*($G$19-$G$18)/1000</f>
        <v>0.10326048761483793</v>
      </c>
      <c r="H169">
        <f>'Refrig Mass Flow &amp; Cond kW'!F160*$C$6*($G$17-$G$16)/1000</f>
        <v>0.64385951101014316</v>
      </c>
      <c r="I169">
        <f>'Refrig Mass Flow &amp; Cond kW'!F160*(($G$13-$G$14)-$C$6*($G$17-$G$18)/1000)-'Refrig Mass Flow &amp; Cond kW'!E160*(1-$C$6/($G$10+273))</f>
        <v>0.28497869866250625</v>
      </c>
    </row>
    <row r="170" spans="2:9" x14ac:dyDescent="0.2">
      <c r="B170" s="2">
        <v>147</v>
      </c>
      <c r="C170">
        <f>'Refrig Mass Flow &amp; Cond kW'!D161*$C$6*(($C$19-$C$18)/1000)</f>
        <v>0</v>
      </c>
      <c r="D170">
        <f>'Refrig Mass Flow &amp; Cond kW'!D161*Winter!$C$6*((Winter!$C$17-Winter!$C$16)/1000)</f>
        <v>0</v>
      </c>
      <c r="E170">
        <f>'Refrig Mass Flow &amp; Cond kW'!D161*(($C$13-$C$14)-$C$6*($C$17-$C$18)/1000)-'Refrig Mass Flow &amp; Cond kW'!C161*(1-$C$6/($C$10+273))</f>
        <v>0</v>
      </c>
      <c r="F170" s="13"/>
      <c r="G170" s="13">
        <f>'Refrig Mass Flow &amp; Cond kW'!F161*$C$6*($G$19-$G$18)/1000</f>
        <v>0.13088942114504887</v>
      </c>
      <c r="H170">
        <f>'Refrig Mass Flow &amp; Cond kW'!F161*$C$6*($G$17-$G$16)/1000</f>
        <v>0.81613403772792292</v>
      </c>
      <c r="I170">
        <f>'Refrig Mass Flow &amp; Cond kW'!F161*(($G$13-$G$14)-$C$6*($G$17-$G$18)/1000)-'Refrig Mass Flow &amp; Cond kW'!E161*(1-$C$6/($G$10+273))</f>
        <v>0.36122913776793908</v>
      </c>
    </row>
    <row r="171" spans="2:9" x14ac:dyDescent="0.2">
      <c r="B171" s="2">
        <v>148</v>
      </c>
      <c r="C171">
        <f>'Refrig Mass Flow &amp; Cond kW'!D162*$C$6*(($C$19-$C$18)/1000)</f>
        <v>0</v>
      </c>
      <c r="D171">
        <f>'Refrig Mass Flow &amp; Cond kW'!D162*Winter!$C$6*((Winter!$C$17-Winter!$C$16)/1000)</f>
        <v>0</v>
      </c>
      <c r="E171">
        <f>'Refrig Mass Flow &amp; Cond kW'!D162*(($C$13-$C$14)-$C$6*($C$17-$C$18)/1000)-'Refrig Mass Flow &amp; Cond kW'!C162*(1-$C$6/($C$10+273))</f>
        <v>0</v>
      </c>
      <c r="F171" s="13"/>
      <c r="G171" s="13">
        <f>'Refrig Mass Flow &amp; Cond kW'!F162*$C$6*($G$19-$G$18)/1000</f>
        <v>0.15850197238953084</v>
      </c>
      <c r="H171">
        <f>'Refrig Mass Flow &amp; Cond kW'!F162*$C$6*($G$17-$G$16)/1000</f>
        <v>0.98830641607586323</v>
      </c>
      <c r="I171">
        <f>'Refrig Mass Flow &amp; Cond kW'!F162*(($G$13-$G$14)-$C$6*($G$17-$G$18)/1000)-'Refrig Mass Flow &amp; Cond kW'!E162*(1-$C$6/($G$10+273))</f>
        <v>0.43743436497697186</v>
      </c>
    </row>
    <row r="172" spans="2:9" x14ac:dyDescent="0.2">
      <c r="B172" s="2">
        <v>149</v>
      </c>
      <c r="C172">
        <f>'Refrig Mass Flow &amp; Cond kW'!D163*$C$6*(($C$19-$C$18)/1000)</f>
        <v>0</v>
      </c>
      <c r="D172">
        <f>'Refrig Mass Flow &amp; Cond kW'!D163*Winter!$C$6*((Winter!$C$17-Winter!$C$16)/1000)</f>
        <v>0</v>
      </c>
      <c r="E172">
        <f>'Refrig Mass Flow &amp; Cond kW'!D163*(($C$13-$C$14)-$C$6*($C$17-$C$18)/1000)-'Refrig Mass Flow &amp; Cond kW'!C163*(1-$C$6/($C$10+273))</f>
        <v>0</v>
      </c>
      <c r="F172" s="13"/>
      <c r="G172" s="13">
        <f>'Refrig Mass Flow &amp; Cond kW'!F163*$C$6*($G$19-$G$18)/1000</f>
        <v>0.1860956132042221</v>
      </c>
      <c r="H172">
        <f>'Refrig Mass Flow &amp; Cond kW'!F163*$C$6*($G$17-$G$16)/1000</f>
        <v>1.1603608823321674</v>
      </c>
      <c r="I172">
        <f>'Refrig Mass Flow &amp; Cond kW'!F163*(($G$13-$G$14)-$C$6*($G$17-$G$18)/1000)-'Refrig Mass Flow &amp; Cond kW'!E163*(1-$C$6/($G$10+273))</f>
        <v>0.51358740310770923</v>
      </c>
    </row>
    <row r="173" spans="2:9" x14ac:dyDescent="0.2">
      <c r="B173" s="2">
        <v>150</v>
      </c>
      <c r="C173">
        <f>'Refrig Mass Flow &amp; Cond kW'!D164*$C$6*(($C$19-$C$18)/1000)</f>
        <v>0</v>
      </c>
      <c r="D173">
        <f>'Refrig Mass Flow &amp; Cond kW'!D164*Winter!$C$6*((Winter!$C$17-Winter!$C$16)/1000)</f>
        <v>0</v>
      </c>
      <c r="E173">
        <f>'Refrig Mass Flow &amp; Cond kW'!D164*(($C$13-$C$14)-$C$6*($C$17-$C$18)/1000)-'Refrig Mass Flow &amp; Cond kW'!C164*(1-$C$6/($C$10+273))</f>
        <v>0</v>
      </c>
      <c r="F173" s="13"/>
      <c r="G173" s="13">
        <f>'Refrig Mass Flow &amp; Cond kW'!F164*$C$6*($G$19-$G$18)/1000</f>
        <v>0.21366781757958139</v>
      </c>
      <c r="H173">
        <f>'Refrig Mass Flow &amp; Cond kW'!F164*$C$6*($G$17-$G$16)/1000</f>
        <v>1.3322816860844016</v>
      </c>
      <c r="I173">
        <f>'Refrig Mass Flow &amp; Cond kW'!F164*(($G$13-$G$14)-$C$6*($G$17-$G$18)/1000)-'Refrig Mass Flow &amp; Cond kW'!E164*(1-$C$6/($G$10+273))</f>
        <v>0.58968128086911342</v>
      </c>
    </row>
    <row r="174" spans="2:9" x14ac:dyDescent="0.2">
      <c r="B174" s="2">
        <v>151</v>
      </c>
      <c r="C174">
        <f>'Refrig Mass Flow &amp; Cond kW'!D165*$C$6*(($C$19-$C$18)/1000)</f>
        <v>0</v>
      </c>
      <c r="D174">
        <f>'Refrig Mass Flow &amp; Cond kW'!D165*Winter!$C$6*((Winter!$C$17-Winter!$C$16)/1000)</f>
        <v>0</v>
      </c>
      <c r="E174">
        <f>'Refrig Mass Flow &amp; Cond kW'!D165*(($C$13-$C$14)-$C$6*($C$17-$C$18)/1000)-'Refrig Mass Flow &amp; Cond kW'!C165*(1-$C$6/($C$10+273))</f>
        <v>0</v>
      </c>
      <c r="F174" s="13"/>
      <c r="G174" s="13">
        <f>'Refrig Mass Flow &amp; Cond kW'!F165*$C$6*($G$19-$G$18)/1000</f>
        <v>0.24150351437921347</v>
      </c>
      <c r="H174">
        <f>'Refrig Mass Flow &amp; Cond kW'!F165*$C$6*($G$17-$G$16)/1000</f>
        <v>1.5058454425997483</v>
      </c>
      <c r="I174">
        <f>'Refrig Mass Flow &amp; Cond kW'!F165*(($G$13-$G$14)-$C$6*($G$17-$G$18)/1000)-'Refrig Mass Flow &amp; Cond kW'!E165*(1-$C$6/($G$10+273))</f>
        <v>0.66650234605633152</v>
      </c>
    </row>
    <row r="175" spans="2:9" x14ac:dyDescent="0.2">
      <c r="B175" s="2">
        <v>152</v>
      </c>
      <c r="C175">
        <f>'Refrig Mass Flow &amp; Cond kW'!D166*$C$6*(($C$19-$C$18)/1000)</f>
        <v>0</v>
      </c>
      <c r="D175">
        <f>'Refrig Mass Flow &amp; Cond kW'!D166*Winter!$C$6*((Winter!$C$17-Winter!$C$16)/1000)</f>
        <v>0</v>
      </c>
      <c r="E175">
        <f>'Refrig Mass Flow &amp; Cond kW'!D166*(($C$13-$C$14)-$C$6*($C$17-$C$18)/1000)-'Refrig Mass Flow &amp; Cond kW'!C166*(1-$C$6/($C$10+273))</f>
        <v>0</v>
      </c>
      <c r="F175" s="13"/>
      <c r="G175" s="13">
        <f>'Refrig Mass Flow &amp; Cond kW'!F166*$C$6*($G$19-$G$18)/1000</f>
        <v>0.2694711509198861</v>
      </c>
      <c r="H175">
        <f>'Refrig Mass Flow &amp; Cond kW'!F166*$C$6*($G$17-$G$16)/1000</f>
        <v>1.6802318822062894</v>
      </c>
      <c r="I175">
        <f>'Refrig Mass Flow &amp; Cond kW'!F166*(($G$13-$G$14)-$C$6*($G$17-$G$18)/1000)-'Refrig Mass Flow &amp; Cond kW'!E166*(1-$C$6/($G$10+273))</f>
        <v>0.743687539058282</v>
      </c>
    </row>
    <row r="176" spans="2:9" x14ac:dyDescent="0.2">
      <c r="B176" s="2">
        <v>153</v>
      </c>
      <c r="C176">
        <f>'Refrig Mass Flow &amp; Cond kW'!D167*$C$6*(($C$19-$C$18)/1000)</f>
        <v>0</v>
      </c>
      <c r="D176">
        <f>'Refrig Mass Flow &amp; Cond kW'!D167*Winter!$C$6*((Winter!$C$17-Winter!$C$16)/1000)</f>
        <v>0</v>
      </c>
      <c r="E176">
        <f>'Refrig Mass Flow &amp; Cond kW'!D167*(($C$13-$C$14)-$C$6*($C$17-$C$18)/1000)-'Refrig Mass Flow &amp; Cond kW'!C167*(1-$C$6/($C$10+273))</f>
        <v>0</v>
      </c>
      <c r="F176" s="13"/>
      <c r="G176" s="13">
        <f>'Refrig Mass Flow &amp; Cond kW'!F167*$C$6*($G$19-$G$18)/1000</f>
        <v>0.29753193371949127</v>
      </c>
      <c r="H176">
        <f>'Refrig Mass Flow &amp; Cond kW'!F167*$C$6*($G$17-$G$16)/1000</f>
        <v>1.8551991161332333</v>
      </c>
      <c r="I176">
        <f>'Refrig Mass Flow &amp; Cond kW'!F167*(($G$13-$G$14)-$C$6*($G$17-$G$18)/1000)-'Refrig Mass Flow &amp; Cond kW'!E167*(1-$C$6/($G$10+273))</f>
        <v>0.82112979747091508</v>
      </c>
    </row>
    <row r="177" spans="2:9" x14ac:dyDescent="0.2">
      <c r="B177" s="2">
        <v>154</v>
      </c>
      <c r="C177">
        <f>'Refrig Mass Flow &amp; Cond kW'!D168*$C$6*(($C$19-$C$18)/1000)</f>
        <v>0</v>
      </c>
      <c r="D177">
        <f>'Refrig Mass Flow &amp; Cond kW'!D168*Winter!$C$6*((Winter!$C$17-Winter!$C$16)/1000)</f>
        <v>0</v>
      </c>
      <c r="E177">
        <f>'Refrig Mass Flow &amp; Cond kW'!D168*(($C$13-$C$14)-$C$6*($C$17-$C$18)/1000)-'Refrig Mass Flow &amp; Cond kW'!C168*(1-$C$6/($C$10+273))</f>
        <v>0</v>
      </c>
      <c r="F177" s="13"/>
      <c r="G177" s="13">
        <f>'Refrig Mass Flow &amp; Cond kW'!F168*$C$6*($G$19-$G$18)/1000</f>
        <v>0.32539539411121188</v>
      </c>
      <c r="H177">
        <f>'Refrig Mass Flow &amp; Cond kW'!F168*$C$6*($G$17-$G$16)/1000</f>
        <v>2.0289359868110144</v>
      </c>
      <c r="I177">
        <f>'Refrig Mass Flow &amp; Cond kW'!F168*(($G$13-$G$14)-$C$6*($G$17-$G$18)/1000)-'Refrig Mass Flow &amp; Cond kW'!E168*(1-$C$6/($G$10+273))</f>
        <v>0.89802748472845373</v>
      </c>
    </row>
    <row r="178" spans="2:9" x14ac:dyDescent="0.2">
      <c r="B178" s="2">
        <v>155</v>
      </c>
      <c r="C178">
        <f>'Refrig Mass Flow &amp; Cond kW'!D169*$C$6*(($C$19-$C$18)/1000)</f>
        <v>0</v>
      </c>
      <c r="D178">
        <f>'Refrig Mass Flow &amp; Cond kW'!D169*Winter!$C$6*((Winter!$C$17-Winter!$C$16)/1000)</f>
        <v>0</v>
      </c>
      <c r="E178">
        <f>'Refrig Mass Flow &amp; Cond kW'!D169*(($C$13-$C$14)-$C$6*($C$17-$C$18)/1000)-'Refrig Mass Flow &amp; Cond kW'!C169*(1-$C$6/($C$10+273))</f>
        <v>0</v>
      </c>
      <c r="F178" s="13"/>
      <c r="G178" s="13">
        <f>'Refrig Mass Flow &amp; Cond kW'!F169*$C$6*($G$19-$G$18)/1000</f>
        <v>0.35322460813128481</v>
      </c>
      <c r="H178">
        <f>'Refrig Mass Flow &amp; Cond kW'!F169*$C$6*($G$17-$G$16)/1000</f>
        <v>2.2024593212891102</v>
      </c>
      <c r="I178">
        <f>'Refrig Mass Flow &amp; Cond kW'!F169*(($G$13-$G$14)-$C$6*($G$17-$G$18)/1000)-'Refrig Mass Flow &amp; Cond kW'!E169*(1-$C$6/($G$10+273))</f>
        <v>0.97483065871522179</v>
      </c>
    </row>
    <row r="179" spans="2:9" x14ac:dyDescent="0.2">
      <c r="B179" s="2">
        <v>156</v>
      </c>
      <c r="C179">
        <f>'Refrig Mass Flow &amp; Cond kW'!D170*$C$6*(($C$19-$C$18)/1000)</f>
        <v>0</v>
      </c>
      <c r="D179">
        <f>'Refrig Mass Flow &amp; Cond kW'!D170*Winter!$C$6*((Winter!$C$17-Winter!$C$16)/1000)</f>
        <v>0</v>
      </c>
      <c r="E179">
        <f>'Refrig Mass Flow &amp; Cond kW'!D170*(($C$13-$C$14)-$C$6*($C$17-$C$18)/1000)-'Refrig Mass Flow &amp; Cond kW'!C170*(1-$C$6/($C$10+273))</f>
        <v>0</v>
      </c>
      <c r="F179" s="13"/>
      <c r="G179" s="13">
        <f>'Refrig Mass Flow &amp; Cond kW'!F170*$C$6*($G$19-$G$18)/1000</f>
        <v>0.38100507023494157</v>
      </c>
      <c r="H179">
        <f>'Refrig Mass Flow &amp; Cond kW'!F170*$C$6*($G$17-$G$16)/1000</f>
        <v>2.3756786732295518</v>
      </c>
      <c r="I179">
        <f>'Refrig Mass Flow &amp; Cond kW'!F170*(($G$13-$G$14)-$C$6*($G$17-$G$18)/1000)-'Refrig Mass Flow &amp; Cond kW'!E170*(1-$C$6/($G$10+273))</f>
        <v>1.0514992869718789</v>
      </c>
    </row>
    <row r="180" spans="2:9" x14ac:dyDescent="0.2">
      <c r="B180" s="2">
        <v>157</v>
      </c>
      <c r="C180">
        <f>'Refrig Mass Flow &amp; Cond kW'!D171*$C$6*(($C$19-$C$18)/1000)</f>
        <v>0</v>
      </c>
      <c r="D180">
        <f>'Refrig Mass Flow &amp; Cond kW'!D171*Winter!$C$6*((Winter!$C$17-Winter!$C$16)/1000)</f>
        <v>0</v>
      </c>
      <c r="E180">
        <f>'Refrig Mass Flow &amp; Cond kW'!D171*(($C$13-$C$14)-$C$6*($C$17-$C$18)/1000)-'Refrig Mass Flow &amp; Cond kW'!C171*(1-$C$6/($C$10+273))</f>
        <v>0</v>
      </c>
      <c r="F180" s="13"/>
      <c r="G180" s="13">
        <f>'Refrig Mass Flow &amp; Cond kW'!F171*$C$6*($G$19-$G$18)/1000</f>
        <v>0.40869610690209685</v>
      </c>
      <c r="H180">
        <f>'Refrig Mass Flow &amp; Cond kW'!F171*$C$6*($G$17-$G$16)/1000</f>
        <v>2.5483404312718081</v>
      </c>
      <c r="I180">
        <f>'Refrig Mass Flow &amp; Cond kW'!F171*(($G$13-$G$14)-$C$6*($G$17-$G$18)/1000)-'Refrig Mass Flow &amp; Cond kW'!E171*(1-$C$6/($G$10+273))</f>
        <v>1.1279211185581914</v>
      </c>
    </row>
    <row r="181" spans="2:9" x14ac:dyDescent="0.2">
      <c r="B181" s="2">
        <v>158</v>
      </c>
      <c r="C181">
        <f>'Refrig Mass Flow &amp; Cond kW'!D172*$C$6*(($C$19-$C$18)/1000)</f>
        <v>0</v>
      </c>
      <c r="D181">
        <f>'Refrig Mass Flow &amp; Cond kW'!D172*Winter!$C$6*((Winter!$C$17-Winter!$C$16)/1000)</f>
        <v>0</v>
      </c>
      <c r="E181">
        <f>'Refrig Mass Flow &amp; Cond kW'!D172*(($C$13-$C$14)-$C$6*($C$17-$C$18)/1000)-'Refrig Mass Flow &amp; Cond kW'!C172*(1-$C$6/($C$10+273))</f>
        <v>0</v>
      </c>
      <c r="F181" s="13"/>
      <c r="G181" s="13">
        <f>'Refrig Mass Flow &amp; Cond kW'!F172*$C$6*($G$19-$G$18)/1000</f>
        <v>0.43627390477427841</v>
      </c>
      <c r="H181">
        <f>'Refrig Mass Flow &amp; Cond kW'!F172*$C$6*($G$17-$G$16)/1000</f>
        <v>2.7202961121218752</v>
      </c>
      <c r="I181">
        <f>'Refrig Mass Flow &amp; Cond kW'!F172*(($G$13-$G$14)-$C$6*($G$17-$G$18)/1000)-'Refrig Mass Flow &amp; Cond kW'!E172*(1-$C$6/($G$10+273))</f>
        <v>1.2040304332740615</v>
      </c>
    </row>
    <row r="182" spans="2:9" x14ac:dyDescent="0.2">
      <c r="B182" s="2">
        <v>159</v>
      </c>
      <c r="C182">
        <f>'Refrig Mass Flow &amp; Cond kW'!D173*$C$6*(($C$19-$C$18)/1000)</f>
        <v>0</v>
      </c>
      <c r="D182">
        <f>'Refrig Mass Flow &amp; Cond kW'!D173*Winter!$C$6*((Winter!$C$17-Winter!$C$16)/1000)</f>
        <v>0</v>
      </c>
      <c r="E182">
        <f>'Refrig Mass Flow &amp; Cond kW'!D173*(($C$13-$C$14)-$C$6*($C$17-$C$18)/1000)-'Refrig Mass Flow &amp; Cond kW'!C173*(1-$C$6/($C$10+273))</f>
        <v>0</v>
      </c>
      <c r="F182" s="13"/>
      <c r="G182" s="13">
        <f>'Refrig Mass Flow &amp; Cond kW'!F173*$C$6*($G$19-$G$18)/1000</f>
        <v>0.46375602584433051</v>
      </c>
      <c r="H182">
        <f>'Refrig Mass Flow &amp; Cond kW'!F173*$C$6*($G$17-$G$16)/1000</f>
        <v>2.8916552199704291</v>
      </c>
      <c r="I182">
        <f>'Refrig Mass Flow &amp; Cond kW'!F173*(($G$13-$G$14)-$C$6*($G$17-$G$18)/1000)-'Refrig Mass Flow &amp; Cond kW'!E173*(1-$C$6/($G$10+273))</f>
        <v>1.279875698776209</v>
      </c>
    </row>
    <row r="183" spans="2:9" x14ac:dyDescent="0.2">
      <c r="B183" s="2">
        <v>160</v>
      </c>
      <c r="C183">
        <f>'Refrig Mass Flow &amp; Cond kW'!D174*$C$6*(($C$19-$C$18)/1000)</f>
        <v>0</v>
      </c>
      <c r="D183">
        <f>'Refrig Mass Flow &amp; Cond kW'!D174*Winter!$C$6*((Winter!$C$17-Winter!$C$16)/1000)</f>
        <v>0</v>
      </c>
      <c r="E183">
        <f>'Refrig Mass Flow &amp; Cond kW'!D174*(($C$13-$C$14)-$C$6*($C$17-$C$18)/1000)-'Refrig Mass Flow &amp; Cond kW'!C174*(1-$C$6/($C$10+273))</f>
        <v>0</v>
      </c>
      <c r="F183" s="13"/>
      <c r="G183" s="13">
        <f>'Refrig Mass Flow &amp; Cond kW'!F174*$C$6*($G$19-$G$18)/1000</f>
        <v>0.49143368843704027</v>
      </c>
      <c r="H183">
        <f>'Refrig Mass Flow &amp; Cond kW'!F174*$C$6*($G$17-$G$16)/1000</f>
        <v>3.0642335867249662</v>
      </c>
      <c r="I183">
        <f>'Refrig Mass Flow &amp; Cond kW'!F174*(($G$13-$G$14)-$C$6*($G$17-$G$18)/1000)-'Refrig Mass Flow &amp; Cond kW'!E174*(1-$C$6/($G$10+273))</f>
        <v>1.3562606205394232</v>
      </c>
    </row>
    <row r="184" spans="2:9" x14ac:dyDescent="0.2">
      <c r="B184" s="2">
        <v>161</v>
      </c>
      <c r="C184">
        <f>'Refrig Mass Flow &amp; Cond kW'!D175*$C$6*(($C$19-$C$18)/1000)</f>
        <v>0</v>
      </c>
      <c r="D184">
        <f>'Refrig Mass Flow &amp; Cond kW'!D175*Winter!$C$6*((Winter!$C$17-Winter!$C$16)/1000)</f>
        <v>0</v>
      </c>
      <c r="E184">
        <f>'Refrig Mass Flow &amp; Cond kW'!D175*(($C$13-$C$14)-$C$6*($C$17-$C$18)/1000)-'Refrig Mass Flow &amp; Cond kW'!C175*(1-$C$6/($C$10+273))</f>
        <v>0</v>
      </c>
      <c r="F184" s="13"/>
      <c r="G184" s="13">
        <f>'Refrig Mass Flow &amp; Cond kW'!F175*$C$6*($G$19-$G$18)/1000</f>
        <v>0.51907015775003085</v>
      </c>
      <c r="H184">
        <f>'Refrig Mass Flow &amp; Cond kW'!F175*$C$6*($G$17-$G$16)/1000</f>
        <v>3.2365551012647837</v>
      </c>
      <c r="I184">
        <f>'Refrig Mass Flow &amp; Cond kW'!F175*(($G$13-$G$14)-$C$6*($G$17-$G$18)/1000)-'Refrig Mass Flow &amp; Cond kW'!E175*(1-$C$6/($G$10+273))</f>
        <v>1.4325318569277208</v>
      </c>
    </row>
    <row r="185" spans="2:9" x14ac:dyDescent="0.2">
      <c r="B185" s="2">
        <v>162</v>
      </c>
      <c r="C185">
        <f>'Refrig Mass Flow &amp; Cond kW'!D176*$C$6*(($C$19-$C$18)/1000)</f>
        <v>0</v>
      </c>
      <c r="D185">
        <f>'Refrig Mass Flow &amp; Cond kW'!D176*Winter!$C$6*((Winter!$C$17-Winter!$C$16)/1000)</f>
        <v>0</v>
      </c>
      <c r="E185">
        <f>'Refrig Mass Flow &amp; Cond kW'!D176*(($C$13-$C$14)-$C$6*($C$17-$C$18)/1000)-'Refrig Mass Flow &amp; Cond kW'!C176*(1-$C$6/($C$10+273))</f>
        <v>0</v>
      </c>
      <c r="F185" s="13"/>
      <c r="G185" s="13">
        <f>'Refrig Mass Flow &amp; Cond kW'!F176*$C$6*($G$19-$G$18)/1000</f>
        <v>0.54662876956910733</v>
      </c>
      <c r="H185">
        <f>'Refrig Mass Flow &amp; Cond kW'!F176*$C$6*($G$17-$G$16)/1000</f>
        <v>3.4083911514307847</v>
      </c>
      <c r="I185">
        <f>'Refrig Mass Flow &amp; Cond kW'!F176*(($G$13-$G$14)-$C$6*($G$17-$G$18)/1000)-'Refrig Mass Flow &amp; Cond kW'!E176*(1-$C$6/($G$10+273))</f>
        <v>1.5085882218989966</v>
      </c>
    </row>
    <row r="186" spans="2:9" x14ac:dyDescent="0.2">
      <c r="B186" s="2">
        <v>163</v>
      </c>
      <c r="C186">
        <f>'Refrig Mass Flow &amp; Cond kW'!D177*$C$6*(($C$19-$C$18)/1000)</f>
        <v>0</v>
      </c>
      <c r="D186">
        <f>'Refrig Mass Flow &amp; Cond kW'!D177*Winter!$C$6*((Winter!$C$17-Winter!$C$16)/1000)</f>
        <v>0</v>
      </c>
      <c r="E186">
        <f>'Refrig Mass Flow &amp; Cond kW'!D177*(($C$13-$C$14)-$C$6*($C$17-$C$18)/1000)-'Refrig Mass Flow &amp; Cond kW'!C177*(1-$C$6/($C$10+273))</f>
        <v>0</v>
      </c>
      <c r="F186" s="13"/>
      <c r="G186" s="13">
        <f>'Refrig Mass Flow &amp; Cond kW'!F177*$C$6*($G$19-$G$18)/1000</f>
        <v>0.57413550634540711</v>
      </c>
      <c r="H186">
        <f>'Refrig Mass Flow &amp; Cond kW'!F177*$C$6*($G$17-$G$16)/1000</f>
        <v>3.5799037454477061</v>
      </c>
      <c r="I186">
        <f>'Refrig Mass Flow &amp; Cond kW'!F177*(($G$13-$G$14)-$C$6*($G$17-$G$18)/1000)-'Refrig Mass Flow &amp; Cond kW'!E177*(1-$C$6/($G$10+273))</f>
        <v>1.584501421923779</v>
      </c>
    </row>
    <row r="187" spans="2:9" x14ac:dyDescent="0.2">
      <c r="B187" s="2">
        <v>164</v>
      </c>
      <c r="C187">
        <f>'Refrig Mass Flow &amp; Cond kW'!D178*$C$6*(($C$19-$C$18)/1000)</f>
        <v>0</v>
      </c>
      <c r="D187">
        <f>'Refrig Mass Flow &amp; Cond kW'!D178*Winter!$C$6*((Winter!$C$17-Winter!$C$16)/1000)</f>
        <v>0</v>
      </c>
      <c r="E187">
        <f>'Refrig Mass Flow &amp; Cond kW'!D178*(($C$13-$C$14)-$C$6*($C$17-$C$18)/1000)-'Refrig Mass Flow &amp; Cond kW'!C178*(1-$C$6/($C$10+273))</f>
        <v>0</v>
      </c>
      <c r="F187" s="13"/>
      <c r="G187" s="13">
        <f>'Refrig Mass Flow &amp; Cond kW'!F178*$C$6*($G$19-$G$18)/1000</f>
        <v>0.60159368112888778</v>
      </c>
      <c r="H187">
        <f>'Refrig Mass Flow &amp; Cond kW'!F178*$C$6*($G$17-$G$16)/1000</f>
        <v>3.751113541156462</v>
      </c>
      <c r="I187">
        <f>'Refrig Mass Flow &amp; Cond kW'!F178*(($G$13-$G$14)-$C$6*($G$17-$G$18)/1000)-'Refrig Mass Flow &amp; Cond kW'!E178*(1-$C$6/($G$10+273))</f>
        <v>1.6602806003703385</v>
      </c>
    </row>
    <row r="188" spans="2:9" x14ac:dyDescent="0.2">
      <c r="B188" s="2">
        <v>165</v>
      </c>
      <c r="C188">
        <f>'Refrig Mass Flow &amp; Cond kW'!D179*$C$6*(($C$19-$C$18)/1000)</f>
        <v>0.8086515037504346</v>
      </c>
      <c r="D188">
        <f>'Refrig Mass Flow &amp; Cond kW'!D179*Winter!$C$6*((Winter!$C$17-Winter!$C$16)/1000)</f>
        <v>2.714758619733562</v>
      </c>
      <c r="E188">
        <f>'Refrig Mass Flow &amp; Cond kW'!D179*(($C$13-$C$14)-$C$6*($C$17-$C$18)/1000)-'Refrig Mass Flow &amp; Cond kW'!C179*(1-$C$6/($C$10+273))</f>
        <v>0.77153339182126146</v>
      </c>
      <c r="F188" s="13"/>
      <c r="G188" s="13">
        <f>'Refrig Mass Flow &amp; Cond kW'!F179*$C$6*($G$19-$G$18)/1000</f>
        <v>0.6291024145495302</v>
      </c>
      <c r="H188">
        <f>'Refrig Mass Flow &amp; Cond kW'!F179*$C$6*($G$17-$G$16)/1000</f>
        <v>3.9226385848381087</v>
      </c>
      <c r="I188">
        <f>'Refrig Mass Flow &amp; Cond kW'!F179*(($G$13-$G$14)-$C$6*($G$17-$G$18)/1000)-'Refrig Mass Flow &amp; Cond kW'!E179*(1-$C$6/($G$10+273))</f>
        <v>1.7361993107420126</v>
      </c>
    </row>
    <row r="189" spans="2:9" x14ac:dyDescent="0.2">
      <c r="B189" s="2">
        <v>166</v>
      </c>
      <c r="C189">
        <f>'Refrig Mass Flow &amp; Cond kW'!D180*$C$6*(($C$19-$C$18)/1000)</f>
        <v>0.83989237943142026</v>
      </c>
      <c r="D189">
        <f>'Refrig Mass Flow &amp; Cond kW'!D180*Winter!$C$6*((Winter!$C$17-Winter!$C$16)/1000)</f>
        <v>2.8196387023768694</v>
      </c>
      <c r="E189">
        <f>'Refrig Mass Flow &amp; Cond kW'!D180*(($C$13-$C$14)-$C$6*($C$17-$C$18)/1000)-'Refrig Mass Flow &amp; Cond kW'!C180*(1-$C$6/($C$10+273))</f>
        <v>0.80134027236971761</v>
      </c>
      <c r="F189" s="13"/>
      <c r="G189" s="13">
        <f>'Refrig Mass Flow &amp; Cond kW'!F180*$C$6*($G$19-$G$18)/1000</f>
        <v>0.65670270503645911</v>
      </c>
      <c r="H189">
        <f>'Refrig Mass Flow &amp; Cond kW'!F180*$C$6*($G$17-$G$16)/1000</f>
        <v>4.0947345137565998</v>
      </c>
      <c r="I189">
        <f>'Refrig Mass Flow &amp; Cond kW'!F180*(($G$13-$G$14)-$C$6*($G$17-$G$18)/1000)-'Refrig Mass Flow &amp; Cond kW'!E180*(1-$C$6/($G$10+273))</f>
        <v>1.8123707006642711</v>
      </c>
    </row>
    <row r="190" spans="2:9" x14ac:dyDescent="0.2">
      <c r="B190" s="2">
        <v>167</v>
      </c>
      <c r="C190">
        <f>'Refrig Mass Flow &amp; Cond kW'!D181*$C$6*(($C$19-$C$18)/1000)</f>
        <v>0.83121149923644699</v>
      </c>
      <c r="D190">
        <f>'Refrig Mass Flow &amp; Cond kW'!D181*Winter!$C$6*((Winter!$C$17-Winter!$C$16)/1000)</f>
        <v>2.7904957474366023</v>
      </c>
      <c r="E190">
        <f>'Refrig Mass Flow &amp; Cond kW'!D181*(($C$13-$C$14)-$C$6*($C$17-$C$18)/1000)-'Refrig Mass Flow &amp; Cond kW'!C181*(1-$C$6/($C$10+273))</f>
        <v>0.79305785539558116</v>
      </c>
      <c r="F190" s="13"/>
      <c r="G190" s="13">
        <f>'Refrig Mass Flow &amp; Cond kW'!F181*$C$6*($G$19-$G$18)/1000</f>
        <v>0.68440447419380634</v>
      </c>
      <c r="H190">
        <f>'Refrig Mass Flow &amp; Cond kW'!F181*$C$6*($G$17-$G$16)/1000</f>
        <v>4.2674631920318182</v>
      </c>
      <c r="I190">
        <f>'Refrig Mass Flow &amp; Cond kW'!F181*(($G$13-$G$14)-$C$6*($G$17-$G$18)/1000)-'Refrig Mass Flow &amp; Cond kW'!E181*(1-$C$6/($G$10+273))</f>
        <v>1.8888221518191024</v>
      </c>
    </row>
    <row r="191" spans="2:9" x14ac:dyDescent="0.2">
      <c r="B191" s="2">
        <v>168</v>
      </c>
      <c r="C191">
        <f>'Refrig Mass Flow &amp; Cond kW'!D182*$C$6*(($C$19-$C$18)/1000)</f>
        <v>0.79568761774404206</v>
      </c>
      <c r="D191">
        <f>'Refrig Mass Flow &amp; Cond kW'!D182*Winter!$C$6*((Winter!$C$17-Winter!$C$16)/1000)</f>
        <v>2.6712370024263876</v>
      </c>
      <c r="E191">
        <f>'Refrig Mass Flow &amp; Cond kW'!D182*(($C$13-$C$14)-$C$6*($C$17-$C$18)/1000)-'Refrig Mass Flow &amp; Cond kW'!C182*(1-$C$6/($C$10+273))</f>
        <v>0.75916456434080892</v>
      </c>
      <c r="F191" s="13"/>
      <c r="G191" s="13">
        <f>'Refrig Mass Flow &amp; Cond kW'!F182*$C$6*($G$19-$G$18)/1000</f>
        <v>0.7118804063495815</v>
      </c>
      <c r="H191">
        <f>'Refrig Mass Flow &amp; Cond kW'!F182*$C$6*($G$17-$G$16)/1000</f>
        <v>4.4387837101795871</v>
      </c>
      <c r="I191">
        <f>'Refrig Mass Flow &amp; Cond kW'!F182*(($G$13-$G$14)-$C$6*($G$17-$G$18)/1000)-'Refrig Mass Flow &amp; Cond kW'!E182*(1-$C$6/($G$10+273))</f>
        <v>1.9646503371313599</v>
      </c>
    </row>
    <row r="192" spans="2:9" x14ac:dyDescent="0.2">
      <c r="B192" s="2">
        <v>169</v>
      </c>
      <c r="C192">
        <f>'Refrig Mass Flow &amp; Cond kW'!D183*$C$6*(($C$19-$C$18)/1000)</f>
        <v>0.766170201376424</v>
      </c>
      <c r="D192">
        <f>'Refrig Mass Flow &amp; Cond kW'!D183*Winter!$C$6*((Winter!$C$17-Winter!$C$16)/1000)</f>
        <v>2.5721428189065283</v>
      </c>
      <c r="E192">
        <f>'Refrig Mass Flow &amp; Cond kW'!D183*(($C$13-$C$14)-$C$6*($C$17-$C$18)/1000)-'Refrig Mass Flow &amp; Cond kW'!C183*(1-$C$6/($C$10+273))</f>
        <v>0.73100203417511267</v>
      </c>
      <c r="F192" s="13"/>
      <c r="G192" s="13">
        <f>'Refrig Mass Flow &amp; Cond kW'!F183*$C$6*($G$19-$G$18)/1000</f>
        <v>0.73928673154020974</v>
      </c>
      <c r="H192">
        <f>'Refrig Mass Flow &amp; Cond kW'!F183*$C$6*($G$17-$G$16)/1000</f>
        <v>4.6096702084270271</v>
      </c>
      <c r="I192">
        <f>'Refrig Mass Flow &amp; Cond kW'!F183*(($G$13-$G$14)-$C$6*($G$17-$G$18)/1000)-'Refrig Mass Flow &amp; Cond kW'!E183*(1-$C$6/($G$10+273))</f>
        <v>2.0402864208682381</v>
      </c>
    </row>
    <row r="193" spans="2:9" x14ac:dyDescent="0.2">
      <c r="B193" s="2">
        <v>170</v>
      </c>
      <c r="C193">
        <f>'Refrig Mass Flow &amp; Cond kW'!D184*$C$6*(($C$19-$C$18)/1000)</f>
        <v>0.74165650325127974</v>
      </c>
      <c r="D193">
        <f>'Refrig Mass Flow &amp; Cond kW'!D184*Winter!$C$6*((Winter!$C$17-Winter!$C$16)/1000)</f>
        <v>2.4898468323435452</v>
      </c>
      <c r="E193">
        <f>'Refrig Mass Flow &amp; Cond kW'!D184*(($C$13-$C$14)-$C$6*($C$17-$C$18)/1000)-'Refrig Mass Flow &amp; Cond kW'!C184*(1-$C$6/($C$10+273))</f>
        <v>0.70761354534790222</v>
      </c>
      <c r="F193" s="13"/>
      <c r="G193" s="13">
        <f>'Refrig Mass Flow &amp; Cond kW'!F184*$C$6*($G$19-$G$18)/1000</f>
        <v>0.76662094897191746</v>
      </c>
      <c r="H193">
        <f>'Refrig Mass Flow &amp; Cond kW'!F184*$C$6*($G$17-$G$16)/1000</f>
        <v>4.7801070935894341</v>
      </c>
      <c r="I193">
        <f>'Refrig Mass Flow &amp; Cond kW'!F184*(($G$13-$G$14)-$C$6*($G$17-$G$18)/1000)-'Refrig Mass Flow &amp; Cond kW'!E184*(1-$C$6/($G$10+273))</f>
        <v>2.1157235013292706</v>
      </c>
    </row>
    <row r="194" spans="2:9" x14ac:dyDescent="0.2">
      <c r="B194" s="2">
        <v>171</v>
      </c>
      <c r="C194">
        <f>'Refrig Mass Flow &amp; Cond kW'!D185*$C$6*(($C$19-$C$18)/1000)</f>
        <v>0.7171210545186697</v>
      </c>
      <c r="D194">
        <f>'Refrig Mass Flow &amp; Cond kW'!D185*Winter!$C$6*((Winter!$C$17-Winter!$C$16)/1000)</f>
        <v>2.4074778258840701</v>
      </c>
      <c r="E194">
        <f>'Refrig Mass Flow &amp; Cond kW'!D185*(($C$13-$C$14)-$C$6*($C$17-$C$18)/1000)-'Refrig Mass Flow &amp; Cond kW'!C185*(1-$C$6/($C$10+273))</f>
        <v>0.68420430429321577</v>
      </c>
      <c r="F194" s="13"/>
      <c r="G194" s="13">
        <f>'Refrig Mass Flow &amp; Cond kW'!F185*$C$6*($G$19-$G$18)/1000</f>
        <v>0.79388056485674541</v>
      </c>
      <c r="H194">
        <f>'Refrig Mass Flow &amp; Cond kW'!F185*$C$6*($G$17-$G$16)/1000</f>
        <v>4.9500788161654148</v>
      </c>
      <c r="I194">
        <f>'Refrig Mass Flow &amp; Cond kW'!F185*(($G$13-$G$14)-$C$6*($G$17-$G$18)/1000)-'Refrig Mass Flow &amp; Cond kW'!E185*(1-$C$6/($G$10+273))</f>
        <v>2.1909546961486726</v>
      </c>
    </row>
    <row r="195" spans="2:9" x14ac:dyDescent="0.2">
      <c r="B195" s="2">
        <v>172</v>
      </c>
      <c r="C195">
        <f>'Refrig Mass Flow &amp; Cond kW'!D186*$C$6*(($C$19-$C$18)/1000)</f>
        <v>0.69088817435484462</v>
      </c>
      <c r="D195">
        <f>'Refrig Mass Flow &amp; Cond kW'!D186*Winter!$C$6*((Winter!$C$17-Winter!$C$16)/1000)</f>
        <v>2.3194102996198014</v>
      </c>
      <c r="E195">
        <f>'Refrig Mass Flow &amp; Cond kW'!D186*(($C$13-$C$14)-$C$6*($C$17-$C$18)/1000)-'Refrig Mass Flow &amp; Cond kW'!C186*(1-$C$6/($C$10+273))</f>
        <v>0.65917554602569517</v>
      </c>
      <c r="F195" s="13"/>
      <c r="G195" s="13">
        <f>'Refrig Mass Flow &amp; Cond kW'!F186*$C$6*($G$19-$G$18)/1000</f>
        <v>0.82106309263999167</v>
      </c>
      <c r="H195">
        <f>'Refrig Mass Flow &amp; Cond kW'!F186*$C$6*($G$17-$G$16)/1000</f>
        <v>5.1195698717550613</v>
      </c>
      <c r="I195">
        <f>'Refrig Mass Flow &amp; Cond kW'!F186*(($G$13-$G$14)-$C$6*($G$17-$G$18)/1000)-'Refrig Mass Flow &amp; Cond kW'!E186*(1-$C$6/($G$10+273))</f>
        <v>2.2659731429230199</v>
      </c>
    </row>
    <row r="196" spans="2:9" x14ac:dyDescent="0.2">
      <c r="B196" s="2">
        <v>173</v>
      </c>
      <c r="C196">
        <f>'Refrig Mass Flow &amp; Cond kW'!D187*$C$6*(($C$19-$C$18)/1000)</f>
        <v>0.66170071851961954</v>
      </c>
      <c r="D196">
        <f>'Refrig Mass Flow &amp; Cond kW'!D187*Winter!$C$6*((Winter!$C$17-Winter!$C$16)/1000)</f>
        <v>2.2214238407444045</v>
      </c>
      <c r="E196">
        <f>'Refrig Mass Flow &amp; Cond kW'!D187*(($C$13-$C$14)-$C$6*($C$17-$C$18)/1000)-'Refrig Mass Flow &amp; Cond kW'!C187*(1-$C$6/($C$10+273))</f>
        <v>0.63132783079268862</v>
      </c>
      <c r="F196" s="13"/>
      <c r="G196" s="13">
        <f>'Refrig Mass Flow &amp; Cond kW'!F187*$C$6*($G$19-$G$18)/1000</f>
        <v>0.84816605322696759</v>
      </c>
      <c r="H196">
        <f>'Refrig Mass Flow &amp; Cond kW'!F187*$C$6*($G$17-$G$16)/1000</f>
        <v>5.2885648024738465</v>
      </c>
      <c r="I196">
        <f>'Refrig Mass Flow &amp; Cond kW'!F187*(($G$13-$G$14)-$C$6*($G$17-$G$18)/1000)-'Refrig Mass Flow &amp; Cond kW'!E187*(1-$C$6/($G$10+273))</f>
        <v>2.3407719998370737</v>
      </c>
    </row>
    <row r="197" spans="2:9" x14ac:dyDescent="0.2">
      <c r="B197" s="2">
        <v>174</v>
      </c>
      <c r="C197">
        <f>'Refrig Mass Flow &amp; Cond kW'!D188*$C$6*(($C$19-$C$18)/1000)</f>
        <v>0</v>
      </c>
      <c r="D197">
        <f>'Refrig Mass Flow &amp; Cond kW'!D188*Winter!$C$6*((Winter!$C$17-Winter!$C$16)/1000)</f>
        <v>0</v>
      </c>
      <c r="E197">
        <f>'Refrig Mass Flow &amp; Cond kW'!D188*(($C$13-$C$14)-$C$6*($C$17-$C$18)/1000)-'Refrig Mass Flow &amp; Cond kW'!C188*(1-$C$6/($C$10+273))</f>
        <v>0</v>
      </c>
      <c r="F197" s="13"/>
      <c r="G197" s="13">
        <f>'Refrig Mass Flow &amp; Cond kW'!F188*$C$6*($G$19-$G$18)/1000</f>
        <v>0.87518697520901911</v>
      </c>
      <c r="H197">
        <f>'Refrig Mass Flow &amp; Cond kW'!F188*$C$6*($G$17-$G$16)/1000</f>
        <v>5.4570481983619263</v>
      </c>
      <c r="I197">
        <f>'Refrig Mass Flow &amp; Cond kW'!F188*(($G$13-$G$14)-$C$6*($G$17-$G$18)/1000)-'Refrig Mass Flow &amp; Cond kW'!E188*(1-$C$6/($G$10+273))</f>
        <v>2.4153444462875377</v>
      </c>
    </row>
    <row r="198" spans="2:9" x14ac:dyDescent="0.2">
      <c r="B198" s="2">
        <v>175</v>
      </c>
      <c r="C198">
        <f>'Refrig Mass Flow &amp; Cond kW'!D189*$C$6*(($C$19-$C$18)/1000)</f>
        <v>0</v>
      </c>
      <c r="D198">
        <f>'Refrig Mass Flow &amp; Cond kW'!D189*Winter!$C$6*((Winter!$C$17-Winter!$C$16)/1000)</f>
        <v>0</v>
      </c>
      <c r="E198">
        <f>'Refrig Mass Flow &amp; Cond kW'!D189*(($C$13-$C$14)-$C$6*($C$17-$C$18)/1000)-'Refrig Mass Flow &amp; Cond kW'!C189*(1-$C$6/($C$10+273))</f>
        <v>0</v>
      </c>
      <c r="F198" s="13"/>
      <c r="G198" s="13">
        <f>'Refrig Mass Flow &amp; Cond kW'!F189*$C$6*($G$19-$G$18)/1000</f>
        <v>0.90241210159259544</v>
      </c>
      <c r="H198">
        <f>'Refrig Mass Flow &amp; Cond kW'!F189*$C$6*($G$17-$G$16)/1000</f>
        <v>5.6268048687536316</v>
      </c>
      <c r="I198">
        <f>'Refrig Mass Flow &amp; Cond kW'!F189*(($G$13-$G$14)-$C$6*($G$17-$G$18)/1000)-'Refrig Mass Flow &amp; Cond kW'!E189*(1-$C$6/($G$10+273))</f>
        <v>2.4904804568461287</v>
      </c>
    </row>
    <row r="199" spans="2:9" x14ac:dyDescent="0.2">
      <c r="B199" s="2">
        <v>176</v>
      </c>
      <c r="C199">
        <f>'Refrig Mass Flow &amp; Cond kW'!D190*$C$6*(($C$19-$C$18)/1000)</f>
        <v>0</v>
      </c>
      <c r="D199">
        <f>'Refrig Mass Flow &amp; Cond kW'!D190*Winter!$C$6*((Winter!$C$17-Winter!$C$16)/1000)</f>
        <v>0</v>
      </c>
      <c r="E199">
        <f>'Refrig Mass Flow &amp; Cond kW'!D190*(($C$13-$C$14)-$C$6*($C$17-$C$18)/1000)-'Refrig Mass Flow &amp; Cond kW'!C190*(1-$C$6/($C$10+273))</f>
        <v>0</v>
      </c>
      <c r="F199" s="13"/>
      <c r="G199" s="13">
        <f>'Refrig Mass Flow &amp; Cond kW'!F190*$C$6*($G$19-$G$18)/1000</f>
        <v>0.92970972094139381</v>
      </c>
      <c r="H199">
        <f>'Refrig Mass Flow &amp; Cond kW'!F190*$C$6*($G$17-$G$16)/1000</f>
        <v>5.7970135541049563</v>
      </c>
      <c r="I199">
        <f>'Refrig Mass Flow &amp; Cond kW'!F190*(($G$13-$G$14)-$C$6*($G$17-$G$18)/1000)-'Refrig Mass Flow &amp; Cond kW'!E190*(1-$C$6/($G$10+273))</f>
        <v>2.5658165337744308</v>
      </c>
    </row>
    <row r="200" spans="2:9" x14ac:dyDescent="0.2">
      <c r="B200" s="2">
        <v>177</v>
      </c>
      <c r="C200">
        <f>'Refrig Mass Flow &amp; Cond kW'!D191*$C$6*(($C$19-$C$18)/1000)</f>
        <v>0</v>
      </c>
      <c r="D200">
        <f>'Refrig Mass Flow &amp; Cond kW'!D191*Winter!$C$6*((Winter!$C$17-Winter!$C$16)/1000)</f>
        <v>0</v>
      </c>
      <c r="E200">
        <f>'Refrig Mass Flow &amp; Cond kW'!D191*(($C$13-$C$14)-$C$6*($C$17-$C$18)/1000)-'Refrig Mass Flow &amp; Cond kW'!C191*(1-$C$6/($C$10+273))</f>
        <v>0</v>
      </c>
      <c r="F200" s="13"/>
      <c r="G200" s="13">
        <f>'Refrig Mass Flow &amp; Cond kW'!F191*$C$6*($G$19-$G$18)/1000</f>
        <v>0.95701480570119102</v>
      </c>
      <c r="H200">
        <f>'Refrig Mass Flow &amp; Cond kW'!F191*$C$6*($G$17-$G$16)/1000</f>
        <v>5.9672687884895685</v>
      </c>
      <c r="I200">
        <f>'Refrig Mass Flow &amp; Cond kW'!F191*(($G$13-$G$14)-$C$6*($G$17-$G$18)/1000)-'Refrig Mass Flow &amp; Cond kW'!E191*(1-$C$6/($G$10+273))</f>
        <v>2.6411732137732784</v>
      </c>
    </row>
    <row r="201" spans="2:9" x14ac:dyDescent="0.2">
      <c r="B201" s="2">
        <v>178</v>
      </c>
      <c r="C201">
        <f>'Refrig Mass Flow &amp; Cond kW'!D192*$C$6*(($C$19-$C$18)/1000)</f>
        <v>0</v>
      </c>
      <c r="D201">
        <f>'Refrig Mass Flow &amp; Cond kW'!D192*Winter!$C$6*((Winter!$C$17-Winter!$C$16)/1000)</f>
        <v>0</v>
      </c>
      <c r="E201">
        <f>'Refrig Mass Flow &amp; Cond kW'!D192*(($C$13-$C$14)-$C$6*($C$17-$C$18)/1000)-'Refrig Mass Flow &amp; Cond kW'!C192*(1-$C$6/($C$10+273))</f>
        <v>0</v>
      </c>
      <c r="F201" s="13"/>
      <c r="G201" s="13">
        <f>'Refrig Mass Flow &amp; Cond kW'!F192*$C$6*($G$19-$G$18)/1000</f>
        <v>0.98398170585844469</v>
      </c>
      <c r="H201">
        <f>'Refrig Mass Flow &amp; Cond kW'!F192*$C$6*($G$17-$G$16)/1000</f>
        <v>6.1354153424112621</v>
      </c>
      <c r="I201">
        <f>'Refrig Mass Flow &amp; Cond kW'!F192*(($G$13-$G$14)-$C$6*($G$17-$G$18)/1000)-'Refrig Mass Flow &amp; Cond kW'!E192*(1-$C$6/($G$10+273))</f>
        <v>2.7155965705798124</v>
      </c>
    </row>
    <row r="202" spans="2:9" x14ac:dyDescent="0.2">
      <c r="B202" s="2">
        <v>179</v>
      </c>
      <c r="C202">
        <f>'Refrig Mass Flow &amp; Cond kW'!D193*$C$6*(($C$19-$C$18)/1000)</f>
        <v>0</v>
      </c>
      <c r="D202">
        <f>'Refrig Mass Flow &amp; Cond kW'!D193*Winter!$C$6*((Winter!$C$17-Winter!$C$16)/1000)</f>
        <v>0</v>
      </c>
      <c r="E202">
        <f>'Refrig Mass Flow &amp; Cond kW'!D193*(($C$13-$C$14)-$C$6*($C$17-$C$18)/1000)-'Refrig Mass Flow &amp; Cond kW'!C193*(1-$C$6/($C$10+273))</f>
        <v>0</v>
      </c>
      <c r="F202" s="13"/>
      <c r="G202" s="13">
        <f>'Refrig Mass Flow &amp; Cond kW'!F193*$C$6*($G$19-$G$18)/1000</f>
        <v>1.0107438017849482</v>
      </c>
      <c r="H202">
        <f>'Refrig Mass Flow &amp; Cond kW'!F193*$C$6*($G$17-$G$16)/1000</f>
        <v>6.3022848817176902</v>
      </c>
      <c r="I202">
        <f>'Refrig Mass Flow &amp; Cond kW'!F193*(($G$13-$G$14)-$C$6*($G$17-$G$18)/1000)-'Refrig Mass Flow &amp; Cond kW'!E193*(1-$C$6/($G$10+273))</f>
        <v>2.7894547078671721</v>
      </c>
    </row>
    <row r="203" spans="2:9" x14ac:dyDescent="0.2">
      <c r="B203" s="2">
        <v>180</v>
      </c>
      <c r="C203">
        <f>'Refrig Mass Flow &amp; Cond kW'!D194*$C$6*(($C$19-$C$18)/1000)</f>
        <v>0</v>
      </c>
      <c r="D203">
        <f>'Refrig Mass Flow &amp; Cond kW'!D194*Winter!$C$6*((Winter!$C$17-Winter!$C$16)/1000)</f>
        <v>0</v>
      </c>
      <c r="E203">
        <f>'Refrig Mass Flow &amp; Cond kW'!D194*(($C$13-$C$14)-$C$6*($C$17-$C$18)/1000)-'Refrig Mass Flow &amp; Cond kW'!C194*(1-$C$6/($C$10+273))</f>
        <v>0</v>
      </c>
      <c r="F203" s="13"/>
      <c r="G203" s="13">
        <f>'Refrig Mass Flow &amp; Cond kW'!F194*$C$6*($G$19-$G$18)/1000</f>
        <v>1.0372683958326809</v>
      </c>
      <c r="H203">
        <f>'Refrig Mass Flow &amp; Cond kW'!F194*$C$6*($G$17-$G$16)/1000</f>
        <v>6.4676735269564878</v>
      </c>
      <c r="I203">
        <f>'Refrig Mass Flow &amp; Cond kW'!F194*(($G$13-$G$14)-$C$6*($G$17-$G$18)/1000)-'Refrig Mass Flow &amp; Cond kW'!E194*(1-$C$6/($G$10+273))</f>
        <v>2.8626573865381104</v>
      </c>
    </row>
    <row r="204" spans="2:9" x14ac:dyDescent="0.2">
      <c r="B204" s="2">
        <v>181</v>
      </c>
      <c r="C204">
        <f>'Refrig Mass Flow &amp; Cond kW'!D195*$C$6*(($C$19-$C$18)/1000)</f>
        <v>0</v>
      </c>
      <c r="D204">
        <f>'Refrig Mass Flow &amp; Cond kW'!D195*Winter!$C$6*((Winter!$C$17-Winter!$C$16)/1000)</f>
        <v>0</v>
      </c>
      <c r="E204">
        <f>'Refrig Mass Flow &amp; Cond kW'!D195*(($C$13-$C$14)-$C$6*($C$17-$C$18)/1000)-'Refrig Mass Flow &amp; Cond kW'!C195*(1-$C$6/($C$10+273))</f>
        <v>0</v>
      </c>
      <c r="F204" s="13"/>
      <c r="G204" s="13">
        <f>'Refrig Mass Flow &amp; Cond kW'!F195*$C$6*($G$19-$G$18)/1000</f>
        <v>1.0635228217942543</v>
      </c>
      <c r="H204">
        <f>'Refrig Mass Flow &amp; Cond kW'!F195*$C$6*($G$17-$G$16)/1000</f>
        <v>6.6313775947168816</v>
      </c>
      <c r="I204">
        <f>'Refrig Mass Flow &amp; Cond kW'!F195*(($G$13-$G$14)-$C$6*($G$17-$G$18)/1000)-'Refrig Mass Flow &amp; Cond kW'!E195*(1-$C$6/($G$10+273))</f>
        <v>2.9351144542653955</v>
      </c>
    </row>
    <row r="205" spans="2:9" x14ac:dyDescent="0.2">
      <c r="B205" s="2">
        <v>182</v>
      </c>
      <c r="C205">
        <f>'Refrig Mass Flow &amp; Cond kW'!D196*$C$6*(($C$19-$C$18)/1000)</f>
        <v>0</v>
      </c>
      <c r="D205">
        <f>'Refrig Mass Flow &amp; Cond kW'!D196*Winter!$C$6*((Winter!$C$17-Winter!$C$16)/1000)</f>
        <v>0</v>
      </c>
      <c r="E205">
        <f>'Refrig Mass Flow &amp; Cond kW'!D196*(($C$13-$C$14)-$C$6*($C$17-$C$18)/1000)-'Refrig Mass Flow &amp; Cond kW'!C196*(1-$C$6/($C$10+273))</f>
        <v>0</v>
      </c>
      <c r="F205" s="13"/>
      <c r="G205" s="13">
        <f>'Refrig Mass Flow &amp; Cond kW'!F196*$C$6*($G$19-$G$18)/1000</f>
        <v>1.0894744478769345</v>
      </c>
      <c r="H205">
        <f>'Refrig Mass Flow &amp; Cond kW'!F196*$C$6*($G$17-$G$16)/1000</f>
        <v>6.7931936161735855</v>
      </c>
      <c r="I205">
        <f>'Refrig Mass Flow &amp; Cond kW'!F196*(($G$13-$G$14)-$C$6*($G$17-$G$18)/1000)-'Refrig Mass Flow &amp; Cond kW'!E196*(1-$C$6/($G$10+273))</f>
        <v>3.0067358536994533</v>
      </c>
    </row>
    <row r="206" spans="2:9" x14ac:dyDescent="0.2">
      <c r="B206" s="2">
        <v>183</v>
      </c>
      <c r="C206">
        <f>'Refrig Mass Flow &amp; Cond kW'!D197*$C$6*(($C$19-$C$18)/1000)</f>
        <v>0</v>
      </c>
      <c r="D206">
        <f>'Refrig Mass Flow &amp; Cond kW'!D197*Winter!$C$6*((Winter!$C$17-Winter!$C$16)/1000)</f>
        <v>0</v>
      </c>
      <c r="E206">
        <f>'Refrig Mass Flow &amp; Cond kW'!D197*(($C$13-$C$14)-$C$6*($C$17-$C$18)/1000)-'Refrig Mass Flow &amp; Cond kW'!C197*(1-$C$6/($C$10+273))</f>
        <v>0</v>
      </c>
      <c r="F206" s="13"/>
      <c r="G206" s="13">
        <f>'Refrig Mass Flow &amp; Cond kW'!F197*$C$6*($G$19-$G$18)/1000</f>
        <v>1.1151412474181412</v>
      </c>
      <c r="H206">
        <f>'Refrig Mass Flow &amp; Cond kW'!F197*$C$6*($G$17-$G$16)/1000</f>
        <v>6.9532336603716942</v>
      </c>
      <c r="I206">
        <f>'Refrig Mass Flow &amp; Cond kW'!F197*(($G$13-$G$14)-$C$6*($G$17-$G$18)/1000)-'Refrig Mass Flow &amp; Cond kW'!E197*(1-$C$6/($G$10+273))</f>
        <v>3.0775711877273935</v>
      </c>
    </row>
    <row r="207" spans="2:9" x14ac:dyDescent="0.2">
      <c r="B207" s="2">
        <v>184</v>
      </c>
      <c r="C207">
        <f>'Refrig Mass Flow &amp; Cond kW'!D198*$C$6*(($C$19-$C$18)/1000)</f>
        <v>0</v>
      </c>
      <c r="D207">
        <f>'Refrig Mass Flow &amp; Cond kW'!D198*Winter!$C$6*((Winter!$C$17-Winter!$C$16)/1000)</f>
        <v>0</v>
      </c>
      <c r="E207">
        <f>'Refrig Mass Flow &amp; Cond kW'!D198*(($C$13-$C$14)-$C$6*($C$17-$C$18)/1000)-'Refrig Mass Flow &amp; Cond kW'!C198*(1-$C$6/($C$10+273))</f>
        <v>0</v>
      </c>
      <c r="F207" s="13"/>
      <c r="G207" s="13">
        <f>'Refrig Mass Flow &amp; Cond kW'!F198*$C$6*($G$19-$G$18)/1000</f>
        <v>1.1408188111986712</v>
      </c>
      <c r="H207">
        <f>'Refrig Mass Flow &amp; Cond kW'!F198*$C$6*($G$17-$G$16)/1000</f>
        <v>7.1133408227679347</v>
      </c>
      <c r="I207">
        <f>'Refrig Mass Flow &amp; Cond kW'!F198*(($G$13-$G$14)-$C$6*($G$17-$G$18)/1000)-'Refrig Mass Flow &amp; Cond kW'!E198*(1-$C$6/($G$10+273))</f>
        <v>3.1484362289452221</v>
      </c>
    </row>
    <row r="208" spans="2:9" x14ac:dyDescent="0.2">
      <c r="B208" s="2">
        <v>185</v>
      </c>
      <c r="C208">
        <f>'Refrig Mass Flow &amp; Cond kW'!D199*$C$6*(($C$19-$C$18)/1000)</f>
        <v>0</v>
      </c>
      <c r="D208">
        <f>'Refrig Mass Flow &amp; Cond kW'!D199*Winter!$C$6*((Winter!$C$17-Winter!$C$16)/1000)</f>
        <v>0</v>
      </c>
      <c r="E208">
        <f>'Refrig Mass Flow &amp; Cond kW'!D199*(($C$13-$C$14)-$C$6*($C$17-$C$18)/1000)-'Refrig Mass Flow &amp; Cond kW'!C199*(1-$C$6/($C$10+273))</f>
        <v>0</v>
      </c>
      <c r="F208" s="13"/>
      <c r="G208" s="13">
        <f>'Refrig Mass Flow &amp; Cond kW'!F199*$C$6*($G$19-$G$18)/1000</f>
        <v>1.1662519075222535</v>
      </c>
      <c r="H208">
        <f>'Refrig Mass Flow &amp; Cond kW'!F199*$C$6*($G$17-$G$16)/1000</f>
        <v>7.2719236586679123</v>
      </c>
      <c r="I208">
        <f>'Refrig Mass Flow &amp; Cond kW'!F199*(($G$13-$G$14)-$C$6*($G$17-$G$18)/1000)-'Refrig Mass Flow &amp; Cond kW'!E199*(1-$C$6/($G$10+273))</f>
        <v>3.218626587916674</v>
      </c>
    </row>
    <row r="209" spans="2:9" x14ac:dyDescent="0.2">
      <c r="B209" s="2">
        <v>186</v>
      </c>
      <c r="C209">
        <f>'Refrig Mass Flow &amp; Cond kW'!D200*$C$6*(($C$19-$C$18)/1000)</f>
        <v>0</v>
      </c>
      <c r="D209">
        <f>'Refrig Mass Flow &amp; Cond kW'!D200*Winter!$C$6*((Winter!$C$17-Winter!$C$16)/1000)</f>
        <v>0</v>
      </c>
      <c r="E209">
        <f>'Refrig Mass Flow &amp; Cond kW'!D200*(($C$13-$C$14)-$C$6*($C$17-$C$18)/1000)-'Refrig Mass Flow &amp; Cond kW'!C200*(1-$C$6/($C$10+273))</f>
        <v>0</v>
      </c>
      <c r="F209" s="13"/>
      <c r="G209" s="13">
        <f>'Refrig Mass Flow &amp; Cond kW'!F200*$C$6*($G$19-$G$18)/1000</f>
        <v>1.1913996027153964</v>
      </c>
      <c r="H209">
        <f>'Refrig Mass Flow &amp; Cond kW'!F200*$C$6*($G$17-$G$16)/1000</f>
        <v>7.4287269345780924</v>
      </c>
      <c r="I209">
        <f>'Refrig Mass Flow &amp; Cond kW'!F200*(($G$13-$G$14)-$C$6*($G$17-$G$18)/1000)-'Refrig Mass Flow &amp; Cond kW'!E200*(1-$C$6/($G$10+273))</f>
        <v>3.2880292957291246</v>
      </c>
    </row>
    <row r="210" spans="2:9" x14ac:dyDescent="0.2">
      <c r="B210" s="2">
        <v>187</v>
      </c>
      <c r="C210">
        <f>'Refrig Mass Flow &amp; Cond kW'!D201*$C$6*(($C$19-$C$18)/1000)</f>
        <v>0</v>
      </c>
      <c r="D210">
        <f>'Refrig Mass Flow &amp; Cond kW'!D201*Winter!$C$6*((Winter!$C$17-Winter!$C$16)/1000)</f>
        <v>0</v>
      </c>
      <c r="E210">
        <f>'Refrig Mass Flow &amp; Cond kW'!D201*(($C$13-$C$14)-$C$6*($C$17-$C$18)/1000)-'Refrig Mass Flow &amp; Cond kW'!C201*(1-$C$6/($C$10+273))</f>
        <v>0</v>
      </c>
      <c r="F210" s="13"/>
      <c r="G210" s="13">
        <f>'Refrig Mass Flow &amp; Cond kW'!F201*$C$6*($G$19-$G$18)/1000</f>
        <v>1.2162974417136978</v>
      </c>
      <c r="H210">
        <f>'Refrig Mass Flow &amp; Cond kW'!F201*$C$6*($G$17-$G$16)/1000</f>
        <v>7.5839722836263181</v>
      </c>
      <c r="I210">
        <f>'Refrig Mass Flow &amp; Cond kW'!F201*(($G$13-$G$14)-$C$6*($G$17-$G$18)/1000)-'Refrig Mass Flow &amp; Cond kW'!E201*(1-$C$6/($G$10+273))</f>
        <v>3.3567424494352096</v>
      </c>
    </row>
    <row r="211" spans="2:9" x14ac:dyDescent="0.2">
      <c r="B211" s="2">
        <v>188</v>
      </c>
      <c r="C211">
        <f>'Refrig Mass Flow &amp; Cond kW'!D202*$C$6*(($C$19-$C$18)/1000)</f>
        <v>0</v>
      </c>
      <c r="D211">
        <f>'Refrig Mass Flow &amp; Cond kW'!D202*Winter!$C$6*((Winter!$C$17-Winter!$C$16)/1000)</f>
        <v>0</v>
      </c>
      <c r="E211">
        <f>'Refrig Mass Flow &amp; Cond kW'!D202*(($C$13-$C$14)-$C$6*($C$17-$C$18)/1000)-'Refrig Mass Flow &amp; Cond kW'!C202*(1-$C$6/($C$10+273))</f>
        <v>0</v>
      </c>
      <c r="F211" s="13"/>
      <c r="G211" s="13">
        <f>'Refrig Mass Flow &amp; Cond kW'!F202*$C$6*($G$19-$G$18)/1000</f>
        <v>1.2409451359859482</v>
      </c>
      <c r="H211">
        <f>'Refrig Mass Flow &amp; Cond kW'!F202*$C$6*($G$17-$G$16)/1000</f>
        <v>7.7376579067356399</v>
      </c>
      <c r="I211">
        <f>'Refrig Mass Flow &amp; Cond kW'!F202*(($G$13-$G$14)-$C$6*($G$17-$G$18)/1000)-'Refrig Mass Flow &amp; Cond kW'!E202*(1-$C$6/($G$10+273))</f>
        <v>3.424765252745388</v>
      </c>
    </row>
    <row r="212" spans="2:9" x14ac:dyDescent="0.2">
      <c r="B212" s="2">
        <v>189</v>
      </c>
      <c r="C212">
        <f>'Refrig Mass Flow &amp; Cond kW'!D203*$C$6*(($C$19-$C$18)/1000)</f>
        <v>0</v>
      </c>
      <c r="D212">
        <f>'Refrig Mass Flow &amp; Cond kW'!D203*Winter!$C$6*((Winter!$C$17-Winter!$C$16)/1000)</f>
        <v>0</v>
      </c>
      <c r="E212">
        <f>'Refrig Mass Flow &amp; Cond kW'!D203*(($C$13-$C$14)-$C$6*($C$17-$C$18)/1000)-'Refrig Mass Flow &amp; Cond kW'!C203*(1-$C$6/($C$10+273))</f>
        <v>0</v>
      </c>
      <c r="F212" s="13"/>
      <c r="G212" s="13">
        <f>'Refrig Mass Flow &amp; Cond kW'!F203*$C$6*($G$19-$G$18)/1000</f>
        <v>1.2653345407029546</v>
      </c>
      <c r="H212">
        <f>'Refrig Mass Flow &amp; Cond kW'!F203*$C$6*($G$17-$G$16)/1000</f>
        <v>7.8897330185004968</v>
      </c>
      <c r="I212">
        <f>'Refrig Mass Flow &amp; Cond kW'!F203*(($G$13-$G$14)-$C$6*($G$17-$G$18)/1000)-'Refrig Mass Flow &amp; Cond kW'!E203*(1-$C$6/($G$10+273))</f>
        <v>3.4920752275281117</v>
      </c>
    </row>
    <row r="213" spans="2:9" x14ac:dyDescent="0.2">
      <c r="B213" s="2">
        <v>190</v>
      </c>
      <c r="C213">
        <f>'Refrig Mass Flow &amp; Cond kW'!D204*$C$6*(($C$19-$C$18)/1000)</f>
        <v>0</v>
      </c>
      <c r="D213">
        <f>'Refrig Mass Flow &amp; Cond kW'!D204*Winter!$C$6*((Winter!$C$17-Winter!$C$16)/1000)</f>
        <v>0</v>
      </c>
      <c r="E213">
        <f>'Refrig Mass Flow &amp; Cond kW'!D204*(($C$13-$C$14)-$C$6*($C$17-$C$18)/1000)-'Refrig Mass Flow &amp; Cond kW'!C204*(1-$C$6/($C$10+273))</f>
        <v>0</v>
      </c>
      <c r="F213" s="13"/>
      <c r="G213" s="13">
        <f>'Refrig Mass Flow &amp; Cond kW'!F204*$C$6*($G$19-$G$18)/1000</f>
        <v>1.2894993742418481</v>
      </c>
      <c r="H213">
        <f>'Refrig Mass Flow &amp; Cond kW'!F204*$C$6*($G$17-$G$16)/1000</f>
        <v>8.0404078629194746</v>
      </c>
      <c r="I213">
        <f>'Refrig Mass Flow &amp; Cond kW'!F204*(($G$13-$G$14)-$C$6*($G$17-$G$18)/1000)-'Refrig Mass Flow &amp; Cond kW'!E204*(1-$C$6/($G$10+273))</f>
        <v>3.5587654298927944</v>
      </c>
    </row>
    <row r="214" spans="2:9" x14ac:dyDescent="0.2">
      <c r="B214" s="2">
        <v>191</v>
      </c>
      <c r="C214">
        <f>'Refrig Mass Flow &amp; Cond kW'!D205*$C$6*(($C$19-$C$18)/1000)</f>
        <v>0</v>
      </c>
      <c r="D214">
        <f>'Refrig Mass Flow &amp; Cond kW'!D205*Winter!$C$6*((Winter!$C$17-Winter!$C$16)/1000)</f>
        <v>0</v>
      </c>
      <c r="E214">
        <f>'Refrig Mass Flow &amp; Cond kW'!D205*(($C$13-$C$14)-$C$6*($C$17-$C$18)/1000)-'Refrig Mass Flow &amp; Cond kW'!C205*(1-$C$6/($C$10+273))</f>
        <v>0</v>
      </c>
      <c r="F214" s="13"/>
      <c r="G214" s="13">
        <f>'Refrig Mass Flow &amp; Cond kW'!F205*$C$6*($G$19-$G$18)/1000</f>
        <v>1.3136257422753894</v>
      </c>
      <c r="H214">
        <f>'Refrig Mass Flow &amp; Cond kW'!F205*$C$6*($G$17-$G$16)/1000</f>
        <v>8.1908428635991974</v>
      </c>
      <c r="I214">
        <f>'Refrig Mass Flow &amp; Cond kW'!F205*(($G$13-$G$14)-$C$6*($G$17-$G$18)/1000)-'Refrig Mass Flow &amp; Cond kW'!E205*(1-$C$6/($G$10+273))</f>
        <v>3.6253494750049668</v>
      </c>
    </row>
    <row r="215" spans="2:9" x14ac:dyDescent="0.2">
      <c r="B215" s="2">
        <v>192</v>
      </c>
      <c r="C215">
        <f>'Refrig Mass Flow &amp; Cond kW'!D206*$C$6*(($C$19-$C$18)/1000)</f>
        <v>0</v>
      </c>
      <c r="D215">
        <f>'Refrig Mass Flow &amp; Cond kW'!D206*Winter!$C$6*((Winter!$C$17-Winter!$C$16)/1000)</f>
        <v>0</v>
      </c>
      <c r="E215">
        <f>'Refrig Mass Flow &amp; Cond kW'!D206*(($C$13-$C$14)-$C$6*($C$17-$C$18)/1000)-'Refrig Mass Flow &amp; Cond kW'!C206*(1-$C$6/($C$10+273))</f>
        <v>0</v>
      </c>
      <c r="F215" s="13"/>
      <c r="G215" s="13">
        <f>'Refrig Mass Flow &amp; Cond kW'!F206*$C$6*($G$19-$G$18)/1000</f>
        <v>1.3375101925299797</v>
      </c>
      <c r="H215">
        <f>'Refrig Mass Flow &amp; Cond kW'!F206*$C$6*($G$17-$G$16)/1000</f>
        <v>8.3397694357748726</v>
      </c>
      <c r="I215">
        <f>'Refrig Mass Flow &amp; Cond kW'!F206*(($G$13-$G$14)-$C$6*($G$17-$G$18)/1000)-'Refrig Mass Flow &amp; Cond kW'!E206*(1-$C$6/($G$10+273))</f>
        <v>3.6912658744820988</v>
      </c>
    </row>
    <row r="216" spans="2:9" x14ac:dyDescent="0.2">
      <c r="B216" s="2">
        <v>193</v>
      </c>
      <c r="C216">
        <f>'Refrig Mass Flow &amp; Cond kW'!D207*$C$6*(($C$19-$C$18)/1000)</f>
        <v>0</v>
      </c>
      <c r="D216">
        <f>'Refrig Mass Flow &amp; Cond kW'!D207*Winter!$C$6*((Winter!$C$17-Winter!$C$16)/1000)</f>
        <v>0</v>
      </c>
      <c r="E216">
        <f>'Refrig Mass Flow &amp; Cond kW'!D207*(($C$13-$C$14)-$C$6*($C$17-$C$18)/1000)-'Refrig Mass Flow &amp; Cond kW'!C207*(1-$C$6/($C$10+273))</f>
        <v>0</v>
      </c>
      <c r="F216" s="13"/>
      <c r="G216" s="13">
        <f>'Refrig Mass Flow &amp; Cond kW'!F207*$C$6*($G$19-$G$18)/1000</f>
        <v>1.3613561851775264</v>
      </c>
      <c r="H216">
        <f>'Refrig Mass Flow &amp; Cond kW'!F207*$C$6*($G$17-$G$16)/1000</f>
        <v>8.4884562134595711</v>
      </c>
      <c r="I216">
        <f>'Refrig Mass Flow &amp; Cond kW'!F207*(($G$13-$G$14)-$C$6*($G$17-$G$18)/1000)-'Refrig Mass Flow &amp; Cond kW'!E207*(1-$C$6/($G$10+273))</f>
        <v>3.7570761385044875</v>
      </c>
    </row>
    <row r="217" spans="2:9" x14ac:dyDescent="0.2">
      <c r="B217" s="2">
        <v>194</v>
      </c>
      <c r="C217">
        <f>'Refrig Mass Flow &amp; Cond kW'!D208*$C$6*(($C$19-$C$18)/1000)</f>
        <v>0</v>
      </c>
      <c r="D217">
        <f>'Refrig Mass Flow &amp; Cond kW'!D208*Winter!$C$6*((Winter!$C$17-Winter!$C$16)/1000)</f>
        <v>0</v>
      </c>
      <c r="E217">
        <f>'Refrig Mass Flow &amp; Cond kW'!D208*(($C$13-$C$14)-$C$6*($C$17-$C$18)/1000)-'Refrig Mass Flow &amp; Cond kW'!C208*(1-$C$6/($C$10+273))</f>
        <v>0</v>
      </c>
      <c r="F217" s="13"/>
      <c r="G217" s="13">
        <f>'Refrig Mass Flow &amp; Cond kW'!F208*$C$6*($G$19-$G$18)/1000</f>
        <v>1.3850752541492004</v>
      </c>
      <c r="H217">
        <f>'Refrig Mass Flow &amp; Cond kW'!F208*$C$6*($G$17-$G$16)/1000</f>
        <v>8.6363515846947081</v>
      </c>
      <c r="I217">
        <f>'Refrig Mass Flow &amp; Cond kW'!F208*(($G$13-$G$14)-$C$6*($G$17-$G$18)/1000)-'Refrig Mass Flow &amp; Cond kW'!E208*(1-$C$6/($G$10+273))</f>
        <v>3.82253611806847</v>
      </c>
    </row>
    <row r="218" spans="2:9" x14ac:dyDescent="0.2">
      <c r="B218" s="2">
        <v>195</v>
      </c>
      <c r="C218">
        <f>'Refrig Mass Flow &amp; Cond kW'!D209*$C$6*(($C$19-$C$18)/1000)</f>
        <v>0</v>
      </c>
      <c r="D218">
        <f>'Refrig Mass Flow &amp; Cond kW'!D209*Winter!$C$6*((Winter!$C$17-Winter!$C$16)/1000)</f>
        <v>0</v>
      </c>
      <c r="E218">
        <f>'Refrig Mass Flow &amp; Cond kW'!D209*(($C$13-$C$14)-$C$6*($C$17-$C$18)/1000)-'Refrig Mass Flow &amp; Cond kW'!C209*(1-$C$6/($C$10+273))</f>
        <v>0</v>
      </c>
      <c r="F218" s="13"/>
      <c r="G218" s="13">
        <f>'Refrig Mass Flow &amp; Cond kW'!F209*$C$6*($G$19-$G$18)/1000</f>
        <v>1.4086636129132659</v>
      </c>
      <c r="H218">
        <f>'Refrig Mass Flow &amp; Cond kW'!F209*$C$6*($G$17-$G$16)/1000</f>
        <v>8.7834319393412308</v>
      </c>
      <c r="I218">
        <f>'Refrig Mass Flow &amp; Cond kW'!F209*(($G$13-$G$14)-$C$6*($G$17-$G$18)/1000)-'Refrig Mass Flow &amp; Cond kW'!E209*(1-$C$6/($G$10+273))</f>
        <v>3.8876353630888971</v>
      </c>
    </row>
    <row r="219" spans="2:9" x14ac:dyDescent="0.2">
      <c r="B219" s="2">
        <v>196</v>
      </c>
      <c r="C219">
        <f>'Refrig Mass Flow &amp; Cond kW'!D210*$C$6*(($C$19-$C$18)/1000)</f>
        <v>0</v>
      </c>
      <c r="D219">
        <f>'Refrig Mass Flow &amp; Cond kW'!D210*Winter!$C$6*((Winter!$C$17-Winter!$C$16)/1000)</f>
        <v>0</v>
      </c>
      <c r="E219">
        <f>'Refrig Mass Flow &amp; Cond kW'!D210*(($C$13-$C$14)-$C$6*($C$17-$C$18)/1000)-'Refrig Mass Flow &amp; Cond kW'!C210*(1-$C$6/($C$10+273))</f>
        <v>0</v>
      </c>
      <c r="F219" s="13"/>
      <c r="G219" s="13">
        <f>'Refrig Mass Flow &amp; Cond kW'!F210*$C$6*($G$19-$G$18)/1000</f>
        <v>1.4321191203000521</v>
      </c>
      <c r="H219">
        <f>'Refrig Mass Flow &amp; Cond kW'!F210*$C$6*($G$17-$G$16)/1000</f>
        <v>8.9296839265764802</v>
      </c>
      <c r="I219">
        <f>'Refrig Mass Flow &amp; Cond kW'!F210*(($G$13-$G$14)-$C$6*($G$17-$G$18)/1000)-'Refrig Mass Flow &amp; Cond kW'!E210*(1-$C$6/($G$10+273))</f>
        <v>3.9523679643573359</v>
      </c>
    </row>
    <row r="220" spans="2:9" x14ac:dyDescent="0.2">
      <c r="B220" s="2">
        <v>197</v>
      </c>
      <c r="C220">
        <f>'Refrig Mass Flow &amp; Cond kW'!D211*$C$6*(($C$19-$C$18)/1000)</f>
        <v>0</v>
      </c>
      <c r="D220">
        <f>'Refrig Mass Flow &amp; Cond kW'!D211*Winter!$C$6*((Winter!$C$17-Winter!$C$16)/1000)</f>
        <v>0</v>
      </c>
      <c r="E220">
        <f>'Refrig Mass Flow &amp; Cond kW'!D211*(($C$13-$C$14)-$C$6*($C$17-$C$18)/1000)-'Refrig Mass Flow &amp; Cond kW'!C211*(1-$C$6/($C$10+273))</f>
        <v>0</v>
      </c>
      <c r="F220" s="13"/>
      <c r="G220" s="13">
        <f>'Refrig Mass Flow &amp; Cond kW'!F211*$C$6*($G$19-$G$18)/1000</f>
        <v>1.4554396476558806</v>
      </c>
      <c r="H220">
        <f>'Refrig Mass Flow &amp; Cond kW'!F211*$C$6*($G$17-$G$16)/1000</f>
        <v>9.075094273618701</v>
      </c>
      <c r="I220">
        <f>'Refrig Mass Flow &amp; Cond kW'!F211*(($G$13-$G$14)-$C$6*($G$17-$G$18)/1000)-'Refrig Mass Flow &amp; Cond kW'!E211*(1-$C$6/($G$10+273))</f>
        <v>4.0167280472069891</v>
      </c>
    </row>
    <row r="221" spans="2:9" x14ac:dyDescent="0.2">
      <c r="B221" s="2">
        <v>198</v>
      </c>
      <c r="C221">
        <f>'Refrig Mass Flow &amp; Cond kW'!D212*$C$6*(($C$19-$C$18)/1000)</f>
        <v>0</v>
      </c>
      <c r="D221">
        <f>'Refrig Mass Flow &amp; Cond kW'!D212*Winter!$C$6*((Winter!$C$17-Winter!$C$16)/1000)</f>
        <v>0</v>
      </c>
      <c r="E221">
        <f>'Refrig Mass Flow &amp; Cond kW'!D212*(($C$13-$C$14)-$C$6*($C$17-$C$18)/1000)-'Refrig Mass Flow &amp; Cond kW'!C212*(1-$C$6/($C$10+273))</f>
        <v>0</v>
      </c>
      <c r="F221" s="13"/>
      <c r="G221" s="13">
        <f>'Refrig Mass Flow &amp; Cond kW'!F212*$C$6*($G$19-$G$18)/1000</f>
        <v>1.4786230790361878</v>
      </c>
      <c r="H221">
        <f>'Refrig Mass Flow &amp; Cond kW'!F212*$C$6*($G$17-$G$16)/1000</f>
        <v>9.219649786931198</v>
      </c>
      <c r="I221">
        <f>'Refrig Mass Flow &amp; Cond kW'!F212*(($G$13-$G$14)-$C$6*($G$17-$G$18)/1000)-'Refrig Mass Flow &amp; Cond kW'!E212*(1-$C$6/($G$10+273))</f>
        <v>4.0807097720457861</v>
      </c>
    </row>
    <row r="222" spans="2:9" x14ac:dyDescent="0.2">
      <c r="B222" s="2">
        <v>199</v>
      </c>
      <c r="C222">
        <f>'Refrig Mass Flow &amp; Cond kW'!D213*$C$6*(($C$19-$C$18)/1000)</f>
        <v>0</v>
      </c>
      <c r="D222">
        <f>'Refrig Mass Flow &amp; Cond kW'!D213*Winter!$C$6*((Winter!$C$17-Winter!$C$16)/1000)</f>
        <v>0</v>
      </c>
      <c r="E222">
        <f>'Refrig Mass Flow &amp; Cond kW'!D213*(($C$13-$C$14)-$C$6*($C$17-$C$18)/1000)-'Refrig Mass Flow &amp; Cond kW'!C213*(1-$C$6/($C$10+273))</f>
        <v>0</v>
      </c>
      <c r="F222" s="13"/>
      <c r="G222" s="13">
        <f>'Refrig Mass Flow &amp; Cond kW'!F213*$C$6*($G$19-$G$18)/1000</f>
        <v>1.5019653626372687</v>
      </c>
      <c r="H222">
        <f>'Refrig Mass Flow &amp; Cond kW'!F213*$C$6*($G$17-$G$16)/1000</f>
        <v>9.3651957905614616</v>
      </c>
      <c r="I222">
        <f>'Refrig Mass Flow &amp; Cond kW'!F213*(($G$13-$G$14)-$C$6*($G$17-$G$18)/1000)-'Refrig Mass Flow &amp; Cond kW'!E213*(1-$C$6/($G$10+273))</f>
        <v>4.1451298978664113</v>
      </c>
    </row>
    <row r="223" spans="2:9" x14ac:dyDescent="0.2">
      <c r="B223" s="2">
        <v>200</v>
      </c>
      <c r="C223">
        <f>'Refrig Mass Flow &amp; Cond kW'!D214*$C$6*(($C$19-$C$18)/1000)</f>
        <v>0</v>
      </c>
      <c r="D223">
        <f>'Refrig Mass Flow &amp; Cond kW'!D214*Winter!$C$6*((Winter!$C$17-Winter!$C$16)/1000)</f>
        <v>0</v>
      </c>
      <c r="E223">
        <f>'Refrig Mass Flow &amp; Cond kW'!D214*(($C$13-$C$14)-$C$6*($C$17-$C$18)/1000)-'Refrig Mass Flow &amp; Cond kW'!C214*(1-$C$6/($C$10+273))</f>
        <v>0</v>
      </c>
      <c r="F223" s="13"/>
      <c r="G223" s="13">
        <f>'Refrig Mass Flow &amp; Cond kW'!F214*$C$6*($G$19-$G$18)/1000</f>
        <v>1.5253323772922003</v>
      </c>
      <c r="H223">
        <f>'Refrig Mass Flow &amp; Cond kW'!F214*$C$6*($G$17-$G$16)/1000</f>
        <v>9.5108959995863245</v>
      </c>
      <c r="I223">
        <f>'Refrig Mass Flow &amp; Cond kW'!F214*(($G$13-$G$14)-$C$6*($G$17-$G$18)/1000)-'Refrig Mass Flow &amp; Cond kW'!E214*(1-$C$6/($G$10+273))</f>
        <v>4.2096182765464363</v>
      </c>
    </row>
    <row r="224" spans="2:9" x14ac:dyDescent="0.2">
      <c r="B224" s="2">
        <v>201</v>
      </c>
      <c r="C224">
        <f>'Refrig Mass Flow &amp; Cond kW'!D215*$C$6*(($C$19-$C$18)/1000)</f>
        <v>0</v>
      </c>
      <c r="D224">
        <f>'Refrig Mass Flow &amp; Cond kW'!D215*Winter!$C$6*((Winter!$C$17-Winter!$C$16)/1000)</f>
        <v>0</v>
      </c>
      <c r="E224">
        <f>'Refrig Mass Flow &amp; Cond kW'!D215*(($C$13-$C$14)-$C$6*($C$17-$C$18)/1000)-'Refrig Mass Flow &amp; Cond kW'!C215*(1-$C$6/($C$10+273))</f>
        <v>0</v>
      </c>
      <c r="F224" s="13"/>
      <c r="G224" s="13">
        <f>'Refrig Mass Flow &amp; Cond kW'!F215*$C$6*($G$19-$G$18)/1000</f>
        <v>1.5486828229334066</v>
      </c>
      <c r="H224">
        <f>'Refrig Mass Flow &amp; Cond kW'!F215*$C$6*($G$17-$G$16)/1000</f>
        <v>9.6564928959373724</v>
      </c>
      <c r="I224">
        <f>'Refrig Mass Flow &amp; Cond kW'!F215*(($G$13-$G$14)-$C$6*($G$17-$G$18)/1000)-'Refrig Mass Flow &amp; Cond kW'!E215*(1-$C$6/($G$10+273))</f>
        <v>4.2740609279974038</v>
      </c>
    </row>
    <row r="225" spans="2:9" x14ac:dyDescent="0.2">
      <c r="B225" s="2">
        <v>202</v>
      </c>
      <c r="C225">
        <f>'Refrig Mass Flow &amp; Cond kW'!D216*$C$6*(($C$19-$C$18)/1000)</f>
        <v>0</v>
      </c>
      <c r="D225">
        <f>'Refrig Mass Flow &amp; Cond kW'!D216*Winter!$C$6*((Winter!$C$17-Winter!$C$16)/1000)</f>
        <v>0</v>
      </c>
      <c r="E225">
        <f>'Refrig Mass Flow &amp; Cond kW'!D216*(($C$13-$C$14)-$C$6*($C$17-$C$18)/1000)-'Refrig Mass Flow &amp; Cond kW'!C216*(1-$C$6/($C$10+273))</f>
        <v>0</v>
      </c>
      <c r="F225" s="13"/>
      <c r="G225" s="13">
        <f>'Refrig Mass Flow &amp; Cond kW'!F216*$C$6*($G$19-$G$18)/1000</f>
        <v>1.5716875733216482</v>
      </c>
      <c r="H225">
        <f>'Refrig Mass Flow &amp; Cond kW'!F216*$C$6*($G$17-$G$16)/1000</f>
        <v>9.7999342807111081</v>
      </c>
      <c r="I225">
        <f>'Refrig Mass Flow &amp; Cond kW'!F216*(($G$13-$G$14)-$C$6*($G$17-$G$18)/1000)-'Refrig Mass Flow &amp; Cond kW'!E216*(1-$C$6/($G$10+273))</f>
        <v>4.3375495283335894</v>
      </c>
    </row>
    <row r="226" spans="2:9" x14ac:dyDescent="0.2">
      <c r="B226" s="2">
        <v>203</v>
      </c>
      <c r="C226">
        <f>'Refrig Mass Flow &amp; Cond kW'!D217*$C$6*(($C$19-$C$18)/1000)</f>
        <v>0</v>
      </c>
      <c r="D226">
        <f>'Refrig Mass Flow &amp; Cond kW'!D217*Winter!$C$6*((Winter!$C$17-Winter!$C$16)/1000)</f>
        <v>0</v>
      </c>
      <c r="E226">
        <f>'Refrig Mass Flow &amp; Cond kW'!D217*(($C$13-$C$14)-$C$6*($C$17-$C$18)/1000)-'Refrig Mass Flow &amp; Cond kW'!C217*(1-$C$6/($C$10+273))</f>
        <v>0</v>
      </c>
      <c r="F226" s="13"/>
      <c r="G226" s="13">
        <f>'Refrig Mass Flow &amp; Cond kW'!F217*$C$6*($G$19-$G$18)/1000</f>
        <v>1.59447333127899</v>
      </c>
      <c r="H226">
        <f>'Refrig Mass Flow &amp; Cond kW'!F217*$C$6*($G$17-$G$16)/1000</f>
        <v>9.9420101832686463</v>
      </c>
      <c r="I226">
        <f>'Refrig Mass Flow &amp; Cond kW'!F217*(($G$13-$G$14)-$C$6*($G$17-$G$18)/1000)-'Refrig Mass Flow &amp; Cond kW'!E217*(1-$C$6/($G$10+273))</f>
        <v>4.4004337525001702</v>
      </c>
    </row>
    <row r="227" spans="2:9" x14ac:dyDescent="0.2">
      <c r="B227" s="2">
        <v>204</v>
      </c>
      <c r="C227">
        <f>'Refrig Mass Flow &amp; Cond kW'!D218*$C$6*(($C$19-$C$18)/1000)</f>
        <v>0</v>
      </c>
      <c r="D227">
        <f>'Refrig Mass Flow &amp; Cond kW'!D218*Winter!$C$6*((Winter!$C$17-Winter!$C$16)/1000)</f>
        <v>0</v>
      </c>
      <c r="E227">
        <f>'Refrig Mass Flow &amp; Cond kW'!D218*(($C$13-$C$14)-$C$6*($C$17-$C$18)/1000)-'Refrig Mass Flow &amp; Cond kW'!C218*(1-$C$6/($C$10+273))</f>
        <v>0</v>
      </c>
      <c r="F227" s="13"/>
      <c r="G227" s="13">
        <f>'Refrig Mass Flow &amp; Cond kW'!F218*$C$6*($G$19-$G$18)/1000</f>
        <v>1.6170121005186133</v>
      </c>
      <c r="H227">
        <f>'Refrig Mass Flow &amp; Cond kW'!F218*$C$6*($G$17-$G$16)/1000</f>
        <v>10.082546038527468</v>
      </c>
      <c r="I227">
        <f>'Refrig Mass Flow &amp; Cond kW'!F218*(($G$13-$G$14)-$C$6*($G$17-$G$18)/1000)-'Refrig Mass Flow &amp; Cond kW'!E218*(1-$C$6/($G$10+273))</f>
        <v>4.4626363362350077</v>
      </c>
    </row>
    <row r="228" spans="2:9" x14ac:dyDescent="0.2">
      <c r="B228" s="2">
        <v>205</v>
      </c>
      <c r="C228">
        <f>'Refrig Mass Flow &amp; Cond kW'!D219*$C$6*(($C$19-$C$18)/1000)</f>
        <v>0</v>
      </c>
      <c r="D228">
        <f>'Refrig Mass Flow &amp; Cond kW'!D219*Winter!$C$6*((Winter!$C$17-Winter!$C$16)/1000)</f>
        <v>0</v>
      </c>
      <c r="E228">
        <f>'Refrig Mass Flow &amp; Cond kW'!D219*(($C$13-$C$14)-$C$6*($C$17-$C$18)/1000)-'Refrig Mass Flow &amp; Cond kW'!C219*(1-$C$6/($C$10+273))</f>
        <v>0</v>
      </c>
      <c r="F228" s="13"/>
      <c r="G228" s="13">
        <f>'Refrig Mass Flow &amp; Cond kW'!F219*$C$6*($G$19-$G$18)/1000</f>
        <v>1.6392759160105816</v>
      </c>
      <c r="H228">
        <f>'Refrig Mass Flow &amp; Cond kW'!F219*$C$6*($G$17-$G$16)/1000</f>
        <v>10.221367476300911</v>
      </c>
      <c r="I228">
        <f>'Refrig Mass Flow &amp; Cond kW'!F219*(($G$13-$G$14)-$C$6*($G$17-$G$18)/1000)-'Refrig Mass Flow &amp; Cond kW'!E219*(1-$C$6/($G$10+273))</f>
        <v>4.5240801015388143</v>
      </c>
    </row>
    <row r="229" spans="2:9" x14ac:dyDescent="0.2">
      <c r="B229" s="2">
        <v>206</v>
      </c>
      <c r="C229">
        <f>'Refrig Mass Flow &amp; Cond kW'!D220*$C$6*(($C$19-$C$18)/1000)</f>
        <v>0</v>
      </c>
      <c r="D229">
        <f>'Refrig Mass Flow &amp; Cond kW'!D220*Winter!$C$6*((Winter!$C$17-Winter!$C$16)/1000)</f>
        <v>0</v>
      </c>
      <c r="E229">
        <f>'Refrig Mass Flow &amp; Cond kW'!D220*(($C$13-$C$14)-$C$6*($C$17-$C$18)/1000)-'Refrig Mass Flow &amp; Cond kW'!C220*(1-$C$6/($C$10+273))</f>
        <v>0</v>
      </c>
      <c r="F229" s="13"/>
      <c r="G229" s="13">
        <f>'Refrig Mass Flow &amp; Cond kW'!F220*$C$6*($G$19-$G$18)/1000</f>
        <v>1.6612367264149659</v>
      </c>
      <c r="H229">
        <f>'Refrig Mass Flow &amp; Cond kW'!F220*$C$6*($G$17-$G$16)/1000</f>
        <v>10.358299588234127</v>
      </c>
      <c r="I229">
        <f>'Refrig Mass Flow &amp; Cond kW'!F220*(($G$13-$G$14)-$C$6*($G$17-$G$18)/1000)-'Refrig Mass Flow &amp; Cond kW'!E220*(1-$C$6/($G$10+273))</f>
        <v>4.584687632213658</v>
      </c>
    </row>
    <row r="230" spans="2:9" x14ac:dyDescent="0.2">
      <c r="B230" s="2">
        <v>207</v>
      </c>
      <c r="C230">
        <f>'Refrig Mass Flow &amp; Cond kW'!D221*$C$6*(($C$19-$C$18)/1000)</f>
        <v>0</v>
      </c>
      <c r="D230">
        <f>'Refrig Mass Flow &amp; Cond kW'!D221*Winter!$C$6*((Winter!$C$17-Winter!$C$16)/1000)</f>
        <v>0</v>
      </c>
      <c r="E230">
        <f>'Refrig Mass Flow &amp; Cond kW'!D221*(($C$13-$C$14)-$C$6*($C$17-$C$18)/1000)-'Refrig Mass Flow &amp; Cond kW'!C221*(1-$C$6/($C$10+273))</f>
        <v>0</v>
      </c>
      <c r="F230" s="13"/>
      <c r="G230" s="13">
        <f>'Refrig Mass Flow &amp; Cond kW'!F221*$C$6*($G$19-$G$18)/1000</f>
        <v>1.5550391161941561</v>
      </c>
      <c r="H230">
        <f>'Refrig Mass Flow &amp; Cond kW'!F221*$C$6*($G$17-$G$16)/1000</f>
        <v>9.6961262539161606</v>
      </c>
      <c r="I230">
        <f>'Refrig Mass Flow &amp; Cond kW'!F221*(($G$13-$G$14)-$C$6*($G$17-$G$18)/1000)-'Refrig Mass Flow &amp; Cond kW'!E221*(1-$C$6/($G$10+273))</f>
        <v>4.2916030510650671</v>
      </c>
    </row>
    <row r="231" spans="2:9" x14ac:dyDescent="0.2">
      <c r="B231" s="2">
        <v>208</v>
      </c>
      <c r="C231">
        <f>'Refrig Mass Flow &amp; Cond kW'!D222*$C$6*(($C$19-$C$18)/1000)</f>
        <v>0</v>
      </c>
      <c r="D231">
        <f>'Refrig Mass Flow &amp; Cond kW'!D222*Winter!$C$6*((Winter!$C$17-Winter!$C$16)/1000)</f>
        <v>0</v>
      </c>
      <c r="E231">
        <f>'Refrig Mass Flow &amp; Cond kW'!D222*(($C$13-$C$14)-$C$6*($C$17-$C$18)/1000)-'Refrig Mass Flow &amp; Cond kW'!C222*(1-$C$6/($C$10+273))</f>
        <v>0</v>
      </c>
      <c r="F231" s="13"/>
      <c r="G231" s="13">
        <f>'Refrig Mass Flow &amp; Cond kW'!F222*$C$6*($G$19-$G$18)/1000</f>
        <v>1.5104828553110403</v>
      </c>
      <c r="H231">
        <f>'Refrig Mass Flow &amp; Cond kW'!F222*$C$6*($G$17-$G$16)/1000</f>
        <v>9.4183048625273287</v>
      </c>
      <c r="I231">
        <f>'Refrig Mass Flow &amp; Cond kW'!F222*(($G$13-$G$14)-$C$6*($G$17-$G$18)/1000)-'Refrig Mass Flow &amp; Cond kW'!E222*(1-$C$6/($G$10+273))</f>
        <v>4.1686365075494081</v>
      </c>
    </row>
    <row r="232" spans="2:9" x14ac:dyDescent="0.2">
      <c r="B232" s="2">
        <v>209</v>
      </c>
      <c r="C232">
        <f>'Refrig Mass Flow &amp; Cond kW'!D223*$C$6*(($C$19-$C$18)/1000)</f>
        <v>0</v>
      </c>
      <c r="D232">
        <f>'Refrig Mass Flow &amp; Cond kW'!D223*Winter!$C$6*((Winter!$C$17-Winter!$C$16)/1000)</f>
        <v>0</v>
      </c>
      <c r="E232">
        <f>'Refrig Mass Flow &amp; Cond kW'!D223*(($C$13-$C$14)-$C$6*($C$17-$C$18)/1000)-'Refrig Mass Flow &amp; Cond kW'!C223*(1-$C$6/($C$10+273))</f>
        <v>0</v>
      </c>
      <c r="F232" s="13"/>
      <c r="G232" s="13">
        <f>'Refrig Mass Flow &amp; Cond kW'!F223*$C$6*($G$19-$G$18)/1000</f>
        <v>1.4657864718445845</v>
      </c>
      <c r="H232">
        <f>'Refrig Mass Flow &amp; Cond kW'!F223*$C$6*($G$17-$G$16)/1000</f>
        <v>9.139609765618852</v>
      </c>
      <c r="I232">
        <f>'Refrig Mass Flow &amp; Cond kW'!F223*(($G$13-$G$14)-$C$6*($G$17-$G$18)/1000)-'Refrig Mass Flow &amp; Cond kW'!E223*(1-$C$6/($G$10+273))</f>
        <v>4.0452832531787521</v>
      </c>
    </row>
    <row r="233" spans="2:9" x14ac:dyDescent="0.2">
      <c r="B233" s="2">
        <v>210</v>
      </c>
      <c r="C233">
        <f>'Refrig Mass Flow &amp; Cond kW'!D224*$C$6*(($C$19-$C$18)/1000)</f>
        <v>0</v>
      </c>
      <c r="D233">
        <f>'Refrig Mass Flow &amp; Cond kW'!D224*Winter!$C$6*((Winter!$C$17-Winter!$C$16)/1000)</f>
        <v>0</v>
      </c>
      <c r="E233">
        <f>'Refrig Mass Flow &amp; Cond kW'!D224*(($C$13-$C$14)-$C$6*($C$17-$C$18)/1000)-'Refrig Mass Flow &amp; Cond kW'!C224*(1-$C$6/($C$10+273))</f>
        <v>0</v>
      </c>
      <c r="F233" s="13"/>
      <c r="G233" s="13">
        <f>'Refrig Mass Flow &amp; Cond kW'!F224*$C$6*($G$19-$G$18)/1000</f>
        <v>1.4209265150016628</v>
      </c>
      <c r="H233">
        <f>'Refrig Mass Flow &amp; Cond kW'!F224*$C$6*($G$17-$G$16)/1000</f>
        <v>8.8598947405982909</v>
      </c>
      <c r="I233">
        <f>'Refrig Mass Flow &amp; Cond kW'!F224*(($G$13-$G$14)-$C$6*($G$17-$G$18)/1000)-'Refrig Mass Flow &amp; Cond kW'!E224*(1-$C$6/($G$10+273))</f>
        <v>3.9214785683622679</v>
      </c>
    </row>
    <row r="234" spans="2:9" x14ac:dyDescent="0.2">
      <c r="B234" s="2">
        <v>211</v>
      </c>
      <c r="C234">
        <f>'Refrig Mass Flow &amp; Cond kW'!D225*$C$6*(($C$19-$C$18)/1000)</f>
        <v>0</v>
      </c>
      <c r="D234">
        <f>'Refrig Mass Flow &amp; Cond kW'!D225*Winter!$C$6*((Winter!$C$17-Winter!$C$16)/1000)</f>
        <v>0</v>
      </c>
      <c r="E234">
        <f>'Refrig Mass Flow &amp; Cond kW'!D225*(($C$13-$C$14)-$C$6*($C$17-$C$18)/1000)-'Refrig Mass Flow &amp; Cond kW'!C225*(1-$C$6/($C$10+273))</f>
        <v>0</v>
      </c>
      <c r="F234" s="13"/>
      <c r="G234" s="13">
        <f>'Refrig Mass Flow &amp; Cond kW'!F225*$C$6*($G$19-$G$18)/1000</f>
        <v>1.3758280955931863</v>
      </c>
      <c r="H234">
        <f>'Refrig Mass Flow &amp; Cond kW'!F225*$C$6*($G$17-$G$16)/1000</f>
        <v>8.578692831345446</v>
      </c>
      <c r="I234">
        <f>'Refrig Mass Flow &amp; Cond kW'!F225*(($G$13-$G$14)-$C$6*($G$17-$G$18)/1000)-'Refrig Mass Flow &amp; Cond kW'!E225*(1-$C$6/($G$10+273))</f>
        <v>3.7970157736222205</v>
      </c>
    </row>
    <row r="235" spans="2:9" x14ac:dyDescent="0.2">
      <c r="B235" s="2">
        <v>212</v>
      </c>
      <c r="C235">
        <f>'Refrig Mass Flow &amp; Cond kW'!D226*$C$6*(($C$19-$C$18)/1000)</f>
        <v>0</v>
      </c>
      <c r="D235">
        <f>'Refrig Mass Flow &amp; Cond kW'!D226*Winter!$C$6*((Winter!$C$17-Winter!$C$16)/1000)</f>
        <v>0</v>
      </c>
      <c r="E235">
        <f>'Refrig Mass Flow &amp; Cond kW'!D226*(($C$13-$C$14)-$C$6*($C$17-$C$18)/1000)-'Refrig Mass Flow &amp; Cond kW'!C226*(1-$C$6/($C$10+273))</f>
        <v>0</v>
      </c>
      <c r="F235" s="13"/>
      <c r="G235" s="13">
        <f>'Refrig Mass Flow &amp; Cond kW'!F226*$C$6*($G$19-$G$18)/1000</f>
        <v>1.3304777292907439</v>
      </c>
      <c r="H235">
        <f>'Refrig Mass Flow &amp; Cond kW'!F226*$C$6*($G$17-$G$16)/1000</f>
        <v>8.2959199591066994</v>
      </c>
      <c r="I235">
        <f>'Refrig Mass Flow &amp; Cond kW'!F226*(($G$13-$G$14)-$C$6*($G$17-$G$18)/1000)-'Refrig Mass Flow &amp; Cond kW'!E226*(1-$C$6/($G$10+273))</f>
        <v>3.6718576548561686</v>
      </c>
    </row>
    <row r="236" spans="2:9" x14ac:dyDescent="0.2">
      <c r="B236" s="2">
        <v>213</v>
      </c>
      <c r="C236">
        <f>'Refrig Mass Flow &amp; Cond kW'!D227*$C$6*(($C$19-$C$18)/1000)</f>
        <v>0</v>
      </c>
      <c r="D236">
        <f>'Refrig Mass Flow &amp; Cond kW'!D227*Winter!$C$6*((Winter!$C$17-Winter!$C$16)/1000)</f>
        <v>0</v>
      </c>
      <c r="E236">
        <f>'Refrig Mass Flow &amp; Cond kW'!D227*(($C$13-$C$14)-$C$6*($C$17-$C$18)/1000)-'Refrig Mass Flow &amp; Cond kW'!C227*(1-$C$6/($C$10+273))</f>
        <v>0</v>
      </c>
      <c r="F236" s="13"/>
      <c r="G236" s="13">
        <f>'Refrig Mass Flow &amp; Cond kW'!F227*$C$6*($G$19-$G$18)/1000</f>
        <v>1.2848345737687155</v>
      </c>
      <c r="H236">
        <f>'Refrig Mass Flow &amp; Cond kW'!F227*$C$6*($G$17-$G$16)/1000</f>
        <v>8.0113214599693556</v>
      </c>
      <c r="I236">
        <f>'Refrig Mass Flow &amp; Cond kW'!F227*(($G$13-$G$14)-$C$6*($G$17-$G$18)/1000)-'Refrig Mass Flow &amp; Cond kW'!E227*(1-$C$6/($G$10+273))</f>
        <v>3.5458914952537057</v>
      </c>
    </row>
    <row r="237" spans="2:9" x14ac:dyDescent="0.2">
      <c r="B237" s="2">
        <v>214</v>
      </c>
      <c r="C237">
        <f>'Refrig Mass Flow &amp; Cond kW'!D228*$C$6*(($C$19-$C$18)/1000)</f>
        <v>0</v>
      </c>
      <c r="D237">
        <f>'Refrig Mass Flow &amp; Cond kW'!D228*Winter!$C$6*((Winter!$C$17-Winter!$C$16)/1000)</f>
        <v>0</v>
      </c>
      <c r="E237">
        <f>'Refrig Mass Flow &amp; Cond kW'!D228*(($C$13-$C$14)-$C$6*($C$17-$C$18)/1000)-'Refrig Mass Flow &amp; Cond kW'!C228*(1-$C$6/($C$10+273))</f>
        <v>0</v>
      </c>
      <c r="F237" s="13"/>
      <c r="G237" s="13">
        <f>'Refrig Mass Flow &amp; Cond kW'!F228*$C$6*($G$19-$G$18)/1000</f>
        <v>1.2389798514537647</v>
      </c>
      <c r="H237">
        <f>'Refrig Mass Flow &amp; Cond kW'!F228*$C$6*($G$17-$G$16)/1000</f>
        <v>7.7254037796526127</v>
      </c>
      <c r="I237">
        <f>'Refrig Mass Flow &amp; Cond kW'!F228*(($G$13-$G$14)-$C$6*($G$17-$G$18)/1000)-'Refrig Mass Flow &amp; Cond kW'!E228*(1-$C$6/($G$10+273))</f>
        <v>3.4193414527864761</v>
      </c>
    </row>
    <row r="238" spans="2:9" x14ac:dyDescent="0.2">
      <c r="B238" s="2">
        <v>215</v>
      </c>
      <c r="C238">
        <f>'Refrig Mass Flow &amp; Cond kW'!D229*$C$6*(($C$19-$C$18)/1000)</f>
        <v>0</v>
      </c>
      <c r="D238">
        <f>'Refrig Mass Flow &amp; Cond kW'!D229*Winter!$C$6*((Winter!$C$17-Winter!$C$16)/1000)</f>
        <v>0</v>
      </c>
      <c r="E238">
        <f>'Refrig Mass Flow &amp; Cond kW'!D229*(($C$13-$C$14)-$C$6*($C$17-$C$18)/1000)-'Refrig Mass Flow &amp; Cond kW'!C229*(1-$C$6/($C$10+273))</f>
        <v>0</v>
      </c>
      <c r="F238" s="13"/>
      <c r="G238" s="13">
        <f>'Refrig Mass Flow &amp; Cond kW'!F229*$C$6*($G$19-$G$18)/1000</f>
        <v>1.1931044923547789</v>
      </c>
      <c r="H238">
        <f>'Refrig Mass Flow &amp; Cond kW'!F229*$C$6*($G$17-$G$16)/1000</f>
        <v>7.4393574229177695</v>
      </c>
      <c r="I238">
        <f>'Refrig Mass Flow &amp; Cond kW'!F229*(($G$13-$G$14)-$C$6*($G$17-$G$18)/1000)-'Refrig Mass Flow &amp; Cond kW'!E229*(1-$C$6/($G$10+273))</f>
        <v>3.2927344568417283</v>
      </c>
    </row>
    <row r="239" spans="2:9" x14ac:dyDescent="0.2">
      <c r="B239" s="2">
        <v>216</v>
      </c>
      <c r="C239">
        <f>'Refrig Mass Flow &amp; Cond kW'!D230*$C$6*(($C$19-$C$18)/1000)</f>
        <v>0</v>
      </c>
      <c r="D239">
        <f>'Refrig Mass Flow &amp; Cond kW'!D230*Winter!$C$6*((Winter!$C$17-Winter!$C$16)/1000)</f>
        <v>0</v>
      </c>
      <c r="E239">
        <f>'Refrig Mass Flow &amp; Cond kW'!D230*(($C$13-$C$14)-$C$6*($C$17-$C$18)/1000)-'Refrig Mass Flow &amp; Cond kW'!C230*(1-$C$6/($C$10+273))</f>
        <v>0</v>
      </c>
      <c r="F239" s="13"/>
      <c r="G239" s="13">
        <f>'Refrig Mass Flow &amp; Cond kW'!F230*$C$6*($G$19-$G$18)/1000</f>
        <v>1.147001714587695</v>
      </c>
      <c r="H239">
        <f>'Refrig Mass Flow &amp; Cond kW'!F230*$C$6*($G$17-$G$16)/1000</f>
        <v>7.1518930438994932</v>
      </c>
      <c r="I239">
        <f>'Refrig Mass Flow &amp; Cond kW'!F230*(($G$13-$G$14)-$C$6*($G$17-$G$18)/1000)-'Refrig Mass Flow &amp; Cond kW'!E230*(1-$C$6/($G$10+273))</f>
        <v>3.1654998299649293</v>
      </c>
    </row>
    <row r="240" spans="2:9" x14ac:dyDescent="0.2">
      <c r="B240" s="2">
        <v>217</v>
      </c>
      <c r="C240">
        <f>'Refrig Mass Flow &amp; Cond kW'!D231*$C$6*(($C$19-$C$18)/1000)</f>
        <v>0</v>
      </c>
      <c r="D240">
        <f>'Refrig Mass Flow &amp; Cond kW'!D231*Winter!$C$6*((Winter!$C$17-Winter!$C$16)/1000)</f>
        <v>0</v>
      </c>
      <c r="E240">
        <f>'Refrig Mass Flow &amp; Cond kW'!D231*(($C$13-$C$14)-$C$6*($C$17-$C$18)/1000)-'Refrig Mass Flow &amp; Cond kW'!C231*(1-$C$6/($C$10+273))</f>
        <v>0</v>
      </c>
      <c r="F240" s="13"/>
      <c r="G240" s="13">
        <f>'Refrig Mass Flow &amp; Cond kW'!F231*$C$6*($G$19-$G$18)/1000</f>
        <v>1.1008906533252958</v>
      </c>
      <c r="H240">
        <f>'Refrig Mass Flow &amp; Cond kW'!F231*$C$6*($G$17-$G$16)/1000</f>
        <v>6.8643770148516001</v>
      </c>
      <c r="I240">
        <f>'Refrig Mass Flow &amp; Cond kW'!F231*(($G$13-$G$14)-$C$6*($G$17-$G$18)/1000)-'Refrig Mass Flow &amp; Cond kW'!E231*(1-$C$6/($G$10+273))</f>
        <v>3.0382423422652778</v>
      </c>
    </row>
    <row r="241" spans="2:9" x14ac:dyDescent="0.2">
      <c r="B241" s="2">
        <v>218</v>
      </c>
      <c r="C241">
        <f>'Refrig Mass Flow &amp; Cond kW'!D232*$C$6*(($C$19-$C$18)/1000)</f>
        <v>0</v>
      </c>
      <c r="D241">
        <f>'Refrig Mass Flow &amp; Cond kW'!D232*Winter!$C$6*((Winter!$C$17-Winter!$C$16)/1000)</f>
        <v>0</v>
      </c>
      <c r="E241">
        <f>'Refrig Mass Flow &amp; Cond kW'!D232*(($C$13-$C$14)-$C$6*($C$17-$C$18)/1000)-'Refrig Mass Flow &amp; Cond kW'!C232*(1-$C$6/($C$10+273))</f>
        <v>0</v>
      </c>
      <c r="F241" s="13"/>
      <c r="G241" s="13">
        <f>'Refrig Mass Flow &amp; Cond kW'!F232*$C$6*($G$19-$G$18)/1000</f>
        <v>1.0546879725668392</v>
      </c>
      <c r="H241">
        <f>'Refrig Mass Flow &amp; Cond kW'!F232*$C$6*($G$17-$G$16)/1000</f>
        <v>6.5762897112988821</v>
      </c>
      <c r="I241">
        <f>'Refrig Mass Flow &amp; Cond kW'!F232*(($G$13-$G$14)-$C$6*($G$17-$G$18)/1000)-'Refrig Mass Flow &amp; Cond kW'!E232*(1-$C$6/($G$10+273))</f>
        <v>2.9107320027211045</v>
      </c>
    </row>
    <row r="242" spans="2:9" x14ac:dyDescent="0.2">
      <c r="B242" s="2">
        <v>219</v>
      </c>
      <c r="C242">
        <f>'Refrig Mass Flow &amp; Cond kW'!D233*$C$6*(($C$19-$C$18)/1000)</f>
        <v>0</v>
      </c>
      <c r="D242">
        <f>'Refrig Mass Flow &amp; Cond kW'!D233*Winter!$C$6*((Winter!$C$17-Winter!$C$16)/1000)</f>
        <v>0</v>
      </c>
      <c r="E242">
        <f>'Refrig Mass Flow &amp; Cond kW'!D233*(($C$13-$C$14)-$C$6*($C$17-$C$18)/1000)-'Refrig Mass Flow &amp; Cond kW'!C233*(1-$C$6/($C$10+273))</f>
        <v>0</v>
      </c>
      <c r="F242" s="13"/>
      <c r="G242" s="13">
        <f>'Refrig Mass Flow &amp; Cond kW'!F233*$C$6*($G$19-$G$18)/1000</f>
        <v>1.0083959621193592</v>
      </c>
      <c r="H242">
        <f>'Refrig Mass Flow &amp; Cond kW'!F233*$C$6*($G$17-$G$16)/1000</f>
        <v>6.2876454108616642</v>
      </c>
      <c r="I242">
        <f>'Refrig Mass Flow &amp; Cond kW'!F233*(($G$13-$G$14)-$C$6*($G$17-$G$18)/1000)-'Refrig Mass Flow &amp; Cond kW'!E233*(1-$C$6/($G$10+273))</f>
        <v>2.782975130750863</v>
      </c>
    </row>
    <row r="243" spans="2:9" x14ac:dyDescent="0.2">
      <c r="B243" s="2">
        <v>220</v>
      </c>
      <c r="C243">
        <f>'Refrig Mass Flow &amp; Cond kW'!D234*$C$6*(($C$19-$C$18)/1000)</f>
        <v>0</v>
      </c>
      <c r="D243">
        <f>'Refrig Mass Flow &amp; Cond kW'!D234*Winter!$C$6*((Winter!$C$17-Winter!$C$16)/1000)</f>
        <v>0</v>
      </c>
      <c r="E243">
        <f>'Refrig Mass Flow &amp; Cond kW'!D234*(($C$13-$C$14)-$C$6*($C$17-$C$18)/1000)-'Refrig Mass Flow &amp; Cond kW'!C234*(1-$C$6/($C$10+273))</f>
        <v>0</v>
      </c>
      <c r="F243" s="13"/>
      <c r="G243" s="13">
        <f>'Refrig Mass Flow &amp; Cond kW'!F234*$C$6*($G$19-$G$18)/1000</f>
        <v>0.96201887891760318</v>
      </c>
      <c r="H243">
        <f>'Refrig Mass Flow &amp; Cond kW'!F234*$C$6*($G$17-$G$16)/1000</f>
        <v>5.9984706567801371</v>
      </c>
      <c r="I243">
        <f>'Refrig Mass Flow &amp; Cond kW'!F234*(($G$13-$G$14)-$C$6*($G$17-$G$18)/1000)-'Refrig Mass Flow &amp; Cond kW'!E234*(1-$C$6/($G$10+273))</f>
        <v>2.654983474659744</v>
      </c>
    </row>
    <row r="244" spans="2:9" x14ac:dyDescent="0.2">
      <c r="B244" s="2">
        <v>221</v>
      </c>
      <c r="C244">
        <f>'Refrig Mass Flow &amp; Cond kW'!D235*$C$6*(($C$19-$C$18)/1000)</f>
        <v>0</v>
      </c>
      <c r="D244">
        <f>'Refrig Mass Flow &amp; Cond kW'!D235*Winter!$C$6*((Winter!$C$17-Winter!$C$16)/1000)</f>
        <v>0</v>
      </c>
      <c r="E244">
        <f>'Refrig Mass Flow &amp; Cond kW'!D235*(($C$13-$C$14)-$C$6*($C$17-$C$18)/1000)-'Refrig Mass Flow &amp; Cond kW'!C235*(1-$C$6/($C$10+273))</f>
        <v>0</v>
      </c>
      <c r="F244" s="13"/>
      <c r="G244" s="13">
        <f>'Refrig Mass Flow &amp; Cond kW'!F235*$C$6*($G$19-$G$18)/1000</f>
        <v>0.91556098701762978</v>
      </c>
      <c r="H244">
        <f>'Refrig Mass Flow &amp; Cond kW'!F235*$C$6*($G$17-$G$16)/1000</f>
        <v>5.708792036697961</v>
      </c>
      <c r="I244">
        <f>'Refrig Mass Flow &amp; Cond kW'!F235*(($G$13-$G$14)-$C$6*($G$17-$G$18)/1000)-'Refrig Mass Flow &amp; Cond kW'!E235*(1-$C$6/($G$10+273))</f>
        <v>2.5267688024063872</v>
      </c>
    </row>
    <row r="245" spans="2:9" x14ac:dyDescent="0.2">
      <c r="B245" s="2">
        <v>222</v>
      </c>
      <c r="C245">
        <f>'Refrig Mass Flow &amp; Cond kW'!D236*$C$6*(($C$19-$C$18)/1000)</f>
        <v>0</v>
      </c>
      <c r="D245">
        <f>'Refrig Mass Flow &amp; Cond kW'!D236*Winter!$C$6*((Winter!$C$17-Winter!$C$16)/1000)</f>
        <v>0</v>
      </c>
      <c r="E245">
        <f>'Refrig Mass Flow &amp; Cond kW'!D236*(($C$13-$C$14)-$C$6*($C$17-$C$18)/1000)-'Refrig Mass Flow &amp; Cond kW'!C236*(1-$C$6/($C$10+273))</f>
        <v>0</v>
      </c>
      <c r="F245" s="13"/>
      <c r="G245" s="13">
        <f>'Refrig Mass Flow &amp; Cond kW'!F236*$C$6*($G$19-$G$18)/1000</f>
        <v>0.86902655720486477</v>
      </c>
      <c r="H245">
        <f>'Refrig Mass Flow &amp; Cond kW'!F236*$C$6*($G$17-$G$16)/1000</f>
        <v>5.4186361802183765</v>
      </c>
      <c r="I245">
        <f>'Refrig Mass Flow &amp; Cond kW'!F236*(($G$13-$G$14)-$C$6*($G$17-$G$18)/1000)-'Refrig Mass Flow &amp; Cond kW'!E236*(1-$C$6/($G$10+273))</f>
        <v>2.3983429005211683</v>
      </c>
    </row>
    <row r="246" spans="2:9" x14ac:dyDescent="0.2">
      <c r="B246" s="2">
        <v>223</v>
      </c>
      <c r="C246">
        <f>'Refrig Mass Flow &amp; Cond kW'!D237*$C$6*(($C$19-$C$18)/1000)</f>
        <v>0</v>
      </c>
      <c r="D246">
        <f>'Refrig Mass Flow &amp; Cond kW'!D237*Winter!$C$6*((Winter!$C$17-Winter!$C$16)/1000)</f>
        <v>0</v>
      </c>
      <c r="E246">
        <f>'Refrig Mass Flow &amp; Cond kW'!D237*(($C$13-$C$14)-$C$6*($C$17-$C$18)/1000)-'Refrig Mass Flow &amp; Cond kW'!C237*(1-$C$6/($C$10+273))</f>
        <v>0</v>
      </c>
      <c r="F246" s="13"/>
      <c r="G246" s="13">
        <f>'Refrig Mass Flow &amp; Cond kW'!F237*$C$6*($G$19-$G$18)/1000</f>
        <v>0.82272673959671927</v>
      </c>
      <c r="H246">
        <f>'Refrig Mass Flow &amp; Cond kW'!F237*$C$6*($G$17-$G$16)/1000</f>
        <v>5.1299431998381859</v>
      </c>
      <c r="I246">
        <f>'Refrig Mass Flow &amp; Cond kW'!F237*(($G$13-$G$14)-$C$6*($G$17-$G$18)/1000)-'Refrig Mass Flow &amp; Cond kW'!E237*(1-$C$6/($G$10+273))</f>
        <v>2.2705644823183029</v>
      </c>
    </row>
    <row r="247" spans="2:9" x14ac:dyDescent="0.2">
      <c r="B247" s="2">
        <v>224</v>
      </c>
      <c r="C247">
        <f>'Refrig Mass Flow &amp; Cond kW'!D238*$C$6*(($C$19-$C$18)/1000)</f>
        <v>0</v>
      </c>
      <c r="D247">
        <f>'Refrig Mass Flow &amp; Cond kW'!D238*Winter!$C$6*((Winter!$C$17-Winter!$C$16)/1000)</f>
        <v>0</v>
      </c>
      <c r="E247">
        <f>'Refrig Mass Flow &amp; Cond kW'!D238*(($C$13-$C$14)-$C$6*($C$17-$C$18)/1000)-'Refrig Mass Flow &amp; Cond kW'!C238*(1-$C$6/($C$10+273))</f>
        <v>0</v>
      </c>
      <c r="F247" s="13"/>
      <c r="G247" s="13">
        <f>'Refrig Mass Flow &amp; Cond kW'!F238*$C$6*($G$19-$G$18)/1000</f>
        <v>0.77653084855405097</v>
      </c>
      <c r="H247">
        <f>'Refrig Mass Flow &amp; Cond kW'!F238*$C$6*($G$17-$G$16)/1000</f>
        <v>4.841898232160383</v>
      </c>
      <c r="I247">
        <f>'Refrig Mass Flow &amp; Cond kW'!F238*(($G$13-$G$14)-$C$6*($G$17-$G$18)/1000)-'Refrig Mass Flow &amp; Cond kW'!E238*(1-$C$6/($G$10+273))</f>
        <v>2.1430728810583908</v>
      </c>
    </row>
    <row r="248" spans="2:9" x14ac:dyDescent="0.2">
      <c r="B248" s="2">
        <v>225</v>
      </c>
      <c r="C248">
        <f>'Refrig Mass Flow &amp; Cond kW'!D239*$C$6*(($C$19-$C$18)/1000)</f>
        <v>0</v>
      </c>
      <c r="D248">
        <f>'Refrig Mass Flow &amp; Cond kW'!D239*Winter!$C$6*((Winter!$C$17-Winter!$C$16)/1000)</f>
        <v>0</v>
      </c>
      <c r="E248">
        <f>'Refrig Mass Flow &amp; Cond kW'!D239*(($C$13-$C$14)-$C$6*($C$17-$C$18)/1000)-'Refrig Mass Flow &amp; Cond kW'!C239*(1-$C$6/($C$10+273))</f>
        <v>0</v>
      </c>
      <c r="F248" s="13"/>
      <c r="G248" s="13">
        <f>'Refrig Mass Flow &amp; Cond kW'!F239*$C$6*($G$19-$G$18)/1000</f>
        <v>0.73039165872273315</v>
      </c>
      <c r="H248">
        <f>'Refrig Mass Flow &amp; Cond kW'!F239*$C$6*($G$17-$G$16)/1000</f>
        <v>4.5542068132121756</v>
      </c>
      <c r="I248">
        <f>'Refrig Mass Flow &amp; Cond kW'!F239*(($G$13-$G$14)-$C$6*($G$17-$G$18)/1000)-'Refrig Mass Flow &amp; Cond kW'!E239*(1-$C$6/($G$10+273))</f>
        <v>2.0157377640239282</v>
      </c>
    </row>
    <row r="249" spans="2:9" x14ac:dyDescent="0.2">
      <c r="B249" s="2">
        <v>226</v>
      </c>
      <c r="C249">
        <f>'Refrig Mass Flow &amp; Cond kW'!D240*$C$6*(($C$19-$C$18)/1000)</f>
        <v>0</v>
      </c>
      <c r="D249">
        <f>'Refrig Mass Flow &amp; Cond kW'!D240*Winter!$C$6*((Winter!$C$17-Winter!$C$16)/1000)</f>
        <v>0</v>
      </c>
      <c r="E249">
        <f>'Refrig Mass Flow &amp; Cond kW'!D240*(($C$13-$C$14)-$C$6*($C$17-$C$18)/1000)-'Refrig Mass Flow &amp; Cond kW'!C240*(1-$C$6/($C$10+273))</f>
        <v>0</v>
      </c>
      <c r="F249" s="13"/>
      <c r="G249" s="13">
        <f>'Refrig Mass Flow &amp; Cond kW'!F240*$C$6*($G$19-$G$18)/1000</f>
        <v>0.68395373339957022</v>
      </c>
      <c r="H249">
        <f>'Refrig Mass Flow &amp; Cond kW'!F240*$C$6*($G$17-$G$16)/1000</f>
        <v>4.2646526906089335</v>
      </c>
      <c r="I249">
        <f>'Refrig Mass Flow &amp; Cond kW'!F240*(($G$13-$G$14)-$C$6*($G$17-$G$18)/1000)-'Refrig Mass Flow &amp; Cond kW'!E240*(1-$C$6/($G$10+273))</f>
        <v>1.8875781956075599</v>
      </c>
    </row>
    <row r="250" spans="2:9" x14ac:dyDescent="0.2">
      <c r="B250" s="2">
        <v>227</v>
      </c>
      <c r="C250">
        <f>'Refrig Mass Flow &amp; Cond kW'!D241*$C$6*(($C$19-$C$18)/1000)</f>
        <v>0</v>
      </c>
      <c r="D250">
        <f>'Refrig Mass Flow &amp; Cond kW'!D241*Winter!$C$6*((Winter!$C$17-Winter!$C$16)/1000)</f>
        <v>0</v>
      </c>
      <c r="E250">
        <f>'Refrig Mass Flow &amp; Cond kW'!D241*(($C$13-$C$14)-$C$6*($C$17-$C$18)/1000)-'Refrig Mass Flow &amp; Cond kW'!C241*(1-$C$6/($C$10+273))</f>
        <v>0</v>
      </c>
      <c r="F250" s="13"/>
      <c r="G250" s="13">
        <f>'Refrig Mass Flow &amp; Cond kW'!F241*$C$6*($G$19-$G$18)/1000</f>
        <v>0.63736731829031823</v>
      </c>
      <c r="H250">
        <f>'Refrig Mass Flow &amp; Cond kW'!F241*$C$6*($G$17-$G$16)/1000</f>
        <v>3.974172690515962</v>
      </c>
      <c r="I250">
        <f>'Refrig Mass Flow &amp; Cond kW'!F241*(($G$13-$G$14)-$C$6*($G$17-$G$18)/1000)-'Refrig Mass Flow &amp; Cond kW'!E241*(1-$C$6/($G$10+273))</f>
        <v>1.7590088244972257</v>
      </c>
    </row>
    <row r="251" spans="2:9" x14ac:dyDescent="0.2">
      <c r="B251" s="2">
        <v>228</v>
      </c>
      <c r="C251">
        <f>'Refrig Mass Flow &amp; Cond kW'!D242*$C$6*(($C$19-$C$18)/1000)</f>
        <v>0</v>
      </c>
      <c r="D251">
        <f>'Refrig Mass Flow &amp; Cond kW'!D242*Winter!$C$6*((Winter!$C$17-Winter!$C$16)/1000)</f>
        <v>0</v>
      </c>
      <c r="E251">
        <f>'Refrig Mass Flow &amp; Cond kW'!D242*(($C$13-$C$14)-$C$6*($C$17-$C$18)/1000)-'Refrig Mass Flow &amp; Cond kW'!C242*(1-$C$6/($C$10+273))</f>
        <v>0</v>
      </c>
      <c r="F251" s="13"/>
      <c r="G251" s="13">
        <f>'Refrig Mass Flow &amp; Cond kW'!F242*$C$6*($G$19-$G$18)/1000</f>
        <v>0.59060873390467961</v>
      </c>
      <c r="H251">
        <f>'Refrig Mass Flow &amp; Cond kW'!F242*$C$6*($G$17-$G$16)/1000</f>
        <v>3.6826191643466957</v>
      </c>
      <c r="I251">
        <f>'Refrig Mass Flow &amp; Cond kW'!F242*(($G$13-$G$14)-$C$6*($G$17-$G$18)/1000)-'Refrig Mass Flow &amp; Cond kW'!E242*(1-$C$6/($G$10+273))</f>
        <v>1.6299642999427491</v>
      </c>
    </row>
    <row r="252" spans="2:9" x14ac:dyDescent="0.2">
      <c r="B252" s="2">
        <v>229</v>
      </c>
      <c r="C252">
        <f>'Refrig Mass Flow &amp; Cond kW'!D243*$C$6*(($C$19-$C$18)/1000)</f>
        <v>0</v>
      </c>
      <c r="D252">
        <f>'Refrig Mass Flow &amp; Cond kW'!D243*Winter!$C$6*((Winter!$C$17-Winter!$C$16)/1000)</f>
        <v>0</v>
      </c>
      <c r="E252">
        <f>'Refrig Mass Flow &amp; Cond kW'!D243*(($C$13-$C$14)-$C$6*($C$17-$C$18)/1000)-'Refrig Mass Flow &amp; Cond kW'!C243*(1-$C$6/($C$10+273))</f>
        <v>0</v>
      </c>
      <c r="F252" s="13"/>
      <c r="G252" s="13">
        <f>'Refrig Mass Flow &amp; Cond kW'!F243*$C$6*($G$19-$G$18)/1000</f>
        <v>0.54365432459921381</v>
      </c>
      <c r="H252">
        <f>'Refrig Mass Flow &amp; Cond kW'!F243*$C$6*($G$17-$G$16)/1000</f>
        <v>3.3898446122067432</v>
      </c>
      <c r="I252">
        <f>'Refrig Mass Flow &amp; Cond kW'!F243*(($G$13-$G$14)-$C$6*($G$17-$G$18)/1000)-'Refrig Mass Flow &amp; Cond kW'!E243*(1-$C$6/($G$10+273))</f>
        <v>1.5003793370065921</v>
      </c>
    </row>
    <row r="253" spans="2:9" x14ac:dyDescent="0.2">
      <c r="B253" s="2">
        <v>230</v>
      </c>
      <c r="C253">
        <f>'Refrig Mass Flow &amp; Cond kW'!D244*$C$6*(($C$19-$C$18)/1000)</f>
        <v>0</v>
      </c>
      <c r="D253">
        <f>'Refrig Mass Flow &amp; Cond kW'!D244*Winter!$C$6*((Winter!$C$17-Winter!$C$16)/1000)</f>
        <v>0</v>
      </c>
      <c r="E253">
        <f>'Refrig Mass Flow &amp; Cond kW'!D244*(($C$13-$C$14)-$C$6*($C$17-$C$18)/1000)-'Refrig Mass Flow &amp; Cond kW'!C244*(1-$C$6/($C$10+273))</f>
        <v>0</v>
      </c>
      <c r="F253" s="13"/>
      <c r="G253" s="13">
        <f>'Refrig Mass Flow &amp; Cond kW'!F244*$C$6*($G$19-$G$18)/1000</f>
        <v>0.49648046072724095</v>
      </c>
      <c r="H253">
        <f>'Refrig Mass Flow &amp; Cond kW'!F244*$C$6*($G$17-$G$16)/1000</f>
        <v>3.0957016962991575</v>
      </c>
      <c r="I253">
        <f>'Refrig Mass Flow &amp; Cond kW'!F244*(($G$13-$G$14)-$C$6*($G$17-$G$18)/1000)-'Refrig Mass Flow &amp; Cond kW'!E244*(1-$C$6/($G$10+273))</f>
        <v>1.3701887224971827</v>
      </c>
    </row>
    <row r="254" spans="2:9" x14ac:dyDescent="0.2">
      <c r="B254" s="2">
        <v>231</v>
      </c>
      <c r="C254">
        <f>'Refrig Mass Flow &amp; Cond kW'!D245*$C$6*(($C$19-$C$18)/1000)</f>
        <v>0</v>
      </c>
      <c r="D254">
        <f>'Refrig Mass Flow &amp; Cond kW'!D245*Winter!$C$6*((Winter!$C$17-Winter!$C$16)/1000)</f>
        <v>0</v>
      </c>
      <c r="E254">
        <f>'Refrig Mass Flow &amp; Cond kW'!D245*(($C$13-$C$14)-$C$6*($C$17-$C$18)/1000)-'Refrig Mass Flow &amp; Cond kW'!C245*(1-$C$6/($C$10+273))</f>
        <v>0</v>
      </c>
      <c r="F254" s="13"/>
      <c r="G254" s="13">
        <f>'Refrig Mass Flow &amp; Cond kW'!F245*$C$6*($G$19-$G$18)/1000</f>
        <v>0.44906354078607952</v>
      </c>
      <c r="H254">
        <f>'Refrig Mass Flow &amp; Cond kW'!F245*$C$6*($G$17-$G$16)/1000</f>
        <v>2.8000432543131026</v>
      </c>
      <c r="I254">
        <f>'Refrig Mass Flow &amp; Cond kW'!F245*(($G$13-$G$14)-$C$6*($G$17-$G$18)/1000)-'Refrig Mass Flow &amp; Cond kW'!E245*(1-$C$6/($G$10+273))</f>
        <v>1.2393273208948621</v>
      </c>
    </row>
    <row r="255" spans="2:9" x14ac:dyDescent="0.2">
      <c r="B255" s="2">
        <v>232</v>
      </c>
      <c r="C255">
        <f>'Refrig Mass Flow &amp; Cond kW'!D246*$C$6*(($C$19-$C$18)/1000)</f>
        <v>0</v>
      </c>
      <c r="D255">
        <f>'Refrig Mass Flow &amp; Cond kW'!D246*Winter!$C$6*((Winter!$C$17-Winter!$C$16)/1000)</f>
        <v>0</v>
      </c>
      <c r="E255">
        <f>'Refrig Mass Flow &amp; Cond kW'!D246*(($C$13-$C$14)-$C$6*($C$17-$C$18)/1000)-'Refrig Mass Flow &amp; Cond kW'!C246*(1-$C$6/($C$10+273))</f>
        <v>0</v>
      </c>
      <c r="F255" s="13"/>
      <c r="G255" s="13">
        <f>'Refrig Mass Flow &amp; Cond kW'!F246*$C$6*($G$19-$G$18)/1000</f>
        <v>0.40173755886385565</v>
      </c>
      <c r="H255">
        <f>'Refrig Mass Flow &amp; Cond kW'!F246*$C$6*($G$17-$G$16)/1000</f>
        <v>2.5049518376215998</v>
      </c>
      <c r="I255">
        <f>'Refrig Mass Flow &amp; Cond kW'!F246*(($G$13-$G$14)-$C$6*($G$17-$G$18)/1000)-'Refrig Mass Flow &amp; Cond kW'!E246*(1-$C$6/($G$10+273))</f>
        <v>1.1087168903938291</v>
      </c>
    </row>
    <row r="256" spans="2:9" x14ac:dyDescent="0.2">
      <c r="B256" s="2">
        <v>233</v>
      </c>
      <c r="C256">
        <f>'Refrig Mass Flow &amp; Cond kW'!D247*$C$6*(($C$19-$C$18)/1000)</f>
        <v>0</v>
      </c>
      <c r="D256">
        <f>'Refrig Mass Flow &amp; Cond kW'!D247*Winter!$C$6*((Winter!$C$17-Winter!$C$16)/1000)</f>
        <v>0</v>
      </c>
      <c r="E256">
        <f>'Refrig Mass Flow &amp; Cond kW'!D247*(($C$13-$C$14)-$C$6*($C$17-$C$18)/1000)-'Refrig Mass Flow &amp; Cond kW'!C247*(1-$C$6/($C$10+273))</f>
        <v>0</v>
      </c>
      <c r="F256" s="13"/>
      <c r="G256" s="13">
        <f>'Refrig Mass Flow &amp; Cond kW'!F247*$C$6*($G$19-$G$18)/1000</f>
        <v>0.354369678371592</v>
      </c>
      <c r="H256">
        <f>'Refrig Mass Flow &amp; Cond kW'!F247*$C$6*($G$17-$G$16)/1000</f>
        <v>2.2095991710227896</v>
      </c>
      <c r="I256">
        <f>'Refrig Mass Flow &amp; Cond kW'!F247*(($G$13-$G$14)-$C$6*($G$17-$G$18)/1000)-'Refrig Mass Flow &amp; Cond kW'!E247*(1-$C$6/($G$10+273))</f>
        <v>0.97799082805489235</v>
      </c>
    </row>
    <row r="257" spans="2:9" x14ac:dyDescent="0.2">
      <c r="B257" s="2">
        <v>234</v>
      </c>
      <c r="C257">
        <f>'Refrig Mass Flow &amp; Cond kW'!D248*$C$6*(($C$19-$C$18)/1000)</f>
        <v>0</v>
      </c>
      <c r="D257">
        <f>'Refrig Mass Flow &amp; Cond kW'!D248*Winter!$C$6*((Winter!$C$17-Winter!$C$16)/1000)</f>
        <v>0</v>
      </c>
      <c r="E257">
        <f>'Refrig Mass Flow &amp; Cond kW'!D248*(($C$13-$C$14)-$C$6*($C$17-$C$18)/1000)-'Refrig Mass Flow &amp; Cond kW'!C248*(1-$C$6/($C$10+273))</f>
        <v>0</v>
      </c>
      <c r="F257" s="13"/>
      <c r="G257" s="13">
        <f>'Refrig Mass Flow &amp; Cond kW'!F248*$C$6*($G$19-$G$18)/1000</f>
        <v>0.30687190467485259</v>
      </c>
      <c r="H257">
        <f>'Refrig Mass Flow &amp; Cond kW'!F248*$C$6*($G$17-$G$16)/1000</f>
        <v>1.91343658209019</v>
      </c>
      <c r="I257">
        <f>'Refrig Mass Flow &amp; Cond kW'!F248*(($G$13-$G$14)-$C$6*($G$17-$G$18)/1000)-'Refrig Mass Flow &amp; Cond kW'!E248*(1-$C$6/($G$10+273))</f>
        <v>0.84690628594085737</v>
      </c>
    </row>
    <row r="258" spans="2:9" x14ac:dyDescent="0.2">
      <c r="B258" s="2">
        <v>235</v>
      </c>
      <c r="C258">
        <f>'Refrig Mass Flow &amp; Cond kW'!D249*$C$6*(($C$19-$C$18)/1000)</f>
        <v>0</v>
      </c>
      <c r="D258">
        <f>'Refrig Mass Flow &amp; Cond kW'!D249*Winter!$C$6*((Winter!$C$17-Winter!$C$16)/1000)</f>
        <v>0</v>
      </c>
      <c r="E258">
        <f>'Refrig Mass Flow &amp; Cond kW'!D249*(($C$13-$C$14)-$C$6*($C$17-$C$18)/1000)-'Refrig Mass Flow &amp; Cond kW'!C249*(1-$C$6/($C$10+273))</f>
        <v>0</v>
      </c>
      <c r="F258" s="13"/>
      <c r="G258" s="13">
        <f>'Refrig Mass Flow &amp; Cond kW'!F249*$C$6*($G$19-$G$18)/1000</f>
        <v>0.25918229157338463</v>
      </c>
      <c r="H258">
        <f>'Refrig Mass Flow &amp; Cond kW'!F249*$C$6*($G$17-$G$16)/1000</f>
        <v>1.6160778180457531</v>
      </c>
      <c r="I258">
        <f>'Refrig Mass Flow &amp; Cond kW'!F249*(($G$13-$G$14)-$C$6*($G$17-$G$18)/1000)-'Refrig Mass Flow &amp; Cond kW'!E249*(1-$C$6/($G$10+273))</f>
        <v>0.71529230468533989</v>
      </c>
    </row>
    <row r="259" spans="2:9" x14ac:dyDescent="0.2">
      <c r="B259" s="2">
        <v>236</v>
      </c>
      <c r="C259">
        <f>'Refrig Mass Flow &amp; Cond kW'!D250*$C$6*(($C$19-$C$18)/1000)</f>
        <v>0</v>
      </c>
      <c r="D259">
        <f>'Refrig Mass Flow &amp; Cond kW'!D250*Winter!$C$6*((Winter!$C$17-Winter!$C$16)/1000)</f>
        <v>0</v>
      </c>
      <c r="E259">
        <f>'Refrig Mass Flow &amp; Cond kW'!D250*(($C$13-$C$14)-$C$6*($C$17-$C$18)/1000)-'Refrig Mass Flow &amp; Cond kW'!C250*(1-$C$6/($C$10+273))</f>
        <v>0</v>
      </c>
      <c r="F259" s="13"/>
      <c r="G259" s="13">
        <f>'Refrig Mass Flow &amp; Cond kW'!F250*$C$6*($G$19-$G$18)/1000</f>
        <v>0.21128687723167847</v>
      </c>
      <c r="H259">
        <f>'Refrig Mass Flow &amp; Cond kW'!F250*$C$6*($G$17-$G$16)/1000</f>
        <v>1.3174358227386544</v>
      </c>
      <c r="I259">
        <f>'Refrig Mass Flow &amp; Cond kW'!F250*(($G$13-$G$14)-$C$6*($G$17-$G$18)/1000)-'Refrig Mass Flow &amp; Cond kW'!E250*(1-$C$6/($G$10+273))</f>
        <v>0.58311035235995146</v>
      </c>
    </row>
    <row r="260" spans="2:9" x14ac:dyDescent="0.2">
      <c r="B260" s="2">
        <v>237</v>
      </c>
      <c r="C260">
        <f>'Refrig Mass Flow &amp; Cond kW'!D251*$C$6*(($C$19-$C$18)/1000)</f>
        <v>0</v>
      </c>
      <c r="D260">
        <f>'Refrig Mass Flow &amp; Cond kW'!D251*Winter!$C$6*((Winter!$C$17-Winter!$C$16)/1000)</f>
        <v>0</v>
      </c>
      <c r="E260">
        <f>'Refrig Mass Flow &amp; Cond kW'!D251*(($C$13-$C$14)-$C$6*($C$17-$C$18)/1000)-'Refrig Mass Flow &amp; Cond kW'!C251*(1-$C$6/($C$10+273))</f>
        <v>0</v>
      </c>
      <c r="F260" s="13"/>
      <c r="G260" s="13">
        <f>'Refrig Mass Flow &amp; Cond kW'!F251*$C$6*($G$19-$G$18)/1000</f>
        <v>0.16319753125021957</v>
      </c>
      <c r="H260">
        <f>'Refrig Mass Flow &amp; Cond kW'!F251*$C$6*($G$17-$G$16)/1000</f>
        <v>1.0175846066189802</v>
      </c>
      <c r="I260">
        <f>'Refrig Mass Flow &amp; Cond kW'!F251*(($G$13-$G$14)-$C$6*($G$17-$G$18)/1000)-'Refrig Mass Flow &amp; Cond kW'!E251*(1-$C$6/($G$10+273))</f>
        <v>0.45039318673465623</v>
      </c>
    </row>
    <row r="261" spans="2:9" x14ac:dyDescent="0.2">
      <c r="B261" s="2">
        <v>238</v>
      </c>
      <c r="C261">
        <f>'Refrig Mass Flow &amp; Cond kW'!D252*$C$6*(($C$19-$C$18)/1000)</f>
        <v>0</v>
      </c>
      <c r="D261">
        <f>'Refrig Mass Flow &amp; Cond kW'!D252*Winter!$C$6*((Winter!$C$17-Winter!$C$16)/1000)</f>
        <v>0</v>
      </c>
      <c r="E261">
        <f>'Refrig Mass Flow &amp; Cond kW'!D252*(($C$13-$C$14)-$C$6*($C$17-$C$18)/1000)-'Refrig Mass Flow &amp; Cond kW'!C252*(1-$C$6/($C$10+273))</f>
        <v>0</v>
      </c>
      <c r="F261" s="13"/>
      <c r="G261" s="13">
        <f>'Refrig Mass Flow &amp; Cond kW'!F252*$C$6*($G$19-$G$18)/1000</f>
        <v>0.1149990795962976</v>
      </c>
      <c r="H261">
        <f>'Refrig Mass Flow &amp; Cond kW'!F252*$C$6*($G$17-$G$16)/1000</f>
        <v>0.717053084541595</v>
      </c>
      <c r="I261">
        <f>'Refrig Mass Flow &amp; Cond kW'!F252*(($G$13-$G$14)-$C$6*($G$17-$G$18)/1000)-'Refrig Mass Flow &amp; Cond kW'!E252*(1-$C$6/($G$10+273))</f>
        <v>0.31737491084663105</v>
      </c>
    </row>
    <row r="262" spans="2:9" x14ac:dyDescent="0.2">
      <c r="B262" s="2">
        <v>239</v>
      </c>
      <c r="C262">
        <f>'Refrig Mass Flow &amp; Cond kW'!D253*$C$6*(($C$19-$C$18)/1000)</f>
        <v>0</v>
      </c>
      <c r="D262">
        <f>'Refrig Mass Flow &amp; Cond kW'!D253*Winter!$C$6*((Winter!$C$17-Winter!$C$16)/1000)</f>
        <v>0</v>
      </c>
      <c r="E262">
        <f>'Refrig Mass Flow &amp; Cond kW'!D253*(($C$13-$C$14)-$C$6*($C$17-$C$18)/1000)-'Refrig Mass Flow &amp; Cond kW'!C253*(1-$C$6/($C$10+273))</f>
        <v>0</v>
      </c>
      <c r="F262" s="13"/>
      <c r="G262" s="13">
        <f>'Refrig Mass Flow &amp; Cond kW'!F253*$C$6*($G$19-$G$18)/1000</f>
        <v>6.6874767902999788E-2</v>
      </c>
      <c r="H262">
        <f>'Refrig Mass Flow &amp; Cond kW'!F253*$C$6*($G$17-$G$16)/1000</f>
        <v>0.41698384692457224</v>
      </c>
      <c r="I262">
        <f>'Refrig Mass Flow &amp; Cond kW'!F253*(($G$13-$G$14)-$C$6*($G$17-$G$18)/1000)-'Refrig Mass Flow &amp; Cond kW'!E253*(1-$C$6/($G$10+273))</f>
        <v>0.18456124671268315</v>
      </c>
    </row>
    <row r="263" spans="2:9" x14ac:dyDescent="0.2">
      <c r="B263" s="2">
        <v>240</v>
      </c>
      <c r="C263">
        <f>'Refrig Mass Flow &amp; Cond kW'!D254*$C$6*(($C$19-$C$18)/1000)</f>
        <v>0</v>
      </c>
      <c r="D263">
        <f>'Refrig Mass Flow &amp; Cond kW'!D254*Winter!$C$6*((Winter!$C$17-Winter!$C$16)/1000)</f>
        <v>0</v>
      </c>
      <c r="E263">
        <f>'Refrig Mass Flow &amp; Cond kW'!D254*(($C$13-$C$14)-$C$6*($C$17-$C$18)/1000)-'Refrig Mass Flow &amp; Cond kW'!C254*(1-$C$6/($C$10+273))</f>
        <v>0</v>
      </c>
      <c r="F263" s="13"/>
      <c r="G263" s="13">
        <f>'Refrig Mass Flow &amp; Cond kW'!F254*$C$6*($G$19-$G$18)/1000</f>
        <v>1.8616169099708025E-2</v>
      </c>
      <c r="H263">
        <f>'Refrig Mass Flow &amp; Cond kW'!F254*$C$6*($G$17-$G$16)/1000</f>
        <v>0.1160772896805283</v>
      </c>
      <c r="I263">
        <f>'Refrig Mass Flow &amp; Cond kW'!F254*(($G$13-$G$14)-$C$6*($G$17-$G$18)/1000)-'Refrig Mass Flow &amp; Cond kW'!E254*(1-$C$6/($G$10+273))</f>
        <v>5.1376976485956849E-2</v>
      </c>
    </row>
    <row r="264" spans="2:9" x14ac:dyDescent="0.2">
      <c r="B264" s="2">
        <v>241</v>
      </c>
      <c r="C264">
        <f>'Refrig Mass Flow &amp; Cond kW'!D255*$C$6*(($C$19-$C$18)/1000)</f>
        <v>0</v>
      </c>
      <c r="D264">
        <f>'Refrig Mass Flow &amp; Cond kW'!D255*Winter!$C$6*((Winter!$C$17-Winter!$C$16)/1000)</f>
        <v>0</v>
      </c>
      <c r="E264">
        <f>'Refrig Mass Flow &amp; Cond kW'!D255*(($C$13-$C$14)-$C$6*($C$17-$C$18)/1000)-'Refrig Mass Flow &amp; Cond kW'!C255*(1-$C$6/($C$10+273))</f>
        <v>0</v>
      </c>
      <c r="F264" s="13"/>
      <c r="G264" s="13">
        <f>'Refrig Mass Flow &amp; Cond kW'!F255*$C$6*($G$19-$G$18)/1000</f>
        <v>0</v>
      </c>
      <c r="H264">
        <f>'Refrig Mass Flow &amp; Cond kW'!F255*$C$6*($G$17-$G$16)/1000</f>
        <v>0</v>
      </c>
      <c r="I264">
        <f>'Refrig Mass Flow &amp; Cond kW'!F255*(($G$13-$G$14)-$C$6*($G$17-$G$18)/1000)-'Refrig Mass Flow &amp; Cond kW'!E255*(1-$C$6/($G$10+273))</f>
        <v>0</v>
      </c>
    </row>
    <row r="265" spans="2:9" x14ac:dyDescent="0.2">
      <c r="B265" s="2">
        <v>242</v>
      </c>
      <c r="C265">
        <f>'Refrig Mass Flow &amp; Cond kW'!D256*$C$6*(($C$19-$C$18)/1000)</f>
        <v>0</v>
      </c>
      <c r="D265">
        <f>'Refrig Mass Flow &amp; Cond kW'!D256*Winter!$C$6*((Winter!$C$17-Winter!$C$16)/1000)</f>
        <v>0</v>
      </c>
      <c r="E265">
        <f>'Refrig Mass Flow &amp; Cond kW'!D256*(($C$13-$C$14)-$C$6*($C$17-$C$18)/1000)-'Refrig Mass Flow &amp; Cond kW'!C256*(1-$C$6/($C$10+273))</f>
        <v>0</v>
      </c>
      <c r="F265" s="13"/>
      <c r="G265" s="13">
        <f>'Refrig Mass Flow &amp; Cond kW'!F256*$C$6*($G$19-$G$18)/1000</f>
        <v>0</v>
      </c>
      <c r="H265">
        <f>'Refrig Mass Flow &amp; Cond kW'!F256*$C$6*($G$17-$G$16)/1000</f>
        <v>0</v>
      </c>
      <c r="I265">
        <f>'Refrig Mass Flow &amp; Cond kW'!F256*(($G$13-$G$14)-$C$6*($G$17-$G$18)/1000)-'Refrig Mass Flow &amp; Cond kW'!E256*(1-$C$6/($G$10+273))</f>
        <v>0</v>
      </c>
    </row>
    <row r="266" spans="2:9" x14ac:dyDescent="0.2">
      <c r="B266" s="2">
        <v>243</v>
      </c>
      <c r="C266">
        <f>'Refrig Mass Flow &amp; Cond kW'!D257*$C$6*(($C$19-$C$18)/1000)</f>
        <v>0</v>
      </c>
      <c r="D266">
        <f>'Refrig Mass Flow &amp; Cond kW'!D257*Winter!$C$6*((Winter!$C$17-Winter!$C$16)/1000)</f>
        <v>0</v>
      </c>
      <c r="E266">
        <f>'Refrig Mass Flow &amp; Cond kW'!D257*(($C$13-$C$14)-$C$6*($C$17-$C$18)/1000)-'Refrig Mass Flow &amp; Cond kW'!C257*(1-$C$6/($C$10+273))</f>
        <v>0</v>
      </c>
      <c r="F266" s="13"/>
      <c r="G266" s="13">
        <f>'Refrig Mass Flow &amp; Cond kW'!F257*$C$6*($G$19-$G$18)/1000</f>
        <v>0</v>
      </c>
      <c r="H266">
        <f>'Refrig Mass Flow &amp; Cond kW'!F257*$C$6*($G$17-$G$16)/1000</f>
        <v>0</v>
      </c>
      <c r="I266">
        <f>'Refrig Mass Flow &amp; Cond kW'!F257*(($G$13-$G$14)-$C$6*($G$17-$G$18)/1000)-'Refrig Mass Flow &amp; Cond kW'!E257*(1-$C$6/($G$10+273))</f>
        <v>0</v>
      </c>
    </row>
    <row r="267" spans="2:9" x14ac:dyDescent="0.2">
      <c r="B267" s="2">
        <v>244</v>
      </c>
      <c r="C267">
        <f>'Refrig Mass Flow &amp; Cond kW'!D258*$C$6*(($C$19-$C$18)/1000)</f>
        <v>0</v>
      </c>
      <c r="D267">
        <f>'Refrig Mass Flow &amp; Cond kW'!D258*Winter!$C$6*((Winter!$C$17-Winter!$C$16)/1000)</f>
        <v>0</v>
      </c>
      <c r="E267">
        <f>'Refrig Mass Flow &amp; Cond kW'!D258*(($C$13-$C$14)-$C$6*($C$17-$C$18)/1000)-'Refrig Mass Flow &amp; Cond kW'!C258*(1-$C$6/($C$10+273))</f>
        <v>0</v>
      </c>
      <c r="F267" s="13"/>
      <c r="G267" s="13">
        <f>'Refrig Mass Flow &amp; Cond kW'!F258*$C$6*($G$19-$G$18)/1000</f>
        <v>0</v>
      </c>
      <c r="H267">
        <f>'Refrig Mass Flow &amp; Cond kW'!F258*$C$6*($G$17-$G$16)/1000</f>
        <v>0</v>
      </c>
      <c r="I267">
        <f>'Refrig Mass Flow &amp; Cond kW'!F258*(($G$13-$G$14)-$C$6*($G$17-$G$18)/1000)-'Refrig Mass Flow &amp; Cond kW'!E258*(1-$C$6/($G$10+273))</f>
        <v>0</v>
      </c>
    </row>
    <row r="268" spans="2:9" x14ac:dyDescent="0.2">
      <c r="B268" s="2">
        <v>245</v>
      </c>
      <c r="C268">
        <f>'Refrig Mass Flow &amp; Cond kW'!D259*$C$6*(($C$19-$C$18)/1000)</f>
        <v>0</v>
      </c>
      <c r="D268">
        <f>'Refrig Mass Flow &amp; Cond kW'!D259*Winter!$C$6*((Winter!$C$17-Winter!$C$16)/1000)</f>
        <v>0</v>
      </c>
      <c r="E268">
        <f>'Refrig Mass Flow &amp; Cond kW'!D259*(($C$13-$C$14)-$C$6*($C$17-$C$18)/1000)-'Refrig Mass Flow &amp; Cond kW'!C259*(1-$C$6/($C$10+273))</f>
        <v>0</v>
      </c>
      <c r="F268" s="13"/>
      <c r="G268" s="13">
        <f>'Refrig Mass Flow &amp; Cond kW'!F259*$C$6*($G$19-$G$18)/1000</f>
        <v>0</v>
      </c>
      <c r="H268">
        <f>'Refrig Mass Flow &amp; Cond kW'!F259*$C$6*($G$17-$G$16)/1000</f>
        <v>0</v>
      </c>
      <c r="I268">
        <f>'Refrig Mass Flow &amp; Cond kW'!F259*(($G$13-$G$14)-$C$6*($G$17-$G$18)/1000)-'Refrig Mass Flow &amp; Cond kW'!E259*(1-$C$6/($G$10+273))</f>
        <v>0</v>
      </c>
    </row>
    <row r="269" spans="2:9" x14ac:dyDescent="0.2">
      <c r="B269" s="2">
        <v>246</v>
      </c>
      <c r="C269">
        <f>'Refrig Mass Flow &amp; Cond kW'!D260*$C$6*(($C$19-$C$18)/1000)</f>
        <v>0</v>
      </c>
      <c r="D269">
        <f>'Refrig Mass Flow &amp; Cond kW'!D260*Winter!$C$6*((Winter!$C$17-Winter!$C$16)/1000)</f>
        <v>0</v>
      </c>
      <c r="E269">
        <f>'Refrig Mass Flow &amp; Cond kW'!D260*(($C$13-$C$14)-$C$6*($C$17-$C$18)/1000)-'Refrig Mass Flow &amp; Cond kW'!C260*(1-$C$6/($C$10+273))</f>
        <v>0</v>
      </c>
      <c r="F269" s="13"/>
      <c r="G269" s="13">
        <f>'Refrig Mass Flow &amp; Cond kW'!F260*$C$6*($G$19-$G$18)/1000</f>
        <v>0</v>
      </c>
      <c r="H269">
        <f>'Refrig Mass Flow &amp; Cond kW'!F260*$C$6*($G$17-$G$16)/1000</f>
        <v>0</v>
      </c>
      <c r="I269">
        <f>'Refrig Mass Flow &amp; Cond kW'!F260*(($G$13-$G$14)-$C$6*($G$17-$G$18)/1000)-'Refrig Mass Flow &amp; Cond kW'!E260*(1-$C$6/($G$10+273))</f>
        <v>0</v>
      </c>
    </row>
    <row r="270" spans="2:9" x14ac:dyDescent="0.2">
      <c r="B270" s="2">
        <v>247</v>
      </c>
      <c r="C270">
        <f>'Refrig Mass Flow &amp; Cond kW'!D261*$C$6*(($C$19-$C$18)/1000)</f>
        <v>0</v>
      </c>
      <c r="D270">
        <f>'Refrig Mass Flow &amp; Cond kW'!D261*Winter!$C$6*((Winter!$C$17-Winter!$C$16)/1000)</f>
        <v>0</v>
      </c>
      <c r="E270">
        <f>'Refrig Mass Flow &amp; Cond kW'!D261*(($C$13-$C$14)-$C$6*($C$17-$C$18)/1000)-'Refrig Mass Flow &amp; Cond kW'!C261*(1-$C$6/($C$10+273))</f>
        <v>0</v>
      </c>
      <c r="F270" s="13"/>
      <c r="G270" s="13">
        <f>'Refrig Mass Flow &amp; Cond kW'!F261*$C$6*($G$19-$G$18)/1000</f>
        <v>0</v>
      </c>
      <c r="H270">
        <f>'Refrig Mass Flow &amp; Cond kW'!F261*$C$6*($G$17-$G$16)/1000</f>
        <v>0</v>
      </c>
      <c r="I270">
        <f>'Refrig Mass Flow &amp; Cond kW'!F261*(($G$13-$G$14)-$C$6*($G$17-$G$18)/1000)-'Refrig Mass Flow &amp; Cond kW'!E261*(1-$C$6/($G$10+273))</f>
        <v>0</v>
      </c>
    </row>
    <row r="271" spans="2:9" x14ac:dyDescent="0.2">
      <c r="B271" s="2">
        <v>248</v>
      </c>
      <c r="C271">
        <f>'Refrig Mass Flow &amp; Cond kW'!D262*$C$6*(($C$19-$C$18)/1000)</f>
        <v>0</v>
      </c>
      <c r="D271">
        <f>'Refrig Mass Flow &amp; Cond kW'!D262*Winter!$C$6*((Winter!$C$17-Winter!$C$16)/1000)</f>
        <v>0</v>
      </c>
      <c r="E271">
        <f>'Refrig Mass Flow &amp; Cond kW'!D262*(($C$13-$C$14)-$C$6*($C$17-$C$18)/1000)-'Refrig Mass Flow &amp; Cond kW'!C262*(1-$C$6/($C$10+273))</f>
        <v>0</v>
      </c>
      <c r="F271" s="13"/>
      <c r="G271" s="13">
        <f>'Refrig Mass Flow &amp; Cond kW'!F262*$C$6*($G$19-$G$18)/1000</f>
        <v>0</v>
      </c>
      <c r="H271">
        <f>'Refrig Mass Flow &amp; Cond kW'!F262*$C$6*($G$17-$G$16)/1000</f>
        <v>0</v>
      </c>
      <c r="I271">
        <f>'Refrig Mass Flow &amp; Cond kW'!F262*(($G$13-$G$14)-$C$6*($G$17-$G$18)/1000)-'Refrig Mass Flow &amp; Cond kW'!E262*(1-$C$6/($G$10+273))</f>
        <v>0</v>
      </c>
    </row>
    <row r="272" spans="2:9" x14ac:dyDescent="0.2">
      <c r="B272" s="2">
        <v>249</v>
      </c>
      <c r="C272">
        <f>'Refrig Mass Flow &amp; Cond kW'!D263*$C$6*(($C$19-$C$18)/1000)</f>
        <v>0</v>
      </c>
      <c r="D272">
        <f>'Refrig Mass Flow &amp; Cond kW'!D263*Winter!$C$6*((Winter!$C$17-Winter!$C$16)/1000)</f>
        <v>0</v>
      </c>
      <c r="E272">
        <f>'Refrig Mass Flow &amp; Cond kW'!D263*(($C$13-$C$14)-$C$6*($C$17-$C$18)/1000)-'Refrig Mass Flow &amp; Cond kW'!C263*(1-$C$6/($C$10+273))</f>
        <v>0</v>
      </c>
      <c r="F272" s="13"/>
      <c r="G272" s="13">
        <f>'Refrig Mass Flow &amp; Cond kW'!F263*$C$6*($G$19-$G$18)/1000</f>
        <v>0</v>
      </c>
      <c r="H272">
        <f>'Refrig Mass Flow &amp; Cond kW'!F263*$C$6*($G$17-$G$16)/1000</f>
        <v>0</v>
      </c>
      <c r="I272">
        <f>'Refrig Mass Flow &amp; Cond kW'!F263*(($G$13-$G$14)-$C$6*($G$17-$G$18)/1000)-'Refrig Mass Flow &amp; Cond kW'!E263*(1-$C$6/($G$10+273))</f>
        <v>0</v>
      </c>
    </row>
    <row r="273" spans="2:9" x14ac:dyDescent="0.2">
      <c r="B273" s="2">
        <v>250</v>
      </c>
      <c r="C273">
        <f>'Refrig Mass Flow &amp; Cond kW'!D264*$C$6*(($C$19-$C$18)/1000)</f>
        <v>0</v>
      </c>
      <c r="D273">
        <f>'Refrig Mass Flow &amp; Cond kW'!D264*Winter!$C$6*((Winter!$C$17-Winter!$C$16)/1000)</f>
        <v>0</v>
      </c>
      <c r="E273">
        <f>'Refrig Mass Flow &amp; Cond kW'!D264*(($C$13-$C$14)-$C$6*($C$17-$C$18)/1000)-'Refrig Mass Flow &amp; Cond kW'!C264*(1-$C$6/($C$10+273))</f>
        <v>0</v>
      </c>
      <c r="F273" s="13"/>
      <c r="G273" s="13">
        <f>'Refrig Mass Flow &amp; Cond kW'!F264*$C$6*($G$19-$G$18)/1000</f>
        <v>0</v>
      </c>
      <c r="H273">
        <f>'Refrig Mass Flow &amp; Cond kW'!F264*$C$6*($G$17-$G$16)/1000</f>
        <v>0</v>
      </c>
      <c r="I273">
        <f>'Refrig Mass Flow &amp; Cond kW'!F264*(($G$13-$G$14)-$C$6*($G$17-$G$18)/1000)-'Refrig Mass Flow &amp; Cond kW'!E264*(1-$C$6/($G$10+273))</f>
        <v>0</v>
      </c>
    </row>
    <row r="274" spans="2:9" x14ac:dyDescent="0.2">
      <c r="B274" s="2">
        <v>251</v>
      </c>
      <c r="C274">
        <f>'Refrig Mass Flow &amp; Cond kW'!D265*$C$6*(($C$19-$C$18)/1000)</f>
        <v>0</v>
      </c>
      <c r="D274">
        <f>'Refrig Mass Flow &amp; Cond kW'!D265*Winter!$C$6*((Winter!$C$17-Winter!$C$16)/1000)</f>
        <v>0</v>
      </c>
      <c r="E274">
        <f>'Refrig Mass Flow &amp; Cond kW'!D265*(($C$13-$C$14)-$C$6*($C$17-$C$18)/1000)-'Refrig Mass Flow &amp; Cond kW'!C265*(1-$C$6/($C$10+273))</f>
        <v>0</v>
      </c>
      <c r="F274" s="13"/>
      <c r="G274" s="13">
        <f>'Refrig Mass Flow &amp; Cond kW'!F265*$C$6*($G$19-$G$18)/1000</f>
        <v>0</v>
      </c>
      <c r="H274">
        <f>'Refrig Mass Flow &amp; Cond kW'!F265*$C$6*($G$17-$G$16)/1000</f>
        <v>0</v>
      </c>
      <c r="I274">
        <f>'Refrig Mass Flow &amp; Cond kW'!F265*(($G$13-$G$14)-$C$6*($G$17-$G$18)/1000)-'Refrig Mass Flow &amp; Cond kW'!E265*(1-$C$6/($G$10+273))</f>
        <v>0</v>
      </c>
    </row>
    <row r="275" spans="2:9" x14ac:dyDescent="0.2">
      <c r="B275" s="2">
        <v>252</v>
      </c>
      <c r="C275">
        <f>'Refrig Mass Flow &amp; Cond kW'!D266*$C$6*(($C$19-$C$18)/1000)</f>
        <v>0</v>
      </c>
      <c r="D275">
        <f>'Refrig Mass Flow &amp; Cond kW'!D266*Winter!$C$6*((Winter!$C$17-Winter!$C$16)/1000)</f>
        <v>0</v>
      </c>
      <c r="E275">
        <f>'Refrig Mass Flow &amp; Cond kW'!D266*(($C$13-$C$14)-$C$6*($C$17-$C$18)/1000)-'Refrig Mass Flow &amp; Cond kW'!C266*(1-$C$6/($C$10+273))</f>
        <v>0</v>
      </c>
      <c r="F275" s="13"/>
      <c r="G275" s="13">
        <f>'Refrig Mass Flow &amp; Cond kW'!F266*$C$6*($G$19-$G$18)/1000</f>
        <v>0</v>
      </c>
      <c r="H275">
        <f>'Refrig Mass Flow &amp; Cond kW'!F266*$C$6*($G$17-$G$16)/1000</f>
        <v>0</v>
      </c>
      <c r="I275">
        <f>'Refrig Mass Flow &amp; Cond kW'!F266*(($G$13-$G$14)-$C$6*($G$17-$G$18)/1000)-'Refrig Mass Flow &amp; Cond kW'!E266*(1-$C$6/($G$10+273))</f>
        <v>0</v>
      </c>
    </row>
    <row r="276" spans="2:9" x14ac:dyDescent="0.2">
      <c r="B276" s="2">
        <v>253</v>
      </c>
      <c r="C276">
        <f>'Refrig Mass Flow &amp; Cond kW'!D267*$C$6*(($C$19-$C$18)/1000)</f>
        <v>0</v>
      </c>
      <c r="D276">
        <f>'Refrig Mass Flow &amp; Cond kW'!D267*Winter!$C$6*((Winter!$C$17-Winter!$C$16)/1000)</f>
        <v>0</v>
      </c>
      <c r="E276">
        <f>'Refrig Mass Flow &amp; Cond kW'!D267*(($C$13-$C$14)-$C$6*($C$17-$C$18)/1000)-'Refrig Mass Flow &amp; Cond kW'!C267*(1-$C$6/($C$10+273))</f>
        <v>0</v>
      </c>
      <c r="F276" s="13"/>
      <c r="G276" s="13">
        <f>'Refrig Mass Flow &amp; Cond kW'!F267*$C$6*($G$19-$G$18)/1000</f>
        <v>0</v>
      </c>
      <c r="H276">
        <f>'Refrig Mass Flow &amp; Cond kW'!F267*$C$6*($G$17-$G$16)/1000</f>
        <v>0</v>
      </c>
      <c r="I276">
        <f>'Refrig Mass Flow &amp; Cond kW'!F267*(($G$13-$G$14)-$C$6*($G$17-$G$18)/1000)-'Refrig Mass Flow &amp; Cond kW'!E267*(1-$C$6/($G$10+273))</f>
        <v>0</v>
      </c>
    </row>
    <row r="277" spans="2:9" x14ac:dyDescent="0.2">
      <c r="B277" s="2">
        <v>254</v>
      </c>
      <c r="C277">
        <f>'Refrig Mass Flow &amp; Cond kW'!D268*$C$6*(($C$19-$C$18)/1000)</f>
        <v>0</v>
      </c>
      <c r="D277">
        <f>'Refrig Mass Flow &amp; Cond kW'!D268*Winter!$C$6*((Winter!$C$17-Winter!$C$16)/1000)</f>
        <v>0</v>
      </c>
      <c r="E277">
        <f>'Refrig Mass Flow &amp; Cond kW'!D268*(($C$13-$C$14)-$C$6*($C$17-$C$18)/1000)-'Refrig Mass Flow &amp; Cond kW'!C268*(1-$C$6/($C$10+273))</f>
        <v>0</v>
      </c>
      <c r="F277" s="13"/>
      <c r="G277" s="13">
        <f>'Refrig Mass Flow &amp; Cond kW'!F268*$C$6*($G$19-$G$18)/1000</f>
        <v>0</v>
      </c>
      <c r="H277">
        <f>'Refrig Mass Flow &amp; Cond kW'!F268*$C$6*($G$17-$G$16)/1000</f>
        <v>0</v>
      </c>
      <c r="I277">
        <f>'Refrig Mass Flow &amp; Cond kW'!F268*(($G$13-$G$14)-$C$6*($G$17-$G$18)/1000)-'Refrig Mass Flow &amp; Cond kW'!E268*(1-$C$6/($G$10+273))</f>
        <v>0</v>
      </c>
    </row>
    <row r="278" spans="2:9" x14ac:dyDescent="0.2">
      <c r="B278" s="2">
        <v>255</v>
      </c>
      <c r="C278">
        <f>'Refrig Mass Flow &amp; Cond kW'!D269*$C$6*(($C$19-$C$18)/1000)</f>
        <v>0</v>
      </c>
      <c r="D278">
        <f>'Refrig Mass Flow &amp; Cond kW'!D269*Winter!$C$6*((Winter!$C$17-Winter!$C$16)/1000)</f>
        <v>0</v>
      </c>
      <c r="E278">
        <f>'Refrig Mass Flow &amp; Cond kW'!D269*(($C$13-$C$14)-$C$6*($C$17-$C$18)/1000)-'Refrig Mass Flow &amp; Cond kW'!C269*(1-$C$6/($C$10+273))</f>
        <v>0</v>
      </c>
      <c r="F278" s="13"/>
      <c r="G278" s="13">
        <f>'Refrig Mass Flow &amp; Cond kW'!F269*$C$6*($G$19-$G$18)/1000</f>
        <v>0</v>
      </c>
      <c r="H278">
        <f>'Refrig Mass Flow &amp; Cond kW'!F269*$C$6*($G$17-$G$16)/1000</f>
        <v>0</v>
      </c>
      <c r="I278">
        <f>'Refrig Mass Flow &amp; Cond kW'!F269*(($G$13-$G$14)-$C$6*($G$17-$G$18)/1000)-'Refrig Mass Flow &amp; Cond kW'!E269*(1-$C$6/($G$10+273))</f>
        <v>0</v>
      </c>
    </row>
    <row r="279" spans="2:9" x14ac:dyDescent="0.2">
      <c r="B279" s="2">
        <v>256</v>
      </c>
      <c r="C279">
        <f>'Refrig Mass Flow &amp; Cond kW'!D270*$C$6*(($C$19-$C$18)/1000)</f>
        <v>0</v>
      </c>
      <c r="D279">
        <f>'Refrig Mass Flow &amp; Cond kW'!D270*Winter!$C$6*((Winter!$C$17-Winter!$C$16)/1000)</f>
        <v>0</v>
      </c>
      <c r="E279">
        <f>'Refrig Mass Flow &amp; Cond kW'!D270*(($C$13-$C$14)-$C$6*($C$17-$C$18)/1000)-'Refrig Mass Flow &amp; Cond kW'!C270*(1-$C$6/($C$10+273))</f>
        <v>0</v>
      </c>
      <c r="F279" s="13"/>
      <c r="G279" s="13">
        <f>'Refrig Mass Flow &amp; Cond kW'!F270*$C$6*($G$19-$G$18)/1000</f>
        <v>0</v>
      </c>
      <c r="H279">
        <f>'Refrig Mass Flow &amp; Cond kW'!F270*$C$6*($G$17-$G$16)/1000</f>
        <v>0</v>
      </c>
      <c r="I279">
        <f>'Refrig Mass Flow &amp; Cond kW'!F270*(($G$13-$G$14)-$C$6*($G$17-$G$18)/1000)-'Refrig Mass Flow &amp; Cond kW'!E270*(1-$C$6/($G$10+273))</f>
        <v>0</v>
      </c>
    </row>
    <row r="280" spans="2:9" x14ac:dyDescent="0.2">
      <c r="B280" s="2">
        <v>257</v>
      </c>
      <c r="C280">
        <f>'Refrig Mass Flow &amp; Cond kW'!D271*$C$6*(($C$19-$C$18)/1000)</f>
        <v>0</v>
      </c>
      <c r="D280">
        <f>'Refrig Mass Flow &amp; Cond kW'!D271*Winter!$C$6*((Winter!$C$17-Winter!$C$16)/1000)</f>
        <v>0</v>
      </c>
      <c r="E280">
        <f>'Refrig Mass Flow &amp; Cond kW'!D271*(($C$13-$C$14)-$C$6*($C$17-$C$18)/1000)-'Refrig Mass Flow &amp; Cond kW'!C271*(1-$C$6/($C$10+273))</f>
        <v>0</v>
      </c>
      <c r="F280" s="13"/>
      <c r="G280" s="13">
        <f>'Refrig Mass Flow &amp; Cond kW'!F271*$C$6*($G$19-$G$18)/1000</f>
        <v>0</v>
      </c>
      <c r="H280">
        <f>'Refrig Mass Flow &amp; Cond kW'!F271*$C$6*($G$17-$G$16)/1000</f>
        <v>0</v>
      </c>
      <c r="I280">
        <f>'Refrig Mass Flow &amp; Cond kW'!F271*(($G$13-$G$14)-$C$6*($G$17-$G$18)/1000)-'Refrig Mass Flow &amp; Cond kW'!E271*(1-$C$6/($G$10+273))</f>
        <v>0</v>
      </c>
    </row>
    <row r="281" spans="2:9" x14ac:dyDescent="0.2">
      <c r="B281" s="2">
        <v>258</v>
      </c>
      <c r="C281">
        <f>'Refrig Mass Flow &amp; Cond kW'!D272*$C$6*(($C$19-$C$18)/1000)</f>
        <v>0.13496982207625882</v>
      </c>
      <c r="D281">
        <f>'Refrig Mass Flow &amp; Cond kW'!D272*Winter!$C$6*((Winter!$C$17-Winter!$C$16)/1000)</f>
        <v>0.45311297411314799</v>
      </c>
      <c r="E281">
        <f>'Refrig Mass Flow &amp; Cond kW'!D272*(($C$13-$C$14)-$C$6*($C$17-$C$18)/1000)-'Refrig Mass Flow &amp; Cond kW'!C272*(1-$C$6/($C$10+273))</f>
        <v>0.12877453901593938</v>
      </c>
      <c r="F281" s="13"/>
      <c r="G281" s="13">
        <f>'Refrig Mass Flow &amp; Cond kW'!F272*$C$6*($G$19-$G$18)/1000</f>
        <v>0</v>
      </c>
      <c r="H281">
        <f>'Refrig Mass Flow &amp; Cond kW'!F272*$C$6*($G$17-$G$16)/1000</f>
        <v>0</v>
      </c>
      <c r="I281">
        <f>'Refrig Mass Flow &amp; Cond kW'!F272*(($G$13-$G$14)-$C$6*($G$17-$G$18)/1000)-'Refrig Mass Flow &amp; Cond kW'!E272*(1-$C$6/($G$10+273))</f>
        <v>0</v>
      </c>
    </row>
    <row r="282" spans="2:9" x14ac:dyDescent="0.2">
      <c r="B282" s="2">
        <v>259</v>
      </c>
      <c r="C282">
        <f>'Refrig Mass Flow &amp; Cond kW'!D273*$C$6*(($C$19-$C$18)/1000)</f>
        <v>0.16686300216764946</v>
      </c>
      <c r="D282">
        <f>'Refrig Mass Flow &amp; Cond kW'!D273*Winter!$C$6*((Winter!$C$17-Winter!$C$16)/1000)</f>
        <v>0.5601829358485293</v>
      </c>
      <c r="E282">
        <f>'Refrig Mass Flow &amp; Cond kW'!D273*(($C$13-$C$14)-$C$6*($C$17-$C$18)/1000)-'Refrig Mass Flow &amp; Cond kW'!C273*(1-$C$6/($C$10+273))</f>
        <v>0.15920378238932598</v>
      </c>
      <c r="F282" s="13"/>
      <c r="G282" s="13">
        <f>'Refrig Mass Flow &amp; Cond kW'!F273*$C$6*($G$19-$G$18)/1000</f>
        <v>0</v>
      </c>
      <c r="H282">
        <f>'Refrig Mass Flow &amp; Cond kW'!F273*$C$6*($G$17-$G$16)/1000</f>
        <v>0</v>
      </c>
      <c r="I282">
        <f>'Refrig Mass Flow &amp; Cond kW'!F273*(($G$13-$G$14)-$C$6*($G$17-$G$18)/1000)-'Refrig Mass Flow &amp; Cond kW'!E273*(1-$C$6/($G$10+273))</f>
        <v>0</v>
      </c>
    </row>
    <row r="283" spans="2:9" x14ac:dyDescent="0.2">
      <c r="B283" s="2">
        <v>260</v>
      </c>
      <c r="C283">
        <f>'Refrig Mass Flow &amp; Cond kW'!D274*$C$6*(($C$19-$C$18)/1000)</f>
        <v>0.19869806383448926</v>
      </c>
      <c r="D283">
        <f>'Refrig Mass Flow &amp; Cond kW'!D274*Winter!$C$6*((Winter!$C$17-Winter!$C$16)/1000)</f>
        <v>0.66705778573006136</v>
      </c>
      <c r="E283">
        <f>'Refrig Mass Flow &amp; Cond kW'!D274*(($C$13-$C$14)-$C$6*($C$17-$C$18)/1000)-'Refrig Mass Flow &amp; Cond kW'!C274*(1-$C$6/($C$10+273))</f>
        <v>0.18957757504628736</v>
      </c>
      <c r="F283" s="13"/>
      <c r="G283" s="13">
        <f>'Refrig Mass Flow &amp; Cond kW'!F274*$C$6*($G$19-$G$18)/1000</f>
        <v>0</v>
      </c>
      <c r="H283">
        <f>'Refrig Mass Flow &amp; Cond kW'!F274*$C$6*($G$17-$G$16)/1000</f>
        <v>0</v>
      </c>
      <c r="I283">
        <f>'Refrig Mass Flow &amp; Cond kW'!F274*(($G$13-$G$14)-$C$6*($G$17-$G$18)/1000)-'Refrig Mass Flow &amp; Cond kW'!E274*(1-$C$6/($G$10+273))</f>
        <v>0</v>
      </c>
    </row>
    <row r="284" spans="2:9" x14ac:dyDescent="0.2">
      <c r="B284" s="2">
        <v>261</v>
      </c>
      <c r="C284">
        <f>'Refrig Mass Flow &amp; Cond kW'!D275*$C$6*(($C$19-$C$18)/1000)</f>
        <v>0.2304818608685561</v>
      </c>
      <c r="D284">
        <f>'Refrig Mass Flow &amp; Cond kW'!D275*Winter!$C$6*((Winter!$C$17-Winter!$C$16)/1000)</f>
        <v>0.77376053291585556</v>
      </c>
      <c r="E284">
        <f>'Refrig Mass Flow &amp; Cond kW'!D275*(($C$13-$C$14)-$C$6*($C$17-$C$18)/1000)-'Refrig Mass Flow &amp; Cond kW'!C275*(1-$C$6/($C$10+273))</f>
        <v>0.21990245618101678</v>
      </c>
      <c r="F284" s="13"/>
      <c r="G284" s="13">
        <f>'Refrig Mass Flow &amp; Cond kW'!F275*$C$6*($G$19-$G$18)/1000</f>
        <v>0</v>
      </c>
      <c r="H284">
        <f>'Refrig Mass Flow &amp; Cond kW'!F275*$C$6*($G$17-$G$16)/1000</f>
        <v>0</v>
      </c>
      <c r="I284">
        <f>'Refrig Mass Flow &amp; Cond kW'!F275*(($G$13-$G$14)-$C$6*($G$17-$G$18)/1000)-'Refrig Mass Flow &amp; Cond kW'!E275*(1-$C$6/($G$10+273))</f>
        <v>0</v>
      </c>
    </row>
    <row r="285" spans="2:9" x14ac:dyDescent="0.2">
      <c r="B285" s="2">
        <v>262</v>
      </c>
      <c r="C285">
        <f>'Refrig Mass Flow &amp; Cond kW'!D276*$C$6*(($C$19-$C$18)/1000)</f>
        <v>0.26222122261096797</v>
      </c>
      <c r="D285">
        <f>'Refrig Mass Flow &amp; Cond kW'!D276*Winter!$C$6*((Winter!$C$17-Winter!$C$16)/1000)</f>
        <v>0.8803141044796654</v>
      </c>
      <c r="E285">
        <f>'Refrig Mass Flow &amp; Cond kW'!D276*(($C$13-$C$14)-$C$6*($C$17-$C$18)/1000)-'Refrig Mass Flow &amp; Cond kW'!C276*(1-$C$6/($C$10+273))</f>
        <v>0.25018494165936289</v>
      </c>
      <c r="F285" s="13"/>
      <c r="G285" s="13">
        <f>'Refrig Mass Flow &amp; Cond kW'!F276*$C$6*($G$19-$G$18)/1000</f>
        <v>0</v>
      </c>
      <c r="H285">
        <f>'Refrig Mass Flow &amp; Cond kW'!F276*$C$6*($G$17-$G$16)/1000</f>
        <v>0</v>
      </c>
      <c r="I285">
        <f>'Refrig Mass Flow &amp; Cond kW'!F276*(($G$13-$G$14)-$C$6*($G$17-$G$18)/1000)-'Refrig Mass Flow &amp; Cond kW'!E276*(1-$C$6/($G$10+273))</f>
        <v>0</v>
      </c>
    </row>
    <row r="286" spans="2:9" x14ac:dyDescent="0.2">
      <c r="B286" s="2">
        <v>263</v>
      </c>
      <c r="C286">
        <f>'Refrig Mass Flow &amp; Cond kW'!D277*$C$6*(($C$19-$C$18)/1000)</f>
        <v>0.25412255624135704</v>
      </c>
      <c r="D286">
        <f>'Refrig Mass Flow &amp; Cond kW'!D277*Winter!$C$6*((Winter!$C$17-Winter!$C$16)/1000)</f>
        <v>0.85312572452454327</v>
      </c>
      <c r="E286">
        <f>'Refrig Mass Flow &amp; Cond kW'!D277*(($C$13-$C$14)-$C$6*($C$17-$C$18)/1000)-'Refrig Mass Flow &amp; Cond kW'!C277*(1-$C$6/($C$10+273))</f>
        <v>0.24245801417033164</v>
      </c>
      <c r="F286" s="13"/>
      <c r="G286" s="13">
        <f>'Refrig Mass Flow &amp; Cond kW'!F277*$C$6*($G$19-$G$18)/1000</f>
        <v>0</v>
      </c>
      <c r="H286">
        <f>'Refrig Mass Flow &amp; Cond kW'!F277*$C$6*($G$17-$G$16)/1000</f>
        <v>0</v>
      </c>
      <c r="I286">
        <f>'Refrig Mass Flow &amp; Cond kW'!F277*(($G$13-$G$14)-$C$6*($G$17-$G$18)/1000)-'Refrig Mass Flow &amp; Cond kW'!E277*(1-$C$6/($G$10+273))</f>
        <v>0</v>
      </c>
    </row>
    <row r="287" spans="2:9" x14ac:dyDescent="0.2">
      <c r="B287" s="2">
        <v>264</v>
      </c>
      <c r="C287">
        <f>'Refrig Mass Flow &amp; Cond kW'!D278*$C$6*(($C$19-$C$18)/1000)</f>
        <v>0.22181186295508126</v>
      </c>
      <c r="D287">
        <f>'Refrig Mass Flow &amp; Cond kW'!D278*Winter!$C$6*((Winter!$C$17-Winter!$C$16)/1000)</f>
        <v>0.74465411134919046</v>
      </c>
      <c r="E287">
        <f>'Refrig Mass Flow &amp; Cond kW'!D278*(($C$13-$C$14)-$C$6*($C$17-$C$18)/1000)-'Refrig Mass Flow &amp; Cond kW'!C278*(1-$C$6/($C$10+273))</f>
        <v>0.21163042197809645</v>
      </c>
      <c r="F287" s="13"/>
      <c r="G287" s="13">
        <f>'Refrig Mass Flow &amp; Cond kW'!F278*$C$6*($G$19-$G$18)/1000</f>
        <v>0</v>
      </c>
      <c r="H287">
        <f>'Refrig Mass Flow &amp; Cond kW'!F278*$C$6*($G$17-$G$16)/1000</f>
        <v>0</v>
      </c>
      <c r="I287">
        <f>'Refrig Mass Flow &amp; Cond kW'!F278*(($G$13-$G$14)-$C$6*($G$17-$G$18)/1000)-'Refrig Mass Flow &amp; Cond kW'!E278*(1-$C$6/($G$10+273))</f>
        <v>0</v>
      </c>
    </row>
    <row r="288" spans="2:9" x14ac:dyDescent="0.2">
      <c r="B288" s="2">
        <v>265</v>
      </c>
      <c r="C288">
        <f>'Refrig Mass Flow &amp; Cond kW'!D279*$C$6*(($C$19-$C$18)/1000)</f>
        <v>0.19555024144589034</v>
      </c>
      <c r="D288">
        <f>'Refrig Mass Flow &amp; Cond kW'!D279*Winter!$C$6*((Winter!$C$17-Winter!$C$16)/1000)</f>
        <v>0.65649009628262223</v>
      </c>
      <c r="E288">
        <f>'Refrig Mass Flow &amp; Cond kW'!D279*(($C$13-$C$14)-$C$6*($C$17-$C$18)/1000)-'Refrig Mass Flow &amp; Cond kW'!C279*(1-$C$6/($C$10+273))</f>
        <v>0.18657424162878566</v>
      </c>
      <c r="F288" s="13"/>
      <c r="G288" s="13">
        <f>'Refrig Mass Flow &amp; Cond kW'!F279*$C$6*($G$19-$G$18)/1000</f>
        <v>0</v>
      </c>
      <c r="H288">
        <f>'Refrig Mass Flow &amp; Cond kW'!F279*$C$6*($G$17-$G$16)/1000</f>
        <v>0</v>
      </c>
      <c r="I288">
        <f>'Refrig Mass Flow &amp; Cond kW'!F279*(($G$13-$G$14)-$C$6*($G$17-$G$18)/1000)-'Refrig Mass Flow &amp; Cond kW'!E279*(1-$C$6/($G$10+273))</f>
        <v>0</v>
      </c>
    </row>
    <row r="289" spans="2:9" x14ac:dyDescent="0.2">
      <c r="B289" s="2">
        <v>266</v>
      </c>
      <c r="C289">
        <f>'Refrig Mass Flow &amp; Cond kW'!D280*$C$6*(($C$19-$C$18)/1000)</f>
        <v>0.17261695483746314</v>
      </c>
      <c r="D289">
        <f>'Refrig Mass Flow &amp; Cond kW'!D280*Winter!$C$6*((Winter!$C$17-Winter!$C$16)/1000)</f>
        <v>0.57949977695433197</v>
      </c>
      <c r="E289">
        <f>'Refrig Mass Flow &amp; Cond kW'!D280*(($C$13-$C$14)-$C$6*($C$17-$C$18)/1000)-'Refrig Mass Flow &amp; Cond kW'!C280*(1-$C$6/($C$10+273))</f>
        <v>0.16469362145984157</v>
      </c>
      <c r="F289" s="13"/>
      <c r="G289" s="13">
        <f>'Refrig Mass Flow &amp; Cond kW'!F280*$C$6*($G$19-$G$18)/1000</f>
        <v>0</v>
      </c>
      <c r="H289">
        <f>'Refrig Mass Flow &amp; Cond kW'!F280*$C$6*($G$17-$G$16)/1000</f>
        <v>0</v>
      </c>
      <c r="I289">
        <f>'Refrig Mass Flow &amp; Cond kW'!F280*(($G$13-$G$14)-$C$6*($G$17-$G$18)/1000)-'Refrig Mass Flow &amp; Cond kW'!E280*(1-$C$6/($G$10+273))</f>
        <v>0</v>
      </c>
    </row>
    <row r="290" spans="2:9" x14ac:dyDescent="0.2">
      <c r="B290" s="2">
        <v>267</v>
      </c>
      <c r="C290">
        <f>'Refrig Mass Flow &amp; Cond kW'!D281*$C$6*(($C$19-$C$18)/1000)</f>
        <v>0.14966181591116717</v>
      </c>
      <c r="D290">
        <f>'Refrig Mass Flow &amp; Cond kW'!D281*Winter!$C$6*((Winter!$C$17-Winter!$C$16)/1000)</f>
        <v>0.50243609627319674</v>
      </c>
      <c r="E290">
        <f>'Refrig Mass Flow &amp; Cond kW'!D281*(($C$13-$C$14)-$C$6*($C$17-$C$18)/1000)-'Refrig Mass Flow &amp; Cond kW'!C281*(1-$C$6/($C$10+273))</f>
        <v>0.14279215202165485</v>
      </c>
      <c r="F290" s="13"/>
      <c r="G290" s="13">
        <f>'Refrig Mass Flow &amp; Cond kW'!F281*$C$6*($G$19-$G$18)/1000</f>
        <v>0</v>
      </c>
      <c r="H290">
        <f>'Refrig Mass Flow &amp; Cond kW'!F281*$C$6*($G$17-$G$16)/1000</f>
        <v>0</v>
      </c>
      <c r="I290">
        <f>'Refrig Mass Flow &amp; Cond kW'!F281*(($G$13-$G$14)-$C$6*($G$17-$G$18)/1000)-'Refrig Mass Flow &amp; Cond kW'!E281*(1-$C$6/($G$10+273))</f>
        <v>0</v>
      </c>
    </row>
    <row r="291" spans="2:9" x14ac:dyDescent="0.2">
      <c r="B291" s="2">
        <v>268</v>
      </c>
      <c r="C291">
        <f>'Refrig Mass Flow &amp; Cond kW'!D282*$C$6*(($C$19-$C$18)/1000)</f>
        <v>0.12500913408194841</v>
      </c>
      <c r="D291">
        <f>'Refrig Mass Flow &amp; Cond kW'!D282*Winter!$C$6*((Winter!$C$17-Winter!$C$16)/1000)</f>
        <v>0.41967352156082072</v>
      </c>
      <c r="E291">
        <f>'Refrig Mass Flow &amp; Cond kW'!D282*(($C$13-$C$14)-$C$6*($C$17-$C$18)/1000)-'Refrig Mass Flow &amp; Cond kW'!C282*(1-$C$6/($C$10+273))</f>
        <v>0.11927105901561541</v>
      </c>
      <c r="F291" s="13"/>
      <c r="G291" s="13">
        <f>'Refrig Mass Flow &amp; Cond kW'!F282*$C$6*($G$19-$G$18)/1000</f>
        <v>0</v>
      </c>
      <c r="H291">
        <f>'Refrig Mass Flow &amp; Cond kW'!F282*$C$6*($G$17-$G$16)/1000</f>
        <v>0</v>
      </c>
      <c r="I291">
        <f>'Refrig Mass Flow &amp; Cond kW'!F282*(($G$13-$G$14)-$C$6*($G$17-$G$18)/1000)-'Refrig Mass Flow &amp; Cond kW'!E282*(1-$C$6/($G$10+273))</f>
        <v>0</v>
      </c>
    </row>
    <row r="292" spans="2:9" x14ac:dyDescent="0.2">
      <c r="B292" s="2">
        <v>269</v>
      </c>
      <c r="C292">
        <f>'Refrig Mass Flow &amp; Cond kW'!D283*$C$6*(($C$19-$C$18)/1000)</f>
        <v>9.7973012865327599E-2</v>
      </c>
      <c r="D292">
        <f>'Refrig Mass Flow &amp; Cond kW'!D283*Winter!$C$6*((Winter!$C$17-Winter!$C$16)/1000)</f>
        <v>0.32890940033359495</v>
      </c>
      <c r="E292">
        <f>'Refrig Mass Flow &amp; Cond kW'!D283*(($C$13-$C$14)-$C$6*($C$17-$C$18)/1000)-'Refrig Mass Flow &amp; Cond kW'!C283*(1-$C$6/($C$10+273))</f>
        <v>9.3475929460785867E-2</v>
      </c>
      <c r="F292" s="13"/>
      <c r="G292" s="13">
        <f>'Refrig Mass Flow &amp; Cond kW'!F283*$C$6*($G$19-$G$18)/1000</f>
        <v>0</v>
      </c>
      <c r="H292">
        <f>'Refrig Mass Flow &amp; Cond kW'!F283*$C$6*($G$17-$G$16)/1000</f>
        <v>0</v>
      </c>
      <c r="I292">
        <f>'Refrig Mass Flow &amp; Cond kW'!F283*(($G$13-$G$14)-$C$6*($G$17-$G$18)/1000)-'Refrig Mass Flow &amp; Cond kW'!E283*(1-$C$6/($G$10+273))</f>
        <v>0</v>
      </c>
    </row>
    <row r="293" spans="2:9" x14ac:dyDescent="0.2">
      <c r="B293" s="2">
        <v>270</v>
      </c>
      <c r="C293">
        <f>'Refrig Mass Flow &amp; Cond kW'!D284*$C$6*(($C$19-$C$18)/1000)</f>
        <v>6.8324253325700413E-2</v>
      </c>
      <c r="D293">
        <f>'Refrig Mass Flow &amp; Cond kW'!D284*Winter!$C$6*((Winter!$C$17-Winter!$C$16)/1000)</f>
        <v>0.22937427902199087</v>
      </c>
      <c r="E293">
        <f>'Refrig Mass Flow &amp; Cond kW'!D284*(($C$13-$C$14)-$C$6*($C$17-$C$18)/1000)-'Refrig Mass Flow &amp; Cond kW'!C284*(1-$C$6/($C$10+273))</f>
        <v>6.5188084938380797E-2</v>
      </c>
      <c r="F293" s="13"/>
      <c r="G293" s="13">
        <f>'Refrig Mass Flow &amp; Cond kW'!F284*$C$6*($G$19-$G$18)/1000</f>
        <v>0</v>
      </c>
      <c r="H293">
        <f>'Refrig Mass Flow &amp; Cond kW'!F284*$C$6*($G$17-$G$16)/1000</f>
        <v>0</v>
      </c>
      <c r="I293">
        <f>'Refrig Mass Flow &amp; Cond kW'!F284*(($G$13-$G$14)-$C$6*($G$17-$G$18)/1000)-'Refrig Mass Flow &amp; Cond kW'!E284*(1-$C$6/($G$10+273))</f>
        <v>0</v>
      </c>
    </row>
    <row r="294" spans="2:9" x14ac:dyDescent="0.2">
      <c r="B294" s="2">
        <v>271</v>
      </c>
      <c r="C294">
        <f>'Refrig Mass Flow &amp; Cond kW'!D285*$C$6*(($C$19-$C$18)/1000)</f>
        <v>6.5989141480339464E-2</v>
      </c>
      <c r="D294">
        <f>'Refrig Mass Flow &amp; Cond kW'!D285*Winter!$C$6*((Winter!$C$17-Winter!$C$16)/1000)</f>
        <v>0.22153497496970781</v>
      </c>
      <c r="E294">
        <f>'Refrig Mass Flow &amp; Cond kW'!D285*(($C$13-$C$14)-$C$6*($C$17-$C$18)/1000)-'Refrig Mass Flow &amp; Cond kW'!C285*(1-$C$6/($C$10+273))</f>
        <v>6.2960157637216518E-2</v>
      </c>
      <c r="F294" s="13"/>
      <c r="G294" s="13">
        <f>'Refrig Mass Flow &amp; Cond kW'!F285*$C$6*($G$19-$G$18)/1000</f>
        <v>0</v>
      </c>
      <c r="H294">
        <f>'Refrig Mass Flow &amp; Cond kW'!F285*$C$6*($G$17-$G$16)/1000</f>
        <v>0</v>
      </c>
      <c r="I294">
        <f>'Refrig Mass Flow &amp; Cond kW'!F285*(($G$13-$G$14)-$C$6*($G$17-$G$18)/1000)-'Refrig Mass Flow &amp; Cond kW'!E285*(1-$C$6/($G$10+273))</f>
        <v>0</v>
      </c>
    </row>
    <row r="295" spans="2:9" x14ac:dyDescent="0.2">
      <c r="B295" s="2">
        <v>272</v>
      </c>
      <c r="C295">
        <f>'Refrig Mass Flow &amp; Cond kW'!D286*$C$6*(($C$19-$C$18)/1000)</f>
        <v>0.10184718709389967</v>
      </c>
      <c r="D295">
        <f>'Refrig Mass Flow &amp; Cond kW'!D286*Winter!$C$6*((Winter!$C$17-Winter!$C$16)/1000)</f>
        <v>0.34191555667237244</v>
      </c>
      <c r="E295">
        <f>'Refrig Mass Flow &amp; Cond kW'!D286*(($C$13-$C$14)-$C$6*($C$17-$C$18)/1000)-'Refrig Mass Flow &amp; Cond kW'!C286*(1-$C$6/($C$10+273))</f>
        <v>9.7172274263477965E-2</v>
      </c>
      <c r="F295" s="13"/>
      <c r="G295" s="13">
        <f>'Refrig Mass Flow &amp; Cond kW'!F286*$C$6*($G$19-$G$18)/1000</f>
        <v>0</v>
      </c>
      <c r="H295">
        <f>'Refrig Mass Flow &amp; Cond kW'!F286*$C$6*($G$17-$G$16)/1000</f>
        <v>0</v>
      </c>
      <c r="I295">
        <f>'Refrig Mass Flow &amp; Cond kW'!F286*(($G$13-$G$14)-$C$6*($G$17-$G$18)/1000)-'Refrig Mass Flow &amp; Cond kW'!E286*(1-$C$6/($G$10+273))</f>
        <v>0</v>
      </c>
    </row>
    <row r="296" spans="2:9" x14ac:dyDescent="0.2">
      <c r="B296" s="2">
        <v>273</v>
      </c>
      <c r="C296">
        <f>'Refrig Mass Flow &amp; Cond kW'!D287*$C$6*(($C$19-$C$18)/1000)</f>
        <v>0.13560497973158969</v>
      </c>
      <c r="D296">
        <f>'Refrig Mass Flow &amp; Cond kW'!D287*Winter!$C$6*((Winter!$C$17-Winter!$C$16)/1000)</f>
        <v>0.45524528909890155</v>
      </c>
      <c r="E296">
        <f>'Refrig Mass Flow &amp; Cond kW'!D287*(($C$13-$C$14)-$C$6*($C$17-$C$18)/1000)-'Refrig Mass Flow &amp; Cond kW'!C287*(1-$C$6/($C$10+273))</f>
        <v>0.12938054214322703</v>
      </c>
      <c r="F296" s="13"/>
      <c r="G296" s="13">
        <f>'Refrig Mass Flow &amp; Cond kW'!F287*$C$6*($G$19-$G$18)/1000</f>
        <v>0</v>
      </c>
      <c r="H296">
        <f>'Refrig Mass Flow &amp; Cond kW'!F287*$C$6*($G$17-$G$16)/1000</f>
        <v>0</v>
      </c>
      <c r="I296">
        <f>'Refrig Mass Flow &amp; Cond kW'!F287*(($G$13-$G$14)-$C$6*($G$17-$G$18)/1000)-'Refrig Mass Flow &amp; Cond kW'!E287*(1-$C$6/($G$10+273))</f>
        <v>0</v>
      </c>
    </row>
    <row r="297" spans="2:9" x14ac:dyDescent="0.2">
      <c r="B297" s="2">
        <v>274</v>
      </c>
      <c r="C297">
        <f>'Refrig Mass Flow &amp; Cond kW'!D288*$C$6*(($C$19-$C$18)/1000)</f>
        <v>0.16781333660926237</v>
      </c>
      <c r="D297">
        <f>'Refrig Mass Flow &amp; Cond kW'!D288*Winter!$C$6*((Winter!$C$17-Winter!$C$16)/1000)</f>
        <v>0.56337334433108688</v>
      </c>
      <c r="E297">
        <f>'Refrig Mass Flow &amp; Cond kW'!D288*(($C$13-$C$14)-$C$6*($C$17-$C$18)/1000)-'Refrig Mass Flow &amp; Cond kW'!C288*(1-$C$6/($C$10+273))</f>
        <v>0.1601104952955672</v>
      </c>
      <c r="F297" s="13"/>
      <c r="G297" s="13">
        <f>'Refrig Mass Flow &amp; Cond kW'!F288*$C$6*($G$19-$G$18)/1000</f>
        <v>0</v>
      </c>
      <c r="H297">
        <f>'Refrig Mass Flow &amp; Cond kW'!F288*$C$6*($G$17-$G$16)/1000</f>
        <v>0</v>
      </c>
      <c r="I297">
        <f>'Refrig Mass Flow &amp; Cond kW'!F288*(($G$13-$G$14)-$C$6*($G$17-$G$18)/1000)-'Refrig Mass Flow &amp; Cond kW'!E288*(1-$C$6/($G$10+273))</f>
        <v>0</v>
      </c>
    </row>
    <row r="298" spans="2:9" x14ac:dyDescent="0.2">
      <c r="B298" s="2">
        <v>275</v>
      </c>
      <c r="C298">
        <f>'Refrig Mass Flow &amp; Cond kW'!D289*$C$6*(($C$19-$C$18)/1000)</f>
        <v>0.19991422794724073</v>
      </c>
      <c r="D298">
        <f>'Refrig Mass Flow &amp; Cond kW'!D289*Winter!$C$6*((Winter!$C$17-Winter!$C$16)/1000)</f>
        <v>0.67114062239429828</v>
      </c>
      <c r="E298">
        <f>'Refrig Mass Flow &amp; Cond kW'!D289*(($C$13-$C$14)-$C$6*($C$17-$C$18)/1000)-'Refrig Mass Flow &amp; Cond kW'!C289*(1-$C$6/($C$10+273))</f>
        <v>0.19073791571043097</v>
      </c>
      <c r="F298" s="13"/>
      <c r="G298" s="13">
        <f>'Refrig Mass Flow &amp; Cond kW'!F289*$C$6*($G$19-$G$18)/1000</f>
        <v>0</v>
      </c>
      <c r="H298">
        <f>'Refrig Mass Flow &amp; Cond kW'!F289*$C$6*($G$17-$G$16)/1000</f>
        <v>0</v>
      </c>
      <c r="I298">
        <f>'Refrig Mass Flow &amp; Cond kW'!F289*(($G$13-$G$14)-$C$6*($G$17-$G$18)/1000)-'Refrig Mass Flow &amp; Cond kW'!E289*(1-$C$6/($G$10+273))</f>
        <v>0</v>
      </c>
    </row>
    <row r="299" spans="2:9" x14ac:dyDescent="0.2">
      <c r="B299" s="2">
        <v>276</v>
      </c>
      <c r="C299">
        <f>'Refrig Mass Flow &amp; Cond kW'!D290*$C$6*(($C$19-$C$18)/1000)</f>
        <v>0.23197960723092051</v>
      </c>
      <c r="D299">
        <f>'Refrig Mass Flow &amp; Cond kW'!D290*Winter!$C$6*((Winter!$C$17-Winter!$C$16)/1000)</f>
        <v>0.77878868141807889</v>
      </c>
      <c r="E299">
        <f>'Refrig Mass Flow &amp; Cond kW'!D290*(($C$13-$C$14)-$C$6*($C$17-$C$18)/1000)-'Refrig Mass Flow &amp; Cond kW'!C290*(1-$C$6/($C$10+273))</f>
        <v>0.22133145411855093</v>
      </c>
      <c r="F299" s="13"/>
      <c r="G299" s="13">
        <f>'Refrig Mass Flow &amp; Cond kW'!F290*$C$6*($G$19-$G$18)/1000</f>
        <v>0</v>
      </c>
      <c r="H299">
        <f>'Refrig Mass Flow &amp; Cond kW'!F290*$C$6*($G$17-$G$16)/1000</f>
        <v>0</v>
      </c>
      <c r="I299">
        <f>'Refrig Mass Flow &amp; Cond kW'!F290*(($G$13-$G$14)-$C$6*($G$17-$G$18)/1000)-'Refrig Mass Flow &amp; Cond kW'!E290*(1-$C$6/($G$10+273))</f>
        <v>0</v>
      </c>
    </row>
    <row r="300" spans="2:9" x14ac:dyDescent="0.2">
      <c r="B300" s="2">
        <v>277</v>
      </c>
      <c r="C300">
        <f>'Refrig Mass Flow &amp; Cond kW'!D291*$C$6*(($C$19-$C$18)/1000)</f>
        <v>0.26400641548053577</v>
      </c>
      <c r="D300">
        <f>'Refrig Mass Flow &amp; Cond kW'!D291*Winter!$C$6*((Winter!$C$17-Winter!$C$16)/1000)</f>
        <v>0.88630725197035709</v>
      </c>
      <c r="E300">
        <f>'Refrig Mass Flow &amp; Cond kW'!D291*(($C$13-$C$14)-$C$6*($C$17-$C$18)/1000)-'Refrig Mass Flow &amp; Cond kW'!C291*(1-$C$6/($C$10+273))</f>
        <v>0.25188819195114398</v>
      </c>
      <c r="F300" s="13"/>
      <c r="G300" s="13">
        <f>'Refrig Mass Flow &amp; Cond kW'!F291*$C$6*($G$19-$G$18)/1000</f>
        <v>0</v>
      </c>
      <c r="H300">
        <f>'Refrig Mass Flow &amp; Cond kW'!F291*$C$6*($G$17-$G$16)/1000</f>
        <v>0</v>
      </c>
      <c r="I300">
        <f>'Refrig Mass Flow &amp; Cond kW'!F291*(($G$13-$G$14)-$C$6*($G$17-$G$18)/1000)-'Refrig Mass Flow &amp; Cond kW'!E291*(1-$C$6/($G$10+273))</f>
        <v>0</v>
      </c>
    </row>
    <row r="301" spans="2:9" x14ac:dyDescent="0.2">
      <c r="B301" s="2">
        <v>278</v>
      </c>
      <c r="C301">
        <f>'Refrig Mass Flow &amp; Cond kW'!D292*$C$6*(($C$19-$C$18)/1000)</f>
        <v>0.29599231960719152</v>
      </c>
      <c r="D301">
        <f>'Refrig Mass Flow &amp; Cond kW'!D292*Winter!$C$6*((Winter!$C$17-Winter!$C$16)/1000)</f>
        <v>0.99368850153841415</v>
      </c>
      <c r="E301">
        <f>'Refrig Mass Flow &amp; Cond kW'!D292*(($C$13-$C$14)-$C$6*($C$17-$C$18)/1000)-'Refrig Mass Flow &amp; Cond kW'!C292*(1-$C$6/($C$10+273))</f>
        <v>0.28240590321100623</v>
      </c>
      <c r="F301" s="13"/>
      <c r="G301" s="13">
        <f>'Refrig Mass Flow &amp; Cond kW'!F292*$C$6*($G$19-$G$18)/1000</f>
        <v>0</v>
      </c>
      <c r="H301">
        <f>'Refrig Mass Flow &amp; Cond kW'!F292*$C$6*($G$17-$G$16)/1000</f>
        <v>0</v>
      </c>
      <c r="I301">
        <f>'Refrig Mass Flow &amp; Cond kW'!F292*(($G$13-$G$14)-$C$6*($G$17-$G$18)/1000)-'Refrig Mass Flow &amp; Cond kW'!E292*(1-$C$6/($G$10+273))</f>
        <v>0</v>
      </c>
    </row>
    <row r="302" spans="2:9" x14ac:dyDescent="0.2">
      <c r="B302" s="2">
        <v>279</v>
      </c>
      <c r="C302">
        <f>'Refrig Mass Flow &amp; Cond kW'!D293*$C$6*(($C$19-$C$18)/1000)</f>
        <v>0.32793776841760869</v>
      </c>
      <c r="D302">
        <f>'Refrig Mass Flow &amp; Cond kW'!D293*Winter!$C$6*((Winter!$C$17-Winter!$C$16)/1000)</f>
        <v>1.1009339368305273</v>
      </c>
      <c r="E302">
        <f>'Refrig Mass Flow &amp; Cond kW'!D293*(($C$13-$C$14)-$C$6*($C$17-$C$18)/1000)-'Refrig Mass Flow &amp; Cond kW'!C293*(1-$C$6/($C$10+273))</f>
        <v>0.31288501610406705</v>
      </c>
      <c r="F302" s="13"/>
      <c r="G302" s="13">
        <f>'Refrig Mass Flow &amp; Cond kW'!F293*$C$6*($G$19-$G$18)/1000</f>
        <v>0</v>
      </c>
      <c r="H302">
        <f>'Refrig Mass Flow &amp; Cond kW'!F293*$C$6*($G$17-$G$16)/1000</f>
        <v>0</v>
      </c>
      <c r="I302">
        <f>'Refrig Mass Flow &amp; Cond kW'!F293*(($G$13-$G$14)-$C$6*($G$17-$G$18)/1000)-'Refrig Mass Flow &amp; Cond kW'!E293*(1-$C$6/($G$10+273))</f>
        <v>0</v>
      </c>
    </row>
    <row r="303" spans="2:9" x14ac:dyDescent="0.2">
      <c r="B303" s="2">
        <v>280</v>
      </c>
      <c r="C303">
        <f>'Refrig Mass Flow &amp; Cond kW'!D294*$C$6*(($C$19-$C$18)/1000)</f>
        <v>0.35984390044354808</v>
      </c>
      <c r="D303">
        <f>'Refrig Mass Flow &amp; Cond kW'!D294*Winter!$C$6*((Winter!$C$17-Winter!$C$16)/1000)</f>
        <v>1.2080473800604652</v>
      </c>
      <c r="E303">
        <f>'Refrig Mass Flow &amp; Cond kW'!D294*(($C$13-$C$14)-$C$6*($C$17-$C$18)/1000)-'Refrig Mass Flow &amp; Cond kW'!C294*(1-$C$6/($C$10+273))</f>
        <v>0.34332661690206301</v>
      </c>
      <c r="F303" s="13"/>
      <c r="G303" s="13">
        <f>'Refrig Mass Flow &amp; Cond kW'!F294*$C$6*($G$19-$G$18)/1000</f>
        <v>0</v>
      </c>
      <c r="H303">
        <f>'Refrig Mass Flow &amp; Cond kW'!F294*$C$6*($G$17-$G$16)/1000</f>
        <v>0</v>
      </c>
      <c r="I303">
        <f>'Refrig Mass Flow &amp; Cond kW'!F294*(($G$13-$G$14)-$C$6*($G$17-$G$18)/1000)-'Refrig Mass Flow &amp; Cond kW'!E294*(1-$C$6/($G$10+273))</f>
        <v>0</v>
      </c>
    </row>
    <row r="304" spans="2:9" x14ac:dyDescent="0.2">
      <c r="B304" s="2">
        <v>281</v>
      </c>
      <c r="C304">
        <f>'Refrig Mass Flow &amp; Cond kW'!D295*$C$6*(($C$19-$C$18)/1000)</f>
        <v>0.39171184805318382</v>
      </c>
      <c r="D304">
        <f>'Refrig Mass Flow &amp; Cond kW'!D295*Winter!$C$6*((Winter!$C$17-Winter!$C$16)/1000)</f>
        <v>1.3150326327499551</v>
      </c>
      <c r="E304">
        <f>'Refrig Mass Flow &amp; Cond kW'!D295*(($C$13-$C$14)-$C$6*($C$17-$C$18)/1000)-'Refrig Mass Flow &amp; Cond kW'!C295*(1-$C$6/($C$10+273))</f>
        <v>0.37373178599605783</v>
      </c>
      <c r="F304" s="13"/>
      <c r="G304" s="13">
        <f>'Refrig Mass Flow &amp; Cond kW'!F295*$C$6*($G$19-$G$18)/1000</f>
        <v>0</v>
      </c>
      <c r="H304">
        <f>'Refrig Mass Flow &amp; Cond kW'!F295*$C$6*($G$17-$G$16)/1000</f>
        <v>0</v>
      </c>
      <c r="I304">
        <f>'Refrig Mass Flow &amp; Cond kW'!F295*(($G$13-$G$14)-$C$6*($G$17-$G$18)/1000)-'Refrig Mass Flow &amp; Cond kW'!E295*(1-$C$6/($G$10+273))</f>
        <v>0</v>
      </c>
    </row>
    <row r="305" spans="2:9" x14ac:dyDescent="0.2">
      <c r="B305" s="2">
        <v>282</v>
      </c>
      <c r="C305">
        <f>'Refrig Mass Flow &amp; Cond kW'!D296*$C$6*(($C$19-$C$18)/1000)</f>
        <v>0.42354273737170972</v>
      </c>
      <c r="D305">
        <f>'Refrig Mass Flow &amp; Cond kW'!D296*Winter!$C$6*((Winter!$C$17-Winter!$C$16)/1000)</f>
        <v>1.4218934754621475</v>
      </c>
      <c r="E305">
        <f>'Refrig Mass Flow &amp; Cond kW'!D296*(($C$13-$C$14)-$C$6*($C$17-$C$18)/1000)-'Refrig Mass Flow &amp; Cond kW'!C296*(1-$C$6/($C$10+273))</f>
        <v>0.4041015978206941</v>
      </c>
      <c r="F305" s="13"/>
      <c r="G305" s="13">
        <f>'Refrig Mass Flow &amp; Cond kW'!F296*$C$6*($G$19-$G$18)/1000</f>
        <v>0</v>
      </c>
      <c r="H305">
        <f>'Refrig Mass Flow &amp; Cond kW'!F296*$C$6*($G$17-$G$16)/1000</f>
        <v>0</v>
      </c>
      <c r="I305">
        <f>'Refrig Mass Flow &amp; Cond kW'!F296*(($G$13-$G$14)-$C$6*($G$17-$G$18)/1000)-'Refrig Mass Flow &amp; Cond kW'!E296*(1-$C$6/($G$10+273))</f>
        <v>0</v>
      </c>
    </row>
    <row r="306" spans="2:9" x14ac:dyDescent="0.2">
      <c r="B306" s="2">
        <v>283</v>
      </c>
      <c r="C306">
        <f>'Refrig Mass Flow &amp; Cond kW'!D297*$C$6*(($C$19-$C$18)/1000)</f>
        <v>0.45533768820268927</v>
      </c>
      <c r="D306">
        <f>'Refrig Mass Flow &amp; Cond kW'!D297*Winter!$C$6*((Winter!$C$17-Winter!$C$16)/1000)</f>
        <v>1.5286336675375773</v>
      </c>
      <c r="E306">
        <f>'Refrig Mass Flow &amp; Cond kW'!D297*(($C$13-$C$14)-$C$6*($C$17-$C$18)/1000)-'Refrig Mass Flow &amp; Cond kW'!C297*(1-$C$6/($C$10+273))</f>
        <v>0.43443712077915375</v>
      </c>
      <c r="F306" s="13"/>
      <c r="G306" s="13">
        <f>'Refrig Mass Flow &amp; Cond kW'!F297*$C$6*($G$19-$G$18)/1000</f>
        <v>0</v>
      </c>
      <c r="H306">
        <f>'Refrig Mass Flow &amp; Cond kW'!F297*$C$6*($G$17-$G$16)/1000</f>
        <v>0</v>
      </c>
      <c r="I306">
        <f>'Refrig Mass Flow &amp; Cond kW'!F297*(($G$13-$G$14)-$C$6*($G$17-$G$18)/1000)-'Refrig Mass Flow &amp; Cond kW'!E297*(1-$C$6/($G$10+273))</f>
        <v>0</v>
      </c>
    </row>
    <row r="307" spans="2:9" x14ac:dyDescent="0.2">
      <c r="B307" s="2">
        <v>284</v>
      </c>
      <c r="C307">
        <f>'Refrig Mass Flow &amp; Cond kW'!D298*$C$6*(($C$19-$C$18)/1000)</f>
        <v>0.48709781395003671</v>
      </c>
      <c r="D307">
        <f>'Refrig Mass Flow &amp; Cond kW'!D298*Winter!$C$6*((Winter!$C$17-Winter!$C$16)/1000)</f>
        <v>1.635256946832242</v>
      </c>
      <c r="E307">
        <f>'Refrig Mass Flow &amp; Cond kW'!D298*(($C$13-$C$14)-$C$6*($C$17-$C$18)/1000)-'Refrig Mass Flow &amp; Cond kW'!C298*(1-$C$6/($C$10+273))</f>
        <v>0.46473941716872957</v>
      </c>
      <c r="F307" s="13"/>
      <c r="G307" s="13">
        <f>'Refrig Mass Flow &amp; Cond kW'!F298*$C$6*($G$19-$G$18)/1000</f>
        <v>0</v>
      </c>
      <c r="H307">
        <f>'Refrig Mass Flow &amp; Cond kW'!F298*$C$6*($G$17-$G$16)/1000</f>
        <v>0</v>
      </c>
      <c r="I307">
        <f>'Refrig Mass Flow &amp; Cond kW'!F298*(($G$13-$G$14)-$C$6*($G$17-$G$18)/1000)-'Refrig Mass Flow &amp; Cond kW'!E298*(1-$C$6/($G$10+273))</f>
        <v>0</v>
      </c>
    </row>
    <row r="308" spans="2:9" x14ac:dyDescent="0.2">
      <c r="B308" s="2">
        <v>285</v>
      </c>
      <c r="C308">
        <f>'Refrig Mass Flow &amp; Cond kW'!D299*$C$6*(($C$19-$C$18)/1000)</f>
        <v>0.51882325297801135</v>
      </c>
      <c r="D308">
        <f>'Refrig Mass Flow &amp; Cond kW'!D299*Winter!$C$6*((Winter!$C$17-Winter!$C$16)/1000)</f>
        <v>1.741763777854727</v>
      </c>
      <c r="E308">
        <f>'Refrig Mass Flow &amp; Cond kW'!D299*(($C$13-$C$14)-$C$6*($C$17-$C$18)/1000)-'Refrig Mass Flow &amp; Cond kW'!C299*(1-$C$6/($C$10+273))</f>
        <v>0.49500861900258464</v>
      </c>
      <c r="F308" s="13"/>
      <c r="G308" s="13">
        <f>'Refrig Mass Flow &amp; Cond kW'!F299*$C$6*($G$19-$G$18)/1000</f>
        <v>0</v>
      </c>
      <c r="H308">
        <f>'Refrig Mass Flow &amp; Cond kW'!F299*$C$6*($G$17-$G$16)/1000</f>
        <v>0</v>
      </c>
      <c r="I308">
        <f>'Refrig Mass Flow &amp; Cond kW'!F299*(($G$13-$G$14)-$C$6*($G$17-$G$18)/1000)-'Refrig Mass Flow &amp; Cond kW'!E299*(1-$C$6/($G$10+273))</f>
        <v>0</v>
      </c>
    </row>
    <row r="309" spans="2:9" x14ac:dyDescent="0.2">
      <c r="B309" s="2">
        <v>286</v>
      </c>
      <c r="C309">
        <f>'Refrig Mass Flow &amp; Cond kW'!D300*$C$6*(($C$19-$C$18)/1000)</f>
        <v>0.55064995846560638</v>
      </c>
      <c r="D309">
        <f>'Refrig Mass Flow &amp; Cond kW'!D300*Winter!$C$6*((Winter!$C$17-Winter!$C$16)/1000)</f>
        <v>1.8486105748487944</v>
      </c>
      <c r="E309">
        <f>'Refrig Mass Flow &amp; Cond kW'!D300*(($C$13-$C$14)-$C$6*($C$17-$C$18)/1000)-'Refrig Mass Flow &amp; Cond kW'!C300*(1-$C$6/($C$10+273))</f>
        <v>0.52537443903934289</v>
      </c>
      <c r="F309" s="13"/>
      <c r="G309" s="13">
        <f>'Refrig Mass Flow &amp; Cond kW'!F300*$C$6*($G$19-$G$18)/1000</f>
        <v>0</v>
      </c>
      <c r="H309">
        <f>'Refrig Mass Flow &amp; Cond kW'!F300*$C$6*($G$17-$G$16)/1000</f>
        <v>0</v>
      </c>
      <c r="I309">
        <f>'Refrig Mass Flow &amp; Cond kW'!F300*(($G$13-$G$14)-$C$6*($G$17-$G$18)/1000)-'Refrig Mass Flow &amp; Cond kW'!E300*(1-$C$6/($G$10+273))</f>
        <v>0</v>
      </c>
    </row>
    <row r="310" spans="2:9" x14ac:dyDescent="0.2">
      <c r="B310" s="2">
        <v>287</v>
      </c>
      <c r="C310">
        <f>'Refrig Mass Flow &amp; Cond kW'!D301*$C$6*(($C$19-$C$18)/1000)</f>
        <v>0.54565686562406535</v>
      </c>
      <c r="D310">
        <f>'Refrig Mass Flow &amp; Cond kW'!D301*Winter!$C$6*((Winter!$C$17-Winter!$C$16)/1000)</f>
        <v>1.8318480488807638</v>
      </c>
      <c r="E310">
        <f>'Refrig Mass Flow &amp; Cond kW'!D301*(($C$13-$C$14)-$C$6*($C$17-$C$18)/1000)-'Refrig Mass Flow &amp; Cond kW'!C301*(1-$C$6/($C$10+273))</f>
        <v>0.52061053538264446</v>
      </c>
      <c r="F310" s="13"/>
      <c r="G310" s="13">
        <f>'Refrig Mass Flow &amp; Cond kW'!F301*$C$6*($G$19-$G$18)/1000</f>
        <v>0</v>
      </c>
      <c r="H310">
        <f>'Refrig Mass Flow &amp; Cond kW'!F301*$C$6*($G$17-$G$16)/1000</f>
        <v>0</v>
      </c>
      <c r="I310">
        <f>'Refrig Mass Flow &amp; Cond kW'!F301*(($G$13-$G$14)-$C$6*($G$17-$G$18)/1000)-'Refrig Mass Flow &amp; Cond kW'!E301*(1-$C$6/($G$10+273))</f>
        <v>0</v>
      </c>
    </row>
    <row r="311" spans="2:9" x14ac:dyDescent="0.2">
      <c r="B311" s="2">
        <v>288</v>
      </c>
      <c r="C311">
        <f>'Refrig Mass Flow &amp; Cond kW'!D302*$C$6*(($C$19-$C$18)/1000)</f>
        <v>0.51583283802934798</v>
      </c>
      <c r="D311">
        <f>'Refrig Mass Flow &amp; Cond kW'!D302*Winter!$C$6*((Winter!$C$17-Winter!$C$16)/1000)</f>
        <v>1.7317245276699285</v>
      </c>
      <c r="E311">
        <f>'Refrig Mass Flow &amp; Cond kW'!D302*(($C$13-$C$14)-$C$6*($C$17-$C$18)/1000)-'Refrig Mass Flow &amp; Cond kW'!C302*(1-$C$6/($C$10+273))</f>
        <v>0.49215546782733099</v>
      </c>
      <c r="F311" s="13"/>
      <c r="G311" s="13">
        <f>'Refrig Mass Flow &amp; Cond kW'!F302*$C$6*($G$19-$G$18)/1000</f>
        <v>0</v>
      </c>
      <c r="H311">
        <f>'Refrig Mass Flow &amp; Cond kW'!F302*$C$6*($G$17-$G$16)/1000</f>
        <v>0</v>
      </c>
      <c r="I311">
        <f>'Refrig Mass Flow &amp; Cond kW'!F302*(($G$13-$G$14)-$C$6*($G$17-$G$18)/1000)-'Refrig Mass Flow &amp; Cond kW'!E302*(1-$C$6/($G$10+273))</f>
        <v>0</v>
      </c>
    </row>
    <row r="312" spans="2:9" x14ac:dyDescent="0.2">
      <c r="B312" s="2">
        <v>289</v>
      </c>
      <c r="C312">
        <f>'Refrig Mass Flow &amp; Cond kW'!D303*$C$6*(($C$19-$C$18)/1000)</f>
        <v>0.49101011236470227</v>
      </c>
      <c r="D312">
        <f>'Refrig Mass Flow &amp; Cond kW'!D303*Winter!$C$6*((Winter!$C$17-Winter!$C$16)/1000)</f>
        <v>1.6483910915100477</v>
      </c>
      <c r="E312">
        <f>'Refrig Mass Flow &amp; Cond kW'!D303*(($C$13-$C$14)-$C$6*($C$17-$C$18)/1000)-'Refrig Mass Flow &amp; Cond kW'!C303*(1-$C$6/($C$10+273))</f>
        <v>0.46847213620985606</v>
      </c>
      <c r="F312" s="13"/>
      <c r="G312" s="13">
        <f>'Refrig Mass Flow &amp; Cond kW'!F303*$C$6*($G$19-$G$18)/1000</f>
        <v>0</v>
      </c>
      <c r="H312">
        <f>'Refrig Mass Flow &amp; Cond kW'!F303*$C$6*($G$17-$G$16)/1000</f>
        <v>0</v>
      </c>
      <c r="I312">
        <f>'Refrig Mass Flow &amp; Cond kW'!F303*(($G$13-$G$14)-$C$6*($G$17-$G$18)/1000)-'Refrig Mass Flow &amp; Cond kW'!E303*(1-$C$6/($G$10+273))</f>
        <v>0</v>
      </c>
    </row>
    <row r="313" spans="2:9" x14ac:dyDescent="0.2">
      <c r="B313" s="2">
        <v>290</v>
      </c>
      <c r="C313">
        <f>'Refrig Mass Flow &amp; Cond kW'!D304*$C$6*(($C$19-$C$18)/1000)</f>
        <v>0.46867715713012992</v>
      </c>
      <c r="D313">
        <f>'Refrig Mass Flow &amp; Cond kW'!D304*Winter!$C$6*((Winter!$C$17-Winter!$C$16)/1000)</f>
        <v>1.5734161703654133</v>
      </c>
      <c r="E313">
        <f>'Refrig Mass Flow &amp; Cond kW'!D304*(($C$13-$C$14)-$C$6*($C$17-$C$18)/1000)-'Refrig Mass Flow &amp; Cond kW'!C304*(1-$C$6/($C$10+273))</f>
        <v>0.44716429145644909</v>
      </c>
      <c r="F313" s="13"/>
      <c r="G313" s="13">
        <f>'Refrig Mass Flow &amp; Cond kW'!F304*$C$6*($G$19-$G$18)/1000</f>
        <v>0</v>
      </c>
      <c r="H313">
        <f>'Refrig Mass Flow &amp; Cond kW'!F304*$C$6*($G$17-$G$16)/1000</f>
        <v>0</v>
      </c>
      <c r="I313">
        <f>'Refrig Mass Flow &amp; Cond kW'!F304*(($G$13-$G$14)-$C$6*($G$17-$G$18)/1000)-'Refrig Mass Flow &amp; Cond kW'!E304*(1-$C$6/($G$10+273))</f>
        <v>0</v>
      </c>
    </row>
    <row r="314" spans="2:9" x14ac:dyDescent="0.2">
      <c r="B314" s="2">
        <v>291</v>
      </c>
      <c r="C314">
        <f>'Refrig Mass Flow &amp; Cond kW'!D305*$C$6*(($C$19-$C$18)/1000)</f>
        <v>0.44536369441740886</v>
      </c>
      <c r="D314">
        <f>'Refrig Mass Flow &amp; Cond kW'!D305*Winter!$C$6*((Winter!$C$17-Winter!$C$16)/1000)</f>
        <v>1.4951495455441364</v>
      </c>
      <c r="E314">
        <f>'Refrig Mass Flow &amp; Cond kW'!D305*(($C$13-$C$14)-$C$6*($C$17-$C$18)/1000)-'Refrig Mass Flow &amp; Cond kW'!C305*(1-$C$6/($C$10+273))</f>
        <v>0.42492094574025163</v>
      </c>
      <c r="F314" s="13"/>
      <c r="G314" s="13">
        <f>'Refrig Mass Flow &amp; Cond kW'!F305*$C$6*($G$19-$G$18)/1000</f>
        <v>0</v>
      </c>
      <c r="H314">
        <f>'Refrig Mass Flow &amp; Cond kW'!F305*$C$6*($G$17-$G$16)/1000</f>
        <v>0</v>
      </c>
      <c r="I314">
        <f>'Refrig Mass Flow &amp; Cond kW'!F305*(($G$13-$G$14)-$C$6*($G$17-$G$18)/1000)-'Refrig Mass Flow &amp; Cond kW'!E305*(1-$C$6/($G$10+273))</f>
        <v>0</v>
      </c>
    </row>
    <row r="315" spans="2:9" x14ac:dyDescent="0.2">
      <c r="B315" s="2">
        <v>292</v>
      </c>
      <c r="C315">
        <f>'Refrig Mass Flow &amp; Cond kW'!D306*$C$6*(($C$19-$C$18)/1000)</f>
        <v>0.42011193600948399</v>
      </c>
      <c r="D315">
        <f>'Refrig Mass Flow &amp; Cond kW'!D306*Winter!$C$6*((Winter!$C$17-Winter!$C$16)/1000)</f>
        <v>1.4103757851746754</v>
      </c>
      <c r="E315">
        <f>'Refrig Mass Flow &amp; Cond kW'!D306*(($C$13-$C$14)-$C$6*($C$17-$C$18)/1000)-'Refrig Mass Flow &amp; Cond kW'!C306*(1-$C$6/($C$10+273))</f>
        <v>0.40082827451716163</v>
      </c>
      <c r="F315" s="13"/>
      <c r="G315" s="13">
        <f>'Refrig Mass Flow &amp; Cond kW'!F306*$C$6*($G$19-$G$18)/1000</f>
        <v>0</v>
      </c>
      <c r="H315">
        <f>'Refrig Mass Flow &amp; Cond kW'!F306*$C$6*($G$17-$G$16)/1000</f>
        <v>0</v>
      </c>
      <c r="I315">
        <f>'Refrig Mass Flow &amp; Cond kW'!F306*(($G$13-$G$14)-$C$6*($G$17-$G$18)/1000)-'Refrig Mass Flow &amp; Cond kW'!E306*(1-$C$6/($G$10+273))</f>
        <v>0</v>
      </c>
    </row>
    <row r="316" spans="2:9" x14ac:dyDescent="0.2">
      <c r="B316" s="2">
        <v>293</v>
      </c>
      <c r="C316">
        <f>'Refrig Mass Flow &amp; Cond kW'!D307*$C$6*(($C$19-$C$18)/1000)</f>
        <v>0.39292141645651918</v>
      </c>
      <c r="D316">
        <f>'Refrig Mass Flow &amp; Cond kW'!D307*Winter!$C$6*((Winter!$C$17-Winter!$C$16)/1000)</f>
        <v>1.3190933266754379</v>
      </c>
      <c r="E316">
        <f>'Refrig Mass Flow &amp; Cond kW'!D307*(($C$13-$C$14)-$C$6*($C$17-$C$18)/1000)-'Refrig Mass Flow &amp; Cond kW'!C307*(1-$C$6/($C$10+273))</f>
        <v>0.37488583370206818</v>
      </c>
      <c r="F316" s="13"/>
      <c r="G316" s="13">
        <f>'Refrig Mass Flow &amp; Cond kW'!F307*$C$6*($G$19-$G$18)/1000</f>
        <v>0</v>
      </c>
      <c r="H316">
        <f>'Refrig Mass Flow &amp; Cond kW'!F307*$C$6*($G$17-$G$16)/1000</f>
        <v>0</v>
      </c>
      <c r="I316">
        <f>'Refrig Mass Flow &amp; Cond kW'!F307*(($G$13-$G$14)-$C$6*($G$17-$G$18)/1000)-'Refrig Mass Flow &amp; Cond kW'!E307*(1-$C$6/($G$10+273))</f>
        <v>0</v>
      </c>
    </row>
    <row r="317" spans="2:9" x14ac:dyDescent="0.2">
      <c r="B317" s="2">
        <v>294</v>
      </c>
      <c r="C317">
        <f>'Refrig Mass Flow &amp; Cond kW'!D308*$C$6*(($C$19-$C$18)/1000)</f>
        <v>0.3637916836667941</v>
      </c>
      <c r="D317">
        <f>'Refrig Mass Flow &amp; Cond kW'!D308*Winter!$C$6*((Winter!$C$17-Winter!$C$16)/1000)</f>
        <v>1.2213006523099337</v>
      </c>
      <c r="E317">
        <f>'Refrig Mass Flow &amp; Cond kW'!D308*(($C$13-$C$14)-$C$6*($C$17-$C$18)/1000)-'Refrig Mass Flow &amp; Cond kW'!C308*(1-$C$6/($C$10+273))</f>
        <v>0.34709319195482724</v>
      </c>
      <c r="F317" s="13"/>
      <c r="G317" s="13">
        <f>'Refrig Mass Flow &amp; Cond kW'!F308*$C$6*($G$19-$G$18)/1000</f>
        <v>0</v>
      </c>
      <c r="H317">
        <f>'Refrig Mass Flow &amp; Cond kW'!F308*$C$6*($G$17-$G$16)/1000</f>
        <v>0</v>
      </c>
      <c r="I317">
        <f>'Refrig Mass Flow &amp; Cond kW'!F308*(($G$13-$G$14)-$C$6*($G$17-$G$18)/1000)-'Refrig Mass Flow &amp; Cond kW'!E308*(1-$C$6/($G$10+273))</f>
        <v>0</v>
      </c>
    </row>
    <row r="318" spans="2:9" x14ac:dyDescent="0.2">
      <c r="B318" s="2">
        <v>295</v>
      </c>
      <c r="C318">
        <f>'Refrig Mass Flow &amp; Cond kW'!D309*$C$6*(($C$19-$C$18)/1000)</f>
        <v>0.36265022614127868</v>
      </c>
      <c r="D318">
        <f>'Refrig Mass Flow &amp; Cond kW'!D309*Winter!$C$6*((Winter!$C$17-Winter!$C$16)/1000)</f>
        <v>1.2174686163314177</v>
      </c>
      <c r="E318">
        <f>'Refrig Mass Flow &amp; Cond kW'!D309*(($C$13-$C$14)-$C$6*($C$17-$C$18)/1000)-'Refrig Mass Flow &amp; Cond kW'!C309*(1-$C$6/($C$10+273))</f>
        <v>0.34600412875245024</v>
      </c>
      <c r="F318" s="13"/>
      <c r="G318" s="13">
        <f>'Refrig Mass Flow &amp; Cond kW'!F309*$C$6*($G$19-$G$18)/1000</f>
        <v>0</v>
      </c>
      <c r="H318">
        <f>'Refrig Mass Flow &amp; Cond kW'!F309*$C$6*($G$17-$G$16)/1000</f>
        <v>0</v>
      </c>
      <c r="I318">
        <f>'Refrig Mass Flow &amp; Cond kW'!F309*(($G$13-$G$14)-$C$6*($G$17-$G$18)/1000)-'Refrig Mass Flow &amp; Cond kW'!E309*(1-$C$6/($G$10+273))</f>
        <v>0</v>
      </c>
    </row>
    <row r="319" spans="2:9" x14ac:dyDescent="0.2">
      <c r="B319" s="2">
        <v>296</v>
      </c>
      <c r="C319">
        <f>'Refrig Mass Flow &amp; Cond kW'!D310*$C$6*(($C$19-$C$18)/1000)</f>
        <v>0.39999675240363142</v>
      </c>
      <c r="D319">
        <f>'Refrig Mass Flow &amp; Cond kW'!D310*Winter!$C$6*((Winter!$C$17-Winter!$C$16)/1000)</f>
        <v>1.3428462402121715</v>
      </c>
      <c r="E319">
        <f>'Refrig Mass Flow &amp; Cond kW'!D310*(($C$13-$C$14)-$C$6*($C$17-$C$18)/1000)-'Refrig Mass Flow &amp; Cond kW'!C310*(1-$C$6/($C$10+273))</f>
        <v>0.38163640291047596</v>
      </c>
      <c r="F319" s="13"/>
      <c r="G319" s="13">
        <f>'Refrig Mass Flow &amp; Cond kW'!F310*$C$6*($G$19-$G$18)/1000</f>
        <v>0</v>
      </c>
      <c r="H319">
        <f>'Refrig Mass Flow &amp; Cond kW'!F310*$C$6*($G$17-$G$16)/1000</f>
        <v>0</v>
      </c>
      <c r="I319">
        <f>'Refrig Mass Flow &amp; Cond kW'!F310*(($G$13-$G$14)-$C$6*($G$17-$G$18)/1000)-'Refrig Mass Flow &amp; Cond kW'!E310*(1-$C$6/($G$10+273))</f>
        <v>0</v>
      </c>
    </row>
    <row r="320" spans="2:9" x14ac:dyDescent="0.2">
      <c r="B320" s="2">
        <v>297</v>
      </c>
      <c r="C320">
        <f>'Refrig Mass Flow &amp; Cond kW'!D311*$C$6*(($C$19-$C$18)/1000)</f>
        <v>0.39505651426653249</v>
      </c>
      <c r="D320">
        <f>'Refrig Mass Flow &amp; Cond kW'!D311*Winter!$C$6*((Winter!$C$17-Winter!$C$16)/1000)</f>
        <v>1.3262611550376253</v>
      </c>
      <c r="E320">
        <f>'Refrig Mass Flow &amp; Cond kW'!D311*(($C$13-$C$14)-$C$6*($C$17-$C$18)/1000)-'Refrig Mass Flow &amp; Cond kW'!C311*(1-$C$6/($C$10+273))</f>
        <v>0.37692292786140591</v>
      </c>
      <c r="F320" s="13"/>
      <c r="G320" s="13">
        <f>'Refrig Mass Flow &amp; Cond kW'!F311*$C$6*($G$19-$G$18)/1000</f>
        <v>0</v>
      </c>
      <c r="H320">
        <f>'Refrig Mass Flow &amp; Cond kW'!F311*$C$6*($G$17-$G$16)/1000</f>
        <v>0</v>
      </c>
      <c r="I320">
        <f>'Refrig Mass Flow &amp; Cond kW'!F311*(($G$13-$G$14)-$C$6*($G$17-$G$18)/1000)-'Refrig Mass Flow &amp; Cond kW'!E311*(1-$C$6/($G$10+273))</f>
        <v>0</v>
      </c>
    </row>
    <row r="321" spans="2:9" x14ac:dyDescent="0.2">
      <c r="B321" s="2">
        <v>298</v>
      </c>
      <c r="C321">
        <f>'Refrig Mass Flow &amp; Cond kW'!D312*$C$6*(($C$19-$C$18)/1000)</f>
        <v>0.35821012243129957</v>
      </c>
      <c r="D321">
        <f>'Refrig Mass Flow &amp; Cond kW'!D312*Winter!$C$6*((Winter!$C$17-Winter!$C$16)/1000)</f>
        <v>1.2025625538764879</v>
      </c>
      <c r="E321">
        <f>'Refrig Mass Flow &amp; Cond kW'!D312*(($C$13-$C$14)-$C$6*($C$17-$C$18)/1000)-'Refrig Mass Flow &amp; Cond kW'!C312*(1-$C$6/($C$10+273))</f>
        <v>0.34176783133692545</v>
      </c>
      <c r="F321" s="13"/>
      <c r="G321" s="13">
        <f>'Refrig Mass Flow &amp; Cond kW'!F312*$C$6*($G$19-$G$18)/1000</f>
        <v>0</v>
      </c>
      <c r="H321">
        <f>'Refrig Mass Flow &amp; Cond kW'!F312*$C$6*($G$17-$G$16)/1000</f>
        <v>0</v>
      </c>
      <c r="I321">
        <f>'Refrig Mass Flow &amp; Cond kW'!F312*(($G$13-$G$14)-$C$6*($G$17-$G$18)/1000)-'Refrig Mass Flow &amp; Cond kW'!E312*(1-$C$6/($G$10+273))</f>
        <v>0</v>
      </c>
    </row>
    <row r="322" spans="2:9" x14ac:dyDescent="0.2">
      <c r="B322" s="2">
        <v>299</v>
      </c>
      <c r="C322">
        <f>'Refrig Mass Flow &amp; Cond kW'!D313*$C$6*(($C$19-$C$18)/1000)</f>
        <v>2.2069768162365508</v>
      </c>
      <c r="D322">
        <f>'Refrig Mass Flow &amp; Cond kW'!D313*Winter!$C$6*((Winter!$C$17-Winter!$C$16)/1000)</f>
        <v>7.4091364545083112</v>
      </c>
      <c r="E322">
        <f>'Refrig Mass Flow &amp; Cond kW'!D313*(($C$13-$C$14)-$C$6*($C$17-$C$18)/1000)-'Refrig Mass Flow &amp; Cond kW'!C313*(1-$C$6/($C$10+273))</f>
        <v>2.1056738295850366</v>
      </c>
      <c r="F322" s="13"/>
      <c r="G322" s="13">
        <f>'Refrig Mass Flow &amp; Cond kW'!F313*$C$6*($G$19-$G$18)/1000</f>
        <v>0</v>
      </c>
      <c r="H322">
        <f>'Refrig Mass Flow &amp; Cond kW'!F313*$C$6*($G$17-$G$16)/1000</f>
        <v>0</v>
      </c>
      <c r="I322">
        <f>'Refrig Mass Flow &amp; Cond kW'!F313*(($G$13-$G$14)-$C$6*($G$17-$G$18)/1000)-'Refrig Mass Flow &amp; Cond kW'!E313*(1-$C$6/($G$10+273))</f>
        <v>0</v>
      </c>
    </row>
    <row r="323" spans="2:9" x14ac:dyDescent="0.2">
      <c r="B323" s="2">
        <v>300</v>
      </c>
      <c r="C323">
        <f>'Refrig Mass Flow &amp; Cond kW'!D314*$C$6*(($C$19-$C$18)/1000)</f>
        <v>2.1695671567012949</v>
      </c>
      <c r="D323">
        <f>'Refrig Mass Flow &amp; Cond kW'!D314*Winter!$C$6*((Winter!$C$17-Winter!$C$16)/1000)</f>
        <v>7.2835468832113834</v>
      </c>
      <c r="E323">
        <f>'Refrig Mass Flow &amp; Cond kW'!D314*(($C$13-$C$14)-$C$6*($C$17-$C$18)/1000)-'Refrig Mass Flow &amp; Cond kW'!C314*(1-$C$6/($C$10+273))</f>
        <v>2.0699813200500259</v>
      </c>
      <c r="F323" s="13"/>
      <c r="G323" s="13">
        <f>'Refrig Mass Flow &amp; Cond kW'!F314*$C$6*($G$19-$G$18)/1000</f>
        <v>0</v>
      </c>
      <c r="H323">
        <f>'Refrig Mass Flow &amp; Cond kW'!F314*$C$6*($G$17-$G$16)/1000</f>
        <v>0</v>
      </c>
      <c r="I323">
        <f>'Refrig Mass Flow &amp; Cond kW'!F314*(($G$13-$G$14)-$C$6*($G$17-$G$18)/1000)-'Refrig Mass Flow &amp; Cond kW'!E314*(1-$C$6/($G$10+273))</f>
        <v>0</v>
      </c>
    </row>
    <row r="324" spans="2:9" x14ac:dyDescent="0.2">
      <c r="B324" s="2">
        <v>301</v>
      </c>
      <c r="C324">
        <f>'Refrig Mass Flow &amp; Cond kW'!D315*$C$6*(($C$19-$C$18)/1000)</f>
        <v>2.1322237952148906</v>
      </c>
      <c r="D324">
        <f>'Refrig Mass Flow &amp; Cond kW'!D315*Winter!$C$6*((Winter!$C$17-Winter!$C$16)/1000)</f>
        <v>7.1581798839355981</v>
      </c>
      <c r="E324">
        <f>'Refrig Mass Flow &amp; Cond kW'!D315*(($C$13-$C$14)-$C$6*($C$17-$C$18)/1000)-'Refrig Mass Flow &amp; Cond kW'!C315*(1-$C$6/($C$10+273))</f>
        <v>2.0343520654007889</v>
      </c>
      <c r="F324" s="13"/>
      <c r="G324" s="13">
        <f>'Refrig Mass Flow &amp; Cond kW'!F315*$C$6*($G$19-$G$18)/1000</f>
        <v>0</v>
      </c>
      <c r="H324">
        <f>'Refrig Mass Flow &amp; Cond kW'!F315*$C$6*($G$17-$G$16)/1000</f>
        <v>0</v>
      </c>
      <c r="I324">
        <f>'Refrig Mass Flow &amp; Cond kW'!F315*(($G$13-$G$14)-$C$6*($G$17-$G$18)/1000)-'Refrig Mass Flow &amp; Cond kW'!E315*(1-$C$6/($G$10+273))</f>
        <v>0</v>
      </c>
    </row>
    <row r="325" spans="2:9" x14ac:dyDescent="0.2">
      <c r="B325" s="2">
        <v>302</v>
      </c>
      <c r="C325">
        <f>'Refrig Mass Flow &amp; Cond kW'!D316*$C$6*(($C$19-$C$18)/1000)</f>
        <v>2.0949466638382237</v>
      </c>
      <c r="D325">
        <f>'Refrig Mass Flow &amp; Cond kW'!D316*Winter!$C$6*((Winter!$C$17-Winter!$C$16)/1000)</f>
        <v>7.0330352285996476</v>
      </c>
      <c r="E325">
        <f>'Refrig Mass Flow &amp; Cond kW'!D316*(($C$13-$C$14)-$C$6*($C$17-$C$18)/1000)-'Refrig Mass Flow &amp; Cond kW'!C316*(1-$C$6/($C$10+273))</f>
        <v>1.9987860008167004</v>
      </c>
      <c r="F325" s="13"/>
      <c r="G325" s="13">
        <f>'Refrig Mass Flow &amp; Cond kW'!F316*$C$6*($G$19-$G$18)/1000</f>
        <v>0</v>
      </c>
      <c r="H325">
        <f>'Refrig Mass Flow &amp; Cond kW'!F316*$C$6*($G$17-$G$16)/1000</f>
        <v>0</v>
      </c>
      <c r="I325">
        <f>'Refrig Mass Flow &amp; Cond kW'!F316*(($G$13-$G$14)-$C$6*($G$17-$G$18)/1000)-'Refrig Mass Flow &amp; Cond kW'!E316*(1-$C$6/($G$10+273))</f>
        <v>0</v>
      </c>
    </row>
    <row r="326" spans="2:9" x14ac:dyDescent="0.2">
      <c r="B326" s="2">
        <v>303</v>
      </c>
      <c r="C326">
        <f>'Refrig Mass Flow &amp; Cond kW'!D317*$C$6*(($C$19-$C$18)/1000)</f>
        <v>0</v>
      </c>
      <c r="D326">
        <f>'Refrig Mass Flow &amp; Cond kW'!D317*Winter!$C$6*((Winter!$C$17-Winter!$C$16)/1000)</f>
        <v>0</v>
      </c>
      <c r="E326">
        <f>'Refrig Mass Flow &amp; Cond kW'!D317*(($C$13-$C$14)-$C$6*($C$17-$C$18)/1000)-'Refrig Mass Flow &amp; Cond kW'!C317*(1-$C$6/($C$10+273))</f>
        <v>0</v>
      </c>
      <c r="F326" s="13"/>
      <c r="G326" s="13">
        <f>'Refrig Mass Flow &amp; Cond kW'!F317*$C$6*($G$19-$G$18)/1000</f>
        <v>0</v>
      </c>
      <c r="H326">
        <f>'Refrig Mass Flow &amp; Cond kW'!F317*$C$6*($G$17-$G$16)/1000</f>
        <v>0</v>
      </c>
      <c r="I326">
        <f>'Refrig Mass Flow &amp; Cond kW'!F317*(($G$13-$G$14)-$C$6*($G$17-$G$18)/1000)-'Refrig Mass Flow &amp; Cond kW'!E317*(1-$C$6/($G$10+273))</f>
        <v>0</v>
      </c>
    </row>
    <row r="327" spans="2:9" x14ac:dyDescent="0.2">
      <c r="B327" s="2">
        <v>304</v>
      </c>
      <c r="C327">
        <f>'Refrig Mass Flow &amp; Cond kW'!D318*$C$6*(($C$19-$C$18)/1000)</f>
        <v>0</v>
      </c>
      <c r="D327">
        <f>'Refrig Mass Flow &amp; Cond kW'!D318*Winter!$C$6*((Winter!$C$17-Winter!$C$16)/1000)</f>
        <v>0</v>
      </c>
      <c r="E327">
        <f>'Refrig Mass Flow &amp; Cond kW'!D318*(($C$13-$C$14)-$C$6*($C$17-$C$18)/1000)-'Refrig Mass Flow &amp; Cond kW'!C318*(1-$C$6/($C$10+273))</f>
        <v>0</v>
      </c>
      <c r="F327" s="13"/>
      <c r="G327" s="13">
        <f>'Refrig Mass Flow &amp; Cond kW'!F318*$C$6*($G$19-$G$18)/1000</f>
        <v>0</v>
      </c>
      <c r="H327">
        <f>'Refrig Mass Flow &amp; Cond kW'!F318*$C$6*($G$17-$G$16)/1000</f>
        <v>0</v>
      </c>
      <c r="I327">
        <f>'Refrig Mass Flow &amp; Cond kW'!F318*(($G$13-$G$14)-$C$6*($G$17-$G$18)/1000)-'Refrig Mass Flow &amp; Cond kW'!E318*(1-$C$6/($G$10+273))</f>
        <v>0</v>
      </c>
    </row>
    <row r="328" spans="2:9" x14ac:dyDescent="0.2">
      <c r="B328" s="2">
        <v>305</v>
      </c>
      <c r="C328">
        <f>'Refrig Mass Flow &amp; Cond kW'!D319*$C$6*(($C$19-$C$18)/1000)</f>
        <v>0</v>
      </c>
      <c r="D328">
        <f>'Refrig Mass Flow &amp; Cond kW'!D319*Winter!$C$6*((Winter!$C$17-Winter!$C$16)/1000)</f>
        <v>0</v>
      </c>
      <c r="E328">
        <f>'Refrig Mass Flow &amp; Cond kW'!D319*(($C$13-$C$14)-$C$6*($C$17-$C$18)/1000)-'Refrig Mass Flow &amp; Cond kW'!C319*(1-$C$6/($C$10+273))</f>
        <v>0</v>
      </c>
      <c r="F328" s="13"/>
      <c r="G328" s="13">
        <f>'Refrig Mass Flow &amp; Cond kW'!F319*$C$6*($G$19-$G$18)/1000</f>
        <v>0</v>
      </c>
      <c r="H328">
        <f>'Refrig Mass Flow &amp; Cond kW'!F319*$C$6*($G$17-$G$16)/1000</f>
        <v>0</v>
      </c>
      <c r="I328">
        <f>'Refrig Mass Flow &amp; Cond kW'!F319*(($G$13-$G$14)-$C$6*($G$17-$G$18)/1000)-'Refrig Mass Flow &amp; Cond kW'!E319*(1-$C$6/($G$10+273))</f>
        <v>0</v>
      </c>
    </row>
    <row r="329" spans="2:9" x14ac:dyDescent="0.2">
      <c r="B329" s="2">
        <v>306</v>
      </c>
      <c r="C329">
        <f>'Refrig Mass Flow &amp; Cond kW'!D320*$C$6*(($C$19-$C$18)/1000)</f>
        <v>0</v>
      </c>
      <c r="D329">
        <f>'Refrig Mass Flow &amp; Cond kW'!D320*Winter!$C$6*((Winter!$C$17-Winter!$C$16)/1000)</f>
        <v>0</v>
      </c>
      <c r="E329">
        <f>'Refrig Mass Flow &amp; Cond kW'!D320*(($C$13-$C$14)-$C$6*($C$17-$C$18)/1000)-'Refrig Mass Flow &amp; Cond kW'!C320*(1-$C$6/($C$10+273))</f>
        <v>0</v>
      </c>
      <c r="F329" s="13"/>
      <c r="G329" s="13">
        <f>'Refrig Mass Flow &amp; Cond kW'!F320*$C$6*($G$19-$G$18)/1000</f>
        <v>0</v>
      </c>
      <c r="H329">
        <f>'Refrig Mass Flow &amp; Cond kW'!F320*$C$6*($G$17-$G$16)/1000</f>
        <v>0</v>
      </c>
      <c r="I329">
        <f>'Refrig Mass Flow &amp; Cond kW'!F320*(($G$13-$G$14)-$C$6*($G$17-$G$18)/1000)-'Refrig Mass Flow &amp; Cond kW'!E320*(1-$C$6/($G$10+273))</f>
        <v>0</v>
      </c>
    </row>
    <row r="330" spans="2:9" x14ac:dyDescent="0.2">
      <c r="B330" s="2">
        <v>307</v>
      </c>
      <c r="C330">
        <f>'Refrig Mass Flow &amp; Cond kW'!D321*$C$6*(($C$19-$C$18)/1000)</f>
        <v>0</v>
      </c>
      <c r="D330">
        <f>'Refrig Mass Flow &amp; Cond kW'!D321*Winter!$C$6*((Winter!$C$17-Winter!$C$16)/1000)</f>
        <v>0</v>
      </c>
      <c r="E330">
        <f>'Refrig Mass Flow &amp; Cond kW'!D321*(($C$13-$C$14)-$C$6*($C$17-$C$18)/1000)-'Refrig Mass Flow &amp; Cond kW'!C321*(1-$C$6/($C$10+273))</f>
        <v>0</v>
      </c>
      <c r="F330" s="13"/>
      <c r="G330" s="13">
        <f>'Refrig Mass Flow &amp; Cond kW'!F321*$C$6*($G$19-$G$18)/1000</f>
        <v>0</v>
      </c>
      <c r="H330">
        <f>'Refrig Mass Flow &amp; Cond kW'!F321*$C$6*($G$17-$G$16)/1000</f>
        <v>0</v>
      </c>
      <c r="I330">
        <f>'Refrig Mass Flow &amp; Cond kW'!F321*(($G$13-$G$14)-$C$6*($G$17-$G$18)/1000)-'Refrig Mass Flow &amp; Cond kW'!E321*(1-$C$6/($G$10+273))</f>
        <v>0</v>
      </c>
    </row>
    <row r="331" spans="2:9" x14ac:dyDescent="0.2">
      <c r="B331" s="2">
        <v>308</v>
      </c>
      <c r="C331">
        <f>'Refrig Mass Flow &amp; Cond kW'!D322*$C$6*(($C$19-$C$18)/1000)</f>
        <v>0</v>
      </c>
      <c r="D331">
        <f>'Refrig Mass Flow &amp; Cond kW'!D322*Winter!$C$6*((Winter!$C$17-Winter!$C$16)/1000)</f>
        <v>0</v>
      </c>
      <c r="E331">
        <f>'Refrig Mass Flow &amp; Cond kW'!D322*(($C$13-$C$14)-$C$6*($C$17-$C$18)/1000)-'Refrig Mass Flow &amp; Cond kW'!C322*(1-$C$6/($C$10+273))</f>
        <v>0</v>
      </c>
      <c r="F331" s="13"/>
      <c r="G331" s="13">
        <f>'Refrig Mass Flow &amp; Cond kW'!F322*$C$6*($G$19-$G$18)/1000</f>
        <v>0</v>
      </c>
      <c r="H331">
        <f>'Refrig Mass Flow &amp; Cond kW'!F322*$C$6*($G$17-$G$16)/1000</f>
        <v>0</v>
      </c>
      <c r="I331">
        <f>'Refrig Mass Flow &amp; Cond kW'!F322*(($G$13-$G$14)-$C$6*($G$17-$G$18)/1000)-'Refrig Mass Flow &amp; Cond kW'!E322*(1-$C$6/($G$10+273))</f>
        <v>0</v>
      </c>
    </row>
    <row r="332" spans="2:9" x14ac:dyDescent="0.2">
      <c r="B332" s="2">
        <v>309</v>
      </c>
      <c r="C332">
        <f>'Refrig Mass Flow &amp; Cond kW'!D323*$C$6*(($C$19-$C$18)/1000)</f>
        <v>0</v>
      </c>
      <c r="D332">
        <f>'Refrig Mass Flow &amp; Cond kW'!D323*Winter!$C$6*((Winter!$C$17-Winter!$C$16)/1000)</f>
        <v>0</v>
      </c>
      <c r="E332">
        <f>'Refrig Mass Flow &amp; Cond kW'!D323*(($C$13-$C$14)-$C$6*($C$17-$C$18)/1000)-'Refrig Mass Flow &amp; Cond kW'!C323*(1-$C$6/($C$10+273))</f>
        <v>0</v>
      </c>
      <c r="F332" s="13"/>
      <c r="G332" s="13">
        <f>'Refrig Mass Flow &amp; Cond kW'!F323*$C$6*($G$19-$G$18)/1000</f>
        <v>0</v>
      </c>
      <c r="H332">
        <f>'Refrig Mass Flow &amp; Cond kW'!F323*$C$6*($G$17-$G$16)/1000</f>
        <v>0</v>
      </c>
      <c r="I332">
        <f>'Refrig Mass Flow &amp; Cond kW'!F323*(($G$13-$G$14)-$C$6*($G$17-$G$18)/1000)-'Refrig Mass Flow &amp; Cond kW'!E323*(1-$C$6/($G$10+273))</f>
        <v>0</v>
      </c>
    </row>
    <row r="333" spans="2:9" x14ac:dyDescent="0.2">
      <c r="B333" s="2">
        <v>310</v>
      </c>
      <c r="C333">
        <f>'Refrig Mass Flow &amp; Cond kW'!D324*$C$6*(($C$19-$C$18)/1000)</f>
        <v>0.35225701390500808</v>
      </c>
      <c r="D333">
        <f>'Refrig Mass Flow &amp; Cond kW'!D324*Winter!$C$6*((Winter!$C$17-Winter!$C$16)/1000)</f>
        <v>1.1825771181096527</v>
      </c>
      <c r="E333">
        <f>'Refrig Mass Flow &amp; Cond kW'!D324*(($C$13-$C$14)-$C$6*($C$17-$C$18)/1000)-'Refrig Mass Flow &amp; Cond kW'!C324*(1-$C$6/($C$10+273))</f>
        <v>0.33608797791197365</v>
      </c>
      <c r="F333" s="13"/>
      <c r="G333" s="13">
        <f>'Refrig Mass Flow &amp; Cond kW'!F324*$C$6*($G$19-$G$18)/1000</f>
        <v>0</v>
      </c>
      <c r="H333">
        <f>'Refrig Mass Flow &amp; Cond kW'!F324*$C$6*($G$17-$G$16)/1000</f>
        <v>0</v>
      </c>
      <c r="I333">
        <f>'Refrig Mass Flow &amp; Cond kW'!F324*(($G$13-$G$14)-$C$6*($G$17-$G$18)/1000)-'Refrig Mass Flow &amp; Cond kW'!E324*(1-$C$6/($G$10+273))</f>
        <v>0</v>
      </c>
    </row>
    <row r="334" spans="2:9" x14ac:dyDescent="0.2">
      <c r="B334" s="2">
        <v>311</v>
      </c>
      <c r="C334">
        <f>'Refrig Mass Flow &amp; Cond kW'!D325*$C$6*(($C$19-$C$18)/1000)</f>
        <v>0.3528114163965026</v>
      </c>
      <c r="D334">
        <f>'Refrig Mass Flow &amp; Cond kW'!D325*Winter!$C$6*((Winter!$C$17-Winter!$C$16)/1000)</f>
        <v>1.1844383264739557</v>
      </c>
      <c r="E334">
        <f>'Refrig Mass Flow &amp; Cond kW'!D325*(($C$13-$C$14)-$C$6*($C$17-$C$18)/1000)-'Refrig Mass Flow &amp; Cond kW'!C325*(1-$C$6/($C$10+273))</f>
        <v>0.33661693263809944</v>
      </c>
      <c r="F334" s="13"/>
      <c r="G334" s="13">
        <f>'Refrig Mass Flow &amp; Cond kW'!F325*$C$6*($G$19-$G$18)/1000</f>
        <v>0</v>
      </c>
      <c r="H334">
        <f>'Refrig Mass Flow &amp; Cond kW'!F325*$C$6*($G$17-$G$16)/1000</f>
        <v>0</v>
      </c>
      <c r="I334">
        <f>'Refrig Mass Flow &amp; Cond kW'!F325*(($G$13-$G$14)-$C$6*($G$17-$G$18)/1000)-'Refrig Mass Flow &amp; Cond kW'!E325*(1-$C$6/($G$10+273))</f>
        <v>0</v>
      </c>
    </row>
    <row r="335" spans="2:9" x14ac:dyDescent="0.2">
      <c r="B335" s="2">
        <v>312</v>
      </c>
      <c r="C335">
        <f>'Refrig Mass Flow &amp; Cond kW'!D326*$C$6*(($C$19-$C$18)/1000)</f>
        <v>0.3277653012665504</v>
      </c>
      <c r="D335">
        <f>'Refrig Mass Flow &amp; Cond kW'!D326*Winter!$C$6*((Winter!$C$17-Winter!$C$16)/1000)</f>
        <v>1.1003549399662602</v>
      </c>
      <c r="E335">
        <f>'Refrig Mass Flow &amp; Cond kW'!D326*(($C$13-$C$14)-$C$6*($C$17-$C$18)/1000)-'Refrig Mass Flow &amp; Cond kW'!C326*(1-$C$6/($C$10+273))</f>
        <v>0.31272046541020693</v>
      </c>
      <c r="F335" s="13"/>
      <c r="G335" s="13">
        <f>'Refrig Mass Flow &amp; Cond kW'!F326*$C$6*($G$19-$G$18)/1000</f>
        <v>0</v>
      </c>
      <c r="H335">
        <f>'Refrig Mass Flow &amp; Cond kW'!F326*$C$6*($G$17-$G$16)/1000</f>
        <v>0</v>
      </c>
      <c r="I335">
        <f>'Refrig Mass Flow &amp; Cond kW'!F326*(($G$13-$G$14)-$C$6*($G$17-$G$18)/1000)-'Refrig Mass Flow &amp; Cond kW'!E326*(1-$C$6/($G$10+273))</f>
        <v>0</v>
      </c>
    </row>
    <row r="336" spans="2:9" x14ac:dyDescent="0.2">
      <c r="B336" s="2">
        <v>313</v>
      </c>
      <c r="C336">
        <f>'Refrig Mass Flow &amp; Cond kW'!D327*$C$6*(($C$19-$C$18)/1000)</f>
        <v>0.30437247013700214</v>
      </c>
      <c r="D336">
        <f>'Refrig Mass Flow &amp; Cond kW'!D327*Winter!$C$6*((Winter!$C$17-Winter!$C$16)/1000)</f>
        <v>1.0218218640313494</v>
      </c>
      <c r="E336">
        <f>'Refrig Mass Flow &amp; Cond kW'!D327*(($C$13-$C$14)-$C$6*($C$17-$C$18)/1000)-'Refrig Mass Flow &amp; Cond kW'!C327*(1-$C$6/($C$10+273))</f>
        <v>0.29040139438643919</v>
      </c>
      <c r="F336" s="13"/>
      <c r="G336" s="13">
        <f>'Refrig Mass Flow &amp; Cond kW'!F327*$C$6*($G$19-$G$18)/1000</f>
        <v>0</v>
      </c>
      <c r="H336">
        <f>'Refrig Mass Flow &amp; Cond kW'!F327*$C$6*($G$17-$G$16)/1000</f>
        <v>0</v>
      </c>
      <c r="I336">
        <f>'Refrig Mass Flow &amp; Cond kW'!F327*(($G$13-$G$14)-$C$6*($G$17-$G$18)/1000)-'Refrig Mass Flow &amp; Cond kW'!E327*(1-$C$6/($G$10+273))</f>
        <v>0</v>
      </c>
    </row>
    <row r="337" spans="2:9" x14ac:dyDescent="0.2">
      <c r="B337" s="2">
        <v>314</v>
      </c>
      <c r="C337">
        <f>'Refrig Mass Flow &amp; Cond kW'!D328*$C$6*(($C$19-$C$18)/1000)</f>
        <v>0.28179587387345167</v>
      </c>
      <c r="D337">
        <f>'Refrig Mass Flow &amp; Cond kW'!D328*Winter!$C$6*((Winter!$C$17-Winter!$C$16)/1000)</f>
        <v>0.94602900514657384</v>
      </c>
      <c r="E337">
        <f>'Refrig Mass Flow &amp; Cond kW'!D328*(($C$13-$C$14)-$C$6*($C$17-$C$18)/1000)-'Refrig Mass Flow &amp; Cond kW'!C328*(1-$C$6/($C$10+273))</f>
        <v>0.26886109203096087</v>
      </c>
      <c r="F337" s="13"/>
      <c r="G337" s="13">
        <f>'Refrig Mass Flow &amp; Cond kW'!F328*$C$6*($G$19-$G$18)/1000</f>
        <v>0</v>
      </c>
      <c r="H337">
        <f>'Refrig Mass Flow &amp; Cond kW'!F328*$C$6*($G$17-$G$16)/1000</f>
        <v>0</v>
      </c>
      <c r="I337">
        <f>'Refrig Mass Flow &amp; Cond kW'!F328*(($G$13-$G$14)-$C$6*($G$17-$G$18)/1000)-'Refrig Mass Flow &amp; Cond kW'!E328*(1-$C$6/($G$10+273))</f>
        <v>0</v>
      </c>
    </row>
    <row r="338" spans="2:9" x14ac:dyDescent="0.2">
      <c r="B338" s="2">
        <v>315</v>
      </c>
      <c r="C338">
        <f>'Refrig Mass Flow &amp; Cond kW'!D329*$C$6*(($C$19-$C$18)/1000)</f>
        <v>0.25836021545835991</v>
      </c>
      <c r="D338">
        <f>'Refrig Mass Flow &amp; Cond kW'!D329*Winter!$C$6*((Winter!$C$17-Winter!$C$16)/1000)</f>
        <v>0.86735215189590975</v>
      </c>
      <c r="E338">
        <f>'Refrig Mass Flow &amp; Cond kW'!D329*(($C$13-$C$14)-$C$6*($C$17-$C$18)/1000)-'Refrig Mass Flow &amp; Cond kW'!C329*(1-$C$6/($C$10+273))</f>
        <v>0.24650115954743601</v>
      </c>
      <c r="F338" s="13"/>
      <c r="G338" s="13">
        <f>'Refrig Mass Flow &amp; Cond kW'!F329*$C$6*($G$19-$G$18)/1000</f>
        <v>0</v>
      </c>
      <c r="H338">
        <f>'Refrig Mass Flow &amp; Cond kW'!F329*$C$6*($G$17-$G$16)/1000</f>
        <v>0</v>
      </c>
      <c r="I338">
        <f>'Refrig Mass Flow &amp; Cond kW'!F329*(($G$13-$G$14)-$C$6*($G$17-$G$18)/1000)-'Refrig Mass Flow &amp; Cond kW'!E329*(1-$C$6/($G$10+273))</f>
        <v>0</v>
      </c>
    </row>
    <row r="339" spans="2:9" x14ac:dyDescent="0.2">
      <c r="B339" s="2">
        <v>316</v>
      </c>
      <c r="C339">
        <f>'Refrig Mass Flow &amp; Cond kW'!D330*$C$6*(($C$19-$C$18)/1000)</f>
        <v>0.23322745203418593</v>
      </c>
      <c r="D339">
        <f>'Refrig Mass Flow &amp; Cond kW'!D330*Winter!$C$6*((Winter!$C$17-Winter!$C$16)/1000)</f>
        <v>0.78297787468618418</v>
      </c>
      <c r="E339">
        <f>'Refrig Mass Flow &amp; Cond kW'!D330*(($C$13-$C$14)-$C$6*($C$17-$C$18)/1000)-'Refrig Mass Flow &amp; Cond kW'!C330*(1-$C$6/($C$10+273))</f>
        <v>0.2225220212900263</v>
      </c>
      <c r="F339" s="13"/>
      <c r="G339" s="13">
        <f>'Refrig Mass Flow &amp; Cond kW'!F330*$C$6*($G$19-$G$18)/1000</f>
        <v>0</v>
      </c>
      <c r="H339">
        <f>'Refrig Mass Flow &amp; Cond kW'!F330*$C$6*($G$17-$G$16)/1000</f>
        <v>0</v>
      </c>
      <c r="I339">
        <f>'Refrig Mass Flow &amp; Cond kW'!F330*(($G$13-$G$14)-$C$6*($G$17-$G$18)/1000)-'Refrig Mass Flow &amp; Cond kW'!E330*(1-$C$6/($G$10+273))</f>
        <v>0</v>
      </c>
    </row>
    <row r="340" spans="2:9" x14ac:dyDescent="0.2">
      <c r="B340" s="2">
        <v>317</v>
      </c>
      <c r="C340">
        <f>'Refrig Mass Flow &amp; Cond kW'!D331*$C$6*(($C$19-$C$18)/1000)</f>
        <v>0.20639719812047647</v>
      </c>
      <c r="D340">
        <f>'Refrig Mass Flow &amp; Cond kW'!D331*Winter!$C$6*((Winter!$C$17-Winter!$C$16)/1000)</f>
        <v>0.69290487940444656</v>
      </c>
      <c r="E340">
        <f>'Refrig Mass Flow &amp; Cond kW'!D331*(($C$13-$C$14)-$C$6*($C$17-$C$18)/1000)-'Refrig Mass Flow &amp; Cond kW'!C331*(1-$C$6/($C$10+273))</f>
        <v>0.1969233094723104</v>
      </c>
      <c r="F340" s="13"/>
      <c r="G340" s="13">
        <f>'Refrig Mass Flow &amp; Cond kW'!F331*$C$6*($G$19-$G$18)/1000</f>
        <v>0</v>
      </c>
      <c r="H340">
        <f>'Refrig Mass Flow &amp; Cond kW'!F331*$C$6*($G$17-$G$16)/1000</f>
        <v>0</v>
      </c>
      <c r="I340">
        <f>'Refrig Mass Flow &amp; Cond kW'!F331*(($G$13-$G$14)-$C$6*($G$17-$G$18)/1000)-'Refrig Mass Flow &amp; Cond kW'!E331*(1-$C$6/($G$10+273))</f>
        <v>0</v>
      </c>
    </row>
    <row r="341" spans="2:9" x14ac:dyDescent="0.2">
      <c r="B341" s="2">
        <v>318</v>
      </c>
      <c r="C341">
        <f>'Refrig Mass Flow &amp; Cond kW'!D332*$C$6*(($C$19-$C$18)/1000)</f>
        <v>0</v>
      </c>
      <c r="D341">
        <f>'Refrig Mass Flow &amp; Cond kW'!D332*Winter!$C$6*((Winter!$C$17-Winter!$C$16)/1000)</f>
        <v>0</v>
      </c>
      <c r="E341">
        <f>'Refrig Mass Flow &amp; Cond kW'!D332*(($C$13-$C$14)-$C$6*($C$17-$C$18)/1000)-'Refrig Mass Flow &amp; Cond kW'!C332*(1-$C$6/($C$10+273))</f>
        <v>0</v>
      </c>
      <c r="F341" s="13"/>
      <c r="G341" s="13">
        <f>'Refrig Mass Flow &amp; Cond kW'!F332*$C$6*($G$19-$G$18)/1000</f>
        <v>0</v>
      </c>
      <c r="H341">
        <f>'Refrig Mass Flow &amp; Cond kW'!F332*$C$6*($G$17-$G$16)/1000</f>
        <v>0</v>
      </c>
      <c r="I341">
        <f>'Refrig Mass Flow &amp; Cond kW'!F332*(($G$13-$G$14)-$C$6*($G$17-$G$18)/1000)-'Refrig Mass Flow &amp; Cond kW'!E332*(1-$C$6/($G$10+273))</f>
        <v>0</v>
      </c>
    </row>
    <row r="342" spans="2:9" x14ac:dyDescent="0.2">
      <c r="B342" s="2">
        <v>319</v>
      </c>
      <c r="C342">
        <f>'Refrig Mass Flow &amp; Cond kW'!D333*$C$6*(($C$19-$C$18)/1000)</f>
        <v>0</v>
      </c>
      <c r="D342">
        <f>'Refrig Mass Flow &amp; Cond kW'!D333*Winter!$C$6*((Winter!$C$17-Winter!$C$16)/1000)</f>
        <v>0</v>
      </c>
      <c r="E342">
        <f>'Refrig Mass Flow &amp; Cond kW'!D333*(($C$13-$C$14)-$C$6*($C$17-$C$18)/1000)-'Refrig Mass Flow &amp; Cond kW'!C333*(1-$C$6/($C$10+273))</f>
        <v>0</v>
      </c>
      <c r="F342" s="13"/>
      <c r="G342" s="13">
        <f>'Refrig Mass Flow &amp; Cond kW'!F333*$C$6*($G$19-$G$18)/1000</f>
        <v>0</v>
      </c>
      <c r="H342">
        <f>'Refrig Mass Flow &amp; Cond kW'!F333*$C$6*($G$17-$G$16)/1000</f>
        <v>0</v>
      </c>
      <c r="I342">
        <f>'Refrig Mass Flow &amp; Cond kW'!F333*(($G$13-$G$14)-$C$6*($G$17-$G$18)/1000)-'Refrig Mass Flow &amp; Cond kW'!E333*(1-$C$6/($G$10+273))</f>
        <v>0</v>
      </c>
    </row>
    <row r="343" spans="2:9" x14ac:dyDescent="0.2">
      <c r="B343" s="2">
        <v>320</v>
      </c>
      <c r="C343">
        <f>'Refrig Mass Flow &amp; Cond kW'!D334*$C$6*(($C$19-$C$18)/1000)</f>
        <v>0</v>
      </c>
      <c r="D343">
        <f>'Refrig Mass Flow &amp; Cond kW'!D334*Winter!$C$6*((Winter!$C$17-Winter!$C$16)/1000)</f>
        <v>0</v>
      </c>
      <c r="E343">
        <f>'Refrig Mass Flow &amp; Cond kW'!D334*(($C$13-$C$14)-$C$6*($C$17-$C$18)/1000)-'Refrig Mass Flow &amp; Cond kW'!C334*(1-$C$6/($C$10+273))</f>
        <v>0</v>
      </c>
      <c r="F343" s="13"/>
      <c r="G343" s="13">
        <f>'Refrig Mass Flow &amp; Cond kW'!F334*$C$6*($G$19-$G$18)/1000</f>
        <v>0</v>
      </c>
      <c r="H343">
        <f>'Refrig Mass Flow &amp; Cond kW'!F334*$C$6*($G$17-$G$16)/1000</f>
        <v>0</v>
      </c>
      <c r="I343">
        <f>'Refrig Mass Flow &amp; Cond kW'!F334*(($G$13-$G$14)-$C$6*($G$17-$G$18)/1000)-'Refrig Mass Flow &amp; Cond kW'!E334*(1-$C$6/($G$10+273))</f>
        <v>0</v>
      </c>
    </row>
    <row r="344" spans="2:9" x14ac:dyDescent="0.2">
      <c r="B344" s="2">
        <v>321</v>
      </c>
      <c r="C344">
        <f>'Refrig Mass Flow &amp; Cond kW'!D335*$C$6*(($C$19-$C$18)/1000)</f>
        <v>0</v>
      </c>
      <c r="D344">
        <f>'Refrig Mass Flow &amp; Cond kW'!D335*Winter!$C$6*((Winter!$C$17-Winter!$C$16)/1000)</f>
        <v>0</v>
      </c>
      <c r="E344">
        <f>'Refrig Mass Flow &amp; Cond kW'!D335*(($C$13-$C$14)-$C$6*($C$17-$C$18)/1000)-'Refrig Mass Flow &amp; Cond kW'!C335*(1-$C$6/($C$10+273))</f>
        <v>0</v>
      </c>
      <c r="F344" s="13"/>
      <c r="G344" s="13">
        <f>'Refrig Mass Flow &amp; Cond kW'!F335*$C$6*($G$19-$G$18)/1000</f>
        <v>0</v>
      </c>
      <c r="H344">
        <f>'Refrig Mass Flow &amp; Cond kW'!F335*$C$6*($G$17-$G$16)/1000</f>
        <v>0</v>
      </c>
      <c r="I344">
        <f>'Refrig Mass Flow &amp; Cond kW'!F335*(($G$13-$G$14)-$C$6*($G$17-$G$18)/1000)-'Refrig Mass Flow &amp; Cond kW'!E335*(1-$C$6/($G$10+273))</f>
        <v>0</v>
      </c>
    </row>
    <row r="345" spans="2:9" x14ac:dyDescent="0.2">
      <c r="B345" s="2">
        <v>322</v>
      </c>
      <c r="C345">
        <f>'Refrig Mass Flow &amp; Cond kW'!D336*$C$6*(($C$19-$C$18)/1000)</f>
        <v>0</v>
      </c>
      <c r="D345">
        <f>'Refrig Mass Flow &amp; Cond kW'!D336*Winter!$C$6*((Winter!$C$17-Winter!$C$16)/1000)</f>
        <v>0</v>
      </c>
      <c r="E345">
        <f>'Refrig Mass Flow &amp; Cond kW'!D336*(($C$13-$C$14)-$C$6*($C$17-$C$18)/1000)-'Refrig Mass Flow &amp; Cond kW'!C336*(1-$C$6/($C$10+273))</f>
        <v>0</v>
      </c>
      <c r="F345" s="13"/>
      <c r="G345" s="13">
        <f>'Refrig Mass Flow &amp; Cond kW'!F336*$C$6*($G$19-$G$18)/1000</f>
        <v>0</v>
      </c>
      <c r="H345">
        <f>'Refrig Mass Flow &amp; Cond kW'!F336*$C$6*($G$17-$G$16)/1000</f>
        <v>0</v>
      </c>
      <c r="I345">
        <f>'Refrig Mass Flow &amp; Cond kW'!F336*(($G$13-$G$14)-$C$6*($G$17-$G$18)/1000)-'Refrig Mass Flow &amp; Cond kW'!E336*(1-$C$6/($G$10+273))</f>
        <v>0</v>
      </c>
    </row>
    <row r="346" spans="2:9" x14ac:dyDescent="0.2">
      <c r="B346" s="2">
        <v>323</v>
      </c>
      <c r="C346">
        <f>'Refrig Mass Flow &amp; Cond kW'!D337*$C$6*(($C$19-$C$18)/1000)</f>
        <v>0</v>
      </c>
      <c r="D346">
        <f>'Refrig Mass Flow &amp; Cond kW'!D337*Winter!$C$6*((Winter!$C$17-Winter!$C$16)/1000)</f>
        <v>0</v>
      </c>
      <c r="E346">
        <f>'Refrig Mass Flow &amp; Cond kW'!D337*(($C$13-$C$14)-$C$6*($C$17-$C$18)/1000)-'Refrig Mass Flow &amp; Cond kW'!C337*(1-$C$6/($C$10+273))</f>
        <v>0</v>
      </c>
      <c r="F346" s="13"/>
      <c r="G346" s="13">
        <f>'Refrig Mass Flow &amp; Cond kW'!F337*$C$6*($G$19-$G$18)/1000</f>
        <v>0</v>
      </c>
      <c r="H346">
        <f>'Refrig Mass Flow &amp; Cond kW'!F337*$C$6*($G$17-$G$16)/1000</f>
        <v>0</v>
      </c>
      <c r="I346">
        <f>'Refrig Mass Flow &amp; Cond kW'!F337*(($G$13-$G$14)-$C$6*($G$17-$G$18)/1000)-'Refrig Mass Flow &amp; Cond kW'!E337*(1-$C$6/($G$10+273))</f>
        <v>0</v>
      </c>
    </row>
    <row r="347" spans="2:9" x14ac:dyDescent="0.2">
      <c r="B347" s="2">
        <v>324</v>
      </c>
      <c r="C347">
        <f>'Refrig Mass Flow &amp; Cond kW'!D338*$C$6*(($C$19-$C$18)/1000)</f>
        <v>0</v>
      </c>
      <c r="D347">
        <f>'Refrig Mass Flow &amp; Cond kW'!D338*Winter!$C$6*((Winter!$C$17-Winter!$C$16)/1000)</f>
        <v>0</v>
      </c>
      <c r="E347">
        <f>'Refrig Mass Flow &amp; Cond kW'!D338*(($C$13-$C$14)-$C$6*($C$17-$C$18)/1000)-'Refrig Mass Flow &amp; Cond kW'!C338*(1-$C$6/($C$10+273))</f>
        <v>0</v>
      </c>
      <c r="F347" s="13"/>
      <c r="G347" s="13">
        <f>'Refrig Mass Flow &amp; Cond kW'!F338*$C$6*($G$19-$G$18)/1000</f>
        <v>0</v>
      </c>
      <c r="H347">
        <f>'Refrig Mass Flow &amp; Cond kW'!F338*$C$6*($G$17-$G$16)/1000</f>
        <v>0</v>
      </c>
      <c r="I347">
        <f>'Refrig Mass Flow &amp; Cond kW'!F338*(($G$13-$G$14)-$C$6*($G$17-$G$18)/1000)-'Refrig Mass Flow &amp; Cond kW'!E338*(1-$C$6/($G$10+273))</f>
        <v>0</v>
      </c>
    </row>
    <row r="348" spans="2:9" x14ac:dyDescent="0.2">
      <c r="B348" s="2">
        <v>325</v>
      </c>
      <c r="C348">
        <f>'Refrig Mass Flow &amp; Cond kW'!D339*$C$6*(($C$19-$C$18)/1000)</f>
        <v>0</v>
      </c>
      <c r="D348">
        <f>'Refrig Mass Flow &amp; Cond kW'!D339*Winter!$C$6*((Winter!$C$17-Winter!$C$16)/1000)</f>
        <v>0</v>
      </c>
      <c r="E348">
        <f>'Refrig Mass Flow &amp; Cond kW'!D339*(($C$13-$C$14)-$C$6*($C$17-$C$18)/1000)-'Refrig Mass Flow &amp; Cond kW'!C339*(1-$C$6/($C$10+273))</f>
        <v>0</v>
      </c>
      <c r="F348" s="13"/>
      <c r="G348" s="13">
        <f>'Refrig Mass Flow &amp; Cond kW'!F339*$C$6*($G$19-$G$18)/1000</f>
        <v>0</v>
      </c>
      <c r="H348">
        <f>'Refrig Mass Flow &amp; Cond kW'!F339*$C$6*($G$17-$G$16)/1000</f>
        <v>0</v>
      </c>
      <c r="I348">
        <f>'Refrig Mass Flow &amp; Cond kW'!F339*(($G$13-$G$14)-$C$6*($G$17-$G$18)/1000)-'Refrig Mass Flow &amp; Cond kW'!E339*(1-$C$6/($G$10+273))</f>
        <v>0</v>
      </c>
    </row>
    <row r="349" spans="2:9" x14ac:dyDescent="0.2">
      <c r="B349" s="2">
        <v>326</v>
      </c>
      <c r="C349">
        <f>'Refrig Mass Flow &amp; Cond kW'!D340*$C$6*(($C$19-$C$18)/1000)</f>
        <v>0</v>
      </c>
      <c r="D349">
        <f>'Refrig Mass Flow &amp; Cond kW'!D340*Winter!$C$6*((Winter!$C$17-Winter!$C$16)/1000)</f>
        <v>0</v>
      </c>
      <c r="E349">
        <f>'Refrig Mass Flow &amp; Cond kW'!D340*(($C$13-$C$14)-$C$6*($C$17-$C$18)/1000)-'Refrig Mass Flow &amp; Cond kW'!C340*(1-$C$6/($C$10+273))</f>
        <v>0</v>
      </c>
      <c r="F349" s="13"/>
      <c r="G349" s="13">
        <f>'Refrig Mass Flow &amp; Cond kW'!F340*$C$6*($G$19-$G$18)/1000</f>
        <v>0</v>
      </c>
      <c r="H349">
        <f>'Refrig Mass Flow &amp; Cond kW'!F340*$C$6*($G$17-$G$16)/1000</f>
        <v>0</v>
      </c>
      <c r="I349">
        <f>'Refrig Mass Flow &amp; Cond kW'!F340*(($G$13-$G$14)-$C$6*($G$17-$G$18)/1000)-'Refrig Mass Flow &amp; Cond kW'!E340*(1-$C$6/($G$10+273))</f>
        <v>0</v>
      </c>
    </row>
    <row r="350" spans="2:9" x14ac:dyDescent="0.2">
      <c r="B350" s="2">
        <v>327</v>
      </c>
      <c r="C350">
        <f>'Refrig Mass Flow &amp; Cond kW'!D341*$C$6*(($C$19-$C$18)/1000)</f>
        <v>0</v>
      </c>
      <c r="D350">
        <f>'Refrig Mass Flow &amp; Cond kW'!D341*Winter!$C$6*((Winter!$C$17-Winter!$C$16)/1000)</f>
        <v>0</v>
      </c>
      <c r="E350">
        <f>'Refrig Mass Flow &amp; Cond kW'!D341*(($C$13-$C$14)-$C$6*($C$17-$C$18)/1000)-'Refrig Mass Flow &amp; Cond kW'!C341*(1-$C$6/($C$10+273))</f>
        <v>0</v>
      </c>
      <c r="F350" s="13"/>
      <c r="G350" s="13">
        <f>'Refrig Mass Flow &amp; Cond kW'!F341*$C$6*($G$19-$G$18)/1000</f>
        <v>0</v>
      </c>
      <c r="H350">
        <f>'Refrig Mass Flow &amp; Cond kW'!F341*$C$6*($G$17-$G$16)/1000</f>
        <v>0</v>
      </c>
      <c r="I350">
        <f>'Refrig Mass Flow &amp; Cond kW'!F341*(($G$13-$G$14)-$C$6*($G$17-$G$18)/1000)-'Refrig Mass Flow &amp; Cond kW'!E341*(1-$C$6/($G$10+273))</f>
        <v>0</v>
      </c>
    </row>
    <row r="351" spans="2:9" x14ac:dyDescent="0.2">
      <c r="B351" s="2">
        <v>328</v>
      </c>
      <c r="C351">
        <f>'Refrig Mass Flow &amp; Cond kW'!D342*$C$6*(($C$19-$C$18)/1000)</f>
        <v>0</v>
      </c>
      <c r="D351">
        <f>'Refrig Mass Flow &amp; Cond kW'!D342*Winter!$C$6*((Winter!$C$17-Winter!$C$16)/1000)</f>
        <v>0</v>
      </c>
      <c r="E351">
        <f>'Refrig Mass Flow &amp; Cond kW'!D342*(($C$13-$C$14)-$C$6*($C$17-$C$18)/1000)-'Refrig Mass Flow &amp; Cond kW'!C342*(1-$C$6/($C$10+273))</f>
        <v>0</v>
      </c>
      <c r="F351" s="13"/>
      <c r="G351" s="13">
        <f>'Refrig Mass Flow &amp; Cond kW'!F342*$C$6*($G$19-$G$18)/1000</f>
        <v>0</v>
      </c>
      <c r="H351">
        <f>'Refrig Mass Flow &amp; Cond kW'!F342*$C$6*($G$17-$G$16)/1000</f>
        <v>0</v>
      </c>
      <c r="I351">
        <f>'Refrig Mass Flow &amp; Cond kW'!F342*(($G$13-$G$14)-$C$6*($G$17-$G$18)/1000)-'Refrig Mass Flow &amp; Cond kW'!E342*(1-$C$6/($G$10+273))</f>
        <v>0</v>
      </c>
    </row>
    <row r="352" spans="2:9" x14ac:dyDescent="0.2">
      <c r="B352" s="2">
        <v>329</v>
      </c>
      <c r="C352">
        <f>'Refrig Mass Flow &amp; Cond kW'!D343*$C$6*(($C$19-$C$18)/1000)</f>
        <v>0</v>
      </c>
      <c r="D352">
        <f>'Refrig Mass Flow &amp; Cond kW'!D343*Winter!$C$6*((Winter!$C$17-Winter!$C$16)/1000)</f>
        <v>0</v>
      </c>
      <c r="E352">
        <f>'Refrig Mass Flow &amp; Cond kW'!D343*(($C$13-$C$14)-$C$6*($C$17-$C$18)/1000)-'Refrig Mass Flow &amp; Cond kW'!C343*(1-$C$6/($C$10+273))</f>
        <v>0</v>
      </c>
      <c r="F352" s="13"/>
      <c r="G352" s="13">
        <f>'Refrig Mass Flow &amp; Cond kW'!F343*$C$6*($G$19-$G$18)/1000</f>
        <v>0</v>
      </c>
      <c r="H352">
        <f>'Refrig Mass Flow &amp; Cond kW'!F343*$C$6*($G$17-$G$16)/1000</f>
        <v>0</v>
      </c>
      <c r="I352">
        <f>'Refrig Mass Flow &amp; Cond kW'!F343*(($G$13-$G$14)-$C$6*($G$17-$G$18)/1000)-'Refrig Mass Flow &amp; Cond kW'!E343*(1-$C$6/($G$10+273))</f>
        <v>0</v>
      </c>
    </row>
    <row r="353" spans="2:9" x14ac:dyDescent="0.2">
      <c r="B353" s="2">
        <v>330</v>
      </c>
      <c r="C353">
        <f>'Refrig Mass Flow &amp; Cond kW'!D344*$C$6*(($C$19-$C$18)/1000)</f>
        <v>0</v>
      </c>
      <c r="D353">
        <f>'Refrig Mass Flow &amp; Cond kW'!D344*Winter!$C$6*((Winter!$C$17-Winter!$C$16)/1000)</f>
        <v>0</v>
      </c>
      <c r="E353">
        <f>'Refrig Mass Flow &amp; Cond kW'!D344*(($C$13-$C$14)-$C$6*($C$17-$C$18)/1000)-'Refrig Mass Flow &amp; Cond kW'!C344*(1-$C$6/($C$10+273))</f>
        <v>0</v>
      </c>
      <c r="F353" s="13"/>
      <c r="G353" s="13">
        <f>'Refrig Mass Flow &amp; Cond kW'!F344*$C$6*($G$19-$G$18)/1000</f>
        <v>2.0573907587585042E-2</v>
      </c>
      <c r="H353">
        <f>'Refrig Mass Flow &amp; Cond kW'!F344*$C$6*($G$17-$G$16)/1000</f>
        <v>0.12828436495787865</v>
      </c>
      <c r="I353">
        <f>'Refrig Mass Flow &amp; Cond kW'!F344*(($G$13-$G$14)-$C$6*($G$17-$G$18)/1000)-'Refrig Mass Flow &amp; Cond kW'!E344*(1-$C$6/($G$10+273))</f>
        <v>5.677995084220544E-2</v>
      </c>
    </row>
    <row r="354" spans="2:9" x14ac:dyDescent="0.2">
      <c r="B354" s="2">
        <v>331</v>
      </c>
      <c r="C354">
        <f>'Refrig Mass Flow &amp; Cond kW'!D345*$C$6*(($C$19-$C$18)/1000)</f>
        <v>0</v>
      </c>
      <c r="D354">
        <f>'Refrig Mass Flow &amp; Cond kW'!D345*Winter!$C$6*((Winter!$C$17-Winter!$C$16)/1000)</f>
        <v>0</v>
      </c>
      <c r="E354">
        <f>'Refrig Mass Flow &amp; Cond kW'!D345*(($C$13-$C$14)-$C$6*($C$17-$C$18)/1000)-'Refrig Mass Flow &amp; Cond kW'!C345*(1-$C$6/($C$10+273))</f>
        <v>0</v>
      </c>
      <c r="F354" s="13"/>
      <c r="G354" s="13">
        <f>'Refrig Mass Flow &amp; Cond kW'!F345*$C$6*($G$19-$G$18)/1000</f>
        <v>4.9040758371768016E-2</v>
      </c>
      <c r="H354">
        <f>'Refrig Mass Flow &amp; Cond kW'!F345*$C$6*($G$17-$G$16)/1000</f>
        <v>0.30578355220042502</v>
      </c>
      <c r="I354">
        <f>'Refrig Mass Flow &amp; Cond kW'!F345*(($G$13-$G$14)-$C$6*($G$17-$G$18)/1000)-'Refrig Mass Flow &amp; Cond kW'!E345*(1-$C$6/($G$10+273))</f>
        <v>0.13534287727109939</v>
      </c>
    </row>
    <row r="355" spans="2:9" x14ac:dyDescent="0.2">
      <c r="B355" s="2">
        <v>332</v>
      </c>
      <c r="C355">
        <f>'Refrig Mass Flow &amp; Cond kW'!D346*$C$6*(($C$19-$C$18)/1000)</f>
        <v>0</v>
      </c>
      <c r="D355">
        <f>'Refrig Mass Flow &amp; Cond kW'!D346*Winter!$C$6*((Winter!$C$17-Winter!$C$16)/1000)</f>
        <v>0</v>
      </c>
      <c r="E355">
        <f>'Refrig Mass Flow &amp; Cond kW'!D346*(($C$13-$C$14)-$C$6*($C$17-$C$18)/1000)-'Refrig Mass Flow &amp; Cond kW'!C346*(1-$C$6/($C$10+273))</f>
        <v>0</v>
      </c>
      <c r="F355" s="13"/>
      <c r="G355" s="13">
        <f>'Refrig Mass Flow &amp; Cond kW'!F346*$C$6*($G$19-$G$18)/1000</f>
        <v>7.7501279071531065E-2</v>
      </c>
      <c r="H355">
        <f>'Refrig Mass Flow &amp; Cond kW'!F346*$C$6*($G$17-$G$16)/1000</f>
        <v>0.48324326950482366</v>
      </c>
      <c r="I355">
        <f>'Refrig Mass Flow &amp; Cond kW'!F346*(($G$13-$G$14)-$C$6*($G$17-$G$18)/1000)-'Refrig Mass Flow &amp; Cond kW'!E346*(1-$C$6/($G$10+273))</f>
        <v>0.21388833390818718</v>
      </c>
    </row>
    <row r="356" spans="2:9" x14ac:dyDescent="0.2">
      <c r="B356" s="2">
        <v>333</v>
      </c>
      <c r="C356">
        <f>'Refrig Mass Flow &amp; Cond kW'!D347*$C$6*(($C$19-$C$18)/1000)</f>
        <v>0</v>
      </c>
      <c r="D356">
        <f>'Refrig Mass Flow &amp; Cond kW'!D347*Winter!$C$6*((Winter!$C$17-Winter!$C$16)/1000)</f>
        <v>0</v>
      </c>
      <c r="E356">
        <f>'Refrig Mass Flow &amp; Cond kW'!D347*(($C$13-$C$14)-$C$6*($C$17-$C$18)/1000)-'Refrig Mass Flow &amp; Cond kW'!C347*(1-$C$6/($C$10+273))</f>
        <v>0</v>
      </c>
      <c r="F356" s="13"/>
      <c r="G356" s="13">
        <f>'Refrig Mass Flow &amp; Cond kW'!F347*$C$6*($G$19-$G$18)/1000</f>
        <v>0.1060543860504059</v>
      </c>
      <c r="H356">
        <f>'Refrig Mass Flow &amp; Cond kW'!F347*$C$6*($G$17-$G$16)/1000</f>
        <v>0.6612802894907428</v>
      </c>
      <c r="I356">
        <f>'Refrig Mass Flow &amp; Cond kW'!F347*(($G$13-$G$14)-$C$6*($G$17-$G$18)/1000)-'Refrig Mass Flow &amp; Cond kW'!E347*(1-$C$6/($G$10+273))</f>
        <v>0.29268931052145097</v>
      </c>
    </row>
    <row r="357" spans="2:9" x14ac:dyDescent="0.2">
      <c r="B357" s="2">
        <v>334</v>
      </c>
      <c r="C357">
        <f>'Refrig Mass Flow &amp; Cond kW'!D348*$C$6*(($C$19-$C$18)/1000)</f>
        <v>0</v>
      </c>
      <c r="D357">
        <f>'Refrig Mass Flow &amp; Cond kW'!D348*Winter!$C$6*((Winter!$C$17-Winter!$C$16)/1000)</f>
        <v>0</v>
      </c>
      <c r="E357">
        <f>'Refrig Mass Flow &amp; Cond kW'!D348*(($C$13-$C$14)-$C$6*($C$17-$C$18)/1000)-'Refrig Mass Flow &amp; Cond kW'!C348*(1-$C$6/($C$10+273))</f>
        <v>0</v>
      </c>
      <c r="F357" s="13"/>
      <c r="G357" s="13">
        <f>'Refrig Mass Flow &amp; Cond kW'!F348*$C$6*($G$19-$G$18)/1000</f>
        <v>0.13474135512378688</v>
      </c>
      <c r="H357">
        <f>'Refrig Mass Flow &amp; Cond kW'!F348*$C$6*($G$17-$G$16)/1000</f>
        <v>0.84015197900711203</v>
      </c>
      <c r="I357">
        <f>'Refrig Mass Flow &amp; Cond kW'!F348*(($G$13-$G$14)-$C$6*($G$17-$G$18)/1000)-'Refrig Mass Flow &amp; Cond kW'!E348*(1-$C$6/($G$10+273))</f>
        <v>0.37185972026808312</v>
      </c>
    </row>
    <row r="358" spans="2:9" x14ac:dyDescent="0.2">
      <c r="B358" s="2">
        <v>335</v>
      </c>
      <c r="C358">
        <f>'Refrig Mass Flow &amp; Cond kW'!D349*$C$6*(($C$19-$C$18)/1000)</f>
        <v>0</v>
      </c>
      <c r="D358">
        <f>'Refrig Mass Flow &amp; Cond kW'!D349*Winter!$C$6*((Winter!$C$17-Winter!$C$16)/1000)</f>
        <v>0</v>
      </c>
      <c r="E358">
        <f>'Refrig Mass Flow &amp; Cond kW'!D349*(($C$13-$C$14)-$C$6*($C$17-$C$18)/1000)-'Refrig Mass Flow &amp; Cond kW'!C349*(1-$C$6/($C$10+273))</f>
        <v>0</v>
      </c>
      <c r="F358" s="13"/>
      <c r="G358" s="13">
        <f>'Refrig Mass Flow &amp; Cond kW'!F349*$C$6*($G$19-$G$18)/1000</f>
        <v>0.16357651781397217</v>
      </c>
      <c r="H358">
        <f>'Refrig Mass Flow &amp; Cond kW'!F349*$C$6*($G$17-$G$16)/1000</f>
        <v>1.0199476993106138</v>
      </c>
      <c r="I358">
        <f>'Refrig Mass Flow &amp; Cond kW'!F349*(($G$13-$G$14)-$C$6*($G$17-$G$18)/1000)-'Refrig Mass Flow &amp; Cond kW'!E349*(1-$C$6/($G$10+273))</f>
        <v>0.45143911533952252</v>
      </c>
    </row>
    <row r="359" spans="2:9" x14ac:dyDescent="0.2">
      <c r="B359" s="2">
        <v>336</v>
      </c>
      <c r="C359">
        <f>'Refrig Mass Flow &amp; Cond kW'!D350*$C$6*(($C$19-$C$18)/1000)</f>
        <v>0</v>
      </c>
      <c r="D359">
        <f>'Refrig Mass Flow &amp; Cond kW'!D350*Winter!$C$6*((Winter!$C$17-Winter!$C$16)/1000)</f>
        <v>0</v>
      </c>
      <c r="E359">
        <f>'Refrig Mass Flow &amp; Cond kW'!D350*(($C$13-$C$14)-$C$6*($C$17-$C$18)/1000)-'Refrig Mass Flow &amp; Cond kW'!C350*(1-$C$6/($C$10+273))</f>
        <v>0</v>
      </c>
      <c r="F359" s="13"/>
      <c r="G359" s="13">
        <f>'Refrig Mass Flow &amp; Cond kW'!F350*$C$6*($G$19-$G$18)/1000</f>
        <v>0.19223799739480621</v>
      </c>
      <c r="H359">
        <f>'Refrig Mass Flow &amp; Cond kW'!F350*$C$6*($G$17-$G$16)/1000</f>
        <v>1.1986604543440433</v>
      </c>
      <c r="I359">
        <f>'Refrig Mass Flow &amp; Cond kW'!F350*(($G$13-$G$14)-$C$6*($G$17-$G$18)/1000)-'Refrig Mass Flow &amp; Cond kW'!E350*(1-$C$6/($G$10+273))</f>
        <v>0.53053917908466364</v>
      </c>
    </row>
    <row r="360" spans="2:9" x14ac:dyDescent="0.2">
      <c r="B360" s="2">
        <v>337</v>
      </c>
      <c r="C360">
        <f>'Refrig Mass Flow &amp; Cond kW'!D351*$C$6*(($C$19-$C$18)/1000)</f>
        <v>0</v>
      </c>
      <c r="D360">
        <f>'Refrig Mass Flow &amp; Cond kW'!D351*Winter!$C$6*((Winter!$C$17-Winter!$C$16)/1000)</f>
        <v>0</v>
      </c>
      <c r="E360">
        <f>'Refrig Mass Flow &amp; Cond kW'!D351*(($C$13-$C$14)-$C$6*($C$17-$C$18)/1000)-'Refrig Mass Flow &amp; Cond kW'!C351*(1-$C$6/($C$10+273))</f>
        <v>0</v>
      </c>
      <c r="F360" s="13"/>
      <c r="G360" s="13">
        <f>'Refrig Mass Flow &amp; Cond kW'!F351*$C$6*($G$19-$G$18)/1000</f>
        <v>0.22087730805841521</v>
      </c>
      <c r="H360">
        <f>'Refrig Mass Flow &amp; Cond kW'!F351*$C$6*($G$17-$G$16)/1000</f>
        <v>1.377234979658305</v>
      </c>
      <c r="I360">
        <f>'Refrig Mass Flow &amp; Cond kW'!F351*(($G$13-$G$14)-$C$6*($G$17-$G$18)/1000)-'Refrig Mass Flow &amp; Cond kW'!E351*(1-$C$6/($G$10+273))</f>
        <v>0.60957806096511202</v>
      </c>
    </row>
    <row r="361" spans="2:9" x14ac:dyDescent="0.2">
      <c r="B361" s="2">
        <v>338</v>
      </c>
      <c r="C361">
        <f>'Refrig Mass Flow &amp; Cond kW'!D352*$C$6*(($C$19-$C$18)/1000)</f>
        <v>0</v>
      </c>
      <c r="D361">
        <f>'Refrig Mass Flow &amp; Cond kW'!D352*Winter!$C$6*((Winter!$C$17-Winter!$C$16)/1000)</f>
        <v>0</v>
      </c>
      <c r="E361">
        <f>'Refrig Mass Flow &amp; Cond kW'!D352*(($C$13-$C$14)-$C$6*($C$17-$C$18)/1000)-'Refrig Mass Flow &amp; Cond kW'!C352*(1-$C$6/($C$10+273))</f>
        <v>0</v>
      </c>
      <c r="F361" s="13"/>
      <c r="G361" s="13">
        <f>'Refrig Mass Flow &amp; Cond kW'!F352*$C$6*($G$19-$G$18)/1000</f>
        <v>0.24949182847482504</v>
      </c>
      <c r="H361">
        <f>'Refrig Mass Flow &amp; Cond kW'!F352*$C$6*($G$17-$G$16)/1000</f>
        <v>1.5556549304900307</v>
      </c>
      <c r="I361">
        <f>'Refrig Mass Flow &amp; Cond kW'!F352*(($G$13-$G$14)-$C$6*($G$17-$G$18)/1000)-'Refrig Mass Flow &amp; Cond kW'!E352*(1-$C$6/($G$10+273))</f>
        <v>0.68854852662411936</v>
      </c>
    </row>
    <row r="362" spans="2:9" x14ac:dyDescent="0.2">
      <c r="B362" s="2">
        <v>339</v>
      </c>
      <c r="C362">
        <f>'Refrig Mass Flow &amp; Cond kW'!D353*$C$6*(($C$19-$C$18)/1000)</f>
        <v>0</v>
      </c>
      <c r="D362">
        <f>'Refrig Mass Flow &amp; Cond kW'!D353*Winter!$C$6*((Winter!$C$17-Winter!$C$16)/1000)</f>
        <v>0</v>
      </c>
      <c r="E362">
        <f>'Refrig Mass Flow &amp; Cond kW'!D353*(($C$13-$C$14)-$C$6*($C$17-$C$18)/1000)-'Refrig Mass Flow &amp; Cond kW'!C353*(1-$C$6/($C$10+273))</f>
        <v>0</v>
      </c>
      <c r="F362" s="13"/>
      <c r="G362" s="13">
        <f>'Refrig Mass Flow &amp; Cond kW'!F353*$C$6*($G$19-$G$18)/1000</f>
        <v>0.27807894000226868</v>
      </c>
      <c r="H362">
        <f>'Refrig Mass Flow &amp; Cond kW'!F353*$C$6*($G$17-$G$16)/1000</f>
        <v>1.7339039788376138</v>
      </c>
      <c r="I362">
        <f>'Refrig Mass Flow &amp; Cond kW'!F353*(($G$13-$G$14)-$C$6*($G$17-$G$18)/1000)-'Refrig Mass Flow &amp; Cond kW'!E353*(1-$C$6/($G$10+273))</f>
        <v>0.76744334912387657</v>
      </c>
    </row>
    <row r="363" spans="2:9" x14ac:dyDescent="0.2">
      <c r="B363" s="2">
        <v>340</v>
      </c>
      <c r="C363">
        <f>'Refrig Mass Flow &amp; Cond kW'!D354*$C$6*(($C$19-$C$18)/1000)</f>
        <v>0</v>
      </c>
      <c r="D363">
        <f>'Refrig Mass Flow &amp; Cond kW'!D354*Winter!$C$6*((Winter!$C$17-Winter!$C$16)/1000)</f>
        <v>0</v>
      </c>
      <c r="E363">
        <f>'Refrig Mass Flow &amp; Cond kW'!D354*(($C$13-$C$14)-$C$6*($C$17-$C$18)/1000)-'Refrig Mass Flow &amp; Cond kW'!C354*(1-$C$6/($C$10+273))</f>
        <v>0</v>
      </c>
      <c r="F363" s="13"/>
      <c r="G363" s="13">
        <f>'Refrig Mass Flow &amp; Cond kW'!F354*$C$6*($G$19-$G$18)/1000</f>
        <v>0.30663602692676184</v>
      </c>
      <c r="H363">
        <f>'Refrig Mass Flow &amp; Cond kW'!F354*$C$6*($G$17-$G$16)/1000</f>
        <v>1.9119658149550356</v>
      </c>
      <c r="I363">
        <f>'Refrig Mass Flow &amp; Cond kW'!F354*(($G$13-$G$14)-$C$6*($G$17-$G$18)/1000)-'Refrig Mass Flow &amp; Cond kW'!E354*(1-$C$6/($G$10+273))</f>
        <v>0.84625530960666495</v>
      </c>
    </row>
    <row r="364" spans="2:9" x14ac:dyDescent="0.2">
      <c r="B364" s="2">
        <v>341</v>
      </c>
      <c r="C364">
        <f>'Refrig Mass Flow &amp; Cond kW'!D355*$C$6*(($C$19-$C$18)/1000)</f>
        <v>0</v>
      </c>
      <c r="D364">
        <f>'Refrig Mass Flow &amp; Cond kW'!D355*Winter!$C$6*((Winter!$C$17-Winter!$C$16)/1000)</f>
        <v>0</v>
      </c>
      <c r="E364">
        <f>'Refrig Mass Flow &amp; Cond kW'!D355*(($C$13-$C$14)-$C$6*($C$17-$C$18)/1000)-'Refrig Mass Flow &amp; Cond kW'!C355*(1-$C$6/($C$10+273))</f>
        <v>0</v>
      </c>
      <c r="F364" s="13"/>
      <c r="G364" s="13">
        <f>'Refrig Mass Flow &amp; Cond kW'!F355*$C$6*($G$19-$G$18)/1000</f>
        <v>0.33516047670136467</v>
      </c>
      <c r="H364">
        <f>'Refrig Mass Flow &amp; Cond kW'!F355*$C$6*($G$17-$G$16)/1000</f>
        <v>2.0898241488437299</v>
      </c>
      <c r="I364">
        <f>'Refrig Mass Flow &amp; Cond kW'!F355*(($G$13-$G$14)-$C$6*($G$17-$G$18)/1000)-'Refrig Mass Flow &amp; Cond kW'!E355*(1-$C$6/($G$10+273))</f>
        <v>0.92497719795519728</v>
      </c>
    </row>
    <row r="365" spans="2:9" x14ac:dyDescent="0.2">
      <c r="B365" s="2">
        <v>342</v>
      </c>
      <c r="C365">
        <f>'Refrig Mass Flow &amp; Cond kW'!D356*$C$6*(($C$19-$C$18)/1000)</f>
        <v>0</v>
      </c>
      <c r="D365">
        <f>'Refrig Mass Flow &amp; Cond kW'!D356*Winter!$C$6*((Winter!$C$17-Winter!$C$16)/1000)</f>
        <v>0</v>
      </c>
      <c r="E365">
        <f>'Refrig Mass Flow &amp; Cond kW'!D356*(($C$13-$C$14)-$C$6*($C$17-$C$18)/1000)-'Refrig Mass Flow &amp; Cond kW'!C356*(1-$C$6/($C$10+273))</f>
        <v>0</v>
      </c>
      <c r="F365" s="13"/>
      <c r="G365" s="13">
        <f>'Refrig Mass Flow &amp; Cond kW'!F356*$C$6*($G$19-$G$18)/1000</f>
        <v>0.3636496801851381</v>
      </c>
      <c r="H365">
        <f>'Refrig Mass Flow &amp; Cond kW'!F356*$C$6*($G$17-$G$16)/1000</f>
        <v>2.2674627117425459</v>
      </c>
      <c r="I365">
        <f>'Refrig Mass Flow &amp; Cond kW'!F356*(($G$13-$G$14)-$C$6*($G$17-$G$18)/1000)-'Refrig Mass Flow &amp; Cond kW'!E356*(1-$C$6/($G$10+273))</f>
        <v>1.0036018134520805</v>
      </c>
    </row>
    <row r="366" spans="2:9" x14ac:dyDescent="0.2">
      <c r="B366" s="2">
        <v>343</v>
      </c>
      <c r="C366">
        <f>'Refrig Mass Flow &amp; Cond kW'!D357*$C$6*(($C$19-$C$18)/1000)</f>
        <v>0</v>
      </c>
      <c r="D366">
        <f>'Refrig Mass Flow &amp; Cond kW'!D357*Winter!$C$6*((Winter!$C$17-Winter!$C$16)/1000)</f>
        <v>0</v>
      </c>
      <c r="E366">
        <f>'Refrig Mass Flow &amp; Cond kW'!D357*(($C$13-$C$14)-$C$6*($C$17-$C$18)/1000)-'Refrig Mass Flow &amp; Cond kW'!C357*(1-$C$6/($C$10+273))</f>
        <v>0</v>
      </c>
      <c r="F366" s="13"/>
      <c r="G366" s="13">
        <f>'Refrig Mass Flow &amp; Cond kW'!F357*$C$6*($G$19-$G$18)/1000</f>
        <v>0.39238620612906644</v>
      </c>
      <c r="H366">
        <f>'Refrig Mass Flow &amp; Cond kW'!F357*$C$6*($G$17-$G$16)/1000</f>
        <v>2.4466434029223278</v>
      </c>
      <c r="I366">
        <f>'Refrig Mass Flow &amp; Cond kW'!F357*(($G$13-$G$14)-$C$6*($G$17-$G$18)/1000)-'Refrig Mass Flow &amp; Cond kW'!E357*(1-$C$6/($G$10+273))</f>
        <v>1.0829089904443876</v>
      </c>
    </row>
    <row r="367" spans="2:9" x14ac:dyDescent="0.2">
      <c r="B367" s="2">
        <v>344</v>
      </c>
      <c r="C367">
        <f>'Refrig Mass Flow &amp; Cond kW'!D358*$C$6*(($C$19-$C$18)/1000)</f>
        <v>0</v>
      </c>
      <c r="D367">
        <f>'Refrig Mass Flow &amp; Cond kW'!D358*Winter!$C$6*((Winter!$C$17-Winter!$C$16)/1000)</f>
        <v>0</v>
      </c>
      <c r="E367">
        <f>'Refrig Mass Flow &amp; Cond kW'!D358*(($C$13-$C$14)-$C$6*($C$17-$C$18)/1000)-'Refrig Mass Flow &amp; Cond kW'!C358*(1-$C$6/($C$10+273))</f>
        <v>0</v>
      </c>
      <c r="F367" s="13"/>
      <c r="G367" s="13">
        <f>'Refrig Mass Flow &amp; Cond kW'!F358*$C$6*($G$19-$G$18)/1000</f>
        <v>0.42123917289792162</v>
      </c>
      <c r="H367">
        <f>'Refrig Mass Flow &amp; Cond kW'!F358*$C$6*($G$17-$G$16)/1000</f>
        <v>2.6265501368928303</v>
      </c>
      <c r="I367">
        <f>'Refrig Mass Flow &amp; Cond kW'!F358*(($G$13-$G$14)-$C$6*($G$17-$G$18)/1000)-'Refrig Mass Flow &amp; Cond kW'!E358*(1-$C$6/($G$10+273))</f>
        <v>1.162537521281962</v>
      </c>
    </row>
    <row r="368" spans="2:9" x14ac:dyDescent="0.2">
      <c r="B368" s="2">
        <v>345</v>
      </c>
      <c r="C368">
        <f>'Refrig Mass Flow &amp; Cond kW'!D359*$C$6*(($C$19-$C$18)/1000)</f>
        <v>0</v>
      </c>
      <c r="D368">
        <f>'Refrig Mass Flow &amp; Cond kW'!D359*Winter!$C$6*((Winter!$C$17-Winter!$C$16)/1000)</f>
        <v>0</v>
      </c>
      <c r="E368">
        <f>'Refrig Mass Flow &amp; Cond kW'!D359*(($C$13-$C$14)-$C$6*($C$17-$C$18)/1000)-'Refrig Mass Flow &amp; Cond kW'!C359*(1-$C$6/($C$10+273))</f>
        <v>0</v>
      </c>
      <c r="F368" s="13"/>
      <c r="G368" s="13">
        <f>'Refrig Mass Flow &amp; Cond kW'!F359*$C$6*($G$19-$G$18)/1000</f>
        <v>0.45014027408370627</v>
      </c>
      <c r="H368">
        <f>'Refrig Mass Flow &amp; Cond kW'!F359*$C$6*($G$17-$G$16)/1000</f>
        <v>2.8067570031100697</v>
      </c>
      <c r="I368">
        <f>'Refrig Mass Flow &amp; Cond kW'!F359*(($G$13-$G$14)-$C$6*($G$17-$G$18)/1000)-'Refrig Mass Flow &amp; Cond kW'!E359*(1-$C$6/($G$10+273))</f>
        <v>1.2422988936721353</v>
      </c>
    </row>
    <row r="369" spans="2:9" x14ac:dyDescent="0.2">
      <c r="B369" s="2">
        <v>346</v>
      </c>
      <c r="C369">
        <f>'Refrig Mass Flow &amp; Cond kW'!D360*$C$6*(($C$19-$C$18)/1000)</f>
        <v>0</v>
      </c>
      <c r="D369">
        <f>'Refrig Mass Flow &amp; Cond kW'!D360*Winter!$C$6*((Winter!$C$17-Winter!$C$16)/1000)</f>
        <v>0</v>
      </c>
      <c r="E369">
        <f>'Refrig Mass Flow &amp; Cond kW'!D360*(($C$13-$C$14)-$C$6*($C$17-$C$18)/1000)-'Refrig Mass Flow &amp; Cond kW'!C360*(1-$C$6/($C$10+273))</f>
        <v>0</v>
      </c>
      <c r="F369" s="13"/>
      <c r="G369" s="13">
        <f>'Refrig Mass Flow &amp; Cond kW'!F360*$C$6*($G$19-$G$18)/1000</f>
        <v>0.47874975366653416</v>
      </c>
      <c r="H369">
        <f>'Refrig Mass Flow &amp; Cond kW'!F360*$C$6*($G$17-$G$16)/1000</f>
        <v>2.9851455228618131</v>
      </c>
      <c r="I369">
        <f>'Refrig Mass Flow &amp; Cond kW'!F360*(($G$13-$G$14)-$C$6*($G$17-$G$18)/1000)-'Refrig Mass Flow &amp; Cond kW'!E360*(1-$C$6/($G$10+273))</f>
        <v>1.32125544761886</v>
      </c>
    </row>
    <row r="370" spans="2:9" x14ac:dyDescent="0.2">
      <c r="B370" s="2">
        <v>347</v>
      </c>
      <c r="C370">
        <f>'Refrig Mass Flow &amp; Cond kW'!D361*$C$6*(($C$19-$C$18)/1000)</f>
        <v>0</v>
      </c>
      <c r="D370">
        <f>'Refrig Mass Flow &amp; Cond kW'!D361*Winter!$C$6*((Winter!$C$17-Winter!$C$16)/1000)</f>
        <v>0</v>
      </c>
      <c r="E370">
        <f>'Refrig Mass Flow &amp; Cond kW'!D361*(($C$13-$C$14)-$C$6*($C$17-$C$18)/1000)-'Refrig Mass Flow &amp; Cond kW'!C361*(1-$C$6/($C$10+273))</f>
        <v>0</v>
      </c>
      <c r="F370" s="13"/>
      <c r="G370" s="13">
        <f>'Refrig Mass Flow &amp; Cond kW'!F361*$C$6*($G$19-$G$18)/1000</f>
        <v>0.50719870625997743</v>
      </c>
      <c r="H370">
        <f>'Refrig Mass Flow &amp; Cond kW'!F361*$C$6*($G$17-$G$16)/1000</f>
        <v>3.1625331096209237</v>
      </c>
      <c r="I370">
        <f>'Refrig Mass Flow &amp; Cond kW'!F361*(($G$13-$G$14)-$C$6*($G$17-$G$18)/1000)-'Refrig Mass Flow &amp; Cond kW'!E361*(1-$C$6/($G$10+273))</f>
        <v>1.3997689785507603</v>
      </c>
    </row>
    <row r="371" spans="2:9" x14ac:dyDescent="0.2">
      <c r="B371" s="2">
        <v>348</v>
      </c>
      <c r="C371">
        <f>'Refrig Mass Flow &amp; Cond kW'!D362*$C$6*(($C$19-$C$18)/1000)</f>
        <v>0</v>
      </c>
      <c r="D371">
        <f>'Refrig Mass Flow &amp; Cond kW'!D362*Winter!$C$6*((Winter!$C$17-Winter!$C$16)/1000)</f>
        <v>0</v>
      </c>
      <c r="E371">
        <f>'Refrig Mass Flow &amp; Cond kW'!D362*(($C$13-$C$14)-$C$6*($C$17-$C$18)/1000)-'Refrig Mass Flow &amp; Cond kW'!C362*(1-$C$6/($C$10+273))</f>
        <v>0</v>
      </c>
      <c r="F371" s="13"/>
      <c r="G371" s="13">
        <f>'Refrig Mass Flow &amp; Cond kW'!F362*$C$6*($G$19-$G$18)/1000</f>
        <v>0.53545431782860442</v>
      </c>
      <c r="H371">
        <f>'Refrig Mass Flow &amp; Cond kW'!F362*$C$6*($G$17-$G$16)/1000</f>
        <v>3.3387151582252983</v>
      </c>
      <c r="I371">
        <f>'Refrig Mass Flow &amp; Cond kW'!F362*(($G$13-$G$14)-$C$6*($G$17-$G$18)/1000)-'Refrig Mass Flow &amp; Cond kW'!E362*(1-$C$6/($G$10+273))</f>
        <v>1.4777489261641747</v>
      </c>
    </row>
    <row r="372" spans="2:9" x14ac:dyDescent="0.2">
      <c r="B372" s="2">
        <v>349</v>
      </c>
      <c r="C372">
        <f>'Refrig Mass Flow &amp; Cond kW'!D363*$C$6*(($C$19-$C$18)/1000)</f>
        <v>0</v>
      </c>
      <c r="D372">
        <f>'Refrig Mass Flow &amp; Cond kW'!D363*Winter!$C$6*((Winter!$C$17-Winter!$C$16)/1000)</f>
        <v>0</v>
      </c>
      <c r="E372">
        <f>'Refrig Mass Flow &amp; Cond kW'!D363*(($C$13-$C$14)-$C$6*($C$17-$C$18)/1000)-'Refrig Mass Flow &amp; Cond kW'!C363*(1-$C$6/($C$10+273))</f>
        <v>0</v>
      </c>
      <c r="F372" s="13"/>
      <c r="G372" s="13">
        <f>'Refrig Mass Flow &amp; Cond kW'!F363*$C$6*($G$19-$G$18)/1000</f>
        <v>0.56348380155210276</v>
      </c>
      <c r="H372">
        <f>'Refrig Mass Flow &amp; Cond kW'!F363*$C$6*($G$17-$G$16)/1000</f>
        <v>3.5134872332071043</v>
      </c>
      <c r="I372">
        <f>'Refrig Mass Flow &amp; Cond kW'!F363*(($G$13-$G$14)-$C$6*($G$17-$G$18)/1000)-'Refrig Mass Flow &amp; Cond kW'!E363*(1-$C$6/($G$10+273))</f>
        <v>1.5551048052638237</v>
      </c>
    </row>
    <row r="373" spans="2:9" x14ac:dyDescent="0.2">
      <c r="B373" s="2">
        <v>350</v>
      </c>
      <c r="C373">
        <f>'Refrig Mass Flow &amp; Cond kW'!D364*$C$6*(($C$19-$C$18)/1000)</f>
        <v>0</v>
      </c>
      <c r="D373">
        <f>'Refrig Mass Flow &amp; Cond kW'!D364*Winter!$C$6*((Winter!$C$17-Winter!$C$16)/1000)</f>
        <v>0</v>
      </c>
      <c r="E373">
        <f>'Refrig Mass Flow &amp; Cond kW'!D364*(($C$13-$C$14)-$C$6*($C$17-$C$18)/1000)-'Refrig Mass Flow &amp; Cond kW'!C364*(1-$C$6/($C$10+273))</f>
        <v>0</v>
      </c>
      <c r="F373" s="13"/>
      <c r="G373" s="13">
        <f>'Refrig Mass Flow &amp; Cond kW'!F364*$C$6*($G$19-$G$18)/1000</f>
        <v>0.59125440081164915</v>
      </c>
      <c r="H373">
        <f>'Refrig Mass Flow &amp; Cond kW'!F364*$C$6*($G$17-$G$16)/1000</f>
        <v>3.686645087413682</v>
      </c>
      <c r="I373">
        <f>'Refrig Mass Flow &amp; Cond kW'!F364*(($G$13-$G$14)-$C$6*($G$17-$G$18)/1000)-'Refrig Mass Flow &amp; Cond kW'!E364*(1-$C$6/($G$10+273))</f>
        <v>1.6317462140046324</v>
      </c>
    </row>
    <row r="374" spans="2:9" x14ac:dyDescent="0.2">
      <c r="B374" s="2">
        <v>351</v>
      </c>
      <c r="C374">
        <f>'Refrig Mass Flow &amp; Cond kW'!D365*$C$6*(($C$19-$C$18)/1000)</f>
        <v>0</v>
      </c>
      <c r="D374">
        <f>'Refrig Mass Flow &amp; Cond kW'!D365*Winter!$C$6*((Winter!$C$17-Winter!$C$16)/1000)</f>
        <v>0</v>
      </c>
      <c r="E374">
        <f>'Refrig Mass Flow &amp; Cond kW'!D365*(($C$13-$C$14)-$C$6*($C$17-$C$18)/1000)-'Refrig Mass Flow &amp; Cond kW'!C365*(1-$C$6/($C$10+273))</f>
        <v>0</v>
      </c>
      <c r="F374" s="13"/>
      <c r="G374" s="13">
        <f>'Refrig Mass Flow &amp; Cond kW'!F365*$C$6*($G$19-$G$18)/1000</f>
        <v>0.61878395991812463</v>
      </c>
      <c r="H374">
        <f>'Refrig Mass Flow &amp; Cond kW'!F365*$C$6*($G$17-$G$16)/1000</f>
        <v>3.8582999853716995</v>
      </c>
      <c r="I374">
        <f>'Refrig Mass Flow &amp; Cond kW'!F365*(($G$13-$G$14)-$C$6*($G$17-$G$18)/1000)-'Refrig Mass Flow &amp; Cond kW'!E365*(1-$C$6/($G$10+273))</f>
        <v>1.7077223991857338</v>
      </c>
    </row>
    <row r="375" spans="2:9" x14ac:dyDescent="0.2">
      <c r="B375" s="2">
        <v>352</v>
      </c>
      <c r="C375">
        <f>'Refrig Mass Flow &amp; Cond kW'!D366*$C$6*(($C$19-$C$18)/1000)</f>
        <v>0</v>
      </c>
      <c r="D375">
        <f>'Refrig Mass Flow &amp; Cond kW'!D366*Winter!$C$6*((Winter!$C$17-Winter!$C$16)/1000)</f>
        <v>0</v>
      </c>
      <c r="E375">
        <f>'Refrig Mass Flow &amp; Cond kW'!D366*(($C$13-$C$14)-$C$6*($C$17-$C$18)/1000)-'Refrig Mass Flow &amp; Cond kW'!C366*(1-$C$6/($C$10+273))</f>
        <v>0</v>
      </c>
      <c r="F375" s="13"/>
      <c r="G375" s="13">
        <f>'Refrig Mass Flow &amp; Cond kW'!F366*$C$6*($G$19-$G$18)/1000</f>
        <v>0.64636343287579023</v>
      </c>
      <c r="H375">
        <f>'Refrig Mass Flow &amp; Cond kW'!F366*$C$6*($G$17-$G$16)/1000</f>
        <v>4.0302661108724314</v>
      </c>
      <c r="I375">
        <f>'Refrig Mass Flow &amp; Cond kW'!F366*(($G$13-$G$14)-$C$6*($G$17-$G$18)/1000)-'Refrig Mass Flow &amp; Cond kW'!E366*(1-$C$6/($G$10+273))</f>
        <v>1.7838363368090917</v>
      </c>
    </row>
    <row r="376" spans="2:9" x14ac:dyDescent="0.2">
      <c r="B376" s="2">
        <v>353</v>
      </c>
      <c r="C376">
        <f>'Refrig Mass Flow &amp; Cond kW'!D367*$C$6*(($C$19-$C$18)/1000)</f>
        <v>0</v>
      </c>
      <c r="D376">
        <f>'Refrig Mass Flow &amp; Cond kW'!D367*Winter!$C$6*((Winter!$C$17-Winter!$C$16)/1000)</f>
        <v>0</v>
      </c>
      <c r="E376">
        <f>'Refrig Mass Flow &amp; Cond kW'!D367*(($C$13-$C$14)-$C$6*($C$17-$C$18)/1000)-'Refrig Mass Flow &amp; Cond kW'!C367*(1-$C$6/($C$10+273))</f>
        <v>0</v>
      </c>
      <c r="F376" s="13"/>
      <c r="G376" s="13">
        <f>'Refrig Mass Flow &amp; Cond kW'!F367*$C$6*($G$19-$G$18)/1000</f>
        <v>0.6737387515755886</v>
      </c>
      <c r="H376">
        <f>'Refrig Mass Flow &amp; Cond kW'!F367*$C$6*($G$17-$G$16)/1000</f>
        <v>4.2009592745299917</v>
      </c>
      <c r="I376">
        <f>'Refrig Mass Flow &amp; Cond kW'!F367*(($G$13-$G$14)-$C$6*($G$17-$G$18)/1000)-'Refrig Mass Flow &amp; Cond kW'!E367*(1-$C$6/($G$10+273))</f>
        <v>1.859386848710983</v>
      </c>
    </row>
    <row r="377" spans="2:9" x14ac:dyDescent="0.2">
      <c r="B377" s="2">
        <v>354</v>
      </c>
      <c r="C377">
        <f>'Refrig Mass Flow &amp; Cond kW'!D368*$C$6*(($C$19-$C$18)/1000)</f>
        <v>0</v>
      </c>
      <c r="D377">
        <f>'Refrig Mass Flow &amp; Cond kW'!D368*Winter!$C$6*((Winter!$C$17-Winter!$C$16)/1000)</f>
        <v>0</v>
      </c>
      <c r="E377">
        <f>'Refrig Mass Flow &amp; Cond kW'!D368*(($C$13-$C$14)-$C$6*($C$17-$C$18)/1000)-'Refrig Mass Flow &amp; Cond kW'!C368*(1-$C$6/($C$10+273))</f>
        <v>0</v>
      </c>
      <c r="F377" s="13"/>
      <c r="G377" s="13">
        <f>'Refrig Mass Flow &amp; Cond kW'!F368*$C$6*($G$19-$G$18)/1000</f>
        <v>0.70086941665415858</v>
      </c>
      <c r="H377">
        <f>'Refrig Mass Flow &amp; Cond kW'!F368*$C$6*($G$17-$G$16)/1000</f>
        <v>4.3701269509022467</v>
      </c>
      <c r="I377">
        <f>'Refrig Mass Flow &amp; Cond kW'!F368*(($G$13-$G$14)-$C$6*($G$17-$G$18)/1000)-'Refrig Mass Flow &amp; Cond kW'!E368*(1-$C$6/($G$10+273))</f>
        <v>1.9342621645895832</v>
      </c>
    </row>
    <row r="378" spans="2:9" x14ac:dyDescent="0.2">
      <c r="B378" s="2">
        <v>355</v>
      </c>
      <c r="C378">
        <f>'Refrig Mass Flow &amp; Cond kW'!D369*$C$6*(($C$19-$C$18)/1000)</f>
        <v>0</v>
      </c>
      <c r="D378">
        <f>'Refrig Mass Flow &amp; Cond kW'!D369*Winter!$C$6*((Winter!$C$17-Winter!$C$16)/1000)</f>
        <v>0</v>
      </c>
      <c r="E378">
        <f>'Refrig Mass Flow &amp; Cond kW'!D369*(($C$13-$C$14)-$C$6*($C$17-$C$18)/1000)-'Refrig Mass Flow &amp; Cond kW'!C369*(1-$C$6/($C$10+273))</f>
        <v>0</v>
      </c>
      <c r="F378" s="13"/>
      <c r="G378" s="13">
        <f>'Refrig Mass Flow &amp; Cond kW'!F369*$C$6*($G$19-$G$18)/1000</f>
        <v>0.7277907797593175</v>
      </c>
      <c r="H378">
        <f>'Refrig Mass Flow &amp; Cond kW'!F369*$C$6*($G$17-$G$16)/1000</f>
        <v>4.5379895679108788</v>
      </c>
      <c r="I378">
        <f>'Refrig Mass Flow &amp; Cond kW'!F369*(($G$13-$G$14)-$C$6*($G$17-$G$18)/1000)-'Refrig Mass Flow &amp; Cond kW'!E369*(1-$C$6/($G$10+273))</f>
        <v>2.0085598480611715</v>
      </c>
    </row>
    <row r="379" spans="2:9" x14ac:dyDescent="0.2">
      <c r="B379" s="2">
        <v>356</v>
      </c>
      <c r="C379">
        <f>'Refrig Mass Flow &amp; Cond kW'!D370*$C$6*(($C$19-$C$18)/1000)</f>
        <v>0</v>
      </c>
      <c r="D379">
        <f>'Refrig Mass Flow &amp; Cond kW'!D370*Winter!$C$6*((Winter!$C$17-Winter!$C$16)/1000)</f>
        <v>0</v>
      </c>
      <c r="E379">
        <f>'Refrig Mass Flow &amp; Cond kW'!D370*(($C$13-$C$14)-$C$6*($C$17-$C$18)/1000)-'Refrig Mass Flow &amp; Cond kW'!C370*(1-$C$6/($C$10+273))</f>
        <v>0</v>
      </c>
      <c r="F379" s="13"/>
      <c r="G379" s="13">
        <f>'Refrig Mass Flow &amp; Cond kW'!F370*$C$6*($G$19-$G$18)/1000</f>
        <v>0.75450235555250622</v>
      </c>
      <c r="H379">
        <f>'Refrig Mass Flow &amp; Cond kW'!F370*$C$6*($G$17-$G$16)/1000</f>
        <v>4.7045440993272258</v>
      </c>
      <c r="I379">
        <f>'Refrig Mass Flow &amp; Cond kW'!F370*(($G$13-$G$14)-$C$6*($G$17-$G$18)/1000)-'Refrig Mass Flow &amp; Cond kW'!E370*(1-$C$6/($G$10+273))</f>
        <v>2.0822785596864861</v>
      </c>
    </row>
    <row r="380" spans="2:9" x14ac:dyDescent="0.2">
      <c r="B380" s="2">
        <v>357</v>
      </c>
      <c r="C380">
        <f>'Refrig Mass Flow &amp; Cond kW'!D371*$C$6*(($C$19-$C$18)/1000)</f>
        <v>0</v>
      </c>
      <c r="D380">
        <f>'Refrig Mass Flow &amp; Cond kW'!D371*Winter!$C$6*((Winter!$C$17-Winter!$C$16)/1000)</f>
        <v>0</v>
      </c>
      <c r="E380">
        <f>'Refrig Mass Flow &amp; Cond kW'!D371*(($C$13-$C$14)-$C$6*($C$17-$C$18)/1000)-'Refrig Mass Flow &amp; Cond kW'!C371*(1-$C$6/($C$10+273))</f>
        <v>0</v>
      </c>
      <c r="F380" s="13"/>
      <c r="G380" s="13">
        <f>'Refrig Mass Flow &amp; Cond kW'!F371*$C$6*($G$19-$G$18)/1000</f>
        <v>0.78099579890047077</v>
      </c>
      <c r="H380">
        <f>'Refrig Mass Flow &amp; Cond kW'!F371*$C$6*($G$17-$G$16)/1000</f>
        <v>4.8697385107909987</v>
      </c>
      <c r="I380">
        <f>'Refrig Mass Flow &amp; Cond kW'!F371*(($G$13-$G$14)-$C$6*($G$17-$G$18)/1000)-'Refrig Mass Flow &amp; Cond kW'!E371*(1-$C$6/($G$10+273))</f>
        <v>2.1553952685340505</v>
      </c>
    </row>
    <row r="381" spans="2:9" x14ac:dyDescent="0.2">
      <c r="B381" s="2">
        <v>358</v>
      </c>
      <c r="C381">
        <f>'Refrig Mass Flow &amp; Cond kW'!D372*$C$6*(($C$19-$C$18)/1000)</f>
        <v>0</v>
      </c>
      <c r="D381">
        <f>'Refrig Mass Flow &amp; Cond kW'!D372*Winter!$C$6*((Winter!$C$17-Winter!$C$16)/1000)</f>
        <v>0</v>
      </c>
      <c r="E381">
        <f>'Refrig Mass Flow &amp; Cond kW'!D372*(($C$13-$C$14)-$C$6*($C$17-$C$18)/1000)-'Refrig Mass Flow &amp; Cond kW'!C372*(1-$C$6/($C$10+273))</f>
        <v>0</v>
      </c>
      <c r="F381" s="13"/>
      <c r="G381" s="13">
        <f>'Refrig Mass Flow &amp; Cond kW'!F372*$C$6*($G$19-$G$18)/1000</f>
        <v>0.80730459679517397</v>
      </c>
      <c r="H381">
        <f>'Refrig Mass Flow &amp; Cond kW'!F372*$C$6*($G$17-$G$16)/1000</f>
        <v>5.0337816035462009</v>
      </c>
      <c r="I381">
        <f>'Refrig Mass Flow &amp; Cond kW'!F372*(($G$13-$G$14)-$C$6*($G$17-$G$18)/1000)-'Refrig Mass Flow &amp; Cond kW'!E372*(1-$C$6/($G$10+273))</f>
        <v>2.228002392135604</v>
      </c>
    </row>
    <row r="382" spans="2:9" x14ac:dyDescent="0.2">
      <c r="B382" s="2">
        <v>359</v>
      </c>
      <c r="C382">
        <f>'Refrig Mass Flow &amp; Cond kW'!D373*$C$6*(($C$19-$C$18)/1000)</f>
        <v>0</v>
      </c>
      <c r="D382">
        <f>'Refrig Mass Flow &amp; Cond kW'!D373*Winter!$C$6*((Winter!$C$17-Winter!$C$16)/1000)</f>
        <v>0</v>
      </c>
      <c r="E382">
        <f>'Refrig Mass Flow &amp; Cond kW'!D373*(($C$13-$C$14)-$C$6*($C$17-$C$18)/1000)-'Refrig Mass Flow &amp; Cond kW'!C373*(1-$C$6/($C$10+273))</f>
        <v>0</v>
      </c>
      <c r="F382" s="13"/>
      <c r="G382" s="13">
        <f>'Refrig Mass Flow &amp; Cond kW'!F373*$C$6*($G$19-$G$18)/1000</f>
        <v>0.83361519636956605</v>
      </c>
      <c r="H382">
        <f>'Refrig Mass Flow &amp; Cond kW'!F373*$C$6*($G$17-$G$16)/1000</f>
        <v>5.1978359303041701</v>
      </c>
      <c r="I382">
        <f>'Refrig Mass Flow &amp; Cond kW'!F373*(($G$13-$G$14)-$C$6*($G$17-$G$18)/1000)-'Refrig Mass Flow &amp; Cond kW'!E373*(1-$C$6/($G$10+273))</f>
        <v>2.300614488019832</v>
      </c>
    </row>
    <row r="383" spans="2:9" x14ac:dyDescent="0.2">
      <c r="B383" s="2">
        <v>360</v>
      </c>
      <c r="C383">
        <f>'Refrig Mass Flow &amp; Cond kW'!D374*$C$6*(($C$19-$C$18)/1000)</f>
        <v>0</v>
      </c>
      <c r="D383">
        <f>'Refrig Mass Flow &amp; Cond kW'!D374*Winter!$C$6*((Winter!$C$17-Winter!$C$16)/1000)</f>
        <v>0</v>
      </c>
      <c r="E383">
        <f>'Refrig Mass Flow &amp; Cond kW'!D374*(($C$13-$C$14)-$C$6*($C$17-$C$18)/1000)-'Refrig Mass Flow &amp; Cond kW'!C374*(1-$C$6/($C$10+273))</f>
        <v>0</v>
      </c>
      <c r="F383" s="13"/>
      <c r="G383" s="13">
        <f>'Refrig Mass Flow &amp; Cond kW'!F374*$C$6*($G$19-$G$18)/1000</f>
        <v>0.85972917817039707</v>
      </c>
      <c r="H383">
        <f>'Refrig Mass Flow &amp; Cond kW'!F374*$C$6*($G$17-$G$16)/1000</f>
        <v>5.3606642874152275</v>
      </c>
      <c r="I383">
        <f>'Refrig Mass Flow &amp; Cond kW'!F374*(($G$13-$G$14)-$C$6*($G$17-$G$18)/1000)-'Refrig Mass Flow &amp; Cond kW'!E374*(1-$C$6/($G$10+273))</f>
        <v>2.3726839574015344</v>
      </c>
    </row>
    <row r="384" spans="2:9" x14ac:dyDescent="0.2">
      <c r="B384" s="2">
        <v>361</v>
      </c>
      <c r="C384">
        <f>'Refrig Mass Flow &amp; Cond kW'!D375*$C$6*(($C$19-$C$18)/1000)</f>
        <v>0</v>
      </c>
      <c r="D384">
        <f>'Refrig Mass Flow &amp; Cond kW'!D375*Winter!$C$6*((Winter!$C$17-Winter!$C$16)/1000)</f>
        <v>0</v>
      </c>
      <c r="E384">
        <f>'Refrig Mass Flow &amp; Cond kW'!D375*(($C$13-$C$14)-$C$6*($C$17-$C$18)/1000)-'Refrig Mass Flow &amp; Cond kW'!C375*(1-$C$6/($C$10+273))</f>
        <v>0</v>
      </c>
      <c r="F384" s="13"/>
      <c r="G384" s="13">
        <f>'Refrig Mass Flow &amp; Cond kW'!F375*$C$6*($G$19-$G$18)/1000</f>
        <v>0.88584946858110447</v>
      </c>
      <c r="H384">
        <f>'Refrig Mass Flow &amp; Cond kW'!F375*$C$6*($G$17-$G$16)/1000</f>
        <v>5.5235319805643384</v>
      </c>
      <c r="I384">
        <f>'Refrig Mass Flow &amp; Cond kW'!F375*(($G$13-$G$14)-$C$6*($G$17-$G$18)/1000)-'Refrig Mass Flow &amp; Cond kW'!E375*(1-$C$6/($G$10+273))</f>
        <v>2.4447708373095125</v>
      </c>
    </row>
    <row r="385" spans="2:9" x14ac:dyDescent="0.2">
      <c r="B385" s="2">
        <v>362</v>
      </c>
      <c r="C385">
        <f>'Refrig Mass Flow &amp; Cond kW'!D376*$C$6*(($C$19-$C$18)/1000)</f>
        <v>0</v>
      </c>
      <c r="D385">
        <f>'Refrig Mass Flow &amp; Cond kW'!D376*Winter!$C$6*((Winter!$C$17-Winter!$C$16)/1000)</f>
        <v>0</v>
      </c>
      <c r="E385">
        <f>'Refrig Mass Flow &amp; Cond kW'!D376*(($C$13-$C$14)-$C$6*($C$17-$C$18)/1000)-'Refrig Mass Flow &amp; Cond kW'!C376*(1-$C$6/($C$10+273))</f>
        <v>0</v>
      </c>
      <c r="F385" s="13"/>
      <c r="G385" s="13">
        <f>'Refrig Mass Flow &amp; Cond kW'!F376*$C$6*($G$19-$G$18)/1000</f>
        <v>0.91188632546937187</v>
      </c>
      <c r="H385">
        <f>'Refrig Mass Flow &amp; Cond kW'!F376*$C$6*($G$17-$G$16)/1000</f>
        <v>5.6858794411617648</v>
      </c>
      <c r="I385">
        <f>'Refrig Mass Flow &amp; Cond kW'!F376*(($G$13-$G$14)-$C$6*($G$17-$G$18)/1000)-'Refrig Mass Flow &amp; Cond kW'!E376*(1-$C$6/($G$10+273))</f>
        <v>2.5166274570550726</v>
      </c>
    </row>
    <row r="386" spans="2:9" x14ac:dyDescent="0.2">
      <c r="B386" s="2">
        <v>363</v>
      </c>
      <c r="C386">
        <f>'Refrig Mass Flow &amp; Cond kW'!D377*$C$6*(($C$19-$C$18)/1000)</f>
        <v>0</v>
      </c>
      <c r="D386">
        <f>'Refrig Mass Flow &amp; Cond kW'!D377*Winter!$C$6*((Winter!$C$17-Winter!$C$16)/1000)</f>
        <v>0</v>
      </c>
      <c r="E386">
        <f>'Refrig Mass Flow &amp; Cond kW'!D377*(($C$13-$C$14)-$C$6*($C$17-$C$18)/1000)-'Refrig Mass Flow &amp; Cond kW'!C377*(1-$C$6/($C$10+273))</f>
        <v>0</v>
      </c>
      <c r="F386" s="13"/>
      <c r="G386" s="13">
        <f>'Refrig Mass Flow &amp; Cond kW'!F377*$C$6*($G$19-$G$18)/1000</f>
        <v>0.93783547290513025</v>
      </c>
      <c r="H386">
        <f>'Refrig Mass Flow &amp; Cond kW'!F377*$C$6*($G$17-$G$16)/1000</f>
        <v>5.8476800075258994</v>
      </c>
      <c r="I386">
        <f>'Refrig Mass Flow &amp; Cond kW'!F377*(($G$13-$G$14)-$C$6*($G$17-$G$18)/1000)-'Refrig Mass Flow &amp; Cond kW'!E377*(1-$C$6/($G$10+273))</f>
        <v>2.5882420159096355</v>
      </c>
    </row>
    <row r="387" spans="2:9" x14ac:dyDescent="0.2">
      <c r="B387" s="2">
        <v>364</v>
      </c>
      <c r="C387">
        <f>'Refrig Mass Flow &amp; Cond kW'!D378*$C$6*(($C$19-$C$18)/1000)</f>
        <v>0</v>
      </c>
      <c r="D387">
        <f>'Refrig Mass Flow &amp; Cond kW'!D378*Winter!$C$6*((Winter!$C$17-Winter!$C$16)/1000)</f>
        <v>0</v>
      </c>
      <c r="E387">
        <f>'Refrig Mass Flow &amp; Cond kW'!D378*(($C$13-$C$14)-$C$6*($C$17-$C$18)/1000)-'Refrig Mass Flow &amp; Cond kW'!C378*(1-$C$6/($C$10+273))</f>
        <v>0</v>
      </c>
      <c r="F387" s="13"/>
      <c r="G387" s="13">
        <f>'Refrig Mass Flow &amp; Cond kW'!F378*$C$6*($G$19-$G$18)/1000</f>
        <v>0.96369454652153352</v>
      </c>
      <c r="H387">
        <f>'Refrig Mass Flow &amp; Cond kW'!F378*$C$6*($G$17-$G$16)/1000</f>
        <v>6.0089189371340552</v>
      </c>
      <c r="I387">
        <f>'Refrig Mass Flow &amp; Cond kW'!F378*(($G$13-$G$14)-$C$6*($G$17-$G$18)/1000)-'Refrig Mass Flow &amp; Cond kW'!E378*(1-$C$6/($G$10+273))</f>
        <v>2.6596079886843214</v>
      </c>
    </row>
    <row r="388" spans="2:9" x14ac:dyDescent="0.2">
      <c r="B388" s="2">
        <v>365</v>
      </c>
      <c r="C388">
        <f>'Refrig Mass Flow &amp; Cond kW'!D379*$C$6*(($C$19-$C$18)/1000)</f>
        <v>0</v>
      </c>
      <c r="D388">
        <f>'Refrig Mass Flow &amp; Cond kW'!D379*Winter!$C$6*((Winter!$C$17-Winter!$C$16)/1000)</f>
        <v>0</v>
      </c>
      <c r="E388">
        <f>'Refrig Mass Flow &amp; Cond kW'!D379*(($C$13-$C$14)-$C$6*($C$17-$C$18)/1000)-'Refrig Mass Flow &amp; Cond kW'!C379*(1-$C$6/($C$10+273))</f>
        <v>0</v>
      </c>
      <c r="F388" s="13"/>
      <c r="G388" s="13">
        <f>'Refrig Mass Flow &amp; Cond kW'!F379*$C$6*($G$19-$G$18)/1000</f>
        <v>0.98946119058251947</v>
      </c>
      <c r="H388">
        <f>'Refrig Mass Flow &amp; Cond kW'!F379*$C$6*($G$17-$G$16)/1000</f>
        <v>6.1695815412790207</v>
      </c>
      <c r="I388">
        <f>'Refrig Mass Flow &amp; Cond kW'!F379*(($G$13-$G$14)-$C$6*($G$17-$G$18)/1000)-'Refrig Mass Flow &amp; Cond kW'!E379*(1-$C$6/($G$10+273))</f>
        <v>2.7307188740094901</v>
      </c>
    </row>
    <row r="389" spans="2:9" x14ac:dyDescent="0.2">
      <c r="B389" s="2">
        <v>366</v>
      </c>
      <c r="C389">
        <f>'Refrig Mass Flow &amp; Cond kW'!D380*$C$6*(($C$19-$C$18)/1000)</f>
        <v>0</v>
      </c>
      <c r="D389">
        <f>'Refrig Mass Flow &amp; Cond kW'!D380*Winter!$C$6*((Winter!$C$17-Winter!$C$16)/1000)</f>
        <v>0</v>
      </c>
      <c r="E389">
        <f>'Refrig Mass Flow &amp; Cond kW'!D380*(($C$13-$C$14)-$C$6*($C$17-$C$18)/1000)-'Refrig Mass Flow &amp; Cond kW'!C380*(1-$C$6/($C$10+273))</f>
        <v>0</v>
      </c>
      <c r="F389" s="13"/>
      <c r="G389" s="13">
        <f>'Refrig Mass Flow &amp; Cond kW'!F380*$C$6*($G$19-$G$18)/1000</f>
        <v>1.0151330581973361</v>
      </c>
      <c r="H389">
        <f>'Refrig Mass Flow &amp; Cond kW'!F380*$C$6*($G$17-$G$16)/1000</f>
        <v>6.3296531864066958</v>
      </c>
      <c r="I389">
        <f>'Refrig Mass Flow &amp; Cond kW'!F380*(($G$13-$G$14)-$C$6*($G$17-$G$18)/1000)-'Refrig Mass Flow &amp; Cond kW'!E380*(1-$C$6/($G$10+273))</f>
        <v>2.8015681949268512</v>
      </c>
    </row>
    <row r="390" spans="2:9" x14ac:dyDescent="0.2">
      <c r="B390" s="2">
        <v>367</v>
      </c>
      <c r="C390">
        <f>'Refrig Mass Flow &amp; Cond kW'!D381*$C$6*(($C$19-$C$18)/1000)</f>
        <v>0</v>
      </c>
      <c r="D390">
        <f>'Refrig Mass Flow &amp; Cond kW'!D381*Winter!$C$6*((Winter!$C$17-Winter!$C$16)/1000)</f>
        <v>0</v>
      </c>
      <c r="E390">
        <f>'Refrig Mass Flow &amp; Cond kW'!D381*(($C$13-$C$14)-$C$6*($C$17-$C$18)/1000)-'Refrig Mass Flow &amp; Cond kW'!C381*(1-$C$6/($C$10+273))</f>
        <v>0</v>
      </c>
      <c r="F390" s="13"/>
      <c r="G390" s="13">
        <f>'Refrig Mass Flow &amp; Cond kW'!F381*$C$6*($G$19-$G$18)/1000</f>
        <v>1.040999814249032</v>
      </c>
      <c r="H390">
        <f>'Refrig Mass Flow &amp; Cond kW'!F381*$C$6*($G$17-$G$16)/1000</f>
        <v>6.4909400182584402</v>
      </c>
      <c r="I390">
        <f>'Refrig Mass Flow &amp; Cond kW'!F381*(($G$13-$G$14)-$C$6*($G$17-$G$18)/1000)-'Refrig Mass Flow &amp; Cond kW'!E381*(1-$C$6/($G$10+273))</f>
        <v>2.8729553697165784</v>
      </c>
    </row>
    <row r="391" spans="2:9" x14ac:dyDescent="0.2">
      <c r="B391" s="2">
        <v>368</v>
      </c>
      <c r="C391">
        <f>'Refrig Mass Flow &amp; Cond kW'!D382*$C$6*(($C$19-$C$18)/1000)</f>
        <v>0</v>
      </c>
      <c r="D391">
        <f>'Refrig Mass Flow &amp; Cond kW'!D382*Winter!$C$6*((Winter!$C$17-Winter!$C$16)/1000)</f>
        <v>0</v>
      </c>
      <c r="E391">
        <f>'Refrig Mass Flow &amp; Cond kW'!D382*(($C$13-$C$14)-$C$6*($C$17-$C$18)/1000)-'Refrig Mass Flow &amp; Cond kW'!C382*(1-$C$6/($C$10+273))</f>
        <v>0</v>
      </c>
      <c r="F391" s="13"/>
      <c r="G391" s="13">
        <f>'Refrig Mass Flow &amp; Cond kW'!F382*$C$6*($G$19-$G$18)/1000</f>
        <v>1.0669288766331191</v>
      </c>
      <c r="H391">
        <f>'Refrig Mass Flow &amp; Cond kW'!F382*$C$6*($G$17-$G$16)/1000</f>
        <v>6.6526153484180366</v>
      </c>
      <c r="I391">
        <f>'Refrig Mass Flow &amp; Cond kW'!F382*(($G$13-$G$14)-$C$6*($G$17-$G$18)/1000)-'Refrig Mass Flow &amp; Cond kW'!E382*(1-$C$6/($G$10+273))</f>
        <v>2.9445144977667681</v>
      </c>
    </row>
    <row r="392" spans="2:9" x14ac:dyDescent="0.2">
      <c r="B392" s="2">
        <v>369</v>
      </c>
      <c r="C392">
        <f>'Refrig Mass Flow &amp; Cond kW'!D383*$C$6*(($C$19-$C$18)/1000)</f>
        <v>0</v>
      </c>
      <c r="D392">
        <f>'Refrig Mass Flow &amp; Cond kW'!D383*Winter!$C$6*((Winter!$C$17-Winter!$C$16)/1000)</f>
        <v>0</v>
      </c>
      <c r="E392">
        <f>'Refrig Mass Flow &amp; Cond kW'!D383*(($C$13-$C$14)-$C$6*($C$17-$C$18)/1000)-'Refrig Mass Flow &amp; Cond kW'!C383*(1-$C$6/($C$10+273))</f>
        <v>0</v>
      </c>
      <c r="F392" s="13"/>
      <c r="G392" s="13">
        <f>'Refrig Mass Flow &amp; Cond kW'!F383*$C$6*($G$19-$G$18)/1000</f>
        <v>1.0928801843603801</v>
      </c>
      <c r="H392">
        <f>'Refrig Mass Flow &amp; Cond kW'!F383*$C$6*($G$17-$G$16)/1000</f>
        <v>6.814429384835071</v>
      </c>
      <c r="I392">
        <f>'Refrig Mass Flow &amp; Cond kW'!F383*(($G$13-$G$14)-$C$6*($G$17-$G$18)/1000)-'Refrig Mass Flow &amp; Cond kW'!E383*(1-$C$6/($G$10+273))</f>
        <v>3.0161350186022986</v>
      </c>
    </row>
    <row r="393" spans="2:9" x14ac:dyDescent="0.2">
      <c r="B393" s="2">
        <v>370</v>
      </c>
      <c r="C393">
        <f>'Refrig Mass Flow &amp; Cond kW'!D384*$C$6*(($C$19-$C$18)/1000)</f>
        <v>0</v>
      </c>
      <c r="D393">
        <f>'Refrig Mass Flow &amp; Cond kW'!D384*Winter!$C$6*((Winter!$C$17-Winter!$C$16)/1000)</f>
        <v>0</v>
      </c>
      <c r="E393">
        <f>'Refrig Mass Flow &amp; Cond kW'!D384*(($C$13-$C$14)-$C$6*($C$17-$C$18)/1000)-'Refrig Mass Flow &amp; Cond kW'!C384*(1-$C$6/($C$10+273))</f>
        <v>0</v>
      </c>
      <c r="F393" s="13"/>
      <c r="G393" s="13">
        <f>'Refrig Mass Flow &amp; Cond kW'!F384*$C$6*($G$19-$G$18)/1000</f>
        <v>1.1185261999256828</v>
      </c>
      <c r="H393">
        <f>'Refrig Mass Flow &amp; Cond kW'!F384*$C$6*($G$17-$G$16)/1000</f>
        <v>6.9743398348304817</v>
      </c>
      <c r="I393">
        <f>'Refrig Mass Flow &amp; Cond kW'!F384*(($G$13-$G$14)-$C$6*($G$17-$G$18)/1000)-'Refrig Mass Flow &amp; Cond kW'!E384*(1-$C$6/($G$10+273))</f>
        <v>3.086912992932028</v>
      </c>
    </row>
    <row r="394" spans="2:9" x14ac:dyDescent="0.2">
      <c r="B394" s="2">
        <v>371</v>
      </c>
      <c r="C394">
        <f>'Refrig Mass Flow &amp; Cond kW'!D385*$C$6*(($C$19-$C$18)/1000)</f>
        <v>0</v>
      </c>
      <c r="D394">
        <f>'Refrig Mass Flow &amp; Cond kW'!D385*Winter!$C$6*((Winter!$C$17-Winter!$C$16)/1000)</f>
        <v>0</v>
      </c>
      <c r="E394">
        <f>'Refrig Mass Flow &amp; Cond kW'!D385*(($C$13-$C$14)-$C$6*($C$17-$C$18)/1000)-'Refrig Mass Flow &amp; Cond kW'!C385*(1-$C$6/($C$10+273))</f>
        <v>0</v>
      </c>
      <c r="F394" s="13"/>
      <c r="G394" s="13">
        <f>'Refrig Mass Flow &amp; Cond kW'!F385*$C$6*($G$19-$G$18)/1000</f>
        <v>1.1439919957179323</v>
      </c>
      <c r="H394">
        <f>'Refrig Mass Flow &amp; Cond kW'!F385*$C$6*($G$17-$G$16)/1000</f>
        <v>7.1331265615350894</v>
      </c>
      <c r="I394">
        <f>'Refrig Mass Flow &amp; Cond kW'!F385*(($G$13-$G$14)-$C$6*($G$17-$G$18)/1000)-'Refrig Mass Flow &amp; Cond kW'!E385*(1-$C$6/($G$10+273))</f>
        <v>3.157193596025337</v>
      </c>
    </row>
    <row r="395" spans="2:9" x14ac:dyDescent="0.2">
      <c r="B395" s="2">
        <v>372</v>
      </c>
      <c r="C395">
        <f>'Refrig Mass Flow &amp; Cond kW'!D386*$C$6*(($C$19-$C$18)/1000)</f>
        <v>0</v>
      </c>
      <c r="D395">
        <f>'Refrig Mass Flow &amp; Cond kW'!D386*Winter!$C$6*((Winter!$C$17-Winter!$C$16)/1000)</f>
        <v>0</v>
      </c>
      <c r="E395">
        <f>'Refrig Mass Flow &amp; Cond kW'!D386*(($C$13-$C$14)-$C$6*($C$17-$C$18)/1000)-'Refrig Mass Flow &amp; Cond kW'!C386*(1-$C$6/($C$10+273))</f>
        <v>0</v>
      </c>
      <c r="F395" s="13"/>
      <c r="G395" s="13">
        <f>'Refrig Mass Flow &amp; Cond kW'!F386*$C$6*($G$19-$G$18)/1000</f>
        <v>1.169249251070712</v>
      </c>
      <c r="H395">
        <f>'Refrig Mass Flow &amp; Cond kW'!F386*$C$6*($G$17-$G$16)/1000</f>
        <v>7.2906129772641828</v>
      </c>
      <c r="I395">
        <f>'Refrig Mass Flow &amp; Cond kW'!F386*(($G$13-$G$14)-$C$6*($G$17-$G$18)/1000)-'Refrig Mass Flow &amp; Cond kW'!E386*(1-$C$6/($G$10+273))</f>
        <v>3.2268986683959966</v>
      </c>
    </row>
    <row r="396" spans="2:9" x14ac:dyDescent="0.2">
      <c r="B396" s="2">
        <v>373</v>
      </c>
      <c r="C396">
        <f>'Refrig Mass Flow &amp; Cond kW'!D387*$C$6*(($C$19-$C$18)/1000)</f>
        <v>0</v>
      </c>
      <c r="D396">
        <f>'Refrig Mass Flow &amp; Cond kW'!D387*Winter!$C$6*((Winter!$C$17-Winter!$C$16)/1000)</f>
        <v>0</v>
      </c>
      <c r="E396">
        <f>'Refrig Mass Flow &amp; Cond kW'!D387*(($C$13-$C$14)-$C$6*($C$17-$C$18)/1000)-'Refrig Mass Flow &amp; Cond kW'!C387*(1-$C$6/($C$10+273))</f>
        <v>0</v>
      </c>
      <c r="F396" s="13"/>
      <c r="G396" s="13">
        <f>'Refrig Mass Flow &amp; Cond kW'!F387*$C$6*($G$19-$G$18)/1000</f>
        <v>1.1942696731366156</v>
      </c>
      <c r="H396">
        <f>'Refrig Mass Flow &amp; Cond kW'!F387*$C$6*($G$17-$G$16)/1000</f>
        <v>7.4466226677927523</v>
      </c>
      <c r="I396">
        <f>'Refrig Mass Flow &amp; Cond kW'!F387*(($G$13-$G$14)-$C$6*($G$17-$G$18)/1000)-'Refrig Mass Flow &amp; Cond kW'!E387*(1-$C$6/($G$10+273))</f>
        <v>3.2959501273327803</v>
      </c>
    </row>
    <row r="397" spans="2:9" x14ac:dyDescent="0.2">
      <c r="B397" s="2">
        <v>374</v>
      </c>
      <c r="C397">
        <f>'Refrig Mass Flow &amp; Cond kW'!D388*$C$6*(($C$19-$C$18)/1000)</f>
        <v>0</v>
      </c>
      <c r="D397">
        <f>'Refrig Mass Flow &amp; Cond kW'!D388*Winter!$C$6*((Winter!$C$17-Winter!$C$16)/1000)</f>
        <v>0</v>
      </c>
      <c r="E397">
        <f>'Refrig Mass Flow &amp; Cond kW'!D388*(($C$13-$C$14)-$C$6*($C$17-$C$18)/1000)-'Refrig Mass Flow &amp; Cond kW'!C388*(1-$C$6/($C$10+273))</f>
        <v>0</v>
      </c>
      <c r="F397" s="13"/>
      <c r="G397" s="13">
        <f>'Refrig Mass Flow &amp; Cond kW'!F388*$C$6*($G$19-$G$18)/1000</f>
        <v>1.2190249994618527</v>
      </c>
      <c r="H397">
        <f>'Refrig Mass Flow &amp; Cond kW'!F388*$C$6*($G$17-$G$16)/1000</f>
        <v>7.6009794084089304</v>
      </c>
      <c r="I397">
        <f>'Refrig Mass Flow &amp; Cond kW'!F388*(($G$13-$G$14)-$C$6*($G$17-$G$18)/1000)-'Refrig Mass Flow &amp; Cond kW'!E388*(1-$C$6/($G$10+273))</f>
        <v>3.3642699740048698</v>
      </c>
    </row>
    <row r="398" spans="2:9" x14ac:dyDescent="0.2">
      <c r="B398" s="2">
        <v>375</v>
      </c>
      <c r="C398">
        <f>'Refrig Mass Flow &amp; Cond kW'!D389*$C$6*(($C$19-$C$18)/1000)</f>
        <v>0</v>
      </c>
      <c r="D398">
        <f>'Refrig Mass Flow &amp; Cond kW'!D389*Winter!$C$6*((Winter!$C$17-Winter!$C$16)/1000)</f>
        <v>0</v>
      </c>
      <c r="E398">
        <f>'Refrig Mass Flow &amp; Cond kW'!D389*(($C$13-$C$14)-$C$6*($C$17-$C$18)/1000)-'Refrig Mass Flow &amp; Cond kW'!C389*(1-$C$6/($C$10+273))</f>
        <v>0</v>
      </c>
      <c r="F398" s="13"/>
      <c r="G398" s="13">
        <f>'Refrig Mass Flow &amp; Cond kW'!F389*$C$6*($G$19-$G$18)/1000</f>
        <v>1.2434870005577197</v>
      </c>
      <c r="H398">
        <f>'Refrig Mass Flow &amp; Cond kW'!F389*$C$6*($G$17-$G$16)/1000</f>
        <v>7.753507179947861</v>
      </c>
      <c r="I398">
        <f>'Refrig Mass Flow &amp; Cond kW'!F389*(($G$13-$G$14)-$C$6*($G$17-$G$18)/1000)-'Refrig Mass Flow &amp; Cond kW'!E389*(1-$C$6/($G$10+273))</f>
        <v>3.431780300558664</v>
      </c>
    </row>
    <row r="399" spans="2:9" x14ac:dyDescent="0.2">
      <c r="B399" s="2">
        <v>376</v>
      </c>
      <c r="C399">
        <f>'Refrig Mass Flow &amp; Cond kW'!D390*$C$6*(($C$19-$C$18)/1000)</f>
        <v>0</v>
      </c>
      <c r="D399">
        <f>'Refrig Mass Flow &amp; Cond kW'!D390*Winter!$C$6*((Winter!$C$17-Winter!$C$16)/1000)</f>
        <v>0</v>
      </c>
      <c r="E399">
        <f>'Refrig Mass Flow &amp; Cond kW'!D390*(($C$13-$C$14)-$C$6*($C$17-$C$18)/1000)-'Refrig Mass Flow &amp; Cond kW'!C390*(1-$C$6/($C$10+273))</f>
        <v>0</v>
      </c>
      <c r="F399" s="13"/>
      <c r="G399" s="13">
        <f>'Refrig Mass Flow &amp; Cond kW'!F390*$C$6*($G$19-$G$18)/1000</f>
        <v>1.2679226472179279</v>
      </c>
      <c r="H399">
        <f>'Refrig Mass Flow &amp; Cond kW'!F390*$C$6*($G$17-$G$16)/1000</f>
        <v>7.9058706238291538</v>
      </c>
      <c r="I399">
        <f>'Refrig Mass Flow &amp; Cond kW'!F390*(($G$13-$G$14)-$C$6*($G$17-$G$18)/1000)-'Refrig Mass Flow &amp; Cond kW'!E390*(1-$C$6/($G$10+273))</f>
        <v>3.4992178940375638</v>
      </c>
    </row>
    <row r="400" spans="2:9" x14ac:dyDescent="0.2">
      <c r="B400" s="2">
        <v>377</v>
      </c>
      <c r="C400">
        <f>'Refrig Mass Flow &amp; Cond kW'!D391*$C$6*(($C$19-$C$18)/1000)</f>
        <v>0</v>
      </c>
      <c r="D400">
        <f>'Refrig Mass Flow &amp; Cond kW'!D391*Winter!$C$6*((Winter!$C$17-Winter!$C$16)/1000)</f>
        <v>0</v>
      </c>
      <c r="E400">
        <f>'Refrig Mass Flow &amp; Cond kW'!D391*(($C$13-$C$14)-$C$6*($C$17-$C$18)/1000)-'Refrig Mass Flow &amp; Cond kW'!C391*(1-$C$6/($C$10+273))</f>
        <v>0</v>
      </c>
      <c r="F400" s="13"/>
      <c r="G400" s="13">
        <f>'Refrig Mass Flow &amp; Cond kW'!F391*$C$6*($G$19-$G$18)/1000</f>
        <v>1.292222464359297</v>
      </c>
      <c r="H400">
        <f>'Refrig Mass Flow &amp; Cond kW'!F391*$C$6*($G$17-$G$16)/1000</f>
        <v>8.0573871307106266</v>
      </c>
      <c r="I400">
        <f>'Refrig Mass Flow &amp; Cond kW'!F391*(($G$13-$G$14)-$C$6*($G$17-$G$18)/1000)-'Refrig Mass Flow &amp; Cond kW'!E391*(1-$C$6/($G$10+273))</f>
        <v>3.5662806246777095</v>
      </c>
    </row>
    <row r="401" spans="2:9" x14ac:dyDescent="0.2">
      <c r="B401" s="2">
        <v>378</v>
      </c>
      <c r="C401">
        <f>'Refrig Mass Flow &amp; Cond kW'!D392*$C$6*(($C$19-$C$18)/1000)</f>
        <v>0</v>
      </c>
      <c r="D401">
        <f>'Refrig Mass Flow &amp; Cond kW'!D392*Winter!$C$6*((Winter!$C$17-Winter!$C$16)/1000)</f>
        <v>0</v>
      </c>
      <c r="E401">
        <f>'Refrig Mass Flow &amp; Cond kW'!D392*(($C$13-$C$14)-$C$6*($C$17-$C$18)/1000)-'Refrig Mass Flow &amp; Cond kW'!C392*(1-$C$6/($C$10+273))</f>
        <v>0</v>
      </c>
      <c r="F401" s="13"/>
      <c r="G401" s="13">
        <f>'Refrig Mass Flow &amp; Cond kW'!F392*$C$6*($G$19-$G$18)/1000</f>
        <v>1.3163576844395781</v>
      </c>
      <c r="H401">
        <f>'Refrig Mass Flow &amp; Cond kW'!F392*$C$6*($G$17-$G$16)/1000</f>
        <v>8.2078773265053151</v>
      </c>
      <c r="I401">
        <f>'Refrig Mass Flow &amp; Cond kW'!F392*(($G$13-$G$14)-$C$6*($G$17-$G$18)/1000)-'Refrig Mass Flow &amp; Cond kW'!E392*(1-$C$6/($G$10+273))</f>
        <v>3.6328890997031991</v>
      </c>
    </row>
    <row r="402" spans="2:9" x14ac:dyDescent="0.2">
      <c r="B402" s="2">
        <v>379</v>
      </c>
      <c r="C402">
        <f>'Refrig Mass Flow &amp; Cond kW'!D393*$C$6*(($C$19-$C$18)/1000)</f>
        <v>0</v>
      </c>
      <c r="D402">
        <f>'Refrig Mass Flow &amp; Cond kW'!D393*Winter!$C$6*((Winter!$C$17-Winter!$C$16)/1000)</f>
        <v>0</v>
      </c>
      <c r="E402">
        <f>'Refrig Mass Flow &amp; Cond kW'!D393*(($C$13-$C$14)-$C$6*($C$17-$C$18)/1000)-'Refrig Mass Flow &amp; Cond kW'!C393*(1-$C$6/($C$10+273))</f>
        <v>0</v>
      </c>
      <c r="F402" s="13"/>
      <c r="G402" s="13">
        <f>'Refrig Mass Flow &amp; Cond kW'!F393*$C$6*($G$19-$G$18)/1000</f>
        <v>1.340247151600779</v>
      </c>
      <c r="H402">
        <f>'Refrig Mass Flow &amp; Cond kW'!F393*$C$6*($G$17-$G$16)/1000</f>
        <v>8.3568351805692664</v>
      </c>
      <c r="I402">
        <f>'Refrig Mass Flow &amp; Cond kW'!F393*(($G$13-$G$14)-$C$6*($G$17-$G$18)/1000)-'Refrig Mass Flow &amp; Cond kW'!E393*(1-$C$6/($G$10+273))</f>
        <v>3.6988193448588547</v>
      </c>
    </row>
    <row r="403" spans="2:9" x14ac:dyDescent="0.2">
      <c r="B403" s="2">
        <v>380</v>
      </c>
      <c r="C403">
        <f>'Refrig Mass Flow &amp; Cond kW'!D394*$C$6*(($C$19-$C$18)/1000)</f>
        <v>0</v>
      </c>
      <c r="D403">
        <f>'Refrig Mass Flow &amp; Cond kW'!D394*Winter!$C$6*((Winter!$C$17-Winter!$C$16)/1000)</f>
        <v>0</v>
      </c>
      <c r="E403">
        <f>'Refrig Mass Flow &amp; Cond kW'!D394*(($C$13-$C$14)-$C$6*($C$17-$C$18)/1000)-'Refrig Mass Flow &amp; Cond kW'!C394*(1-$C$6/($C$10+273))</f>
        <v>0</v>
      </c>
      <c r="F403" s="13"/>
      <c r="G403" s="13">
        <f>'Refrig Mass Flow &amp; Cond kW'!F394*$C$6*($G$19-$G$18)/1000</f>
        <v>1.3638711247181361</v>
      </c>
      <c r="H403">
        <f>'Refrig Mass Flow &amp; Cond kW'!F394*$C$6*($G$17-$G$16)/1000</f>
        <v>8.5041376011833734</v>
      </c>
      <c r="I403">
        <f>'Refrig Mass Flow &amp; Cond kW'!F394*(($G$13-$G$14)-$C$6*($G$17-$G$18)/1000)-'Refrig Mass Flow &amp; Cond kW'!E394*(1-$C$6/($G$10+273))</f>
        <v>3.7640168785111712</v>
      </c>
    </row>
    <row r="404" spans="2:9" x14ac:dyDescent="0.2">
      <c r="B404" s="2">
        <v>381</v>
      </c>
      <c r="C404">
        <f>'Refrig Mass Flow &amp; Cond kW'!D395*$C$6*(($C$19-$C$18)/1000)</f>
        <v>0</v>
      </c>
      <c r="D404">
        <f>'Refrig Mass Flow &amp; Cond kW'!D395*Winter!$C$6*((Winter!$C$17-Winter!$C$16)/1000)</f>
        <v>0</v>
      </c>
      <c r="E404">
        <f>'Refrig Mass Flow &amp; Cond kW'!D395*(($C$13-$C$14)-$C$6*($C$17-$C$18)/1000)-'Refrig Mass Flow &amp; Cond kW'!C395*(1-$C$6/($C$10+273))</f>
        <v>0</v>
      </c>
      <c r="F404" s="13"/>
      <c r="G404" s="13">
        <f>'Refrig Mass Flow &amp; Cond kW'!F395*$C$6*($G$19-$G$18)/1000</f>
        <v>1.3871825150822701</v>
      </c>
      <c r="H404">
        <f>'Refrig Mass Flow &amp; Cond kW'!F395*$C$6*($G$17-$G$16)/1000</f>
        <v>8.6494909763950254</v>
      </c>
      <c r="I404">
        <f>'Refrig Mass Flow &amp; Cond kW'!F395*(($G$13-$G$14)-$C$6*($G$17-$G$18)/1000)-'Refrig Mass Flow &amp; Cond kW'!E395*(1-$C$6/($G$10+273))</f>
        <v>3.8283517450553219</v>
      </c>
    </row>
    <row r="405" spans="2:9" x14ac:dyDescent="0.2">
      <c r="B405" s="2">
        <v>382</v>
      </c>
      <c r="C405">
        <f>'Refrig Mass Flow &amp; Cond kW'!D396*$C$6*(($C$19-$C$18)/1000)</f>
        <v>0</v>
      </c>
      <c r="D405">
        <f>'Refrig Mass Flow &amp; Cond kW'!D396*Winter!$C$6*((Winter!$C$17-Winter!$C$16)/1000)</f>
        <v>0</v>
      </c>
      <c r="E405">
        <f>'Refrig Mass Flow &amp; Cond kW'!D396*(($C$13-$C$14)-$C$6*($C$17-$C$18)/1000)-'Refrig Mass Flow &amp; Cond kW'!C396*(1-$C$6/($C$10+273))</f>
        <v>0</v>
      </c>
      <c r="F405" s="13"/>
      <c r="G405" s="13">
        <f>'Refrig Mass Flow &amp; Cond kW'!F396*$C$6*($G$19-$G$18)/1000</f>
        <v>1.4102563096870442</v>
      </c>
      <c r="H405">
        <f>'Refrig Mass Flow &amp; Cond kW'!F396*$C$6*($G$17-$G$16)/1000</f>
        <v>8.7933628721659662</v>
      </c>
      <c r="I405">
        <f>'Refrig Mass Flow &amp; Cond kW'!F396*(($G$13-$G$14)-$C$6*($G$17-$G$18)/1000)-'Refrig Mass Flow &amp; Cond kW'!E396*(1-$C$6/($G$10+273))</f>
        <v>3.8920308938910466</v>
      </c>
    </row>
    <row r="406" spans="2:9" x14ac:dyDescent="0.2">
      <c r="B406" s="2">
        <v>383</v>
      </c>
      <c r="C406">
        <f>'Refrig Mass Flow &amp; Cond kW'!D397*$C$6*(($C$19-$C$18)/1000)</f>
        <v>0</v>
      </c>
      <c r="D406">
        <f>'Refrig Mass Flow &amp; Cond kW'!D397*Winter!$C$6*((Winter!$C$17-Winter!$C$16)/1000)</f>
        <v>0</v>
      </c>
      <c r="E406">
        <f>'Refrig Mass Flow &amp; Cond kW'!D397*(($C$13-$C$14)-$C$6*($C$17-$C$18)/1000)-'Refrig Mass Flow &amp; Cond kW'!C397*(1-$C$6/($C$10+273))</f>
        <v>0</v>
      </c>
      <c r="F406" s="13"/>
      <c r="G406" s="13">
        <f>'Refrig Mass Flow &amp; Cond kW'!F397*$C$6*($G$19-$G$18)/1000</f>
        <v>1.4332781972600965</v>
      </c>
      <c r="H406">
        <f>'Refrig Mass Flow &amp; Cond kW'!F397*$C$6*($G$17-$G$16)/1000</f>
        <v>8.9369111123273459</v>
      </c>
      <c r="I406">
        <f>'Refrig Mass Flow &amp; Cond kW'!F397*(($G$13-$G$14)-$C$6*($G$17-$G$18)/1000)-'Refrig Mass Flow &amp; Cond kW'!E397*(1-$C$6/($G$10+273))</f>
        <v>3.9555667894970625</v>
      </c>
    </row>
    <row r="407" spans="2:9" x14ac:dyDescent="0.2">
      <c r="B407" s="2">
        <v>384</v>
      </c>
      <c r="C407">
        <f>'Refrig Mass Flow &amp; Cond kW'!D398*$C$6*(($C$19-$C$18)/1000)</f>
        <v>0</v>
      </c>
      <c r="D407">
        <f>'Refrig Mass Flow &amp; Cond kW'!D398*Winter!$C$6*((Winter!$C$17-Winter!$C$16)/1000)</f>
        <v>0</v>
      </c>
      <c r="E407">
        <f>'Refrig Mass Flow &amp; Cond kW'!D398*(($C$13-$C$14)-$C$6*($C$17-$C$18)/1000)-'Refrig Mass Flow &amp; Cond kW'!C398*(1-$C$6/($C$10+273))</f>
        <v>0</v>
      </c>
      <c r="F407" s="13"/>
      <c r="G407" s="13">
        <f>'Refrig Mass Flow &amp; Cond kW'!F398*$C$6*($G$19-$G$18)/1000</f>
        <v>1.4560420335664059</v>
      </c>
      <c r="H407">
        <f>'Refrig Mass Flow &amp; Cond kW'!F398*$C$6*($G$17-$G$16)/1000</f>
        <v>9.0788503269431526</v>
      </c>
      <c r="I407">
        <f>'Refrig Mass Flow &amp; Cond kW'!F398*(($G$13-$G$14)-$C$6*($G$17-$G$18)/1000)-'Refrig Mass Flow &amp; Cond kW'!E398*(1-$C$6/($G$10+273))</f>
        <v>4.0183905142051586</v>
      </c>
    </row>
    <row r="408" spans="2:9" x14ac:dyDescent="0.2">
      <c r="B408" s="2">
        <v>385</v>
      </c>
      <c r="C408">
        <f>'Refrig Mass Flow &amp; Cond kW'!D399*$C$6*(($C$19-$C$18)/1000)</f>
        <v>0</v>
      </c>
      <c r="D408">
        <f>'Refrig Mass Flow &amp; Cond kW'!D399*Winter!$C$6*((Winter!$C$17-Winter!$C$16)/1000)</f>
        <v>0</v>
      </c>
      <c r="E408">
        <f>'Refrig Mass Flow &amp; Cond kW'!D399*(($C$13-$C$14)-$C$6*($C$17-$C$18)/1000)-'Refrig Mass Flow &amp; Cond kW'!C399*(1-$C$6/($C$10+273))</f>
        <v>0</v>
      </c>
      <c r="F408" s="13"/>
      <c r="G408" s="13">
        <f>'Refrig Mass Flow &amp; Cond kW'!F399*$C$6*($G$19-$G$18)/1000</f>
        <v>1.478760143668614</v>
      </c>
      <c r="H408">
        <f>'Refrig Mass Flow &amp; Cond kW'!F399*$C$6*($G$17-$G$16)/1000</f>
        <v>9.2205044252275012</v>
      </c>
      <c r="I408">
        <f>'Refrig Mass Flow &amp; Cond kW'!F399*(($G$13-$G$14)-$C$6*($G$17-$G$18)/1000)-'Refrig Mass Flow &amp; Cond kW'!E399*(1-$C$6/($G$10+273))</f>
        <v>4.0810880435558587</v>
      </c>
    </row>
    <row r="409" spans="2:9" x14ac:dyDescent="0.2">
      <c r="B409" s="2">
        <v>386</v>
      </c>
      <c r="C409">
        <f>'Refrig Mass Flow &amp; Cond kW'!D400*$C$6*(($C$19-$C$18)/1000)</f>
        <v>0</v>
      </c>
      <c r="D409">
        <f>'Refrig Mass Flow &amp; Cond kW'!D400*Winter!$C$6*((Winter!$C$17-Winter!$C$16)/1000)</f>
        <v>0</v>
      </c>
      <c r="E409">
        <f>'Refrig Mass Flow &amp; Cond kW'!D400*(($C$13-$C$14)-$C$6*($C$17-$C$18)/1000)-'Refrig Mass Flow &amp; Cond kW'!C400*(1-$C$6/($C$10+273))</f>
        <v>0</v>
      </c>
      <c r="F409" s="13"/>
      <c r="G409" s="13">
        <f>'Refrig Mass Flow &amp; Cond kW'!F400*$C$6*($G$19-$G$18)/1000</f>
        <v>1.5013414224613966</v>
      </c>
      <c r="H409">
        <f>'Refrig Mass Flow &amp; Cond kW'!F400*$C$6*($G$17-$G$16)/1000</f>
        <v>9.3613053400530841</v>
      </c>
      <c r="I409">
        <f>'Refrig Mass Flow &amp; Cond kW'!F400*(($G$13-$G$14)-$C$6*($G$17-$G$18)/1000)-'Refrig Mass Flow &amp; Cond kW'!E400*(1-$C$6/($G$10+273))</f>
        <v>4.1434079453222097</v>
      </c>
    </row>
    <row r="410" spans="2:9" x14ac:dyDescent="0.2">
      <c r="B410" s="2">
        <v>387</v>
      </c>
      <c r="C410">
        <f>'Refrig Mass Flow &amp; Cond kW'!D401*$C$6*(($C$19-$C$18)/1000)</f>
        <v>0</v>
      </c>
      <c r="D410">
        <f>'Refrig Mass Flow &amp; Cond kW'!D401*Winter!$C$6*((Winter!$C$17-Winter!$C$16)/1000)</f>
        <v>0</v>
      </c>
      <c r="E410">
        <f>'Refrig Mass Flow &amp; Cond kW'!D401*(($C$13-$C$14)-$C$6*($C$17-$C$18)/1000)-'Refrig Mass Flow &amp; Cond kW'!C401*(1-$C$6/($C$10+273))</f>
        <v>0</v>
      </c>
      <c r="F410" s="13"/>
      <c r="G410" s="13">
        <f>'Refrig Mass Flow &amp; Cond kW'!F401*$C$6*($G$19-$G$18)/1000</f>
        <v>1.523781515644163</v>
      </c>
      <c r="H410">
        <f>'Refrig Mass Flow &amp; Cond kW'!F401*$C$6*($G$17-$G$16)/1000</f>
        <v>9.5012259210750329</v>
      </c>
      <c r="I410">
        <f>'Refrig Mass Flow &amp; Cond kW'!F401*(($G$13-$G$14)-$C$6*($G$17-$G$18)/1000)-'Refrig Mass Flow &amp; Cond kW'!E401*(1-$C$6/($G$10+273))</f>
        <v>4.2053382024883703</v>
      </c>
    </row>
    <row r="411" spans="2:9" x14ac:dyDescent="0.2">
      <c r="B411" s="2">
        <v>388</v>
      </c>
      <c r="C411">
        <f>'Refrig Mass Flow &amp; Cond kW'!D402*$C$6*(($C$19-$C$18)/1000)</f>
        <v>0</v>
      </c>
      <c r="D411">
        <f>'Refrig Mass Flow &amp; Cond kW'!D402*Winter!$C$6*((Winter!$C$17-Winter!$C$16)/1000)</f>
        <v>0</v>
      </c>
      <c r="E411">
        <f>'Refrig Mass Flow &amp; Cond kW'!D402*(($C$13-$C$14)-$C$6*($C$17-$C$18)/1000)-'Refrig Mass Flow &amp; Cond kW'!C402*(1-$C$6/($C$10+273))</f>
        <v>0</v>
      </c>
      <c r="F411" s="13"/>
      <c r="G411" s="13">
        <f>'Refrig Mass Flow &amp; Cond kW'!F402*$C$6*($G$19-$G$18)/1000</f>
        <v>1.5460783889509544</v>
      </c>
      <c r="H411">
        <f>'Refrig Mass Flow &amp; Cond kW'!F402*$C$6*($G$17-$G$16)/1000</f>
        <v>9.6402534840467844</v>
      </c>
      <c r="I411">
        <f>'Refrig Mass Flow &amp; Cond kW'!F402*(($G$13-$G$14)-$C$6*($G$17-$G$18)/1000)-'Refrig Mass Flow &amp; Cond kW'!E402*(1-$C$6/($G$10+273))</f>
        <v>4.266873200879175</v>
      </c>
    </row>
    <row r="412" spans="2:9" x14ac:dyDescent="0.2">
      <c r="B412" s="2">
        <v>389</v>
      </c>
      <c r="C412">
        <f>'Refrig Mass Flow &amp; Cond kW'!D403*$C$6*(($C$19-$C$18)/1000)</f>
        <v>0</v>
      </c>
      <c r="D412">
        <f>'Refrig Mass Flow &amp; Cond kW'!D403*Winter!$C$6*((Winter!$C$17-Winter!$C$16)/1000)</f>
        <v>0</v>
      </c>
      <c r="E412">
        <f>'Refrig Mass Flow &amp; Cond kW'!D403*(($C$13-$C$14)-$C$6*($C$17-$C$18)/1000)-'Refrig Mass Flow &amp; Cond kW'!C403*(1-$C$6/($C$10+273))</f>
        <v>0</v>
      </c>
      <c r="F412" s="13"/>
      <c r="G412" s="13">
        <f>'Refrig Mass Flow &amp; Cond kW'!F403*$C$6*($G$19-$G$18)/1000</f>
        <v>1.568230021565201</v>
      </c>
      <c r="H412">
        <f>'Refrig Mass Flow &amp; Cond kW'!F403*$C$6*($G$17-$G$16)/1000</f>
        <v>9.7783754285826721</v>
      </c>
      <c r="I412">
        <f>'Refrig Mass Flow &amp; Cond kW'!F403*(($G$13-$G$14)-$C$6*($G$17-$G$18)/1000)-'Refrig Mass Flow &amp; Cond kW'!E403*(1-$C$6/($G$10+273))</f>
        <v>4.3280073634371092</v>
      </c>
    </row>
    <row r="413" spans="2:9" x14ac:dyDescent="0.2">
      <c r="B413" s="2">
        <v>390</v>
      </c>
      <c r="C413">
        <f>'Refrig Mass Flow &amp; Cond kW'!D404*$C$6*(($C$19-$C$18)/1000)</f>
        <v>0</v>
      </c>
      <c r="D413">
        <f>'Refrig Mass Flow &amp; Cond kW'!D404*Winter!$C$6*((Winter!$C$17-Winter!$C$16)/1000)</f>
        <v>0</v>
      </c>
      <c r="E413">
        <f>'Refrig Mass Flow &amp; Cond kW'!D404*(($C$13-$C$14)-$C$6*($C$17-$C$18)/1000)-'Refrig Mass Flow &amp; Cond kW'!C404*(1-$C$6/($C$10+273))</f>
        <v>0</v>
      </c>
      <c r="F413" s="13"/>
      <c r="G413" s="13">
        <f>'Refrig Mass Flow &amp; Cond kW'!F404*$C$6*($G$19-$G$18)/1000</f>
        <v>1.5902344063026403</v>
      </c>
      <c r="H413">
        <f>'Refrig Mass Flow &amp; Cond kW'!F404*$C$6*($G$17-$G$16)/1000</f>
        <v>9.9155792392984665</v>
      </c>
      <c r="I413">
        <f>'Refrig Mass Flow &amp; Cond kW'!F404*(($G$13-$G$14)-$C$6*($G$17-$G$18)/1000)-'Refrig Mass Flow &amp; Cond kW'!E404*(1-$C$6/($G$10+273))</f>
        <v>4.3887351507272001</v>
      </c>
    </row>
    <row r="414" spans="2:9" x14ac:dyDescent="0.2">
      <c r="B414" s="2">
        <v>391</v>
      </c>
      <c r="C414">
        <f>'Refrig Mass Flow &amp; Cond kW'!D405*$C$6*(($C$19-$C$18)/1000)</f>
        <v>0</v>
      </c>
      <c r="D414">
        <f>'Refrig Mass Flow &amp; Cond kW'!D405*Winter!$C$6*((Winter!$C$17-Winter!$C$16)/1000)</f>
        <v>0</v>
      </c>
      <c r="E414">
        <f>'Refrig Mass Flow &amp; Cond kW'!D405*(($C$13-$C$14)-$C$6*($C$17-$C$18)/1000)-'Refrig Mass Flow &amp; Cond kW'!C405*(1-$C$6/($C$10+273))</f>
        <v>0</v>
      </c>
      <c r="F414" s="13"/>
      <c r="G414" s="13">
        <f>'Refrig Mass Flow &amp; Cond kW'!F405*$C$6*($G$19-$G$18)/1000</f>
        <v>1.6123904835019385</v>
      </c>
      <c r="H414">
        <f>'Refrig Mass Flow &amp; Cond kW'!F405*$C$6*($G$17-$G$16)/1000</f>
        <v>10.053728897129378</v>
      </c>
      <c r="I414">
        <f>'Refrig Mass Flow &amp; Cond kW'!F405*(($G$13-$G$14)-$C$6*($G$17-$G$18)/1000)-'Refrig Mass Flow &amp; Cond kW'!E405*(1-$C$6/($G$10+273))</f>
        <v>4.4498815794684035</v>
      </c>
    </row>
    <row r="415" spans="2:9" x14ac:dyDescent="0.2">
      <c r="B415" s="2">
        <v>392</v>
      </c>
      <c r="C415">
        <f>'Refrig Mass Flow &amp; Cond kW'!D406*$C$6*(($C$19-$C$18)/1000)</f>
        <v>0</v>
      </c>
      <c r="D415">
        <f>'Refrig Mass Flow &amp; Cond kW'!D406*Winter!$C$6*((Winter!$C$17-Winter!$C$16)/1000)</f>
        <v>0</v>
      </c>
      <c r="E415">
        <f>'Refrig Mass Flow &amp; Cond kW'!D406*(($C$13-$C$14)-$C$6*($C$17-$C$18)/1000)-'Refrig Mass Flow &amp; Cond kW'!C406*(1-$C$6/($C$10+273))</f>
        <v>0</v>
      </c>
      <c r="F415" s="13"/>
      <c r="G415" s="13">
        <f>'Refrig Mass Flow &amp; Cond kW'!F406*$C$6*($G$19-$G$18)/1000</f>
        <v>1.6345633675612463</v>
      </c>
      <c r="H415">
        <f>'Refrig Mass Flow &amp; Cond kW'!F406*$C$6*($G$17-$G$16)/1000</f>
        <v>10.191983350675647</v>
      </c>
      <c r="I415">
        <f>'Refrig Mass Flow &amp; Cond kW'!F406*(($G$13-$G$14)-$C$6*($G$17-$G$18)/1000)-'Refrig Mass Flow &amp; Cond kW'!E406*(1-$C$6/($G$10+273))</f>
        <v>4.5110743918477567</v>
      </c>
    </row>
    <row r="416" spans="2:9" x14ac:dyDescent="0.2">
      <c r="B416" s="2">
        <v>393</v>
      </c>
      <c r="C416">
        <f>'Refrig Mass Flow &amp; Cond kW'!D407*$C$6*(($C$19-$C$18)/1000)</f>
        <v>0</v>
      </c>
      <c r="D416">
        <f>'Refrig Mass Flow &amp; Cond kW'!D407*Winter!$C$6*((Winter!$C$17-Winter!$C$16)/1000)</f>
        <v>0</v>
      </c>
      <c r="E416">
        <f>'Refrig Mass Flow &amp; Cond kW'!D407*(($C$13-$C$14)-$C$6*($C$17-$C$18)/1000)-'Refrig Mass Flow &amp; Cond kW'!C407*(1-$C$6/($C$10+273))</f>
        <v>0</v>
      </c>
      <c r="F416" s="13"/>
      <c r="G416" s="13">
        <f>'Refrig Mass Flow &amp; Cond kW'!F407*$C$6*($G$19-$G$18)/1000</f>
        <v>1.6566993137573884</v>
      </c>
      <c r="H416">
        <f>'Refrig Mass Flow &amp; Cond kW'!F407*$C$6*($G$17-$G$16)/1000</f>
        <v>10.330007485780998</v>
      </c>
      <c r="I416">
        <f>'Refrig Mass Flow &amp; Cond kW'!F407*(($G$13-$G$14)-$C$6*($G$17-$G$18)/1000)-'Refrig Mass Flow &amp; Cond kW'!E407*(1-$C$6/($G$10+273))</f>
        <v>4.572165262967502</v>
      </c>
    </row>
    <row r="417" spans="2:9" x14ac:dyDescent="0.2">
      <c r="B417" s="2">
        <v>394</v>
      </c>
      <c r="C417">
        <f>'Refrig Mass Flow &amp; Cond kW'!D408*$C$6*(($C$19-$C$18)/1000)</f>
        <v>0</v>
      </c>
      <c r="D417">
        <f>'Refrig Mass Flow &amp; Cond kW'!D408*Winter!$C$6*((Winter!$C$17-Winter!$C$16)/1000)</f>
        <v>0</v>
      </c>
      <c r="E417">
        <f>'Refrig Mass Flow &amp; Cond kW'!D408*(($C$13-$C$14)-$C$6*($C$17-$C$18)/1000)-'Refrig Mass Flow &amp; Cond kW'!C408*(1-$C$6/($C$10+273))</f>
        <v>0</v>
      </c>
      <c r="F417" s="13"/>
      <c r="G417" s="13">
        <f>'Refrig Mass Flow &amp; Cond kW'!F408*$C$6*($G$19-$G$18)/1000</f>
        <v>1.6784418322356709</v>
      </c>
      <c r="H417">
        <f>'Refrig Mass Flow &amp; Cond kW'!F408*$C$6*($G$17-$G$16)/1000</f>
        <v>10.465578483351461</v>
      </c>
      <c r="I417">
        <f>'Refrig Mass Flow &amp; Cond kW'!F408*(($G$13-$G$14)-$C$6*($G$17-$G$18)/1000)-'Refrig Mass Flow &amp; Cond kW'!E408*(1-$C$6/($G$10+273))</f>
        <v>4.63217035072865</v>
      </c>
    </row>
    <row r="418" spans="2:9" x14ac:dyDescent="0.2">
      <c r="B418" s="2">
        <v>395</v>
      </c>
      <c r="C418">
        <f>'Refrig Mass Flow &amp; Cond kW'!D409*$C$6*(($C$19-$C$18)/1000)</f>
        <v>0</v>
      </c>
      <c r="D418">
        <f>'Refrig Mass Flow &amp; Cond kW'!D409*Winter!$C$6*((Winter!$C$17-Winter!$C$16)/1000)</f>
        <v>0</v>
      </c>
      <c r="E418">
        <f>'Refrig Mass Flow &amp; Cond kW'!D409*(($C$13-$C$14)-$C$6*($C$17-$C$18)/1000)-'Refrig Mass Flow &amp; Cond kW'!C409*(1-$C$6/($C$10+273))</f>
        <v>0</v>
      </c>
      <c r="F418" s="13"/>
      <c r="G418" s="13">
        <f>'Refrig Mass Flow &amp; Cond kW'!F409*$C$6*($G$19-$G$18)/1000</f>
        <v>1.6999324550735688</v>
      </c>
      <c r="H418">
        <f>'Refrig Mass Flow &amp; Cond kW'!F409*$C$6*($G$17-$G$16)/1000</f>
        <v>10.599578837517173</v>
      </c>
      <c r="I418">
        <f>'Refrig Mass Flow &amp; Cond kW'!F409*(($G$13-$G$14)-$C$6*($G$17-$G$18)/1000)-'Refrig Mass Flow &amp; Cond kW'!E409*(1-$C$6/($G$10+273))</f>
        <v>4.6914802559136319</v>
      </c>
    </row>
    <row r="419" spans="2:9" x14ac:dyDescent="0.2">
      <c r="B419" s="2">
        <v>396</v>
      </c>
      <c r="C419">
        <f>'Refrig Mass Flow &amp; Cond kW'!D410*$C$6*(($C$19-$C$18)/1000)</f>
        <v>0</v>
      </c>
      <c r="D419">
        <f>'Refrig Mass Flow &amp; Cond kW'!D410*Winter!$C$6*((Winter!$C$17-Winter!$C$16)/1000)</f>
        <v>0</v>
      </c>
      <c r="E419">
        <f>'Refrig Mass Flow &amp; Cond kW'!D410*(($C$13-$C$14)-$C$6*($C$17-$C$18)/1000)-'Refrig Mass Flow &amp; Cond kW'!C410*(1-$C$6/($C$10+273))</f>
        <v>0</v>
      </c>
      <c r="F419" s="13"/>
      <c r="G419" s="13">
        <f>'Refrig Mass Flow &amp; Cond kW'!F410*$C$6*($G$19-$G$18)/1000</f>
        <v>1.7211413192154057</v>
      </c>
      <c r="H419">
        <f>'Refrig Mass Flow &amp; Cond kW'!F410*$C$6*($G$17-$G$16)/1000</f>
        <v>10.731822343342738</v>
      </c>
      <c r="I419">
        <f>'Refrig Mass Flow &amp; Cond kW'!F410*(($G$13-$G$14)-$C$6*($G$17-$G$18)/1000)-'Refrig Mass Flow &amp; Cond kW'!E410*(1-$C$6/($G$10+273))</f>
        <v>4.7500125623442742</v>
      </c>
    </row>
    <row r="420" spans="2:9" x14ac:dyDescent="0.2">
      <c r="B420" s="2">
        <v>397</v>
      </c>
      <c r="C420">
        <f>'Refrig Mass Flow &amp; Cond kW'!D411*$C$6*(($C$19-$C$18)/1000)</f>
        <v>0</v>
      </c>
      <c r="D420">
        <f>'Refrig Mass Flow &amp; Cond kW'!D411*Winter!$C$6*((Winter!$C$17-Winter!$C$16)/1000)</f>
        <v>0</v>
      </c>
      <c r="E420">
        <f>'Refrig Mass Flow &amp; Cond kW'!D411*(($C$13-$C$14)-$C$6*($C$17-$C$18)/1000)-'Refrig Mass Flow &amp; Cond kW'!C411*(1-$C$6/($C$10+273))</f>
        <v>0</v>
      </c>
      <c r="F420" s="13"/>
      <c r="G420" s="13">
        <f>'Refrig Mass Flow &amp; Cond kW'!F411*$C$6*($G$19-$G$18)/1000</f>
        <v>1.7420385963061535</v>
      </c>
      <c r="H420">
        <f>'Refrig Mass Flow &amp; Cond kW'!F411*$C$6*($G$17-$G$16)/1000</f>
        <v>10.862123012261515</v>
      </c>
      <c r="I420">
        <f>'Refrig Mass Flow &amp; Cond kW'!F411*(($G$13-$G$14)-$C$6*($G$17-$G$18)/1000)-'Refrig Mass Flow &amp; Cond kW'!E411*(1-$C$6/($G$10+273))</f>
        <v>4.8076849496094312</v>
      </c>
    </row>
    <row r="421" spans="2:9" x14ac:dyDescent="0.2">
      <c r="B421" s="2">
        <v>398</v>
      </c>
      <c r="C421">
        <f>'Refrig Mass Flow &amp; Cond kW'!D412*$C$6*(($C$19-$C$18)/1000)</f>
        <v>0</v>
      </c>
      <c r="D421">
        <f>'Refrig Mass Flow &amp; Cond kW'!D412*Winter!$C$6*((Winter!$C$17-Winter!$C$16)/1000)</f>
        <v>0</v>
      </c>
      <c r="E421">
        <f>'Refrig Mass Flow &amp; Cond kW'!D412*(($C$13-$C$14)-$C$6*($C$17-$C$18)/1000)-'Refrig Mass Flow &amp; Cond kW'!C412*(1-$C$6/($C$10+273))</f>
        <v>0</v>
      </c>
      <c r="F421" s="13"/>
      <c r="G421" s="13">
        <f>'Refrig Mass Flow &amp; Cond kW'!F412*$C$6*($G$19-$G$18)/1000</f>
        <v>1.7625944954059669</v>
      </c>
      <c r="H421">
        <f>'Refrig Mass Flow &amp; Cond kW'!F412*$C$6*($G$17-$G$16)/1000</f>
        <v>10.990295089001522</v>
      </c>
      <c r="I421">
        <f>'Refrig Mass Flow &amp; Cond kW'!F412*(($G$13-$G$14)-$C$6*($G$17-$G$18)/1000)-'Refrig Mass Flow &amp; Cond kW'!E412*(1-$C$6/($G$10+273))</f>
        <v>4.8644152005564578</v>
      </c>
    </row>
    <row r="422" spans="2:9" x14ac:dyDescent="0.2">
      <c r="B422" s="2">
        <v>399</v>
      </c>
      <c r="C422">
        <f>'Refrig Mass Flow &amp; Cond kW'!D413*$C$6*(($C$19-$C$18)/1000)</f>
        <v>0</v>
      </c>
      <c r="D422">
        <f>'Refrig Mass Flow &amp; Cond kW'!D413*Winter!$C$6*((Winter!$C$17-Winter!$C$16)/1000)</f>
        <v>0</v>
      </c>
      <c r="E422">
        <f>'Refrig Mass Flow &amp; Cond kW'!D413*(($C$13-$C$14)-$C$6*($C$17-$C$18)/1000)-'Refrig Mass Flow &amp; Cond kW'!C413*(1-$C$6/($C$10+273))</f>
        <v>0</v>
      </c>
      <c r="F422" s="13"/>
      <c r="G422" s="13">
        <f>'Refrig Mass Flow &amp; Cond kW'!F413*$C$6*($G$19-$G$18)/1000</f>
        <v>1.7827792657007808</v>
      </c>
      <c r="H422">
        <f>'Refrig Mass Flow &amp; Cond kW'!F413*$C$6*($G$17-$G$16)/1000</f>
        <v>11.116153068486829</v>
      </c>
      <c r="I422">
        <f>'Refrig Mass Flow &amp; Cond kW'!F413*(($G$13-$G$14)-$C$6*($G$17-$G$18)/1000)-'Refrig Mass Flow &amp; Cond kW'!E413*(1-$C$6/($G$10+273))</f>
        <v>4.920121208772045</v>
      </c>
    </row>
    <row r="423" spans="2:9" x14ac:dyDescent="0.2">
      <c r="B423" s="2">
        <v>400</v>
      </c>
      <c r="C423">
        <f>'Refrig Mass Flow &amp; Cond kW'!D414*$C$6*(($C$19-$C$18)/1000)</f>
        <v>0</v>
      </c>
      <c r="D423">
        <f>'Refrig Mass Flow &amp; Cond kW'!D414*Winter!$C$6*((Winter!$C$17-Winter!$C$16)/1000)</f>
        <v>0</v>
      </c>
      <c r="E423">
        <f>'Refrig Mass Flow &amp; Cond kW'!D414*(($C$13-$C$14)-$C$6*($C$17-$C$18)/1000)-'Refrig Mass Flow &amp; Cond kW'!C414*(1-$C$6/($C$10+273))</f>
        <v>0</v>
      </c>
      <c r="F423" s="13"/>
      <c r="G423" s="13">
        <f>'Refrig Mass Flow &amp; Cond kW'!F414*$C$6*($G$19-$G$18)/1000</f>
        <v>1.8029169623605275</v>
      </c>
      <c r="H423">
        <f>'Refrig Mass Flow &amp; Cond kW'!F414*$C$6*($G$17-$G$16)/1000</f>
        <v>11.241717530012304</v>
      </c>
      <c r="I423">
        <f>'Refrig Mass Flow &amp; Cond kW'!F414*(($G$13-$G$14)-$C$6*($G$17-$G$18)/1000)-'Refrig Mass Flow &amp; Cond kW'!E414*(1-$C$6/($G$10+273))</f>
        <v>4.9756973029849831</v>
      </c>
    </row>
    <row r="424" spans="2:9" x14ac:dyDescent="0.2">
      <c r="B424" s="2">
        <v>401</v>
      </c>
      <c r="C424">
        <f>'Refrig Mass Flow &amp; Cond kW'!D415*$C$6*(($C$19-$C$18)/1000)</f>
        <v>0</v>
      </c>
      <c r="D424">
        <f>'Refrig Mass Flow &amp; Cond kW'!D415*Winter!$C$6*((Winter!$C$17-Winter!$C$16)/1000)</f>
        <v>0</v>
      </c>
      <c r="E424">
        <f>'Refrig Mass Flow &amp; Cond kW'!D415*(($C$13-$C$14)-$C$6*($C$17-$C$18)/1000)-'Refrig Mass Flow &amp; Cond kW'!C415*(1-$C$6/($C$10+273))</f>
        <v>0</v>
      </c>
      <c r="F424" s="13"/>
      <c r="G424" s="13">
        <f>'Refrig Mass Flow &amp; Cond kW'!F415*$C$6*($G$19-$G$18)/1000</f>
        <v>1.8228699474414305</v>
      </c>
      <c r="H424">
        <f>'Refrig Mass Flow &amp; Cond kW'!F415*$C$6*($G$17-$G$16)/1000</f>
        <v>11.366130260516753</v>
      </c>
      <c r="I424">
        <f>'Refrig Mass Flow &amp; Cond kW'!F415*(($G$13-$G$14)-$C$6*($G$17-$G$18)/1000)-'Refrig Mass Flow &amp; Cond kW'!E415*(1-$C$6/($G$10+273))</f>
        <v>5.0307636294582352</v>
      </c>
    </row>
    <row r="425" spans="2:9" x14ac:dyDescent="0.2">
      <c r="B425" s="2">
        <v>402</v>
      </c>
      <c r="C425">
        <f>'Refrig Mass Flow &amp; Cond kW'!D416*$C$6*(($C$19-$C$18)/1000)</f>
        <v>0</v>
      </c>
      <c r="D425">
        <f>'Refrig Mass Flow &amp; Cond kW'!D416*Winter!$C$6*((Winter!$C$17-Winter!$C$16)/1000)</f>
        <v>0</v>
      </c>
      <c r="E425">
        <f>'Refrig Mass Flow &amp; Cond kW'!D416*(($C$13-$C$14)-$C$6*($C$17-$C$18)/1000)-'Refrig Mass Flow &amp; Cond kW'!C416*(1-$C$6/($C$10+273))</f>
        <v>0</v>
      </c>
      <c r="F425" s="13"/>
      <c r="G425" s="13">
        <f>'Refrig Mass Flow &amp; Cond kW'!F416*$C$6*($G$19-$G$18)/1000</f>
        <v>1.8425447402379795</v>
      </c>
      <c r="H425">
        <f>'Refrig Mass Flow &amp; Cond kW'!F416*$C$6*($G$17-$G$16)/1000</f>
        <v>11.488808380306997</v>
      </c>
      <c r="I425">
        <f>'Refrig Mass Flow &amp; Cond kW'!F416*(($G$13-$G$14)-$C$6*($G$17-$G$18)/1000)-'Refrig Mass Flow &amp; Cond kW'!E416*(1-$C$6/($G$10+273))</f>
        <v>5.0850621997742138</v>
      </c>
    </row>
    <row r="426" spans="2:9" x14ac:dyDescent="0.2">
      <c r="B426" s="2">
        <v>403</v>
      </c>
      <c r="C426">
        <f>'Refrig Mass Flow &amp; Cond kW'!D417*$C$6*(($C$19-$C$18)/1000)</f>
        <v>0</v>
      </c>
      <c r="D426">
        <f>'Refrig Mass Flow &amp; Cond kW'!D417*Winter!$C$6*((Winter!$C$17-Winter!$C$16)/1000)</f>
        <v>0</v>
      </c>
      <c r="E426">
        <f>'Refrig Mass Flow &amp; Cond kW'!D417*(($C$13-$C$14)-$C$6*($C$17-$C$18)/1000)-'Refrig Mass Flow &amp; Cond kW'!C417*(1-$C$6/($C$10+273))</f>
        <v>0</v>
      </c>
      <c r="F426" s="13"/>
      <c r="G426" s="13">
        <f>'Refrig Mass Flow &amp; Cond kW'!F417*$C$6*($G$19-$G$18)/1000</f>
        <v>1.7075914807145662</v>
      </c>
      <c r="H426">
        <f>'Refrig Mass Flow &amp; Cond kW'!F417*$C$6*($G$17-$G$16)/1000</f>
        <v>10.64733511504339</v>
      </c>
      <c r="I426">
        <f>'Refrig Mass Flow &amp; Cond kW'!F417*(($G$13-$G$14)-$C$6*($G$17-$G$18)/1000)-'Refrig Mass Flow &amp; Cond kW'!E417*(1-$C$6/($G$10+273))</f>
        <v>4.71261766491304</v>
      </c>
    </row>
    <row r="427" spans="2:9" x14ac:dyDescent="0.2">
      <c r="B427" s="2">
        <v>404</v>
      </c>
      <c r="C427">
        <f>'Refrig Mass Flow &amp; Cond kW'!D418*$C$6*(($C$19-$C$18)/1000)</f>
        <v>0</v>
      </c>
      <c r="D427">
        <f>'Refrig Mass Flow &amp; Cond kW'!D418*Winter!$C$6*((Winter!$C$17-Winter!$C$16)/1000)</f>
        <v>0</v>
      </c>
      <c r="E427">
        <f>'Refrig Mass Flow &amp; Cond kW'!D418*(($C$13-$C$14)-$C$6*($C$17-$C$18)/1000)-'Refrig Mass Flow &amp; Cond kW'!C418*(1-$C$6/($C$10+273))</f>
        <v>0</v>
      </c>
      <c r="F427" s="13"/>
      <c r="G427" s="13">
        <f>'Refrig Mass Flow &amp; Cond kW'!F418*$C$6*($G$19-$G$18)/1000</f>
        <v>1.660435642307776</v>
      </c>
      <c r="H427">
        <f>'Refrig Mass Flow &amp; Cond kW'!F418*$C$6*($G$17-$G$16)/1000</f>
        <v>10.353304593212826</v>
      </c>
      <c r="I427">
        <f>'Refrig Mass Flow &amp; Cond kW'!F418*(($G$13-$G$14)-$C$6*($G$17-$G$18)/1000)-'Refrig Mass Flow &amp; Cond kW'!E418*(1-$C$6/($G$10+273))</f>
        <v>4.5824767971531273</v>
      </c>
    </row>
    <row r="428" spans="2:9" x14ac:dyDescent="0.2">
      <c r="B428" s="2">
        <v>405</v>
      </c>
      <c r="C428">
        <f>'Refrig Mass Flow &amp; Cond kW'!D419*$C$6*(($C$19-$C$18)/1000)</f>
        <v>0</v>
      </c>
      <c r="D428">
        <f>'Refrig Mass Flow &amp; Cond kW'!D419*Winter!$C$6*((Winter!$C$17-Winter!$C$16)/1000)</f>
        <v>0</v>
      </c>
      <c r="E428">
        <f>'Refrig Mass Flow &amp; Cond kW'!D419*(($C$13-$C$14)-$C$6*($C$17-$C$18)/1000)-'Refrig Mass Flow &amp; Cond kW'!C419*(1-$C$6/($C$10+273))</f>
        <v>0</v>
      </c>
      <c r="F428" s="13"/>
      <c r="G428" s="13">
        <f>'Refrig Mass Flow &amp; Cond kW'!F419*$C$6*($G$19-$G$18)/1000</f>
        <v>1.6129502484086322</v>
      </c>
      <c r="H428">
        <f>'Refrig Mass Flow &amp; Cond kW'!F419*$C$6*($G$17-$G$16)/1000</f>
        <v>10.057219195959352</v>
      </c>
      <c r="I428">
        <f>'Refrig Mass Flow &amp; Cond kW'!F419*(($G$13-$G$14)-$C$6*($G$17-$G$18)/1000)-'Refrig Mass Flow &amp; Cond kW'!E419*(1-$C$6/($G$10+273))</f>
        <v>4.4514264208530463</v>
      </c>
    </row>
    <row r="429" spans="2:9" x14ac:dyDescent="0.2">
      <c r="B429" s="2">
        <v>406</v>
      </c>
      <c r="C429">
        <f>'Refrig Mass Flow &amp; Cond kW'!D420*$C$6*(($C$19-$C$18)/1000)</f>
        <v>0</v>
      </c>
      <c r="D429">
        <f>'Refrig Mass Flow &amp; Cond kW'!D420*Winter!$C$6*((Winter!$C$17-Winter!$C$16)/1000)</f>
        <v>0</v>
      </c>
      <c r="E429">
        <f>'Refrig Mass Flow &amp; Cond kW'!D420*(($C$13-$C$14)-$C$6*($C$17-$C$18)/1000)-'Refrig Mass Flow &amp; Cond kW'!C420*(1-$C$6/($C$10+273))</f>
        <v>0</v>
      </c>
      <c r="F429" s="13"/>
      <c r="G429" s="13">
        <f>'Refrig Mass Flow &amp; Cond kW'!F420*$C$6*($G$19-$G$18)/1000</f>
        <v>1.5652201988019059</v>
      </c>
      <c r="H429">
        <f>'Refrig Mass Flow &amp; Cond kW'!F420*$C$6*($G$17-$G$16)/1000</f>
        <v>9.7596082984115391</v>
      </c>
      <c r="I429">
        <f>'Refrig Mass Flow &amp; Cond kW'!F420*(($G$13-$G$14)-$C$6*($G$17-$G$18)/1000)-'Refrig Mass Flow &amp; Cond kW'!E420*(1-$C$6/($G$10+273))</f>
        <v>4.3197008427717449</v>
      </c>
    </row>
    <row r="430" spans="2:9" x14ac:dyDescent="0.2">
      <c r="B430" s="2">
        <v>407</v>
      </c>
      <c r="C430">
        <f>'Refrig Mass Flow &amp; Cond kW'!D421*$C$6*(($C$19-$C$18)/1000)</f>
        <v>0</v>
      </c>
      <c r="D430">
        <f>'Refrig Mass Flow &amp; Cond kW'!D421*Winter!$C$6*((Winter!$C$17-Winter!$C$16)/1000)</f>
        <v>0</v>
      </c>
      <c r="E430">
        <f>'Refrig Mass Flow &amp; Cond kW'!D421*(($C$13-$C$14)-$C$6*($C$17-$C$18)/1000)-'Refrig Mass Flow &amp; Cond kW'!C421*(1-$C$6/($C$10+273))</f>
        <v>0</v>
      </c>
      <c r="F430" s="13"/>
      <c r="G430" s="13">
        <f>'Refrig Mass Flow &amp; Cond kW'!F421*$C$6*($G$19-$G$18)/1000</f>
        <v>1.5174290804972967</v>
      </c>
      <c r="H430">
        <f>'Refrig Mass Flow &amp; Cond kW'!F421*$C$6*($G$17-$G$16)/1000</f>
        <v>9.4616166195710463</v>
      </c>
      <c r="I430">
        <f>'Refrig Mass Flow &amp; Cond kW'!F421*(($G$13-$G$14)-$C$6*($G$17-$G$18)/1000)-'Refrig Mass Flow &amp; Cond kW'!E421*(1-$C$6/($G$10+273))</f>
        <v>4.1878067270585362</v>
      </c>
    </row>
    <row r="431" spans="2:9" x14ac:dyDescent="0.2">
      <c r="B431" s="2">
        <v>408</v>
      </c>
      <c r="C431">
        <f>'Refrig Mass Flow &amp; Cond kW'!D422*$C$6*(($C$19-$C$18)/1000)</f>
        <v>0</v>
      </c>
      <c r="D431">
        <f>'Refrig Mass Flow &amp; Cond kW'!D422*Winter!$C$6*((Winter!$C$17-Winter!$C$16)/1000)</f>
        <v>0</v>
      </c>
      <c r="E431">
        <f>'Refrig Mass Flow &amp; Cond kW'!D422*(($C$13-$C$14)-$C$6*($C$17-$C$18)/1000)-'Refrig Mass Flow &amp; Cond kW'!C422*(1-$C$6/($C$10+273))</f>
        <v>0</v>
      </c>
      <c r="F431" s="13"/>
      <c r="G431" s="13">
        <f>'Refrig Mass Flow &amp; Cond kW'!F422*$C$6*($G$19-$G$18)/1000</f>
        <v>1.4693698335458565</v>
      </c>
      <c r="H431">
        <f>'Refrig Mass Flow &amp; Cond kW'!F422*$C$6*($G$17-$G$16)/1000</f>
        <v>9.1619530797561932</v>
      </c>
      <c r="I431">
        <f>'Refrig Mass Flow &amp; Cond kW'!F422*(($G$13-$G$14)-$C$6*($G$17-$G$18)/1000)-'Refrig Mass Flow &amp; Cond kW'!E422*(1-$C$6/($G$10+273))</f>
        <v>4.0551726288543293</v>
      </c>
    </row>
    <row r="432" spans="2:9" x14ac:dyDescent="0.2">
      <c r="B432" s="2">
        <v>409</v>
      </c>
      <c r="C432">
        <f>'Refrig Mass Flow &amp; Cond kW'!D423*$C$6*(($C$19-$C$18)/1000)</f>
        <v>0</v>
      </c>
      <c r="D432">
        <f>'Refrig Mass Flow &amp; Cond kW'!D423*Winter!$C$6*((Winter!$C$17-Winter!$C$16)/1000)</f>
        <v>0</v>
      </c>
      <c r="E432">
        <f>'Refrig Mass Flow &amp; Cond kW'!D423*(($C$13-$C$14)-$C$6*($C$17-$C$18)/1000)-'Refrig Mass Flow &amp; Cond kW'!C423*(1-$C$6/($C$10+273))</f>
        <v>0</v>
      </c>
      <c r="F432" s="13"/>
      <c r="G432" s="13">
        <f>'Refrig Mass Flow &amp; Cond kW'!F423*$C$6*($G$19-$G$18)/1000</f>
        <v>1.4212859770516928</v>
      </c>
      <c r="H432">
        <f>'Refrig Mass Flow &amp; Cond kW'!F423*$C$6*($G$17-$G$16)/1000</f>
        <v>8.8621360922043593</v>
      </c>
      <c r="I432">
        <f>'Refrig Mass Flow &amp; Cond kW'!F423*(($G$13-$G$14)-$C$6*($G$17-$G$18)/1000)-'Refrig Mass Flow &amp; Cond kW'!E423*(1-$C$6/($G$10+273))</f>
        <v>3.9224706131376053</v>
      </c>
    </row>
    <row r="433" spans="2:9" x14ac:dyDescent="0.2">
      <c r="B433" s="2">
        <v>410</v>
      </c>
      <c r="C433">
        <f>'Refrig Mass Flow &amp; Cond kW'!D424*$C$6*(($C$19-$C$18)/1000)</f>
        <v>0</v>
      </c>
      <c r="D433">
        <f>'Refrig Mass Flow &amp; Cond kW'!D424*Winter!$C$6*((Winter!$C$17-Winter!$C$16)/1000)</f>
        <v>0</v>
      </c>
      <c r="E433">
        <f>'Refrig Mass Flow &amp; Cond kW'!D424*(($C$13-$C$14)-$C$6*($C$17-$C$18)/1000)-'Refrig Mass Flow &amp; Cond kW'!C424*(1-$C$6/($C$10+273))</f>
        <v>0</v>
      </c>
      <c r="F433" s="13"/>
      <c r="G433" s="13">
        <f>'Refrig Mass Flow &amp; Cond kW'!F424*$C$6*($G$19-$G$18)/1000</f>
        <v>1.373084040602718</v>
      </c>
      <c r="H433">
        <f>'Refrig Mass Flow &amp; Cond kW'!F424*$C$6*($G$17-$G$16)/1000</f>
        <v>8.5615828414048813</v>
      </c>
      <c r="I433">
        <f>'Refrig Mass Flow &amp; Cond kW'!F424*(($G$13-$G$14)-$C$6*($G$17-$G$18)/1000)-'Refrig Mass Flow &amp; Cond kW'!E424*(1-$C$6/($G$10+273))</f>
        <v>3.7894427198985241</v>
      </c>
    </row>
    <row r="434" spans="2:9" x14ac:dyDescent="0.2">
      <c r="B434" s="2">
        <v>411</v>
      </c>
      <c r="C434">
        <f>'Refrig Mass Flow &amp; Cond kW'!D425*$C$6*(($C$19-$C$18)/1000)</f>
        <v>0</v>
      </c>
      <c r="D434">
        <f>'Refrig Mass Flow &amp; Cond kW'!D425*Winter!$C$6*((Winter!$C$17-Winter!$C$16)/1000)</f>
        <v>0</v>
      </c>
      <c r="E434">
        <f>'Refrig Mass Flow &amp; Cond kW'!D425*(($C$13-$C$14)-$C$6*($C$17-$C$18)/1000)-'Refrig Mass Flow &amp; Cond kW'!C425*(1-$C$6/($C$10+273))</f>
        <v>0</v>
      </c>
      <c r="F434" s="13"/>
      <c r="G434" s="13">
        <f>'Refrig Mass Flow &amp; Cond kW'!F425*$C$6*($G$19-$G$18)/1000</f>
        <v>1.3247639102140716</v>
      </c>
      <c r="H434">
        <f>'Refrig Mass Flow &amp; Cond kW'!F425*$C$6*($G$17-$G$16)/1000</f>
        <v>8.2602926166286252</v>
      </c>
      <c r="I434">
        <f>'Refrig Mass Flow &amp; Cond kW'!F425*(($G$13-$G$14)-$C$6*($G$17-$G$18)/1000)-'Refrig Mass Flow &amp; Cond kW'!E425*(1-$C$6/($G$10+273))</f>
        <v>3.6560886345612289</v>
      </c>
    </row>
    <row r="435" spans="2:9" x14ac:dyDescent="0.2">
      <c r="B435" s="2">
        <v>412</v>
      </c>
      <c r="C435">
        <f>'Refrig Mass Flow &amp; Cond kW'!D426*$C$6*(($C$19-$C$18)/1000)</f>
        <v>0</v>
      </c>
      <c r="D435">
        <f>'Refrig Mass Flow &amp; Cond kW'!D426*Winter!$C$6*((Winter!$C$17-Winter!$C$16)/1000)</f>
        <v>0</v>
      </c>
      <c r="E435">
        <f>'Refrig Mass Flow &amp; Cond kW'!D426*(($C$13-$C$14)-$C$6*($C$17-$C$18)/1000)-'Refrig Mass Flow &amp; Cond kW'!C426*(1-$C$6/($C$10+273))</f>
        <v>0</v>
      </c>
      <c r="F435" s="13"/>
      <c r="G435" s="13">
        <f>'Refrig Mass Flow &amp; Cond kW'!F426*$C$6*($G$19-$G$18)/1000</f>
        <v>1.2763300332838006</v>
      </c>
      <c r="H435">
        <f>'Refrig Mass Flow &amp; Cond kW'!F426*$C$6*($G$17-$G$16)/1000</f>
        <v>7.9582931487104744</v>
      </c>
      <c r="I435">
        <f>'Refrig Mass Flow &amp; Cond kW'!F426*(($G$13-$G$14)-$C$6*($G$17-$G$18)/1000)-'Refrig Mass Flow &amp; Cond kW'!E426*(1-$C$6/($G$10+273))</f>
        <v>3.5224206310722934</v>
      </c>
    </row>
    <row r="436" spans="2:9" x14ac:dyDescent="0.2">
      <c r="B436" s="2">
        <v>413</v>
      </c>
      <c r="C436">
        <f>'Refrig Mass Flow &amp; Cond kW'!D427*$C$6*(($C$19-$C$18)/1000)</f>
        <v>0</v>
      </c>
      <c r="D436">
        <f>'Refrig Mass Flow &amp; Cond kW'!D427*Winter!$C$6*((Winter!$C$17-Winter!$C$16)/1000)</f>
        <v>0</v>
      </c>
      <c r="E436">
        <f>'Refrig Mass Flow &amp; Cond kW'!D427*(($C$13-$C$14)-$C$6*($C$17-$C$18)/1000)-'Refrig Mass Flow &amp; Cond kW'!C427*(1-$C$6/($C$10+273))</f>
        <v>0</v>
      </c>
      <c r="F436" s="13"/>
      <c r="G436" s="13">
        <f>'Refrig Mass Flow &amp; Cond kW'!F427*$C$6*($G$19-$G$18)/1000</f>
        <v>1.2277868669290408</v>
      </c>
      <c r="H436">
        <f>'Refrig Mass Flow &amp; Cond kW'!F427*$C$6*($G$17-$G$16)/1000</f>
        <v>7.6556122290866897</v>
      </c>
      <c r="I436">
        <f>'Refrig Mass Flow &amp; Cond kW'!F427*(($G$13-$G$14)-$C$6*($G$17-$G$18)/1000)-'Refrig Mass Flow &amp; Cond kW'!E427*(1-$C$6/($G$10+273))</f>
        <v>3.3884510102010879</v>
      </c>
    </row>
    <row r="437" spans="2:9" x14ac:dyDescent="0.2">
      <c r="B437" s="2">
        <v>414</v>
      </c>
      <c r="C437">
        <f>'Refrig Mass Flow &amp; Cond kW'!D428*$C$6*(($C$19-$C$18)/1000)</f>
        <v>0</v>
      </c>
      <c r="D437">
        <f>'Refrig Mass Flow &amp; Cond kW'!D428*Winter!$C$6*((Winter!$C$17-Winter!$C$16)/1000)</f>
        <v>0</v>
      </c>
      <c r="E437">
        <f>'Refrig Mass Flow &amp; Cond kW'!D428*(($C$13-$C$14)-$C$6*($C$17-$C$18)/1000)-'Refrig Mass Flow &amp; Cond kW'!C428*(1-$C$6/($C$10+273))</f>
        <v>0</v>
      </c>
      <c r="F437" s="13"/>
      <c r="G437" s="13">
        <f>'Refrig Mass Flow &amp; Cond kW'!F428*$C$6*($G$19-$G$18)/1000</f>
        <v>1.179138877575961</v>
      </c>
      <c r="H437">
        <f>'Refrig Mass Flow &amp; Cond kW'!F428*$C$6*($G$17-$G$16)/1000</f>
        <v>7.3522777072380849</v>
      </c>
      <c r="I437">
        <f>'Refrig Mass Flow &amp; Cond kW'!F428*(($G$13-$G$14)-$C$6*($G$17-$G$18)/1000)-'Refrig Mass Flow &amp; Cond kW'!E428*(1-$C$6/($G$10+273))</f>
        <v>3.2541920984080335</v>
      </c>
    </row>
    <row r="438" spans="2:9" x14ac:dyDescent="0.2">
      <c r="B438" s="2">
        <v>415</v>
      </c>
      <c r="C438">
        <f>'Refrig Mass Flow &amp; Cond kW'!D429*$C$6*(($C$19-$C$18)/1000)</f>
        <v>0</v>
      </c>
      <c r="D438">
        <f>'Refrig Mass Flow &amp; Cond kW'!D429*Winter!$C$6*((Winter!$C$17-Winter!$C$16)/1000)</f>
        <v>0</v>
      </c>
      <c r="E438">
        <f>'Refrig Mass Flow &amp; Cond kW'!D429*(($C$13-$C$14)-$C$6*($C$17-$C$18)/1000)-'Refrig Mass Flow &amp; Cond kW'!C429*(1-$C$6/($C$10+273))</f>
        <v>0</v>
      </c>
      <c r="F438" s="13"/>
      <c r="G438" s="13">
        <f>'Refrig Mass Flow &amp; Cond kW'!F429*$C$6*($G$19-$G$18)/1000</f>
        <v>1.1307025637291079</v>
      </c>
      <c r="H438">
        <f>'Refrig Mass Flow &amp; Cond kW'!F429*$C$6*($G$17-$G$16)/1000</f>
        <v>7.0502630444283056</v>
      </c>
      <c r="I438">
        <f>'Refrig Mass Flow &amp; Cond kW'!F429*(($G$13-$G$14)-$C$6*($G$17-$G$18)/1000)-'Refrig Mass Flow &amp; Cond kW'!E429*(1-$C$6/($G$10+273))</f>
        <v>3.1205173695071693</v>
      </c>
    </row>
    <row r="439" spans="2:9" x14ac:dyDescent="0.2">
      <c r="B439" s="2">
        <v>416</v>
      </c>
      <c r="C439">
        <f>'Refrig Mass Flow &amp; Cond kW'!D430*$C$6*(($C$19-$C$18)/1000)</f>
        <v>0</v>
      </c>
      <c r="D439">
        <f>'Refrig Mass Flow &amp; Cond kW'!D430*Winter!$C$6*((Winter!$C$17-Winter!$C$16)/1000)</f>
        <v>0</v>
      </c>
      <c r="E439">
        <f>'Refrig Mass Flow &amp; Cond kW'!D430*(($C$13-$C$14)-$C$6*($C$17-$C$18)/1000)-'Refrig Mass Flow &amp; Cond kW'!C430*(1-$C$6/($C$10+273))</f>
        <v>0</v>
      </c>
      <c r="F439" s="13"/>
      <c r="G439" s="13">
        <f>'Refrig Mass Flow &amp; Cond kW'!F430*$C$6*($G$19-$G$18)/1000</f>
        <v>1.0823459053003366</v>
      </c>
      <c r="H439">
        <f>'Refrig Mass Flow &amp; Cond kW'!F430*$C$6*($G$17-$G$16)/1000</f>
        <v>6.7487450565783318</v>
      </c>
      <c r="I439">
        <f>'Refrig Mass Flow &amp; Cond kW'!F430*(($G$13-$G$14)-$C$6*($G$17-$G$18)/1000)-'Refrig Mass Flow &amp; Cond kW'!E430*(1-$C$6/($G$10+273))</f>
        <v>2.9870624739414922</v>
      </c>
    </row>
    <row r="440" spans="2:9" x14ac:dyDescent="0.2">
      <c r="B440" s="2">
        <v>417</v>
      </c>
      <c r="C440">
        <f>'Refrig Mass Flow &amp; Cond kW'!D431*$C$6*(($C$19-$C$18)/1000)</f>
        <v>0</v>
      </c>
      <c r="D440">
        <f>'Refrig Mass Flow &amp; Cond kW'!D431*Winter!$C$6*((Winter!$C$17-Winter!$C$16)/1000)</f>
        <v>0</v>
      </c>
      <c r="E440">
        <f>'Refrig Mass Flow &amp; Cond kW'!D431*(($C$13-$C$14)-$C$6*($C$17-$C$18)/1000)-'Refrig Mass Flow &amp; Cond kW'!C431*(1-$C$6/($C$10+273))</f>
        <v>0</v>
      </c>
      <c r="F440" s="13"/>
      <c r="G440" s="13">
        <f>'Refrig Mass Flow &amp; Cond kW'!F431*$C$6*($G$19-$G$18)/1000</f>
        <v>1.0340478950840233</v>
      </c>
      <c r="H440">
        <f>'Refrig Mass Flow &amp; Cond kW'!F431*$C$6*($G$17-$G$16)/1000</f>
        <v>6.4475927575825063</v>
      </c>
      <c r="I440">
        <f>'Refrig Mass Flow &amp; Cond kW'!F431*(($G$13-$G$14)-$C$6*($G$17-$G$18)/1000)-'Refrig Mass Flow &amp; Cond kW'!E431*(1-$C$6/($G$10+273))</f>
        <v>2.8537694359425529</v>
      </c>
    </row>
    <row r="441" spans="2:9" x14ac:dyDescent="0.2">
      <c r="B441" s="2">
        <v>418</v>
      </c>
      <c r="C441">
        <f>'Refrig Mass Flow &amp; Cond kW'!D432*$C$6*(($C$19-$C$18)/1000)</f>
        <v>0</v>
      </c>
      <c r="D441">
        <f>'Refrig Mass Flow &amp; Cond kW'!D432*Winter!$C$6*((Winter!$C$17-Winter!$C$16)/1000)</f>
        <v>0</v>
      </c>
      <c r="E441">
        <f>'Refrig Mass Flow &amp; Cond kW'!D432*(($C$13-$C$14)-$C$6*($C$17-$C$18)/1000)-'Refrig Mass Flow &amp; Cond kW'!C432*(1-$C$6/($C$10+273))</f>
        <v>0</v>
      </c>
      <c r="F441" s="13"/>
      <c r="G441" s="13">
        <f>'Refrig Mass Flow &amp; Cond kW'!F432*$C$6*($G$19-$G$18)/1000</f>
        <v>0.98576940726198981</v>
      </c>
      <c r="H441">
        <f>'Refrig Mass Flow &amp; Cond kW'!F432*$C$6*($G$17-$G$16)/1000</f>
        <v>6.1465621864568956</v>
      </c>
      <c r="I441">
        <f>'Refrig Mass Flow &amp; Cond kW'!F432*(($G$13-$G$14)-$C$6*($G$17-$G$18)/1000)-'Refrig Mass Flow &amp; Cond kW'!E432*(1-$C$6/($G$10+273))</f>
        <v>2.7205302759239061</v>
      </c>
    </row>
    <row r="442" spans="2:9" x14ac:dyDescent="0.2">
      <c r="B442" s="2">
        <v>419</v>
      </c>
      <c r="C442">
        <f>'Refrig Mass Flow &amp; Cond kW'!D433*$C$6*(($C$19-$C$18)/1000)</f>
        <v>0</v>
      </c>
      <c r="D442">
        <f>'Refrig Mass Flow &amp; Cond kW'!D433*Winter!$C$6*((Winter!$C$17-Winter!$C$16)/1000)</f>
        <v>0</v>
      </c>
      <c r="E442">
        <f>'Refrig Mass Flow &amp; Cond kW'!D433*(($C$13-$C$14)-$C$6*($C$17-$C$18)/1000)-'Refrig Mass Flow &amp; Cond kW'!C433*(1-$C$6/($C$10+273))</f>
        <v>0</v>
      </c>
      <c r="F442" s="13"/>
      <c r="G442" s="13">
        <f>'Refrig Mass Flow &amp; Cond kW'!F433*$C$6*($G$19-$G$18)/1000</f>
        <v>0.93748364061597911</v>
      </c>
      <c r="H442">
        <f>'Refrig Mass Flow &amp; Cond kW'!F433*$C$6*($G$17-$G$16)/1000</f>
        <v>5.8454862297229573</v>
      </c>
      <c r="I442">
        <f>'Refrig Mass Flow &amp; Cond kW'!F433*(($G$13-$G$14)-$C$6*($G$17-$G$18)/1000)-'Refrig Mass Flow &amp; Cond kW'!E433*(1-$C$6/($G$10+273))</f>
        <v>2.5872710277783071</v>
      </c>
    </row>
    <row r="443" spans="2:9" x14ac:dyDescent="0.2">
      <c r="B443" s="2">
        <v>420</v>
      </c>
      <c r="C443">
        <f>'Refrig Mass Flow &amp; Cond kW'!D434*$C$6*(($C$19-$C$18)/1000)</f>
        <v>0</v>
      </c>
      <c r="D443">
        <f>'Refrig Mass Flow &amp; Cond kW'!D434*Winter!$C$6*((Winter!$C$17-Winter!$C$16)/1000)</f>
        <v>0</v>
      </c>
      <c r="E443">
        <f>'Refrig Mass Flow &amp; Cond kW'!D434*(($C$13-$C$14)-$C$6*($C$17-$C$18)/1000)-'Refrig Mass Flow &amp; Cond kW'!C434*(1-$C$6/($C$10+273))</f>
        <v>0</v>
      </c>
      <c r="F443" s="13"/>
      <c r="G443" s="13">
        <f>'Refrig Mass Flow &amp; Cond kW'!F434*$C$6*($G$19-$G$18)/1000</f>
        <v>0.88917004126937171</v>
      </c>
      <c r="H443">
        <f>'Refrig Mass Flow &amp; Cond kW'!F434*$C$6*($G$17-$G$16)/1000</f>
        <v>5.5442367279147104</v>
      </c>
      <c r="I443">
        <f>'Refrig Mass Flow &amp; Cond kW'!F434*(($G$13-$G$14)-$C$6*($G$17-$G$18)/1000)-'Refrig Mass Flow &amp; Cond kW'!E434*(1-$C$6/($G$10+273))</f>
        <v>2.4539349668364494</v>
      </c>
    </row>
    <row r="444" spans="2:9" x14ac:dyDescent="0.2">
      <c r="B444" s="2">
        <v>421</v>
      </c>
      <c r="C444">
        <f>'Refrig Mass Flow &amp; Cond kW'!D435*$C$6*(($C$19-$C$18)/1000)</f>
        <v>0</v>
      </c>
      <c r="D444">
        <f>'Refrig Mass Flow &amp; Cond kW'!D435*Winter!$C$6*((Winter!$C$17-Winter!$C$16)/1000)</f>
        <v>0</v>
      </c>
      <c r="E444">
        <f>'Refrig Mass Flow &amp; Cond kW'!D435*(($C$13-$C$14)-$C$6*($C$17-$C$18)/1000)-'Refrig Mass Flow &amp; Cond kW'!C435*(1-$C$6/($C$10+273))</f>
        <v>0</v>
      </c>
      <c r="F444" s="13"/>
      <c r="G444" s="13">
        <f>'Refrig Mass Flow &amp; Cond kW'!F435*$C$6*($G$19-$G$18)/1000</f>
        <v>0.84080808437754073</v>
      </c>
      <c r="H444">
        <f>'Refrig Mass Flow &amp; Cond kW'!F435*$C$6*($G$17-$G$16)/1000</f>
        <v>5.2426857025891858</v>
      </c>
      <c r="I444">
        <f>'Refrig Mass Flow &amp; Cond kW'!F435*(($G$13-$G$14)-$C$6*($G$17-$G$18)/1000)-'Refrig Mass Flow &amp; Cond kW'!E435*(1-$C$6/($G$10+273))</f>
        <v>2.3204654485516407</v>
      </c>
    </row>
    <row r="445" spans="2:9" x14ac:dyDescent="0.2">
      <c r="B445" s="2">
        <v>422</v>
      </c>
      <c r="C445">
        <f>'Refrig Mass Flow &amp; Cond kW'!D436*$C$6*(($C$19-$C$18)/1000)</f>
        <v>0</v>
      </c>
      <c r="D445">
        <f>'Refrig Mass Flow &amp; Cond kW'!D436*Winter!$C$6*((Winter!$C$17-Winter!$C$16)/1000)</f>
        <v>0</v>
      </c>
      <c r="E445">
        <f>'Refrig Mass Flow &amp; Cond kW'!D436*(($C$13-$C$14)-$C$6*($C$17-$C$18)/1000)-'Refrig Mass Flow &amp; Cond kW'!C436*(1-$C$6/($C$10+273))</f>
        <v>0</v>
      </c>
      <c r="F445" s="13"/>
      <c r="G445" s="13">
        <f>'Refrig Mass Flow &amp; Cond kW'!F436*$C$6*($G$19-$G$18)/1000</f>
        <v>0.79237727591546081</v>
      </c>
      <c r="H445">
        <f>'Refrig Mass Flow &amp; Cond kW'!F436*$C$6*($G$17-$G$16)/1000</f>
        <v>4.9407053674726988</v>
      </c>
      <c r="I445">
        <f>'Refrig Mass Flow &amp; Cond kW'!F436*(($G$13-$G$14)-$C$6*($G$17-$G$18)/1000)-'Refrig Mass Flow &amp; Cond kW'!E436*(1-$C$6/($G$10+273))</f>
        <v>2.1868059134332647</v>
      </c>
    </row>
    <row r="446" spans="2:9" x14ac:dyDescent="0.2">
      <c r="B446" s="2">
        <v>423</v>
      </c>
      <c r="C446">
        <f>'Refrig Mass Flow &amp; Cond kW'!D437*$C$6*(($C$19-$C$18)/1000)</f>
        <v>0</v>
      </c>
      <c r="D446">
        <f>'Refrig Mass Flow &amp; Cond kW'!D437*Winter!$C$6*((Winter!$C$17-Winter!$C$16)/1000)</f>
        <v>0</v>
      </c>
      <c r="E446">
        <f>'Refrig Mass Flow &amp; Cond kW'!D437*(($C$13-$C$14)-$C$6*($C$17-$C$18)/1000)-'Refrig Mass Flow &amp; Cond kW'!C437*(1-$C$6/($C$10+273))</f>
        <v>0</v>
      </c>
      <c r="F446" s="13"/>
      <c r="G446" s="13">
        <f>'Refrig Mass Flow &amp; Cond kW'!F437*$C$6*($G$19-$G$18)/1000</f>
        <v>0.74390433065911321</v>
      </c>
      <c r="H446">
        <f>'Refrig Mass Flow &amp; Cond kW'!F437*$C$6*($G$17-$G$16)/1000</f>
        <v>4.6384622970507774</v>
      </c>
      <c r="I446">
        <f>'Refrig Mass Flow &amp; Cond kW'!F437*(($G$13-$G$14)-$C$6*($G$17-$G$18)/1000)-'Refrig Mass Flow &amp; Cond kW'!E437*(1-$C$6/($G$10+273))</f>
        <v>2.0530300890248228</v>
      </c>
    </row>
    <row r="447" spans="2:9" x14ac:dyDescent="0.2">
      <c r="B447" s="2">
        <v>424</v>
      </c>
      <c r="C447">
        <f>'Refrig Mass Flow &amp; Cond kW'!D438*$C$6*(($C$19-$C$18)/1000)</f>
        <v>0</v>
      </c>
      <c r="D447">
        <f>'Refrig Mass Flow &amp; Cond kW'!D438*Winter!$C$6*((Winter!$C$17-Winter!$C$16)/1000)</f>
        <v>0</v>
      </c>
      <c r="E447">
        <f>'Refrig Mass Flow &amp; Cond kW'!D438*(($C$13-$C$14)-$C$6*($C$17-$C$18)/1000)-'Refrig Mass Flow &amp; Cond kW'!C438*(1-$C$6/($C$10+273))</f>
        <v>0</v>
      </c>
      <c r="F447" s="13"/>
      <c r="G447" s="13">
        <f>'Refrig Mass Flow &amp; Cond kW'!F438*$C$6*($G$19-$G$18)/1000</f>
        <v>0.69537895482375345</v>
      </c>
      <c r="H447">
        <f>'Refrig Mass Flow &amp; Cond kW'!F438*$C$6*($G$17-$G$16)/1000</f>
        <v>4.3358923065479562</v>
      </c>
      <c r="I447">
        <f>'Refrig Mass Flow &amp; Cond kW'!F438*(($G$13-$G$14)-$C$6*($G$17-$G$18)/1000)-'Refrig Mass Flow &amp; Cond kW'!E438*(1-$C$6/($G$10+273))</f>
        <v>1.9191095664988076</v>
      </c>
    </row>
    <row r="448" spans="2:9" x14ac:dyDescent="0.2">
      <c r="B448" s="2">
        <v>425</v>
      </c>
      <c r="C448">
        <f>'Refrig Mass Flow &amp; Cond kW'!D439*$C$6*(($C$19-$C$18)/1000)</f>
        <v>0</v>
      </c>
      <c r="D448">
        <f>'Refrig Mass Flow &amp; Cond kW'!D439*Winter!$C$6*((Winter!$C$17-Winter!$C$16)/1000)</f>
        <v>0</v>
      </c>
      <c r="E448">
        <f>'Refrig Mass Flow &amp; Cond kW'!D439*(($C$13-$C$14)-$C$6*($C$17-$C$18)/1000)-'Refrig Mass Flow &amp; Cond kW'!C439*(1-$C$6/($C$10+273))</f>
        <v>0</v>
      </c>
      <c r="F448" s="13"/>
      <c r="G448" s="13">
        <f>'Refrig Mass Flow &amp; Cond kW'!F439*$C$6*($G$19-$G$18)/1000</f>
        <v>0.64671547054852829</v>
      </c>
      <c r="H448">
        <f>'Refrig Mass Flow &amp; Cond kW'!F439*$C$6*($G$17-$G$16)/1000</f>
        <v>4.0324611693024455</v>
      </c>
      <c r="I448">
        <f>'Refrig Mass Flow &amp; Cond kW'!F439*(($G$13-$G$14)-$C$6*($G$17-$G$18)/1000)-'Refrig Mass Flow &amp; Cond kW'!E439*(1-$C$6/($G$10+273))</f>
        <v>1.7848078917588559</v>
      </c>
    </row>
    <row r="449" spans="2:9" x14ac:dyDescent="0.2">
      <c r="B449" s="2">
        <v>426</v>
      </c>
      <c r="C449">
        <f>'Refrig Mass Flow &amp; Cond kW'!D440*$C$6*(($C$19-$C$18)/1000)</f>
        <v>0</v>
      </c>
      <c r="D449">
        <f>'Refrig Mass Flow &amp; Cond kW'!D440*Winter!$C$6*((Winter!$C$17-Winter!$C$16)/1000)</f>
        <v>0</v>
      </c>
      <c r="E449">
        <f>'Refrig Mass Flow &amp; Cond kW'!D440*(($C$13-$C$14)-$C$6*($C$17-$C$18)/1000)-'Refrig Mass Flow &amp; Cond kW'!C440*(1-$C$6/($C$10+273))</f>
        <v>0</v>
      </c>
      <c r="F449" s="13"/>
      <c r="G449" s="13">
        <f>'Refrig Mass Flow &amp; Cond kW'!F440*$C$6*($G$19-$G$18)/1000</f>
        <v>0.59787395534835786</v>
      </c>
      <c r="H449">
        <f>'Refrig Mass Flow &amp; Cond kW'!F440*$C$6*($G$17-$G$16)/1000</f>
        <v>3.7279199568778645</v>
      </c>
      <c r="I449">
        <f>'Refrig Mass Flow &amp; Cond kW'!F440*(($G$13-$G$14)-$C$6*($G$17-$G$18)/1000)-'Refrig Mass Flow &amp; Cond kW'!E440*(1-$C$6/($G$10+273))</f>
        <v>1.6500148865740769</v>
      </c>
    </row>
    <row r="450" spans="2:9" x14ac:dyDescent="0.2">
      <c r="B450" s="2">
        <v>427</v>
      </c>
      <c r="C450">
        <f>'Refrig Mass Flow &amp; Cond kW'!D441*$C$6*(($C$19-$C$18)/1000)</f>
        <v>0</v>
      </c>
      <c r="D450">
        <f>'Refrig Mass Flow &amp; Cond kW'!D441*Winter!$C$6*((Winter!$C$17-Winter!$C$16)/1000)</f>
        <v>0</v>
      </c>
      <c r="E450">
        <f>'Refrig Mass Flow &amp; Cond kW'!D441*(($C$13-$C$14)-$C$6*($C$17-$C$18)/1000)-'Refrig Mass Flow &amp; Cond kW'!C441*(1-$C$6/($C$10+273))</f>
        <v>0</v>
      </c>
      <c r="F450" s="13"/>
      <c r="G450" s="13">
        <f>'Refrig Mass Flow &amp; Cond kW'!F441*$C$6*($G$19-$G$18)/1000</f>
        <v>0.54891733199447368</v>
      </c>
      <c r="H450">
        <f>'Refrig Mass Flow &amp; Cond kW'!F441*$C$6*($G$17-$G$16)/1000</f>
        <v>3.4226610112595384</v>
      </c>
      <c r="I450">
        <f>'Refrig Mass Flow &amp; Cond kW'!F441*(($G$13-$G$14)-$C$6*($G$17-$G$18)/1000)-'Refrig Mass Flow &amp; Cond kW'!E441*(1-$C$6/($G$10+273))</f>
        <v>1.5149042054552737</v>
      </c>
    </row>
    <row r="451" spans="2:9" x14ac:dyDescent="0.2">
      <c r="B451" s="2">
        <v>428</v>
      </c>
      <c r="C451">
        <f>'Refrig Mass Flow &amp; Cond kW'!D442*$C$6*(($C$19-$C$18)/1000)</f>
        <v>0</v>
      </c>
      <c r="D451">
        <f>'Refrig Mass Flow &amp; Cond kW'!D442*Winter!$C$6*((Winter!$C$17-Winter!$C$16)/1000)</f>
        <v>0</v>
      </c>
      <c r="E451">
        <f>'Refrig Mass Flow &amp; Cond kW'!D442*(($C$13-$C$14)-$C$6*($C$17-$C$18)/1000)-'Refrig Mass Flow &amp; Cond kW'!C442*(1-$C$6/($C$10+273))</f>
        <v>0</v>
      </c>
      <c r="F451" s="13"/>
      <c r="G451" s="13">
        <f>'Refrig Mass Flow &amp; Cond kW'!F442*$C$6*($G$19-$G$18)/1000</f>
        <v>0.49997429103402219</v>
      </c>
      <c r="H451">
        <f>'Refrig Mass Flow &amp; Cond kW'!F442*$C$6*($G$17-$G$16)/1000</f>
        <v>3.1174867558590873</v>
      </c>
      <c r="I451">
        <f>'Refrig Mass Flow &amp; Cond kW'!F442*(($G$13-$G$14)-$C$6*($G$17-$G$18)/1000)-'Refrig Mass Flow &amp; Cond kW'!E442*(1-$C$6/($G$10+273))</f>
        <v>1.3798310090791333</v>
      </c>
    </row>
    <row r="452" spans="2:9" x14ac:dyDescent="0.2">
      <c r="B452" s="2">
        <v>429</v>
      </c>
      <c r="C452">
        <f>'Refrig Mass Flow &amp; Cond kW'!D443*$C$6*(($C$19-$C$18)/1000)</f>
        <v>0</v>
      </c>
      <c r="D452">
        <f>'Refrig Mass Flow &amp; Cond kW'!D443*Winter!$C$6*((Winter!$C$17-Winter!$C$16)/1000)</f>
        <v>0</v>
      </c>
      <c r="E452">
        <f>'Refrig Mass Flow &amp; Cond kW'!D443*(($C$13-$C$14)-$C$6*($C$17-$C$18)/1000)-'Refrig Mass Flow &amp; Cond kW'!C443*(1-$C$6/($C$10+273))</f>
        <v>0</v>
      </c>
      <c r="F452" s="13"/>
      <c r="G452" s="13">
        <f>'Refrig Mass Flow &amp; Cond kW'!F443*$C$6*($G$19-$G$18)/1000</f>
        <v>0.45110363933672393</v>
      </c>
      <c r="H452">
        <f>'Refrig Mass Flow &amp; Cond kW'!F443*$C$6*($G$17-$G$16)/1000</f>
        <v>2.8127638688053556</v>
      </c>
      <c r="I452">
        <f>'Refrig Mass Flow &amp; Cond kW'!F443*(($G$13-$G$14)-$C$6*($G$17-$G$18)/1000)-'Refrig Mass Flow &amp; Cond kW'!E443*(1-$C$6/($G$10+273))</f>
        <v>1.2449575928753198</v>
      </c>
    </row>
    <row r="453" spans="2:9" x14ac:dyDescent="0.2">
      <c r="B453" s="2">
        <v>430</v>
      </c>
      <c r="C453">
        <f>'Refrig Mass Flow &amp; Cond kW'!D444*$C$6*(($C$19-$C$18)/1000)</f>
        <v>0</v>
      </c>
      <c r="D453">
        <f>'Refrig Mass Flow &amp; Cond kW'!D444*Winter!$C$6*((Winter!$C$17-Winter!$C$16)/1000)</f>
        <v>0</v>
      </c>
      <c r="E453">
        <f>'Refrig Mass Flow &amp; Cond kW'!D444*(($C$13-$C$14)-$C$6*($C$17-$C$18)/1000)-'Refrig Mass Flow &amp; Cond kW'!C444*(1-$C$6/($C$10+273))</f>
        <v>0</v>
      </c>
      <c r="F453" s="13"/>
      <c r="G453" s="13">
        <f>'Refrig Mass Flow &amp; Cond kW'!F444*$C$6*($G$19-$G$18)/1000</f>
        <v>0.4023642874832184</v>
      </c>
      <c r="H453">
        <f>'Refrig Mass Flow &amp; Cond kW'!F444*$C$6*($G$17-$G$16)/1000</f>
        <v>2.5088596748952732</v>
      </c>
      <c r="I453">
        <f>'Refrig Mass Flow &amp; Cond kW'!F444*(($G$13-$G$14)-$C$6*($G$17-$G$18)/1000)-'Refrig Mass Flow &amp; Cond kW'!E444*(1-$C$6/($G$10+273))</f>
        <v>1.1104465384953066</v>
      </c>
    </row>
    <row r="454" spans="2:9" x14ac:dyDescent="0.2">
      <c r="B454" s="2">
        <v>431</v>
      </c>
      <c r="C454">
        <f>'Refrig Mass Flow &amp; Cond kW'!D445*$C$6*(($C$19-$C$18)/1000)</f>
        <v>0</v>
      </c>
      <c r="D454">
        <f>'Refrig Mass Flow &amp; Cond kW'!D445*Winter!$C$6*((Winter!$C$17-Winter!$C$16)/1000)</f>
        <v>0</v>
      </c>
      <c r="E454">
        <f>'Refrig Mass Flow &amp; Cond kW'!D445*(($C$13-$C$14)-$C$6*($C$17-$C$18)/1000)-'Refrig Mass Flow &amp; Cond kW'!C445*(1-$C$6/($C$10+273))</f>
        <v>0</v>
      </c>
      <c r="F454" s="13"/>
      <c r="G454" s="13">
        <f>'Refrig Mass Flow &amp; Cond kW'!F445*$C$6*($G$19-$G$18)/1000</f>
        <v>0.3537824758718261</v>
      </c>
      <c r="H454">
        <f>'Refrig Mass Flow &amp; Cond kW'!F445*$C$6*($G$17-$G$16)/1000</f>
        <v>2.2059377907301316</v>
      </c>
      <c r="I454">
        <f>'Refrig Mass Flow &amp; Cond kW'!F445*(($G$13-$G$14)-$C$6*($G$17-$G$18)/1000)-'Refrig Mass Flow &amp; Cond kW'!E445*(1-$C$6/($G$10+273))</f>
        <v>0.97637026429328344</v>
      </c>
    </row>
    <row r="455" spans="2:9" x14ac:dyDescent="0.2">
      <c r="B455" s="2">
        <v>432</v>
      </c>
      <c r="C455">
        <f>'Refrig Mass Flow &amp; Cond kW'!D446*$C$6*(($C$19-$C$18)/1000)</f>
        <v>0</v>
      </c>
      <c r="D455">
        <f>'Refrig Mass Flow &amp; Cond kW'!D446*Winter!$C$6*((Winter!$C$17-Winter!$C$16)/1000)</f>
        <v>0</v>
      </c>
      <c r="E455">
        <f>'Refrig Mass Flow &amp; Cond kW'!D446*(($C$13-$C$14)-$C$6*($C$17-$C$18)/1000)-'Refrig Mass Flow &amp; Cond kW'!C446*(1-$C$6/($C$10+273))</f>
        <v>0</v>
      </c>
      <c r="F455" s="13"/>
      <c r="G455" s="13">
        <f>'Refrig Mass Flow &amp; Cond kW'!F446*$C$6*($G$19-$G$18)/1000</f>
        <v>0.30500767805244783</v>
      </c>
      <c r="H455">
        <f>'Refrig Mass Flow &amp; Cond kW'!F446*$C$6*($G$17-$G$16)/1000</f>
        <v>1.9018125807975488</v>
      </c>
      <c r="I455">
        <f>'Refrig Mass Flow &amp; Cond kW'!F446*(($G$13-$G$14)-$C$6*($G$17-$G$18)/1000)-'Refrig Mass Flow &amp; Cond kW'!E446*(1-$C$6/($G$10+273))</f>
        <v>0.8417613859976516</v>
      </c>
    </row>
    <row r="456" spans="2:9" x14ac:dyDescent="0.2">
      <c r="B456" s="2">
        <v>433</v>
      </c>
      <c r="C456">
        <f>'Refrig Mass Flow &amp; Cond kW'!D447*$C$6*(($C$19-$C$18)/1000)</f>
        <v>0</v>
      </c>
      <c r="D456">
        <f>'Refrig Mass Flow &amp; Cond kW'!D447*Winter!$C$6*((Winter!$C$17-Winter!$C$16)/1000)</f>
        <v>0</v>
      </c>
      <c r="E456">
        <f>'Refrig Mass Flow &amp; Cond kW'!D447*(($C$13-$C$14)-$C$6*($C$17-$C$18)/1000)-'Refrig Mass Flow &amp; Cond kW'!C447*(1-$C$6/($C$10+273))</f>
        <v>0</v>
      </c>
      <c r="F456" s="13"/>
      <c r="G456" s="13">
        <f>'Refrig Mass Flow &amp; Cond kW'!F447*$C$6*($G$19-$G$18)/1000</f>
        <v>0.25621266853545493</v>
      </c>
      <c r="H456">
        <f>'Refrig Mass Flow &amp; Cond kW'!F447*$C$6*($G$17-$G$16)/1000</f>
        <v>1.5975613449857216</v>
      </c>
      <c r="I456">
        <f>'Refrig Mass Flow &amp; Cond kW'!F447*(($G$13-$G$14)-$C$6*($G$17-$G$18)/1000)-'Refrig Mass Flow &amp; Cond kW'!E447*(1-$C$6/($G$10+273))</f>
        <v>0.70709672737968177</v>
      </c>
    </row>
    <row r="457" spans="2:9" x14ac:dyDescent="0.2">
      <c r="B457" s="2">
        <v>434</v>
      </c>
      <c r="C457">
        <f>'Refrig Mass Flow &amp; Cond kW'!D448*$C$6*(($C$19-$C$18)/1000)</f>
        <v>0</v>
      </c>
      <c r="D457">
        <f>'Refrig Mass Flow &amp; Cond kW'!D448*Winter!$C$6*((Winter!$C$17-Winter!$C$16)/1000)</f>
        <v>0</v>
      </c>
      <c r="E457">
        <f>'Refrig Mass Flow &amp; Cond kW'!D448*(($C$13-$C$14)-$C$6*($C$17-$C$18)/1000)-'Refrig Mass Flow &amp; Cond kW'!C448*(1-$C$6/($C$10+273))</f>
        <v>0</v>
      </c>
      <c r="F457" s="13"/>
      <c r="G457" s="13">
        <f>'Refrig Mass Flow &amp; Cond kW'!F448*$C$6*($G$19-$G$18)/1000</f>
        <v>0.20740192268811208</v>
      </c>
      <c r="H457">
        <f>'Refrig Mass Flow &amp; Cond kW'!F448*$C$6*($G$17-$G$16)/1000</f>
        <v>1.2932119885258295</v>
      </c>
      <c r="I457">
        <f>'Refrig Mass Flow &amp; Cond kW'!F448*(($G$13-$G$14)-$C$6*($G$17-$G$18)/1000)-'Refrig Mass Flow &amp; Cond kW'!E448*(1-$C$6/($G$10+273))</f>
        <v>0.57238863957550201</v>
      </c>
    </row>
    <row r="458" spans="2:9" x14ac:dyDescent="0.2">
      <c r="B458" s="2">
        <v>435</v>
      </c>
      <c r="C458">
        <f>'Refrig Mass Flow &amp; Cond kW'!D449*$C$6*(($C$19-$C$18)/1000)</f>
        <v>0</v>
      </c>
      <c r="D458">
        <f>'Refrig Mass Flow &amp; Cond kW'!D449*Winter!$C$6*((Winter!$C$17-Winter!$C$16)/1000)</f>
        <v>0</v>
      </c>
      <c r="E458">
        <f>'Refrig Mass Flow &amp; Cond kW'!D449*(($C$13-$C$14)-$C$6*($C$17-$C$18)/1000)-'Refrig Mass Flow &amp; Cond kW'!C449*(1-$C$6/($C$10+273))</f>
        <v>0</v>
      </c>
      <c r="F458" s="13"/>
      <c r="G458" s="13">
        <f>'Refrig Mass Flow &amp; Cond kW'!F449*$C$6*($G$19-$G$18)/1000</f>
        <v>0.1585799166094925</v>
      </c>
      <c r="H458">
        <f>'Refrig Mass Flow &amp; Cond kW'!F449*$C$6*($G$17-$G$16)/1000</f>
        <v>0.98879242121209476</v>
      </c>
      <c r="I458">
        <f>'Refrig Mass Flow &amp; Cond kW'!F449*(($G$13-$G$14)-$C$6*($G$17-$G$18)/1000)-'Refrig Mass Flow &amp; Cond kW'!E449*(1-$C$6/($G$10+273))</f>
        <v>0.43764947574088531</v>
      </c>
    </row>
    <row r="459" spans="2:9" x14ac:dyDescent="0.2">
      <c r="B459" s="2">
        <v>436</v>
      </c>
      <c r="C459">
        <f>'Refrig Mass Flow &amp; Cond kW'!D450*$C$6*(($C$19-$C$18)/1000)</f>
        <v>0</v>
      </c>
      <c r="D459">
        <f>'Refrig Mass Flow &amp; Cond kW'!D450*Winter!$C$6*((Winter!$C$17-Winter!$C$16)/1000)</f>
        <v>0</v>
      </c>
      <c r="E459">
        <f>'Refrig Mass Flow &amp; Cond kW'!D450*(($C$13-$C$14)-$C$6*($C$17-$C$18)/1000)-'Refrig Mass Flow &amp; Cond kW'!C450*(1-$C$6/($C$10+273))</f>
        <v>0</v>
      </c>
      <c r="F459" s="13"/>
      <c r="G459" s="13">
        <f>'Refrig Mass Flow &amp; Cond kW'!F450*$C$6*($G$19-$G$18)/1000</f>
        <v>0.10975112672013057</v>
      </c>
      <c r="H459">
        <f>'Refrig Mass Flow &amp; Cond kW'!F450*$C$6*($G$17-$G$16)/1000</f>
        <v>0.68433055484314298</v>
      </c>
      <c r="I459">
        <f>'Refrig Mass Flow &amp; Cond kW'!F450*(($G$13-$G$14)-$C$6*($G$17-$G$18)/1000)-'Refrig Mass Flow &amp; Cond kW'!E450*(1-$C$6/($G$10+273))</f>
        <v>0.3028915899187794</v>
      </c>
    </row>
    <row r="460" spans="2:9" x14ac:dyDescent="0.2">
      <c r="B460" s="2">
        <v>437</v>
      </c>
      <c r="C460">
        <f>'Refrig Mass Flow &amp; Cond kW'!D451*$C$6*(($C$19-$C$18)/1000)</f>
        <v>0</v>
      </c>
      <c r="D460">
        <f>'Refrig Mass Flow &amp; Cond kW'!D451*Winter!$C$6*((Winter!$C$17-Winter!$C$16)/1000)</f>
        <v>0</v>
      </c>
      <c r="E460">
        <f>'Refrig Mass Flow &amp; Cond kW'!D451*(($C$13-$C$14)-$C$6*($C$17-$C$18)/1000)-'Refrig Mass Flow &amp; Cond kW'!C451*(1-$C$6/($C$10+273))</f>
        <v>0</v>
      </c>
      <c r="F460" s="13"/>
      <c r="G460" s="13">
        <f>'Refrig Mass Flow &amp; Cond kW'!F451*$C$6*($G$19-$G$18)/1000</f>
        <v>6.0920029351686188E-2</v>
      </c>
      <c r="H460">
        <f>'Refrig Mass Flow &amp; Cond kW'!F451*$C$6*($G$17-$G$16)/1000</f>
        <v>0.37985430066344161</v>
      </c>
      <c r="I460">
        <f>'Refrig Mass Flow &amp; Cond kW'!F451*(($G$13-$G$14)-$C$6*($G$17-$G$18)/1000)-'Refrig Mass Flow &amp; Cond kW'!E451*(1-$C$6/($G$10+273))</f>
        <v>0.16812733590685269</v>
      </c>
    </row>
    <row r="461" spans="2:9" x14ac:dyDescent="0.2">
      <c r="B461" s="2">
        <v>438</v>
      </c>
      <c r="C461">
        <f>'Refrig Mass Flow &amp; Cond kW'!D452*$C$6*(($C$19-$C$18)/1000)</f>
        <v>0</v>
      </c>
      <c r="D461">
        <f>'Refrig Mass Flow &amp; Cond kW'!D452*Winter!$C$6*((Winter!$C$17-Winter!$C$16)/1000)</f>
        <v>0</v>
      </c>
      <c r="E461">
        <f>'Refrig Mass Flow &amp; Cond kW'!D452*(($C$13-$C$14)-$C$6*($C$17-$C$18)/1000)-'Refrig Mass Flow &amp; Cond kW'!C452*(1-$C$6/($C$10+273))</f>
        <v>0</v>
      </c>
      <c r="F461" s="13"/>
      <c r="G461" s="13">
        <f>'Refrig Mass Flow &amp; Cond kW'!F452*$C$6*($G$19-$G$18)/1000</f>
        <v>1.209110033670243E-2</v>
      </c>
      <c r="H461">
        <f>'Refrig Mass Flow &amp; Cond kW'!F452*$C$6*($G$17-$G$16)/1000</f>
        <v>7.5391566805318375E-2</v>
      </c>
      <c r="I461">
        <f>'Refrig Mass Flow &amp; Cond kW'!F452*(($G$13-$G$14)-$C$6*($G$17-$G$18)/1000)-'Refrig Mass Flow &amp; Cond kW'!E452*(1-$C$6/($G$10+273))</f>
        <v>3.336906612530971E-2</v>
      </c>
    </row>
    <row r="462" spans="2:9" x14ac:dyDescent="0.2">
      <c r="B462" s="2">
        <v>439</v>
      </c>
      <c r="C462">
        <f>'Refrig Mass Flow &amp; Cond kW'!D453*$C$6*(($C$19-$C$18)/1000)</f>
        <v>0</v>
      </c>
      <c r="D462">
        <f>'Refrig Mass Flow &amp; Cond kW'!D453*Winter!$C$6*((Winter!$C$17-Winter!$C$16)/1000)</f>
        <v>0</v>
      </c>
      <c r="E462">
        <f>'Refrig Mass Flow &amp; Cond kW'!D453*(($C$13-$C$14)-$C$6*($C$17-$C$18)/1000)-'Refrig Mass Flow &amp; Cond kW'!C453*(1-$C$6/($C$10+273))</f>
        <v>0</v>
      </c>
      <c r="F462" s="13"/>
      <c r="G462" s="13">
        <f>'Refrig Mass Flow &amp; Cond kW'!F453*$C$6*($G$19-$G$18)/1000</f>
        <v>0</v>
      </c>
      <c r="H462">
        <f>'Refrig Mass Flow &amp; Cond kW'!F453*$C$6*($G$17-$G$16)/1000</f>
        <v>0</v>
      </c>
      <c r="I462">
        <f>'Refrig Mass Flow &amp; Cond kW'!F453*(($G$13-$G$14)-$C$6*($G$17-$G$18)/1000)-'Refrig Mass Flow &amp; Cond kW'!E453*(1-$C$6/($G$10+273))</f>
        <v>0</v>
      </c>
    </row>
    <row r="463" spans="2:9" x14ac:dyDescent="0.2">
      <c r="B463" s="2">
        <v>440</v>
      </c>
      <c r="C463">
        <f>'Refrig Mass Flow &amp; Cond kW'!D454*$C$6*(($C$19-$C$18)/1000)</f>
        <v>0</v>
      </c>
      <c r="D463">
        <f>'Refrig Mass Flow &amp; Cond kW'!D454*Winter!$C$6*((Winter!$C$17-Winter!$C$16)/1000)</f>
        <v>0</v>
      </c>
      <c r="E463">
        <f>'Refrig Mass Flow &amp; Cond kW'!D454*(($C$13-$C$14)-$C$6*($C$17-$C$18)/1000)-'Refrig Mass Flow &amp; Cond kW'!C454*(1-$C$6/($C$10+273))</f>
        <v>0</v>
      </c>
      <c r="F463" s="13"/>
      <c r="G463" s="13">
        <f>'Refrig Mass Flow &amp; Cond kW'!F454*$C$6*($G$19-$G$18)/1000</f>
        <v>0</v>
      </c>
      <c r="H463">
        <f>'Refrig Mass Flow &amp; Cond kW'!F454*$C$6*($G$17-$G$16)/1000</f>
        <v>0</v>
      </c>
      <c r="I463">
        <f>'Refrig Mass Flow &amp; Cond kW'!F454*(($G$13-$G$14)-$C$6*($G$17-$G$18)/1000)-'Refrig Mass Flow &amp; Cond kW'!E454*(1-$C$6/($G$10+273))</f>
        <v>0</v>
      </c>
    </row>
    <row r="464" spans="2:9" x14ac:dyDescent="0.2">
      <c r="B464" s="2">
        <v>441</v>
      </c>
      <c r="C464">
        <f>'Refrig Mass Flow &amp; Cond kW'!D455*$C$6*(($C$19-$C$18)/1000)</f>
        <v>0</v>
      </c>
      <c r="D464">
        <f>'Refrig Mass Flow &amp; Cond kW'!D455*Winter!$C$6*((Winter!$C$17-Winter!$C$16)/1000)</f>
        <v>0</v>
      </c>
      <c r="E464">
        <f>'Refrig Mass Flow &amp; Cond kW'!D455*(($C$13-$C$14)-$C$6*($C$17-$C$18)/1000)-'Refrig Mass Flow &amp; Cond kW'!C455*(1-$C$6/($C$10+273))</f>
        <v>0</v>
      </c>
      <c r="F464" s="13"/>
      <c r="G464" s="13">
        <f>'Refrig Mass Flow &amp; Cond kW'!F455*$C$6*($G$19-$G$18)/1000</f>
        <v>0</v>
      </c>
      <c r="H464">
        <f>'Refrig Mass Flow &amp; Cond kW'!F455*$C$6*($G$17-$G$16)/1000</f>
        <v>0</v>
      </c>
      <c r="I464">
        <f>'Refrig Mass Flow &amp; Cond kW'!F455*(($G$13-$G$14)-$C$6*($G$17-$G$18)/1000)-'Refrig Mass Flow &amp; Cond kW'!E455*(1-$C$6/($G$10+273))</f>
        <v>0</v>
      </c>
    </row>
    <row r="465" spans="2:9" x14ac:dyDescent="0.2">
      <c r="B465" s="2">
        <v>442</v>
      </c>
      <c r="C465">
        <f>'Refrig Mass Flow &amp; Cond kW'!D456*$C$6*(($C$19-$C$18)/1000)</f>
        <v>0</v>
      </c>
      <c r="D465">
        <f>'Refrig Mass Flow &amp; Cond kW'!D456*Winter!$C$6*((Winter!$C$17-Winter!$C$16)/1000)</f>
        <v>0</v>
      </c>
      <c r="E465">
        <f>'Refrig Mass Flow &amp; Cond kW'!D456*(($C$13-$C$14)-$C$6*($C$17-$C$18)/1000)-'Refrig Mass Flow &amp; Cond kW'!C456*(1-$C$6/($C$10+273))</f>
        <v>0</v>
      </c>
      <c r="F465" s="13"/>
      <c r="G465" s="13">
        <f>'Refrig Mass Flow &amp; Cond kW'!F456*$C$6*($G$19-$G$18)/1000</f>
        <v>0</v>
      </c>
      <c r="H465">
        <f>'Refrig Mass Flow &amp; Cond kW'!F456*$C$6*($G$17-$G$16)/1000</f>
        <v>0</v>
      </c>
      <c r="I465">
        <f>'Refrig Mass Flow &amp; Cond kW'!F456*(($G$13-$G$14)-$C$6*($G$17-$G$18)/1000)-'Refrig Mass Flow &amp; Cond kW'!E456*(1-$C$6/($G$10+273))</f>
        <v>0</v>
      </c>
    </row>
    <row r="466" spans="2:9" x14ac:dyDescent="0.2">
      <c r="B466" s="2">
        <v>443</v>
      </c>
      <c r="C466">
        <f>'Refrig Mass Flow &amp; Cond kW'!D457*$C$6*(($C$19-$C$18)/1000)</f>
        <v>0</v>
      </c>
      <c r="D466">
        <f>'Refrig Mass Flow &amp; Cond kW'!D457*Winter!$C$6*((Winter!$C$17-Winter!$C$16)/1000)</f>
        <v>0</v>
      </c>
      <c r="E466">
        <f>'Refrig Mass Flow &amp; Cond kW'!D457*(($C$13-$C$14)-$C$6*($C$17-$C$18)/1000)-'Refrig Mass Flow &amp; Cond kW'!C457*(1-$C$6/($C$10+273))</f>
        <v>0</v>
      </c>
      <c r="F466" s="13"/>
      <c r="G466" s="13">
        <f>'Refrig Mass Flow &amp; Cond kW'!F457*$C$6*($G$19-$G$18)/1000</f>
        <v>0</v>
      </c>
      <c r="H466">
        <f>'Refrig Mass Flow &amp; Cond kW'!F457*$C$6*($G$17-$G$16)/1000</f>
        <v>0</v>
      </c>
      <c r="I466">
        <f>'Refrig Mass Flow &amp; Cond kW'!F457*(($G$13-$G$14)-$C$6*($G$17-$G$18)/1000)-'Refrig Mass Flow &amp; Cond kW'!E457*(1-$C$6/($G$10+273))</f>
        <v>0</v>
      </c>
    </row>
    <row r="467" spans="2:9" x14ac:dyDescent="0.2">
      <c r="B467" s="2">
        <v>444</v>
      </c>
      <c r="C467">
        <f>'Refrig Mass Flow &amp; Cond kW'!D458*$C$6*(($C$19-$C$18)/1000)</f>
        <v>0</v>
      </c>
      <c r="D467">
        <f>'Refrig Mass Flow &amp; Cond kW'!D458*Winter!$C$6*((Winter!$C$17-Winter!$C$16)/1000)</f>
        <v>0</v>
      </c>
      <c r="E467">
        <f>'Refrig Mass Flow &amp; Cond kW'!D458*(($C$13-$C$14)-$C$6*($C$17-$C$18)/1000)-'Refrig Mass Flow &amp; Cond kW'!C458*(1-$C$6/($C$10+273))</f>
        <v>0</v>
      </c>
      <c r="F467" s="13"/>
      <c r="G467" s="13">
        <f>'Refrig Mass Flow &amp; Cond kW'!F458*$C$6*($G$19-$G$18)/1000</f>
        <v>0</v>
      </c>
      <c r="H467">
        <f>'Refrig Mass Flow &amp; Cond kW'!F458*$C$6*($G$17-$G$16)/1000</f>
        <v>0</v>
      </c>
      <c r="I467">
        <f>'Refrig Mass Flow &amp; Cond kW'!F458*(($G$13-$G$14)-$C$6*($G$17-$G$18)/1000)-'Refrig Mass Flow &amp; Cond kW'!E458*(1-$C$6/($G$10+273))</f>
        <v>0</v>
      </c>
    </row>
    <row r="468" spans="2:9" x14ac:dyDescent="0.2">
      <c r="B468" s="2">
        <v>445</v>
      </c>
      <c r="C468">
        <f>'Refrig Mass Flow &amp; Cond kW'!D459*$C$6*(($C$19-$C$18)/1000)</f>
        <v>0</v>
      </c>
      <c r="D468">
        <f>'Refrig Mass Flow &amp; Cond kW'!D459*Winter!$C$6*((Winter!$C$17-Winter!$C$16)/1000)</f>
        <v>0</v>
      </c>
      <c r="E468">
        <f>'Refrig Mass Flow &amp; Cond kW'!D459*(($C$13-$C$14)-$C$6*($C$17-$C$18)/1000)-'Refrig Mass Flow &amp; Cond kW'!C459*(1-$C$6/($C$10+273))</f>
        <v>0</v>
      </c>
      <c r="F468" s="13"/>
      <c r="G468" s="13">
        <f>'Refrig Mass Flow &amp; Cond kW'!F459*$C$6*($G$19-$G$18)/1000</f>
        <v>0</v>
      </c>
      <c r="H468">
        <f>'Refrig Mass Flow &amp; Cond kW'!F459*$C$6*($G$17-$G$16)/1000</f>
        <v>0</v>
      </c>
      <c r="I468">
        <f>'Refrig Mass Flow &amp; Cond kW'!F459*(($G$13-$G$14)-$C$6*($G$17-$G$18)/1000)-'Refrig Mass Flow &amp; Cond kW'!E459*(1-$C$6/($G$10+273))</f>
        <v>0</v>
      </c>
    </row>
    <row r="469" spans="2:9" x14ac:dyDescent="0.2">
      <c r="B469" s="2">
        <v>446</v>
      </c>
      <c r="C469">
        <f>'Refrig Mass Flow &amp; Cond kW'!D460*$C$6*(($C$19-$C$18)/1000)</f>
        <v>0</v>
      </c>
      <c r="D469">
        <f>'Refrig Mass Flow &amp; Cond kW'!D460*Winter!$C$6*((Winter!$C$17-Winter!$C$16)/1000)</f>
        <v>0</v>
      </c>
      <c r="E469">
        <f>'Refrig Mass Flow &amp; Cond kW'!D460*(($C$13-$C$14)-$C$6*($C$17-$C$18)/1000)-'Refrig Mass Flow &amp; Cond kW'!C460*(1-$C$6/($C$10+273))</f>
        <v>0</v>
      </c>
      <c r="F469" s="13"/>
      <c r="G469" s="13">
        <f>'Refrig Mass Flow &amp; Cond kW'!F460*$C$6*($G$19-$G$18)/1000</f>
        <v>0</v>
      </c>
      <c r="H469">
        <f>'Refrig Mass Flow &amp; Cond kW'!F460*$C$6*($G$17-$G$16)/1000</f>
        <v>0</v>
      </c>
      <c r="I469">
        <f>'Refrig Mass Flow &amp; Cond kW'!F460*(($G$13-$G$14)-$C$6*($G$17-$G$18)/1000)-'Refrig Mass Flow &amp; Cond kW'!E460*(1-$C$6/($G$10+273))</f>
        <v>0</v>
      </c>
    </row>
    <row r="470" spans="2:9" x14ac:dyDescent="0.2">
      <c r="B470" s="2">
        <v>447</v>
      </c>
      <c r="C470">
        <f>'Refrig Mass Flow &amp; Cond kW'!D461*$C$6*(($C$19-$C$18)/1000)</f>
        <v>0</v>
      </c>
      <c r="D470">
        <f>'Refrig Mass Flow &amp; Cond kW'!D461*Winter!$C$6*((Winter!$C$17-Winter!$C$16)/1000)</f>
        <v>0</v>
      </c>
      <c r="E470">
        <f>'Refrig Mass Flow &amp; Cond kW'!D461*(($C$13-$C$14)-$C$6*($C$17-$C$18)/1000)-'Refrig Mass Flow &amp; Cond kW'!C461*(1-$C$6/($C$10+273))</f>
        <v>0</v>
      </c>
      <c r="F470" s="13"/>
      <c r="G470" s="13">
        <f>'Refrig Mass Flow &amp; Cond kW'!F461*$C$6*($G$19-$G$18)/1000</f>
        <v>0</v>
      </c>
      <c r="H470">
        <f>'Refrig Mass Flow &amp; Cond kW'!F461*$C$6*($G$17-$G$16)/1000</f>
        <v>0</v>
      </c>
      <c r="I470">
        <f>'Refrig Mass Flow &amp; Cond kW'!F461*(($G$13-$G$14)-$C$6*($G$17-$G$18)/1000)-'Refrig Mass Flow &amp; Cond kW'!E461*(1-$C$6/($G$10+273))</f>
        <v>0</v>
      </c>
    </row>
    <row r="471" spans="2:9" x14ac:dyDescent="0.2">
      <c r="B471" s="2">
        <v>448</v>
      </c>
      <c r="C471">
        <f>'Refrig Mass Flow &amp; Cond kW'!D462*$C$6*(($C$19-$C$18)/1000)</f>
        <v>0</v>
      </c>
      <c r="D471">
        <f>'Refrig Mass Flow &amp; Cond kW'!D462*Winter!$C$6*((Winter!$C$17-Winter!$C$16)/1000)</f>
        <v>0</v>
      </c>
      <c r="E471">
        <f>'Refrig Mass Flow &amp; Cond kW'!D462*(($C$13-$C$14)-$C$6*($C$17-$C$18)/1000)-'Refrig Mass Flow &amp; Cond kW'!C462*(1-$C$6/($C$10+273))</f>
        <v>0</v>
      </c>
      <c r="F471" s="13"/>
      <c r="G471" s="13">
        <f>'Refrig Mass Flow &amp; Cond kW'!F462*$C$6*($G$19-$G$18)/1000</f>
        <v>0</v>
      </c>
      <c r="H471">
        <f>'Refrig Mass Flow &amp; Cond kW'!F462*$C$6*($G$17-$G$16)/1000</f>
        <v>0</v>
      </c>
      <c r="I471">
        <f>'Refrig Mass Flow &amp; Cond kW'!F462*(($G$13-$G$14)-$C$6*($G$17-$G$18)/1000)-'Refrig Mass Flow &amp; Cond kW'!E462*(1-$C$6/($G$10+273))</f>
        <v>0</v>
      </c>
    </row>
    <row r="472" spans="2:9" x14ac:dyDescent="0.2">
      <c r="B472" s="2">
        <v>449</v>
      </c>
      <c r="C472">
        <f>'Refrig Mass Flow &amp; Cond kW'!D463*$C$6*(($C$19-$C$18)/1000)</f>
        <v>0</v>
      </c>
      <c r="D472">
        <f>'Refrig Mass Flow &amp; Cond kW'!D463*Winter!$C$6*((Winter!$C$17-Winter!$C$16)/1000)</f>
        <v>0</v>
      </c>
      <c r="E472">
        <f>'Refrig Mass Flow &amp; Cond kW'!D463*(($C$13-$C$14)-$C$6*($C$17-$C$18)/1000)-'Refrig Mass Flow &amp; Cond kW'!C463*(1-$C$6/($C$10+273))</f>
        <v>0</v>
      </c>
      <c r="F472" s="13"/>
      <c r="G472" s="13">
        <f>'Refrig Mass Flow &amp; Cond kW'!F463*$C$6*($G$19-$G$18)/1000</f>
        <v>0</v>
      </c>
      <c r="H472">
        <f>'Refrig Mass Flow &amp; Cond kW'!F463*$C$6*($G$17-$G$16)/1000</f>
        <v>0</v>
      </c>
      <c r="I472">
        <f>'Refrig Mass Flow &amp; Cond kW'!F463*(($G$13-$G$14)-$C$6*($G$17-$G$18)/1000)-'Refrig Mass Flow &amp; Cond kW'!E463*(1-$C$6/($G$10+273))</f>
        <v>0</v>
      </c>
    </row>
    <row r="473" spans="2:9" x14ac:dyDescent="0.2">
      <c r="B473" s="2">
        <v>450</v>
      </c>
      <c r="C473">
        <f>'Refrig Mass Flow &amp; Cond kW'!D464*$C$6*(($C$19-$C$18)/1000)</f>
        <v>0</v>
      </c>
      <c r="D473">
        <f>'Refrig Mass Flow &amp; Cond kW'!D464*Winter!$C$6*((Winter!$C$17-Winter!$C$16)/1000)</f>
        <v>0</v>
      </c>
      <c r="E473">
        <f>'Refrig Mass Flow &amp; Cond kW'!D464*(($C$13-$C$14)-$C$6*($C$17-$C$18)/1000)-'Refrig Mass Flow &amp; Cond kW'!C464*(1-$C$6/($C$10+273))</f>
        <v>0</v>
      </c>
      <c r="F473" s="13"/>
      <c r="G473" s="13">
        <f>'Refrig Mass Flow &amp; Cond kW'!F464*$C$6*($G$19-$G$18)/1000</f>
        <v>0</v>
      </c>
      <c r="H473">
        <f>'Refrig Mass Flow &amp; Cond kW'!F464*$C$6*($G$17-$G$16)/1000</f>
        <v>0</v>
      </c>
      <c r="I473">
        <f>'Refrig Mass Flow &amp; Cond kW'!F464*(($G$13-$G$14)-$C$6*($G$17-$G$18)/1000)-'Refrig Mass Flow &amp; Cond kW'!E464*(1-$C$6/($G$10+273))</f>
        <v>0</v>
      </c>
    </row>
    <row r="474" spans="2:9" x14ac:dyDescent="0.2">
      <c r="B474" s="2">
        <v>451</v>
      </c>
      <c r="C474">
        <f>'Refrig Mass Flow &amp; Cond kW'!D465*$C$6*(($C$19-$C$18)/1000)</f>
        <v>0</v>
      </c>
      <c r="D474">
        <f>'Refrig Mass Flow &amp; Cond kW'!D465*Winter!$C$6*((Winter!$C$17-Winter!$C$16)/1000)</f>
        <v>0</v>
      </c>
      <c r="E474">
        <f>'Refrig Mass Flow &amp; Cond kW'!D465*(($C$13-$C$14)-$C$6*($C$17-$C$18)/1000)-'Refrig Mass Flow &amp; Cond kW'!C465*(1-$C$6/($C$10+273))</f>
        <v>0</v>
      </c>
      <c r="F474" s="13"/>
      <c r="G474" s="13">
        <f>'Refrig Mass Flow &amp; Cond kW'!F465*$C$6*($G$19-$G$18)/1000</f>
        <v>0</v>
      </c>
      <c r="H474">
        <f>'Refrig Mass Flow &amp; Cond kW'!F465*$C$6*($G$17-$G$16)/1000</f>
        <v>0</v>
      </c>
      <c r="I474">
        <f>'Refrig Mass Flow &amp; Cond kW'!F465*(($G$13-$G$14)-$C$6*($G$17-$G$18)/1000)-'Refrig Mass Flow &amp; Cond kW'!E465*(1-$C$6/($G$10+273))</f>
        <v>0</v>
      </c>
    </row>
    <row r="475" spans="2:9" x14ac:dyDescent="0.2">
      <c r="B475" s="2">
        <v>452</v>
      </c>
      <c r="C475">
        <f>'Refrig Mass Flow &amp; Cond kW'!D466*$C$6*(($C$19-$C$18)/1000)</f>
        <v>0</v>
      </c>
      <c r="D475">
        <f>'Refrig Mass Flow &amp; Cond kW'!D466*Winter!$C$6*((Winter!$C$17-Winter!$C$16)/1000)</f>
        <v>0</v>
      </c>
      <c r="E475">
        <f>'Refrig Mass Flow &amp; Cond kW'!D466*(($C$13-$C$14)-$C$6*($C$17-$C$18)/1000)-'Refrig Mass Flow &amp; Cond kW'!C466*(1-$C$6/($C$10+273))</f>
        <v>0</v>
      </c>
      <c r="F475" s="13"/>
      <c r="G475" s="13">
        <f>'Refrig Mass Flow &amp; Cond kW'!F466*$C$6*($G$19-$G$18)/1000</f>
        <v>0</v>
      </c>
      <c r="H475">
        <f>'Refrig Mass Flow &amp; Cond kW'!F466*$C$6*($G$17-$G$16)/1000</f>
        <v>0</v>
      </c>
      <c r="I475">
        <f>'Refrig Mass Flow &amp; Cond kW'!F466*(($G$13-$G$14)-$C$6*($G$17-$G$18)/1000)-'Refrig Mass Flow &amp; Cond kW'!E466*(1-$C$6/($G$10+273))</f>
        <v>0</v>
      </c>
    </row>
    <row r="476" spans="2:9" x14ac:dyDescent="0.2">
      <c r="B476" s="2">
        <v>453</v>
      </c>
      <c r="C476">
        <f>'Refrig Mass Flow &amp; Cond kW'!D467*$C$6*(($C$19-$C$18)/1000)</f>
        <v>0</v>
      </c>
      <c r="D476">
        <f>'Refrig Mass Flow &amp; Cond kW'!D467*Winter!$C$6*((Winter!$C$17-Winter!$C$16)/1000)</f>
        <v>0</v>
      </c>
      <c r="E476">
        <f>'Refrig Mass Flow &amp; Cond kW'!D467*(($C$13-$C$14)-$C$6*($C$17-$C$18)/1000)-'Refrig Mass Flow &amp; Cond kW'!C467*(1-$C$6/($C$10+273))</f>
        <v>0</v>
      </c>
      <c r="F476" s="13"/>
      <c r="G476" s="13">
        <f>'Refrig Mass Flow &amp; Cond kW'!F467*$C$6*($G$19-$G$18)/1000</f>
        <v>0</v>
      </c>
      <c r="H476">
        <f>'Refrig Mass Flow &amp; Cond kW'!F467*$C$6*($G$17-$G$16)/1000</f>
        <v>0</v>
      </c>
      <c r="I476">
        <f>'Refrig Mass Flow &amp; Cond kW'!F467*(($G$13-$G$14)-$C$6*($G$17-$G$18)/1000)-'Refrig Mass Flow &amp; Cond kW'!E467*(1-$C$6/($G$10+273))</f>
        <v>0</v>
      </c>
    </row>
    <row r="477" spans="2:9" x14ac:dyDescent="0.2">
      <c r="B477" s="2">
        <v>454</v>
      </c>
      <c r="C477">
        <f>'Refrig Mass Flow &amp; Cond kW'!D468*$C$6*(($C$19-$C$18)/1000)</f>
        <v>2.7733483274289924E-2</v>
      </c>
      <c r="D477">
        <f>'Refrig Mass Flow &amp; Cond kW'!D468*Winter!$C$6*((Winter!$C$17-Winter!$C$16)/1000)</f>
        <v>9.3105265277971958E-2</v>
      </c>
      <c r="E477">
        <f>'Refrig Mass Flow &amp; Cond kW'!D468*(($C$13-$C$14)-$C$6*($C$17-$C$18)/1000)-'Refrig Mass Flow &amp; Cond kW'!C468*(1-$C$6/($C$10+273))</f>
        <v>2.6460481824856386E-2</v>
      </c>
      <c r="F477" s="13"/>
      <c r="G477" s="13">
        <f>'Refrig Mass Flow &amp; Cond kW'!F468*$C$6*($G$19-$G$18)/1000</f>
        <v>0</v>
      </c>
      <c r="H477">
        <f>'Refrig Mass Flow &amp; Cond kW'!F468*$C$6*($G$17-$G$16)/1000</f>
        <v>0</v>
      </c>
      <c r="I477">
        <f>'Refrig Mass Flow &amp; Cond kW'!F468*(($G$13-$G$14)-$C$6*($G$17-$G$18)/1000)-'Refrig Mass Flow &amp; Cond kW'!E468*(1-$C$6/($G$10+273))</f>
        <v>0</v>
      </c>
    </row>
    <row r="478" spans="2:9" x14ac:dyDescent="0.2">
      <c r="B478" s="2">
        <v>455</v>
      </c>
      <c r="C478">
        <f>'Refrig Mass Flow &amp; Cond kW'!D469*$C$6*(($C$19-$C$18)/1000)</f>
        <v>2.3473653513351143E-2</v>
      </c>
      <c r="D478">
        <f>'Refrig Mass Flow &amp; Cond kW'!D469*Winter!$C$6*((Winter!$C$17-Winter!$C$16)/1000)</f>
        <v>7.8804408223391964E-2</v>
      </c>
      <c r="E478">
        <f>'Refrig Mass Flow &amp; Cond kW'!D469*(($C$13-$C$14)-$C$6*($C$17-$C$18)/1000)-'Refrig Mass Flow &amp; Cond kW'!C469*(1-$C$6/($C$10+273))</f>
        <v>2.2396183559416472E-2</v>
      </c>
      <c r="F478" s="13"/>
      <c r="G478" s="13">
        <f>'Refrig Mass Flow &amp; Cond kW'!F469*$C$6*($G$19-$G$18)/1000</f>
        <v>0</v>
      </c>
      <c r="H478">
        <f>'Refrig Mass Flow &amp; Cond kW'!F469*$C$6*($G$17-$G$16)/1000</f>
        <v>0</v>
      </c>
      <c r="I478">
        <f>'Refrig Mass Flow &amp; Cond kW'!F469*(($G$13-$G$14)-$C$6*($G$17-$G$18)/1000)-'Refrig Mass Flow &amp; Cond kW'!E469*(1-$C$6/($G$10+273))</f>
        <v>0</v>
      </c>
    </row>
    <row r="479" spans="2:9" x14ac:dyDescent="0.2">
      <c r="B479" s="2">
        <v>456</v>
      </c>
      <c r="C479">
        <f>'Refrig Mass Flow &amp; Cond kW'!D470*$C$6*(($C$19-$C$18)/1000)</f>
        <v>0</v>
      </c>
      <c r="D479">
        <f>'Refrig Mass Flow &amp; Cond kW'!D470*Winter!$C$6*((Winter!$C$17-Winter!$C$16)/1000)</f>
        <v>0</v>
      </c>
      <c r="E479">
        <f>'Refrig Mass Flow &amp; Cond kW'!D470*(($C$13-$C$14)-$C$6*($C$17-$C$18)/1000)-'Refrig Mass Flow &amp; Cond kW'!C470*(1-$C$6/($C$10+273))</f>
        <v>0</v>
      </c>
      <c r="F479" s="13"/>
      <c r="G479" s="13">
        <f>'Refrig Mass Flow &amp; Cond kW'!F470*$C$6*($G$19-$G$18)/1000</f>
        <v>0</v>
      </c>
      <c r="H479">
        <f>'Refrig Mass Flow &amp; Cond kW'!F470*$C$6*($G$17-$G$16)/1000</f>
        <v>0</v>
      </c>
      <c r="I479">
        <f>'Refrig Mass Flow &amp; Cond kW'!F470*(($G$13-$G$14)-$C$6*($G$17-$G$18)/1000)-'Refrig Mass Flow &amp; Cond kW'!E470*(1-$C$6/($G$10+273))</f>
        <v>0</v>
      </c>
    </row>
    <row r="480" spans="2:9" x14ac:dyDescent="0.2">
      <c r="B480" s="2">
        <v>457</v>
      </c>
      <c r="C480">
        <f>'Refrig Mass Flow &amp; Cond kW'!D471*$C$6*(($C$19-$C$18)/1000)</f>
        <v>0</v>
      </c>
      <c r="D480">
        <f>'Refrig Mass Flow &amp; Cond kW'!D471*Winter!$C$6*((Winter!$C$17-Winter!$C$16)/1000)</f>
        <v>0</v>
      </c>
      <c r="E480">
        <f>'Refrig Mass Flow &amp; Cond kW'!D471*(($C$13-$C$14)-$C$6*($C$17-$C$18)/1000)-'Refrig Mass Flow &amp; Cond kW'!C471*(1-$C$6/($C$10+273))</f>
        <v>0</v>
      </c>
      <c r="F480" s="13"/>
      <c r="G480" s="13">
        <f>'Refrig Mass Flow &amp; Cond kW'!F471*$C$6*($G$19-$G$18)/1000</f>
        <v>0</v>
      </c>
      <c r="H480">
        <f>'Refrig Mass Flow &amp; Cond kW'!F471*$C$6*($G$17-$G$16)/1000</f>
        <v>0</v>
      </c>
      <c r="I480">
        <f>'Refrig Mass Flow &amp; Cond kW'!F471*(($G$13-$G$14)-$C$6*($G$17-$G$18)/1000)-'Refrig Mass Flow &amp; Cond kW'!E471*(1-$C$6/($G$10+273))</f>
        <v>0</v>
      </c>
    </row>
    <row r="481" spans="2:9" x14ac:dyDescent="0.2">
      <c r="B481" s="2">
        <v>458</v>
      </c>
      <c r="C481">
        <f>'Refrig Mass Flow &amp; Cond kW'!D472*$C$6*(($C$19-$C$18)/1000)</f>
        <v>0</v>
      </c>
      <c r="D481">
        <f>'Refrig Mass Flow &amp; Cond kW'!D472*Winter!$C$6*((Winter!$C$17-Winter!$C$16)/1000)</f>
        <v>0</v>
      </c>
      <c r="E481">
        <f>'Refrig Mass Flow &amp; Cond kW'!D472*(($C$13-$C$14)-$C$6*($C$17-$C$18)/1000)-'Refrig Mass Flow &amp; Cond kW'!C472*(1-$C$6/($C$10+273))</f>
        <v>0</v>
      </c>
      <c r="F481" s="13"/>
      <c r="G481" s="13">
        <f>'Refrig Mass Flow &amp; Cond kW'!F472*$C$6*($G$19-$G$18)/1000</f>
        <v>0</v>
      </c>
      <c r="H481">
        <f>'Refrig Mass Flow &amp; Cond kW'!F472*$C$6*($G$17-$G$16)/1000</f>
        <v>0</v>
      </c>
      <c r="I481">
        <f>'Refrig Mass Flow &amp; Cond kW'!F472*(($G$13-$G$14)-$C$6*($G$17-$G$18)/1000)-'Refrig Mass Flow &amp; Cond kW'!E472*(1-$C$6/($G$10+273))</f>
        <v>0</v>
      </c>
    </row>
    <row r="482" spans="2:9" x14ac:dyDescent="0.2">
      <c r="B482" s="2">
        <v>459</v>
      </c>
      <c r="C482">
        <f>'Refrig Mass Flow &amp; Cond kW'!D473*$C$6*(($C$19-$C$18)/1000)</f>
        <v>0</v>
      </c>
      <c r="D482">
        <f>'Refrig Mass Flow &amp; Cond kW'!D473*Winter!$C$6*((Winter!$C$17-Winter!$C$16)/1000)</f>
        <v>0</v>
      </c>
      <c r="E482">
        <f>'Refrig Mass Flow &amp; Cond kW'!D473*(($C$13-$C$14)-$C$6*($C$17-$C$18)/1000)-'Refrig Mass Flow &amp; Cond kW'!C473*(1-$C$6/($C$10+273))</f>
        <v>0</v>
      </c>
      <c r="F482" s="13"/>
      <c r="G482" s="13">
        <f>'Refrig Mass Flow &amp; Cond kW'!F473*$C$6*($G$19-$G$18)/1000</f>
        <v>0</v>
      </c>
      <c r="H482">
        <f>'Refrig Mass Flow &amp; Cond kW'!F473*$C$6*($G$17-$G$16)/1000</f>
        <v>0</v>
      </c>
      <c r="I482">
        <f>'Refrig Mass Flow &amp; Cond kW'!F473*(($G$13-$G$14)-$C$6*($G$17-$G$18)/1000)-'Refrig Mass Flow &amp; Cond kW'!E473*(1-$C$6/($G$10+273))</f>
        <v>0</v>
      </c>
    </row>
    <row r="483" spans="2:9" x14ac:dyDescent="0.2">
      <c r="B483" s="2">
        <v>460</v>
      </c>
      <c r="C483">
        <f>'Refrig Mass Flow &amp; Cond kW'!D474*$C$6*(($C$19-$C$18)/1000)</f>
        <v>0</v>
      </c>
      <c r="D483">
        <f>'Refrig Mass Flow &amp; Cond kW'!D474*Winter!$C$6*((Winter!$C$17-Winter!$C$16)/1000)</f>
        <v>0</v>
      </c>
      <c r="E483">
        <f>'Refrig Mass Flow &amp; Cond kW'!D474*(($C$13-$C$14)-$C$6*($C$17-$C$18)/1000)-'Refrig Mass Flow &amp; Cond kW'!C474*(1-$C$6/($C$10+273))</f>
        <v>0</v>
      </c>
      <c r="F483" s="13"/>
      <c r="G483" s="13">
        <f>'Refrig Mass Flow &amp; Cond kW'!F474*$C$6*($G$19-$G$18)/1000</f>
        <v>0</v>
      </c>
      <c r="H483">
        <f>'Refrig Mass Flow &amp; Cond kW'!F474*$C$6*($G$17-$G$16)/1000</f>
        <v>0</v>
      </c>
      <c r="I483">
        <f>'Refrig Mass Flow &amp; Cond kW'!F474*(($G$13-$G$14)-$C$6*($G$17-$G$18)/1000)-'Refrig Mass Flow &amp; Cond kW'!E474*(1-$C$6/($G$10+273))</f>
        <v>0</v>
      </c>
    </row>
    <row r="484" spans="2:9" x14ac:dyDescent="0.2">
      <c r="B484" s="2">
        <v>461</v>
      </c>
      <c r="C484">
        <f>'Refrig Mass Flow &amp; Cond kW'!D475*$C$6*(($C$19-$C$18)/1000)</f>
        <v>0</v>
      </c>
      <c r="D484">
        <f>'Refrig Mass Flow &amp; Cond kW'!D475*Winter!$C$6*((Winter!$C$17-Winter!$C$16)/1000)</f>
        <v>0</v>
      </c>
      <c r="E484">
        <f>'Refrig Mass Flow &amp; Cond kW'!D475*(($C$13-$C$14)-$C$6*($C$17-$C$18)/1000)-'Refrig Mass Flow &amp; Cond kW'!C475*(1-$C$6/($C$10+273))</f>
        <v>0</v>
      </c>
      <c r="F484" s="13"/>
      <c r="G484" s="13">
        <f>'Refrig Mass Flow &amp; Cond kW'!F475*$C$6*($G$19-$G$18)/1000</f>
        <v>0</v>
      </c>
      <c r="H484">
        <f>'Refrig Mass Flow &amp; Cond kW'!F475*$C$6*($G$17-$G$16)/1000</f>
        <v>0</v>
      </c>
      <c r="I484">
        <f>'Refrig Mass Flow &amp; Cond kW'!F475*(($G$13-$G$14)-$C$6*($G$17-$G$18)/1000)-'Refrig Mass Flow &amp; Cond kW'!E475*(1-$C$6/($G$10+273))</f>
        <v>0</v>
      </c>
    </row>
    <row r="485" spans="2:9" x14ac:dyDescent="0.2">
      <c r="B485" s="2">
        <v>462</v>
      </c>
      <c r="C485">
        <f>'Refrig Mass Flow &amp; Cond kW'!D476*$C$6*(($C$19-$C$18)/1000)</f>
        <v>0</v>
      </c>
      <c r="D485">
        <f>'Refrig Mass Flow &amp; Cond kW'!D476*Winter!$C$6*((Winter!$C$17-Winter!$C$16)/1000)</f>
        <v>0</v>
      </c>
      <c r="E485">
        <f>'Refrig Mass Flow &amp; Cond kW'!D476*(($C$13-$C$14)-$C$6*($C$17-$C$18)/1000)-'Refrig Mass Flow &amp; Cond kW'!C476*(1-$C$6/($C$10+273))</f>
        <v>0</v>
      </c>
      <c r="F485" s="13"/>
      <c r="G485" s="13">
        <f>'Refrig Mass Flow &amp; Cond kW'!F476*$C$6*($G$19-$G$18)/1000</f>
        <v>0</v>
      </c>
      <c r="H485">
        <f>'Refrig Mass Flow &amp; Cond kW'!F476*$C$6*($G$17-$G$16)/1000</f>
        <v>0</v>
      </c>
      <c r="I485">
        <f>'Refrig Mass Flow &amp; Cond kW'!F476*(($G$13-$G$14)-$C$6*($G$17-$G$18)/1000)-'Refrig Mass Flow &amp; Cond kW'!E476*(1-$C$6/($G$10+273))</f>
        <v>0</v>
      </c>
    </row>
    <row r="486" spans="2:9" x14ac:dyDescent="0.2">
      <c r="B486" s="2">
        <v>463</v>
      </c>
      <c r="C486">
        <f>'Refrig Mass Flow &amp; Cond kW'!D477*$C$6*(($C$19-$C$18)/1000)</f>
        <v>0</v>
      </c>
      <c r="D486">
        <f>'Refrig Mass Flow &amp; Cond kW'!D477*Winter!$C$6*((Winter!$C$17-Winter!$C$16)/1000)</f>
        <v>0</v>
      </c>
      <c r="E486">
        <f>'Refrig Mass Flow &amp; Cond kW'!D477*(($C$13-$C$14)-$C$6*($C$17-$C$18)/1000)-'Refrig Mass Flow &amp; Cond kW'!C477*(1-$C$6/($C$10+273))</f>
        <v>0</v>
      </c>
      <c r="F486" s="13"/>
      <c r="G486" s="13">
        <f>'Refrig Mass Flow &amp; Cond kW'!F477*$C$6*($G$19-$G$18)/1000</f>
        <v>0</v>
      </c>
      <c r="H486">
        <f>'Refrig Mass Flow &amp; Cond kW'!F477*$C$6*($G$17-$G$16)/1000</f>
        <v>0</v>
      </c>
      <c r="I486">
        <f>'Refrig Mass Flow &amp; Cond kW'!F477*(($G$13-$G$14)-$C$6*($G$17-$G$18)/1000)-'Refrig Mass Flow &amp; Cond kW'!E477*(1-$C$6/($G$10+273))</f>
        <v>0</v>
      </c>
    </row>
    <row r="487" spans="2:9" x14ac:dyDescent="0.2">
      <c r="B487" s="2">
        <v>464</v>
      </c>
      <c r="C487">
        <f>'Refrig Mass Flow &amp; Cond kW'!D478*$C$6*(($C$19-$C$18)/1000)</f>
        <v>0</v>
      </c>
      <c r="D487">
        <f>'Refrig Mass Flow &amp; Cond kW'!D478*Winter!$C$6*((Winter!$C$17-Winter!$C$16)/1000)</f>
        <v>0</v>
      </c>
      <c r="E487">
        <f>'Refrig Mass Flow &amp; Cond kW'!D478*(($C$13-$C$14)-$C$6*($C$17-$C$18)/1000)-'Refrig Mass Flow &amp; Cond kW'!C478*(1-$C$6/($C$10+273))</f>
        <v>0</v>
      </c>
      <c r="F487" s="13"/>
      <c r="G487" s="13">
        <f>'Refrig Mass Flow &amp; Cond kW'!F478*$C$6*($G$19-$G$18)/1000</f>
        <v>0</v>
      </c>
      <c r="H487">
        <f>'Refrig Mass Flow &amp; Cond kW'!F478*$C$6*($G$17-$G$16)/1000</f>
        <v>0</v>
      </c>
      <c r="I487">
        <f>'Refrig Mass Flow &amp; Cond kW'!F478*(($G$13-$G$14)-$C$6*($G$17-$G$18)/1000)-'Refrig Mass Flow &amp; Cond kW'!E478*(1-$C$6/($G$10+273))</f>
        <v>0</v>
      </c>
    </row>
    <row r="488" spans="2:9" x14ac:dyDescent="0.2">
      <c r="B488" s="2">
        <v>465</v>
      </c>
      <c r="C488">
        <f>'Refrig Mass Flow &amp; Cond kW'!D479*$C$6*(($C$19-$C$18)/1000)</f>
        <v>0</v>
      </c>
      <c r="D488">
        <f>'Refrig Mass Flow &amp; Cond kW'!D479*Winter!$C$6*((Winter!$C$17-Winter!$C$16)/1000)</f>
        <v>0</v>
      </c>
      <c r="E488">
        <f>'Refrig Mass Flow &amp; Cond kW'!D479*(($C$13-$C$14)-$C$6*($C$17-$C$18)/1000)-'Refrig Mass Flow &amp; Cond kW'!C479*(1-$C$6/($C$10+273))</f>
        <v>0</v>
      </c>
      <c r="F488" s="13"/>
      <c r="G488" s="13">
        <f>'Refrig Mass Flow &amp; Cond kW'!F479*$C$6*($G$19-$G$18)/1000</f>
        <v>0</v>
      </c>
      <c r="H488">
        <f>'Refrig Mass Flow &amp; Cond kW'!F479*$C$6*($G$17-$G$16)/1000</f>
        <v>0</v>
      </c>
      <c r="I488">
        <f>'Refrig Mass Flow &amp; Cond kW'!F479*(($G$13-$G$14)-$C$6*($G$17-$G$18)/1000)-'Refrig Mass Flow &amp; Cond kW'!E479*(1-$C$6/($G$10+273))</f>
        <v>0</v>
      </c>
    </row>
    <row r="489" spans="2:9" x14ac:dyDescent="0.2">
      <c r="B489" s="2">
        <v>466</v>
      </c>
      <c r="C489">
        <f>'Refrig Mass Flow &amp; Cond kW'!D480*$C$6*(($C$19-$C$18)/1000)</f>
        <v>0</v>
      </c>
      <c r="D489">
        <f>'Refrig Mass Flow &amp; Cond kW'!D480*Winter!$C$6*((Winter!$C$17-Winter!$C$16)/1000)</f>
        <v>0</v>
      </c>
      <c r="E489">
        <f>'Refrig Mass Flow &amp; Cond kW'!D480*(($C$13-$C$14)-$C$6*($C$17-$C$18)/1000)-'Refrig Mass Flow &amp; Cond kW'!C480*(1-$C$6/($C$10+273))</f>
        <v>0</v>
      </c>
      <c r="F489" s="13"/>
      <c r="G489" s="13">
        <f>'Refrig Mass Flow &amp; Cond kW'!F480*$C$6*($G$19-$G$18)/1000</f>
        <v>0</v>
      </c>
      <c r="H489">
        <f>'Refrig Mass Flow &amp; Cond kW'!F480*$C$6*($G$17-$G$16)/1000</f>
        <v>0</v>
      </c>
      <c r="I489">
        <f>'Refrig Mass Flow &amp; Cond kW'!F480*(($G$13-$G$14)-$C$6*($G$17-$G$18)/1000)-'Refrig Mass Flow &amp; Cond kW'!E480*(1-$C$6/($G$10+273))</f>
        <v>0</v>
      </c>
    </row>
    <row r="490" spans="2:9" x14ac:dyDescent="0.2">
      <c r="B490" s="2">
        <v>467</v>
      </c>
      <c r="C490">
        <f>'Refrig Mass Flow &amp; Cond kW'!D481*$C$6*(($C$19-$C$18)/1000)</f>
        <v>1.6977501921031535</v>
      </c>
      <c r="D490">
        <f>'Refrig Mass Flow &amp; Cond kW'!D481*Winter!$C$6*((Winter!$C$17-Winter!$C$16)/1000)</f>
        <v>5.699589930631932</v>
      </c>
      <c r="E490">
        <f>'Refrig Mass Flow &amp; Cond kW'!D481*(($C$13-$C$14)-$C$6*($C$17-$C$18)/1000)-'Refrig Mass Flow &amp; Cond kW'!C481*(1-$C$6/($C$10+273))</f>
        <v>1.6198213422018135</v>
      </c>
      <c r="F490" s="13"/>
      <c r="G490" s="13">
        <f>'Refrig Mass Flow &amp; Cond kW'!F481*$C$6*($G$19-$G$18)/1000</f>
        <v>0</v>
      </c>
      <c r="H490">
        <f>'Refrig Mass Flow &amp; Cond kW'!F481*$C$6*($G$17-$G$16)/1000</f>
        <v>0</v>
      </c>
      <c r="I490">
        <f>'Refrig Mass Flow &amp; Cond kW'!F481*(($G$13-$G$14)-$C$6*($G$17-$G$18)/1000)-'Refrig Mass Flow &amp; Cond kW'!E481*(1-$C$6/($G$10+273))</f>
        <v>0</v>
      </c>
    </row>
    <row r="491" spans="2:9" x14ac:dyDescent="0.2">
      <c r="B491" s="2">
        <v>468</v>
      </c>
      <c r="C491">
        <f>'Refrig Mass Flow &amp; Cond kW'!D482*$C$6*(($C$19-$C$18)/1000)</f>
        <v>1.6615390739751541</v>
      </c>
      <c r="D491">
        <f>'Refrig Mass Flow &amp; Cond kW'!D482*Winter!$C$6*((Winter!$C$17-Winter!$C$16)/1000)</f>
        <v>5.5780240340593643</v>
      </c>
      <c r="E491">
        <f>'Refrig Mass Flow &amp; Cond kW'!D482*(($C$13-$C$14)-$C$6*($C$17-$C$18)/1000)-'Refrig Mass Flow &amp; Cond kW'!C482*(1-$C$6/($C$10+273))</f>
        <v>1.585272359529597</v>
      </c>
      <c r="F491" s="13"/>
      <c r="G491" s="13">
        <f>'Refrig Mass Flow &amp; Cond kW'!F482*$C$6*($G$19-$G$18)/1000</f>
        <v>0</v>
      </c>
      <c r="H491">
        <f>'Refrig Mass Flow &amp; Cond kW'!F482*$C$6*($G$17-$G$16)/1000</f>
        <v>0</v>
      </c>
      <c r="I491">
        <f>'Refrig Mass Flow &amp; Cond kW'!F482*(($G$13-$G$14)-$C$6*($G$17-$G$18)/1000)-'Refrig Mass Flow &amp; Cond kW'!E482*(1-$C$6/($G$10+273))</f>
        <v>0</v>
      </c>
    </row>
    <row r="492" spans="2:9" x14ac:dyDescent="0.2">
      <c r="B492" s="2">
        <v>469</v>
      </c>
      <c r="C492">
        <f>'Refrig Mass Flow &amp; Cond kW'!D483*$C$6*(($C$19-$C$18)/1000)</f>
        <v>1.6253919697330312</v>
      </c>
      <c r="D492">
        <f>'Refrig Mass Flow &amp; Cond kW'!D483*Winter!$C$6*((Winter!$C$17-Winter!$C$16)/1000)</f>
        <v>5.4566730412465247</v>
      </c>
      <c r="E492">
        <f>'Refrig Mass Flow &amp; Cond kW'!D483*(($C$13-$C$14)-$C$6*($C$17-$C$18)/1000)-'Refrig Mass Flow &amp; Cond kW'!C483*(1-$C$6/($C$10+273))</f>
        <v>1.5507844524261074</v>
      </c>
      <c r="F492" s="13"/>
      <c r="G492" s="13">
        <f>'Refrig Mass Flow &amp; Cond kW'!F483*$C$6*($G$19-$G$18)/1000</f>
        <v>0</v>
      </c>
      <c r="H492">
        <f>'Refrig Mass Flow &amp; Cond kW'!F483*$C$6*($G$17-$G$16)/1000</f>
        <v>0</v>
      </c>
      <c r="I492">
        <f>'Refrig Mass Flow &amp; Cond kW'!F483*(($G$13-$G$14)-$C$6*($G$17-$G$18)/1000)-'Refrig Mass Flow &amp; Cond kW'!E483*(1-$C$6/($G$10+273))</f>
        <v>0</v>
      </c>
    </row>
    <row r="493" spans="2:9" x14ac:dyDescent="0.2">
      <c r="B493" s="2">
        <v>470</v>
      </c>
      <c r="C493">
        <f>'Refrig Mass Flow &amp; Cond kW'!D484*$C$6*(($C$19-$C$18)/1000)</f>
        <v>1.5893088143493155</v>
      </c>
      <c r="D493">
        <f>'Refrig Mass Flow &amp; Cond kW'!D484*Winter!$C$6*((Winter!$C$17-Winter!$C$16)/1000)</f>
        <v>5.3355367338869097</v>
      </c>
      <c r="E493">
        <f>'Refrig Mass Flow &amp; Cond kW'!D484*(($C$13-$C$14)-$C$6*($C$17-$C$18)/1000)-'Refrig Mass Flow &amp; Cond kW'!C484*(1-$C$6/($C$10+273))</f>
        <v>1.5163575588487177</v>
      </c>
      <c r="F493" s="13"/>
      <c r="G493" s="13">
        <f>'Refrig Mass Flow &amp; Cond kW'!F484*$C$6*($G$19-$G$18)/1000</f>
        <v>0</v>
      </c>
      <c r="H493">
        <f>'Refrig Mass Flow &amp; Cond kW'!F484*$C$6*($G$17-$G$16)/1000</f>
        <v>0</v>
      </c>
      <c r="I493">
        <f>'Refrig Mass Flow &amp; Cond kW'!F484*(($G$13-$G$14)-$C$6*($G$17-$G$18)/1000)-'Refrig Mass Flow &amp; Cond kW'!E484*(1-$C$6/($G$10+273))</f>
        <v>0</v>
      </c>
    </row>
    <row r="494" spans="2:9" x14ac:dyDescent="0.2">
      <c r="B494" s="2">
        <v>471</v>
      </c>
      <c r="C494">
        <f>'Refrig Mass Flow &amp; Cond kW'!D485*$C$6*(($C$19-$C$18)/1000)</f>
        <v>0</v>
      </c>
      <c r="D494">
        <f>'Refrig Mass Flow &amp; Cond kW'!D485*Winter!$C$6*((Winter!$C$17-Winter!$C$16)/1000)</f>
        <v>0</v>
      </c>
      <c r="E494">
        <f>'Refrig Mass Flow &amp; Cond kW'!D485*(($C$13-$C$14)-$C$6*($C$17-$C$18)/1000)-'Refrig Mass Flow &amp; Cond kW'!C485*(1-$C$6/($C$10+273))</f>
        <v>0</v>
      </c>
      <c r="F494" s="13"/>
      <c r="G494" s="13">
        <f>'Refrig Mass Flow &amp; Cond kW'!F485*$C$6*($G$19-$G$18)/1000</f>
        <v>0</v>
      </c>
      <c r="H494">
        <f>'Refrig Mass Flow &amp; Cond kW'!F485*$C$6*($G$17-$G$16)/1000</f>
        <v>0</v>
      </c>
      <c r="I494">
        <f>'Refrig Mass Flow &amp; Cond kW'!F485*(($G$13-$G$14)-$C$6*($G$17-$G$18)/1000)-'Refrig Mass Flow &amp; Cond kW'!E485*(1-$C$6/($G$10+273))</f>
        <v>0</v>
      </c>
    </row>
    <row r="495" spans="2:9" x14ac:dyDescent="0.2">
      <c r="B495" s="2">
        <v>472</v>
      </c>
      <c r="C495">
        <f>'Refrig Mass Flow &amp; Cond kW'!D486*$C$6*(($C$19-$C$18)/1000)</f>
        <v>0</v>
      </c>
      <c r="D495">
        <f>'Refrig Mass Flow &amp; Cond kW'!D486*Winter!$C$6*((Winter!$C$17-Winter!$C$16)/1000)</f>
        <v>0</v>
      </c>
      <c r="E495">
        <f>'Refrig Mass Flow &amp; Cond kW'!D486*(($C$13-$C$14)-$C$6*($C$17-$C$18)/1000)-'Refrig Mass Flow &amp; Cond kW'!C486*(1-$C$6/($C$10+273))</f>
        <v>0</v>
      </c>
      <c r="F495" s="13"/>
      <c r="G495" s="13">
        <f>'Refrig Mass Flow &amp; Cond kW'!F486*$C$6*($G$19-$G$18)/1000</f>
        <v>0</v>
      </c>
      <c r="H495">
        <f>'Refrig Mass Flow &amp; Cond kW'!F486*$C$6*($G$17-$G$16)/1000</f>
        <v>0</v>
      </c>
      <c r="I495">
        <f>'Refrig Mass Flow &amp; Cond kW'!F486*(($G$13-$G$14)-$C$6*($G$17-$G$18)/1000)-'Refrig Mass Flow &amp; Cond kW'!E486*(1-$C$6/($G$10+273))</f>
        <v>0</v>
      </c>
    </row>
    <row r="496" spans="2:9" x14ac:dyDescent="0.2">
      <c r="B496" s="2">
        <v>473</v>
      </c>
      <c r="C496">
        <f>'Refrig Mass Flow &amp; Cond kW'!D487*$C$6*(($C$19-$C$18)/1000)</f>
        <v>0</v>
      </c>
      <c r="D496">
        <f>'Refrig Mass Flow &amp; Cond kW'!D487*Winter!$C$6*((Winter!$C$17-Winter!$C$16)/1000)</f>
        <v>0</v>
      </c>
      <c r="E496">
        <f>'Refrig Mass Flow &amp; Cond kW'!D487*(($C$13-$C$14)-$C$6*($C$17-$C$18)/1000)-'Refrig Mass Flow &amp; Cond kW'!C487*(1-$C$6/($C$10+273))</f>
        <v>0</v>
      </c>
      <c r="F496" s="13"/>
      <c r="G496" s="13">
        <f>'Refrig Mass Flow &amp; Cond kW'!F487*$C$6*($G$19-$G$18)/1000</f>
        <v>0</v>
      </c>
      <c r="H496">
        <f>'Refrig Mass Flow &amp; Cond kW'!F487*$C$6*($G$17-$G$16)/1000</f>
        <v>0</v>
      </c>
      <c r="I496">
        <f>'Refrig Mass Flow &amp; Cond kW'!F487*(($G$13-$G$14)-$C$6*($G$17-$G$18)/1000)-'Refrig Mass Flow &amp; Cond kW'!E487*(1-$C$6/($G$10+273))</f>
        <v>0</v>
      </c>
    </row>
    <row r="497" spans="2:9" x14ac:dyDescent="0.2">
      <c r="B497" s="2">
        <v>474</v>
      </c>
      <c r="C497">
        <f>'Refrig Mass Flow &amp; Cond kW'!D488*$C$6*(($C$19-$C$18)/1000)</f>
        <v>0</v>
      </c>
      <c r="D497">
        <f>'Refrig Mass Flow &amp; Cond kW'!D488*Winter!$C$6*((Winter!$C$17-Winter!$C$16)/1000)</f>
        <v>0</v>
      </c>
      <c r="E497">
        <f>'Refrig Mass Flow &amp; Cond kW'!D488*(($C$13-$C$14)-$C$6*($C$17-$C$18)/1000)-'Refrig Mass Flow &amp; Cond kW'!C488*(1-$C$6/($C$10+273))</f>
        <v>0</v>
      </c>
      <c r="F497" s="13"/>
      <c r="G497" s="13">
        <f>'Refrig Mass Flow &amp; Cond kW'!F488*$C$6*($G$19-$G$18)/1000</f>
        <v>0</v>
      </c>
      <c r="H497">
        <f>'Refrig Mass Flow &amp; Cond kW'!F488*$C$6*($G$17-$G$16)/1000</f>
        <v>0</v>
      </c>
      <c r="I497">
        <f>'Refrig Mass Flow &amp; Cond kW'!F488*(($G$13-$G$14)-$C$6*($G$17-$G$18)/1000)-'Refrig Mass Flow &amp; Cond kW'!E488*(1-$C$6/($G$10+273))</f>
        <v>0</v>
      </c>
    </row>
    <row r="498" spans="2:9" x14ac:dyDescent="0.2">
      <c r="B498" s="2">
        <v>475</v>
      </c>
      <c r="C498">
        <f>'Refrig Mass Flow &amp; Cond kW'!D489*$C$6*(($C$19-$C$18)/1000)</f>
        <v>0</v>
      </c>
      <c r="D498">
        <f>'Refrig Mass Flow &amp; Cond kW'!D489*Winter!$C$6*((Winter!$C$17-Winter!$C$16)/1000)</f>
        <v>0</v>
      </c>
      <c r="E498">
        <f>'Refrig Mass Flow &amp; Cond kW'!D489*(($C$13-$C$14)-$C$6*($C$17-$C$18)/1000)-'Refrig Mass Flow &amp; Cond kW'!C489*(1-$C$6/($C$10+273))</f>
        <v>0</v>
      </c>
      <c r="F498" s="13"/>
      <c r="G498" s="13">
        <f>'Refrig Mass Flow &amp; Cond kW'!F489*$C$6*($G$19-$G$18)/1000</f>
        <v>0</v>
      </c>
      <c r="H498">
        <f>'Refrig Mass Flow &amp; Cond kW'!F489*$C$6*($G$17-$G$16)/1000</f>
        <v>0</v>
      </c>
      <c r="I498">
        <f>'Refrig Mass Flow &amp; Cond kW'!F489*(($G$13-$G$14)-$C$6*($G$17-$G$18)/1000)-'Refrig Mass Flow &amp; Cond kW'!E489*(1-$C$6/($G$10+273))</f>
        <v>0</v>
      </c>
    </row>
    <row r="499" spans="2:9" x14ac:dyDescent="0.2">
      <c r="B499" s="2">
        <v>476</v>
      </c>
      <c r="C499">
        <f>'Refrig Mass Flow &amp; Cond kW'!D490*$C$6*(($C$19-$C$18)/1000)</f>
        <v>0</v>
      </c>
      <c r="D499">
        <f>'Refrig Mass Flow &amp; Cond kW'!D490*Winter!$C$6*((Winter!$C$17-Winter!$C$16)/1000)</f>
        <v>0</v>
      </c>
      <c r="E499">
        <f>'Refrig Mass Flow &amp; Cond kW'!D490*(($C$13-$C$14)-$C$6*($C$17-$C$18)/1000)-'Refrig Mass Flow &amp; Cond kW'!C490*(1-$C$6/($C$10+273))</f>
        <v>0</v>
      </c>
      <c r="F499" s="13"/>
      <c r="G499" s="13">
        <f>'Refrig Mass Flow &amp; Cond kW'!F490*$C$6*($G$19-$G$18)/1000</f>
        <v>0</v>
      </c>
      <c r="H499">
        <f>'Refrig Mass Flow &amp; Cond kW'!F490*$C$6*($G$17-$G$16)/1000</f>
        <v>0</v>
      </c>
      <c r="I499">
        <f>'Refrig Mass Flow &amp; Cond kW'!F490*(($G$13-$G$14)-$C$6*($G$17-$G$18)/1000)-'Refrig Mass Flow &amp; Cond kW'!E490*(1-$C$6/($G$10+273))</f>
        <v>0</v>
      </c>
    </row>
    <row r="500" spans="2:9" x14ac:dyDescent="0.2">
      <c r="B500" s="2">
        <v>477</v>
      </c>
      <c r="C500">
        <f>'Refrig Mass Flow &amp; Cond kW'!D491*$C$6*(($C$19-$C$18)/1000)</f>
        <v>0</v>
      </c>
      <c r="D500">
        <f>'Refrig Mass Flow &amp; Cond kW'!D491*Winter!$C$6*((Winter!$C$17-Winter!$C$16)/1000)</f>
        <v>0</v>
      </c>
      <c r="E500">
        <f>'Refrig Mass Flow &amp; Cond kW'!D491*(($C$13-$C$14)-$C$6*($C$17-$C$18)/1000)-'Refrig Mass Flow &amp; Cond kW'!C491*(1-$C$6/($C$10+273))</f>
        <v>0</v>
      </c>
      <c r="F500" s="13"/>
      <c r="G500" s="13">
        <f>'Refrig Mass Flow &amp; Cond kW'!F491*$C$6*($G$19-$G$18)/1000</f>
        <v>0</v>
      </c>
      <c r="H500">
        <f>'Refrig Mass Flow &amp; Cond kW'!F491*$C$6*($G$17-$G$16)/1000</f>
        <v>0</v>
      </c>
      <c r="I500">
        <f>'Refrig Mass Flow &amp; Cond kW'!F491*(($G$13-$G$14)-$C$6*($G$17-$G$18)/1000)-'Refrig Mass Flow &amp; Cond kW'!E491*(1-$C$6/($G$10+273))</f>
        <v>0</v>
      </c>
    </row>
    <row r="501" spans="2:9" x14ac:dyDescent="0.2">
      <c r="B501" s="2">
        <v>478</v>
      </c>
      <c r="C501">
        <f>'Refrig Mass Flow &amp; Cond kW'!D492*$C$6*(($C$19-$C$18)/1000)</f>
        <v>0</v>
      </c>
      <c r="D501">
        <f>'Refrig Mass Flow &amp; Cond kW'!D492*Winter!$C$6*((Winter!$C$17-Winter!$C$16)/1000)</f>
        <v>0</v>
      </c>
      <c r="E501">
        <f>'Refrig Mass Flow &amp; Cond kW'!D492*(($C$13-$C$14)-$C$6*($C$17-$C$18)/1000)-'Refrig Mass Flow &amp; Cond kW'!C492*(1-$C$6/($C$10+273))</f>
        <v>0</v>
      </c>
      <c r="F501" s="13"/>
      <c r="G501" s="13">
        <f>'Refrig Mass Flow &amp; Cond kW'!F492*$C$6*($G$19-$G$18)/1000</f>
        <v>0</v>
      </c>
      <c r="H501">
        <f>'Refrig Mass Flow &amp; Cond kW'!F492*$C$6*($G$17-$G$16)/1000</f>
        <v>0</v>
      </c>
      <c r="I501">
        <f>'Refrig Mass Flow &amp; Cond kW'!F492*(($G$13-$G$14)-$C$6*($G$17-$G$18)/1000)-'Refrig Mass Flow &amp; Cond kW'!E492*(1-$C$6/($G$10+273))</f>
        <v>0</v>
      </c>
    </row>
    <row r="502" spans="2:9" x14ac:dyDescent="0.2">
      <c r="B502" s="2">
        <v>479</v>
      </c>
      <c r="C502">
        <f>'Refrig Mass Flow &amp; Cond kW'!D493*$C$6*(($C$19-$C$18)/1000)</f>
        <v>0</v>
      </c>
      <c r="D502">
        <f>'Refrig Mass Flow &amp; Cond kW'!D493*Winter!$C$6*((Winter!$C$17-Winter!$C$16)/1000)</f>
        <v>0</v>
      </c>
      <c r="E502">
        <f>'Refrig Mass Flow &amp; Cond kW'!D493*(($C$13-$C$14)-$C$6*($C$17-$C$18)/1000)-'Refrig Mass Flow &amp; Cond kW'!C493*(1-$C$6/($C$10+273))</f>
        <v>0</v>
      </c>
      <c r="F502" s="13"/>
      <c r="G502" s="13">
        <f>'Refrig Mass Flow &amp; Cond kW'!F493*$C$6*($G$19-$G$18)/1000</f>
        <v>0</v>
      </c>
      <c r="H502">
        <f>'Refrig Mass Flow &amp; Cond kW'!F493*$C$6*($G$17-$G$16)/1000</f>
        <v>0</v>
      </c>
      <c r="I502">
        <f>'Refrig Mass Flow &amp; Cond kW'!F493*(($G$13-$G$14)-$C$6*($G$17-$G$18)/1000)-'Refrig Mass Flow &amp; Cond kW'!E493*(1-$C$6/($G$10+273))</f>
        <v>0</v>
      </c>
    </row>
    <row r="503" spans="2:9" x14ac:dyDescent="0.2">
      <c r="B503" s="2">
        <v>480</v>
      </c>
      <c r="C503">
        <f>'Refrig Mass Flow &amp; Cond kW'!D494*$C$6*(($C$19-$C$18)/1000)</f>
        <v>0</v>
      </c>
      <c r="D503">
        <f>'Refrig Mass Flow &amp; Cond kW'!D494*Winter!$C$6*((Winter!$C$17-Winter!$C$16)/1000)</f>
        <v>0</v>
      </c>
      <c r="E503">
        <f>'Refrig Mass Flow &amp; Cond kW'!D494*(($C$13-$C$14)-$C$6*($C$17-$C$18)/1000)-'Refrig Mass Flow &amp; Cond kW'!C494*(1-$C$6/($C$10+273))</f>
        <v>0</v>
      </c>
      <c r="F503" s="13"/>
      <c r="G503" s="13">
        <f>'Refrig Mass Flow &amp; Cond kW'!F494*$C$6*($G$19-$G$18)/1000</f>
        <v>0</v>
      </c>
      <c r="H503">
        <f>'Refrig Mass Flow &amp; Cond kW'!F494*$C$6*($G$17-$G$16)/1000</f>
        <v>0</v>
      </c>
      <c r="I503">
        <f>'Refrig Mass Flow &amp; Cond kW'!F494*(($G$13-$G$14)-$C$6*($G$17-$G$18)/1000)-'Refrig Mass Flow &amp; Cond kW'!E494*(1-$C$6/($G$10+273))</f>
        <v>0</v>
      </c>
    </row>
    <row r="504" spans="2:9" x14ac:dyDescent="0.2">
      <c r="B504" s="2">
        <v>481</v>
      </c>
      <c r="C504">
        <f>'Refrig Mass Flow &amp; Cond kW'!D495*$C$6*(($C$19-$C$18)/1000)</f>
        <v>0</v>
      </c>
      <c r="D504">
        <f>'Refrig Mass Flow &amp; Cond kW'!D495*Winter!$C$6*((Winter!$C$17-Winter!$C$16)/1000)</f>
        <v>0</v>
      </c>
      <c r="E504">
        <f>'Refrig Mass Flow &amp; Cond kW'!D495*(($C$13-$C$14)-$C$6*($C$17-$C$18)/1000)-'Refrig Mass Flow &amp; Cond kW'!C495*(1-$C$6/($C$10+273))</f>
        <v>0</v>
      </c>
      <c r="F504" s="13"/>
      <c r="G504" s="13">
        <f>'Refrig Mass Flow &amp; Cond kW'!F495*$C$6*($G$19-$G$18)/1000</f>
        <v>0</v>
      </c>
      <c r="H504">
        <f>'Refrig Mass Flow &amp; Cond kW'!F495*$C$6*($G$17-$G$16)/1000</f>
        <v>0</v>
      </c>
      <c r="I504">
        <f>'Refrig Mass Flow &amp; Cond kW'!F495*(($G$13-$G$14)-$C$6*($G$17-$G$18)/1000)-'Refrig Mass Flow &amp; Cond kW'!E495*(1-$C$6/($G$10+273))</f>
        <v>0</v>
      </c>
    </row>
    <row r="505" spans="2:9" x14ac:dyDescent="0.2">
      <c r="B505" s="2">
        <v>482</v>
      </c>
      <c r="C505">
        <f>'Refrig Mass Flow &amp; Cond kW'!D496*$C$6*(($C$19-$C$18)/1000)</f>
        <v>0</v>
      </c>
      <c r="D505">
        <f>'Refrig Mass Flow &amp; Cond kW'!D496*Winter!$C$6*((Winter!$C$17-Winter!$C$16)/1000)</f>
        <v>0</v>
      </c>
      <c r="E505">
        <f>'Refrig Mass Flow &amp; Cond kW'!D496*(($C$13-$C$14)-$C$6*($C$17-$C$18)/1000)-'Refrig Mass Flow &amp; Cond kW'!C496*(1-$C$6/($C$10+273))</f>
        <v>0</v>
      </c>
      <c r="F505" s="13"/>
      <c r="G505" s="13">
        <f>'Refrig Mass Flow &amp; Cond kW'!F496*$C$6*($G$19-$G$18)/1000</f>
        <v>0</v>
      </c>
      <c r="H505">
        <f>'Refrig Mass Flow &amp; Cond kW'!F496*$C$6*($G$17-$G$16)/1000</f>
        <v>0</v>
      </c>
      <c r="I505">
        <f>'Refrig Mass Flow &amp; Cond kW'!F496*(($G$13-$G$14)-$C$6*($G$17-$G$18)/1000)-'Refrig Mass Flow &amp; Cond kW'!E496*(1-$C$6/($G$10+273))</f>
        <v>0</v>
      </c>
    </row>
    <row r="506" spans="2:9" x14ac:dyDescent="0.2">
      <c r="B506" s="2">
        <v>483</v>
      </c>
      <c r="C506">
        <f>'Refrig Mass Flow &amp; Cond kW'!D497*$C$6*(($C$19-$C$18)/1000)</f>
        <v>0</v>
      </c>
      <c r="D506">
        <f>'Refrig Mass Flow &amp; Cond kW'!D497*Winter!$C$6*((Winter!$C$17-Winter!$C$16)/1000)</f>
        <v>0</v>
      </c>
      <c r="E506">
        <f>'Refrig Mass Flow &amp; Cond kW'!D497*(($C$13-$C$14)-$C$6*($C$17-$C$18)/1000)-'Refrig Mass Flow &amp; Cond kW'!C497*(1-$C$6/($C$10+273))</f>
        <v>0</v>
      </c>
      <c r="F506" s="13"/>
      <c r="G506" s="13">
        <f>'Refrig Mass Flow &amp; Cond kW'!F497*$C$6*($G$19-$G$18)/1000</f>
        <v>0</v>
      </c>
      <c r="H506">
        <f>'Refrig Mass Flow &amp; Cond kW'!F497*$C$6*($G$17-$G$16)/1000</f>
        <v>0</v>
      </c>
      <c r="I506">
        <f>'Refrig Mass Flow &amp; Cond kW'!F497*(($G$13-$G$14)-$C$6*($G$17-$G$18)/1000)-'Refrig Mass Flow &amp; Cond kW'!E497*(1-$C$6/($G$10+273))</f>
        <v>0</v>
      </c>
    </row>
    <row r="507" spans="2:9" x14ac:dyDescent="0.2">
      <c r="B507" s="2">
        <v>484</v>
      </c>
      <c r="C507">
        <f>'Refrig Mass Flow &amp; Cond kW'!D498*$C$6*(($C$19-$C$18)/1000)</f>
        <v>0</v>
      </c>
      <c r="D507">
        <f>'Refrig Mass Flow &amp; Cond kW'!D498*Winter!$C$6*((Winter!$C$17-Winter!$C$16)/1000)</f>
        <v>0</v>
      </c>
      <c r="E507">
        <f>'Refrig Mass Flow &amp; Cond kW'!D498*(($C$13-$C$14)-$C$6*($C$17-$C$18)/1000)-'Refrig Mass Flow &amp; Cond kW'!C498*(1-$C$6/($C$10+273))</f>
        <v>0</v>
      </c>
      <c r="F507" s="13"/>
      <c r="G507" s="13">
        <f>'Refrig Mass Flow &amp; Cond kW'!F498*$C$6*($G$19-$G$18)/1000</f>
        <v>0</v>
      </c>
      <c r="H507">
        <f>'Refrig Mass Flow &amp; Cond kW'!F498*$C$6*($G$17-$G$16)/1000</f>
        <v>0</v>
      </c>
      <c r="I507">
        <f>'Refrig Mass Flow &amp; Cond kW'!F498*(($G$13-$G$14)-$C$6*($G$17-$G$18)/1000)-'Refrig Mass Flow &amp; Cond kW'!E498*(1-$C$6/($G$10+273))</f>
        <v>0</v>
      </c>
    </row>
    <row r="508" spans="2:9" x14ac:dyDescent="0.2">
      <c r="B508" s="2">
        <v>485</v>
      </c>
      <c r="C508">
        <f>'Refrig Mass Flow &amp; Cond kW'!D499*$C$6*(($C$19-$C$18)/1000)</f>
        <v>0</v>
      </c>
      <c r="D508">
        <f>'Refrig Mass Flow &amp; Cond kW'!D499*Winter!$C$6*((Winter!$C$17-Winter!$C$16)/1000)</f>
        <v>0</v>
      </c>
      <c r="E508">
        <f>'Refrig Mass Flow &amp; Cond kW'!D499*(($C$13-$C$14)-$C$6*($C$17-$C$18)/1000)-'Refrig Mass Flow &amp; Cond kW'!C499*(1-$C$6/($C$10+273))</f>
        <v>0</v>
      </c>
      <c r="F508" s="13"/>
      <c r="G508" s="13">
        <f>'Refrig Mass Flow &amp; Cond kW'!F499*$C$6*($G$19-$G$18)/1000</f>
        <v>0</v>
      </c>
      <c r="H508">
        <f>'Refrig Mass Flow &amp; Cond kW'!F499*$C$6*($G$17-$G$16)/1000</f>
        <v>0</v>
      </c>
      <c r="I508">
        <f>'Refrig Mass Flow &amp; Cond kW'!F499*(($G$13-$G$14)-$C$6*($G$17-$G$18)/1000)-'Refrig Mass Flow &amp; Cond kW'!E499*(1-$C$6/($G$10+273))</f>
        <v>0</v>
      </c>
    </row>
    <row r="509" spans="2:9" x14ac:dyDescent="0.2">
      <c r="B509" s="2">
        <v>486</v>
      </c>
      <c r="C509">
        <f>'Refrig Mass Flow &amp; Cond kW'!D500*$C$6*(($C$19-$C$18)/1000)</f>
        <v>0</v>
      </c>
      <c r="D509">
        <f>'Refrig Mass Flow &amp; Cond kW'!D500*Winter!$C$6*((Winter!$C$17-Winter!$C$16)/1000)</f>
        <v>0</v>
      </c>
      <c r="E509">
        <f>'Refrig Mass Flow &amp; Cond kW'!D500*(($C$13-$C$14)-$C$6*($C$17-$C$18)/1000)-'Refrig Mass Flow &amp; Cond kW'!C500*(1-$C$6/($C$10+273))</f>
        <v>0</v>
      </c>
      <c r="F509" s="13"/>
      <c r="G509" s="13">
        <f>'Refrig Mass Flow &amp; Cond kW'!F500*$C$6*($G$19-$G$18)/1000</f>
        <v>0</v>
      </c>
      <c r="H509">
        <f>'Refrig Mass Flow &amp; Cond kW'!F500*$C$6*($G$17-$G$16)/1000</f>
        <v>0</v>
      </c>
      <c r="I509">
        <f>'Refrig Mass Flow &amp; Cond kW'!F500*(($G$13-$G$14)-$C$6*($G$17-$G$18)/1000)-'Refrig Mass Flow &amp; Cond kW'!E500*(1-$C$6/($G$10+273))</f>
        <v>0</v>
      </c>
    </row>
    <row r="510" spans="2:9" x14ac:dyDescent="0.2">
      <c r="B510" s="2">
        <v>487</v>
      </c>
      <c r="C510">
        <f>'Refrig Mass Flow &amp; Cond kW'!D501*$C$6*(($C$19-$C$18)/1000)</f>
        <v>0</v>
      </c>
      <c r="D510">
        <f>'Refrig Mass Flow &amp; Cond kW'!D501*Winter!$C$6*((Winter!$C$17-Winter!$C$16)/1000)</f>
        <v>0</v>
      </c>
      <c r="E510">
        <f>'Refrig Mass Flow &amp; Cond kW'!D501*(($C$13-$C$14)-$C$6*($C$17-$C$18)/1000)-'Refrig Mass Flow &amp; Cond kW'!C501*(1-$C$6/($C$10+273))</f>
        <v>0</v>
      </c>
      <c r="F510" s="13"/>
      <c r="G510" s="13">
        <f>'Refrig Mass Flow &amp; Cond kW'!F501*$C$6*($G$19-$G$18)/1000</f>
        <v>0</v>
      </c>
      <c r="H510">
        <f>'Refrig Mass Flow &amp; Cond kW'!F501*$C$6*($G$17-$G$16)/1000</f>
        <v>0</v>
      </c>
      <c r="I510">
        <f>'Refrig Mass Flow &amp; Cond kW'!F501*(($G$13-$G$14)-$C$6*($G$17-$G$18)/1000)-'Refrig Mass Flow &amp; Cond kW'!E501*(1-$C$6/($G$10+273))</f>
        <v>0</v>
      </c>
    </row>
    <row r="511" spans="2:9" x14ac:dyDescent="0.2">
      <c r="B511" s="2">
        <v>488</v>
      </c>
      <c r="C511">
        <f>'Refrig Mass Flow &amp; Cond kW'!D502*$C$6*(($C$19-$C$18)/1000)</f>
        <v>0</v>
      </c>
      <c r="D511">
        <f>'Refrig Mass Flow &amp; Cond kW'!D502*Winter!$C$6*((Winter!$C$17-Winter!$C$16)/1000)</f>
        <v>0</v>
      </c>
      <c r="E511">
        <f>'Refrig Mass Flow &amp; Cond kW'!D502*(($C$13-$C$14)-$C$6*($C$17-$C$18)/1000)-'Refrig Mass Flow &amp; Cond kW'!C502*(1-$C$6/($C$10+273))</f>
        <v>0</v>
      </c>
      <c r="F511" s="13"/>
      <c r="G511" s="13">
        <f>'Refrig Mass Flow &amp; Cond kW'!F502*$C$6*($G$19-$G$18)/1000</f>
        <v>0</v>
      </c>
      <c r="H511">
        <f>'Refrig Mass Flow &amp; Cond kW'!F502*$C$6*($G$17-$G$16)/1000</f>
        <v>0</v>
      </c>
      <c r="I511">
        <f>'Refrig Mass Flow &amp; Cond kW'!F502*(($G$13-$G$14)-$C$6*($G$17-$G$18)/1000)-'Refrig Mass Flow &amp; Cond kW'!E502*(1-$C$6/($G$10+273))</f>
        <v>0</v>
      </c>
    </row>
    <row r="512" spans="2:9" x14ac:dyDescent="0.2">
      <c r="B512" s="2">
        <v>489</v>
      </c>
      <c r="C512">
        <f>'Refrig Mass Flow &amp; Cond kW'!D503*$C$6*(($C$19-$C$18)/1000)</f>
        <v>0</v>
      </c>
      <c r="D512">
        <f>'Refrig Mass Flow &amp; Cond kW'!D503*Winter!$C$6*((Winter!$C$17-Winter!$C$16)/1000)</f>
        <v>0</v>
      </c>
      <c r="E512">
        <f>'Refrig Mass Flow &amp; Cond kW'!D503*(($C$13-$C$14)-$C$6*($C$17-$C$18)/1000)-'Refrig Mass Flow &amp; Cond kW'!C503*(1-$C$6/($C$10+273))</f>
        <v>0</v>
      </c>
      <c r="F512" s="13"/>
      <c r="G512" s="13">
        <f>'Refrig Mass Flow &amp; Cond kW'!F503*$C$6*($G$19-$G$18)/1000</f>
        <v>0</v>
      </c>
      <c r="H512">
        <f>'Refrig Mass Flow &amp; Cond kW'!F503*$C$6*($G$17-$G$16)/1000</f>
        <v>0</v>
      </c>
      <c r="I512">
        <f>'Refrig Mass Flow &amp; Cond kW'!F503*(($G$13-$G$14)-$C$6*($G$17-$G$18)/1000)-'Refrig Mass Flow &amp; Cond kW'!E503*(1-$C$6/($G$10+273))</f>
        <v>0</v>
      </c>
    </row>
    <row r="513" spans="2:9" x14ac:dyDescent="0.2">
      <c r="B513" s="2">
        <v>490</v>
      </c>
      <c r="C513">
        <f>'Refrig Mass Flow &amp; Cond kW'!D504*$C$6*(($C$19-$C$18)/1000)</f>
        <v>0</v>
      </c>
      <c r="D513">
        <f>'Refrig Mass Flow &amp; Cond kW'!D504*Winter!$C$6*((Winter!$C$17-Winter!$C$16)/1000)</f>
        <v>0</v>
      </c>
      <c r="E513">
        <f>'Refrig Mass Flow &amp; Cond kW'!D504*(($C$13-$C$14)-$C$6*($C$17-$C$18)/1000)-'Refrig Mass Flow &amp; Cond kW'!C504*(1-$C$6/($C$10+273))</f>
        <v>0</v>
      </c>
      <c r="F513" s="13"/>
      <c r="G513" s="13">
        <f>'Refrig Mass Flow &amp; Cond kW'!F504*$C$6*($G$19-$G$18)/1000</f>
        <v>0</v>
      </c>
      <c r="H513">
        <f>'Refrig Mass Flow &amp; Cond kW'!F504*$C$6*($G$17-$G$16)/1000</f>
        <v>0</v>
      </c>
      <c r="I513">
        <f>'Refrig Mass Flow &amp; Cond kW'!F504*(($G$13-$G$14)-$C$6*($G$17-$G$18)/1000)-'Refrig Mass Flow &amp; Cond kW'!E504*(1-$C$6/($G$10+273))</f>
        <v>0</v>
      </c>
    </row>
    <row r="514" spans="2:9" x14ac:dyDescent="0.2">
      <c r="B514" s="2">
        <v>491</v>
      </c>
      <c r="C514">
        <f>'Refrig Mass Flow &amp; Cond kW'!D505*$C$6*(($C$19-$C$18)/1000)</f>
        <v>0</v>
      </c>
      <c r="D514">
        <f>'Refrig Mass Flow &amp; Cond kW'!D505*Winter!$C$6*((Winter!$C$17-Winter!$C$16)/1000)</f>
        <v>0</v>
      </c>
      <c r="E514">
        <f>'Refrig Mass Flow &amp; Cond kW'!D505*(($C$13-$C$14)-$C$6*($C$17-$C$18)/1000)-'Refrig Mass Flow &amp; Cond kW'!C505*(1-$C$6/($C$10+273))</f>
        <v>0</v>
      </c>
      <c r="F514" s="13"/>
      <c r="G514" s="13">
        <f>'Refrig Mass Flow &amp; Cond kW'!F505*$C$6*($G$19-$G$18)/1000</f>
        <v>0</v>
      </c>
      <c r="H514">
        <f>'Refrig Mass Flow &amp; Cond kW'!F505*$C$6*($G$17-$G$16)/1000</f>
        <v>0</v>
      </c>
      <c r="I514">
        <f>'Refrig Mass Flow &amp; Cond kW'!F505*(($G$13-$G$14)-$C$6*($G$17-$G$18)/1000)-'Refrig Mass Flow &amp; Cond kW'!E505*(1-$C$6/($G$10+273))</f>
        <v>0</v>
      </c>
    </row>
    <row r="515" spans="2:9" x14ac:dyDescent="0.2">
      <c r="B515" s="2">
        <v>492</v>
      </c>
      <c r="C515">
        <f>'Refrig Mass Flow &amp; Cond kW'!D506*$C$6*(($C$19-$C$18)/1000)</f>
        <v>0</v>
      </c>
      <c r="D515">
        <f>'Refrig Mass Flow &amp; Cond kW'!D506*Winter!$C$6*((Winter!$C$17-Winter!$C$16)/1000)</f>
        <v>0</v>
      </c>
      <c r="E515">
        <f>'Refrig Mass Flow &amp; Cond kW'!D506*(($C$13-$C$14)-$C$6*($C$17-$C$18)/1000)-'Refrig Mass Flow &amp; Cond kW'!C506*(1-$C$6/($C$10+273))</f>
        <v>0</v>
      </c>
      <c r="F515" s="13"/>
      <c r="G515" s="13">
        <f>'Refrig Mass Flow &amp; Cond kW'!F506*$C$6*($G$19-$G$18)/1000</f>
        <v>0</v>
      </c>
      <c r="H515">
        <f>'Refrig Mass Flow &amp; Cond kW'!F506*$C$6*($G$17-$G$16)/1000</f>
        <v>0</v>
      </c>
      <c r="I515">
        <f>'Refrig Mass Flow &amp; Cond kW'!F506*(($G$13-$G$14)-$C$6*($G$17-$G$18)/1000)-'Refrig Mass Flow &amp; Cond kW'!E506*(1-$C$6/($G$10+273))</f>
        <v>0</v>
      </c>
    </row>
    <row r="516" spans="2:9" x14ac:dyDescent="0.2">
      <c r="B516" s="2">
        <v>493</v>
      </c>
      <c r="C516">
        <f>'Refrig Mass Flow &amp; Cond kW'!D507*$C$6*(($C$19-$C$18)/1000)</f>
        <v>0</v>
      </c>
      <c r="D516">
        <f>'Refrig Mass Flow &amp; Cond kW'!D507*Winter!$C$6*((Winter!$C$17-Winter!$C$16)/1000)</f>
        <v>0</v>
      </c>
      <c r="E516">
        <f>'Refrig Mass Flow &amp; Cond kW'!D507*(($C$13-$C$14)-$C$6*($C$17-$C$18)/1000)-'Refrig Mass Flow &amp; Cond kW'!C507*(1-$C$6/($C$10+273))</f>
        <v>0</v>
      </c>
      <c r="F516" s="13"/>
      <c r="G516" s="13">
        <f>'Refrig Mass Flow &amp; Cond kW'!F507*$C$6*($G$19-$G$18)/1000</f>
        <v>0</v>
      </c>
      <c r="H516">
        <f>'Refrig Mass Flow &amp; Cond kW'!F507*$C$6*($G$17-$G$16)/1000</f>
        <v>0</v>
      </c>
      <c r="I516">
        <f>'Refrig Mass Flow &amp; Cond kW'!F507*(($G$13-$G$14)-$C$6*($G$17-$G$18)/1000)-'Refrig Mass Flow &amp; Cond kW'!E507*(1-$C$6/($G$10+273))</f>
        <v>0</v>
      </c>
    </row>
    <row r="517" spans="2:9" x14ac:dyDescent="0.2">
      <c r="B517" s="2">
        <v>494</v>
      </c>
      <c r="C517">
        <f>'Refrig Mass Flow &amp; Cond kW'!D508*$C$6*(($C$19-$C$18)/1000)</f>
        <v>0</v>
      </c>
      <c r="D517">
        <f>'Refrig Mass Flow &amp; Cond kW'!D508*Winter!$C$6*((Winter!$C$17-Winter!$C$16)/1000)</f>
        <v>0</v>
      </c>
      <c r="E517">
        <f>'Refrig Mass Flow &amp; Cond kW'!D508*(($C$13-$C$14)-$C$6*($C$17-$C$18)/1000)-'Refrig Mass Flow &amp; Cond kW'!C508*(1-$C$6/($C$10+273))</f>
        <v>0</v>
      </c>
      <c r="F517" s="13"/>
      <c r="G517" s="13">
        <f>'Refrig Mass Flow &amp; Cond kW'!F508*$C$6*($G$19-$G$18)/1000</f>
        <v>0</v>
      </c>
      <c r="H517">
        <f>'Refrig Mass Flow &amp; Cond kW'!F508*$C$6*($G$17-$G$16)/1000</f>
        <v>0</v>
      </c>
      <c r="I517">
        <f>'Refrig Mass Flow &amp; Cond kW'!F508*(($G$13-$G$14)-$C$6*($G$17-$G$18)/1000)-'Refrig Mass Flow &amp; Cond kW'!E508*(1-$C$6/($G$10+273))</f>
        <v>0</v>
      </c>
    </row>
    <row r="518" spans="2:9" x14ac:dyDescent="0.2">
      <c r="B518" s="2">
        <v>495</v>
      </c>
      <c r="C518">
        <f>'Refrig Mass Flow &amp; Cond kW'!D509*$C$6*(($C$19-$C$18)/1000)</f>
        <v>0</v>
      </c>
      <c r="D518">
        <f>'Refrig Mass Flow &amp; Cond kW'!D509*Winter!$C$6*((Winter!$C$17-Winter!$C$16)/1000)</f>
        <v>0</v>
      </c>
      <c r="E518">
        <f>'Refrig Mass Flow &amp; Cond kW'!D509*(($C$13-$C$14)-$C$6*($C$17-$C$18)/1000)-'Refrig Mass Flow &amp; Cond kW'!C509*(1-$C$6/($C$10+273))</f>
        <v>0</v>
      </c>
      <c r="F518" s="13"/>
      <c r="G518" s="13">
        <f>'Refrig Mass Flow &amp; Cond kW'!F509*$C$6*($G$19-$G$18)/1000</f>
        <v>0</v>
      </c>
      <c r="H518">
        <f>'Refrig Mass Flow &amp; Cond kW'!F509*$C$6*($G$17-$G$16)/1000</f>
        <v>0</v>
      </c>
      <c r="I518">
        <f>'Refrig Mass Flow &amp; Cond kW'!F509*(($G$13-$G$14)-$C$6*($G$17-$G$18)/1000)-'Refrig Mass Flow &amp; Cond kW'!E509*(1-$C$6/($G$10+273))</f>
        <v>0</v>
      </c>
    </row>
    <row r="519" spans="2:9" x14ac:dyDescent="0.2">
      <c r="B519" s="2">
        <v>496</v>
      </c>
      <c r="C519">
        <f>'Refrig Mass Flow &amp; Cond kW'!D510*$C$6*(($C$19-$C$18)/1000)</f>
        <v>0</v>
      </c>
      <c r="D519">
        <f>'Refrig Mass Flow &amp; Cond kW'!D510*Winter!$C$6*((Winter!$C$17-Winter!$C$16)/1000)</f>
        <v>0</v>
      </c>
      <c r="E519">
        <f>'Refrig Mass Flow &amp; Cond kW'!D510*(($C$13-$C$14)-$C$6*($C$17-$C$18)/1000)-'Refrig Mass Flow &amp; Cond kW'!C510*(1-$C$6/($C$10+273))</f>
        <v>0</v>
      </c>
      <c r="F519" s="13"/>
      <c r="G519" s="13">
        <f>'Refrig Mass Flow &amp; Cond kW'!F510*$C$6*($G$19-$G$18)/1000</f>
        <v>0</v>
      </c>
      <c r="H519">
        <f>'Refrig Mass Flow &amp; Cond kW'!F510*$C$6*($G$17-$G$16)/1000</f>
        <v>0</v>
      </c>
      <c r="I519">
        <f>'Refrig Mass Flow &amp; Cond kW'!F510*(($G$13-$G$14)-$C$6*($G$17-$G$18)/1000)-'Refrig Mass Flow &amp; Cond kW'!E510*(1-$C$6/($G$10+273))</f>
        <v>0</v>
      </c>
    </row>
    <row r="520" spans="2:9" x14ac:dyDescent="0.2">
      <c r="B520" s="2">
        <v>497</v>
      </c>
      <c r="C520">
        <f>'Refrig Mass Flow &amp; Cond kW'!D511*$C$6*(($C$19-$C$18)/1000)</f>
        <v>0</v>
      </c>
      <c r="D520">
        <f>'Refrig Mass Flow &amp; Cond kW'!D511*Winter!$C$6*((Winter!$C$17-Winter!$C$16)/1000)</f>
        <v>0</v>
      </c>
      <c r="E520">
        <f>'Refrig Mass Flow &amp; Cond kW'!D511*(($C$13-$C$14)-$C$6*($C$17-$C$18)/1000)-'Refrig Mass Flow &amp; Cond kW'!C511*(1-$C$6/($C$10+273))</f>
        <v>0</v>
      </c>
      <c r="F520" s="13"/>
      <c r="G520" s="13">
        <f>'Refrig Mass Flow &amp; Cond kW'!F511*$C$6*($G$19-$G$18)/1000</f>
        <v>0</v>
      </c>
      <c r="H520">
        <f>'Refrig Mass Flow &amp; Cond kW'!F511*$C$6*($G$17-$G$16)/1000</f>
        <v>0</v>
      </c>
      <c r="I520">
        <f>'Refrig Mass Flow &amp; Cond kW'!F511*(($G$13-$G$14)-$C$6*($G$17-$G$18)/1000)-'Refrig Mass Flow &amp; Cond kW'!E511*(1-$C$6/($G$10+273))</f>
        <v>0</v>
      </c>
    </row>
    <row r="521" spans="2:9" x14ac:dyDescent="0.2">
      <c r="B521" s="2">
        <v>498</v>
      </c>
      <c r="C521">
        <f>'Refrig Mass Flow &amp; Cond kW'!D512*$C$6*(($C$19-$C$18)/1000)</f>
        <v>0</v>
      </c>
      <c r="D521">
        <f>'Refrig Mass Flow &amp; Cond kW'!D512*Winter!$C$6*((Winter!$C$17-Winter!$C$16)/1000)</f>
        <v>0</v>
      </c>
      <c r="E521">
        <f>'Refrig Mass Flow &amp; Cond kW'!D512*(($C$13-$C$14)-$C$6*($C$17-$C$18)/1000)-'Refrig Mass Flow &amp; Cond kW'!C512*(1-$C$6/($C$10+273))</f>
        <v>0</v>
      </c>
      <c r="F521" s="13"/>
      <c r="G521" s="13">
        <f>'Refrig Mass Flow &amp; Cond kW'!F512*$C$6*($G$19-$G$18)/1000</f>
        <v>0</v>
      </c>
      <c r="H521">
        <f>'Refrig Mass Flow &amp; Cond kW'!F512*$C$6*($G$17-$G$16)/1000</f>
        <v>0</v>
      </c>
      <c r="I521">
        <f>'Refrig Mass Flow &amp; Cond kW'!F512*(($G$13-$G$14)-$C$6*($G$17-$G$18)/1000)-'Refrig Mass Flow &amp; Cond kW'!E512*(1-$C$6/($G$10+273))</f>
        <v>0</v>
      </c>
    </row>
    <row r="522" spans="2:9" x14ac:dyDescent="0.2">
      <c r="B522" s="2">
        <v>499</v>
      </c>
      <c r="C522">
        <f>'Refrig Mass Flow &amp; Cond kW'!D513*$C$6*(($C$19-$C$18)/1000)</f>
        <v>0</v>
      </c>
      <c r="D522">
        <f>'Refrig Mass Flow &amp; Cond kW'!D513*Winter!$C$6*((Winter!$C$17-Winter!$C$16)/1000)</f>
        <v>0</v>
      </c>
      <c r="E522">
        <f>'Refrig Mass Flow &amp; Cond kW'!D513*(($C$13-$C$14)-$C$6*($C$17-$C$18)/1000)-'Refrig Mass Flow &amp; Cond kW'!C513*(1-$C$6/($C$10+273))</f>
        <v>0</v>
      </c>
      <c r="F522" s="13"/>
      <c r="G522" s="13">
        <f>'Refrig Mass Flow &amp; Cond kW'!F513*$C$6*($G$19-$G$18)/1000</f>
        <v>0</v>
      </c>
      <c r="H522">
        <f>'Refrig Mass Flow &amp; Cond kW'!F513*$C$6*($G$17-$G$16)/1000</f>
        <v>0</v>
      </c>
      <c r="I522">
        <f>'Refrig Mass Flow &amp; Cond kW'!F513*(($G$13-$G$14)-$C$6*($G$17-$G$18)/1000)-'Refrig Mass Flow &amp; Cond kW'!E513*(1-$C$6/($G$10+273))</f>
        <v>0</v>
      </c>
    </row>
    <row r="523" spans="2:9" x14ac:dyDescent="0.2">
      <c r="B523" s="2">
        <v>500</v>
      </c>
      <c r="C523">
        <f>'Refrig Mass Flow &amp; Cond kW'!D514*$C$6*(($C$19-$C$18)/1000)</f>
        <v>0</v>
      </c>
      <c r="D523">
        <f>'Refrig Mass Flow &amp; Cond kW'!D514*Winter!$C$6*((Winter!$C$17-Winter!$C$16)/1000)</f>
        <v>0</v>
      </c>
      <c r="E523">
        <f>'Refrig Mass Flow &amp; Cond kW'!D514*(($C$13-$C$14)-$C$6*($C$17-$C$18)/1000)-'Refrig Mass Flow &amp; Cond kW'!C514*(1-$C$6/($C$10+273))</f>
        <v>0</v>
      </c>
      <c r="F523" s="13"/>
      <c r="G523" s="13">
        <f>'Refrig Mass Flow &amp; Cond kW'!F514*$C$6*($G$19-$G$18)/1000</f>
        <v>0</v>
      </c>
      <c r="H523">
        <f>'Refrig Mass Flow &amp; Cond kW'!F514*$C$6*($G$17-$G$16)/1000</f>
        <v>0</v>
      </c>
      <c r="I523">
        <f>'Refrig Mass Flow &amp; Cond kW'!F514*(($G$13-$G$14)-$C$6*($G$17-$G$18)/1000)-'Refrig Mass Flow &amp; Cond kW'!E514*(1-$C$6/($G$10+273))</f>
        <v>0</v>
      </c>
    </row>
    <row r="524" spans="2:9" x14ac:dyDescent="0.2">
      <c r="B524" s="2">
        <v>501</v>
      </c>
      <c r="C524">
        <f>'Refrig Mass Flow &amp; Cond kW'!D515*$C$6*(($C$19-$C$18)/1000)</f>
        <v>0</v>
      </c>
      <c r="D524">
        <f>'Refrig Mass Flow &amp; Cond kW'!D515*Winter!$C$6*((Winter!$C$17-Winter!$C$16)/1000)</f>
        <v>0</v>
      </c>
      <c r="E524">
        <f>'Refrig Mass Flow &amp; Cond kW'!D515*(($C$13-$C$14)-$C$6*($C$17-$C$18)/1000)-'Refrig Mass Flow &amp; Cond kW'!C515*(1-$C$6/($C$10+273))</f>
        <v>0</v>
      </c>
      <c r="F524" s="13"/>
      <c r="G524" s="13">
        <f>'Refrig Mass Flow &amp; Cond kW'!F515*$C$6*($G$19-$G$18)/1000</f>
        <v>0</v>
      </c>
      <c r="H524">
        <f>'Refrig Mass Flow &amp; Cond kW'!F515*$C$6*($G$17-$G$16)/1000</f>
        <v>0</v>
      </c>
      <c r="I524">
        <f>'Refrig Mass Flow &amp; Cond kW'!F515*(($G$13-$G$14)-$C$6*($G$17-$G$18)/1000)-'Refrig Mass Flow &amp; Cond kW'!E515*(1-$C$6/($G$10+273))</f>
        <v>0</v>
      </c>
    </row>
    <row r="525" spans="2:9" x14ac:dyDescent="0.2">
      <c r="B525" s="2">
        <v>502</v>
      </c>
      <c r="C525">
        <f>'Refrig Mass Flow &amp; Cond kW'!D516*$C$6*(($C$19-$C$18)/1000)</f>
        <v>0</v>
      </c>
      <c r="D525">
        <f>'Refrig Mass Flow &amp; Cond kW'!D516*Winter!$C$6*((Winter!$C$17-Winter!$C$16)/1000)</f>
        <v>0</v>
      </c>
      <c r="E525">
        <f>'Refrig Mass Flow &amp; Cond kW'!D516*(($C$13-$C$14)-$C$6*($C$17-$C$18)/1000)-'Refrig Mass Flow &amp; Cond kW'!C516*(1-$C$6/($C$10+273))</f>
        <v>0</v>
      </c>
      <c r="F525" s="13"/>
      <c r="G525" s="13">
        <f>'Refrig Mass Flow &amp; Cond kW'!F516*$C$6*($G$19-$G$18)/1000</f>
        <v>0</v>
      </c>
      <c r="H525">
        <f>'Refrig Mass Flow &amp; Cond kW'!F516*$C$6*($G$17-$G$16)/1000</f>
        <v>0</v>
      </c>
      <c r="I525">
        <f>'Refrig Mass Flow &amp; Cond kW'!F516*(($G$13-$G$14)-$C$6*($G$17-$G$18)/1000)-'Refrig Mass Flow &amp; Cond kW'!E516*(1-$C$6/($G$10+273))</f>
        <v>0</v>
      </c>
    </row>
    <row r="526" spans="2:9" x14ac:dyDescent="0.2">
      <c r="B526" s="2">
        <v>503</v>
      </c>
      <c r="C526">
        <f>'Refrig Mass Flow &amp; Cond kW'!D517*$C$6*(($C$19-$C$18)/1000)</f>
        <v>0</v>
      </c>
      <c r="D526">
        <f>'Refrig Mass Flow &amp; Cond kW'!D517*Winter!$C$6*((Winter!$C$17-Winter!$C$16)/1000)</f>
        <v>0</v>
      </c>
      <c r="E526">
        <f>'Refrig Mass Flow &amp; Cond kW'!D517*(($C$13-$C$14)-$C$6*($C$17-$C$18)/1000)-'Refrig Mass Flow &amp; Cond kW'!C517*(1-$C$6/($C$10+273))</f>
        <v>0</v>
      </c>
      <c r="F526" s="13"/>
      <c r="G526" s="13">
        <f>'Refrig Mass Flow &amp; Cond kW'!F517*$C$6*($G$19-$G$18)/1000</f>
        <v>0</v>
      </c>
      <c r="H526">
        <f>'Refrig Mass Flow &amp; Cond kW'!F517*$C$6*($G$17-$G$16)/1000</f>
        <v>0</v>
      </c>
      <c r="I526">
        <f>'Refrig Mass Flow &amp; Cond kW'!F517*(($G$13-$G$14)-$C$6*($G$17-$G$18)/1000)-'Refrig Mass Flow &amp; Cond kW'!E517*(1-$C$6/($G$10+273))</f>
        <v>0</v>
      </c>
    </row>
    <row r="527" spans="2:9" x14ac:dyDescent="0.2">
      <c r="B527" s="2">
        <v>504</v>
      </c>
      <c r="C527">
        <f>'Refrig Mass Flow &amp; Cond kW'!D518*$C$6*(($C$19-$C$18)/1000)</f>
        <v>0</v>
      </c>
      <c r="D527">
        <f>'Refrig Mass Flow &amp; Cond kW'!D518*Winter!$C$6*((Winter!$C$17-Winter!$C$16)/1000)</f>
        <v>0</v>
      </c>
      <c r="E527">
        <f>'Refrig Mass Flow &amp; Cond kW'!D518*(($C$13-$C$14)-$C$6*($C$17-$C$18)/1000)-'Refrig Mass Flow &amp; Cond kW'!C518*(1-$C$6/($C$10+273))</f>
        <v>0</v>
      </c>
      <c r="F527" s="13"/>
      <c r="G527" s="13">
        <f>'Refrig Mass Flow &amp; Cond kW'!F518*$C$6*($G$19-$G$18)/1000</f>
        <v>0</v>
      </c>
      <c r="H527">
        <f>'Refrig Mass Flow &amp; Cond kW'!F518*$C$6*($G$17-$G$16)/1000</f>
        <v>0</v>
      </c>
      <c r="I527">
        <f>'Refrig Mass Flow &amp; Cond kW'!F518*(($G$13-$G$14)-$C$6*($G$17-$G$18)/1000)-'Refrig Mass Flow &amp; Cond kW'!E518*(1-$C$6/($G$10+273))</f>
        <v>0</v>
      </c>
    </row>
    <row r="528" spans="2:9" x14ac:dyDescent="0.2">
      <c r="B528" s="2">
        <v>505</v>
      </c>
      <c r="C528">
        <f>'Refrig Mass Flow &amp; Cond kW'!D519*$C$6*(($C$19-$C$18)/1000)</f>
        <v>0</v>
      </c>
      <c r="D528">
        <f>'Refrig Mass Flow &amp; Cond kW'!D519*Winter!$C$6*((Winter!$C$17-Winter!$C$16)/1000)</f>
        <v>0</v>
      </c>
      <c r="E528">
        <f>'Refrig Mass Flow &amp; Cond kW'!D519*(($C$13-$C$14)-$C$6*($C$17-$C$18)/1000)-'Refrig Mass Flow &amp; Cond kW'!C519*(1-$C$6/($C$10+273))</f>
        <v>0</v>
      </c>
      <c r="F528" s="13"/>
      <c r="G528" s="13">
        <f>'Refrig Mass Flow &amp; Cond kW'!F519*$C$6*($G$19-$G$18)/1000</f>
        <v>0</v>
      </c>
      <c r="H528">
        <f>'Refrig Mass Flow &amp; Cond kW'!F519*$C$6*($G$17-$G$16)/1000</f>
        <v>0</v>
      </c>
      <c r="I528">
        <f>'Refrig Mass Flow &amp; Cond kW'!F519*(($G$13-$G$14)-$C$6*($G$17-$G$18)/1000)-'Refrig Mass Flow &amp; Cond kW'!E519*(1-$C$6/($G$10+273))</f>
        <v>0</v>
      </c>
    </row>
    <row r="529" spans="2:9" x14ac:dyDescent="0.2">
      <c r="B529" s="2">
        <v>506</v>
      </c>
      <c r="C529">
        <f>'Refrig Mass Flow &amp; Cond kW'!D520*$C$6*(($C$19-$C$18)/1000)</f>
        <v>0</v>
      </c>
      <c r="D529">
        <f>'Refrig Mass Flow &amp; Cond kW'!D520*Winter!$C$6*((Winter!$C$17-Winter!$C$16)/1000)</f>
        <v>0</v>
      </c>
      <c r="E529">
        <f>'Refrig Mass Flow &amp; Cond kW'!D520*(($C$13-$C$14)-$C$6*($C$17-$C$18)/1000)-'Refrig Mass Flow &amp; Cond kW'!C520*(1-$C$6/($C$10+273))</f>
        <v>0</v>
      </c>
      <c r="F529" s="13"/>
      <c r="G529" s="13">
        <f>'Refrig Mass Flow &amp; Cond kW'!F520*$C$6*($G$19-$G$18)/1000</f>
        <v>0</v>
      </c>
      <c r="H529">
        <f>'Refrig Mass Flow &amp; Cond kW'!F520*$C$6*($G$17-$G$16)/1000</f>
        <v>0</v>
      </c>
      <c r="I529">
        <f>'Refrig Mass Flow &amp; Cond kW'!F520*(($G$13-$G$14)-$C$6*($G$17-$G$18)/1000)-'Refrig Mass Flow &amp; Cond kW'!E520*(1-$C$6/($G$10+273))</f>
        <v>0</v>
      </c>
    </row>
    <row r="530" spans="2:9" x14ac:dyDescent="0.2">
      <c r="B530" s="2">
        <v>507</v>
      </c>
      <c r="C530">
        <f>'Refrig Mass Flow &amp; Cond kW'!D521*$C$6*(($C$19-$C$18)/1000)</f>
        <v>0</v>
      </c>
      <c r="D530">
        <f>'Refrig Mass Flow &amp; Cond kW'!D521*Winter!$C$6*((Winter!$C$17-Winter!$C$16)/1000)</f>
        <v>0</v>
      </c>
      <c r="E530">
        <f>'Refrig Mass Flow &amp; Cond kW'!D521*(($C$13-$C$14)-$C$6*($C$17-$C$18)/1000)-'Refrig Mass Flow &amp; Cond kW'!C521*(1-$C$6/($C$10+273))</f>
        <v>0</v>
      </c>
      <c r="F530" s="13"/>
      <c r="G530" s="13">
        <f>'Refrig Mass Flow &amp; Cond kW'!F521*$C$6*($G$19-$G$18)/1000</f>
        <v>0</v>
      </c>
      <c r="H530">
        <f>'Refrig Mass Flow &amp; Cond kW'!F521*$C$6*($G$17-$G$16)/1000</f>
        <v>0</v>
      </c>
      <c r="I530">
        <f>'Refrig Mass Flow &amp; Cond kW'!F521*(($G$13-$G$14)-$C$6*($G$17-$G$18)/1000)-'Refrig Mass Flow &amp; Cond kW'!E521*(1-$C$6/($G$10+273))</f>
        <v>0</v>
      </c>
    </row>
    <row r="531" spans="2:9" x14ac:dyDescent="0.2">
      <c r="B531" s="2">
        <v>508</v>
      </c>
      <c r="C531">
        <f>'Refrig Mass Flow &amp; Cond kW'!D522*$C$6*(($C$19-$C$18)/1000)</f>
        <v>0</v>
      </c>
      <c r="D531">
        <f>'Refrig Mass Flow &amp; Cond kW'!D522*Winter!$C$6*((Winter!$C$17-Winter!$C$16)/1000)</f>
        <v>0</v>
      </c>
      <c r="E531">
        <f>'Refrig Mass Flow &amp; Cond kW'!D522*(($C$13-$C$14)-$C$6*($C$17-$C$18)/1000)-'Refrig Mass Flow &amp; Cond kW'!C522*(1-$C$6/($C$10+273))</f>
        <v>0</v>
      </c>
      <c r="F531" s="13"/>
      <c r="G531" s="13">
        <f>'Refrig Mass Flow &amp; Cond kW'!F522*$C$6*($G$19-$G$18)/1000</f>
        <v>0</v>
      </c>
      <c r="H531">
        <f>'Refrig Mass Flow &amp; Cond kW'!F522*$C$6*($G$17-$G$16)/1000</f>
        <v>0</v>
      </c>
      <c r="I531">
        <f>'Refrig Mass Flow &amp; Cond kW'!F522*(($G$13-$G$14)-$C$6*($G$17-$G$18)/1000)-'Refrig Mass Flow &amp; Cond kW'!E522*(1-$C$6/($G$10+273))</f>
        <v>0</v>
      </c>
    </row>
    <row r="532" spans="2:9" x14ac:dyDescent="0.2">
      <c r="B532" s="2">
        <v>509</v>
      </c>
      <c r="C532">
        <f>'Refrig Mass Flow &amp; Cond kW'!D523*$C$6*(($C$19-$C$18)/1000)</f>
        <v>0</v>
      </c>
      <c r="D532">
        <f>'Refrig Mass Flow &amp; Cond kW'!D523*Winter!$C$6*((Winter!$C$17-Winter!$C$16)/1000)</f>
        <v>0</v>
      </c>
      <c r="E532">
        <f>'Refrig Mass Flow &amp; Cond kW'!D523*(($C$13-$C$14)-$C$6*($C$17-$C$18)/1000)-'Refrig Mass Flow &amp; Cond kW'!C523*(1-$C$6/($C$10+273))</f>
        <v>0</v>
      </c>
      <c r="F532" s="13"/>
      <c r="G532" s="13">
        <f>'Refrig Mass Flow &amp; Cond kW'!F523*$C$6*($G$19-$G$18)/1000</f>
        <v>0</v>
      </c>
      <c r="H532">
        <f>'Refrig Mass Flow &amp; Cond kW'!F523*$C$6*($G$17-$G$16)/1000</f>
        <v>0</v>
      </c>
      <c r="I532">
        <f>'Refrig Mass Flow &amp; Cond kW'!F523*(($G$13-$G$14)-$C$6*($G$17-$G$18)/1000)-'Refrig Mass Flow &amp; Cond kW'!E523*(1-$C$6/($G$10+273))</f>
        <v>0</v>
      </c>
    </row>
    <row r="533" spans="2:9" x14ac:dyDescent="0.2">
      <c r="B533" s="2">
        <v>510</v>
      </c>
      <c r="C533">
        <f>'Refrig Mass Flow &amp; Cond kW'!D524*$C$6*(($C$19-$C$18)/1000)</f>
        <v>0</v>
      </c>
      <c r="D533">
        <f>'Refrig Mass Flow &amp; Cond kW'!D524*Winter!$C$6*((Winter!$C$17-Winter!$C$16)/1000)</f>
        <v>0</v>
      </c>
      <c r="E533">
        <f>'Refrig Mass Flow &amp; Cond kW'!D524*(($C$13-$C$14)-$C$6*($C$17-$C$18)/1000)-'Refrig Mass Flow &amp; Cond kW'!C524*(1-$C$6/($C$10+273))</f>
        <v>0</v>
      </c>
      <c r="F533" s="13"/>
      <c r="G533" s="13">
        <f>'Refrig Mass Flow &amp; Cond kW'!F524*$C$6*($G$19-$G$18)/1000</f>
        <v>0</v>
      </c>
      <c r="H533">
        <f>'Refrig Mass Flow &amp; Cond kW'!F524*$C$6*($G$17-$G$16)/1000</f>
        <v>0</v>
      </c>
      <c r="I533">
        <f>'Refrig Mass Flow &amp; Cond kW'!F524*(($G$13-$G$14)-$C$6*($G$17-$G$18)/1000)-'Refrig Mass Flow &amp; Cond kW'!E524*(1-$C$6/($G$10+273))</f>
        <v>0</v>
      </c>
    </row>
    <row r="534" spans="2:9" x14ac:dyDescent="0.2">
      <c r="B534" s="2">
        <v>511</v>
      </c>
      <c r="C534">
        <f>'Refrig Mass Flow &amp; Cond kW'!D525*$C$6*(($C$19-$C$18)/1000)</f>
        <v>0</v>
      </c>
      <c r="D534">
        <f>'Refrig Mass Flow &amp; Cond kW'!D525*Winter!$C$6*((Winter!$C$17-Winter!$C$16)/1000)</f>
        <v>0</v>
      </c>
      <c r="E534">
        <f>'Refrig Mass Flow &amp; Cond kW'!D525*(($C$13-$C$14)-$C$6*($C$17-$C$18)/1000)-'Refrig Mass Flow &amp; Cond kW'!C525*(1-$C$6/($C$10+273))</f>
        <v>0</v>
      </c>
      <c r="F534" s="13"/>
      <c r="G534" s="13">
        <f>'Refrig Mass Flow &amp; Cond kW'!F525*$C$6*($G$19-$G$18)/1000</f>
        <v>0</v>
      </c>
      <c r="H534">
        <f>'Refrig Mass Flow &amp; Cond kW'!F525*$C$6*($G$17-$G$16)/1000</f>
        <v>0</v>
      </c>
      <c r="I534">
        <f>'Refrig Mass Flow &amp; Cond kW'!F525*(($G$13-$G$14)-$C$6*($G$17-$G$18)/1000)-'Refrig Mass Flow &amp; Cond kW'!E525*(1-$C$6/($G$10+273))</f>
        <v>0</v>
      </c>
    </row>
    <row r="535" spans="2:9" x14ac:dyDescent="0.2">
      <c r="B535" s="2">
        <v>512</v>
      </c>
      <c r="C535">
        <f>'Refrig Mass Flow &amp; Cond kW'!D526*$C$6*(($C$19-$C$18)/1000)</f>
        <v>0</v>
      </c>
      <c r="D535">
        <f>'Refrig Mass Flow &amp; Cond kW'!D526*Winter!$C$6*((Winter!$C$17-Winter!$C$16)/1000)</f>
        <v>0</v>
      </c>
      <c r="E535">
        <f>'Refrig Mass Flow &amp; Cond kW'!D526*(($C$13-$C$14)-$C$6*($C$17-$C$18)/1000)-'Refrig Mass Flow &amp; Cond kW'!C526*(1-$C$6/($C$10+273))</f>
        <v>0</v>
      </c>
      <c r="F535" s="13"/>
      <c r="G535" s="13">
        <f>'Refrig Mass Flow &amp; Cond kW'!F526*$C$6*($G$19-$G$18)/1000</f>
        <v>0</v>
      </c>
      <c r="H535">
        <f>'Refrig Mass Flow &amp; Cond kW'!F526*$C$6*($G$17-$G$16)/1000</f>
        <v>0</v>
      </c>
      <c r="I535">
        <f>'Refrig Mass Flow &amp; Cond kW'!F526*(($G$13-$G$14)-$C$6*($G$17-$G$18)/1000)-'Refrig Mass Flow &amp; Cond kW'!E526*(1-$C$6/($G$10+273))</f>
        <v>0</v>
      </c>
    </row>
    <row r="536" spans="2:9" x14ac:dyDescent="0.2">
      <c r="B536" s="2">
        <v>513</v>
      </c>
      <c r="C536">
        <f>'Refrig Mass Flow &amp; Cond kW'!D527*$C$6*(($C$19-$C$18)/1000)</f>
        <v>0</v>
      </c>
      <c r="D536">
        <f>'Refrig Mass Flow &amp; Cond kW'!D527*Winter!$C$6*((Winter!$C$17-Winter!$C$16)/1000)</f>
        <v>0</v>
      </c>
      <c r="E536">
        <f>'Refrig Mass Flow &amp; Cond kW'!D527*(($C$13-$C$14)-$C$6*($C$17-$C$18)/1000)-'Refrig Mass Flow &amp; Cond kW'!C527*(1-$C$6/($C$10+273))</f>
        <v>0</v>
      </c>
      <c r="F536" s="13"/>
      <c r="G536" s="13">
        <f>'Refrig Mass Flow &amp; Cond kW'!F527*$C$6*($G$19-$G$18)/1000</f>
        <v>0</v>
      </c>
      <c r="H536">
        <f>'Refrig Mass Flow &amp; Cond kW'!F527*$C$6*($G$17-$G$16)/1000</f>
        <v>0</v>
      </c>
      <c r="I536">
        <f>'Refrig Mass Flow &amp; Cond kW'!F527*(($G$13-$G$14)-$C$6*($G$17-$G$18)/1000)-'Refrig Mass Flow &amp; Cond kW'!E527*(1-$C$6/($G$10+273))</f>
        <v>0</v>
      </c>
    </row>
    <row r="537" spans="2:9" x14ac:dyDescent="0.2">
      <c r="B537" s="2">
        <v>514</v>
      </c>
      <c r="C537">
        <f>'Refrig Mass Flow &amp; Cond kW'!D528*$C$6*(($C$19-$C$18)/1000)</f>
        <v>0</v>
      </c>
      <c r="D537">
        <f>'Refrig Mass Flow &amp; Cond kW'!D528*Winter!$C$6*((Winter!$C$17-Winter!$C$16)/1000)</f>
        <v>0</v>
      </c>
      <c r="E537">
        <f>'Refrig Mass Flow &amp; Cond kW'!D528*(($C$13-$C$14)-$C$6*($C$17-$C$18)/1000)-'Refrig Mass Flow &amp; Cond kW'!C528*(1-$C$6/($C$10+273))</f>
        <v>0</v>
      </c>
      <c r="F537" s="13"/>
      <c r="G537" s="13">
        <f>'Refrig Mass Flow &amp; Cond kW'!F528*$C$6*($G$19-$G$18)/1000</f>
        <v>0</v>
      </c>
      <c r="H537">
        <f>'Refrig Mass Flow &amp; Cond kW'!F528*$C$6*($G$17-$G$16)/1000</f>
        <v>0</v>
      </c>
      <c r="I537">
        <f>'Refrig Mass Flow &amp; Cond kW'!F528*(($G$13-$G$14)-$C$6*($G$17-$G$18)/1000)-'Refrig Mass Flow &amp; Cond kW'!E528*(1-$C$6/($G$10+273))</f>
        <v>0</v>
      </c>
    </row>
    <row r="538" spans="2:9" x14ac:dyDescent="0.2">
      <c r="B538" s="2">
        <v>515</v>
      </c>
      <c r="C538">
        <f>'Refrig Mass Flow &amp; Cond kW'!D529*$C$6*(($C$19-$C$18)/1000)</f>
        <v>0</v>
      </c>
      <c r="D538">
        <f>'Refrig Mass Flow &amp; Cond kW'!D529*Winter!$C$6*((Winter!$C$17-Winter!$C$16)/1000)</f>
        <v>0</v>
      </c>
      <c r="E538">
        <f>'Refrig Mass Flow &amp; Cond kW'!D529*(($C$13-$C$14)-$C$6*($C$17-$C$18)/1000)-'Refrig Mass Flow &amp; Cond kW'!C529*(1-$C$6/($C$10+273))</f>
        <v>0</v>
      </c>
      <c r="F538" s="13"/>
      <c r="G538" s="13">
        <f>'Refrig Mass Flow &amp; Cond kW'!F529*$C$6*($G$19-$G$18)/1000</f>
        <v>0</v>
      </c>
      <c r="H538">
        <f>'Refrig Mass Flow &amp; Cond kW'!F529*$C$6*($G$17-$G$16)/1000</f>
        <v>0</v>
      </c>
      <c r="I538">
        <f>'Refrig Mass Flow &amp; Cond kW'!F529*(($G$13-$G$14)-$C$6*($G$17-$G$18)/1000)-'Refrig Mass Flow &amp; Cond kW'!E529*(1-$C$6/($G$10+273))</f>
        <v>0</v>
      </c>
    </row>
    <row r="539" spans="2:9" x14ac:dyDescent="0.2">
      <c r="B539" s="2">
        <v>516</v>
      </c>
      <c r="C539">
        <f>'Refrig Mass Flow &amp; Cond kW'!D530*$C$6*(($C$19-$C$18)/1000)</f>
        <v>0</v>
      </c>
      <c r="D539">
        <f>'Refrig Mass Flow &amp; Cond kW'!D530*Winter!$C$6*((Winter!$C$17-Winter!$C$16)/1000)</f>
        <v>0</v>
      </c>
      <c r="E539">
        <f>'Refrig Mass Flow &amp; Cond kW'!D530*(($C$13-$C$14)-$C$6*($C$17-$C$18)/1000)-'Refrig Mass Flow &amp; Cond kW'!C530*(1-$C$6/($C$10+273))</f>
        <v>0</v>
      </c>
      <c r="F539" s="13"/>
      <c r="G539" s="13">
        <f>'Refrig Mass Flow &amp; Cond kW'!F530*$C$6*($G$19-$G$18)/1000</f>
        <v>0</v>
      </c>
      <c r="H539">
        <f>'Refrig Mass Flow &amp; Cond kW'!F530*$C$6*($G$17-$G$16)/1000</f>
        <v>0</v>
      </c>
      <c r="I539">
        <f>'Refrig Mass Flow &amp; Cond kW'!F530*(($G$13-$G$14)-$C$6*($G$17-$G$18)/1000)-'Refrig Mass Flow &amp; Cond kW'!E530*(1-$C$6/($G$10+273))</f>
        <v>0</v>
      </c>
    </row>
    <row r="540" spans="2:9" x14ac:dyDescent="0.2">
      <c r="B540" s="2">
        <v>517</v>
      </c>
      <c r="C540">
        <f>'Refrig Mass Flow &amp; Cond kW'!D531*$C$6*(($C$19-$C$18)/1000)</f>
        <v>0</v>
      </c>
      <c r="D540">
        <f>'Refrig Mass Flow &amp; Cond kW'!D531*Winter!$C$6*((Winter!$C$17-Winter!$C$16)/1000)</f>
        <v>0</v>
      </c>
      <c r="E540">
        <f>'Refrig Mass Flow &amp; Cond kW'!D531*(($C$13-$C$14)-$C$6*($C$17-$C$18)/1000)-'Refrig Mass Flow &amp; Cond kW'!C531*(1-$C$6/($C$10+273))</f>
        <v>0</v>
      </c>
      <c r="F540" s="13"/>
      <c r="G540" s="13">
        <f>'Refrig Mass Flow &amp; Cond kW'!F531*$C$6*($G$19-$G$18)/1000</f>
        <v>0</v>
      </c>
      <c r="H540">
        <f>'Refrig Mass Flow &amp; Cond kW'!F531*$C$6*($G$17-$G$16)/1000</f>
        <v>0</v>
      </c>
      <c r="I540">
        <f>'Refrig Mass Flow &amp; Cond kW'!F531*(($G$13-$G$14)-$C$6*($G$17-$G$18)/1000)-'Refrig Mass Flow &amp; Cond kW'!E531*(1-$C$6/($G$10+273))</f>
        <v>0</v>
      </c>
    </row>
    <row r="541" spans="2:9" x14ac:dyDescent="0.2">
      <c r="B541" s="2">
        <v>518</v>
      </c>
      <c r="C541">
        <f>'Refrig Mass Flow &amp; Cond kW'!D532*$C$6*(($C$19-$C$18)/1000)</f>
        <v>0</v>
      </c>
      <c r="D541">
        <f>'Refrig Mass Flow &amp; Cond kW'!D532*Winter!$C$6*((Winter!$C$17-Winter!$C$16)/1000)</f>
        <v>0</v>
      </c>
      <c r="E541">
        <f>'Refrig Mass Flow &amp; Cond kW'!D532*(($C$13-$C$14)-$C$6*($C$17-$C$18)/1000)-'Refrig Mass Flow &amp; Cond kW'!C532*(1-$C$6/($C$10+273))</f>
        <v>0</v>
      </c>
      <c r="F541" s="13"/>
      <c r="G541" s="13">
        <f>'Refrig Mass Flow &amp; Cond kW'!F532*$C$6*($G$19-$G$18)/1000</f>
        <v>0</v>
      </c>
      <c r="H541">
        <f>'Refrig Mass Flow &amp; Cond kW'!F532*$C$6*($G$17-$G$16)/1000</f>
        <v>0</v>
      </c>
      <c r="I541">
        <f>'Refrig Mass Flow &amp; Cond kW'!F532*(($G$13-$G$14)-$C$6*($G$17-$G$18)/1000)-'Refrig Mass Flow &amp; Cond kW'!E532*(1-$C$6/($G$10+273))</f>
        <v>0</v>
      </c>
    </row>
    <row r="542" spans="2:9" x14ac:dyDescent="0.2">
      <c r="B542" s="2">
        <v>519</v>
      </c>
      <c r="C542">
        <f>'Refrig Mass Flow &amp; Cond kW'!D533*$C$6*(($C$19-$C$18)/1000)</f>
        <v>0</v>
      </c>
      <c r="D542">
        <f>'Refrig Mass Flow &amp; Cond kW'!D533*Winter!$C$6*((Winter!$C$17-Winter!$C$16)/1000)</f>
        <v>0</v>
      </c>
      <c r="E542">
        <f>'Refrig Mass Flow &amp; Cond kW'!D533*(($C$13-$C$14)-$C$6*($C$17-$C$18)/1000)-'Refrig Mass Flow &amp; Cond kW'!C533*(1-$C$6/($C$10+273))</f>
        <v>0</v>
      </c>
      <c r="F542" s="13"/>
      <c r="G542" s="13">
        <f>'Refrig Mass Flow &amp; Cond kW'!F533*$C$6*($G$19-$G$18)/1000</f>
        <v>0</v>
      </c>
      <c r="H542">
        <f>'Refrig Mass Flow &amp; Cond kW'!F533*$C$6*($G$17-$G$16)/1000</f>
        <v>0</v>
      </c>
      <c r="I542">
        <f>'Refrig Mass Flow &amp; Cond kW'!F533*(($G$13-$G$14)-$C$6*($G$17-$G$18)/1000)-'Refrig Mass Flow &amp; Cond kW'!E533*(1-$C$6/($G$10+273))</f>
        <v>0</v>
      </c>
    </row>
    <row r="543" spans="2:9" x14ac:dyDescent="0.2">
      <c r="B543" s="2">
        <v>520</v>
      </c>
      <c r="C543">
        <f>'Refrig Mass Flow &amp; Cond kW'!D534*$C$6*(($C$19-$C$18)/1000)</f>
        <v>0</v>
      </c>
      <c r="D543">
        <f>'Refrig Mass Flow &amp; Cond kW'!D534*Winter!$C$6*((Winter!$C$17-Winter!$C$16)/1000)</f>
        <v>0</v>
      </c>
      <c r="E543">
        <f>'Refrig Mass Flow &amp; Cond kW'!D534*(($C$13-$C$14)-$C$6*($C$17-$C$18)/1000)-'Refrig Mass Flow &amp; Cond kW'!C534*(1-$C$6/($C$10+273))</f>
        <v>0</v>
      </c>
      <c r="F543" s="13"/>
      <c r="G543" s="13">
        <f>'Refrig Mass Flow &amp; Cond kW'!F534*$C$6*($G$19-$G$18)/1000</f>
        <v>0</v>
      </c>
      <c r="H543">
        <f>'Refrig Mass Flow &amp; Cond kW'!F534*$C$6*($G$17-$G$16)/1000</f>
        <v>0</v>
      </c>
      <c r="I543">
        <f>'Refrig Mass Flow &amp; Cond kW'!F534*(($G$13-$G$14)-$C$6*($G$17-$G$18)/1000)-'Refrig Mass Flow &amp; Cond kW'!E534*(1-$C$6/($G$10+273))</f>
        <v>0</v>
      </c>
    </row>
    <row r="544" spans="2:9" x14ac:dyDescent="0.2">
      <c r="B544" s="2">
        <v>521</v>
      </c>
      <c r="C544">
        <f>'Refrig Mass Flow &amp; Cond kW'!D535*$C$6*(($C$19-$C$18)/1000)</f>
        <v>0</v>
      </c>
      <c r="D544">
        <f>'Refrig Mass Flow &amp; Cond kW'!D535*Winter!$C$6*((Winter!$C$17-Winter!$C$16)/1000)</f>
        <v>0</v>
      </c>
      <c r="E544">
        <f>'Refrig Mass Flow &amp; Cond kW'!D535*(($C$13-$C$14)-$C$6*($C$17-$C$18)/1000)-'Refrig Mass Flow &amp; Cond kW'!C535*(1-$C$6/($C$10+273))</f>
        <v>0</v>
      </c>
      <c r="F544" s="13"/>
      <c r="G544" s="13">
        <f>'Refrig Mass Flow &amp; Cond kW'!F535*$C$6*($G$19-$G$18)/1000</f>
        <v>0</v>
      </c>
      <c r="H544">
        <f>'Refrig Mass Flow &amp; Cond kW'!F535*$C$6*($G$17-$G$16)/1000</f>
        <v>0</v>
      </c>
      <c r="I544">
        <f>'Refrig Mass Flow &amp; Cond kW'!F535*(($G$13-$G$14)-$C$6*($G$17-$G$18)/1000)-'Refrig Mass Flow &amp; Cond kW'!E535*(1-$C$6/($G$10+273))</f>
        <v>0</v>
      </c>
    </row>
    <row r="545" spans="2:9" x14ac:dyDescent="0.2">
      <c r="B545" s="2">
        <v>522</v>
      </c>
      <c r="C545">
        <f>'Refrig Mass Flow &amp; Cond kW'!D536*$C$6*(($C$19-$C$18)/1000)</f>
        <v>0</v>
      </c>
      <c r="D545">
        <f>'Refrig Mass Flow &amp; Cond kW'!D536*Winter!$C$6*((Winter!$C$17-Winter!$C$16)/1000)</f>
        <v>0</v>
      </c>
      <c r="E545">
        <f>'Refrig Mass Flow &amp; Cond kW'!D536*(($C$13-$C$14)-$C$6*($C$17-$C$18)/1000)-'Refrig Mass Flow &amp; Cond kW'!C536*(1-$C$6/($C$10+273))</f>
        <v>0</v>
      </c>
      <c r="F545" s="13"/>
      <c r="G545" s="13">
        <f>'Refrig Mass Flow &amp; Cond kW'!F536*$C$6*($G$19-$G$18)/1000</f>
        <v>0</v>
      </c>
      <c r="H545">
        <f>'Refrig Mass Flow &amp; Cond kW'!F536*$C$6*($G$17-$G$16)/1000</f>
        <v>0</v>
      </c>
      <c r="I545">
        <f>'Refrig Mass Flow &amp; Cond kW'!F536*(($G$13-$G$14)-$C$6*($G$17-$G$18)/1000)-'Refrig Mass Flow &amp; Cond kW'!E536*(1-$C$6/($G$10+273))</f>
        <v>0</v>
      </c>
    </row>
    <row r="546" spans="2:9" x14ac:dyDescent="0.2">
      <c r="B546" s="2">
        <v>523</v>
      </c>
      <c r="C546">
        <f>'Refrig Mass Flow &amp; Cond kW'!D537*$C$6*(($C$19-$C$18)/1000)</f>
        <v>0</v>
      </c>
      <c r="D546">
        <f>'Refrig Mass Flow &amp; Cond kW'!D537*Winter!$C$6*((Winter!$C$17-Winter!$C$16)/1000)</f>
        <v>0</v>
      </c>
      <c r="E546">
        <f>'Refrig Mass Flow &amp; Cond kW'!D537*(($C$13-$C$14)-$C$6*($C$17-$C$18)/1000)-'Refrig Mass Flow &amp; Cond kW'!C537*(1-$C$6/($C$10+273))</f>
        <v>0</v>
      </c>
      <c r="F546" s="13"/>
      <c r="G546" s="13">
        <f>'Refrig Mass Flow &amp; Cond kW'!F537*$C$6*($G$19-$G$18)/1000</f>
        <v>0</v>
      </c>
      <c r="H546">
        <f>'Refrig Mass Flow &amp; Cond kW'!F537*$C$6*($G$17-$G$16)/1000</f>
        <v>0</v>
      </c>
      <c r="I546">
        <f>'Refrig Mass Flow &amp; Cond kW'!F537*(($G$13-$G$14)-$C$6*($G$17-$G$18)/1000)-'Refrig Mass Flow &amp; Cond kW'!E537*(1-$C$6/($G$10+273))</f>
        <v>0</v>
      </c>
    </row>
    <row r="547" spans="2:9" x14ac:dyDescent="0.2">
      <c r="B547" s="2">
        <v>524</v>
      </c>
      <c r="C547">
        <f>'Refrig Mass Flow &amp; Cond kW'!D538*$C$6*(($C$19-$C$18)/1000)</f>
        <v>0</v>
      </c>
      <c r="D547">
        <f>'Refrig Mass Flow &amp; Cond kW'!D538*Winter!$C$6*((Winter!$C$17-Winter!$C$16)/1000)</f>
        <v>0</v>
      </c>
      <c r="E547">
        <f>'Refrig Mass Flow &amp; Cond kW'!D538*(($C$13-$C$14)-$C$6*($C$17-$C$18)/1000)-'Refrig Mass Flow &amp; Cond kW'!C538*(1-$C$6/($C$10+273))</f>
        <v>0</v>
      </c>
      <c r="F547" s="13"/>
      <c r="G547" s="13">
        <f>'Refrig Mass Flow &amp; Cond kW'!F538*$C$6*($G$19-$G$18)/1000</f>
        <v>0</v>
      </c>
      <c r="H547">
        <f>'Refrig Mass Flow &amp; Cond kW'!F538*$C$6*($G$17-$G$16)/1000</f>
        <v>0</v>
      </c>
      <c r="I547">
        <f>'Refrig Mass Flow &amp; Cond kW'!F538*(($G$13-$G$14)-$C$6*($G$17-$G$18)/1000)-'Refrig Mass Flow &amp; Cond kW'!E538*(1-$C$6/($G$10+273))</f>
        <v>0</v>
      </c>
    </row>
    <row r="548" spans="2:9" x14ac:dyDescent="0.2">
      <c r="B548" s="2">
        <v>525</v>
      </c>
      <c r="C548">
        <f>'Refrig Mass Flow &amp; Cond kW'!D539*$C$6*(($C$19-$C$18)/1000)</f>
        <v>0</v>
      </c>
      <c r="D548">
        <f>'Refrig Mass Flow &amp; Cond kW'!D539*Winter!$C$6*((Winter!$C$17-Winter!$C$16)/1000)</f>
        <v>0</v>
      </c>
      <c r="E548">
        <f>'Refrig Mass Flow &amp; Cond kW'!D539*(($C$13-$C$14)-$C$6*($C$17-$C$18)/1000)-'Refrig Mass Flow &amp; Cond kW'!C539*(1-$C$6/($C$10+273))</f>
        <v>0</v>
      </c>
      <c r="F548" s="13"/>
      <c r="G548" s="13">
        <f>'Refrig Mass Flow &amp; Cond kW'!F539*$C$6*($G$19-$G$18)/1000</f>
        <v>0</v>
      </c>
      <c r="H548">
        <f>'Refrig Mass Flow &amp; Cond kW'!F539*$C$6*($G$17-$G$16)/1000</f>
        <v>0</v>
      </c>
      <c r="I548">
        <f>'Refrig Mass Flow &amp; Cond kW'!F539*(($G$13-$G$14)-$C$6*($G$17-$G$18)/1000)-'Refrig Mass Flow &amp; Cond kW'!E539*(1-$C$6/($G$10+273))</f>
        <v>0</v>
      </c>
    </row>
    <row r="549" spans="2:9" x14ac:dyDescent="0.2">
      <c r="B549" s="2">
        <v>526</v>
      </c>
      <c r="C549">
        <f>'Refrig Mass Flow &amp; Cond kW'!D540*$C$6*(($C$19-$C$18)/1000)</f>
        <v>0</v>
      </c>
      <c r="D549">
        <f>'Refrig Mass Flow &amp; Cond kW'!D540*Winter!$C$6*((Winter!$C$17-Winter!$C$16)/1000)</f>
        <v>0</v>
      </c>
      <c r="E549">
        <f>'Refrig Mass Flow &amp; Cond kW'!D540*(($C$13-$C$14)-$C$6*($C$17-$C$18)/1000)-'Refrig Mass Flow &amp; Cond kW'!C540*(1-$C$6/($C$10+273))</f>
        <v>0</v>
      </c>
      <c r="F549" s="13"/>
      <c r="G549" s="13">
        <f>'Refrig Mass Flow &amp; Cond kW'!F540*$C$6*($G$19-$G$18)/1000</f>
        <v>0</v>
      </c>
      <c r="H549">
        <f>'Refrig Mass Flow &amp; Cond kW'!F540*$C$6*($G$17-$G$16)/1000</f>
        <v>0</v>
      </c>
      <c r="I549">
        <f>'Refrig Mass Flow &amp; Cond kW'!F540*(($G$13-$G$14)-$C$6*($G$17-$G$18)/1000)-'Refrig Mass Flow &amp; Cond kW'!E540*(1-$C$6/($G$10+273))</f>
        <v>0</v>
      </c>
    </row>
    <row r="550" spans="2:9" x14ac:dyDescent="0.2">
      <c r="B550" s="2">
        <v>527</v>
      </c>
      <c r="C550">
        <f>'Refrig Mass Flow &amp; Cond kW'!D541*$C$6*(($C$19-$C$18)/1000)</f>
        <v>0</v>
      </c>
      <c r="D550">
        <f>'Refrig Mass Flow &amp; Cond kW'!D541*Winter!$C$6*((Winter!$C$17-Winter!$C$16)/1000)</f>
        <v>0</v>
      </c>
      <c r="E550">
        <f>'Refrig Mass Flow &amp; Cond kW'!D541*(($C$13-$C$14)-$C$6*($C$17-$C$18)/1000)-'Refrig Mass Flow &amp; Cond kW'!C541*(1-$C$6/($C$10+273))</f>
        <v>0</v>
      </c>
      <c r="F550" s="13"/>
      <c r="G550" s="13">
        <f>'Refrig Mass Flow &amp; Cond kW'!F541*$C$6*($G$19-$G$18)/1000</f>
        <v>0</v>
      </c>
      <c r="H550">
        <f>'Refrig Mass Flow &amp; Cond kW'!F541*$C$6*($G$17-$G$16)/1000</f>
        <v>0</v>
      </c>
      <c r="I550">
        <f>'Refrig Mass Flow &amp; Cond kW'!F541*(($G$13-$G$14)-$C$6*($G$17-$G$18)/1000)-'Refrig Mass Flow &amp; Cond kW'!E541*(1-$C$6/($G$10+273))</f>
        <v>0</v>
      </c>
    </row>
    <row r="551" spans="2:9" x14ac:dyDescent="0.2">
      <c r="B551" s="2">
        <v>528</v>
      </c>
      <c r="C551">
        <f>'Refrig Mass Flow &amp; Cond kW'!D542*$C$6*(($C$19-$C$18)/1000)</f>
        <v>0</v>
      </c>
      <c r="D551">
        <f>'Refrig Mass Flow &amp; Cond kW'!D542*Winter!$C$6*((Winter!$C$17-Winter!$C$16)/1000)</f>
        <v>0</v>
      </c>
      <c r="E551">
        <f>'Refrig Mass Flow &amp; Cond kW'!D542*(($C$13-$C$14)-$C$6*($C$17-$C$18)/1000)-'Refrig Mass Flow &amp; Cond kW'!C542*(1-$C$6/($C$10+273))</f>
        <v>0</v>
      </c>
      <c r="F551" s="13"/>
      <c r="G551" s="13">
        <f>'Refrig Mass Flow &amp; Cond kW'!F542*$C$6*($G$19-$G$18)/1000</f>
        <v>0</v>
      </c>
      <c r="H551">
        <f>'Refrig Mass Flow &amp; Cond kW'!F542*$C$6*($G$17-$G$16)/1000</f>
        <v>0</v>
      </c>
      <c r="I551">
        <f>'Refrig Mass Flow &amp; Cond kW'!F542*(($G$13-$G$14)-$C$6*($G$17-$G$18)/1000)-'Refrig Mass Flow &amp; Cond kW'!E542*(1-$C$6/($G$10+273))</f>
        <v>0</v>
      </c>
    </row>
    <row r="552" spans="2:9" x14ac:dyDescent="0.2">
      <c r="B552" s="2">
        <v>529</v>
      </c>
      <c r="C552">
        <f>'Refrig Mass Flow &amp; Cond kW'!D543*$C$6*(($C$19-$C$18)/1000)</f>
        <v>0</v>
      </c>
      <c r="D552">
        <f>'Refrig Mass Flow &amp; Cond kW'!D543*Winter!$C$6*((Winter!$C$17-Winter!$C$16)/1000)</f>
        <v>0</v>
      </c>
      <c r="E552">
        <f>'Refrig Mass Flow &amp; Cond kW'!D543*(($C$13-$C$14)-$C$6*($C$17-$C$18)/1000)-'Refrig Mass Flow &amp; Cond kW'!C543*(1-$C$6/($C$10+273))</f>
        <v>0</v>
      </c>
      <c r="F552" s="13"/>
      <c r="G552" s="13">
        <f>'Refrig Mass Flow &amp; Cond kW'!F543*$C$6*($G$19-$G$18)/1000</f>
        <v>6.7034733459157853E-3</v>
      </c>
      <c r="H552">
        <f>'Refrig Mass Flow &amp; Cond kW'!F543*$C$6*($G$17-$G$16)/1000</f>
        <v>4.1798127921591065E-2</v>
      </c>
      <c r="I552">
        <f>'Refrig Mass Flow &amp; Cond kW'!F543*(($G$13-$G$14)-$C$6*($G$17-$G$18)/1000)-'Refrig Mass Flow &amp; Cond kW'!E543*(1-$C$6/($G$10+273))</f>
        <v>1.8500272028188408E-2</v>
      </c>
    </row>
    <row r="553" spans="2:9" x14ac:dyDescent="0.2">
      <c r="B553" s="2">
        <v>530</v>
      </c>
      <c r="C553">
        <f>'Refrig Mass Flow &amp; Cond kW'!D544*$C$6*(($C$19-$C$18)/1000)</f>
        <v>0</v>
      </c>
      <c r="D553">
        <f>'Refrig Mass Flow &amp; Cond kW'!D544*Winter!$C$6*((Winter!$C$17-Winter!$C$16)/1000)</f>
        <v>0</v>
      </c>
      <c r="E553">
        <f>'Refrig Mass Flow &amp; Cond kW'!D544*(($C$13-$C$14)-$C$6*($C$17-$C$18)/1000)-'Refrig Mass Flow &amp; Cond kW'!C544*(1-$C$6/($C$10+273))</f>
        <v>0</v>
      </c>
      <c r="F553" s="13"/>
      <c r="G553" s="13">
        <f>'Refrig Mass Flow &amp; Cond kW'!F544*$C$6*($G$19-$G$18)/1000</f>
        <v>3.2966911726855445E-2</v>
      </c>
      <c r="H553">
        <f>'Refrig Mass Flow &amp; Cond kW'!F544*$C$6*($G$17-$G$16)/1000</f>
        <v>0.20555839076744431</v>
      </c>
      <c r="I553">
        <f>'Refrig Mass Flow &amp; Cond kW'!F544*(($G$13-$G$14)-$C$6*($G$17-$G$18)/1000)-'Refrig Mass Flow &amp; Cond kW'!E544*(1-$C$6/($G$10+273))</f>
        <v>9.098221226577885E-2</v>
      </c>
    </row>
    <row r="554" spans="2:9" x14ac:dyDescent="0.2">
      <c r="B554" s="2">
        <v>531</v>
      </c>
      <c r="C554">
        <f>'Refrig Mass Flow &amp; Cond kW'!D545*$C$6*(($C$19-$C$18)/1000)</f>
        <v>0</v>
      </c>
      <c r="D554">
        <f>'Refrig Mass Flow &amp; Cond kW'!D545*Winter!$C$6*((Winter!$C$17-Winter!$C$16)/1000)</f>
        <v>0</v>
      </c>
      <c r="E554">
        <f>'Refrig Mass Flow &amp; Cond kW'!D545*(($C$13-$C$14)-$C$6*($C$17-$C$18)/1000)-'Refrig Mass Flow &amp; Cond kW'!C545*(1-$C$6/($C$10+273))</f>
        <v>0</v>
      </c>
      <c r="F554" s="13"/>
      <c r="G554" s="13">
        <f>'Refrig Mass Flow &amp; Cond kW'!F545*$C$6*($G$19-$G$18)/1000</f>
        <v>5.9223159381260007E-2</v>
      </c>
      <c r="H554">
        <f>'Refrig Mass Flow &amp; Cond kW'!F545*$C$6*($G$17-$G$16)/1000</f>
        <v>0.36927381731843173</v>
      </c>
      <c r="I554">
        <f>'Refrig Mass Flow &amp; Cond kW'!F545*(($G$13-$G$14)-$C$6*($G$17-$G$18)/1000)-'Refrig Mass Flow &amp; Cond kW'!E545*(1-$C$6/($G$10+273))</f>
        <v>0.16344430750807826</v>
      </c>
    </row>
    <row r="555" spans="2:9" x14ac:dyDescent="0.2">
      <c r="B555" s="2">
        <v>532</v>
      </c>
      <c r="C555">
        <f>'Refrig Mass Flow &amp; Cond kW'!D546*$C$6*(($C$19-$C$18)/1000)</f>
        <v>0</v>
      </c>
      <c r="D555">
        <f>'Refrig Mass Flow &amp; Cond kW'!D546*Winter!$C$6*((Winter!$C$17-Winter!$C$16)/1000)</f>
        <v>0</v>
      </c>
      <c r="E555">
        <f>'Refrig Mass Flow &amp; Cond kW'!D546*(($C$13-$C$14)-$C$6*($C$17-$C$18)/1000)-'Refrig Mass Flow &amp; Cond kW'!C546*(1-$C$6/($C$10+273))</f>
        <v>0</v>
      </c>
      <c r="F555" s="13"/>
      <c r="G555" s="13">
        <f>'Refrig Mass Flow &amp; Cond kW'!F546*$C$6*($G$19-$G$18)/1000</f>
        <v>8.5469811013832248E-2</v>
      </c>
      <c r="H555">
        <f>'Refrig Mass Flow &amp; Cond kW'!F546*$C$6*($G$17-$G$16)/1000</f>
        <v>0.53292940985093518</v>
      </c>
      <c r="I555">
        <f>'Refrig Mass Flow &amp; Cond kW'!F546*(($G$13-$G$14)-$C$6*($G$17-$G$18)/1000)-'Refrig Mass Flow &amp; Cond kW'!E546*(1-$C$6/($G$10+273))</f>
        <v>0.23587991961169408</v>
      </c>
    </row>
    <row r="556" spans="2:9" x14ac:dyDescent="0.2">
      <c r="B556" s="2">
        <v>533</v>
      </c>
      <c r="C556">
        <f>'Refrig Mass Flow &amp; Cond kW'!D547*$C$6*(($C$19-$C$18)/1000)</f>
        <v>0</v>
      </c>
      <c r="D556">
        <f>'Refrig Mass Flow &amp; Cond kW'!D547*Winter!$C$6*((Winter!$C$17-Winter!$C$16)/1000)</f>
        <v>0</v>
      </c>
      <c r="E556">
        <f>'Refrig Mass Flow &amp; Cond kW'!D547*(($C$13-$C$14)-$C$6*($C$17-$C$18)/1000)-'Refrig Mass Flow &amp; Cond kW'!C547*(1-$C$6/($C$10+273))</f>
        <v>0</v>
      </c>
      <c r="F556" s="13"/>
      <c r="G556" s="13">
        <f>'Refrig Mass Flow &amp; Cond kW'!F547*$C$6*($G$19-$G$18)/1000</f>
        <v>0.11170446259060302</v>
      </c>
      <c r="H556">
        <f>'Refrig Mass Flow &amp; Cond kW'!F547*$C$6*($G$17-$G$16)/1000</f>
        <v>0.69651017850608832</v>
      </c>
      <c r="I556">
        <f>'Refrig Mass Flow &amp; Cond kW'!F547*(($G$13-$G$14)-$C$6*($G$17-$G$18)/1000)-'Refrig Mass Flow &amp; Cond kW'!E547*(1-$C$6/($G$10+273))</f>
        <v>0.30828241391424971</v>
      </c>
    </row>
    <row r="557" spans="2:9" x14ac:dyDescent="0.2">
      <c r="B557" s="2">
        <v>534</v>
      </c>
      <c r="C557">
        <f>'Refrig Mass Flow &amp; Cond kW'!D548*$C$6*(($C$19-$C$18)/1000)</f>
        <v>0</v>
      </c>
      <c r="D557">
        <f>'Refrig Mass Flow &amp; Cond kW'!D548*Winter!$C$6*((Winter!$C$17-Winter!$C$16)/1000)</f>
        <v>0</v>
      </c>
      <c r="E557">
        <f>'Refrig Mass Flow &amp; Cond kW'!D548*(($C$13-$C$14)-$C$6*($C$17-$C$18)/1000)-'Refrig Mass Flow &amp; Cond kW'!C548*(1-$C$6/($C$10+273))</f>
        <v>0</v>
      </c>
      <c r="F557" s="13"/>
      <c r="G557" s="13">
        <f>'Refrig Mass Flow &amp; Cond kW'!F548*$C$6*($G$19-$G$18)/1000</f>
        <v>0.1379247115590653</v>
      </c>
      <c r="H557">
        <f>'Refrig Mass Flow &amp; Cond kW'!F548*$C$6*($G$17-$G$16)/1000</f>
        <v>0.86000114266237682</v>
      </c>
      <c r="I557">
        <f>'Refrig Mass Flow &amp; Cond kW'!F548*(($G$13-$G$14)-$C$6*($G$17-$G$18)/1000)-'Refrig Mass Flow &amp; Cond kW'!E548*(1-$C$6/($G$10+273))</f>
        <v>0.38064515984191427</v>
      </c>
    </row>
    <row r="558" spans="2:9" x14ac:dyDescent="0.2">
      <c r="B558" s="2">
        <v>535</v>
      </c>
      <c r="C558">
        <f>'Refrig Mass Flow &amp; Cond kW'!D549*$C$6*(($C$19-$C$18)/1000)</f>
        <v>0</v>
      </c>
      <c r="D558">
        <f>'Refrig Mass Flow &amp; Cond kW'!D549*Winter!$C$6*((Winter!$C$17-Winter!$C$16)/1000)</f>
        <v>0</v>
      </c>
      <c r="E558">
        <f>'Refrig Mass Flow &amp; Cond kW'!D549*(($C$13-$C$14)-$C$6*($C$17-$C$18)/1000)-'Refrig Mass Flow &amp; Cond kW'!C549*(1-$C$6/($C$10+273))</f>
        <v>0</v>
      </c>
      <c r="F558" s="13"/>
      <c r="G558" s="13">
        <f>'Refrig Mass Flow &amp; Cond kW'!F549*$C$6*($G$19-$G$18)/1000</f>
        <v>0.16441894610594782</v>
      </c>
      <c r="H558">
        <f>'Refrig Mass Flow &amp; Cond kW'!F549*$C$6*($G$17-$G$16)/1000</f>
        <v>1.0252004874841092</v>
      </c>
      <c r="I558">
        <f>'Refrig Mass Flow &amp; Cond kW'!F549*(($G$13-$G$14)-$C$6*($G$17-$G$18)/1000)-'Refrig Mass Flow &amp; Cond kW'!E549*(1-$C$6/($G$10+273))</f>
        <v>0.45376405224335681</v>
      </c>
    </row>
    <row r="559" spans="2:9" x14ac:dyDescent="0.2">
      <c r="B559" s="2">
        <v>536</v>
      </c>
      <c r="C559">
        <f>'Refrig Mass Flow &amp; Cond kW'!D550*$C$6*(($C$19-$C$18)/1000)</f>
        <v>0</v>
      </c>
      <c r="D559">
        <f>'Refrig Mass Flow &amp; Cond kW'!D550*Winter!$C$6*((Winter!$C$17-Winter!$C$16)/1000)</f>
        <v>0</v>
      </c>
      <c r="E559">
        <f>'Refrig Mass Flow &amp; Cond kW'!D550*(($C$13-$C$14)-$C$6*($C$17-$C$18)/1000)-'Refrig Mass Flow &amp; Cond kW'!C550*(1-$C$6/($C$10+273))</f>
        <v>0</v>
      </c>
      <c r="F559" s="13"/>
      <c r="G559" s="13">
        <f>'Refrig Mass Flow &amp; Cond kW'!F550*$C$6*($G$19-$G$18)/1000</f>
        <v>0.19105467058475364</v>
      </c>
      <c r="H559">
        <f>'Refrig Mass Flow &amp; Cond kW'!F550*$C$6*($G$17-$G$16)/1000</f>
        <v>1.1912820636460688</v>
      </c>
      <c r="I559">
        <f>'Refrig Mass Flow &amp; Cond kW'!F550*(($G$13-$G$14)-$C$6*($G$17-$G$18)/1000)-'Refrig Mass Flow &amp; Cond kW'!E550*(1-$C$6/($G$10+273))</f>
        <v>0.52727342911378372</v>
      </c>
    </row>
    <row r="560" spans="2:9" x14ac:dyDescent="0.2">
      <c r="B560" s="2">
        <v>537</v>
      </c>
      <c r="C560">
        <f>'Refrig Mass Flow &amp; Cond kW'!D551*$C$6*(($C$19-$C$18)/1000)</f>
        <v>0</v>
      </c>
      <c r="D560">
        <f>'Refrig Mass Flow &amp; Cond kW'!D551*Winter!$C$6*((Winter!$C$17-Winter!$C$16)/1000)</f>
        <v>0</v>
      </c>
      <c r="E560">
        <f>'Refrig Mass Flow &amp; Cond kW'!D551*(($C$13-$C$14)-$C$6*($C$17-$C$18)/1000)-'Refrig Mass Flow &amp; Cond kW'!C551*(1-$C$6/($C$10+273))</f>
        <v>0</v>
      </c>
      <c r="F560" s="13"/>
      <c r="G560" s="13">
        <f>'Refrig Mass Flow &amp; Cond kW'!F551*$C$6*($G$19-$G$18)/1000</f>
        <v>0.2177922570607678</v>
      </c>
      <c r="H560">
        <f>'Refrig Mass Flow &amp; Cond kW'!F551*$C$6*($G$17-$G$16)/1000</f>
        <v>1.3579987793200337</v>
      </c>
      <c r="I560">
        <f>'Refrig Mass Flow &amp; Cond kW'!F551*(($G$13-$G$14)-$C$6*($G$17-$G$18)/1000)-'Refrig Mass Flow &amp; Cond kW'!E551*(1-$C$6/($G$10+273))</f>
        <v>0.60106392512356432</v>
      </c>
    </row>
    <row r="561" spans="2:9" x14ac:dyDescent="0.2">
      <c r="B561" s="2">
        <v>538</v>
      </c>
      <c r="C561">
        <f>'Refrig Mass Flow &amp; Cond kW'!D552*$C$6*(($C$19-$C$18)/1000)</f>
        <v>0</v>
      </c>
      <c r="D561">
        <f>'Refrig Mass Flow &amp; Cond kW'!D552*Winter!$C$6*((Winter!$C$17-Winter!$C$16)/1000)</f>
        <v>0</v>
      </c>
      <c r="E561">
        <f>'Refrig Mass Flow &amp; Cond kW'!D552*(($C$13-$C$14)-$C$6*($C$17-$C$18)/1000)-'Refrig Mass Flow &amp; Cond kW'!C552*(1-$C$6/($C$10+273))</f>
        <v>0</v>
      </c>
      <c r="F561" s="13"/>
      <c r="G561" s="13">
        <f>'Refrig Mass Flow &amp; Cond kW'!F552*$C$6*($G$19-$G$18)/1000</f>
        <v>0.24431563498051082</v>
      </c>
      <c r="H561">
        <f>'Refrig Mass Flow &amp; Cond kW'!F552*$C$6*($G$17-$G$16)/1000</f>
        <v>1.5233798416431314</v>
      </c>
      <c r="I561">
        <f>'Refrig Mass Flow &amp; Cond kW'!F552*(($G$13-$G$14)-$C$6*($G$17-$G$18)/1000)-'Refrig Mass Flow &amp; Cond kW'!E552*(1-$C$6/($G$10+273))</f>
        <v>0.67426324751971656</v>
      </c>
    </row>
    <row r="562" spans="2:9" x14ac:dyDescent="0.2">
      <c r="B562" s="2">
        <v>539</v>
      </c>
      <c r="C562">
        <f>'Refrig Mass Flow &amp; Cond kW'!D553*$C$6*(($C$19-$C$18)/1000)</f>
        <v>0</v>
      </c>
      <c r="D562">
        <f>'Refrig Mass Flow &amp; Cond kW'!D553*Winter!$C$6*((Winter!$C$17-Winter!$C$16)/1000)</f>
        <v>0</v>
      </c>
      <c r="E562">
        <f>'Refrig Mass Flow &amp; Cond kW'!D553*(($C$13-$C$14)-$C$6*($C$17-$C$18)/1000)-'Refrig Mass Flow &amp; Cond kW'!C553*(1-$C$6/($C$10+273))</f>
        <v>0</v>
      </c>
      <c r="F562" s="13"/>
      <c r="G562" s="13">
        <f>'Refrig Mass Flow &amp; Cond kW'!F553*$C$6*($G$19-$G$18)/1000</f>
        <v>0.27074359019434513</v>
      </c>
      <c r="H562">
        <f>'Refrig Mass Flow &amp; Cond kW'!F553*$C$6*($G$17-$G$16)/1000</f>
        <v>1.6881659153293864</v>
      </c>
      <c r="I562">
        <f>'Refrig Mass Flow &amp; Cond kW'!F553*(($G$13-$G$14)-$C$6*($G$17-$G$18)/1000)-'Refrig Mass Flow &amp; Cond kW'!E553*(1-$C$6/($G$10+273))</f>
        <v>0.74719922195789046</v>
      </c>
    </row>
    <row r="563" spans="2:9" x14ac:dyDescent="0.2">
      <c r="B563" s="2">
        <v>540</v>
      </c>
      <c r="C563">
        <f>'Refrig Mass Flow &amp; Cond kW'!D554*$C$6*(($C$19-$C$18)/1000)</f>
        <v>0</v>
      </c>
      <c r="D563">
        <f>'Refrig Mass Flow &amp; Cond kW'!D554*Winter!$C$6*((Winter!$C$17-Winter!$C$16)/1000)</f>
        <v>0</v>
      </c>
      <c r="E563">
        <f>'Refrig Mass Flow &amp; Cond kW'!D554*(($C$13-$C$14)-$C$6*($C$17-$C$18)/1000)-'Refrig Mass Flow &amp; Cond kW'!C554*(1-$C$6/($C$10+273))</f>
        <v>0</v>
      </c>
      <c r="F563" s="13"/>
      <c r="G563" s="13">
        <f>'Refrig Mass Flow &amp; Cond kW'!F554*$C$6*($G$19-$G$18)/1000</f>
        <v>0.2970475807341606</v>
      </c>
      <c r="H563">
        <f>'Refrig Mass Flow &amp; Cond kW'!F554*$C$6*($G$17-$G$16)/1000</f>
        <v>1.8521790328129359</v>
      </c>
      <c r="I563">
        <f>'Refrig Mass Flow &amp; Cond kW'!F554*(($G$13-$G$14)-$C$6*($G$17-$G$18)/1000)-'Refrig Mass Flow &amp; Cond kW'!E554*(1-$C$6/($G$10+273))</f>
        <v>0.81979307820257574</v>
      </c>
    </row>
    <row r="564" spans="2:9" x14ac:dyDescent="0.2">
      <c r="B564" s="2">
        <v>541</v>
      </c>
      <c r="C564">
        <f>'Refrig Mass Flow &amp; Cond kW'!D555*$C$6*(($C$19-$C$18)/1000)</f>
        <v>0</v>
      </c>
      <c r="D564">
        <f>'Refrig Mass Flow &amp; Cond kW'!D555*Winter!$C$6*((Winter!$C$17-Winter!$C$16)/1000)</f>
        <v>0</v>
      </c>
      <c r="E564">
        <f>'Refrig Mass Flow &amp; Cond kW'!D555*(($C$13-$C$14)-$C$6*($C$17-$C$18)/1000)-'Refrig Mass Flow &amp; Cond kW'!C555*(1-$C$6/($C$10+273))</f>
        <v>0</v>
      </c>
      <c r="F564" s="13"/>
      <c r="G564" s="13">
        <f>'Refrig Mass Flow &amp; Cond kW'!F555*$C$6*($G$19-$G$18)/1000</f>
        <v>0.32319922085879771</v>
      </c>
      <c r="H564">
        <f>'Refrig Mass Flow &amp; Cond kW'!F555*$C$6*($G$17-$G$16)/1000</f>
        <v>2.015242200648903</v>
      </c>
      <c r="I564">
        <f>'Refrig Mass Flow &amp; Cond kW'!F555*(($G$13-$G$14)-$C$6*($G$17-$G$18)/1000)-'Refrig Mass Flow &amp; Cond kW'!E555*(1-$C$6/($G$10+273))</f>
        <v>0.89196647717399813</v>
      </c>
    </row>
    <row r="565" spans="2:9" x14ac:dyDescent="0.2">
      <c r="B565" s="2">
        <v>542</v>
      </c>
      <c r="C565">
        <f>'Refrig Mass Flow &amp; Cond kW'!D556*$C$6*(($C$19-$C$18)/1000)</f>
        <v>0</v>
      </c>
      <c r="D565">
        <f>'Refrig Mass Flow &amp; Cond kW'!D556*Winter!$C$6*((Winter!$C$17-Winter!$C$16)/1000)</f>
        <v>0</v>
      </c>
      <c r="E565">
        <f>'Refrig Mass Flow &amp; Cond kW'!D556*(($C$13-$C$14)-$C$6*($C$17-$C$18)/1000)-'Refrig Mass Flow &amp; Cond kW'!C556*(1-$C$6/($C$10+273))</f>
        <v>0</v>
      </c>
      <c r="F565" s="13"/>
      <c r="G565" s="13">
        <f>'Refrig Mass Flow &amp; Cond kW'!F556*$C$6*($G$19-$G$18)/1000</f>
        <v>0.3491701473871725</v>
      </c>
      <c r="H565">
        <f>'Refrig Mass Flow &amp; Cond kW'!F556*$C$6*($G$17-$G$16)/1000</f>
        <v>2.1771785660611163</v>
      </c>
      <c r="I565">
        <f>'Refrig Mass Flow &amp; Cond kW'!F556*(($G$13-$G$14)-$C$6*($G$17-$G$18)/1000)-'Refrig Mass Flow &amp; Cond kW'!E556*(1-$C$6/($G$10+273))</f>
        <v>0.96364114205377405</v>
      </c>
    </row>
    <row r="566" spans="2:9" x14ac:dyDescent="0.2">
      <c r="B566" s="2">
        <v>543</v>
      </c>
      <c r="C566">
        <f>'Refrig Mass Flow &amp; Cond kW'!D557*$C$6*(($C$19-$C$18)/1000)</f>
        <v>0</v>
      </c>
      <c r="D566">
        <f>'Refrig Mass Flow &amp; Cond kW'!D557*Winter!$C$6*((Winter!$C$17-Winter!$C$16)/1000)</f>
        <v>0</v>
      </c>
      <c r="E566">
        <f>'Refrig Mass Flow &amp; Cond kW'!D557*(($C$13-$C$14)-$C$6*($C$17-$C$18)/1000)-'Refrig Mass Flow &amp; Cond kW'!C557*(1-$C$6/($C$10+273))</f>
        <v>0</v>
      </c>
      <c r="F566" s="13"/>
      <c r="G566" s="13">
        <f>'Refrig Mass Flow &amp; Cond kW'!F557*$C$6*($G$19-$G$18)/1000</f>
        <v>0.37493202228058997</v>
      </c>
      <c r="H566">
        <f>'Refrig Mass Flow &amp; Cond kW'!F557*$C$6*($G$17-$G$16)/1000</f>
        <v>2.337811433043596</v>
      </c>
      <c r="I566">
        <f>'Refrig Mass Flow &amp; Cond kW'!F557*(($G$13-$G$14)-$C$6*($G$17-$G$18)/1000)-'Refrig Mass Flow &amp; Cond kW'!E557*(1-$C$6/($G$10+273))</f>
        <v>1.034738865411585</v>
      </c>
    </row>
    <row r="567" spans="2:9" x14ac:dyDescent="0.2">
      <c r="B567" s="2">
        <v>544</v>
      </c>
      <c r="C567">
        <f>'Refrig Mass Flow &amp; Cond kW'!D558*$C$6*(($C$19-$C$18)/1000)</f>
        <v>0</v>
      </c>
      <c r="D567">
        <f>'Refrig Mass Flow &amp; Cond kW'!D558*Winter!$C$6*((Winter!$C$17-Winter!$C$16)/1000)</f>
        <v>0</v>
      </c>
      <c r="E567">
        <f>'Refrig Mass Flow &amp; Cond kW'!D558*(($C$13-$C$14)-$C$6*($C$17-$C$18)/1000)-'Refrig Mass Flow &amp; Cond kW'!C558*(1-$C$6/($C$10+273))</f>
        <v>0</v>
      </c>
      <c r="F567" s="13"/>
      <c r="G567" s="13">
        <f>'Refrig Mass Flow &amp; Cond kW'!F558*$C$6*($G$19-$G$18)/1000</f>
        <v>0.40074864740669808</v>
      </c>
      <c r="H567">
        <f>'Refrig Mass Flow &amp; Cond kW'!F558*$C$6*($G$17-$G$16)/1000</f>
        <v>2.4987856838299116</v>
      </c>
      <c r="I567">
        <f>'Refrig Mass Flow &amp; Cond kW'!F558*(($G$13-$G$14)-$C$6*($G$17-$G$18)/1000)-'Refrig Mass Flow &amp; Cond kW'!E558*(1-$C$6/($G$10+273))</f>
        <v>1.1059876886762829</v>
      </c>
    </row>
    <row r="568" spans="2:9" x14ac:dyDescent="0.2">
      <c r="B568" s="2">
        <v>545</v>
      </c>
      <c r="C568">
        <f>'Refrig Mass Flow &amp; Cond kW'!D559*$C$6*(($C$19-$C$18)/1000)</f>
        <v>0</v>
      </c>
      <c r="D568">
        <f>'Refrig Mass Flow &amp; Cond kW'!D559*Winter!$C$6*((Winter!$C$17-Winter!$C$16)/1000)</f>
        <v>0</v>
      </c>
      <c r="E568">
        <f>'Refrig Mass Flow &amp; Cond kW'!D559*(($C$13-$C$14)-$C$6*($C$17-$C$18)/1000)-'Refrig Mass Flow &amp; Cond kW'!C559*(1-$C$6/($C$10+273))</f>
        <v>0</v>
      </c>
      <c r="F568" s="13"/>
      <c r="G568" s="13">
        <f>'Refrig Mass Flow &amp; Cond kW'!F559*$C$6*($G$19-$G$18)/1000</f>
        <v>0.426511153702336</v>
      </c>
      <c r="H568">
        <f>'Refrig Mass Flow &amp; Cond kW'!F559*$C$6*($G$17-$G$16)/1000</f>
        <v>2.6594224877909425</v>
      </c>
      <c r="I568">
        <f>'Refrig Mass Flow &amp; Cond kW'!F559*(($G$13-$G$14)-$C$6*($G$17-$G$18)/1000)-'Refrig Mass Flow &amp; Cond kW'!E559*(1-$C$6/($G$10+273))</f>
        <v>1.1770871545804162</v>
      </c>
    </row>
    <row r="569" spans="2:9" x14ac:dyDescent="0.2">
      <c r="B569" s="2">
        <v>546</v>
      </c>
      <c r="C569">
        <f>'Refrig Mass Flow &amp; Cond kW'!D560*$C$6*(($C$19-$C$18)/1000)</f>
        <v>0</v>
      </c>
      <c r="D569">
        <f>'Refrig Mass Flow &amp; Cond kW'!D560*Winter!$C$6*((Winter!$C$17-Winter!$C$16)/1000)</f>
        <v>0</v>
      </c>
      <c r="E569">
        <f>'Refrig Mass Flow &amp; Cond kW'!D560*(($C$13-$C$14)-$C$6*($C$17-$C$18)/1000)-'Refrig Mass Flow &amp; Cond kW'!C560*(1-$C$6/($C$10+273))</f>
        <v>0</v>
      </c>
      <c r="F569" s="13"/>
      <c r="G569" s="13">
        <f>'Refrig Mass Flow &amp; Cond kW'!F560*$C$6*($G$19-$G$18)/1000</f>
        <v>0.45219095023135902</v>
      </c>
      <c r="H569">
        <f>'Refrig Mass Flow &amp; Cond kW'!F560*$C$6*($G$17-$G$16)/1000</f>
        <v>2.8195435720307271</v>
      </c>
      <c r="I569">
        <f>'Refrig Mass Flow &amp; Cond kW'!F560*(($G$13-$G$14)-$C$6*($G$17-$G$18)/1000)-'Refrig Mass Flow &amp; Cond kW'!E560*(1-$C$6/($G$10+273))</f>
        <v>1.2479583577462954</v>
      </c>
    </row>
    <row r="570" spans="2:9" x14ac:dyDescent="0.2">
      <c r="B570" s="2">
        <v>547</v>
      </c>
      <c r="C570">
        <f>'Refrig Mass Flow &amp; Cond kW'!D561*$C$6*(($C$19-$C$18)/1000)</f>
        <v>0</v>
      </c>
      <c r="D570">
        <f>'Refrig Mass Flow &amp; Cond kW'!D561*Winter!$C$6*((Winter!$C$17-Winter!$C$16)/1000)</f>
        <v>0</v>
      </c>
      <c r="E570">
        <f>'Refrig Mass Flow &amp; Cond kW'!D561*(($C$13-$C$14)-$C$6*($C$17-$C$18)/1000)-'Refrig Mass Flow &amp; Cond kW'!C561*(1-$C$6/($C$10+273))</f>
        <v>0</v>
      </c>
      <c r="F570" s="13"/>
      <c r="G570" s="13">
        <f>'Refrig Mass Flow &amp; Cond kW'!F561*$C$6*($G$19-$G$18)/1000</f>
        <v>0.47770663665550228</v>
      </c>
      <c r="H570">
        <f>'Refrig Mass Flow &amp; Cond kW'!F561*$C$6*($G$17-$G$16)/1000</f>
        <v>2.978641381498909</v>
      </c>
      <c r="I570">
        <f>'Refrig Mass Flow &amp; Cond kW'!F561*(($G$13-$G$14)-$C$6*($G$17-$G$18)/1000)-'Refrig Mass Flow &amp; Cond kW'!E561*(1-$C$6/($G$10+273))</f>
        <v>1.3183766492011593</v>
      </c>
    </row>
    <row r="571" spans="2:9" x14ac:dyDescent="0.2">
      <c r="B571" s="2">
        <v>548</v>
      </c>
      <c r="C571">
        <f>'Refrig Mass Flow &amp; Cond kW'!D562*$C$6*(($C$19-$C$18)/1000)</f>
        <v>0</v>
      </c>
      <c r="D571">
        <f>'Refrig Mass Flow &amp; Cond kW'!D562*Winter!$C$6*((Winter!$C$17-Winter!$C$16)/1000)</f>
        <v>0</v>
      </c>
      <c r="E571">
        <f>'Refrig Mass Flow &amp; Cond kW'!D562*(($C$13-$C$14)-$C$6*($C$17-$C$18)/1000)-'Refrig Mass Flow &amp; Cond kW'!C562*(1-$C$6/($C$10+273))</f>
        <v>0</v>
      </c>
      <c r="F571" s="13"/>
      <c r="G571" s="13">
        <f>'Refrig Mass Flow &amp; Cond kW'!F562*$C$6*($G$19-$G$18)/1000</f>
        <v>0.50303822038366697</v>
      </c>
      <c r="H571">
        <f>'Refrig Mass Flow &amp; Cond kW'!F562*$C$6*($G$17-$G$16)/1000</f>
        <v>3.1365912565098131</v>
      </c>
      <c r="I571">
        <f>'Refrig Mass Flow &amp; Cond kW'!F562*(($G$13-$G$14)-$C$6*($G$17-$G$18)/1000)-'Refrig Mass Flow &amp; Cond kW'!E562*(1-$C$6/($G$10+273))</f>
        <v>1.3882868533136872</v>
      </c>
    </row>
    <row r="572" spans="2:9" x14ac:dyDescent="0.2">
      <c r="B572" s="2">
        <v>549</v>
      </c>
      <c r="C572">
        <f>'Refrig Mass Flow &amp; Cond kW'!D563*$C$6*(($C$19-$C$18)/1000)</f>
        <v>0</v>
      </c>
      <c r="D572">
        <f>'Refrig Mass Flow &amp; Cond kW'!D563*Winter!$C$6*((Winter!$C$17-Winter!$C$16)/1000)</f>
        <v>0</v>
      </c>
      <c r="E572">
        <f>'Refrig Mass Flow &amp; Cond kW'!D563*(($C$13-$C$14)-$C$6*($C$17-$C$18)/1000)-'Refrig Mass Flow &amp; Cond kW'!C563*(1-$C$6/($C$10+273))</f>
        <v>0</v>
      </c>
      <c r="F572" s="13"/>
      <c r="G572" s="13">
        <f>'Refrig Mass Flow &amp; Cond kW'!F563*$C$6*($G$19-$G$18)/1000</f>
        <v>0.52813835428617051</v>
      </c>
      <c r="H572">
        <f>'Refrig Mass Flow &amp; Cond kW'!F563*$C$6*($G$17-$G$16)/1000</f>
        <v>3.2930979737842412</v>
      </c>
      <c r="I572">
        <f>'Refrig Mass Flow &amp; Cond kW'!F563*(($G$13-$G$14)-$C$6*($G$17-$G$18)/1000)-'Refrig Mass Flow &amp; Cond kW'!E563*(1-$C$6/($G$10+273))</f>
        <v>1.4575583012897155</v>
      </c>
    </row>
    <row r="573" spans="2:9" x14ac:dyDescent="0.2">
      <c r="B573" s="2">
        <v>550</v>
      </c>
      <c r="C573">
        <f>'Refrig Mass Flow &amp; Cond kW'!D564*$C$6*(($C$19-$C$18)/1000)</f>
        <v>0</v>
      </c>
      <c r="D573">
        <f>'Refrig Mass Flow &amp; Cond kW'!D564*Winter!$C$6*((Winter!$C$17-Winter!$C$16)/1000)</f>
        <v>0</v>
      </c>
      <c r="E573">
        <f>'Refrig Mass Flow &amp; Cond kW'!D564*(($C$13-$C$14)-$C$6*($C$17-$C$18)/1000)-'Refrig Mass Flow &amp; Cond kW'!C564*(1-$C$6/($C$10+273))</f>
        <v>0</v>
      </c>
      <c r="F573" s="13"/>
      <c r="G573" s="13">
        <f>'Refrig Mass Flow &amp; Cond kW'!F564*$C$6*($G$19-$G$18)/1000</f>
        <v>0.55308176001530274</v>
      </c>
      <c r="H573">
        <f>'Refrig Mass Flow &amp; Cond kW'!F564*$C$6*($G$17-$G$16)/1000</f>
        <v>3.4486274448011778</v>
      </c>
      <c r="I573">
        <f>'Refrig Mass Flow &amp; Cond kW'!F564*(($G$13-$G$14)-$C$6*($G$17-$G$18)/1000)-'Refrig Mass Flow &amp; Cond kW'!E564*(1-$C$6/($G$10+273))</f>
        <v>1.5263972102382475</v>
      </c>
    </row>
    <row r="574" spans="2:9" x14ac:dyDescent="0.2">
      <c r="B574" s="2">
        <v>551</v>
      </c>
      <c r="C574">
        <f>'Refrig Mass Flow &amp; Cond kW'!D565*$C$6*(($C$19-$C$18)/1000)</f>
        <v>0</v>
      </c>
      <c r="D574">
        <f>'Refrig Mass Flow &amp; Cond kW'!D565*Winter!$C$6*((Winter!$C$17-Winter!$C$16)/1000)</f>
        <v>0</v>
      </c>
      <c r="E574">
        <f>'Refrig Mass Flow &amp; Cond kW'!D565*(($C$13-$C$14)-$C$6*($C$17-$C$18)/1000)-'Refrig Mass Flow &amp; Cond kW'!C565*(1-$C$6/($C$10+273))</f>
        <v>0</v>
      </c>
      <c r="F574" s="13"/>
      <c r="G574" s="13">
        <f>'Refrig Mass Flow &amp; Cond kW'!F565*$C$6*($G$19-$G$18)/1000</f>
        <v>0.57805450975373673</v>
      </c>
      <c r="H574">
        <f>'Refrig Mass Flow &amp; Cond kW'!F565*$C$6*($G$17-$G$16)/1000</f>
        <v>3.604339884346702</v>
      </c>
      <c r="I574">
        <f>'Refrig Mass Flow &amp; Cond kW'!F565*(($G$13-$G$14)-$C$6*($G$17-$G$18)/1000)-'Refrig Mass Flow &amp; Cond kW'!E565*(1-$C$6/($G$10+273))</f>
        <v>1.5953171028987256</v>
      </c>
    </row>
    <row r="575" spans="2:9" x14ac:dyDescent="0.2">
      <c r="B575" s="2">
        <v>552</v>
      </c>
      <c r="C575">
        <f>'Refrig Mass Flow &amp; Cond kW'!D566*$C$6*(($C$19-$C$18)/1000)</f>
        <v>0</v>
      </c>
      <c r="D575">
        <f>'Refrig Mass Flow &amp; Cond kW'!D566*Winter!$C$6*((Winter!$C$17-Winter!$C$16)/1000)</f>
        <v>0</v>
      </c>
      <c r="E575">
        <f>'Refrig Mass Flow &amp; Cond kW'!D566*(($C$13-$C$14)-$C$6*($C$17-$C$18)/1000)-'Refrig Mass Flow &amp; Cond kW'!C566*(1-$C$6/($C$10+273))</f>
        <v>0</v>
      </c>
      <c r="F575" s="13"/>
      <c r="G575" s="13">
        <f>'Refrig Mass Flow &amp; Cond kW'!F566*$C$6*($G$19-$G$18)/1000</f>
        <v>0.60285491239727051</v>
      </c>
      <c r="H575">
        <f>'Refrig Mass Flow &amp; Cond kW'!F566*$C$6*($G$17-$G$16)/1000</f>
        <v>3.7589776890652007</v>
      </c>
      <c r="I575">
        <f>'Refrig Mass Flow &amp; Cond kW'!F566*(($G$13-$G$14)-$C$6*($G$17-$G$18)/1000)-'Refrig Mass Flow &amp; Cond kW'!E566*(1-$C$6/($G$10+273))</f>
        <v>1.6637613513708303</v>
      </c>
    </row>
    <row r="576" spans="2:9" x14ac:dyDescent="0.2">
      <c r="B576" s="2">
        <v>553</v>
      </c>
      <c r="C576">
        <f>'Refrig Mass Flow &amp; Cond kW'!D567*$C$6*(($C$19-$C$18)/1000)</f>
        <v>0</v>
      </c>
      <c r="D576">
        <f>'Refrig Mass Flow &amp; Cond kW'!D567*Winter!$C$6*((Winter!$C$17-Winter!$C$16)/1000)</f>
        <v>0</v>
      </c>
      <c r="E576">
        <f>'Refrig Mass Flow &amp; Cond kW'!D567*(($C$13-$C$14)-$C$6*($C$17-$C$18)/1000)-'Refrig Mass Flow &amp; Cond kW'!C567*(1-$C$6/($C$10+273))</f>
        <v>0</v>
      </c>
      <c r="F576" s="13"/>
      <c r="G576" s="13">
        <f>'Refrig Mass Flow &amp; Cond kW'!F567*$C$6*($G$19-$G$18)/1000</f>
        <v>0.62768283364759814</v>
      </c>
      <c r="H576">
        <f>'Refrig Mass Flow &amp; Cond kW'!F567*$C$6*($G$17-$G$16)/1000</f>
        <v>3.9137870803907679</v>
      </c>
      <c r="I576">
        <f>'Refrig Mass Flow &amp; Cond kW'!F567*(($G$13-$G$14)-$C$6*($G$17-$G$18)/1000)-'Refrig Mass Flow &amp; Cond kW'!E567*(1-$C$6/($G$10+273))</f>
        <v>1.7322815458018752</v>
      </c>
    </row>
    <row r="577" spans="2:9" x14ac:dyDescent="0.2">
      <c r="B577" s="2">
        <v>554</v>
      </c>
      <c r="C577">
        <f>'Refrig Mass Flow &amp; Cond kW'!D568*$C$6*(($C$19-$C$18)/1000)</f>
        <v>0</v>
      </c>
      <c r="D577">
        <f>'Refrig Mass Flow &amp; Cond kW'!D568*Winter!$C$6*((Winter!$C$17-Winter!$C$16)/1000)</f>
        <v>0</v>
      </c>
      <c r="E577">
        <f>'Refrig Mass Flow &amp; Cond kW'!D568*(($C$13-$C$14)-$C$6*($C$17-$C$18)/1000)-'Refrig Mass Flow &amp; Cond kW'!C568*(1-$C$6/($C$10+273))</f>
        <v>0</v>
      </c>
      <c r="F577" s="13"/>
      <c r="G577" s="13">
        <f>'Refrig Mass Flow &amp; Cond kW'!F568*$C$6*($G$19-$G$18)/1000</f>
        <v>0.65245070924684989</v>
      </c>
      <c r="H577">
        <f>'Refrig Mass Flow &amp; Cond kW'!F568*$C$6*($G$17-$G$16)/1000</f>
        <v>4.0682220694213909</v>
      </c>
      <c r="I577">
        <f>'Refrig Mass Flow &amp; Cond kW'!F568*(($G$13-$G$14)-$C$6*($G$17-$G$18)/1000)-'Refrig Mass Flow &amp; Cond kW'!E568*(1-$C$6/($G$10+273))</f>
        <v>1.8006360260096166</v>
      </c>
    </row>
    <row r="578" spans="2:9" x14ac:dyDescent="0.2">
      <c r="B578" s="2">
        <v>555</v>
      </c>
      <c r="C578">
        <f>'Refrig Mass Flow &amp; Cond kW'!D569*$C$6*(($C$19-$C$18)/1000)</f>
        <v>0</v>
      </c>
      <c r="D578">
        <f>'Refrig Mass Flow &amp; Cond kW'!D569*Winter!$C$6*((Winter!$C$17-Winter!$C$16)/1000)</f>
        <v>0</v>
      </c>
      <c r="E578">
        <f>'Refrig Mass Flow &amp; Cond kW'!D569*(($C$13-$C$14)-$C$6*($C$17-$C$18)/1000)-'Refrig Mass Flow &amp; Cond kW'!C569*(1-$C$6/($C$10+273))</f>
        <v>0</v>
      </c>
      <c r="F578" s="13"/>
      <c r="G578" s="13">
        <f>'Refrig Mass Flow &amp; Cond kW'!F569*$C$6*($G$19-$G$18)/1000</f>
        <v>0.67715485462579805</v>
      </c>
      <c r="H578">
        <f>'Refrig Mass Flow &amp; Cond kW'!F569*$C$6*($G$17-$G$16)/1000</f>
        <v>4.222259681784239</v>
      </c>
      <c r="I578">
        <f>'Refrig Mass Flow &amp; Cond kW'!F569*(($G$13-$G$14)-$C$6*($G$17-$G$18)/1000)-'Refrig Mass Flow &amp; Cond kW'!E569*(1-$C$6/($G$10+273))</f>
        <v>1.8688146233054326</v>
      </c>
    </row>
    <row r="579" spans="2:9" x14ac:dyDescent="0.2">
      <c r="B579" s="2">
        <v>556</v>
      </c>
      <c r="C579">
        <f>'Refrig Mass Flow &amp; Cond kW'!D570*$C$6*(($C$19-$C$18)/1000)</f>
        <v>0</v>
      </c>
      <c r="D579">
        <f>'Refrig Mass Flow &amp; Cond kW'!D570*Winter!$C$6*((Winter!$C$17-Winter!$C$16)/1000)</f>
        <v>0</v>
      </c>
      <c r="E579">
        <f>'Refrig Mass Flow &amp; Cond kW'!D570*(($C$13-$C$14)-$C$6*($C$17-$C$18)/1000)-'Refrig Mass Flow &amp; Cond kW'!C570*(1-$C$6/($C$10+273))</f>
        <v>0</v>
      </c>
      <c r="F579" s="13"/>
      <c r="G579" s="13">
        <f>'Refrig Mass Flow &amp; Cond kW'!F570*$C$6*($G$19-$G$18)/1000</f>
        <v>0.70179301571785813</v>
      </c>
      <c r="H579">
        <f>'Refrig Mass Flow &amp; Cond kW'!F570*$C$6*($G$17-$G$16)/1000</f>
        <v>4.3758858627111961</v>
      </c>
      <c r="I579">
        <f>'Refrig Mass Flow &amp; Cond kW'!F570*(($G$13-$G$14)-$C$6*($G$17-$G$18)/1000)-'Refrig Mass Flow &amp; Cond kW'!E570*(1-$C$6/($G$10+273))</f>
        <v>1.9368111169075348</v>
      </c>
    </row>
    <row r="580" spans="2:9" x14ac:dyDescent="0.2">
      <c r="B580" s="2">
        <v>557</v>
      </c>
      <c r="C580">
        <f>'Refrig Mass Flow &amp; Cond kW'!D571*$C$6*(($C$19-$C$18)/1000)</f>
        <v>0</v>
      </c>
      <c r="D580">
        <f>'Refrig Mass Flow &amp; Cond kW'!D571*Winter!$C$6*((Winter!$C$17-Winter!$C$16)/1000)</f>
        <v>0</v>
      </c>
      <c r="E580">
        <f>'Refrig Mass Flow &amp; Cond kW'!D571*(($C$13-$C$14)-$C$6*($C$17-$C$18)/1000)-'Refrig Mass Flow &amp; Cond kW'!C571*(1-$C$6/($C$10+273))</f>
        <v>0</v>
      </c>
      <c r="F580" s="13"/>
      <c r="G580" s="13">
        <f>'Refrig Mass Flow &amp; Cond kW'!F571*$C$6*($G$19-$G$18)/1000</f>
        <v>0.72636294486185593</v>
      </c>
      <c r="H580">
        <f>'Refrig Mass Flow &amp; Cond kW'!F571*$C$6*($G$17-$G$16)/1000</f>
        <v>4.5290865973737642</v>
      </c>
      <c r="I580">
        <f>'Refrig Mass Flow &amp; Cond kW'!F571*(($G$13-$G$14)-$C$6*($G$17-$G$18)/1000)-'Refrig Mass Flow &amp; Cond kW'!E571*(1-$C$6/($G$10+273))</f>
        <v>2.0046193037118059</v>
      </c>
    </row>
    <row r="581" spans="2:9" x14ac:dyDescent="0.2">
      <c r="B581" s="2">
        <v>558</v>
      </c>
      <c r="C581">
        <f>'Refrig Mass Flow &amp; Cond kW'!D572*$C$6*(($C$19-$C$18)/1000)</f>
        <v>0</v>
      </c>
      <c r="D581">
        <f>'Refrig Mass Flow &amp; Cond kW'!D572*Winter!$C$6*((Winter!$C$17-Winter!$C$16)/1000)</f>
        <v>0</v>
      </c>
      <c r="E581">
        <f>'Refrig Mass Flow &amp; Cond kW'!D572*(($C$13-$C$14)-$C$6*($C$17-$C$18)/1000)-'Refrig Mass Flow &amp; Cond kW'!C572*(1-$C$6/($C$10+273))</f>
        <v>0</v>
      </c>
      <c r="F581" s="13"/>
      <c r="G581" s="13">
        <f>'Refrig Mass Flow &amp; Cond kW'!F572*$C$6*($G$19-$G$18)/1000</f>
        <v>0.75086240100702539</v>
      </c>
      <c r="H581">
        <f>'Refrig Mass Flow &amp; Cond kW'!F572*$C$6*($G$17-$G$16)/1000</f>
        <v>4.6818479121612873</v>
      </c>
      <c r="I581">
        <f>'Refrig Mass Flow &amp; Cond kW'!F572*(($G$13-$G$14)-$C$6*($G$17-$G$18)/1000)-'Refrig Mass Flow &amp; Cond kW'!E572*(1-$C$6/($G$10+273))</f>
        <v>2.0722329988575368</v>
      </c>
    </row>
    <row r="582" spans="2:9" x14ac:dyDescent="0.2">
      <c r="B582" s="2">
        <v>559</v>
      </c>
      <c r="C582">
        <f>'Refrig Mass Flow &amp; Cond kW'!D573*$C$6*(($C$19-$C$18)/1000)</f>
        <v>0</v>
      </c>
      <c r="D582">
        <f>'Refrig Mass Flow &amp; Cond kW'!D573*Winter!$C$6*((Winter!$C$17-Winter!$C$16)/1000)</f>
        <v>0</v>
      </c>
      <c r="E582">
        <f>'Refrig Mass Flow &amp; Cond kW'!D573*(($C$13-$C$14)-$C$6*($C$17-$C$18)/1000)-'Refrig Mass Flow &amp; Cond kW'!C573*(1-$C$6/($C$10+273))</f>
        <v>0</v>
      </c>
      <c r="F582" s="13"/>
      <c r="G582" s="13">
        <f>'Refrig Mass Flow &amp; Cond kW'!F573*$C$6*($G$19-$G$18)/1000</f>
        <v>0.77558407661418083</v>
      </c>
      <c r="H582">
        <f>'Refrig Mass Flow &amp; Cond kW'!F573*$C$6*($G$17-$G$16)/1000</f>
        <v>4.8359948306529565</v>
      </c>
      <c r="I582">
        <f>'Refrig Mass Flow &amp; Cond kW'!F573*(($G$13-$G$14)-$C$6*($G$17-$G$18)/1000)-'Refrig Mass Flow &amp; Cond kW'!E573*(1-$C$6/($G$10+273))</f>
        <v>2.1404599761459124</v>
      </c>
    </row>
    <row r="583" spans="2:9" x14ac:dyDescent="0.2">
      <c r="B583" s="2">
        <v>560</v>
      </c>
      <c r="C583">
        <f>'Refrig Mass Flow &amp; Cond kW'!D574*$C$6*(($C$19-$C$18)/1000)</f>
        <v>0</v>
      </c>
      <c r="D583">
        <f>'Refrig Mass Flow &amp; Cond kW'!D574*Winter!$C$6*((Winter!$C$17-Winter!$C$16)/1000)</f>
        <v>0</v>
      </c>
      <c r="E583">
        <f>'Refrig Mass Flow &amp; Cond kW'!D574*(($C$13-$C$14)-$C$6*($C$17-$C$18)/1000)-'Refrig Mass Flow &amp; Cond kW'!C574*(1-$C$6/($C$10+273))</f>
        <v>0</v>
      </c>
      <c r="F583" s="13"/>
      <c r="G583" s="13">
        <f>'Refrig Mass Flow &amp; Cond kW'!F574*$C$6*($G$19-$G$18)/1000</f>
        <v>0.80039450709568816</v>
      </c>
      <c r="H583">
        <f>'Refrig Mass Flow &amp; Cond kW'!F574*$C$6*($G$17-$G$16)/1000</f>
        <v>4.990695161890585</v>
      </c>
      <c r="I583">
        <f>'Refrig Mass Flow &amp; Cond kW'!F574*(($G$13-$G$14)-$C$6*($G$17-$G$18)/1000)-'Refrig Mass Flow &amp; Cond kW'!E574*(1-$C$6/($G$10+273))</f>
        <v>2.208931899484579</v>
      </c>
    </row>
    <row r="584" spans="2:9" x14ac:dyDescent="0.2">
      <c r="B584" s="2">
        <v>561</v>
      </c>
      <c r="C584">
        <f>'Refrig Mass Flow &amp; Cond kW'!D575*$C$6*(($C$19-$C$18)/1000)</f>
        <v>0</v>
      </c>
      <c r="D584">
        <f>'Refrig Mass Flow &amp; Cond kW'!D575*Winter!$C$6*((Winter!$C$17-Winter!$C$16)/1000)</f>
        <v>0</v>
      </c>
      <c r="E584">
        <f>'Refrig Mass Flow &amp; Cond kW'!D575*(($C$13-$C$14)-$C$6*($C$17-$C$18)/1000)-'Refrig Mass Flow &amp; Cond kW'!C575*(1-$C$6/($C$10+273))</f>
        <v>0</v>
      </c>
      <c r="F584" s="13"/>
      <c r="G584" s="13">
        <f>'Refrig Mass Flow &amp; Cond kW'!F575*$C$6*($G$19-$G$18)/1000</f>
        <v>0.82524726478618449</v>
      </c>
      <c r="H584">
        <f>'Refrig Mass Flow &amp; Cond kW'!F575*$C$6*($G$17-$G$16)/1000</f>
        <v>5.1456594157254392</v>
      </c>
      <c r="I584">
        <f>'Refrig Mass Flow &amp; Cond kW'!F575*(($G$13-$G$14)-$C$6*($G$17-$G$18)/1000)-'Refrig Mass Flow &amp; Cond kW'!E575*(1-$C$6/($G$10+273))</f>
        <v>2.2775206376206043</v>
      </c>
    </row>
    <row r="585" spans="2:9" x14ac:dyDescent="0.2">
      <c r="B585" s="2">
        <v>562</v>
      </c>
      <c r="C585">
        <f>'Refrig Mass Flow &amp; Cond kW'!D576*$C$6*(($C$19-$C$18)/1000)</f>
        <v>0</v>
      </c>
      <c r="D585">
        <f>'Refrig Mass Flow &amp; Cond kW'!D576*Winter!$C$6*((Winter!$C$17-Winter!$C$16)/1000)</f>
        <v>0</v>
      </c>
      <c r="E585">
        <f>'Refrig Mass Flow &amp; Cond kW'!D576*(($C$13-$C$14)-$C$6*($C$17-$C$18)/1000)-'Refrig Mass Flow &amp; Cond kW'!C576*(1-$C$6/($C$10+273))</f>
        <v>0</v>
      </c>
      <c r="F585" s="13"/>
      <c r="G585" s="13">
        <f>'Refrig Mass Flow &amp; Cond kW'!F576*$C$6*($G$19-$G$18)/1000</f>
        <v>0.84979477558514782</v>
      </c>
      <c r="H585">
        <f>'Refrig Mass Flow &amp; Cond kW'!F576*$C$6*($G$17-$G$16)/1000</f>
        <v>5.2987203654130868</v>
      </c>
      <c r="I585">
        <f>'Refrig Mass Flow &amp; Cond kW'!F576*(($G$13-$G$14)-$C$6*($G$17-$G$18)/1000)-'Refrig Mass Flow &amp; Cond kW'!E576*(1-$C$6/($G$10+273))</f>
        <v>2.3452669541883289</v>
      </c>
    </row>
    <row r="586" spans="2:9" x14ac:dyDescent="0.2">
      <c r="B586" s="2">
        <v>563</v>
      </c>
      <c r="C586">
        <f>'Refrig Mass Flow &amp; Cond kW'!D577*$C$6*(($C$19-$C$18)/1000)</f>
        <v>0</v>
      </c>
      <c r="D586">
        <f>'Refrig Mass Flow &amp; Cond kW'!D577*Winter!$C$6*((Winter!$C$17-Winter!$C$16)/1000)</f>
        <v>0</v>
      </c>
      <c r="E586">
        <f>'Refrig Mass Flow &amp; Cond kW'!D577*(($C$13-$C$14)-$C$6*($C$17-$C$18)/1000)-'Refrig Mass Flow &amp; Cond kW'!C577*(1-$C$6/($C$10+273))</f>
        <v>0</v>
      </c>
      <c r="F586" s="13"/>
      <c r="G586" s="13">
        <f>'Refrig Mass Flow &amp; Cond kW'!F577*$C$6*($G$19-$G$18)/1000</f>
        <v>0.87417108303238111</v>
      </c>
      <c r="H586">
        <f>'Refrig Mass Flow &amp; Cond kW'!F577*$C$6*($G$17-$G$16)/1000</f>
        <v>5.4507138118487726</v>
      </c>
      <c r="I586">
        <f>'Refrig Mass Flow &amp; Cond kW'!F577*(($G$13-$G$14)-$C$6*($G$17-$G$18)/1000)-'Refrig Mass Flow &amp; Cond kW'!E577*(1-$C$6/($G$10+273))</f>
        <v>2.412540783074558</v>
      </c>
    </row>
    <row r="587" spans="2:9" x14ac:dyDescent="0.2">
      <c r="B587" s="2">
        <v>564</v>
      </c>
      <c r="C587">
        <f>'Refrig Mass Flow &amp; Cond kW'!D578*$C$6*(($C$19-$C$18)/1000)</f>
        <v>0</v>
      </c>
      <c r="D587">
        <f>'Refrig Mass Flow &amp; Cond kW'!D578*Winter!$C$6*((Winter!$C$17-Winter!$C$16)/1000)</f>
        <v>0</v>
      </c>
      <c r="E587">
        <f>'Refrig Mass Flow &amp; Cond kW'!D578*(($C$13-$C$14)-$C$6*($C$17-$C$18)/1000)-'Refrig Mass Flow &amp; Cond kW'!C578*(1-$C$6/($C$10+273))</f>
        <v>0</v>
      </c>
      <c r="F587" s="13"/>
      <c r="G587" s="13">
        <f>'Refrig Mass Flow &amp; Cond kW'!F578*$C$6*($G$19-$G$18)/1000</f>
        <v>0.8983460602549026</v>
      </c>
      <c r="H587">
        <f>'Refrig Mass Flow &amp; Cond kW'!F578*$C$6*($G$17-$G$16)/1000</f>
        <v>5.6014519051186058</v>
      </c>
      <c r="I587">
        <f>'Refrig Mass Flow &amp; Cond kW'!F578*(($G$13-$G$14)-$C$6*($G$17-$G$18)/1000)-'Refrig Mass Flow &amp; Cond kW'!E578*(1-$C$6/($G$10+273))</f>
        <v>2.4792589800171072</v>
      </c>
    </row>
    <row r="588" spans="2:9" x14ac:dyDescent="0.2">
      <c r="B588" s="2">
        <v>565</v>
      </c>
      <c r="C588">
        <f>'Refrig Mass Flow &amp; Cond kW'!D579*$C$6*(($C$19-$C$18)/1000)</f>
        <v>0</v>
      </c>
      <c r="D588">
        <f>'Refrig Mass Flow &amp; Cond kW'!D579*Winter!$C$6*((Winter!$C$17-Winter!$C$16)/1000)</f>
        <v>0</v>
      </c>
      <c r="E588">
        <f>'Refrig Mass Flow &amp; Cond kW'!D579*(($C$13-$C$14)-$C$6*($C$17-$C$18)/1000)-'Refrig Mass Flow &amp; Cond kW'!C579*(1-$C$6/($C$10+273))</f>
        <v>0</v>
      </c>
      <c r="F588" s="13"/>
      <c r="G588" s="13">
        <f>'Refrig Mass Flow &amp; Cond kW'!F579*$C$6*($G$19-$G$18)/1000</f>
        <v>0.92228960765619972</v>
      </c>
      <c r="H588">
        <f>'Refrig Mass Flow &amp; Cond kW'!F579*$C$6*($G$17-$G$16)/1000</f>
        <v>5.7507469653855123</v>
      </c>
      <c r="I588">
        <f>'Refrig Mass Flow &amp; Cond kW'!F579*(($G$13-$G$14)-$C$6*($G$17-$G$18)/1000)-'Refrig Mass Flow &amp; Cond kW'!E579*(1-$C$6/($G$10+273))</f>
        <v>2.5453384760314677</v>
      </c>
    </row>
    <row r="589" spans="2:9" x14ac:dyDescent="0.2">
      <c r="B589" s="2">
        <v>566</v>
      </c>
      <c r="C589">
        <f>'Refrig Mass Flow &amp; Cond kW'!D580*$C$6*(($C$19-$C$18)/1000)</f>
        <v>0</v>
      </c>
      <c r="D589">
        <f>'Refrig Mass Flow &amp; Cond kW'!D580*Winter!$C$6*((Winter!$C$17-Winter!$C$16)/1000)</f>
        <v>0</v>
      </c>
      <c r="E589">
        <f>'Refrig Mass Flow &amp; Cond kW'!D580*(($C$13-$C$14)-$C$6*($C$17-$C$18)/1000)-'Refrig Mass Flow &amp; Cond kW'!C580*(1-$C$6/($C$10+273))</f>
        <v>0</v>
      </c>
      <c r="F589" s="13"/>
      <c r="G589" s="13">
        <f>'Refrig Mass Flow &amp; Cond kW'!F580*$C$6*($G$19-$G$18)/1000</f>
        <v>0.94597165565710173</v>
      </c>
      <c r="H589">
        <f>'Refrig Mass Flow &amp; Cond kW'!F580*$C$6*($G$17-$G$16)/1000</f>
        <v>5.8984114999793675</v>
      </c>
      <c r="I589">
        <f>'Refrig Mass Flow &amp; Cond kW'!F580*(($G$13-$G$14)-$C$6*($G$17-$G$18)/1000)-'Refrig Mass Flow &amp; Cond kW'!E580*(1-$C$6/($G$10+273))</f>
        <v>2.610696284975127</v>
      </c>
    </row>
    <row r="590" spans="2:9" x14ac:dyDescent="0.2">
      <c r="B590" s="2">
        <v>567</v>
      </c>
      <c r="C590">
        <f>'Refrig Mass Flow &amp; Cond kW'!D581*$C$6*(($C$19-$C$18)/1000)</f>
        <v>0</v>
      </c>
      <c r="D590">
        <f>'Refrig Mass Flow &amp; Cond kW'!D581*Winter!$C$6*((Winter!$C$17-Winter!$C$16)/1000)</f>
        <v>0</v>
      </c>
      <c r="E590">
        <f>'Refrig Mass Flow &amp; Cond kW'!D581*(($C$13-$C$14)-$C$6*($C$17-$C$18)/1000)-'Refrig Mass Flow &amp; Cond kW'!C581*(1-$C$6/($C$10+273))</f>
        <v>0</v>
      </c>
      <c r="F590" s="13"/>
      <c r="G590" s="13">
        <f>'Refrig Mass Flow &amp; Cond kW'!F581*$C$6*($G$19-$G$18)/1000</f>
        <v>0.9693621674334808</v>
      </c>
      <c r="H590">
        <f>'Refrig Mass Flow &amp; Cond kW'!F581*$C$6*($G$17-$G$16)/1000</f>
        <v>6.0442582204673725</v>
      </c>
      <c r="I590">
        <f>'Refrig Mass Flow &amp; Cond kW'!F581*(($G$13-$G$14)-$C$6*($G$17-$G$18)/1000)-'Refrig Mass Flow &amp; Cond kW'!E581*(1-$C$6/($G$10+273))</f>
        <v>2.6752495111030754</v>
      </c>
    </row>
    <row r="591" spans="2:9" x14ac:dyDescent="0.2">
      <c r="B591" s="2">
        <v>568</v>
      </c>
      <c r="C591">
        <f>'Refrig Mass Flow &amp; Cond kW'!D582*$C$6*(($C$19-$C$18)/1000)</f>
        <v>0</v>
      </c>
      <c r="D591">
        <f>'Refrig Mass Flow &amp; Cond kW'!D582*Winter!$C$6*((Winter!$C$17-Winter!$C$16)/1000)</f>
        <v>0</v>
      </c>
      <c r="E591">
        <f>'Refrig Mass Flow &amp; Cond kW'!D582*(($C$13-$C$14)-$C$6*($C$17-$C$18)/1000)-'Refrig Mass Flow &amp; Cond kW'!C582*(1-$C$6/($C$10+273))</f>
        <v>0</v>
      </c>
      <c r="F591" s="13"/>
      <c r="G591" s="13">
        <f>'Refrig Mass Flow &amp; Cond kW'!F582*$C$6*($G$19-$G$18)/1000</f>
        <v>0.99277716165651553</v>
      </c>
      <c r="H591">
        <f>'Refrig Mass Flow &amp; Cond kW'!F582*$C$6*($G$17-$G$16)/1000</f>
        <v>6.190257596210996</v>
      </c>
      <c r="I591">
        <f>'Refrig Mass Flow &amp; Cond kW'!F582*(($G$13-$G$14)-$C$6*($G$17-$G$18)/1000)-'Refrig Mass Flow &amp; Cond kW'!E582*(1-$C$6/($G$10+273))</f>
        <v>2.7398703039833023</v>
      </c>
    </row>
    <row r="592" spans="2:9" x14ac:dyDescent="0.2">
      <c r="B592" s="2">
        <v>569</v>
      </c>
      <c r="C592">
        <f>'Refrig Mass Flow &amp; Cond kW'!D583*$C$6*(($C$19-$C$18)/1000)</f>
        <v>0</v>
      </c>
      <c r="D592">
        <f>'Refrig Mass Flow &amp; Cond kW'!D583*Winter!$C$6*((Winter!$C$17-Winter!$C$16)/1000)</f>
        <v>0</v>
      </c>
      <c r="E592">
        <f>'Refrig Mass Flow &amp; Cond kW'!D583*(($C$13-$C$14)-$C$6*($C$17-$C$18)/1000)-'Refrig Mass Flow &amp; Cond kW'!C583*(1-$C$6/($C$10+273))</f>
        <v>0</v>
      </c>
      <c r="F592" s="13"/>
      <c r="G592" s="13">
        <f>'Refrig Mass Flow &amp; Cond kW'!F583*$C$6*($G$19-$G$18)/1000</f>
        <v>1.0160809246098945</v>
      </c>
      <c r="H592">
        <f>'Refrig Mass Flow &amp; Cond kW'!F583*$C$6*($G$17-$G$16)/1000</f>
        <v>6.3355634122732374</v>
      </c>
      <c r="I592">
        <f>'Refrig Mass Flow &amp; Cond kW'!F583*(($G$13-$G$14)-$C$6*($G$17-$G$18)/1000)-'Refrig Mass Flow &amp; Cond kW'!E583*(1-$C$6/($G$10+273))</f>
        <v>2.8041841203693494</v>
      </c>
    </row>
    <row r="593" spans="2:9" x14ac:dyDescent="0.2">
      <c r="B593" s="2">
        <v>570</v>
      </c>
      <c r="C593">
        <f>'Refrig Mass Flow &amp; Cond kW'!D584*$C$6*(($C$19-$C$18)/1000)</f>
        <v>0</v>
      </c>
      <c r="D593">
        <f>'Refrig Mass Flow &amp; Cond kW'!D584*Winter!$C$6*((Winter!$C$17-Winter!$C$16)/1000)</f>
        <v>0</v>
      </c>
      <c r="E593">
        <f>'Refrig Mass Flow &amp; Cond kW'!D584*(($C$13-$C$14)-$C$6*($C$17-$C$18)/1000)-'Refrig Mass Flow &amp; Cond kW'!C584*(1-$C$6/($C$10+273))</f>
        <v>0</v>
      </c>
      <c r="F593" s="13"/>
      <c r="G593" s="13">
        <f>'Refrig Mass Flow &amp; Cond kW'!F584*$C$6*($G$19-$G$18)/1000</f>
        <v>1.0391806514802886</v>
      </c>
      <c r="H593">
        <f>'Refrig Mass Flow &amp; Cond kW'!F584*$C$6*($G$17-$G$16)/1000</f>
        <v>6.479597003347453</v>
      </c>
      <c r="I593">
        <f>'Refrig Mass Flow &amp; Cond kW'!F584*(($G$13-$G$14)-$C$6*($G$17-$G$18)/1000)-'Refrig Mass Flow &amp; Cond kW'!E584*(1-$C$6/($G$10+273))</f>
        <v>2.8679348371734221</v>
      </c>
    </row>
    <row r="594" spans="2:9" x14ac:dyDescent="0.2">
      <c r="B594" s="2">
        <v>571</v>
      </c>
      <c r="C594">
        <f>'Refrig Mass Flow &amp; Cond kW'!D585*$C$6*(($C$19-$C$18)/1000)</f>
        <v>0</v>
      </c>
      <c r="D594">
        <f>'Refrig Mass Flow &amp; Cond kW'!D585*Winter!$C$6*((Winter!$C$17-Winter!$C$16)/1000)</f>
        <v>0</v>
      </c>
      <c r="E594">
        <f>'Refrig Mass Flow &amp; Cond kW'!D585*(($C$13-$C$14)-$C$6*($C$17-$C$18)/1000)-'Refrig Mass Flow &amp; Cond kW'!C585*(1-$C$6/($C$10+273))</f>
        <v>0</v>
      </c>
      <c r="F594" s="13"/>
      <c r="G594" s="13">
        <f>'Refrig Mass Flow &amp; Cond kW'!F585*$C$6*($G$19-$G$18)/1000</f>
        <v>1.0620079906017712</v>
      </c>
      <c r="H594">
        <f>'Refrig Mass Flow &amp; Cond kW'!F585*$C$6*($G$17-$G$16)/1000</f>
        <v>6.6219321766931634</v>
      </c>
      <c r="I594">
        <f>'Refrig Mass Flow &amp; Cond kW'!F585*(($G$13-$G$14)-$C$6*($G$17-$G$18)/1000)-'Refrig Mass Flow &amp; Cond kW'!E585*(1-$C$6/($G$10+273))</f>
        <v>2.9309338171998647</v>
      </c>
    </row>
    <row r="595" spans="2:9" x14ac:dyDescent="0.2">
      <c r="B595" s="2">
        <v>572</v>
      </c>
      <c r="C595">
        <f>'Refrig Mass Flow &amp; Cond kW'!D586*$C$6*(($C$19-$C$18)/1000)</f>
        <v>0</v>
      </c>
      <c r="D595">
        <f>'Refrig Mass Flow &amp; Cond kW'!D586*Winter!$C$6*((Winter!$C$17-Winter!$C$16)/1000)</f>
        <v>0</v>
      </c>
      <c r="E595">
        <f>'Refrig Mass Flow &amp; Cond kW'!D586*(($C$13-$C$14)-$C$6*($C$17-$C$18)/1000)-'Refrig Mass Flow &amp; Cond kW'!C586*(1-$C$6/($C$10+273))</f>
        <v>0</v>
      </c>
      <c r="F595" s="13"/>
      <c r="G595" s="13">
        <f>'Refrig Mass Flow &amp; Cond kW'!F586*$C$6*($G$19-$G$18)/1000</f>
        <v>1.084542591361668</v>
      </c>
      <c r="H595">
        <f>'Refrig Mass Flow &amp; Cond kW'!F586*$C$6*($G$17-$G$16)/1000</f>
        <v>6.7624420402548671</v>
      </c>
      <c r="I595">
        <f>'Refrig Mass Flow &amp; Cond kW'!F586*(($G$13-$G$14)-$C$6*($G$17-$G$18)/1000)-'Refrig Mass Flow &amp; Cond kW'!E586*(1-$C$6/($G$10+273))</f>
        <v>2.9931248967480073</v>
      </c>
    </row>
    <row r="596" spans="2:9" x14ac:dyDescent="0.2">
      <c r="B596" s="2">
        <v>573</v>
      </c>
      <c r="C596">
        <f>'Refrig Mass Flow &amp; Cond kW'!D587*$C$6*(($C$19-$C$18)/1000)</f>
        <v>0</v>
      </c>
      <c r="D596">
        <f>'Refrig Mass Flow &amp; Cond kW'!D587*Winter!$C$6*((Winter!$C$17-Winter!$C$16)/1000)</f>
        <v>0</v>
      </c>
      <c r="E596">
        <f>'Refrig Mass Flow &amp; Cond kW'!D587*(($C$13-$C$14)-$C$6*($C$17-$C$18)/1000)-'Refrig Mass Flow &amp; Cond kW'!C587*(1-$C$6/($C$10+273))</f>
        <v>0</v>
      </c>
      <c r="F596" s="13"/>
      <c r="G596" s="13">
        <f>'Refrig Mass Flow &amp; Cond kW'!F587*$C$6*($G$19-$G$18)/1000</f>
        <v>1.1067899518143554</v>
      </c>
      <c r="H596">
        <f>'Refrig Mass Flow &amp; Cond kW'!F587*$C$6*($G$17-$G$16)/1000</f>
        <v>6.9011608760186789</v>
      </c>
      <c r="I596">
        <f>'Refrig Mass Flow &amp; Cond kW'!F587*(($G$13-$G$14)-$C$6*($G$17-$G$18)/1000)-'Refrig Mass Flow &amp; Cond kW'!E587*(1-$C$6/($G$10+273))</f>
        <v>3.0545232493698862</v>
      </c>
    </row>
    <row r="597" spans="2:9" x14ac:dyDescent="0.2">
      <c r="B597" s="2">
        <v>574</v>
      </c>
      <c r="C597">
        <f>'Refrig Mass Flow &amp; Cond kW'!D588*$C$6*(($C$19-$C$18)/1000)</f>
        <v>0</v>
      </c>
      <c r="D597">
        <f>'Refrig Mass Flow &amp; Cond kW'!D588*Winter!$C$6*((Winter!$C$17-Winter!$C$16)/1000)</f>
        <v>0</v>
      </c>
      <c r="E597">
        <f>'Refrig Mass Flow &amp; Cond kW'!D588*(($C$13-$C$14)-$C$6*($C$17-$C$18)/1000)-'Refrig Mass Flow &amp; Cond kW'!C588*(1-$C$6/($C$10+273))</f>
        <v>0</v>
      </c>
      <c r="F597" s="13"/>
      <c r="G597" s="13">
        <f>'Refrig Mass Flow &amp; Cond kW'!F588*$C$6*($G$19-$G$18)/1000</f>
        <v>1.128828548338316</v>
      </c>
      <c r="H597">
        <f>'Refrig Mass Flow &amp; Cond kW'!F588*$C$6*($G$17-$G$16)/1000</f>
        <v>7.0385780072857225</v>
      </c>
      <c r="I597">
        <f>'Refrig Mass Flow &amp; Cond kW'!F588*(($G$13-$G$14)-$C$6*($G$17-$G$18)/1000)-'Refrig Mass Flow &amp; Cond kW'!E588*(1-$C$6/($G$10+273))</f>
        <v>3.1153454544825792</v>
      </c>
    </row>
    <row r="598" spans="2:9" x14ac:dyDescent="0.2">
      <c r="B598" s="2">
        <v>575</v>
      </c>
      <c r="C598">
        <f>'Refrig Mass Flow &amp; Cond kW'!D589*$C$6*(($C$19-$C$18)/1000)</f>
        <v>0</v>
      </c>
      <c r="D598">
        <f>'Refrig Mass Flow &amp; Cond kW'!D589*Winter!$C$6*((Winter!$C$17-Winter!$C$16)/1000)</f>
        <v>0</v>
      </c>
      <c r="E598">
        <f>'Refrig Mass Flow &amp; Cond kW'!D589*(($C$13-$C$14)-$C$6*($C$17-$C$18)/1000)-'Refrig Mass Flow &amp; Cond kW'!C589*(1-$C$6/($C$10+273))</f>
        <v>0</v>
      </c>
      <c r="F598" s="13"/>
      <c r="G598" s="13">
        <f>'Refrig Mass Flow &amp; Cond kW'!F589*$C$6*($G$19-$G$18)/1000</f>
        <v>1.150836912726604</v>
      </c>
      <c r="H598">
        <f>'Refrig Mass Flow &amp; Cond kW'!F589*$C$6*($G$17-$G$16)/1000</f>
        <v>7.1758066322950418</v>
      </c>
      <c r="I598">
        <f>'Refrig Mass Flow &amp; Cond kW'!F589*(($G$13-$G$14)-$C$6*($G$17-$G$18)/1000)-'Refrig Mass Flow &amp; Cond kW'!E589*(1-$C$6/($G$10+273))</f>
        <v>3.1760842248286778</v>
      </c>
    </row>
    <row r="599" spans="2:9" x14ac:dyDescent="0.2">
      <c r="B599" s="2">
        <v>576</v>
      </c>
      <c r="C599">
        <f>'Refrig Mass Flow &amp; Cond kW'!D590*$C$6*(($C$19-$C$18)/1000)</f>
        <v>0</v>
      </c>
      <c r="D599">
        <f>'Refrig Mass Flow &amp; Cond kW'!D590*Winter!$C$6*((Winter!$C$17-Winter!$C$16)/1000)</f>
        <v>0</v>
      </c>
      <c r="E599">
        <f>'Refrig Mass Flow &amp; Cond kW'!D590*(($C$13-$C$14)-$C$6*($C$17-$C$18)/1000)-'Refrig Mass Flow &amp; Cond kW'!C590*(1-$C$6/($C$10+273))</f>
        <v>0</v>
      </c>
      <c r="F599" s="13"/>
      <c r="G599" s="13">
        <f>'Refrig Mass Flow &amp; Cond kW'!F590*$C$6*($G$19-$G$18)/1000</f>
        <v>1.1726105227426802</v>
      </c>
      <c r="H599">
        <f>'Refrig Mass Flow &amp; Cond kW'!F590*$C$6*($G$17-$G$16)/1000</f>
        <v>7.3115714947482173</v>
      </c>
      <c r="I599">
        <f>'Refrig Mass Flow &amp; Cond kW'!F590*(($G$13-$G$14)-$C$6*($G$17-$G$18)/1000)-'Refrig Mass Flow &amp; Cond kW'!E590*(1-$C$6/($G$10+273))</f>
        <v>3.236175119137755</v>
      </c>
    </row>
    <row r="600" spans="2:9" x14ac:dyDescent="0.2">
      <c r="B600" s="2">
        <v>577</v>
      </c>
      <c r="C600">
        <f>'Refrig Mass Flow &amp; Cond kW'!D591*$C$6*(($C$19-$C$18)/1000)</f>
        <v>0</v>
      </c>
      <c r="D600">
        <f>'Refrig Mass Flow &amp; Cond kW'!D591*Winter!$C$6*((Winter!$C$17-Winter!$C$16)/1000)</f>
        <v>0</v>
      </c>
      <c r="E600">
        <f>'Refrig Mass Flow &amp; Cond kW'!D591*(($C$13-$C$14)-$C$6*($C$17-$C$18)/1000)-'Refrig Mass Flow &amp; Cond kW'!C591*(1-$C$6/($C$10+273))</f>
        <v>0</v>
      </c>
      <c r="F600" s="13"/>
      <c r="G600" s="13">
        <f>'Refrig Mass Flow &amp; Cond kW'!F591*$C$6*($G$19-$G$18)/1000</f>
        <v>1.1943711407157078</v>
      </c>
      <c r="H600">
        <f>'Refrig Mass Flow &amp; Cond kW'!F591*$C$6*($G$17-$G$16)/1000</f>
        <v>7.4472553479917973</v>
      </c>
      <c r="I600">
        <f>'Refrig Mass Flow &amp; Cond kW'!F591*(($G$13-$G$14)-$C$6*($G$17-$G$18)/1000)-'Refrig Mass Flow &amp; Cond kW'!E591*(1-$C$6/($G$10+273))</f>
        <v>3.2962301579554705</v>
      </c>
    </row>
    <row r="601" spans="2:9" x14ac:dyDescent="0.2">
      <c r="B601" s="2">
        <v>578</v>
      </c>
      <c r="C601">
        <f>'Refrig Mass Flow &amp; Cond kW'!D592*$C$6*(($C$19-$C$18)/1000)</f>
        <v>0</v>
      </c>
      <c r="D601">
        <f>'Refrig Mass Flow &amp; Cond kW'!D592*Winter!$C$6*((Winter!$C$17-Winter!$C$16)/1000)</f>
        <v>0</v>
      </c>
      <c r="E601">
        <f>'Refrig Mass Flow &amp; Cond kW'!D592*(($C$13-$C$14)-$C$6*($C$17-$C$18)/1000)-'Refrig Mass Flow &amp; Cond kW'!C592*(1-$C$6/($C$10+273))</f>
        <v>0</v>
      </c>
      <c r="F601" s="13"/>
      <c r="G601" s="13">
        <f>'Refrig Mass Flow &amp; Cond kW'!F592*$C$6*($G$19-$G$18)/1000</f>
        <v>1.2160219923339017</v>
      </c>
      <c r="H601">
        <f>'Refrig Mass Flow &amp; Cond kW'!F592*$C$6*($G$17-$G$16)/1000</f>
        <v>7.5822547757287673</v>
      </c>
      <c r="I601">
        <f>'Refrig Mass Flow &amp; Cond kW'!F592*(($G$13-$G$14)-$C$6*($G$17-$G$18)/1000)-'Refrig Mass Flow &amp; Cond kW'!E592*(1-$C$6/($G$10+273))</f>
        <v>3.3559822631566547</v>
      </c>
    </row>
    <row r="602" spans="2:9" x14ac:dyDescent="0.2">
      <c r="B602" s="2">
        <v>579</v>
      </c>
      <c r="C602">
        <f>'Refrig Mass Flow &amp; Cond kW'!D593*$C$6*(($C$19-$C$18)/1000)</f>
        <v>0</v>
      </c>
      <c r="D602">
        <f>'Refrig Mass Flow &amp; Cond kW'!D593*Winter!$C$6*((Winter!$C$17-Winter!$C$16)/1000)</f>
        <v>0</v>
      </c>
      <c r="E602">
        <f>'Refrig Mass Flow &amp; Cond kW'!D593*(($C$13-$C$14)-$C$6*($C$17-$C$18)/1000)-'Refrig Mass Flow &amp; Cond kW'!C593*(1-$C$6/($C$10+273))</f>
        <v>0</v>
      </c>
      <c r="F602" s="13"/>
      <c r="G602" s="13">
        <f>'Refrig Mass Flow &amp; Cond kW'!F593*$C$6*($G$19-$G$18)/1000</f>
        <v>1.2375579561323138</v>
      </c>
      <c r="H602">
        <f>'Refrig Mass Flow &amp; Cond kW'!F593*$C$6*($G$17-$G$16)/1000</f>
        <v>7.7165378441188608</v>
      </c>
      <c r="I602">
        <f>'Refrig Mass Flow &amp; Cond kW'!F593*(($G$13-$G$14)-$C$6*($G$17-$G$18)/1000)-'Refrig Mass Flow &amp; Cond kW'!E593*(1-$C$6/($G$10+273))</f>
        <v>3.4154173005022699</v>
      </c>
    </row>
    <row r="603" spans="2:9" x14ac:dyDescent="0.2">
      <c r="B603" s="2">
        <v>580</v>
      </c>
      <c r="C603">
        <f>'Refrig Mass Flow &amp; Cond kW'!D594*$C$6*(($C$19-$C$18)/1000)</f>
        <v>0</v>
      </c>
      <c r="D603">
        <f>'Refrig Mass Flow &amp; Cond kW'!D594*Winter!$C$6*((Winter!$C$17-Winter!$C$16)/1000)</f>
        <v>0</v>
      </c>
      <c r="E603">
        <f>'Refrig Mass Flow &amp; Cond kW'!D594*(($C$13-$C$14)-$C$6*($C$17-$C$18)/1000)-'Refrig Mass Flow &amp; Cond kW'!C594*(1-$C$6/($C$10+273))</f>
        <v>0</v>
      </c>
      <c r="F603" s="13"/>
      <c r="G603" s="13">
        <f>'Refrig Mass Flow &amp; Cond kW'!F594*$C$6*($G$19-$G$18)/1000</f>
        <v>1.258977076535557</v>
      </c>
      <c r="H603">
        <f>'Refrig Mass Flow &amp; Cond kW'!F594*$C$6*($G$17-$G$16)/1000</f>
        <v>7.8500923595743712</v>
      </c>
      <c r="I603">
        <f>'Refrig Mass Flow &amp; Cond kW'!F594*(($G$13-$G$14)-$C$6*($G$17-$G$18)/1000)-'Refrig Mass Flow &amp; Cond kW'!E594*(1-$C$6/($G$10+273))</f>
        <v>3.474529872987695</v>
      </c>
    </row>
    <row r="604" spans="2:9" x14ac:dyDescent="0.2">
      <c r="B604" s="2">
        <v>581</v>
      </c>
      <c r="C604">
        <f>'Refrig Mass Flow &amp; Cond kW'!D595*$C$6*(($C$19-$C$18)/1000)</f>
        <v>0</v>
      </c>
      <c r="D604">
        <f>'Refrig Mass Flow &amp; Cond kW'!D595*Winter!$C$6*((Winter!$C$17-Winter!$C$16)/1000)</f>
        <v>0</v>
      </c>
      <c r="E604">
        <f>'Refrig Mass Flow &amp; Cond kW'!D595*(($C$13-$C$14)-$C$6*($C$17-$C$18)/1000)-'Refrig Mass Flow &amp; Cond kW'!C595*(1-$C$6/($C$10+273))</f>
        <v>0</v>
      </c>
      <c r="F604" s="13"/>
      <c r="G604" s="13">
        <f>'Refrig Mass Flow &amp; Cond kW'!F595*$C$6*($G$19-$G$18)/1000</f>
        <v>1.2802774089876132</v>
      </c>
      <c r="H604">
        <f>'Refrig Mass Flow &amp; Cond kW'!F595*$C$6*($G$17-$G$16)/1000</f>
        <v>7.9829061972166002</v>
      </c>
      <c r="I604">
        <f>'Refrig Mass Flow &amp; Cond kW'!F595*(($G$13-$G$14)-$C$6*($G$17-$G$18)/1000)-'Refrig Mass Flow &amp; Cond kW'!E595*(1-$C$6/($G$10+273))</f>
        <v>3.533314614019595</v>
      </c>
    </row>
    <row r="605" spans="2:9" x14ac:dyDescent="0.2">
      <c r="B605" s="2">
        <v>582</v>
      </c>
      <c r="C605">
        <f>'Refrig Mass Flow &amp; Cond kW'!D596*$C$6*(($C$19-$C$18)/1000)</f>
        <v>0</v>
      </c>
      <c r="D605">
        <f>'Refrig Mass Flow &amp; Cond kW'!D596*Winter!$C$6*((Winter!$C$17-Winter!$C$16)/1000)</f>
        <v>0</v>
      </c>
      <c r="E605">
        <f>'Refrig Mass Flow &amp; Cond kW'!D596*(($C$13-$C$14)-$C$6*($C$17-$C$18)/1000)-'Refrig Mass Flow &amp; Cond kW'!C596*(1-$C$6/($C$10+273))</f>
        <v>0</v>
      </c>
      <c r="F605" s="13"/>
      <c r="G605" s="13">
        <f>'Refrig Mass Flow &amp; Cond kW'!F596*$C$6*($G$19-$G$18)/1000</f>
        <v>1.3014570201283073</v>
      </c>
      <c r="H605">
        <f>'Refrig Mass Flow &amp; Cond kW'!F596*$C$6*($G$17-$G$16)/1000</f>
        <v>8.1149673019762183</v>
      </c>
      <c r="I605">
        <f>'Refrig Mass Flow &amp; Cond kW'!F596*(($G$13-$G$14)-$C$6*($G$17-$G$18)/1000)-'Refrig Mass Flow &amp; Cond kW'!E596*(1-$C$6/($G$10+273))</f>
        <v>3.5917661879029765</v>
      </c>
    </row>
    <row r="606" spans="2:9" x14ac:dyDescent="0.2">
      <c r="B606" s="2">
        <v>583</v>
      </c>
      <c r="C606">
        <f>'Refrig Mass Flow &amp; Cond kW'!D597*$C$6*(($C$19-$C$18)/1000)</f>
        <v>0</v>
      </c>
      <c r="D606">
        <f>'Refrig Mass Flow &amp; Cond kW'!D597*Winter!$C$6*((Winter!$C$17-Winter!$C$16)/1000)</f>
        <v>0</v>
      </c>
      <c r="E606">
        <f>'Refrig Mass Flow &amp; Cond kW'!D597*(($C$13-$C$14)-$C$6*($C$17-$C$18)/1000)-'Refrig Mass Flow &amp; Cond kW'!C597*(1-$C$6/($C$10+273))</f>
        <v>0</v>
      </c>
      <c r="F606" s="13"/>
      <c r="G606" s="13">
        <f>'Refrig Mass Flow &amp; Cond kW'!F597*$C$6*($G$19-$G$18)/1000</f>
        <v>1.3228169944807471</v>
      </c>
      <c r="H606">
        <f>'Refrig Mass Flow &amp; Cond kW'!F597*$C$6*($G$17-$G$16)/1000</f>
        <v>8.2481530244090742</v>
      </c>
      <c r="I606">
        <f>'Refrig Mass Flow &amp; Cond kW'!F597*(($G$13-$G$14)-$C$6*($G$17-$G$18)/1000)-'Refrig Mass Flow &amp; Cond kW'!E597*(1-$C$6/($G$10+273))</f>
        <v>3.650715528885442</v>
      </c>
    </row>
    <row r="607" spans="2:9" x14ac:dyDescent="0.2">
      <c r="B607" s="2">
        <v>584</v>
      </c>
      <c r="C607">
        <f>'Refrig Mass Flow &amp; Cond kW'!D598*$C$6*(($C$19-$C$18)/1000)</f>
        <v>0</v>
      </c>
      <c r="D607">
        <f>'Refrig Mass Flow &amp; Cond kW'!D598*Winter!$C$6*((Winter!$C$17-Winter!$C$16)/1000)</f>
        <v>0</v>
      </c>
      <c r="E607">
        <f>'Refrig Mass Flow &amp; Cond kW'!D598*(($C$13-$C$14)-$C$6*($C$17-$C$18)/1000)-'Refrig Mass Flow &amp; Cond kW'!C598*(1-$C$6/($C$10+273))</f>
        <v>0</v>
      </c>
      <c r="F607" s="13"/>
      <c r="G607" s="13">
        <f>'Refrig Mass Flow &amp; Cond kW'!F598*$C$6*($G$19-$G$18)/1000</f>
        <v>1.3442217920902504</v>
      </c>
      <c r="H607">
        <f>'Refrig Mass Flow &amp; Cond kW'!F598*$C$6*($G$17-$G$16)/1000</f>
        <v>8.3816182330330289</v>
      </c>
      <c r="I607">
        <f>'Refrig Mass Flow &amp; Cond kW'!F598*(($G$13-$G$14)-$C$6*($G$17-$G$18)/1000)-'Refrig Mass Flow &amp; Cond kW'!E598*(1-$C$6/($G$10+273))</f>
        <v>3.7097885732685327</v>
      </c>
    </row>
    <row r="608" spans="2:9" x14ac:dyDescent="0.2">
      <c r="B608" s="2">
        <v>585</v>
      </c>
      <c r="C608">
        <f>'Refrig Mass Flow &amp; Cond kW'!D599*$C$6*(($C$19-$C$18)/1000)</f>
        <v>0</v>
      </c>
      <c r="D608">
        <f>'Refrig Mass Flow &amp; Cond kW'!D599*Winter!$C$6*((Winter!$C$17-Winter!$C$16)/1000)</f>
        <v>0</v>
      </c>
      <c r="E608">
        <f>'Refrig Mass Flow &amp; Cond kW'!D599*(($C$13-$C$14)-$C$6*($C$17-$C$18)/1000)-'Refrig Mass Flow &amp; Cond kW'!C599*(1-$C$6/($C$10+273))</f>
        <v>0</v>
      </c>
      <c r="F608" s="13"/>
      <c r="G608" s="13">
        <f>'Refrig Mass Flow &amp; Cond kW'!F599*$C$6*($G$19-$G$18)/1000</f>
        <v>1.3656487739490624</v>
      </c>
      <c r="H608">
        <f>'Refrig Mass Flow &amp; Cond kW'!F599*$C$6*($G$17-$G$16)/1000</f>
        <v>8.5152217669762074</v>
      </c>
      <c r="I608">
        <f>'Refrig Mass Flow &amp; Cond kW'!F599*(($G$13-$G$14)-$C$6*($G$17-$G$18)/1000)-'Refrig Mass Flow &amp; Cond kW'!E599*(1-$C$6/($G$10+273))</f>
        <v>3.7689228418298555</v>
      </c>
    </row>
    <row r="609" spans="2:9" x14ac:dyDescent="0.2">
      <c r="B609" s="2">
        <v>586</v>
      </c>
      <c r="C609">
        <f>'Refrig Mass Flow &amp; Cond kW'!D600*$C$6*(($C$19-$C$18)/1000)</f>
        <v>0</v>
      </c>
      <c r="D609">
        <f>'Refrig Mass Flow &amp; Cond kW'!D600*Winter!$C$6*((Winter!$C$17-Winter!$C$16)/1000)</f>
        <v>0</v>
      </c>
      <c r="E609">
        <f>'Refrig Mass Flow &amp; Cond kW'!D600*(($C$13-$C$14)-$C$6*($C$17-$C$18)/1000)-'Refrig Mass Flow &amp; Cond kW'!C600*(1-$C$6/($C$10+273))</f>
        <v>0</v>
      </c>
      <c r="F609" s="13"/>
      <c r="G609" s="13">
        <f>'Refrig Mass Flow &amp; Cond kW'!F600*$C$6*($G$19-$G$18)/1000</f>
        <v>1.3870601765092563</v>
      </c>
      <c r="H609">
        <f>'Refrig Mass Flow &amp; Cond kW'!F600*$C$6*($G$17-$G$16)/1000</f>
        <v>8.6487281594103518</v>
      </c>
      <c r="I609">
        <f>'Refrig Mass Flow &amp; Cond kW'!F600*(($G$13-$G$14)-$C$6*($G$17-$G$18)/1000)-'Refrig Mass Flow &amp; Cond kW'!E600*(1-$C$6/($G$10+273))</f>
        <v>3.8280141145817552</v>
      </c>
    </row>
    <row r="610" spans="2:9" x14ac:dyDescent="0.2">
      <c r="B610" s="2">
        <v>587</v>
      </c>
      <c r="C610">
        <f>'Refrig Mass Flow &amp; Cond kW'!D601*$C$6*(($C$19-$C$18)/1000)</f>
        <v>0</v>
      </c>
      <c r="D610">
        <f>'Refrig Mass Flow &amp; Cond kW'!D601*Winter!$C$6*((Winter!$C$17-Winter!$C$16)/1000)</f>
        <v>0</v>
      </c>
      <c r="E610">
        <f>'Refrig Mass Flow &amp; Cond kW'!D601*(($C$13-$C$14)-$C$6*($C$17-$C$18)/1000)-'Refrig Mass Flow &amp; Cond kW'!C601*(1-$C$6/($C$10+273))</f>
        <v>0</v>
      </c>
      <c r="F610" s="13"/>
      <c r="G610" s="13">
        <f>'Refrig Mass Flow &amp; Cond kW'!F601*$C$6*($G$19-$G$18)/1000</f>
        <v>1.4084174996388712</v>
      </c>
      <c r="H610">
        <f>'Refrig Mass Flow &amp; Cond kW'!F601*$C$6*($G$17-$G$16)/1000</f>
        <v>8.7818973506891229</v>
      </c>
      <c r="I610">
        <f>'Refrig Mass Flow &amp; Cond kW'!F601*(($G$13-$G$14)-$C$6*($G$17-$G$18)/1000)-'Refrig Mass Flow &amp; Cond kW'!E601*(1-$C$6/($G$10+273))</f>
        <v>3.8869561387090741</v>
      </c>
    </row>
    <row r="611" spans="2:9" x14ac:dyDescent="0.2">
      <c r="B611" s="2">
        <v>588</v>
      </c>
      <c r="C611">
        <f>'Refrig Mass Flow &amp; Cond kW'!D602*$C$6*(($C$19-$C$18)/1000)</f>
        <v>0</v>
      </c>
      <c r="D611">
        <f>'Refrig Mass Flow &amp; Cond kW'!D602*Winter!$C$6*((Winter!$C$17-Winter!$C$16)/1000)</f>
        <v>0</v>
      </c>
      <c r="E611">
        <f>'Refrig Mass Flow &amp; Cond kW'!D602*(($C$13-$C$14)-$C$6*($C$17-$C$18)/1000)-'Refrig Mass Flow &amp; Cond kW'!C602*(1-$C$6/($C$10+273))</f>
        <v>0</v>
      </c>
      <c r="F611" s="13"/>
      <c r="G611" s="13">
        <f>'Refrig Mass Flow &amp; Cond kW'!F602*$C$6*($G$19-$G$18)/1000</f>
        <v>1.429693902032704</v>
      </c>
      <c r="H611">
        <f>'Refrig Mass Flow &amp; Cond kW'!F602*$C$6*($G$17-$G$16)/1000</f>
        <v>8.9145619773800746</v>
      </c>
      <c r="I611">
        <f>'Refrig Mass Flow &amp; Cond kW'!F602*(($G$13-$G$14)-$C$6*($G$17-$G$18)/1000)-'Refrig Mass Flow &amp; Cond kW'!E602*(1-$C$6/($G$10+273))</f>
        <v>3.9456748374724455</v>
      </c>
    </row>
    <row r="612" spans="2:9" x14ac:dyDescent="0.2">
      <c r="B612" s="2">
        <v>589</v>
      </c>
      <c r="C612">
        <f>'Refrig Mass Flow &amp; Cond kW'!D603*$C$6*(($C$19-$C$18)/1000)</f>
        <v>0</v>
      </c>
      <c r="D612">
        <f>'Refrig Mass Flow &amp; Cond kW'!D603*Winter!$C$6*((Winter!$C$17-Winter!$C$16)/1000)</f>
        <v>0</v>
      </c>
      <c r="E612">
        <f>'Refrig Mass Flow &amp; Cond kW'!D603*(($C$13-$C$14)-$C$6*($C$17-$C$18)/1000)-'Refrig Mass Flow &amp; Cond kW'!C603*(1-$C$6/($C$10+273))</f>
        <v>0</v>
      </c>
      <c r="F612" s="13"/>
      <c r="G612" s="13">
        <f>'Refrig Mass Flow &amp; Cond kW'!F603*$C$6*($G$19-$G$18)/1000</f>
        <v>1.4508625854670059</v>
      </c>
      <c r="H612">
        <f>'Refrig Mass Flow &amp; Cond kW'!F603*$C$6*($G$17-$G$16)/1000</f>
        <v>9.0465549446763056</v>
      </c>
      <c r="I612">
        <f>'Refrig Mass Flow &amp; Cond kW'!F603*(($G$13-$G$14)-$C$6*($G$17-$G$18)/1000)-'Refrig Mass Flow &amp; Cond kW'!E603*(1-$C$6/($G$10+273))</f>
        <v>4.0040962530288766</v>
      </c>
    </row>
    <row r="613" spans="2:9" x14ac:dyDescent="0.2">
      <c r="B613" s="2">
        <v>590</v>
      </c>
      <c r="C613">
        <f>'Refrig Mass Flow &amp; Cond kW'!D604*$C$6*(($C$19-$C$18)/1000)</f>
        <v>0</v>
      </c>
      <c r="D613">
        <f>'Refrig Mass Flow &amp; Cond kW'!D604*Winter!$C$6*((Winter!$C$17-Winter!$C$16)/1000)</f>
        <v>0</v>
      </c>
      <c r="E613">
        <f>'Refrig Mass Flow &amp; Cond kW'!D604*(($C$13-$C$14)-$C$6*($C$17-$C$18)/1000)-'Refrig Mass Flow &amp; Cond kW'!C604*(1-$C$6/($C$10+273))</f>
        <v>0</v>
      </c>
      <c r="F613" s="13"/>
      <c r="G613" s="13">
        <f>'Refrig Mass Flow &amp; Cond kW'!F604*$C$6*($G$19-$G$18)/1000</f>
        <v>1.4718967450410469</v>
      </c>
      <c r="H613">
        <f>'Refrig Mass Flow &amp; Cond kW'!F604*$C$6*($G$17-$G$16)/1000</f>
        <v>9.1777091161379687</v>
      </c>
      <c r="I613">
        <f>'Refrig Mass Flow &amp; Cond kW'!F604*(($G$13-$G$14)-$C$6*($G$17-$G$18)/1000)-'Refrig Mass Flow &amp; Cond kW'!E604*(1-$C$6/($G$10+273))</f>
        <v>4.062146409108216</v>
      </c>
    </row>
    <row r="614" spans="2:9" x14ac:dyDescent="0.2">
      <c r="B614" s="2">
        <v>591</v>
      </c>
      <c r="C614">
        <f>'Refrig Mass Flow &amp; Cond kW'!D605*$C$6*(($C$19-$C$18)/1000)</f>
        <v>0</v>
      </c>
      <c r="D614">
        <f>'Refrig Mass Flow &amp; Cond kW'!D605*Winter!$C$6*((Winter!$C$17-Winter!$C$16)/1000)</f>
        <v>0</v>
      </c>
      <c r="E614">
        <f>'Refrig Mass Flow &amp; Cond kW'!D605*(($C$13-$C$14)-$C$6*($C$17-$C$18)/1000)-'Refrig Mass Flow &amp; Cond kW'!C605*(1-$C$6/($C$10+273))</f>
        <v>0</v>
      </c>
      <c r="F614" s="13"/>
      <c r="G614" s="13">
        <f>'Refrig Mass Flow &amp; Cond kW'!F605*$C$6*($G$19-$G$18)/1000</f>
        <v>1.4928162568978762</v>
      </c>
      <c r="H614">
        <f>'Refrig Mass Flow &amp; Cond kW'!F605*$C$6*($G$17-$G$16)/1000</f>
        <v>9.3081484253628979</v>
      </c>
      <c r="I614">
        <f>'Refrig Mass Flow &amp; Cond kW'!F605*(($G$13-$G$14)-$C$6*($G$17-$G$18)/1000)-'Refrig Mass Flow &amp; Cond kW'!E605*(1-$C$6/($G$10+273))</f>
        <v>4.1198801599679911</v>
      </c>
    </row>
    <row r="615" spans="2:9" x14ac:dyDescent="0.2">
      <c r="B615" s="2">
        <v>592</v>
      </c>
      <c r="C615">
        <f>'Refrig Mass Flow &amp; Cond kW'!D606*$C$6*(($C$19-$C$18)/1000)</f>
        <v>0</v>
      </c>
      <c r="D615">
        <f>'Refrig Mass Flow &amp; Cond kW'!D606*Winter!$C$6*((Winter!$C$17-Winter!$C$16)/1000)</f>
        <v>0</v>
      </c>
      <c r="E615">
        <f>'Refrig Mass Flow &amp; Cond kW'!D606*(($C$13-$C$14)-$C$6*($C$17-$C$18)/1000)-'Refrig Mass Flow &amp; Cond kW'!C606*(1-$C$6/($C$10+273))</f>
        <v>0</v>
      </c>
      <c r="F615" s="13"/>
      <c r="G615" s="13">
        <f>'Refrig Mass Flow &amp; Cond kW'!F606*$C$6*($G$19-$G$18)/1000</f>
        <v>1.5136041569032628</v>
      </c>
      <c r="H615">
        <f>'Refrig Mass Flow &amp; Cond kW'!F606*$C$6*($G$17-$G$16)/1000</f>
        <v>9.4377670959847162</v>
      </c>
      <c r="I615">
        <f>'Refrig Mass Flow &amp; Cond kW'!F606*(($G$13-$G$14)-$C$6*($G$17-$G$18)/1000)-'Refrig Mass Flow &amp; Cond kW'!E606*(1-$C$6/($G$10+273))</f>
        <v>4.1772506879240296</v>
      </c>
    </row>
    <row r="616" spans="2:9" x14ac:dyDescent="0.2">
      <c r="B616" s="2">
        <v>593</v>
      </c>
      <c r="C616">
        <f>'Refrig Mass Flow &amp; Cond kW'!D607*$C$6*(($C$19-$C$18)/1000)</f>
        <v>0</v>
      </c>
      <c r="D616">
        <f>'Refrig Mass Flow &amp; Cond kW'!D607*Winter!$C$6*((Winter!$C$17-Winter!$C$16)/1000)</f>
        <v>0</v>
      </c>
      <c r="E616">
        <f>'Refrig Mass Flow &amp; Cond kW'!D607*(($C$13-$C$14)-$C$6*($C$17-$C$18)/1000)-'Refrig Mass Flow &amp; Cond kW'!C607*(1-$C$6/($C$10+273))</f>
        <v>0</v>
      </c>
      <c r="F616" s="13"/>
      <c r="G616" s="13">
        <f>'Refrig Mass Flow &amp; Cond kW'!F607*$C$6*($G$19-$G$18)/1000</f>
        <v>1.5341682106570032</v>
      </c>
      <c r="H616">
        <f>'Refrig Mass Flow &amp; Cond kW'!F607*$C$6*($G$17-$G$16)/1000</f>
        <v>9.5659900193903873</v>
      </c>
      <c r="I616">
        <f>'Refrig Mass Flow &amp; Cond kW'!F607*(($G$13-$G$14)-$C$6*($G$17-$G$18)/1000)-'Refrig Mass Flow &amp; Cond kW'!E607*(1-$C$6/($G$10+273))</f>
        <v>4.2340034441169436</v>
      </c>
    </row>
    <row r="617" spans="2:9" x14ac:dyDescent="0.2">
      <c r="B617" s="2">
        <v>594</v>
      </c>
      <c r="C617">
        <f>'Refrig Mass Flow &amp; Cond kW'!D608*$C$6*(($C$19-$C$18)/1000)</f>
        <v>0</v>
      </c>
      <c r="D617">
        <f>'Refrig Mass Flow &amp; Cond kW'!D608*Winter!$C$6*((Winter!$C$17-Winter!$C$16)/1000)</f>
        <v>0</v>
      </c>
      <c r="E617">
        <f>'Refrig Mass Flow &amp; Cond kW'!D608*(($C$13-$C$14)-$C$6*($C$17-$C$18)/1000)-'Refrig Mass Flow &amp; Cond kW'!C608*(1-$C$6/($C$10+273))</f>
        <v>0</v>
      </c>
      <c r="F617" s="13"/>
      <c r="G617" s="13">
        <f>'Refrig Mass Flow &amp; Cond kW'!F608*$C$6*($G$19-$G$18)/1000</f>
        <v>1.5544619571457281</v>
      </c>
      <c r="H617">
        <f>'Refrig Mass Flow &amp; Cond kW'!F608*$C$6*($G$17-$G$16)/1000</f>
        <v>9.6925274974965507</v>
      </c>
      <c r="I617">
        <f>'Refrig Mass Flow &amp; Cond kW'!F608*(($G$13-$G$14)-$C$6*($G$17-$G$18)/1000)-'Refrig Mass Flow &amp; Cond kW'!E608*(1-$C$6/($G$10+273))</f>
        <v>4.2900102052598399</v>
      </c>
    </row>
    <row r="618" spans="2:9" x14ac:dyDescent="0.2">
      <c r="B618" s="2">
        <v>595</v>
      </c>
      <c r="C618">
        <f>'Refrig Mass Flow &amp; Cond kW'!D609*$C$6*(($C$19-$C$18)/1000)</f>
        <v>0</v>
      </c>
      <c r="D618">
        <f>'Refrig Mass Flow &amp; Cond kW'!D609*Winter!$C$6*((Winter!$C$17-Winter!$C$16)/1000)</f>
        <v>0</v>
      </c>
      <c r="E618">
        <f>'Refrig Mass Flow &amp; Cond kW'!D609*(($C$13-$C$14)-$C$6*($C$17-$C$18)/1000)-'Refrig Mass Flow &amp; Cond kW'!C609*(1-$C$6/($C$10+273))</f>
        <v>0</v>
      </c>
      <c r="F618" s="13"/>
      <c r="G618" s="13">
        <f>'Refrig Mass Flow &amp; Cond kW'!F609*$C$6*($G$19-$G$18)/1000</f>
        <v>1.5745418022579165</v>
      </c>
      <c r="H618">
        <f>'Refrig Mass Flow &amp; Cond kW'!F609*$C$6*($G$17-$G$16)/1000</f>
        <v>9.8177312376078394</v>
      </c>
      <c r="I618">
        <f>'Refrig Mass Flow &amp; Cond kW'!F609*(($G$13-$G$14)-$C$6*($G$17-$G$18)/1000)-'Refrig Mass Flow &amp; Cond kW'!E609*(1-$C$6/($G$10+273))</f>
        <v>4.3454266405449502</v>
      </c>
    </row>
    <row r="619" spans="2:9" x14ac:dyDescent="0.2">
      <c r="B619" s="2">
        <v>596</v>
      </c>
      <c r="C619">
        <f>'Refrig Mass Flow &amp; Cond kW'!D610*$C$6*(($C$19-$C$18)/1000)</f>
        <v>0</v>
      </c>
      <c r="D619">
        <f>'Refrig Mass Flow &amp; Cond kW'!D610*Winter!$C$6*((Winter!$C$17-Winter!$C$16)/1000)</f>
        <v>0</v>
      </c>
      <c r="E619">
        <f>'Refrig Mass Flow &amp; Cond kW'!D610*(($C$13-$C$14)-$C$6*($C$17-$C$18)/1000)-'Refrig Mass Flow &amp; Cond kW'!C610*(1-$C$6/($C$10+273))</f>
        <v>0</v>
      </c>
      <c r="F619" s="13"/>
      <c r="G619" s="13">
        <f>'Refrig Mass Flow &amp; Cond kW'!F610*$C$6*($G$19-$G$18)/1000</f>
        <v>1.5945303692458077</v>
      </c>
      <c r="H619">
        <f>'Refrig Mass Flow &amp; Cond kW'!F610*$C$6*($G$17-$G$16)/1000</f>
        <v>9.942365831767626</v>
      </c>
      <c r="I619">
        <f>'Refrig Mass Flow &amp; Cond kW'!F610*(($G$13-$G$14)-$C$6*($G$17-$G$18)/1000)-'Refrig Mass Flow &amp; Cond kW'!E610*(1-$C$6/($G$10+273))</f>
        <v>4.4005911661046682</v>
      </c>
    </row>
    <row r="620" spans="2:9" x14ac:dyDescent="0.2">
      <c r="B620" s="2">
        <v>597</v>
      </c>
      <c r="C620">
        <f>'Refrig Mass Flow &amp; Cond kW'!D611*$C$6*(($C$19-$C$18)/1000)</f>
        <v>0</v>
      </c>
      <c r="D620">
        <f>'Refrig Mass Flow &amp; Cond kW'!D611*Winter!$C$6*((Winter!$C$17-Winter!$C$16)/1000)</f>
        <v>0</v>
      </c>
      <c r="E620">
        <f>'Refrig Mass Flow &amp; Cond kW'!D611*(($C$13-$C$14)-$C$6*($C$17-$C$18)/1000)-'Refrig Mass Flow &amp; Cond kW'!C611*(1-$C$6/($C$10+273))</f>
        <v>0</v>
      </c>
      <c r="F620" s="13"/>
      <c r="G620" s="13">
        <f>'Refrig Mass Flow &amp; Cond kW'!F611*$C$6*($G$19-$G$18)/1000</f>
        <v>1.6144805328590959</v>
      </c>
      <c r="H620">
        <f>'Refrig Mass Flow &amp; Cond kW'!F611*$C$6*($G$17-$G$16)/1000</f>
        <v>10.066760969591652</v>
      </c>
      <c r="I620">
        <f>'Refrig Mass Flow &amp; Cond kW'!F611*(($G$13-$G$14)-$C$6*($G$17-$G$18)/1000)-'Refrig Mass Flow &amp; Cond kW'!E611*(1-$C$6/($G$10+273))</f>
        <v>4.4556497058805533</v>
      </c>
    </row>
    <row r="621" spans="2:9" x14ac:dyDescent="0.2">
      <c r="B621" s="2">
        <v>598</v>
      </c>
      <c r="C621">
        <f>'Refrig Mass Flow &amp; Cond kW'!D612*$C$6*(($C$19-$C$18)/1000)</f>
        <v>0</v>
      </c>
      <c r="D621">
        <f>'Refrig Mass Flow &amp; Cond kW'!D612*Winter!$C$6*((Winter!$C$17-Winter!$C$16)/1000)</f>
        <v>0</v>
      </c>
      <c r="E621">
        <f>'Refrig Mass Flow &amp; Cond kW'!D612*(($C$13-$C$14)-$C$6*($C$17-$C$18)/1000)-'Refrig Mass Flow &amp; Cond kW'!C612*(1-$C$6/($C$10+273))</f>
        <v>0</v>
      </c>
      <c r="F621" s="13"/>
      <c r="G621" s="13">
        <f>'Refrig Mass Flow &amp; Cond kW'!F612*$C$6*($G$19-$G$18)/1000</f>
        <v>1.6344450877774035</v>
      </c>
      <c r="H621">
        <f>'Refrig Mass Flow &amp; Cond kW'!F612*$C$6*($G$17-$G$16)/1000</f>
        <v>10.191245841435213</v>
      </c>
      <c r="I621">
        <f>'Refrig Mass Flow &amp; Cond kW'!F612*(($G$13-$G$14)-$C$6*($G$17-$G$18)/1000)-'Refrig Mass Flow &amp; Cond kW'!E612*(1-$C$6/($G$10+273))</f>
        <v>4.5107479628364686</v>
      </c>
    </row>
    <row r="622" spans="2:9" x14ac:dyDescent="0.2">
      <c r="B622" s="2">
        <v>599</v>
      </c>
      <c r="C622">
        <f>'Refrig Mass Flow &amp; Cond kW'!D613*$C$6*(($C$19-$C$18)/1000)</f>
        <v>0</v>
      </c>
      <c r="D622">
        <f>'Refrig Mass Flow &amp; Cond kW'!D613*Winter!$C$6*((Winter!$C$17-Winter!$C$16)/1000)</f>
        <v>0</v>
      </c>
      <c r="E622">
        <f>'Refrig Mass Flow &amp; Cond kW'!D613*(($C$13-$C$14)-$C$6*($C$17-$C$18)/1000)-'Refrig Mass Flow &amp; Cond kW'!C613*(1-$C$6/($C$10+273))</f>
        <v>0</v>
      </c>
      <c r="F622" s="13"/>
      <c r="G622" s="13">
        <f>'Refrig Mass Flow &amp; Cond kW'!F613*$C$6*($G$19-$G$18)/1000</f>
        <v>1.6544412029702396</v>
      </c>
      <c r="H622">
        <f>'Refrig Mass Flow &amp; Cond kW'!F613*$C$6*($G$17-$G$16)/1000</f>
        <v>10.315927500872895</v>
      </c>
      <c r="I622">
        <f>'Refrig Mass Flow &amp; Cond kW'!F613*(($G$13-$G$14)-$C$6*($G$17-$G$18)/1000)-'Refrig Mass Flow &amp; Cond kW'!E613*(1-$C$6/($G$10+273))</f>
        <v>4.5659333199618004</v>
      </c>
    </row>
    <row r="623" spans="2:9" x14ac:dyDescent="0.2">
      <c r="B623" s="2">
        <v>600</v>
      </c>
      <c r="C623">
        <f>'Refrig Mass Flow &amp; Cond kW'!D614*$C$6*(($C$19-$C$18)/1000)</f>
        <v>0</v>
      </c>
      <c r="D623">
        <f>'Refrig Mass Flow &amp; Cond kW'!D614*Winter!$C$6*((Winter!$C$17-Winter!$C$16)/1000)</f>
        <v>0</v>
      </c>
      <c r="E623">
        <f>'Refrig Mass Flow &amp; Cond kW'!D614*(($C$13-$C$14)-$C$6*($C$17-$C$18)/1000)-'Refrig Mass Flow &amp; Cond kW'!C614*(1-$C$6/($C$10+273))</f>
        <v>0</v>
      </c>
      <c r="F623" s="13"/>
      <c r="G623" s="13">
        <f>'Refrig Mass Flow &amp; Cond kW'!F614*$C$6*($G$19-$G$18)/1000</f>
        <v>1.5595163297293726</v>
      </c>
      <c r="H623">
        <f>'Refrig Mass Flow &amp; Cond kW'!F614*$C$6*($G$17-$G$16)/1000</f>
        <v>9.7240429971357436</v>
      </c>
      <c r="I623">
        <f>'Refrig Mass Flow &amp; Cond kW'!F614*(($G$13-$G$14)-$C$6*($G$17-$G$18)/1000)-'Refrig Mass Flow &amp; Cond kW'!E614*(1-$C$6/($G$10+273))</f>
        <v>4.3039592825372566</v>
      </c>
    </row>
    <row r="624" spans="2:9" x14ac:dyDescent="0.2">
      <c r="B624" s="2">
        <v>601</v>
      </c>
      <c r="C624">
        <f>'Refrig Mass Flow &amp; Cond kW'!D615*$C$6*(($C$19-$C$18)/1000)</f>
        <v>0</v>
      </c>
      <c r="D624">
        <f>'Refrig Mass Flow &amp; Cond kW'!D615*Winter!$C$6*((Winter!$C$17-Winter!$C$16)/1000)</f>
        <v>0</v>
      </c>
      <c r="E624">
        <f>'Refrig Mass Flow &amp; Cond kW'!D615*(($C$13-$C$14)-$C$6*($C$17-$C$18)/1000)-'Refrig Mass Flow &amp; Cond kW'!C615*(1-$C$6/($C$10+273))</f>
        <v>0</v>
      </c>
      <c r="F624" s="13"/>
      <c r="G624" s="13">
        <f>'Refrig Mass Flow &amp; Cond kW'!F615*$C$6*($G$19-$G$18)/1000</f>
        <v>1.5128997026830011</v>
      </c>
      <c r="H624">
        <f>'Refrig Mass Flow &amp; Cond kW'!F615*$C$6*($G$17-$G$16)/1000</f>
        <v>9.4333746167289689</v>
      </c>
      <c r="I624">
        <f>'Refrig Mass Flow &amp; Cond kW'!F615*(($G$13-$G$14)-$C$6*($G$17-$G$18)/1000)-'Refrig Mass Flow &amp; Cond kW'!E615*(1-$C$6/($G$10+273))</f>
        <v>4.1753065324043845</v>
      </c>
    </row>
    <row r="625" spans="2:9" x14ac:dyDescent="0.2">
      <c r="B625" s="2">
        <v>602</v>
      </c>
      <c r="C625">
        <f>'Refrig Mass Flow &amp; Cond kW'!D616*$C$6*(($C$19-$C$18)/1000)</f>
        <v>0</v>
      </c>
      <c r="D625">
        <f>'Refrig Mass Flow &amp; Cond kW'!D616*Winter!$C$6*((Winter!$C$17-Winter!$C$16)/1000)</f>
        <v>0</v>
      </c>
      <c r="E625">
        <f>'Refrig Mass Flow &amp; Cond kW'!D616*(($C$13-$C$14)-$C$6*($C$17-$C$18)/1000)-'Refrig Mass Flow &amp; Cond kW'!C616*(1-$C$6/($C$10+273))</f>
        <v>0</v>
      </c>
      <c r="F625" s="13"/>
      <c r="G625" s="13">
        <f>'Refrig Mass Flow &amp; Cond kW'!F616*$C$6*($G$19-$G$18)/1000</f>
        <v>1.4661518156529552</v>
      </c>
      <c r="H625">
        <f>'Refrig Mass Flow &amp; Cond kW'!F616*$C$6*($G$17-$G$16)/1000</f>
        <v>9.1418877917181032</v>
      </c>
      <c r="I625">
        <f>'Refrig Mass Flow &amp; Cond kW'!F616*(($G$13-$G$14)-$C$6*($G$17-$G$18)/1000)-'Refrig Mass Flow &amp; Cond kW'!E616*(1-$C$6/($G$10+273))</f>
        <v>4.0462915304538143</v>
      </c>
    </row>
    <row r="626" spans="2:9" x14ac:dyDescent="0.2">
      <c r="B626" s="2">
        <v>603</v>
      </c>
      <c r="C626">
        <f>'Refrig Mass Flow &amp; Cond kW'!D617*$C$6*(($C$19-$C$18)/1000)</f>
        <v>0</v>
      </c>
      <c r="D626">
        <f>'Refrig Mass Flow &amp; Cond kW'!D617*Winter!$C$6*((Winter!$C$17-Winter!$C$16)/1000)</f>
        <v>0</v>
      </c>
      <c r="E626">
        <f>'Refrig Mass Flow &amp; Cond kW'!D617*(($C$13-$C$14)-$C$6*($C$17-$C$18)/1000)-'Refrig Mass Flow &amp; Cond kW'!C617*(1-$C$6/($C$10+273))</f>
        <v>0</v>
      </c>
      <c r="F626" s="13"/>
      <c r="G626" s="13">
        <f>'Refrig Mass Flow &amp; Cond kW'!F617*$C$6*($G$19-$G$18)/1000</f>
        <v>1.4192769740122835</v>
      </c>
      <c r="H626">
        <f>'Refrig Mass Flow &amp; Cond kW'!F617*$C$6*($G$17-$G$16)/1000</f>
        <v>8.8496093673703964</v>
      </c>
      <c r="I626">
        <f>'Refrig Mass Flow &amp; Cond kW'!F617*(($G$13-$G$14)-$C$6*($G$17-$G$18)/1000)-'Refrig Mass Flow &amp; Cond kW'!E617*(1-$C$6/($G$10+273))</f>
        <v>3.9169261586709894</v>
      </c>
    </row>
    <row r="627" spans="2:9" x14ac:dyDescent="0.2">
      <c r="B627" s="2">
        <v>604</v>
      </c>
      <c r="C627">
        <f>'Refrig Mass Flow &amp; Cond kW'!D618*$C$6*(($C$19-$C$18)/1000)</f>
        <v>0</v>
      </c>
      <c r="D627">
        <f>'Refrig Mass Flow &amp; Cond kW'!D618*Winter!$C$6*((Winter!$C$17-Winter!$C$16)/1000)</f>
        <v>0</v>
      </c>
      <c r="E627">
        <f>'Refrig Mass Flow &amp; Cond kW'!D618*(($C$13-$C$14)-$C$6*($C$17-$C$18)/1000)-'Refrig Mass Flow &amp; Cond kW'!C618*(1-$C$6/($C$10+273))</f>
        <v>0</v>
      </c>
      <c r="F627" s="13"/>
      <c r="G627" s="13">
        <f>'Refrig Mass Flow &amp; Cond kW'!F618*$C$6*($G$19-$G$18)/1000</f>
        <v>1.3722794940861929</v>
      </c>
      <c r="H627">
        <f>'Refrig Mass Flow &amp; Cond kW'!F618*$C$6*($G$17-$G$16)/1000</f>
        <v>8.5565662572430199</v>
      </c>
      <c r="I627">
        <f>'Refrig Mass Flow &amp; Cond kW'!F618*(($G$13-$G$14)-$C$6*($G$17-$G$18)/1000)-'Refrig Mass Flow &amp; Cond kW'!E618*(1-$C$6/($G$10+273))</f>
        <v>3.7872223292671308</v>
      </c>
    </row>
    <row r="628" spans="2:9" x14ac:dyDescent="0.2">
      <c r="B628" s="2">
        <v>605</v>
      </c>
      <c r="C628">
        <f>'Refrig Mass Flow &amp; Cond kW'!D619*$C$6*(($C$19-$C$18)/1000)</f>
        <v>0</v>
      </c>
      <c r="D628">
        <f>'Refrig Mass Flow &amp; Cond kW'!D619*Winter!$C$6*((Winter!$C$17-Winter!$C$16)/1000)</f>
        <v>0</v>
      </c>
      <c r="E628">
        <f>'Refrig Mass Flow &amp; Cond kW'!D619*(($C$13-$C$14)-$C$6*($C$17-$C$18)/1000)-'Refrig Mass Flow &amp; Cond kW'!C619*(1-$C$6/($C$10+273))</f>
        <v>0</v>
      </c>
      <c r="F628" s="13"/>
      <c r="G628" s="13">
        <f>'Refrig Mass Flow &amp; Cond kW'!F619*$C$6*($G$19-$G$18)/1000</f>
        <v>1.3251637027547474</v>
      </c>
      <c r="H628">
        <f>'Refrig Mass Flow &amp; Cond kW'!F619*$C$6*($G$17-$G$16)/1000</f>
        <v>8.2627854407057804</v>
      </c>
      <c r="I628">
        <f>'Refrig Mass Flow &amp; Cond kW'!F619*(($G$13-$G$14)-$C$6*($G$17-$G$18)/1000)-'Refrig Mass Flow &amp; Cond kW'!E619*(1-$C$6/($G$10+273))</f>
        <v>3.6571919835828055</v>
      </c>
    </row>
    <row r="629" spans="2:9" x14ac:dyDescent="0.2">
      <c r="B629" s="2">
        <v>606</v>
      </c>
      <c r="C629">
        <f>'Refrig Mass Flow &amp; Cond kW'!D620*$C$6*(($C$19-$C$18)/1000)</f>
        <v>0</v>
      </c>
      <c r="D629">
        <f>'Refrig Mass Flow &amp; Cond kW'!D620*Winter!$C$6*((Winter!$C$17-Winter!$C$16)/1000)</f>
        <v>0</v>
      </c>
      <c r="E629">
        <f>'Refrig Mass Flow &amp; Cond kW'!D620*(($C$13-$C$14)-$C$6*($C$17-$C$18)/1000)-'Refrig Mass Flow &amp; Cond kW'!C620*(1-$C$6/($C$10+273))</f>
        <v>0</v>
      </c>
      <c r="F629" s="13"/>
      <c r="G629" s="13">
        <f>'Refrig Mass Flow &amp; Cond kW'!F620*$C$6*($G$19-$G$18)/1000</f>
        <v>1.2779339370545963</v>
      </c>
      <c r="H629">
        <f>'Refrig Mass Flow &amp; Cond kW'!F620*$C$6*($G$17-$G$16)/1000</f>
        <v>7.9682939604577907</v>
      </c>
      <c r="I629">
        <f>'Refrig Mass Flow &amp; Cond kW'!F620*(($G$13-$G$14)-$C$6*($G$17-$G$18)/1000)-'Refrig Mass Flow &amp; Cond kW'!E620*(1-$C$6/($G$10+273))</f>
        <v>3.5268470909887668</v>
      </c>
    </row>
    <row r="630" spans="2:9" x14ac:dyDescent="0.2">
      <c r="B630" s="2">
        <v>607</v>
      </c>
      <c r="C630">
        <f>'Refrig Mass Flow &amp; Cond kW'!D621*$C$6*(($C$19-$C$18)/1000)</f>
        <v>0</v>
      </c>
      <c r="D630">
        <f>'Refrig Mass Flow &amp; Cond kW'!D621*Winter!$C$6*((Winter!$C$17-Winter!$C$16)/1000)</f>
        <v>0</v>
      </c>
      <c r="E630">
        <f>'Refrig Mass Flow &amp; Cond kW'!D621*(($C$13-$C$14)-$C$6*($C$17-$C$18)/1000)-'Refrig Mass Flow &amp; Cond kW'!C621*(1-$C$6/($C$10+273))</f>
        <v>0</v>
      </c>
      <c r="F630" s="13"/>
      <c r="G630" s="13">
        <f>'Refrig Mass Flow &amp; Cond kW'!F621*$C$6*($G$19-$G$18)/1000</f>
        <v>1.2309030639089225</v>
      </c>
      <c r="H630">
        <f>'Refrig Mass Flow &amp; Cond kW'!F621*$C$6*($G$17-$G$16)/1000</f>
        <v>7.6750426337847735</v>
      </c>
      <c r="I630">
        <f>'Refrig Mass Flow &amp; Cond kW'!F621*(($G$13-$G$14)-$C$6*($G$17-$G$18)/1000)-'Refrig Mass Flow &amp; Cond kW'!E621*(1-$C$6/($G$10+273))</f>
        <v>3.3970511028465395</v>
      </c>
    </row>
    <row r="631" spans="2:9" x14ac:dyDescent="0.2">
      <c r="B631" s="2">
        <v>608</v>
      </c>
      <c r="C631">
        <f>'Refrig Mass Flow &amp; Cond kW'!D622*$C$6*(($C$19-$C$18)/1000)</f>
        <v>0</v>
      </c>
      <c r="D631">
        <f>'Refrig Mass Flow &amp; Cond kW'!D622*Winter!$C$6*((Winter!$C$17-Winter!$C$16)/1000)</f>
        <v>0</v>
      </c>
      <c r="E631">
        <f>'Refrig Mass Flow &amp; Cond kW'!D622*(($C$13-$C$14)-$C$6*($C$17-$C$18)/1000)-'Refrig Mass Flow &amp; Cond kW'!C622*(1-$C$6/($C$10+273))</f>
        <v>0</v>
      </c>
      <c r="F631" s="13"/>
      <c r="G631" s="13">
        <f>'Refrig Mass Flow &amp; Cond kW'!F622*$C$6*($G$19-$G$18)/1000</f>
        <v>1.1839400587191871</v>
      </c>
      <c r="H631">
        <f>'Refrig Mass Flow &amp; Cond kW'!F622*$C$6*($G$17-$G$16)/1000</f>
        <v>7.3822144837782</v>
      </c>
      <c r="I631">
        <f>'Refrig Mass Flow &amp; Cond kW'!F622*(($G$13-$G$14)-$C$6*($G$17-$G$18)/1000)-'Refrig Mass Flow &amp; Cond kW'!E622*(1-$C$6/($G$10+273))</f>
        <v>3.2674424169552694</v>
      </c>
    </row>
    <row r="632" spans="2:9" x14ac:dyDescent="0.2">
      <c r="B632" s="2">
        <v>609</v>
      </c>
      <c r="C632">
        <f>'Refrig Mass Flow &amp; Cond kW'!D623*$C$6*(($C$19-$C$18)/1000)</f>
        <v>0</v>
      </c>
      <c r="D632">
        <f>'Refrig Mass Flow &amp; Cond kW'!D623*Winter!$C$6*((Winter!$C$17-Winter!$C$16)/1000)</f>
        <v>0</v>
      </c>
      <c r="E632">
        <f>'Refrig Mass Flow &amp; Cond kW'!D623*(($C$13-$C$14)-$C$6*($C$17-$C$18)/1000)-'Refrig Mass Flow &amp; Cond kW'!C623*(1-$C$6/($C$10+273))</f>
        <v>0</v>
      </c>
      <c r="F632" s="13"/>
      <c r="G632" s="13">
        <f>'Refrig Mass Flow &amp; Cond kW'!F623*$C$6*($G$19-$G$18)/1000</f>
        <v>1.1370286715623521</v>
      </c>
      <c r="H632">
        <f>'Refrig Mass Flow &amp; Cond kW'!F623*$C$6*($G$17-$G$16)/1000</f>
        <v>7.0897081873885339</v>
      </c>
      <c r="I632">
        <f>'Refrig Mass Flow &amp; Cond kW'!F623*(($G$13-$G$14)-$C$6*($G$17-$G$18)/1000)-'Refrig Mass Flow &amp; Cond kW'!E623*(1-$C$6/($G$10+273))</f>
        <v>3.1379761867136153</v>
      </c>
    </row>
    <row r="633" spans="2:9" x14ac:dyDescent="0.2">
      <c r="B633" s="2">
        <v>610</v>
      </c>
      <c r="C633">
        <f>'Refrig Mass Flow &amp; Cond kW'!D624*$C$6*(($C$19-$C$18)/1000)</f>
        <v>0</v>
      </c>
      <c r="D633">
        <f>'Refrig Mass Flow &amp; Cond kW'!D624*Winter!$C$6*((Winter!$C$17-Winter!$C$16)/1000)</f>
        <v>0</v>
      </c>
      <c r="E633">
        <f>'Refrig Mass Flow &amp; Cond kW'!D624*(($C$13-$C$14)-$C$6*($C$17-$C$18)/1000)-'Refrig Mass Flow &amp; Cond kW'!C624*(1-$C$6/($C$10+273))</f>
        <v>0</v>
      </c>
      <c r="F633" s="13"/>
      <c r="G633" s="13">
        <f>'Refrig Mass Flow &amp; Cond kW'!F624*$C$6*($G$19-$G$18)/1000</f>
        <v>1.0901658173755921</v>
      </c>
      <c r="H633">
        <f>'Refrig Mass Flow &amp; Cond kW'!F624*$C$6*($G$17-$G$16)/1000</f>
        <v>6.7975045083416861</v>
      </c>
      <c r="I633">
        <f>'Refrig Mass Flow &amp; Cond kW'!F624*(($G$13-$G$14)-$C$6*($G$17-$G$18)/1000)-'Refrig Mass Flow &amp; Cond kW'!E624*(1-$C$6/($G$10+273))</f>
        <v>3.0086438979531067</v>
      </c>
    </row>
    <row r="634" spans="2:9" x14ac:dyDescent="0.2">
      <c r="B634" s="2">
        <v>611</v>
      </c>
      <c r="C634">
        <f>'Refrig Mass Flow &amp; Cond kW'!D625*$C$6*(($C$19-$C$18)/1000)</f>
        <v>0</v>
      </c>
      <c r="D634">
        <f>'Refrig Mass Flow &amp; Cond kW'!D625*Winter!$C$6*((Winter!$C$17-Winter!$C$16)/1000)</f>
        <v>0</v>
      </c>
      <c r="E634">
        <f>'Refrig Mass Flow &amp; Cond kW'!D625*(($C$13-$C$14)-$C$6*($C$17-$C$18)/1000)-'Refrig Mass Flow &amp; Cond kW'!C625*(1-$C$6/($C$10+273))</f>
        <v>0</v>
      </c>
      <c r="F634" s="13"/>
      <c r="G634" s="13">
        <f>'Refrig Mass Flow &amp; Cond kW'!F625*$C$6*($G$19-$G$18)/1000</f>
        <v>1.0433112941847509</v>
      </c>
      <c r="H634">
        <f>'Refrig Mass Flow &amp; Cond kW'!F625*$C$6*($G$17-$G$16)/1000</f>
        <v>6.5053527755046883</v>
      </c>
      <c r="I634">
        <f>'Refrig Mass Flow &amp; Cond kW'!F625*(($G$13-$G$14)-$C$6*($G$17-$G$18)/1000)-'Refrig Mass Flow &amp; Cond kW'!E625*(1-$C$6/($G$10+273))</f>
        <v>2.8793346011078</v>
      </c>
    </row>
    <row r="635" spans="2:9" x14ac:dyDescent="0.2">
      <c r="B635" s="2">
        <v>612</v>
      </c>
      <c r="C635">
        <f>'Refrig Mass Flow &amp; Cond kW'!D626*$C$6*(($C$19-$C$18)/1000)</f>
        <v>0</v>
      </c>
      <c r="D635">
        <f>'Refrig Mass Flow &amp; Cond kW'!D626*Winter!$C$6*((Winter!$C$17-Winter!$C$16)/1000)</f>
        <v>0</v>
      </c>
      <c r="E635">
        <f>'Refrig Mass Flow &amp; Cond kW'!D626*(($C$13-$C$14)-$C$6*($C$17-$C$18)/1000)-'Refrig Mass Flow &amp; Cond kW'!C626*(1-$C$6/($C$10+273))</f>
        <v>0</v>
      </c>
      <c r="F635" s="13"/>
      <c r="G635" s="13">
        <f>'Refrig Mass Flow &amp; Cond kW'!F626*$C$6*($G$19-$G$18)/1000</f>
        <v>0.99644152353719606</v>
      </c>
      <c r="H635">
        <f>'Refrig Mass Flow &amp; Cond kW'!F626*$C$6*($G$17-$G$16)/1000</f>
        <v>6.2131059702905329</v>
      </c>
      <c r="I635">
        <f>'Refrig Mass Flow &amp; Cond kW'!F626*(($G$13-$G$14)-$C$6*($G$17-$G$18)/1000)-'Refrig Mass Flow &amp; Cond kW'!E626*(1-$C$6/($G$10+273))</f>
        <v>2.7499832242716593</v>
      </c>
    </row>
    <row r="636" spans="2:9" x14ac:dyDescent="0.2">
      <c r="B636" s="2">
        <v>613</v>
      </c>
      <c r="C636">
        <f>'Refrig Mass Flow &amp; Cond kW'!D627*$C$6*(($C$19-$C$18)/1000)</f>
        <v>0</v>
      </c>
      <c r="D636">
        <f>'Refrig Mass Flow &amp; Cond kW'!D627*Winter!$C$6*((Winter!$C$17-Winter!$C$16)/1000)</f>
        <v>0</v>
      </c>
      <c r="E636">
        <f>'Refrig Mass Flow &amp; Cond kW'!D627*(($C$13-$C$14)-$C$6*($C$17-$C$18)/1000)-'Refrig Mass Flow &amp; Cond kW'!C627*(1-$C$6/($C$10+273))</f>
        <v>0</v>
      </c>
      <c r="F636" s="13"/>
      <c r="G636" s="13">
        <f>'Refrig Mass Flow &amp; Cond kW'!F627*$C$6*($G$19-$G$18)/1000</f>
        <v>0.94953664705815588</v>
      </c>
      <c r="H636">
        <f>'Refrig Mass Flow &amp; Cond kW'!F627*$C$6*($G$17-$G$16)/1000</f>
        <v>5.9206402698918206</v>
      </c>
      <c r="I636">
        <f>'Refrig Mass Flow &amp; Cond kW'!F627*(($G$13-$G$14)-$C$6*($G$17-$G$18)/1000)-'Refrig Mass Flow &amp; Cond kW'!E627*(1-$C$6/($G$10+273))</f>
        <v>2.620534962224113</v>
      </c>
    </row>
    <row r="637" spans="2:9" x14ac:dyDescent="0.2">
      <c r="B637" s="2">
        <v>614</v>
      </c>
      <c r="C637">
        <f>'Refrig Mass Flow &amp; Cond kW'!D628*$C$6*(($C$19-$C$18)/1000)</f>
        <v>0</v>
      </c>
      <c r="D637">
        <f>'Refrig Mass Flow &amp; Cond kW'!D628*Winter!$C$6*((Winter!$C$17-Winter!$C$16)/1000)</f>
        <v>0</v>
      </c>
      <c r="E637">
        <f>'Refrig Mass Flow &amp; Cond kW'!D628*(($C$13-$C$14)-$C$6*($C$17-$C$18)/1000)-'Refrig Mass Flow &amp; Cond kW'!C628*(1-$C$6/($C$10+273))</f>
        <v>0</v>
      </c>
      <c r="F637" s="13"/>
      <c r="G637" s="13">
        <f>'Refrig Mass Flow &amp; Cond kW'!F628*$C$6*($G$19-$G$18)/1000</f>
        <v>0.90261412151901699</v>
      </c>
      <c r="H637">
        <f>'Refrig Mass Flow &amp; Cond kW'!F628*$C$6*($G$17-$G$16)/1000</f>
        <v>5.6280645224124948</v>
      </c>
      <c r="I637">
        <f>'Refrig Mass Flow &amp; Cond kW'!F628*(($G$13-$G$14)-$C$6*($G$17-$G$18)/1000)-'Refrig Mass Flow &amp; Cond kW'!E628*(1-$C$6/($G$10+273))</f>
        <v>2.4910379922312984</v>
      </c>
    </row>
    <row r="638" spans="2:9" x14ac:dyDescent="0.2">
      <c r="B638" s="2">
        <v>615</v>
      </c>
      <c r="C638">
        <f>'Refrig Mass Flow &amp; Cond kW'!D629*$C$6*(($C$19-$C$18)/1000)</f>
        <v>0</v>
      </c>
      <c r="D638">
        <f>'Refrig Mass Flow &amp; Cond kW'!D629*Winter!$C$6*((Winter!$C$17-Winter!$C$16)/1000)</f>
        <v>0</v>
      </c>
      <c r="E638">
        <f>'Refrig Mass Flow &amp; Cond kW'!D629*(($C$13-$C$14)-$C$6*($C$17-$C$18)/1000)-'Refrig Mass Flow &amp; Cond kW'!C629*(1-$C$6/($C$10+273))</f>
        <v>0</v>
      </c>
      <c r="F638" s="13"/>
      <c r="G638" s="13">
        <f>'Refrig Mass Flow &amp; Cond kW'!F629*$C$6*($G$19-$G$18)/1000</f>
        <v>0.85571542322199812</v>
      </c>
      <c r="H638">
        <f>'Refrig Mass Flow &amp; Cond kW'!F629*$C$6*($G$17-$G$16)/1000</f>
        <v>5.3356373447957992</v>
      </c>
      <c r="I638">
        <f>'Refrig Mass Flow &amp; Cond kW'!F629*(($G$13-$G$14)-$C$6*($G$17-$G$18)/1000)-'Refrig Mass Flow &amp; Cond kW'!E629*(1-$C$6/($G$10+273))</f>
        <v>2.3616067807547303</v>
      </c>
    </row>
    <row r="639" spans="2:9" x14ac:dyDescent="0.2">
      <c r="B639" s="2">
        <v>616</v>
      </c>
      <c r="C639">
        <f>'Refrig Mass Flow &amp; Cond kW'!D630*$C$6*(($C$19-$C$18)/1000)</f>
        <v>0</v>
      </c>
      <c r="D639">
        <f>'Refrig Mass Flow &amp; Cond kW'!D630*Winter!$C$6*((Winter!$C$17-Winter!$C$16)/1000)</f>
        <v>0</v>
      </c>
      <c r="E639">
        <f>'Refrig Mass Flow &amp; Cond kW'!D630*(($C$13-$C$14)-$C$6*($C$17-$C$18)/1000)-'Refrig Mass Flow &amp; Cond kW'!C630*(1-$C$6/($C$10+273))</f>
        <v>0</v>
      </c>
      <c r="F639" s="13"/>
      <c r="G639" s="13">
        <f>'Refrig Mass Flow &amp; Cond kW'!F630*$C$6*($G$19-$G$18)/1000</f>
        <v>0.80885672193470415</v>
      </c>
      <c r="H639">
        <f>'Refrig Mass Flow &amp; Cond kW'!F630*$C$6*($G$17-$G$16)/1000</f>
        <v>5.0434595602985652</v>
      </c>
      <c r="I639">
        <f>'Refrig Mass Flow &amp; Cond kW'!F630*(($G$13-$G$14)-$C$6*($G$17-$G$18)/1000)-'Refrig Mass Flow &amp; Cond kW'!E630*(1-$C$6/($G$10+273))</f>
        <v>2.2322859531824477</v>
      </c>
    </row>
    <row r="640" spans="2:9" x14ac:dyDescent="0.2">
      <c r="B640" s="2">
        <v>617</v>
      </c>
      <c r="C640">
        <f>'Refrig Mass Flow &amp; Cond kW'!D631*$C$6*(($C$19-$C$18)/1000)</f>
        <v>0</v>
      </c>
      <c r="D640">
        <f>'Refrig Mass Flow &amp; Cond kW'!D631*Winter!$C$6*((Winter!$C$17-Winter!$C$16)/1000)</f>
        <v>0</v>
      </c>
      <c r="E640">
        <f>'Refrig Mass Flow &amp; Cond kW'!D631*(($C$13-$C$14)-$C$6*($C$17-$C$18)/1000)-'Refrig Mass Flow &amp; Cond kW'!C631*(1-$C$6/($C$10+273))</f>
        <v>0</v>
      </c>
      <c r="F640" s="13"/>
      <c r="G640" s="13">
        <f>'Refrig Mass Flow &amp; Cond kW'!F631*$C$6*($G$19-$G$18)/1000</f>
        <v>0.76205415581349989</v>
      </c>
      <c r="H640">
        <f>'Refrig Mass Flow &amp; Cond kW'!F631*$C$6*($G$17-$G$16)/1000</f>
        <v>4.7516317950722433</v>
      </c>
      <c r="I640">
        <f>'Refrig Mass Flow &amp; Cond kW'!F631*(($G$13-$G$14)-$C$6*($G$17-$G$18)/1000)-'Refrig Mass Flow &amp; Cond kW'!E631*(1-$C$6/($G$10+273))</f>
        <v>2.1031200476616796</v>
      </c>
    </row>
    <row r="641" spans="2:9" x14ac:dyDescent="0.2">
      <c r="B641" s="2">
        <v>618</v>
      </c>
      <c r="C641">
        <f>'Refrig Mass Flow &amp; Cond kW'!D632*$C$6*(($C$19-$C$18)/1000)</f>
        <v>0</v>
      </c>
      <c r="D641">
        <f>'Refrig Mass Flow &amp; Cond kW'!D632*Winter!$C$6*((Winter!$C$17-Winter!$C$16)/1000)</f>
        <v>0</v>
      </c>
      <c r="E641">
        <f>'Refrig Mass Flow &amp; Cond kW'!D632*(($C$13-$C$14)-$C$6*($C$17-$C$18)/1000)-'Refrig Mass Flow &amp; Cond kW'!C632*(1-$C$6/($C$10+273))</f>
        <v>0</v>
      </c>
      <c r="F641" s="13"/>
      <c r="G641" s="13">
        <f>'Refrig Mass Flow &amp; Cond kW'!F632*$C$6*($G$19-$G$18)/1000</f>
        <v>0.71532383003375422</v>
      </c>
      <c r="H641">
        <f>'Refrig Mass Flow &amp; Cond kW'!F632*$C$6*($G$17-$G$16)/1000</f>
        <v>4.4602544696220745</v>
      </c>
      <c r="I641">
        <f>'Refrig Mass Flow &amp; Cond kW'!F632*(($G$13-$G$14)-$C$6*($G$17-$G$18)/1000)-'Refrig Mass Flow &amp; Cond kW'!E632*(1-$C$6/($G$10+273))</f>
        <v>1.9741535113185655</v>
      </c>
    </row>
    <row r="642" spans="2:9" x14ac:dyDescent="0.2">
      <c r="B642" s="2">
        <v>619</v>
      </c>
      <c r="C642">
        <f>'Refrig Mass Flow &amp; Cond kW'!D633*$C$6*(($C$19-$C$18)/1000)</f>
        <v>0</v>
      </c>
      <c r="D642">
        <f>'Refrig Mass Flow &amp; Cond kW'!D633*Winter!$C$6*((Winter!$C$17-Winter!$C$16)/1000)</f>
        <v>0</v>
      </c>
      <c r="E642">
        <f>'Refrig Mass Flow &amp; Cond kW'!D633*(($C$13-$C$14)-$C$6*($C$17-$C$18)/1000)-'Refrig Mass Flow &amp; Cond kW'!C633*(1-$C$6/($C$10+273))</f>
        <v>0</v>
      </c>
      <c r="F642" s="13"/>
      <c r="G642" s="13">
        <f>'Refrig Mass Flow &amp; Cond kW'!F633*$C$6*($G$19-$G$18)/1000</f>
        <v>0.66868181542479577</v>
      </c>
      <c r="H642">
        <f>'Refrig Mass Flow &amp; Cond kW'!F633*$C$6*($G$17-$G$16)/1000</f>
        <v>4.1694277902956385</v>
      </c>
      <c r="I642">
        <f>'Refrig Mass Flow &amp; Cond kW'!F633*(($G$13-$G$14)-$C$6*($G$17-$G$18)/1000)-'Refrig Mass Flow &amp; Cond kW'!E633*(1-$C$6/($G$10+273))</f>
        <v>1.8454306964909044</v>
      </c>
    </row>
    <row r="643" spans="2:9" x14ac:dyDescent="0.2">
      <c r="B643" s="2">
        <v>620</v>
      </c>
      <c r="C643">
        <f>'Refrig Mass Flow &amp; Cond kW'!D634*$C$6*(($C$19-$C$18)/1000)</f>
        <v>0</v>
      </c>
      <c r="D643">
        <f>'Refrig Mass Flow &amp; Cond kW'!D634*Winter!$C$6*((Winter!$C$17-Winter!$C$16)/1000)</f>
        <v>0</v>
      </c>
      <c r="E643">
        <f>'Refrig Mass Flow &amp; Cond kW'!D634*(($C$13-$C$14)-$C$6*($C$17-$C$18)/1000)-'Refrig Mass Flow &amp; Cond kW'!C634*(1-$C$6/($C$10+273))</f>
        <v>0</v>
      </c>
      <c r="F643" s="13"/>
      <c r="G643" s="13">
        <f>'Refrig Mass Flow &amp; Cond kW'!F634*$C$6*($G$19-$G$18)/1000</f>
        <v>0.6221441471097251</v>
      </c>
      <c r="H643">
        <f>'Refrig Mass Flow &amp; Cond kW'!F634*$C$6*($G$17-$G$16)/1000</f>
        <v>3.8792517408016782</v>
      </c>
      <c r="I643">
        <f>'Refrig Mass Flow &amp; Cond kW'!F634*(($G$13-$G$14)-$C$6*($G$17-$G$18)/1000)-'Refrig Mass Flow &amp; Cond kW'!E634*(1-$C$6/($G$10+273))</f>
        <v>1.7169958569743144</v>
      </c>
    </row>
    <row r="644" spans="2:9" x14ac:dyDescent="0.2">
      <c r="B644" s="2">
        <v>621</v>
      </c>
      <c r="C644">
        <f>'Refrig Mass Flow &amp; Cond kW'!D635*$C$6*(($C$19-$C$18)/1000)</f>
        <v>0</v>
      </c>
      <c r="D644">
        <f>'Refrig Mass Flow &amp; Cond kW'!D635*Winter!$C$6*((Winter!$C$17-Winter!$C$16)/1000)</f>
        <v>0</v>
      </c>
      <c r="E644">
        <f>'Refrig Mass Flow &amp; Cond kW'!D635*(($C$13-$C$14)-$C$6*($C$17-$C$18)/1000)-'Refrig Mass Flow &amp; Cond kW'!C635*(1-$C$6/($C$10+273))</f>
        <v>0</v>
      </c>
      <c r="F644" s="13"/>
      <c r="G644" s="13">
        <f>'Refrig Mass Flow &amp; Cond kW'!F635*$C$6*($G$19-$G$18)/1000</f>
        <v>0.5756748330533823</v>
      </c>
      <c r="H644">
        <f>'Refrig Mass Flow &amp; Cond kW'!F635*$C$6*($G$17-$G$16)/1000</f>
        <v>3.5895019002150796</v>
      </c>
      <c r="I644">
        <f>'Refrig Mass Flow &amp; Cond kW'!F635*(($G$13-$G$14)-$C$6*($G$17-$G$18)/1000)-'Refrig Mass Flow &amp; Cond kW'!E635*(1-$C$6/($G$10+273))</f>
        <v>1.5887496618090253</v>
      </c>
    </row>
    <row r="645" spans="2:9" x14ac:dyDescent="0.2">
      <c r="B645" s="2">
        <v>622</v>
      </c>
      <c r="C645">
        <f>'Refrig Mass Flow &amp; Cond kW'!D636*$C$6*(($C$19-$C$18)/1000)</f>
        <v>0</v>
      </c>
      <c r="D645">
        <f>'Refrig Mass Flow &amp; Cond kW'!D636*Winter!$C$6*((Winter!$C$17-Winter!$C$16)/1000)</f>
        <v>0</v>
      </c>
      <c r="E645">
        <f>'Refrig Mass Flow &amp; Cond kW'!D636*(($C$13-$C$14)-$C$6*($C$17-$C$18)/1000)-'Refrig Mass Flow &amp; Cond kW'!C636*(1-$C$6/($C$10+273))</f>
        <v>0</v>
      </c>
      <c r="F645" s="13"/>
      <c r="G645" s="13">
        <f>'Refrig Mass Flow &amp; Cond kW'!F636*$C$6*($G$19-$G$18)/1000</f>
        <v>0.52930030651489046</v>
      </c>
      <c r="H645">
        <f>'Refrig Mass Flow &amp; Cond kW'!F636*$C$6*($G$17-$G$16)/1000</f>
        <v>3.3003430876809658</v>
      </c>
      <c r="I645">
        <f>'Refrig Mass Flow &amp; Cond kW'!F636*(($G$13-$G$14)-$C$6*($G$17-$G$18)/1000)-'Refrig Mass Flow &amp; Cond kW'!E636*(1-$C$6/($G$10+273))</f>
        <v>1.4607650616072121</v>
      </c>
    </row>
    <row r="646" spans="2:9" x14ac:dyDescent="0.2">
      <c r="B646" s="2">
        <v>623</v>
      </c>
      <c r="C646">
        <f>'Refrig Mass Flow &amp; Cond kW'!D637*$C$6*(($C$19-$C$18)/1000)</f>
        <v>0</v>
      </c>
      <c r="D646">
        <f>'Refrig Mass Flow &amp; Cond kW'!D637*Winter!$C$6*((Winter!$C$17-Winter!$C$16)/1000)</f>
        <v>0</v>
      </c>
      <c r="E646">
        <f>'Refrig Mass Flow &amp; Cond kW'!D637*(($C$13-$C$14)-$C$6*($C$17-$C$18)/1000)-'Refrig Mass Flow &amp; Cond kW'!C637*(1-$C$6/($C$10+273))</f>
        <v>0</v>
      </c>
      <c r="F646" s="13"/>
      <c r="G646" s="13">
        <f>'Refrig Mass Flow &amp; Cond kW'!F637*$C$6*($G$19-$G$18)/1000</f>
        <v>0.48303642480345393</v>
      </c>
      <c r="H646">
        <f>'Refrig Mass Flow &amp; Cond kW'!F637*$C$6*($G$17-$G$16)/1000</f>
        <v>3.0118741781861358</v>
      </c>
      <c r="I646">
        <f>'Refrig Mass Flow &amp; Cond kW'!F637*(($G$13-$G$14)-$C$6*($G$17-$G$18)/1000)-'Refrig Mass Flow &amp; Cond kW'!E637*(1-$C$6/($G$10+273))</f>
        <v>1.3330858194330055</v>
      </c>
    </row>
    <row r="647" spans="2:9" x14ac:dyDescent="0.2">
      <c r="B647" s="2">
        <v>624</v>
      </c>
      <c r="C647">
        <f>'Refrig Mass Flow &amp; Cond kW'!D638*$C$6*(($C$19-$C$18)/1000)</f>
        <v>0</v>
      </c>
      <c r="D647">
        <f>'Refrig Mass Flow &amp; Cond kW'!D638*Winter!$C$6*((Winter!$C$17-Winter!$C$16)/1000)</f>
        <v>0</v>
      </c>
      <c r="E647">
        <f>'Refrig Mass Flow &amp; Cond kW'!D638*(($C$13-$C$14)-$C$6*($C$17-$C$18)/1000)-'Refrig Mass Flow &amp; Cond kW'!C638*(1-$C$6/($C$10+273))</f>
        <v>0</v>
      </c>
      <c r="F647" s="13"/>
      <c r="G647" s="13">
        <f>'Refrig Mass Flow &amp; Cond kW'!F638*$C$6*($G$19-$G$18)/1000</f>
        <v>0.43655776865948259</v>
      </c>
      <c r="H647">
        <f>'Refrig Mass Flow &amp; Cond kW'!F638*$C$6*($G$17-$G$16)/1000</f>
        <v>2.7220660869355009</v>
      </c>
      <c r="I647">
        <f>'Refrig Mass Flow &amp; Cond kW'!F638*(($G$13-$G$14)-$C$6*($G$17-$G$18)/1000)-'Refrig Mass Flow &amp; Cond kW'!E638*(1-$C$6/($G$10+273))</f>
        <v>1.2048138419376393</v>
      </c>
    </row>
    <row r="648" spans="2:9" x14ac:dyDescent="0.2">
      <c r="B648" s="2">
        <v>625</v>
      </c>
      <c r="C648">
        <f>'Refrig Mass Flow &amp; Cond kW'!D639*$C$6*(($C$19-$C$18)/1000)</f>
        <v>0</v>
      </c>
      <c r="D648">
        <f>'Refrig Mass Flow &amp; Cond kW'!D639*Winter!$C$6*((Winter!$C$17-Winter!$C$16)/1000)</f>
        <v>0</v>
      </c>
      <c r="E648">
        <f>'Refrig Mass Flow &amp; Cond kW'!D639*(($C$13-$C$14)-$C$6*($C$17-$C$18)/1000)-'Refrig Mass Flow &amp; Cond kW'!C639*(1-$C$6/($C$10+273))</f>
        <v>0</v>
      </c>
      <c r="F648" s="13"/>
      <c r="G648" s="13">
        <f>'Refrig Mass Flow &amp; Cond kW'!F639*$C$6*($G$19-$G$18)/1000</f>
        <v>0.39004647948724469</v>
      </c>
      <c r="H648">
        <f>'Refrig Mass Flow &amp; Cond kW'!F639*$C$6*($G$17-$G$16)/1000</f>
        <v>2.4320545191556753</v>
      </c>
      <c r="I648">
        <f>'Refrig Mass Flow &amp; Cond kW'!F639*(($G$13-$G$14)-$C$6*($G$17-$G$18)/1000)-'Refrig Mass Flow &amp; Cond kW'!E639*(1-$C$6/($G$10+273))</f>
        <v>1.0764518036828914</v>
      </c>
    </row>
    <row r="649" spans="2:9" x14ac:dyDescent="0.2">
      <c r="B649" s="2">
        <v>626</v>
      </c>
      <c r="C649">
        <f>'Refrig Mass Flow &amp; Cond kW'!D640*$C$6*(($C$19-$C$18)/1000)</f>
        <v>0</v>
      </c>
      <c r="D649">
        <f>'Refrig Mass Flow &amp; Cond kW'!D640*Winter!$C$6*((Winter!$C$17-Winter!$C$16)/1000)</f>
        <v>0</v>
      </c>
      <c r="E649">
        <f>'Refrig Mass Flow &amp; Cond kW'!D640*(($C$13-$C$14)-$C$6*($C$17-$C$18)/1000)-'Refrig Mass Flow &amp; Cond kW'!C640*(1-$C$6/($C$10+273))</f>
        <v>0</v>
      </c>
      <c r="F649" s="13"/>
      <c r="G649" s="13">
        <f>'Refrig Mass Flow &amp; Cond kW'!F640*$C$6*($G$19-$G$18)/1000</f>
        <v>0.34350682531838805</v>
      </c>
      <c r="H649">
        <f>'Refrig Mass Flow &amp; Cond kW'!F640*$C$6*($G$17-$G$16)/1000</f>
        <v>2.1418660872792854</v>
      </c>
      <c r="I649">
        <f>'Refrig Mass Flow &amp; Cond kW'!F640*(($G$13-$G$14)-$C$6*($G$17-$G$18)/1000)-'Refrig Mass Flow &amp; Cond kW'!E640*(1-$C$6/($G$10+273))</f>
        <v>0.94801148359923815</v>
      </c>
    </row>
    <row r="650" spans="2:9" x14ac:dyDescent="0.2">
      <c r="B650" s="2">
        <v>627</v>
      </c>
      <c r="C650">
        <f>'Refrig Mass Flow &amp; Cond kW'!D641*$C$6*(($C$19-$C$18)/1000)</f>
        <v>0</v>
      </c>
      <c r="D650">
        <f>'Refrig Mass Flow &amp; Cond kW'!D641*Winter!$C$6*((Winter!$C$17-Winter!$C$16)/1000)</f>
        <v>0</v>
      </c>
      <c r="E650">
        <f>'Refrig Mass Flow &amp; Cond kW'!D641*(($C$13-$C$14)-$C$6*($C$17-$C$18)/1000)-'Refrig Mass Flow &amp; Cond kW'!C641*(1-$C$6/($C$10+273))</f>
        <v>0</v>
      </c>
      <c r="F650" s="13"/>
      <c r="G650" s="13">
        <f>'Refrig Mass Flow &amp; Cond kW'!F641*$C$6*($G$19-$G$18)/1000</f>
        <v>0.29694307610672671</v>
      </c>
      <c r="H650">
        <f>'Refrig Mass Flow &amp; Cond kW'!F641*$C$6*($G$17-$G$16)/1000</f>
        <v>1.8515274157242307</v>
      </c>
      <c r="I650">
        <f>'Refrig Mass Flow &amp; Cond kW'!F641*(($G$13-$G$14)-$C$6*($G$17-$G$18)/1000)-'Refrig Mass Flow &amp; Cond kW'!E641*(1-$C$6/($G$10+273))</f>
        <v>0.81950466592196136</v>
      </c>
    </row>
    <row r="651" spans="2:9" x14ac:dyDescent="0.2">
      <c r="B651" s="2">
        <v>628</v>
      </c>
      <c r="C651">
        <f>'Refrig Mass Flow &amp; Cond kW'!D642*$C$6*(($C$19-$C$18)/1000)</f>
        <v>0</v>
      </c>
      <c r="D651">
        <f>'Refrig Mass Flow &amp; Cond kW'!D642*Winter!$C$6*((Winter!$C$17-Winter!$C$16)/1000)</f>
        <v>0</v>
      </c>
      <c r="E651">
        <f>'Refrig Mass Flow &amp; Cond kW'!D642*(($C$13-$C$14)-$C$6*($C$17-$C$18)/1000)-'Refrig Mass Flow &amp; Cond kW'!C642*(1-$C$6/($C$10+273))</f>
        <v>0</v>
      </c>
      <c r="F651" s="13"/>
      <c r="G651" s="13">
        <f>'Refrig Mass Flow &amp; Cond kW'!F642*$C$6*($G$19-$G$18)/1000</f>
        <v>0.25035950333659041</v>
      </c>
      <c r="H651">
        <f>'Refrig Mass Flow &amp; Cond kW'!F642*$C$6*($G$17-$G$16)/1000</f>
        <v>1.5610651384516263</v>
      </c>
      <c r="I651">
        <f>'Refrig Mass Flow &amp; Cond kW'!F642*(($G$13-$G$14)-$C$6*($G$17-$G$18)/1000)-'Refrig Mass Flow &amp; Cond kW'!E642*(1-$C$6/($G$10+273))</f>
        <v>0.69094313911026894</v>
      </c>
    </row>
    <row r="652" spans="2:9" x14ac:dyDescent="0.2">
      <c r="B652" s="2">
        <v>629</v>
      </c>
      <c r="C652">
        <f>'Refrig Mass Flow &amp; Cond kW'!D643*$C$6*(($C$19-$C$18)/1000)</f>
        <v>0</v>
      </c>
      <c r="D652">
        <f>'Refrig Mass Flow &amp; Cond kW'!D643*Winter!$C$6*((Winter!$C$17-Winter!$C$16)/1000)</f>
        <v>0</v>
      </c>
      <c r="E652">
        <f>'Refrig Mass Flow &amp; Cond kW'!D643*(($C$13-$C$14)-$C$6*($C$17-$C$18)/1000)-'Refrig Mass Flow &amp; Cond kW'!C643*(1-$C$6/($C$10+273))</f>
        <v>0</v>
      </c>
      <c r="F652" s="13"/>
      <c r="G652" s="13">
        <f>'Refrig Mass Flow &amp; Cond kW'!F643*$C$6*($G$19-$G$18)/1000</f>
        <v>0.20376037963109533</v>
      </c>
      <c r="H652">
        <f>'Refrig Mass Flow &amp; Cond kW'!F643*$C$6*($G$17-$G$16)/1000</f>
        <v>1.2705058965232554</v>
      </c>
      <c r="I652">
        <f>'Refrig Mass Flow &amp; Cond kW'!F643*(($G$13-$G$14)-$C$6*($G$17-$G$18)/1000)-'Refrig Mass Flow &amp; Cond kW'!E643*(1-$C$6/($G$10+273))</f>
        <v>0.56233869476618548</v>
      </c>
    </row>
    <row r="653" spans="2:9" x14ac:dyDescent="0.2">
      <c r="B653" s="2">
        <v>630</v>
      </c>
      <c r="C653">
        <f>'Refrig Mass Flow &amp; Cond kW'!D644*$C$6*(($C$19-$C$18)/1000)</f>
        <v>0</v>
      </c>
      <c r="D653">
        <f>'Refrig Mass Flow &amp; Cond kW'!D644*Winter!$C$6*((Winter!$C$17-Winter!$C$16)/1000)</f>
        <v>0</v>
      </c>
      <c r="E653">
        <f>'Refrig Mass Flow &amp; Cond kW'!D644*(($C$13-$C$14)-$C$6*($C$17-$C$18)/1000)-'Refrig Mass Flow &amp; Cond kW'!C644*(1-$C$6/($C$10+273))</f>
        <v>0</v>
      </c>
      <c r="F653" s="13"/>
      <c r="G653" s="13">
        <f>'Refrig Mass Flow &amp; Cond kW'!F644*$C$6*($G$19-$G$18)/1000</f>
        <v>0.15714997836035982</v>
      </c>
      <c r="H653">
        <f>'Refrig Mass Flow &amp; Cond kW'!F644*$C$6*($G$17-$G$16)/1000</f>
        <v>0.97987633565867949</v>
      </c>
      <c r="I653">
        <f>'Refrig Mass Flow &amp; Cond kW'!F644*(($G$13-$G$14)-$C$6*($G$17-$G$18)/1000)-'Refrig Mass Flow &amp; Cond kW'!E644*(1-$C$6/($G$10+273))</f>
        <v>0.43370312655332821</v>
      </c>
    </row>
    <row r="654" spans="2:9" x14ac:dyDescent="0.2">
      <c r="B654" s="2">
        <v>631</v>
      </c>
      <c r="C654">
        <f>'Refrig Mass Flow &amp; Cond kW'!D645*$C$6*(($C$19-$C$18)/1000)</f>
        <v>0</v>
      </c>
      <c r="D654">
        <f>'Refrig Mass Flow &amp; Cond kW'!D645*Winter!$C$6*((Winter!$C$17-Winter!$C$16)/1000)</f>
        <v>0</v>
      </c>
      <c r="E654">
        <f>'Refrig Mass Flow &amp; Cond kW'!D645*(($C$13-$C$14)-$C$6*($C$17-$C$18)/1000)-'Refrig Mass Flow &amp; Cond kW'!C645*(1-$C$6/($C$10+273))</f>
        <v>0</v>
      </c>
      <c r="F654" s="13"/>
      <c r="G654" s="13">
        <f>'Refrig Mass Flow &amp; Cond kW'!F645*$C$6*($G$19-$G$18)/1000</f>
        <v>0.11083974260767651</v>
      </c>
      <c r="H654">
        <f>'Refrig Mass Flow &amp; Cond kW'!F645*$C$6*($G$17-$G$16)/1000</f>
        <v>0.69111839508313511</v>
      </c>
      <c r="I654">
        <f>'Refrig Mass Flow &amp; Cond kW'!F645*(($G$13-$G$14)-$C$6*($G$17-$G$18)/1000)-'Refrig Mass Flow &amp; Cond kW'!E645*(1-$C$6/($G$10+273))</f>
        <v>0.30589595631431088</v>
      </c>
    </row>
    <row r="655" spans="2:9" x14ac:dyDescent="0.2">
      <c r="B655" s="2">
        <v>632</v>
      </c>
      <c r="C655">
        <f>'Refrig Mass Flow &amp; Cond kW'!D646*$C$6*(($C$19-$C$18)/1000)</f>
        <v>0</v>
      </c>
      <c r="D655">
        <f>'Refrig Mass Flow &amp; Cond kW'!D646*Winter!$C$6*((Winter!$C$17-Winter!$C$16)/1000)</f>
        <v>0</v>
      </c>
      <c r="E655">
        <f>'Refrig Mass Flow &amp; Cond kW'!D646*(($C$13-$C$14)-$C$6*($C$17-$C$18)/1000)-'Refrig Mass Flow &amp; Cond kW'!C646*(1-$C$6/($C$10+273))</f>
        <v>0</v>
      </c>
      <c r="F655" s="13"/>
      <c r="G655" s="13">
        <f>'Refrig Mass Flow &amp; Cond kW'!F646*$C$6*($G$19-$G$18)/1000</f>
        <v>6.469870302831085E-2</v>
      </c>
      <c r="H655">
        <f>'Refrig Mass Flow &amp; Cond kW'!F646*$C$6*($G$17-$G$16)/1000</f>
        <v>0.40341544241180632</v>
      </c>
      <c r="I655">
        <f>'Refrig Mass Flow &amp; Cond kW'!F646*(($G$13-$G$14)-$C$6*($G$17-$G$18)/1000)-'Refrig Mass Flow &amp; Cond kW'!E646*(1-$C$6/($G$10+273))</f>
        <v>0.17855573433792893</v>
      </c>
    </row>
    <row r="656" spans="2:9" x14ac:dyDescent="0.2">
      <c r="B656" s="2">
        <v>633</v>
      </c>
      <c r="C656">
        <f>'Refrig Mass Flow &amp; Cond kW'!D647*$C$6*(($C$19-$C$18)/1000)</f>
        <v>0</v>
      </c>
      <c r="D656">
        <f>'Refrig Mass Flow &amp; Cond kW'!D647*Winter!$C$6*((Winter!$C$17-Winter!$C$16)/1000)</f>
        <v>0</v>
      </c>
      <c r="E656">
        <f>'Refrig Mass Flow &amp; Cond kW'!D647*(($C$13-$C$14)-$C$6*($C$17-$C$18)/1000)-'Refrig Mass Flow &amp; Cond kW'!C647*(1-$C$6/($C$10+273))</f>
        <v>0</v>
      </c>
      <c r="F656" s="13"/>
      <c r="G656" s="13">
        <f>'Refrig Mass Flow &amp; Cond kW'!F647*$C$6*($G$19-$G$18)/1000</f>
        <v>1.8689214764863057E-2</v>
      </c>
      <c r="H656">
        <f>'Refrig Mass Flow &amp; Cond kW'!F647*$C$6*($G$17-$G$16)/1000</f>
        <v>0.11653275088678908</v>
      </c>
      <c r="I656">
        <f>'Refrig Mass Flow &amp; Cond kW'!F647*(($G$13-$G$14)-$C$6*($G$17-$G$18)/1000)-'Refrig Mass Flow &amp; Cond kW'!E647*(1-$C$6/($G$10+273))</f>
        <v>5.1578568199105113E-2</v>
      </c>
    </row>
    <row r="657" spans="2:9" x14ac:dyDescent="0.2">
      <c r="B657" s="2">
        <v>634</v>
      </c>
      <c r="C657">
        <f>'Refrig Mass Flow &amp; Cond kW'!D648*$C$6*(($C$19-$C$18)/1000)</f>
        <v>0</v>
      </c>
      <c r="D657">
        <f>'Refrig Mass Flow &amp; Cond kW'!D648*Winter!$C$6*((Winter!$C$17-Winter!$C$16)/1000)</f>
        <v>0</v>
      </c>
      <c r="E657">
        <f>'Refrig Mass Flow &amp; Cond kW'!D648*(($C$13-$C$14)-$C$6*($C$17-$C$18)/1000)-'Refrig Mass Flow &amp; Cond kW'!C648*(1-$C$6/($C$10+273))</f>
        <v>0</v>
      </c>
      <c r="F657" s="13"/>
      <c r="G657" s="13">
        <f>'Refrig Mass Flow &amp; Cond kW'!F648*$C$6*($G$19-$G$18)/1000</f>
        <v>0</v>
      </c>
      <c r="H657">
        <f>'Refrig Mass Flow &amp; Cond kW'!F648*$C$6*($G$17-$G$16)/1000</f>
        <v>0</v>
      </c>
      <c r="I657">
        <f>'Refrig Mass Flow &amp; Cond kW'!F648*(($G$13-$G$14)-$C$6*($G$17-$G$18)/1000)-'Refrig Mass Flow &amp; Cond kW'!E648*(1-$C$6/($G$10+273))</f>
        <v>0</v>
      </c>
    </row>
    <row r="658" spans="2:9" x14ac:dyDescent="0.2">
      <c r="B658" s="2">
        <v>635</v>
      </c>
      <c r="C658">
        <f>'Refrig Mass Flow &amp; Cond kW'!D649*$C$6*(($C$19-$C$18)/1000)</f>
        <v>1.3886438545691899</v>
      </c>
      <c r="D658">
        <f>'Refrig Mass Flow &amp; Cond kW'!D649*Winter!$C$6*((Winter!$C$17-Winter!$C$16)/1000)</f>
        <v>4.661875797482212</v>
      </c>
      <c r="E658">
        <f>'Refrig Mass Flow &amp; Cond kW'!D649*(($C$13-$C$14)-$C$6*($C$17-$C$18)/1000)-'Refrig Mass Flow &amp; Cond kW'!C649*(1-$C$6/($C$10+273))</f>
        <v>1.3249033708322493</v>
      </c>
      <c r="F658" s="13"/>
      <c r="G658" s="13">
        <f>'Refrig Mass Flow &amp; Cond kW'!F649*$C$6*($G$19-$G$18)/1000</f>
        <v>0</v>
      </c>
      <c r="H658">
        <f>'Refrig Mass Flow &amp; Cond kW'!F649*$C$6*($G$17-$G$16)/1000</f>
        <v>0</v>
      </c>
      <c r="I658">
        <f>'Refrig Mass Flow &amp; Cond kW'!F649*(($G$13-$G$14)-$C$6*($G$17-$G$18)/1000)-'Refrig Mass Flow &amp; Cond kW'!E649*(1-$C$6/($G$10+273))</f>
        <v>0</v>
      </c>
    </row>
    <row r="659" spans="2:9" x14ac:dyDescent="0.2">
      <c r="B659" s="2">
        <v>636</v>
      </c>
      <c r="C659">
        <f>'Refrig Mass Flow &amp; Cond kW'!D650*$C$6*(($C$19-$C$18)/1000)</f>
        <v>1.3532385244455125</v>
      </c>
      <c r="D659">
        <f>'Refrig Mass Flow &amp; Cond kW'!D650*Winter!$C$6*((Winter!$C$17-Winter!$C$16)/1000)</f>
        <v>4.5430150463527248</v>
      </c>
      <c r="E659">
        <f>'Refrig Mass Flow &amp; Cond kW'!D650*(($C$13-$C$14)-$C$6*($C$17-$C$18)/1000)-'Refrig Mass Flow &amp; Cond kW'!C650*(1-$C$6/($C$10+273))</f>
        <v>1.2911231894906194</v>
      </c>
      <c r="F659" s="13"/>
      <c r="G659" s="13">
        <f>'Refrig Mass Flow &amp; Cond kW'!F650*$C$6*($G$19-$G$18)/1000</f>
        <v>0</v>
      </c>
      <c r="H659">
        <f>'Refrig Mass Flow &amp; Cond kW'!F650*$C$6*($G$17-$G$16)/1000</f>
        <v>0</v>
      </c>
      <c r="I659">
        <f>'Refrig Mass Flow &amp; Cond kW'!F650*(($G$13-$G$14)-$C$6*($G$17-$G$18)/1000)-'Refrig Mass Flow &amp; Cond kW'!E650*(1-$C$6/($G$10+273))</f>
        <v>0</v>
      </c>
    </row>
    <row r="660" spans="2:9" x14ac:dyDescent="0.2">
      <c r="B660" s="2">
        <v>637</v>
      </c>
      <c r="C660">
        <f>'Refrig Mass Flow &amp; Cond kW'!D651*$C$6*(($C$19-$C$18)/1000)</f>
        <v>1.3178954623895103</v>
      </c>
      <c r="D660">
        <f>'Refrig Mass Flow &amp; Cond kW'!D651*Winter!$C$6*((Winter!$C$17-Winter!$C$16)/1000)</f>
        <v>4.4243633380218625</v>
      </c>
      <c r="E660">
        <f>'Refrig Mass Flow &amp; Cond kW'!D651*(($C$13-$C$14)-$C$6*($C$17-$C$18)/1000)-'Refrig Mass Flow &amp; Cond kW'!C651*(1-$C$6/($C$10+273))</f>
        <v>1.2574024180347472</v>
      </c>
      <c r="F660" s="13"/>
      <c r="G660" s="13">
        <f>'Refrig Mass Flow &amp; Cond kW'!F651*$C$6*($G$19-$G$18)/1000</f>
        <v>0</v>
      </c>
      <c r="H660">
        <f>'Refrig Mass Flow &amp; Cond kW'!F651*$C$6*($G$17-$G$16)/1000</f>
        <v>0</v>
      </c>
      <c r="I660">
        <f>'Refrig Mass Flow &amp; Cond kW'!F651*(($G$13-$G$14)-$C$6*($G$17-$G$18)/1000)-'Refrig Mass Flow &amp; Cond kW'!E651*(1-$C$6/($G$10+273))</f>
        <v>0</v>
      </c>
    </row>
    <row r="661" spans="2:9" x14ac:dyDescent="0.2">
      <c r="B661" s="2">
        <v>638</v>
      </c>
      <c r="C661">
        <f>'Refrig Mass Flow &amp; Cond kW'!D652*$C$6*(($C$19-$C$18)/1000)</f>
        <v>1.2826146062961172</v>
      </c>
      <c r="D661">
        <f>'Refrig Mass Flow &amp; Cond kW'!D652*Winter!$C$6*((Winter!$C$17-Winter!$C$16)/1000)</f>
        <v>4.3059204639940445</v>
      </c>
      <c r="E661">
        <f>'Refrig Mass Flow &amp; Cond kW'!D652*(($C$13-$C$14)-$C$6*($C$17-$C$18)/1000)-'Refrig Mass Flow &amp; Cond kW'!C652*(1-$C$6/($C$10+273))</f>
        <v>1.2237409972102604</v>
      </c>
      <c r="F661" s="13"/>
      <c r="G661" s="13">
        <f>'Refrig Mass Flow &amp; Cond kW'!F652*$C$6*($G$19-$G$18)/1000</f>
        <v>0</v>
      </c>
      <c r="H661">
        <f>'Refrig Mass Flow &amp; Cond kW'!F652*$C$6*($G$17-$G$16)/1000</f>
        <v>0</v>
      </c>
      <c r="I661">
        <f>'Refrig Mass Flow &amp; Cond kW'!F652*(($G$13-$G$14)-$C$6*($G$17-$G$18)/1000)-'Refrig Mass Flow &amp; Cond kW'!E652*(1-$C$6/($G$10+273))</f>
        <v>0</v>
      </c>
    </row>
    <row r="662" spans="2:9" x14ac:dyDescent="0.2">
      <c r="B662" s="2">
        <v>639</v>
      </c>
      <c r="C662">
        <f>'Refrig Mass Flow &amp; Cond kW'!D653*$C$6*(($C$19-$C$18)/1000)</f>
        <v>1.2473958939518233</v>
      </c>
      <c r="D662">
        <f>'Refrig Mass Flow &amp; Cond kW'!D653*Winter!$C$6*((Winter!$C$17-Winter!$C$16)/1000)</f>
        <v>4.1876862154096308</v>
      </c>
      <c r="E662">
        <f>'Refrig Mass Flow &amp; Cond kW'!D653*(($C$13-$C$14)-$C$6*($C$17-$C$18)/1000)-'Refrig Mass Flow &amp; Cond kW'!C653*(1-$C$6/($C$10+273))</f>
        <v>1.1901388676593392</v>
      </c>
      <c r="F662" s="13"/>
      <c r="G662" s="13">
        <f>'Refrig Mass Flow &amp; Cond kW'!F653*$C$6*($G$19-$G$18)/1000</f>
        <v>0</v>
      </c>
      <c r="H662">
        <f>'Refrig Mass Flow &amp; Cond kW'!F653*$C$6*($G$17-$G$16)/1000</f>
        <v>0</v>
      </c>
      <c r="I662">
        <f>'Refrig Mass Flow &amp; Cond kW'!F653*(($G$13-$G$14)-$C$6*($G$17-$G$18)/1000)-'Refrig Mass Flow &amp; Cond kW'!E653*(1-$C$6/($G$10+273))</f>
        <v>0</v>
      </c>
    </row>
    <row r="663" spans="2:9" x14ac:dyDescent="0.2">
      <c r="B663" s="2">
        <v>640</v>
      </c>
      <c r="C663">
        <f>'Refrig Mass Flow &amp; Cond kW'!D654*$C$6*(($C$19-$C$18)/1000)</f>
        <v>1.241575440937654</v>
      </c>
      <c r="D663">
        <f>'Refrig Mass Flow &amp; Cond kW'!D654*Winter!$C$6*((Winter!$C$17-Winter!$C$16)/1000)</f>
        <v>4.1681461231477774</v>
      </c>
      <c r="E663">
        <f>'Refrig Mass Flow &amp; Cond kW'!D654*(($C$13-$C$14)-$C$6*($C$17-$C$18)/1000)-'Refrig Mass Flow &amp; Cond kW'!C654*(1-$C$6/($C$10+273))</f>
        <v>1.1845855806931631</v>
      </c>
      <c r="F663" s="13"/>
      <c r="G663" s="13">
        <f>'Refrig Mass Flow &amp; Cond kW'!F654*$C$6*($G$19-$G$18)/1000</f>
        <v>0</v>
      </c>
      <c r="H663">
        <f>'Refrig Mass Flow &amp; Cond kW'!F654*$C$6*($G$17-$G$16)/1000</f>
        <v>0</v>
      </c>
      <c r="I663">
        <f>'Refrig Mass Flow &amp; Cond kW'!F654*(($G$13-$G$14)-$C$6*($G$17-$G$18)/1000)-'Refrig Mass Flow &amp; Cond kW'!E654*(1-$C$6/($G$10+273))</f>
        <v>0</v>
      </c>
    </row>
    <row r="664" spans="2:9" x14ac:dyDescent="0.2">
      <c r="B664" s="2">
        <v>641</v>
      </c>
      <c r="C664">
        <f>'Refrig Mass Flow &amp; Cond kW'!D655*$C$6*(($C$19-$C$18)/1000)</f>
        <v>1.2759965263833828</v>
      </c>
      <c r="D664">
        <f>'Refrig Mass Flow &amp; Cond kW'!D655*Winter!$C$6*((Winter!$C$17-Winter!$C$16)/1000)</f>
        <v>4.2837026242870078</v>
      </c>
      <c r="E664">
        <f>'Refrig Mass Flow &amp; Cond kW'!D655*(($C$13-$C$14)-$C$6*($C$17-$C$18)/1000)-'Refrig Mass Flow &amp; Cond kW'!C655*(1-$C$6/($C$10+273))</f>
        <v>1.2174266954143285</v>
      </c>
      <c r="F664" s="13"/>
      <c r="G664" s="13">
        <f>'Refrig Mass Flow &amp; Cond kW'!F655*$C$6*($G$19-$G$18)/1000</f>
        <v>0</v>
      </c>
      <c r="H664">
        <f>'Refrig Mass Flow &amp; Cond kW'!F655*$C$6*($G$17-$G$16)/1000</f>
        <v>0</v>
      </c>
      <c r="I664">
        <f>'Refrig Mass Flow &amp; Cond kW'!F655*(($G$13-$G$14)-$C$6*($G$17-$G$18)/1000)-'Refrig Mass Flow &amp; Cond kW'!E655*(1-$C$6/($G$10+273))</f>
        <v>0</v>
      </c>
    </row>
    <row r="665" spans="2:9" x14ac:dyDescent="0.2">
      <c r="B665" s="2">
        <v>642</v>
      </c>
      <c r="C665">
        <f>'Refrig Mass Flow &amp; Cond kW'!D656*$C$6*(($C$19-$C$18)/1000)</f>
        <v>1.3103576271852324</v>
      </c>
      <c r="D665">
        <f>'Refrig Mass Flow &amp; Cond kW'!D656*Winter!$C$6*((Winter!$C$17-Winter!$C$16)/1000)</f>
        <v>4.3990577484075013</v>
      </c>
      <c r="E665">
        <f>'Refrig Mass Flow &amp; Cond kW'!D656*(($C$13-$C$14)-$C$6*($C$17-$C$18)/1000)-'Refrig Mass Flow &amp; Cond kW'!C656*(1-$C$6/($C$10+273))</f>
        <v>1.2502105788615374</v>
      </c>
      <c r="F665" s="13"/>
      <c r="G665" s="13">
        <f>'Refrig Mass Flow &amp; Cond kW'!F656*$C$6*($G$19-$G$18)/1000</f>
        <v>0</v>
      </c>
      <c r="H665">
        <f>'Refrig Mass Flow &amp; Cond kW'!F656*$C$6*($G$17-$G$16)/1000</f>
        <v>0</v>
      </c>
      <c r="I665">
        <f>'Refrig Mass Flow &amp; Cond kW'!F656*(($G$13-$G$14)-$C$6*($G$17-$G$18)/1000)-'Refrig Mass Flow &amp; Cond kW'!E656*(1-$C$6/($G$10+273))</f>
        <v>0</v>
      </c>
    </row>
    <row r="666" spans="2:9" x14ac:dyDescent="0.2">
      <c r="B666" s="2">
        <v>643</v>
      </c>
      <c r="C666">
        <f>'Refrig Mass Flow &amp; Cond kW'!D657*$C$6*(($C$19-$C$18)/1000)</f>
        <v>1.3446626853389541</v>
      </c>
      <c r="D666">
        <f>'Refrig Mass Flow &amp; Cond kW'!D657*Winter!$C$6*((Winter!$C$17-Winter!$C$16)/1000)</f>
        <v>4.5142247293521365</v>
      </c>
      <c r="E666">
        <f>'Refrig Mass Flow &amp; Cond kW'!D657*(($C$13-$C$14)-$C$6*($C$17-$C$18)/1000)-'Refrig Mass Flow &amp; Cond kW'!C657*(1-$C$6/($C$10+273))</f>
        <v>1.2829409920880153</v>
      </c>
      <c r="F666" s="13"/>
      <c r="G666" s="13">
        <f>'Refrig Mass Flow &amp; Cond kW'!F657*$C$6*($G$19-$G$18)/1000</f>
        <v>0</v>
      </c>
      <c r="H666">
        <f>'Refrig Mass Flow &amp; Cond kW'!F657*$C$6*($G$17-$G$16)/1000</f>
        <v>0</v>
      </c>
      <c r="I666">
        <f>'Refrig Mass Flow &amp; Cond kW'!F657*(($G$13-$G$14)-$C$6*($G$17-$G$18)/1000)-'Refrig Mass Flow &amp; Cond kW'!E657*(1-$C$6/($G$10+273))</f>
        <v>0</v>
      </c>
    </row>
    <row r="667" spans="2:9" x14ac:dyDescent="0.2">
      <c r="B667" s="2">
        <v>644</v>
      </c>
      <c r="C667">
        <f>'Refrig Mass Flow &amp; Cond kW'!D658*$C$6*(($C$19-$C$18)/1000)</f>
        <v>1.3789150264671119</v>
      </c>
      <c r="D667">
        <f>'Refrig Mass Flow &amp; Cond kW'!D658*Winter!$C$6*((Winter!$C$17-Winter!$C$16)/1000)</f>
        <v>4.6292147317109507</v>
      </c>
      <c r="E667">
        <f>'Refrig Mass Flow &amp; Cond kW'!D658*(($C$13-$C$14)-$C$6*($C$17-$C$18)/1000)-'Refrig Mass Flow &amp; Cond kW'!C658*(1-$C$6/($C$10+273))</f>
        <v>1.3156211080661144</v>
      </c>
      <c r="F667" s="13"/>
      <c r="G667" s="13">
        <f>'Refrig Mass Flow &amp; Cond kW'!F658*$C$6*($G$19-$G$18)/1000</f>
        <v>0</v>
      </c>
      <c r="H667">
        <f>'Refrig Mass Flow &amp; Cond kW'!F658*$C$6*($G$17-$G$16)/1000</f>
        <v>0</v>
      </c>
      <c r="I667">
        <f>'Refrig Mass Flow &amp; Cond kW'!F658*(($G$13-$G$14)-$C$6*($G$17-$G$18)/1000)-'Refrig Mass Flow &amp; Cond kW'!E658*(1-$C$6/($G$10+273))</f>
        <v>0</v>
      </c>
    </row>
    <row r="668" spans="2:9" x14ac:dyDescent="0.2">
      <c r="B668" s="2">
        <v>645</v>
      </c>
      <c r="C668">
        <f>'Refrig Mass Flow &amp; Cond kW'!D659*$C$6*(($C$19-$C$18)/1000)</f>
        <v>1.4142020723807471</v>
      </c>
      <c r="D668">
        <f>'Refrig Mass Flow &amp; Cond kW'!D659*Winter!$C$6*((Winter!$C$17-Winter!$C$16)/1000)</f>
        <v>4.7476783858495812</v>
      </c>
      <c r="E668">
        <f>'Refrig Mass Flow &amp; Cond kW'!D659*(($C$13-$C$14)-$C$6*($C$17-$C$18)/1000)-'Refrig Mass Flow &amp; Cond kW'!C659*(1-$C$6/($C$10+273))</f>
        <v>1.349288434590374</v>
      </c>
      <c r="F668" s="13"/>
      <c r="G668" s="13">
        <f>'Refrig Mass Flow &amp; Cond kW'!F659*$C$6*($G$19-$G$18)/1000</f>
        <v>0</v>
      </c>
      <c r="H668">
        <f>'Refrig Mass Flow &amp; Cond kW'!F659*$C$6*($G$17-$G$16)/1000</f>
        <v>0</v>
      </c>
      <c r="I668">
        <f>'Refrig Mass Flow &amp; Cond kW'!F659*(($G$13-$G$14)-$C$6*($G$17-$G$18)/1000)-'Refrig Mass Flow &amp; Cond kW'!E659*(1-$C$6/($G$10+273))</f>
        <v>0</v>
      </c>
    </row>
    <row r="669" spans="2:9" x14ac:dyDescent="0.2">
      <c r="B669" s="2">
        <v>646</v>
      </c>
      <c r="C669">
        <f>'Refrig Mass Flow &amp; Cond kW'!D660*$C$6*(($C$19-$C$18)/1000)</f>
        <v>1.4521611102069854</v>
      </c>
      <c r="D669">
        <f>'Refrig Mass Flow &amp; Cond kW'!D660*Winter!$C$6*((Winter!$C$17-Winter!$C$16)/1000)</f>
        <v>4.8751122985519508</v>
      </c>
      <c r="E669">
        <f>'Refrig Mass Flow &amp; Cond kW'!D660*(($C$13-$C$14)-$C$6*($C$17-$C$18)/1000)-'Refrig Mass Flow &amp; Cond kW'!C660*(1-$C$6/($C$10+273))</f>
        <v>1.3855051052680629</v>
      </c>
      <c r="F669" s="13"/>
      <c r="G669" s="13">
        <f>'Refrig Mass Flow &amp; Cond kW'!F660*$C$6*($G$19-$G$18)/1000</f>
        <v>0</v>
      </c>
      <c r="H669">
        <f>'Refrig Mass Flow &amp; Cond kW'!F660*$C$6*($G$17-$G$16)/1000</f>
        <v>0</v>
      </c>
      <c r="I669">
        <f>'Refrig Mass Flow &amp; Cond kW'!F660*(($G$13-$G$14)-$C$6*($G$17-$G$18)/1000)-'Refrig Mass Flow &amp; Cond kW'!E660*(1-$C$6/($G$10+273))</f>
        <v>0</v>
      </c>
    </row>
    <row r="670" spans="2:9" x14ac:dyDescent="0.2">
      <c r="B670" s="2">
        <v>647</v>
      </c>
      <c r="C670">
        <f>'Refrig Mass Flow &amp; Cond kW'!D661*$C$6*(($C$19-$C$18)/1000)</f>
        <v>1.4548489028044589</v>
      </c>
      <c r="D670">
        <f>'Refrig Mass Flow &amp; Cond kW'!D661*Winter!$C$6*((Winter!$C$17-Winter!$C$16)/1000)</f>
        <v>4.8841356022720408</v>
      </c>
      <c r="E670">
        <f>'Refrig Mass Flow &amp; Cond kW'!D661*(($C$13-$C$14)-$C$6*($C$17-$C$18)/1000)-'Refrig Mass Flow &amp; Cond kW'!C661*(1-$C$6/($C$10+273))</f>
        <v>1.3880695248352382</v>
      </c>
      <c r="F670" s="13"/>
      <c r="G670" s="13">
        <f>'Refrig Mass Flow &amp; Cond kW'!F661*$C$6*($G$19-$G$18)/1000</f>
        <v>0</v>
      </c>
      <c r="H670">
        <f>'Refrig Mass Flow &amp; Cond kW'!F661*$C$6*($G$17-$G$16)/1000</f>
        <v>0</v>
      </c>
      <c r="I670">
        <f>'Refrig Mass Flow &amp; Cond kW'!F661*(($G$13-$G$14)-$C$6*($G$17-$G$18)/1000)-'Refrig Mass Flow &amp; Cond kW'!E661*(1-$C$6/($G$10+273))</f>
        <v>0</v>
      </c>
    </row>
    <row r="671" spans="2:9" x14ac:dyDescent="0.2">
      <c r="B671" s="2">
        <v>648</v>
      </c>
      <c r="C671">
        <f>'Refrig Mass Flow &amp; Cond kW'!D662*$C$6*(($C$19-$C$18)/1000)</f>
        <v>1.432583378562732</v>
      </c>
      <c r="D671">
        <f>'Refrig Mass Flow &amp; Cond kW'!D662*Winter!$C$6*((Winter!$C$17-Winter!$C$16)/1000)</f>
        <v>4.8093870566033869</v>
      </c>
      <c r="E671">
        <f>'Refrig Mass Flow &amp; Cond kW'!D662*(($C$13-$C$14)-$C$6*($C$17-$C$18)/1000)-'Refrig Mass Flow &amp; Cond kW'!C662*(1-$C$6/($C$10+273))</f>
        <v>1.3668260159080603</v>
      </c>
      <c r="F671" s="13"/>
      <c r="G671" s="13">
        <f>'Refrig Mass Flow &amp; Cond kW'!F662*$C$6*($G$19-$G$18)/1000</f>
        <v>0</v>
      </c>
      <c r="H671">
        <f>'Refrig Mass Flow &amp; Cond kW'!F662*$C$6*($G$17-$G$16)/1000</f>
        <v>0</v>
      </c>
      <c r="I671">
        <f>'Refrig Mass Flow &amp; Cond kW'!F662*(($G$13-$G$14)-$C$6*($G$17-$G$18)/1000)-'Refrig Mass Flow &amp; Cond kW'!E662*(1-$C$6/($G$10+273))</f>
        <v>0</v>
      </c>
    </row>
    <row r="672" spans="2:9" x14ac:dyDescent="0.2">
      <c r="B672" s="2">
        <v>649</v>
      </c>
      <c r="C672">
        <f>'Refrig Mass Flow &amp; Cond kW'!D663*$C$6*(($C$19-$C$18)/1000)</f>
        <v>1.4119576334790296</v>
      </c>
      <c r="D672">
        <f>'Refrig Mass Flow &amp; Cond kW'!D663*Winter!$C$6*((Winter!$C$17-Winter!$C$16)/1000)</f>
        <v>4.7401434838223873</v>
      </c>
      <c r="E672">
        <f>'Refrig Mass Flow &amp; Cond kW'!D663*(($C$13-$C$14)-$C$6*($C$17-$C$18)/1000)-'Refrig Mass Flow &amp; Cond kW'!C663*(1-$C$6/($C$10+273))</f>
        <v>1.3471470182317233</v>
      </c>
      <c r="F672" s="13"/>
      <c r="G672" s="13">
        <f>'Refrig Mass Flow &amp; Cond kW'!F663*$C$6*($G$19-$G$18)/1000</f>
        <v>0</v>
      </c>
      <c r="H672">
        <f>'Refrig Mass Flow &amp; Cond kW'!F663*$C$6*($G$17-$G$16)/1000</f>
        <v>0</v>
      </c>
      <c r="I672">
        <f>'Refrig Mass Flow &amp; Cond kW'!F663*(($G$13-$G$14)-$C$6*($G$17-$G$18)/1000)-'Refrig Mass Flow &amp; Cond kW'!E663*(1-$C$6/($G$10+273))</f>
        <v>0</v>
      </c>
    </row>
    <row r="673" spans="2:9" x14ac:dyDescent="0.2">
      <c r="B673" s="2">
        <v>650</v>
      </c>
      <c r="C673">
        <f>'Refrig Mass Flow &amp; Cond kW'!D664*$C$6*(($C$19-$C$18)/1000)</f>
        <v>1.3921346325471931</v>
      </c>
      <c r="D673">
        <f>'Refrig Mass Flow &amp; Cond kW'!D664*Winter!$C$6*((Winter!$C$17-Winter!$C$16)/1000)</f>
        <v>4.6735948378369363</v>
      </c>
      <c r="E673">
        <f>'Refrig Mass Flow &amp; Cond kW'!D664*(($C$13-$C$14)-$C$6*($C$17-$C$18)/1000)-'Refrig Mass Flow &amp; Cond kW'!C664*(1-$C$6/($C$10+273))</f>
        <v>1.3282339177501399</v>
      </c>
      <c r="F673" s="13"/>
      <c r="G673" s="13">
        <f>'Refrig Mass Flow &amp; Cond kW'!F664*$C$6*($G$19-$G$18)/1000</f>
        <v>0</v>
      </c>
      <c r="H673">
        <f>'Refrig Mass Flow &amp; Cond kW'!F664*$C$6*($G$17-$G$16)/1000</f>
        <v>0</v>
      </c>
      <c r="I673">
        <f>'Refrig Mass Flow &amp; Cond kW'!F664*(($G$13-$G$14)-$C$6*($G$17-$G$18)/1000)-'Refrig Mass Flow &amp; Cond kW'!E664*(1-$C$6/($G$10+273))</f>
        <v>0</v>
      </c>
    </row>
    <row r="674" spans="2:9" x14ac:dyDescent="0.2">
      <c r="B674" s="2">
        <v>651</v>
      </c>
      <c r="C674">
        <f>'Refrig Mass Flow &amp; Cond kW'!D665*$C$6*(($C$19-$C$18)/1000)</f>
        <v>1.3714390929302145</v>
      </c>
      <c r="D674">
        <f>'Refrig Mass Flow &amp; Cond kW'!D665*Winter!$C$6*((Winter!$C$17-Winter!$C$16)/1000)</f>
        <v>4.6041169548370817</v>
      </c>
      <c r="E674">
        <f>'Refrig Mass Flow &amp; Cond kW'!D665*(($C$13-$C$14)-$C$6*($C$17-$C$18)/1000)-'Refrig Mass Flow &amp; Cond kW'!C665*(1-$C$6/($C$10+273))</f>
        <v>1.3084883291965994</v>
      </c>
      <c r="F674" s="13"/>
      <c r="G674" s="13">
        <f>'Refrig Mass Flow &amp; Cond kW'!F665*$C$6*($G$19-$G$18)/1000</f>
        <v>0</v>
      </c>
      <c r="H674">
        <f>'Refrig Mass Flow &amp; Cond kW'!F665*$C$6*($G$17-$G$16)/1000</f>
        <v>0</v>
      </c>
      <c r="I674">
        <f>'Refrig Mass Flow &amp; Cond kW'!F665*(($G$13-$G$14)-$C$6*($G$17-$G$18)/1000)-'Refrig Mass Flow &amp; Cond kW'!E665*(1-$C$6/($G$10+273))</f>
        <v>0</v>
      </c>
    </row>
    <row r="675" spans="2:9" x14ac:dyDescent="0.2">
      <c r="B675" s="2">
        <v>652</v>
      </c>
      <c r="C675">
        <f>'Refrig Mass Flow &amp; Cond kW'!D666*$C$6*(($C$19-$C$18)/1000)</f>
        <v>1.3490329860030965</v>
      </c>
      <c r="D675">
        <f>'Refrig Mass Flow &amp; Cond kW'!D666*Winter!$C$6*((Winter!$C$17-Winter!$C$16)/1000)</f>
        <v>4.5288964530103293</v>
      </c>
      <c r="E675">
        <f>'Refrig Mass Flow &amp; Cond kW'!D666*(($C$13-$C$14)-$C$6*($C$17-$C$18)/1000)-'Refrig Mass Flow &amp; Cond kW'!C666*(1-$C$6/($C$10+273))</f>
        <v>1.2871106905045124</v>
      </c>
      <c r="F675" s="13"/>
      <c r="G675" s="13">
        <f>'Refrig Mass Flow &amp; Cond kW'!F666*$C$6*($G$19-$G$18)/1000</f>
        <v>0</v>
      </c>
      <c r="H675">
        <f>'Refrig Mass Flow &amp; Cond kW'!F666*$C$6*($G$17-$G$16)/1000</f>
        <v>0</v>
      </c>
      <c r="I675">
        <f>'Refrig Mass Flow &amp; Cond kW'!F666*(($G$13-$G$14)-$C$6*($G$17-$G$18)/1000)-'Refrig Mass Flow &amp; Cond kW'!E666*(1-$C$6/($G$10+273))</f>
        <v>0</v>
      </c>
    </row>
    <row r="676" spans="2:9" x14ac:dyDescent="0.2">
      <c r="B676" s="2">
        <v>653</v>
      </c>
      <c r="C676">
        <f>'Refrig Mass Flow &amp; Cond kW'!D667*$C$6*(($C$19-$C$18)/1000)</f>
        <v>1.3249159405698174</v>
      </c>
      <c r="D676">
        <f>'Refrig Mass Flow &amp; Cond kW'!D667*Winter!$C$6*((Winter!$C$17-Winter!$C$16)/1000)</f>
        <v>4.4479320861986071</v>
      </c>
      <c r="E676">
        <f>'Refrig Mass Flow &amp; Cond kW'!D667*(($C$13-$C$14)-$C$6*($C$17-$C$18)/1000)-'Refrig Mass Flow &amp; Cond kW'!C667*(1-$C$6/($C$10+273))</f>
        <v>1.2641006475162193</v>
      </c>
      <c r="F676" s="13"/>
      <c r="G676" s="13">
        <f>'Refrig Mass Flow &amp; Cond kW'!F667*$C$6*($G$19-$G$18)/1000</f>
        <v>0</v>
      </c>
      <c r="H676">
        <f>'Refrig Mass Flow &amp; Cond kW'!F667*$C$6*($G$17-$G$16)/1000</f>
        <v>0</v>
      </c>
      <c r="I676">
        <f>'Refrig Mass Flow &amp; Cond kW'!F667*(($G$13-$G$14)-$C$6*($G$17-$G$18)/1000)-'Refrig Mass Flow &amp; Cond kW'!E667*(1-$C$6/($G$10+273))</f>
        <v>0</v>
      </c>
    </row>
    <row r="677" spans="2:9" x14ac:dyDescent="0.2">
      <c r="B677" s="2">
        <v>654</v>
      </c>
      <c r="C677">
        <f>'Refrig Mass Flow &amp; Cond kW'!D668*$C$6*(($C$19-$C$18)/1000)</f>
        <v>1.2990875971300502</v>
      </c>
      <c r="D677">
        <f>'Refrig Mass Flow &amp; Cond kW'!D668*Winter!$C$6*((Winter!$C$17-Winter!$C$16)/1000)</f>
        <v>4.3612226475079616</v>
      </c>
      <c r="E677">
        <f>'Refrig Mass Flow &amp; Cond kW'!D668*(($C$13-$C$14)-$C$6*($C$17-$C$18)/1000)-'Refrig Mass Flow &amp; Cond kW'!C668*(1-$C$6/($C$10+273))</f>
        <v>1.2394578572329031</v>
      </c>
      <c r="F677" s="13"/>
      <c r="G677" s="13">
        <f>'Refrig Mass Flow &amp; Cond kW'!F668*$C$6*($G$19-$G$18)/1000</f>
        <v>0</v>
      </c>
      <c r="H677">
        <f>'Refrig Mass Flow &amp; Cond kW'!F668*$C$6*($G$17-$G$16)/1000</f>
        <v>0</v>
      </c>
      <c r="I677">
        <f>'Refrig Mass Flow &amp; Cond kW'!F668*(($G$13-$G$14)-$C$6*($G$17-$G$18)/1000)-'Refrig Mass Flow &amp; Cond kW'!E668*(1-$C$6/($G$10+273))</f>
        <v>0</v>
      </c>
    </row>
    <row r="678" spans="2:9" x14ac:dyDescent="0.2">
      <c r="B678" s="2">
        <v>655</v>
      </c>
      <c r="C678">
        <f>'Refrig Mass Flow &amp; Cond kW'!D669*$C$6*(($C$19-$C$18)/1000)</f>
        <v>1.3010692647532041</v>
      </c>
      <c r="D678">
        <f>'Refrig Mass Flow &amp; Cond kW'!D669*Winter!$C$6*((Winter!$C$17-Winter!$C$16)/1000)</f>
        <v>4.3678753888142632</v>
      </c>
      <c r="E678">
        <f>'Refrig Mass Flow &amp; Cond kW'!D669*(($C$13-$C$14)-$C$6*($C$17-$C$18)/1000)-'Refrig Mass Flow &amp; Cond kW'!C669*(1-$C$6/($C$10+273))</f>
        <v>1.2413485638421946</v>
      </c>
      <c r="F678" s="13"/>
      <c r="G678" s="13">
        <f>'Refrig Mass Flow &amp; Cond kW'!F669*$C$6*($G$19-$G$18)/1000</f>
        <v>0</v>
      </c>
      <c r="H678">
        <f>'Refrig Mass Flow &amp; Cond kW'!F669*$C$6*($G$17-$G$16)/1000</f>
        <v>0</v>
      </c>
      <c r="I678">
        <f>'Refrig Mass Flow &amp; Cond kW'!F669*(($G$13-$G$14)-$C$6*($G$17-$G$18)/1000)-'Refrig Mass Flow &amp; Cond kW'!E669*(1-$C$6/($G$10+273))</f>
        <v>0</v>
      </c>
    </row>
    <row r="679" spans="2:9" x14ac:dyDescent="0.2">
      <c r="B679" s="2">
        <v>656</v>
      </c>
      <c r="C679">
        <f>'Refrig Mass Flow &amp; Cond kW'!D670*$C$6*(($C$19-$C$18)/1000)</f>
        <v>1.3416938775968841</v>
      </c>
      <c r="D679">
        <f>'Refrig Mass Flow &amp; Cond kW'!D670*Winter!$C$6*((Winter!$C$17-Winter!$C$16)/1000)</f>
        <v>4.5042580176466158</v>
      </c>
      <c r="E679">
        <f>'Refrig Mass Flow &amp; Cond kW'!D670*(($C$13-$C$14)-$C$6*($C$17-$C$18)/1000)-'Refrig Mass Flow &amp; Cond kW'!C670*(1-$C$6/($C$10+273))</f>
        <v>1.2801084563216421</v>
      </c>
      <c r="F679" s="13"/>
      <c r="G679" s="13">
        <f>'Refrig Mass Flow &amp; Cond kW'!F670*$C$6*($G$19-$G$18)/1000</f>
        <v>0</v>
      </c>
      <c r="H679">
        <f>'Refrig Mass Flow &amp; Cond kW'!F670*$C$6*($G$17-$G$16)/1000</f>
        <v>0</v>
      </c>
      <c r="I679">
        <f>'Refrig Mass Flow &amp; Cond kW'!F670*(($G$13-$G$14)-$C$6*($G$17-$G$18)/1000)-'Refrig Mass Flow &amp; Cond kW'!E670*(1-$C$6/($G$10+273))</f>
        <v>0</v>
      </c>
    </row>
    <row r="680" spans="2:9" x14ac:dyDescent="0.2">
      <c r="B680" s="2">
        <v>657</v>
      </c>
      <c r="C680">
        <f>'Refrig Mass Flow &amp; Cond kW'!D671*$C$6*(($C$19-$C$18)/1000)</f>
        <v>1.3403310576794423</v>
      </c>
      <c r="D680">
        <f>'Refrig Mass Flow &amp; Cond kW'!D671*Winter!$C$6*((Winter!$C$17-Winter!$C$16)/1000)</f>
        <v>4.4996828364952046</v>
      </c>
      <c r="E680">
        <f>'Refrig Mass Flow &amp; Cond kW'!D671*(($C$13-$C$14)-$C$6*($C$17-$C$18)/1000)-'Refrig Mass Flow &amp; Cond kW'!C671*(1-$C$6/($C$10+273))</f>
        <v>1.2788081915370348</v>
      </c>
      <c r="F680" s="13"/>
      <c r="G680" s="13">
        <f>'Refrig Mass Flow &amp; Cond kW'!F671*$C$6*($G$19-$G$18)/1000</f>
        <v>0</v>
      </c>
      <c r="H680">
        <f>'Refrig Mass Flow &amp; Cond kW'!F671*$C$6*($G$17-$G$16)/1000</f>
        <v>0</v>
      </c>
      <c r="I680">
        <f>'Refrig Mass Flow &amp; Cond kW'!F671*(($G$13-$G$14)-$C$6*($G$17-$G$18)/1000)-'Refrig Mass Flow &amp; Cond kW'!E671*(1-$C$6/($G$10+273))</f>
        <v>0</v>
      </c>
    </row>
    <row r="681" spans="2:9" x14ac:dyDescent="0.2">
      <c r="B681" s="2">
        <v>658</v>
      </c>
      <c r="C681">
        <f>'Refrig Mass Flow &amp; Cond kW'!D672*$C$6*(($C$19-$C$18)/1000)</f>
        <v>1.3076981674626793</v>
      </c>
      <c r="D681">
        <f>'Refrig Mass Flow &amp; Cond kW'!D672*Winter!$C$6*((Winter!$C$17-Winter!$C$16)/1000)</f>
        <v>4.3901295621960728</v>
      </c>
      <c r="E681">
        <f>'Refrig Mass Flow &amp; Cond kW'!D672*(($C$13-$C$14)-$C$6*($C$17-$C$18)/1000)-'Refrig Mass Flow &amp; Cond kW'!C672*(1-$C$6/($C$10+273))</f>
        <v>1.2476731916550143</v>
      </c>
      <c r="F681" s="13"/>
      <c r="G681" s="13">
        <f>'Refrig Mass Flow &amp; Cond kW'!F672*$C$6*($G$19-$G$18)/1000</f>
        <v>0</v>
      </c>
      <c r="H681">
        <f>'Refrig Mass Flow &amp; Cond kW'!F672*$C$6*($G$17-$G$16)/1000</f>
        <v>0</v>
      </c>
      <c r="I681">
        <f>'Refrig Mass Flow &amp; Cond kW'!F672*(($G$13-$G$14)-$C$6*($G$17-$G$18)/1000)-'Refrig Mass Flow &amp; Cond kW'!E672*(1-$C$6/($G$10+273))</f>
        <v>0</v>
      </c>
    </row>
    <row r="682" spans="2:9" x14ac:dyDescent="0.2">
      <c r="B682" s="2">
        <v>659</v>
      </c>
      <c r="C682">
        <f>'Refrig Mass Flow &amp; Cond kW'!D673*$C$6*(($C$19-$C$18)/1000)</f>
        <v>0</v>
      </c>
      <c r="D682">
        <f>'Refrig Mass Flow &amp; Cond kW'!D673*Winter!$C$6*((Winter!$C$17-Winter!$C$16)/1000)</f>
        <v>0</v>
      </c>
      <c r="E682">
        <f>'Refrig Mass Flow &amp; Cond kW'!D673*(($C$13-$C$14)-$C$6*($C$17-$C$18)/1000)-'Refrig Mass Flow &amp; Cond kW'!C673*(1-$C$6/($C$10+273))</f>
        <v>0</v>
      </c>
      <c r="F682" s="13"/>
      <c r="G682" s="13">
        <f>'Refrig Mass Flow &amp; Cond kW'!F673*$C$6*($G$19-$G$18)/1000</f>
        <v>0</v>
      </c>
      <c r="H682">
        <f>'Refrig Mass Flow &amp; Cond kW'!F673*$C$6*($G$17-$G$16)/1000</f>
        <v>0</v>
      </c>
      <c r="I682">
        <f>'Refrig Mass Flow &amp; Cond kW'!F673*(($G$13-$G$14)-$C$6*($G$17-$G$18)/1000)-'Refrig Mass Flow &amp; Cond kW'!E673*(1-$C$6/($G$10+273))</f>
        <v>0</v>
      </c>
    </row>
    <row r="683" spans="2:9" x14ac:dyDescent="0.2">
      <c r="B683" s="2">
        <v>660</v>
      </c>
      <c r="C683">
        <f>'Refrig Mass Flow &amp; Cond kW'!D674*$C$6*(($C$19-$C$18)/1000)</f>
        <v>0</v>
      </c>
      <c r="D683">
        <f>'Refrig Mass Flow &amp; Cond kW'!D674*Winter!$C$6*((Winter!$C$17-Winter!$C$16)/1000)</f>
        <v>0</v>
      </c>
      <c r="E683">
        <f>'Refrig Mass Flow &amp; Cond kW'!D674*(($C$13-$C$14)-$C$6*($C$17-$C$18)/1000)-'Refrig Mass Flow &amp; Cond kW'!C674*(1-$C$6/($C$10+273))</f>
        <v>0</v>
      </c>
      <c r="F683" s="13"/>
      <c r="G683" s="13">
        <f>'Refrig Mass Flow &amp; Cond kW'!F674*$C$6*($G$19-$G$18)/1000</f>
        <v>0</v>
      </c>
      <c r="H683">
        <f>'Refrig Mass Flow &amp; Cond kW'!F674*$C$6*($G$17-$G$16)/1000</f>
        <v>0</v>
      </c>
      <c r="I683">
        <f>'Refrig Mass Flow &amp; Cond kW'!F674*(($G$13-$G$14)-$C$6*($G$17-$G$18)/1000)-'Refrig Mass Flow &amp; Cond kW'!E674*(1-$C$6/($G$10+273))</f>
        <v>0</v>
      </c>
    </row>
    <row r="684" spans="2:9" x14ac:dyDescent="0.2">
      <c r="B684" s="2">
        <v>661</v>
      </c>
      <c r="C684">
        <f>'Refrig Mass Flow &amp; Cond kW'!D675*$C$6*(($C$19-$C$18)/1000)</f>
        <v>0</v>
      </c>
      <c r="D684">
        <f>'Refrig Mass Flow &amp; Cond kW'!D675*Winter!$C$6*((Winter!$C$17-Winter!$C$16)/1000)</f>
        <v>0</v>
      </c>
      <c r="E684">
        <f>'Refrig Mass Flow &amp; Cond kW'!D675*(($C$13-$C$14)-$C$6*($C$17-$C$18)/1000)-'Refrig Mass Flow &amp; Cond kW'!C675*(1-$C$6/($C$10+273))</f>
        <v>0</v>
      </c>
      <c r="F684" s="13"/>
      <c r="G684" s="13">
        <f>'Refrig Mass Flow &amp; Cond kW'!F675*$C$6*($G$19-$G$18)/1000</f>
        <v>0</v>
      </c>
      <c r="H684">
        <f>'Refrig Mass Flow &amp; Cond kW'!F675*$C$6*($G$17-$G$16)/1000</f>
        <v>0</v>
      </c>
      <c r="I684">
        <f>'Refrig Mass Flow &amp; Cond kW'!F675*(($G$13-$G$14)-$C$6*($G$17-$G$18)/1000)-'Refrig Mass Flow &amp; Cond kW'!E675*(1-$C$6/($G$10+273))</f>
        <v>0</v>
      </c>
    </row>
    <row r="685" spans="2:9" x14ac:dyDescent="0.2">
      <c r="B685" s="2">
        <v>662</v>
      </c>
      <c r="C685">
        <f>'Refrig Mass Flow &amp; Cond kW'!D676*$C$6*(($C$19-$C$18)/1000)</f>
        <v>0</v>
      </c>
      <c r="D685">
        <f>'Refrig Mass Flow &amp; Cond kW'!D676*Winter!$C$6*((Winter!$C$17-Winter!$C$16)/1000)</f>
        <v>0</v>
      </c>
      <c r="E685">
        <f>'Refrig Mass Flow &amp; Cond kW'!D676*(($C$13-$C$14)-$C$6*($C$17-$C$18)/1000)-'Refrig Mass Flow &amp; Cond kW'!C676*(1-$C$6/($C$10+273))</f>
        <v>0</v>
      </c>
      <c r="F685" s="13"/>
      <c r="G685" s="13">
        <f>'Refrig Mass Flow &amp; Cond kW'!F676*$C$6*($G$19-$G$18)/1000</f>
        <v>0</v>
      </c>
      <c r="H685">
        <f>'Refrig Mass Flow &amp; Cond kW'!F676*$C$6*($G$17-$G$16)/1000</f>
        <v>0</v>
      </c>
      <c r="I685">
        <f>'Refrig Mass Flow &amp; Cond kW'!F676*(($G$13-$G$14)-$C$6*($G$17-$G$18)/1000)-'Refrig Mass Flow &amp; Cond kW'!E676*(1-$C$6/($G$10+273))</f>
        <v>0</v>
      </c>
    </row>
    <row r="686" spans="2:9" x14ac:dyDescent="0.2">
      <c r="B686" s="2">
        <v>663</v>
      </c>
      <c r="C686">
        <f>'Refrig Mass Flow &amp; Cond kW'!D677*$C$6*(($C$19-$C$18)/1000)</f>
        <v>0</v>
      </c>
      <c r="D686">
        <f>'Refrig Mass Flow &amp; Cond kW'!D677*Winter!$C$6*((Winter!$C$17-Winter!$C$16)/1000)</f>
        <v>0</v>
      </c>
      <c r="E686">
        <f>'Refrig Mass Flow &amp; Cond kW'!D677*(($C$13-$C$14)-$C$6*($C$17-$C$18)/1000)-'Refrig Mass Flow &amp; Cond kW'!C677*(1-$C$6/($C$10+273))</f>
        <v>0</v>
      </c>
      <c r="F686" s="13"/>
      <c r="G686" s="13">
        <f>'Refrig Mass Flow &amp; Cond kW'!F677*$C$6*($G$19-$G$18)/1000</f>
        <v>0</v>
      </c>
      <c r="H686">
        <f>'Refrig Mass Flow &amp; Cond kW'!F677*$C$6*($G$17-$G$16)/1000</f>
        <v>0</v>
      </c>
      <c r="I686">
        <f>'Refrig Mass Flow &amp; Cond kW'!F677*(($G$13-$G$14)-$C$6*($G$17-$G$18)/1000)-'Refrig Mass Flow &amp; Cond kW'!E677*(1-$C$6/($G$10+273))</f>
        <v>0</v>
      </c>
    </row>
    <row r="687" spans="2:9" x14ac:dyDescent="0.2">
      <c r="B687" s="2">
        <v>664</v>
      </c>
      <c r="C687">
        <f>'Refrig Mass Flow &amp; Cond kW'!D678*$C$6*(($C$19-$C$18)/1000)</f>
        <v>0</v>
      </c>
      <c r="D687">
        <f>'Refrig Mass Flow &amp; Cond kW'!D678*Winter!$C$6*((Winter!$C$17-Winter!$C$16)/1000)</f>
        <v>0</v>
      </c>
      <c r="E687">
        <f>'Refrig Mass Flow &amp; Cond kW'!D678*(($C$13-$C$14)-$C$6*($C$17-$C$18)/1000)-'Refrig Mass Flow &amp; Cond kW'!C678*(1-$C$6/($C$10+273))</f>
        <v>0</v>
      </c>
      <c r="F687" s="13"/>
      <c r="G687" s="13">
        <f>'Refrig Mass Flow &amp; Cond kW'!F678*$C$6*($G$19-$G$18)/1000</f>
        <v>0</v>
      </c>
      <c r="H687">
        <f>'Refrig Mass Flow &amp; Cond kW'!F678*$C$6*($G$17-$G$16)/1000</f>
        <v>0</v>
      </c>
      <c r="I687">
        <f>'Refrig Mass Flow &amp; Cond kW'!F678*(($G$13-$G$14)-$C$6*($G$17-$G$18)/1000)-'Refrig Mass Flow &amp; Cond kW'!E678*(1-$C$6/($G$10+273))</f>
        <v>0</v>
      </c>
    </row>
    <row r="688" spans="2:9" x14ac:dyDescent="0.2">
      <c r="B688" s="2">
        <v>665</v>
      </c>
      <c r="C688">
        <f>'Refrig Mass Flow &amp; Cond kW'!D679*$C$6*(($C$19-$C$18)/1000)</f>
        <v>0</v>
      </c>
      <c r="D688">
        <f>'Refrig Mass Flow &amp; Cond kW'!D679*Winter!$C$6*((Winter!$C$17-Winter!$C$16)/1000)</f>
        <v>0</v>
      </c>
      <c r="E688">
        <f>'Refrig Mass Flow &amp; Cond kW'!D679*(($C$13-$C$14)-$C$6*($C$17-$C$18)/1000)-'Refrig Mass Flow &amp; Cond kW'!C679*(1-$C$6/($C$10+273))</f>
        <v>0</v>
      </c>
      <c r="F688" s="13"/>
      <c r="G688" s="13">
        <f>'Refrig Mass Flow &amp; Cond kW'!F679*$C$6*($G$19-$G$18)/1000</f>
        <v>0</v>
      </c>
      <c r="H688">
        <f>'Refrig Mass Flow &amp; Cond kW'!F679*$C$6*($G$17-$G$16)/1000</f>
        <v>0</v>
      </c>
      <c r="I688">
        <f>'Refrig Mass Flow &amp; Cond kW'!F679*(($G$13-$G$14)-$C$6*($G$17-$G$18)/1000)-'Refrig Mass Flow &amp; Cond kW'!E679*(1-$C$6/($G$10+273))</f>
        <v>0</v>
      </c>
    </row>
    <row r="689" spans="2:17" x14ac:dyDescent="0.2">
      <c r="B689" s="2">
        <v>666</v>
      </c>
      <c r="C689">
        <f>'Refrig Mass Flow &amp; Cond kW'!D680*$C$6*(($C$19-$C$18)/1000)</f>
        <v>0</v>
      </c>
      <c r="D689">
        <f>'Refrig Mass Flow &amp; Cond kW'!D680*Winter!$C$6*((Winter!$C$17-Winter!$C$16)/1000)</f>
        <v>0</v>
      </c>
      <c r="E689">
        <f>'Refrig Mass Flow &amp; Cond kW'!D680*(($C$13-$C$14)-$C$6*($C$17-$C$18)/1000)-'Refrig Mass Flow &amp; Cond kW'!C680*(1-$C$6/($C$10+273))</f>
        <v>0</v>
      </c>
      <c r="F689" s="13"/>
      <c r="G689" s="13">
        <f>'Refrig Mass Flow &amp; Cond kW'!F680*$C$6*($G$19-$G$18)/1000</f>
        <v>0</v>
      </c>
      <c r="H689">
        <f>'Refrig Mass Flow &amp; Cond kW'!F680*$C$6*($G$17-$G$16)/1000</f>
        <v>0</v>
      </c>
      <c r="I689">
        <f>'Refrig Mass Flow &amp; Cond kW'!F680*(($G$13-$G$14)-$C$6*($G$17-$G$18)/1000)-'Refrig Mass Flow &amp; Cond kW'!E680*(1-$C$6/($G$10+273))</f>
        <v>0</v>
      </c>
    </row>
    <row r="690" spans="2:17" x14ac:dyDescent="0.2">
      <c r="B690" s="2">
        <v>667</v>
      </c>
      <c r="C690">
        <f>'Refrig Mass Flow &amp; Cond kW'!D681*$C$6*(($C$19-$C$18)/1000)</f>
        <v>0</v>
      </c>
      <c r="D690">
        <f>'Refrig Mass Flow &amp; Cond kW'!D681*Winter!$C$6*((Winter!$C$17-Winter!$C$16)/1000)</f>
        <v>0</v>
      </c>
      <c r="E690">
        <f>'Refrig Mass Flow &amp; Cond kW'!D681*(($C$13-$C$14)-$C$6*($C$17-$C$18)/1000)-'Refrig Mass Flow &amp; Cond kW'!C681*(1-$C$6/($C$10+273))</f>
        <v>0</v>
      </c>
      <c r="F690" s="13"/>
      <c r="G690" s="13">
        <f>'Refrig Mass Flow &amp; Cond kW'!F681*$C$6*($G$19-$G$18)/1000</f>
        <v>0</v>
      </c>
      <c r="H690">
        <f>'Refrig Mass Flow &amp; Cond kW'!F681*$C$6*($G$17-$G$16)/1000</f>
        <v>0</v>
      </c>
      <c r="I690">
        <f>'Refrig Mass Flow &amp; Cond kW'!F681*(($G$13-$G$14)-$C$6*($G$17-$G$18)/1000)-'Refrig Mass Flow &amp; Cond kW'!E681*(1-$C$6/($G$10+273))</f>
        <v>0</v>
      </c>
    </row>
    <row r="691" spans="2:17" x14ac:dyDescent="0.2">
      <c r="B691" s="2">
        <v>668</v>
      </c>
      <c r="C691">
        <f>'Refrig Mass Flow &amp; Cond kW'!D682*$C$6*(($C$19-$C$18)/1000)</f>
        <v>0</v>
      </c>
      <c r="D691">
        <f>'Refrig Mass Flow &amp; Cond kW'!D682*Winter!$C$6*((Winter!$C$17-Winter!$C$16)/1000)</f>
        <v>0</v>
      </c>
      <c r="E691">
        <f>'Refrig Mass Flow &amp; Cond kW'!D682*(($C$13-$C$14)-$C$6*($C$17-$C$18)/1000)-'Refrig Mass Flow &amp; Cond kW'!C682*(1-$C$6/($C$10+273))</f>
        <v>0</v>
      </c>
      <c r="F691" s="13"/>
      <c r="G691" s="13">
        <f>'Refrig Mass Flow &amp; Cond kW'!F682*$C$6*($G$19-$G$18)/1000</f>
        <v>0</v>
      </c>
      <c r="H691">
        <f>'Refrig Mass Flow &amp; Cond kW'!F682*$C$6*($G$17-$G$16)/1000</f>
        <v>0</v>
      </c>
      <c r="I691">
        <f>'Refrig Mass Flow &amp; Cond kW'!F682*(($G$13-$G$14)-$C$6*($G$17-$G$18)/1000)-'Refrig Mass Flow &amp; Cond kW'!E682*(1-$C$6/($G$10+273))</f>
        <v>0</v>
      </c>
    </row>
    <row r="692" spans="2:17" x14ac:dyDescent="0.2">
      <c r="B692" s="2">
        <v>669</v>
      </c>
      <c r="C692">
        <f>'Refrig Mass Flow &amp; Cond kW'!D683*$C$6*(($C$19-$C$18)/1000)</f>
        <v>0</v>
      </c>
      <c r="D692">
        <f>'Refrig Mass Flow &amp; Cond kW'!D683*Winter!$C$6*((Winter!$C$17-Winter!$C$16)/1000)</f>
        <v>0</v>
      </c>
      <c r="E692">
        <f>'Refrig Mass Flow &amp; Cond kW'!D683*(($C$13-$C$14)-$C$6*($C$17-$C$18)/1000)-'Refrig Mass Flow &amp; Cond kW'!C683*(1-$C$6/($C$10+273))</f>
        <v>0</v>
      </c>
      <c r="F692" s="13"/>
      <c r="G692" s="13">
        <f>'Refrig Mass Flow &amp; Cond kW'!F683*$C$6*($G$19-$G$18)/1000</f>
        <v>0</v>
      </c>
      <c r="H692">
        <f>'Refrig Mass Flow &amp; Cond kW'!F683*$C$6*($G$17-$G$16)/1000</f>
        <v>0</v>
      </c>
      <c r="I692">
        <f>'Refrig Mass Flow &amp; Cond kW'!F683*(($G$13-$G$14)-$C$6*($G$17-$G$18)/1000)-'Refrig Mass Flow &amp; Cond kW'!E683*(1-$C$6/($G$10+273))</f>
        <v>0</v>
      </c>
    </row>
    <row r="693" spans="2:17" x14ac:dyDescent="0.2">
      <c r="B693" s="2">
        <v>670</v>
      </c>
      <c r="C693">
        <f>'Refrig Mass Flow &amp; Cond kW'!D684*$C$6*(($C$19-$C$18)/1000)</f>
        <v>0</v>
      </c>
      <c r="D693">
        <f>'Refrig Mass Flow &amp; Cond kW'!D684*Winter!$C$6*((Winter!$C$17-Winter!$C$16)/1000)</f>
        <v>0</v>
      </c>
      <c r="E693">
        <f>'Refrig Mass Flow &amp; Cond kW'!D684*(($C$13-$C$14)-$C$6*($C$17-$C$18)/1000)-'Refrig Mass Flow &amp; Cond kW'!C684*(1-$C$6/($C$10+273))</f>
        <v>0</v>
      </c>
      <c r="F693" s="13"/>
      <c r="G693" s="13">
        <f>'Refrig Mass Flow &amp; Cond kW'!F684*$C$6*($G$19-$G$18)/1000</f>
        <v>0</v>
      </c>
      <c r="H693">
        <f>'Refrig Mass Flow &amp; Cond kW'!F684*$C$6*($G$17-$G$16)/1000</f>
        <v>0</v>
      </c>
      <c r="I693">
        <f>'Refrig Mass Flow &amp; Cond kW'!F684*(($G$13-$G$14)-$C$6*($G$17-$G$18)/1000)-'Refrig Mass Flow &amp; Cond kW'!E684*(1-$C$6/($G$10+273))</f>
        <v>0</v>
      </c>
    </row>
    <row r="694" spans="2:17" x14ac:dyDescent="0.2">
      <c r="B694" s="2">
        <v>671</v>
      </c>
      <c r="C694">
        <f>'Refrig Mass Flow &amp; Cond kW'!D685*$C$6*(($C$19-$C$18)/1000)</f>
        <v>0</v>
      </c>
      <c r="D694">
        <f>'Refrig Mass Flow &amp; Cond kW'!D685*Winter!$C$6*((Winter!$C$17-Winter!$C$16)/1000)</f>
        <v>0</v>
      </c>
      <c r="E694">
        <f>'Refrig Mass Flow &amp; Cond kW'!D685*(($C$13-$C$14)-$C$6*($C$17-$C$18)/1000)-'Refrig Mass Flow &amp; Cond kW'!C685*(1-$C$6/($C$10+273))</f>
        <v>0</v>
      </c>
      <c r="F694" s="13"/>
      <c r="G694" s="13">
        <f>'Refrig Mass Flow &amp; Cond kW'!F685*$C$6*($G$19-$G$18)/1000</f>
        <v>0</v>
      </c>
      <c r="H694">
        <f>'Refrig Mass Flow &amp; Cond kW'!F685*$C$6*($G$17-$G$16)/1000</f>
        <v>0</v>
      </c>
      <c r="I694">
        <f>'Refrig Mass Flow &amp; Cond kW'!F685*(($G$13-$G$14)-$C$6*($G$17-$G$18)/1000)-'Refrig Mass Flow &amp; Cond kW'!E685*(1-$C$6/($G$10+273))</f>
        <v>0</v>
      </c>
    </row>
    <row r="695" spans="2:17" x14ac:dyDescent="0.2">
      <c r="B695" s="2">
        <v>672</v>
      </c>
      <c r="C695">
        <f>'Refrig Mass Flow &amp; Cond kW'!D686*$C$6*(($C$19-$C$18)/1000)</f>
        <v>0</v>
      </c>
      <c r="D695">
        <f>'Refrig Mass Flow &amp; Cond kW'!D686*Winter!$C$6*((Winter!$C$17-Winter!$C$16)/1000)</f>
        <v>0</v>
      </c>
      <c r="E695">
        <f>'Refrig Mass Flow &amp; Cond kW'!D686*(($C$13-$C$14)-$C$6*($C$17-$C$18)/1000)-'Refrig Mass Flow &amp; Cond kW'!C686*(1-$C$6/($C$10+273))</f>
        <v>0</v>
      </c>
      <c r="F695" s="13"/>
      <c r="G695" s="13">
        <f>'Refrig Mass Flow &amp; Cond kW'!F686*$C$6*($G$19-$G$18)/1000</f>
        <v>0</v>
      </c>
      <c r="H695">
        <f>'Refrig Mass Flow &amp; Cond kW'!F686*$C$6*($G$17-$G$16)/1000</f>
        <v>0</v>
      </c>
      <c r="I695">
        <f>'Refrig Mass Flow &amp; Cond kW'!F686*(($G$13-$G$14)-$C$6*($G$17-$G$18)/1000)-'Refrig Mass Flow &amp; Cond kW'!E686*(1-$C$6/($G$10+273))</f>
        <v>0</v>
      </c>
    </row>
    <row r="696" spans="2:17" x14ac:dyDescent="0.2">
      <c r="B696" s="26" t="s">
        <v>29</v>
      </c>
      <c r="C696" s="27">
        <f>SUM(C24:C695)</f>
        <v>104.87273555302565</v>
      </c>
      <c r="D696" s="27">
        <f t="shared" ref="D696:J696" si="4">SUM(D24:D695)</f>
        <v>352.07275507086661</v>
      </c>
      <c r="E696" s="27">
        <f t="shared" si="4"/>
        <v>100.05894627727213</v>
      </c>
      <c r="F696" s="27">
        <f t="shared" si="4"/>
        <v>0</v>
      </c>
      <c r="G696" s="27">
        <f t="shared" si="4"/>
        <v>274.78858873900384</v>
      </c>
      <c r="H696" s="27">
        <f t="shared" si="4"/>
        <v>1713.3876709607853</v>
      </c>
      <c r="I696" s="27">
        <f>SUM(I24:I695)</f>
        <v>758.36262480417906</v>
      </c>
      <c r="J696" s="27">
        <f t="shared" si="4"/>
        <v>0</v>
      </c>
      <c r="K696" s="27"/>
      <c r="L696" s="27"/>
      <c r="M696" s="27"/>
      <c r="N696" s="27"/>
      <c r="O696" s="27"/>
      <c r="P696" s="27"/>
      <c r="Q696" s="27"/>
    </row>
  </sheetData>
  <mergeCells count="5">
    <mergeCell ref="G8:J8"/>
    <mergeCell ref="C9:F9"/>
    <mergeCell ref="G9:J9"/>
    <mergeCell ref="C7:J7"/>
    <mergeCell ref="C8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D0E5-B07A-DC46-BC31-E476B8A19244}">
  <dimension ref="A6:R696"/>
  <sheetViews>
    <sheetView topLeftCell="A9" zoomScale="160" zoomScaleNormal="160" workbookViewId="0">
      <selection activeCell="E23" sqref="E23"/>
    </sheetView>
  </sheetViews>
  <sheetFormatPr baseColWidth="10" defaultRowHeight="16" x14ac:dyDescent="0.2"/>
  <cols>
    <col min="1" max="1" width="22.33203125" customWidth="1"/>
    <col min="2" max="2" width="15.6640625" style="2" customWidth="1"/>
    <col min="3" max="3" width="13.6640625" customWidth="1"/>
    <col min="4" max="7" width="15" customWidth="1"/>
    <col min="8" max="10" width="14.5" customWidth="1"/>
    <col min="11" max="11" width="11" bestFit="1" customWidth="1"/>
    <col min="12" max="12" width="12.6640625" customWidth="1"/>
    <col min="13" max="13" width="11.5" bestFit="1" customWidth="1"/>
    <col min="14" max="18" width="11" bestFit="1" customWidth="1"/>
  </cols>
  <sheetData>
    <row r="6" spans="1:10" ht="18" x14ac:dyDescent="0.25">
      <c r="B6" s="5" t="s">
        <v>5</v>
      </c>
      <c r="C6">
        <f>'Large ASHP'!$D$4</f>
        <v>273</v>
      </c>
      <c r="D6" t="s">
        <v>6</v>
      </c>
    </row>
    <row r="7" spans="1:10" x14ac:dyDescent="0.2">
      <c r="C7" s="33" t="s">
        <v>69</v>
      </c>
      <c r="D7" s="34"/>
      <c r="E7" s="34"/>
      <c r="F7" s="34"/>
      <c r="G7" s="34"/>
      <c r="H7" s="34"/>
      <c r="I7" s="34"/>
      <c r="J7" s="35"/>
    </row>
    <row r="8" spans="1:10" x14ac:dyDescent="0.2">
      <c r="C8" s="33" t="s">
        <v>44</v>
      </c>
      <c r="D8" s="34"/>
      <c r="E8" s="34"/>
      <c r="F8" s="35"/>
      <c r="G8" s="33" t="s">
        <v>45</v>
      </c>
      <c r="H8" s="34"/>
      <c r="I8" s="34"/>
      <c r="J8" s="35"/>
    </row>
    <row r="9" spans="1:10" x14ac:dyDescent="0.2">
      <c r="B9" s="2" t="s">
        <v>39</v>
      </c>
      <c r="C9" s="33" t="str">
        <f>'Large ASHP'!E8</f>
        <v>A15.3W20</v>
      </c>
      <c r="D9" s="34"/>
      <c r="E9" s="34"/>
      <c r="F9" s="35"/>
      <c r="G9" s="33" t="s">
        <v>68</v>
      </c>
      <c r="H9" s="34"/>
      <c r="I9" s="34"/>
      <c r="J9" s="35"/>
    </row>
    <row r="10" spans="1:10" x14ac:dyDescent="0.2">
      <c r="A10" t="s">
        <v>62</v>
      </c>
      <c r="B10" s="2" t="s">
        <v>23</v>
      </c>
      <c r="C10" s="2">
        <f>'Large ASHP'!D19</f>
        <v>25</v>
      </c>
      <c r="D10" s="2"/>
      <c r="E10" s="2"/>
      <c r="F10" s="2"/>
      <c r="G10" s="2">
        <f>'Large ASHP'!G19</f>
        <v>15</v>
      </c>
      <c r="H10" s="2"/>
      <c r="I10" s="2"/>
      <c r="J10" s="2"/>
    </row>
    <row r="11" spans="1:10" x14ac:dyDescent="0.2">
      <c r="A11" t="s">
        <v>0</v>
      </c>
      <c r="B11" s="2" t="s">
        <v>23</v>
      </c>
      <c r="C11" s="2">
        <f>'Large ASHP'!D20</f>
        <v>4</v>
      </c>
      <c r="D11" s="2"/>
      <c r="E11" s="2"/>
      <c r="F11" s="2"/>
      <c r="G11" s="2">
        <f>'Large ASHP'!G20</f>
        <v>4</v>
      </c>
      <c r="H11" s="2"/>
      <c r="I11" s="2"/>
      <c r="J11" s="2"/>
    </row>
    <row r="12" spans="1:10" ht="18" x14ac:dyDescent="0.25">
      <c r="A12" s="5" t="s">
        <v>9</v>
      </c>
      <c r="B12" s="2" t="s">
        <v>2</v>
      </c>
      <c r="C12">
        <f>'Large ASHP'!E22</f>
        <v>524.9</v>
      </c>
      <c r="D12" s="2"/>
      <c r="E12" s="2"/>
      <c r="F12" s="2"/>
      <c r="G12" s="2">
        <f>'Large ASHP'!G22</f>
        <v>523.4</v>
      </c>
      <c r="H12" s="2"/>
      <c r="I12" s="2"/>
      <c r="J12" s="2"/>
    </row>
    <row r="13" spans="1:10" ht="18" x14ac:dyDescent="0.25">
      <c r="A13" s="5" t="s">
        <v>31</v>
      </c>
      <c r="B13" s="2" t="s">
        <v>2</v>
      </c>
      <c r="C13">
        <f>'Large ASHP'!E23</f>
        <v>542.29999999999995</v>
      </c>
      <c r="D13" s="2"/>
      <c r="E13" s="2"/>
      <c r="F13" s="2"/>
      <c r="G13" s="2">
        <f>'Large ASHP'!G23</f>
        <v>539.6</v>
      </c>
      <c r="H13" s="2"/>
      <c r="I13" s="2"/>
      <c r="J13" s="2"/>
    </row>
    <row r="14" spans="1:10" ht="18" x14ac:dyDescent="0.25">
      <c r="A14" s="5" t="s">
        <v>13</v>
      </c>
      <c r="B14" s="2" t="s">
        <v>2</v>
      </c>
      <c r="C14">
        <f>'Large ASHP'!E25</f>
        <v>236.1</v>
      </c>
      <c r="D14" s="2"/>
      <c r="E14" s="2"/>
      <c r="F14" s="2"/>
      <c r="G14" s="2">
        <f>'Large ASHP'!G25</f>
        <v>217.1</v>
      </c>
      <c r="H14" s="2"/>
      <c r="I14" s="2"/>
      <c r="J14" s="2"/>
    </row>
    <row r="15" spans="1:10" ht="18" x14ac:dyDescent="0.25">
      <c r="A15" s="5" t="s">
        <v>12</v>
      </c>
      <c r="B15" s="2" t="s">
        <v>2</v>
      </c>
      <c r="C15">
        <f>'Large ASHP'!E26</f>
        <v>236.1</v>
      </c>
      <c r="D15" s="2"/>
      <c r="E15" s="2"/>
      <c r="F15" s="2"/>
      <c r="G15" s="2">
        <f>'Large ASHP'!G26</f>
        <v>217.7</v>
      </c>
      <c r="H15" s="2"/>
      <c r="I15" s="2"/>
      <c r="J15" s="2"/>
    </row>
    <row r="16" spans="1:10" ht="18" x14ac:dyDescent="0.25">
      <c r="A16" s="5" t="s">
        <v>16</v>
      </c>
      <c r="B16" s="2" t="s">
        <v>20</v>
      </c>
      <c r="C16">
        <f>'Large ASHP'!E27</f>
        <v>2138.1999999999998</v>
      </c>
      <c r="D16" s="2"/>
      <c r="E16" s="2"/>
      <c r="F16" s="2"/>
      <c r="G16" s="2">
        <f>'Large ASHP'!G27</f>
        <v>2166.6</v>
      </c>
      <c r="H16" s="2"/>
      <c r="I16" s="2"/>
      <c r="J16" s="2"/>
    </row>
    <row r="17" spans="1:18" ht="18" x14ac:dyDescent="0.25">
      <c r="A17" s="5" t="s">
        <v>34</v>
      </c>
      <c r="B17" s="2" t="s">
        <v>20</v>
      </c>
      <c r="C17">
        <f>'Large ASHP'!E28</f>
        <v>2149.1999999999998</v>
      </c>
      <c r="D17" s="2"/>
      <c r="E17" s="2"/>
      <c r="F17" s="2"/>
      <c r="G17" s="2">
        <f>'Large ASHP'!G28</f>
        <v>2177.1999999999998</v>
      </c>
      <c r="H17" s="2"/>
      <c r="I17" s="2"/>
      <c r="J17" s="2"/>
    </row>
    <row r="18" spans="1:18" ht="18" x14ac:dyDescent="0.25">
      <c r="A18" s="5" t="s">
        <v>18</v>
      </c>
      <c r="B18" s="2" t="s">
        <v>20</v>
      </c>
      <c r="C18">
        <f>'Large ASHP'!E30</f>
        <v>1124.3</v>
      </c>
      <c r="D18" s="2"/>
      <c r="E18" s="2"/>
      <c r="F18" s="2"/>
      <c r="G18" s="2">
        <f>'Large ASHP'!G30</f>
        <v>1062.0999999999999</v>
      </c>
      <c r="H18" s="2"/>
      <c r="I18" s="2"/>
      <c r="J18" s="2"/>
    </row>
    <row r="19" spans="1:18" ht="18" x14ac:dyDescent="0.25">
      <c r="A19" s="5" t="s">
        <v>19</v>
      </c>
      <c r="B19" s="2" t="s">
        <v>20</v>
      </c>
      <c r="C19">
        <f>'Large ASHP'!E31</f>
        <v>1126.7</v>
      </c>
      <c r="D19" s="2"/>
      <c r="E19" s="2"/>
      <c r="F19" s="2"/>
      <c r="G19" s="2">
        <f>'Large ASHP'!G31</f>
        <v>1063.8</v>
      </c>
      <c r="H19" s="2"/>
      <c r="I19" s="2"/>
      <c r="J19" s="2"/>
    </row>
    <row r="20" spans="1:18" s="28" customFormat="1" ht="24" customHeight="1" x14ac:dyDescent="0.2">
      <c r="C20" s="29" t="s">
        <v>26</v>
      </c>
      <c r="D20" s="29" t="s">
        <v>27</v>
      </c>
      <c r="E20" s="29" t="s">
        <v>55</v>
      </c>
      <c r="F20" s="29" t="s">
        <v>29</v>
      </c>
      <c r="G20" s="29" t="str">
        <f>C20</f>
        <v>Expansion Valve</v>
      </c>
      <c r="H20" s="29" t="str">
        <f>D20</f>
        <v>Compressor</v>
      </c>
      <c r="I20" s="29" t="str">
        <f>E20</f>
        <v>Condenser</v>
      </c>
      <c r="J20" s="29" t="str">
        <f t="shared" ref="J20" si="0">F20</f>
        <v>Total</v>
      </c>
      <c r="K20" s="28" t="s">
        <v>29</v>
      </c>
    </row>
    <row r="21" spans="1:18" s="2" customFormat="1" x14ac:dyDescent="0.2">
      <c r="A21" s="5" t="s">
        <v>64</v>
      </c>
      <c r="B21" s="2" t="s">
        <v>63</v>
      </c>
      <c r="C21" s="12">
        <f>C696</f>
        <v>0</v>
      </c>
      <c r="D21" s="12">
        <f t="shared" ref="D21:I21" si="1">D696</f>
        <v>0</v>
      </c>
      <c r="E21" s="12">
        <f t="shared" si="1"/>
        <v>-17.751386034839118</v>
      </c>
      <c r="F21" s="12">
        <f>SUM(C21:E21)</f>
        <v>-17.751386034839118</v>
      </c>
      <c r="G21" s="12">
        <f t="shared" si="1"/>
        <v>274.78858873900384</v>
      </c>
      <c r="H21" s="12">
        <f t="shared" si="1"/>
        <v>1713.3876709607853</v>
      </c>
      <c r="I21" s="12">
        <f t="shared" si="1"/>
        <v>758.36262480417906</v>
      </c>
      <c r="J21" s="12">
        <f>SUM(G21:I21)</f>
        <v>2746.5388845039683</v>
      </c>
      <c r="K21" s="12">
        <f>J21+F21</f>
        <v>2728.7874984691293</v>
      </c>
      <c r="L21" s="12" t="s">
        <v>63</v>
      </c>
      <c r="M21" s="12"/>
      <c r="N21" s="12"/>
      <c r="O21" s="12"/>
      <c r="P21" s="12"/>
      <c r="Q21" s="12"/>
      <c r="R21" s="12"/>
    </row>
    <row r="22" spans="1:18" s="2" customFormat="1" x14ac:dyDescent="0.2">
      <c r="A22" s="5"/>
      <c r="C22" s="12"/>
      <c r="D22" s="12"/>
      <c r="E22" s="12"/>
      <c r="F22" s="12"/>
      <c r="G22" s="41">
        <f>G21/$J$21</f>
        <v>0.10004904364885092</v>
      </c>
      <c r="H22" s="41">
        <f t="shared" ref="H22:J22" si="2">H21/$J$21</f>
        <v>0.62383521333987135</v>
      </c>
      <c r="I22" s="41">
        <f t="shared" si="2"/>
        <v>0.27611574301127773</v>
      </c>
      <c r="J22" s="41">
        <f t="shared" si="2"/>
        <v>1</v>
      </c>
      <c r="K22" s="12"/>
      <c r="L22" s="12"/>
      <c r="M22" s="12"/>
      <c r="N22" s="12"/>
      <c r="O22" s="12"/>
      <c r="P22" s="12"/>
      <c r="Q22" s="12"/>
      <c r="R22" s="12"/>
    </row>
    <row r="23" spans="1:18" s="2" customFormat="1" x14ac:dyDescent="0.2">
      <c r="B23" s="2" t="s">
        <v>56</v>
      </c>
    </row>
    <row r="24" spans="1:18" x14ac:dyDescent="0.2">
      <c r="B24" s="2">
        <v>1</v>
      </c>
      <c r="C24">
        <f>'Refrig Mass Flow &amp; Cond kW'!G15*$C$6*(($C$19-$C$18)/1000)</f>
        <v>0</v>
      </c>
      <c r="D24">
        <f>'Refrig Mass Flow &amp; Cond kW'!G15*Spring_autumn!$C$6*((Spring_autumn!$C$17-Spring_autumn!$C$16)/1000)</f>
        <v>0</v>
      </c>
      <c r="E24">
        <f>'Refrig Mass Flow &amp; Cond kW'!D15*(($C$13-$C$14)-$C$6*($C$17-$C$18)/1000)-'Refrig Mass Flow &amp; Cond kW'!C15*(1-$C$6/($C$10+273))</f>
        <v>0</v>
      </c>
      <c r="F24" s="13"/>
      <c r="G24" s="13">
        <f>'Refrig Mass Flow &amp; Cond kW'!F15*$C$6*($G$19-$G$18)/1000</f>
        <v>1.4387753742741889E-3</v>
      </c>
      <c r="H24">
        <f>'Refrig Mass Flow &amp; Cond kW'!F15*$C$6*($G$17-$G$16)/1000</f>
        <v>8.9711876278269782E-3</v>
      </c>
      <c r="I24">
        <f>'Refrig Mass Flow &amp; Cond kW'!F15*(($G$13-$G$14)-$C$6*($G$17-$G$18)/1000)-'Refrig Mass Flow &amp; Cond kW'!E15*(1-$C$6/($G$10+273))</f>
        <v>3.9707379201781093E-3</v>
      </c>
    </row>
    <row r="25" spans="1:18" x14ac:dyDescent="0.2">
      <c r="B25" s="2">
        <v>2</v>
      </c>
      <c r="C25">
        <f>'Refrig Mass Flow &amp; Cond kW'!G16*$C$6*(($C$19-$C$18)/1000)</f>
        <v>0</v>
      </c>
      <c r="D25">
        <f>'Refrig Mass Flow &amp; Cond kW'!G16*Spring_autumn!$C$6*((Spring_autumn!$C$17-Spring_autumn!$C$16)/1000)</f>
        <v>0</v>
      </c>
      <c r="E25">
        <f>'Refrig Mass Flow &amp; Cond kW'!D16*(($C$13-$C$14)-$C$6*($C$17-$C$18)/1000)-'Refrig Mass Flow &amp; Cond kW'!C16*(1-$C$6/($C$10+273))</f>
        <v>0</v>
      </c>
      <c r="F25" s="13"/>
      <c r="G25" s="13">
        <f>'Refrig Mass Flow &amp; Cond kW'!F16*$C$6*($G$19-$G$18)/1000</f>
        <v>1.4383491612442166E-3</v>
      </c>
      <c r="H25">
        <f>'Refrig Mass Flow &amp; Cond kW'!F16*$C$6*($G$17-$G$16)/1000</f>
        <v>8.9685300642283264E-3</v>
      </c>
      <c r="I25">
        <f>'Refrig Mass Flow &amp; Cond kW'!F16*(($G$13-$G$14)-$C$6*($G$17-$G$18)/1000)-'Refrig Mass Flow &amp; Cond kW'!E16*(1-$C$6/($G$10+273))</f>
        <v>3.9695616557865673E-3</v>
      </c>
    </row>
    <row r="26" spans="1:18" x14ac:dyDescent="0.2">
      <c r="B26" s="2">
        <v>3</v>
      </c>
      <c r="C26">
        <f>'Refrig Mass Flow &amp; Cond kW'!G17*$C$6*(($C$19-$C$18)/1000)</f>
        <v>0</v>
      </c>
      <c r="D26">
        <f>'Refrig Mass Flow &amp; Cond kW'!G17*Spring_autumn!$C$6*((Spring_autumn!$C$17-Spring_autumn!$C$16)/1000)</f>
        <v>0</v>
      </c>
      <c r="E26">
        <f>'Refrig Mass Flow &amp; Cond kW'!D17*(($C$13-$C$14)-$C$6*($C$17-$C$18)/1000)-'Refrig Mass Flow &amp; Cond kW'!C17*(1-$C$6/($C$10+273))</f>
        <v>0</v>
      </c>
      <c r="F26" s="13"/>
      <c r="G26" s="13">
        <f>'Refrig Mass Flow &amp; Cond kW'!F17*$C$6*($G$19-$G$18)/1000</f>
        <v>1.4377911883410631E-3</v>
      </c>
      <c r="H26">
        <f>'Refrig Mass Flow &amp; Cond kW'!F17*$C$6*($G$17-$G$16)/1000</f>
        <v>8.9650509390674891E-3</v>
      </c>
      <c r="I26">
        <f>'Refrig Mass Flow &amp; Cond kW'!F17*(($G$13-$G$14)-$C$6*($G$17-$G$18)/1000)-'Refrig Mass Flow &amp; Cond kW'!E17*(1-$C$6/($G$10+273))</f>
        <v>3.9680217599803169E-3</v>
      </c>
    </row>
    <row r="27" spans="1:18" x14ac:dyDescent="0.2">
      <c r="B27" s="2">
        <v>4</v>
      </c>
      <c r="C27">
        <f>'Refrig Mass Flow &amp; Cond kW'!G18*$C$6*(($C$19-$C$18)/1000)</f>
        <v>0</v>
      </c>
      <c r="D27">
        <f>'Refrig Mass Flow &amp; Cond kW'!G18*Spring_autumn!$C$6*((Spring_autumn!$C$17-Spring_autumn!$C$16)/1000)</f>
        <v>0</v>
      </c>
      <c r="E27">
        <f>'Refrig Mass Flow &amp; Cond kW'!D18*(($C$13-$C$14)-$C$6*($C$17-$C$18)/1000)-'Refrig Mass Flow &amp; Cond kW'!C18*(1-$C$6/($C$10+273))</f>
        <v>0</v>
      </c>
      <c r="F27" s="13"/>
      <c r="G27" s="13">
        <f>'Refrig Mass Flow &amp; Cond kW'!F18*$C$6*($G$19-$G$18)/1000</f>
        <v>1.4371015276206085E-3</v>
      </c>
      <c r="H27">
        <f>'Refrig Mass Flow &amp; Cond kW'!F18*$C$6*($G$17-$G$16)/1000</f>
        <v>8.960750701634065E-3</v>
      </c>
      <c r="I27">
        <f>'Refrig Mass Flow &amp; Cond kW'!F18*(($G$13-$G$14)-$C$6*($G$17-$G$18)/1000)-'Refrig Mass Flow &amp; Cond kW'!E18*(1-$C$6/($G$10+273))</f>
        <v>3.9661184316194531E-3</v>
      </c>
    </row>
    <row r="28" spans="1:18" x14ac:dyDescent="0.2">
      <c r="B28" s="2">
        <v>5</v>
      </c>
      <c r="C28">
        <f>'Refrig Mass Flow &amp; Cond kW'!G19*$C$6*(($C$19-$C$18)/1000)</f>
        <v>0</v>
      </c>
      <c r="D28">
        <f>'Refrig Mass Flow &amp; Cond kW'!G19*Spring_autumn!$C$6*((Spring_autumn!$C$17-Spring_autumn!$C$16)/1000)</f>
        <v>0</v>
      </c>
      <c r="E28">
        <f>'Refrig Mass Flow &amp; Cond kW'!D19*(($C$13-$C$14)-$C$6*($C$17-$C$18)/1000)-'Refrig Mass Flow &amp; Cond kW'!C19*(1-$C$6/($C$10+273))</f>
        <v>0</v>
      </c>
      <c r="F28" s="13"/>
      <c r="G28" s="13">
        <f>'Refrig Mass Flow &amp; Cond kW'!F19*$C$6*($G$19-$G$18)/1000</f>
        <v>1.4362802631966251E-3</v>
      </c>
      <c r="H28">
        <f>'Refrig Mass Flow &amp; Cond kW'!F19*$C$6*($G$17-$G$16)/1000</f>
        <v>8.955629876402171E-3</v>
      </c>
      <c r="I28">
        <f>'Refrig Mass Flow &amp; Cond kW'!F19*(($G$13-$G$14)-$C$6*($G$17-$G$18)/1000)-'Refrig Mass Flow &amp; Cond kW'!E19*(1-$C$6/($G$10+273))</f>
        <v>3.9638519028415004E-3</v>
      </c>
    </row>
    <row r="29" spans="1:18" x14ac:dyDescent="0.2">
      <c r="B29" s="2">
        <v>6</v>
      </c>
      <c r="C29">
        <f>'Refrig Mass Flow &amp; Cond kW'!G20*$C$6*(($C$19-$C$18)/1000)</f>
        <v>0</v>
      </c>
      <c r="D29">
        <f>'Refrig Mass Flow &amp; Cond kW'!G20*Spring_autumn!$C$6*((Spring_autumn!$C$17-Spring_autumn!$C$16)/1000)</f>
        <v>0</v>
      </c>
      <c r="E29">
        <f>'Refrig Mass Flow &amp; Cond kW'!D20*(($C$13-$C$14)-$C$6*($C$17-$C$18)/1000)-'Refrig Mass Flow &amp; Cond kW'!C20*(1-$C$6/($C$10+273))</f>
        <v>0</v>
      </c>
      <c r="F29" s="13"/>
      <c r="G29" s="13">
        <f>'Refrig Mass Flow &amp; Cond kW'!F20*$C$6*($G$19-$G$18)/1000</f>
        <v>1.4353274912313778E-3</v>
      </c>
      <c r="H29">
        <f>'Refrig Mass Flow &amp; Cond kW'!F20*$C$6*($G$17-$G$16)/1000</f>
        <v>8.9496890629718051E-3</v>
      </c>
      <c r="I29">
        <f>'Refrig Mass Flow &amp; Cond kW'!F20*(($G$13-$G$14)-$C$6*($G$17-$G$18)/1000)-'Refrig Mass Flow &amp; Cond kW'!E20*(1-$C$6/($G$10+273))</f>
        <v>3.9612224390354472E-3</v>
      </c>
    </row>
    <row r="30" spans="1:18" x14ac:dyDescent="0.2">
      <c r="B30" s="2">
        <v>7</v>
      </c>
      <c r="C30">
        <f>'Refrig Mass Flow &amp; Cond kW'!G21*$C$6*(($C$19-$C$18)/1000)</f>
        <v>0</v>
      </c>
      <c r="D30">
        <f>'Refrig Mass Flow &amp; Cond kW'!G21*Spring_autumn!$C$6*((Spring_autumn!$C$17-Spring_autumn!$C$16)/1000)</f>
        <v>0</v>
      </c>
      <c r="E30">
        <f>'Refrig Mass Flow &amp; Cond kW'!D21*(($C$13-$C$14)-$C$6*($C$17-$C$18)/1000)-'Refrig Mass Flow &amp; Cond kW'!C21*(1-$C$6/($C$10+273))</f>
        <v>0</v>
      </c>
      <c r="F30" s="13"/>
      <c r="G30" s="13">
        <f>'Refrig Mass Flow &amp; Cond kW'!F21*$C$6*($G$19-$G$18)/1000</f>
        <v>1.7355756162906692E-3</v>
      </c>
      <c r="H30">
        <f>'Refrig Mass Flow &amp; Cond kW'!F21*$C$6*($G$17-$G$16)/1000</f>
        <v>1.0821824430988496E-2</v>
      </c>
      <c r="I30">
        <f>'Refrig Mass Flow &amp; Cond kW'!F21*(($G$13-$G$14)-$C$6*($G$17-$G$18)/1000)-'Refrig Mass Flow &amp; Cond kW'!E21*(1-$C$6/($G$10+273))</f>
        <v>4.7898483920176815E-3</v>
      </c>
    </row>
    <row r="31" spans="1:18" x14ac:dyDescent="0.2">
      <c r="B31" s="2">
        <v>8</v>
      </c>
      <c r="C31">
        <f>'Refrig Mass Flow &amp; Cond kW'!G22*$C$6*(($C$19-$C$18)/1000)</f>
        <v>0</v>
      </c>
      <c r="D31">
        <f>'Refrig Mass Flow &amp; Cond kW'!G22*Spring_autumn!$C$6*((Spring_autumn!$C$17-Spring_autumn!$C$16)/1000)</f>
        <v>0</v>
      </c>
      <c r="E31">
        <f>'Refrig Mass Flow &amp; Cond kW'!D22*(($C$13-$C$14)-$C$6*($C$17-$C$18)/1000)-'Refrig Mass Flow &amp; Cond kW'!C22*(1-$C$6/($C$10+273))</f>
        <v>0</v>
      </c>
      <c r="F31" s="13"/>
      <c r="G31" s="13">
        <f>'Refrig Mass Flow &amp; Cond kW'!F22*$C$6*($G$19-$G$18)/1000</f>
        <v>2.203219587964668E-3</v>
      </c>
      <c r="H31">
        <f>'Refrig Mass Flow &amp; Cond kW'!F22*$C$6*($G$17-$G$16)/1000</f>
        <v>1.3737722136720384E-2</v>
      </c>
      <c r="I31">
        <f>'Refrig Mass Flow &amp; Cond kW'!F22*(($G$13-$G$14)-$C$6*($G$17-$G$18)/1000)-'Refrig Mass Flow &amp; Cond kW'!E22*(1-$C$6/($G$10+273))</f>
        <v>6.0804540589414618E-3</v>
      </c>
    </row>
    <row r="32" spans="1:18" x14ac:dyDescent="0.2">
      <c r="B32" s="2">
        <v>9</v>
      </c>
      <c r="C32">
        <f>'Refrig Mass Flow &amp; Cond kW'!G23*$C$6*(($C$19-$C$18)/1000)</f>
        <v>0</v>
      </c>
      <c r="D32">
        <f>'Refrig Mass Flow &amp; Cond kW'!G23*Spring_autumn!$C$6*((Spring_autumn!$C$17-Spring_autumn!$C$16)/1000)</f>
        <v>0</v>
      </c>
      <c r="E32">
        <f>'Refrig Mass Flow &amp; Cond kW'!D23*(($C$13-$C$14)-$C$6*($C$17-$C$18)/1000)-'Refrig Mass Flow &amp; Cond kW'!C23*(1-$C$6/($C$10+273))</f>
        <v>0</v>
      </c>
      <c r="F32" s="13"/>
      <c r="G32" s="13">
        <f>'Refrig Mass Flow &amp; Cond kW'!F23*$C$6*($G$19-$G$18)/1000</f>
        <v>2.7739857133032134E-3</v>
      </c>
      <c r="H32">
        <f>'Refrig Mass Flow &amp; Cond kW'!F23*$C$6*($G$17-$G$16)/1000</f>
        <v>1.7296616800595899E-2</v>
      </c>
      <c r="I32">
        <f>'Refrig Mass Flow &amp; Cond kW'!F23*(($G$13-$G$14)-$C$6*($G$17-$G$18)/1000)-'Refrig Mass Flow &amp; Cond kW'!E23*(1-$C$6/($G$10+273))</f>
        <v>7.655656649949244E-3</v>
      </c>
      <c r="K32" s="8"/>
    </row>
    <row r="33" spans="2:9" x14ac:dyDescent="0.2">
      <c r="B33" s="2">
        <v>10</v>
      </c>
      <c r="C33">
        <f>'Refrig Mass Flow &amp; Cond kW'!G24*$C$6*(($C$19-$C$18)/1000)</f>
        <v>0</v>
      </c>
      <c r="D33">
        <f>'Refrig Mass Flow &amp; Cond kW'!G24*Spring_autumn!$C$6*((Spring_autumn!$C$17-Spring_autumn!$C$16)/1000)</f>
        <v>0</v>
      </c>
      <c r="E33">
        <f>'Refrig Mass Flow &amp; Cond kW'!D24*(($C$13-$C$14)-$C$6*($C$17-$C$18)/1000)-'Refrig Mass Flow &amp; Cond kW'!C24*(1-$C$6/($C$10+273))</f>
        <v>0</v>
      </c>
      <c r="F33" s="13"/>
      <c r="G33" s="13">
        <f>'Refrig Mass Flow &amp; Cond kW'!F24*$C$6*($G$19-$G$18)/1000</f>
        <v>3.0920309103317084E-3</v>
      </c>
      <c r="H33">
        <f>'Refrig Mass Flow &amp; Cond kW'!F24*$C$6*($G$17-$G$16)/1000</f>
        <v>1.9279722146773502E-2</v>
      </c>
      <c r="I33">
        <f>'Refrig Mass Flow &amp; Cond kW'!F24*(($G$13-$G$14)-$C$6*($G$17-$G$18)/1000)-'Refrig Mass Flow &amp; Cond kW'!E24*(1-$C$6/($G$10+273))</f>
        <v>8.5333990319445135E-3</v>
      </c>
    </row>
    <row r="34" spans="2:9" x14ac:dyDescent="0.2">
      <c r="B34" s="2">
        <v>11</v>
      </c>
      <c r="C34">
        <f>'Refrig Mass Flow &amp; Cond kW'!G25*$C$6*(($C$19-$C$18)/1000)</f>
        <v>0</v>
      </c>
      <c r="D34">
        <f>'Refrig Mass Flow &amp; Cond kW'!G25*Spring_autumn!$C$6*((Spring_autumn!$C$17-Spring_autumn!$C$16)/1000)</f>
        <v>0</v>
      </c>
      <c r="E34">
        <f>'Refrig Mass Flow &amp; Cond kW'!D25*(($C$13-$C$14)-$C$6*($C$17-$C$18)/1000)-'Refrig Mass Flow &amp; Cond kW'!C25*(1-$C$6/($C$10+273))</f>
        <v>0</v>
      </c>
      <c r="F34" s="13"/>
      <c r="G34" s="13">
        <f>'Refrig Mass Flow &amp; Cond kW'!F25*$C$6*($G$19-$G$18)/1000</f>
        <v>3.3004068909419986E-3</v>
      </c>
      <c r="H34">
        <f>'Refrig Mass Flow &amp; Cond kW'!F25*$C$6*($G$17-$G$16)/1000</f>
        <v>2.0579007672931734E-2</v>
      </c>
      <c r="I34">
        <f>'Refrig Mass Flow &amp; Cond kW'!F25*(($G$13-$G$14)-$C$6*($G$17-$G$18)/1000)-'Refrig Mass Flow &amp; Cond kW'!E25*(1-$C$6/($G$10+273))</f>
        <v>9.1084758803934851E-3</v>
      </c>
    </row>
    <row r="35" spans="2:9" x14ac:dyDescent="0.2">
      <c r="B35" s="2">
        <v>12</v>
      </c>
      <c r="C35">
        <f>'Refrig Mass Flow &amp; Cond kW'!G26*$C$6*(($C$19-$C$18)/1000)</f>
        <v>0</v>
      </c>
      <c r="D35">
        <f>'Refrig Mass Flow &amp; Cond kW'!G26*Spring_autumn!$C$6*((Spring_autumn!$C$17-Spring_autumn!$C$16)/1000)</f>
        <v>0</v>
      </c>
      <c r="E35">
        <f>'Refrig Mass Flow &amp; Cond kW'!D26*(($C$13-$C$14)-$C$6*($C$17-$C$18)/1000)-'Refrig Mass Flow &amp; Cond kW'!C26*(1-$C$6/($C$10+273))</f>
        <v>0</v>
      </c>
      <c r="F35" s="13"/>
      <c r="G35" s="13">
        <f>'Refrig Mass Flow &amp; Cond kW'!F26*$C$6*($G$19-$G$18)/1000</f>
        <v>3.3688838337422892E-3</v>
      </c>
      <c r="H35">
        <f>'Refrig Mass Flow &amp; Cond kW'!F26*$C$6*($G$17-$G$16)/1000</f>
        <v>2.1005981551568825E-2</v>
      </c>
      <c r="I35">
        <f>'Refrig Mass Flow &amp; Cond kW'!F26*(($G$13-$G$14)-$C$6*($G$17-$G$18)/1000)-'Refrig Mass Flow &amp; Cond kW'!E26*(1-$C$6/($G$10+273))</f>
        <v>9.2974588156707338E-3</v>
      </c>
    </row>
    <row r="36" spans="2:9" x14ac:dyDescent="0.2">
      <c r="B36" s="2">
        <v>13</v>
      </c>
      <c r="C36">
        <f>'Refrig Mass Flow &amp; Cond kW'!G27*$C$6*(($C$19-$C$18)/1000)</f>
        <v>0</v>
      </c>
      <c r="D36">
        <f>'Refrig Mass Flow &amp; Cond kW'!G27*Spring_autumn!$C$6*((Spring_autumn!$C$17-Spring_autumn!$C$16)/1000)</f>
        <v>0</v>
      </c>
      <c r="E36">
        <f>'Refrig Mass Flow &amp; Cond kW'!D27*(($C$13-$C$14)-$C$6*($C$17-$C$18)/1000)-'Refrig Mass Flow &amp; Cond kW'!C27*(1-$C$6/($C$10+273))</f>
        <v>0</v>
      </c>
      <c r="F36" s="13"/>
      <c r="G36" s="13">
        <f>'Refrig Mass Flow &amp; Cond kW'!F27*$C$6*($G$19-$G$18)/1000</f>
        <v>3.2672541019664689E-3</v>
      </c>
      <c r="H36">
        <f>'Refrig Mass Flow &amp; Cond kW'!F27*$C$6*($G$17-$G$16)/1000</f>
        <v>2.037229028284903E-2</v>
      </c>
      <c r="I36">
        <f>'Refrig Mass Flow &amp; Cond kW'!F27*(($G$13-$G$14)-$C$6*($G$17-$G$18)/1000)-'Refrig Mass Flow &amp; Cond kW'!E27*(1-$C$6/($G$10+273))</f>
        <v>9.0169806833678562E-3</v>
      </c>
    </row>
    <row r="37" spans="2:9" x14ac:dyDescent="0.2">
      <c r="B37" s="2">
        <v>14</v>
      </c>
      <c r="C37">
        <f>'Refrig Mass Flow &amp; Cond kW'!G28*$C$6*(($C$19-$C$18)/1000)</f>
        <v>0</v>
      </c>
      <c r="D37">
        <f>'Refrig Mass Flow &amp; Cond kW'!G28*Spring_autumn!$C$6*((Spring_autumn!$C$17-Spring_autumn!$C$16)/1000)</f>
        <v>0</v>
      </c>
      <c r="E37">
        <f>'Refrig Mass Flow &amp; Cond kW'!D28*(($C$13-$C$14)-$C$6*($C$17-$C$18)/1000)-'Refrig Mass Flow &amp; Cond kW'!C28*(1-$C$6/($C$10+273))</f>
        <v>0</v>
      </c>
      <c r="F37" s="13"/>
      <c r="G37" s="13">
        <f>'Refrig Mass Flow &amp; Cond kW'!F28*$C$6*($G$19-$G$18)/1000</f>
        <v>2.9653349929545021E-3</v>
      </c>
      <c r="H37">
        <f>'Refrig Mass Flow &amp; Cond kW'!F28*$C$6*($G$17-$G$16)/1000</f>
        <v>1.8489735838421534E-2</v>
      </c>
      <c r="I37">
        <f>'Refrig Mass Flow &amp; Cond kW'!F28*(($G$13-$G$14)-$C$6*($G$17-$G$18)/1000)-'Refrig Mass Flow &amp; Cond kW'!E28*(1-$C$6/($G$10+273))</f>
        <v>8.1837431423201629E-3</v>
      </c>
    </row>
    <row r="38" spans="2:9" x14ac:dyDescent="0.2">
      <c r="B38" s="2">
        <v>15</v>
      </c>
      <c r="C38">
        <f>'Refrig Mass Flow &amp; Cond kW'!G29*$C$6*(($C$19-$C$18)/1000)</f>
        <v>0</v>
      </c>
      <c r="D38">
        <f>'Refrig Mass Flow &amp; Cond kW'!G29*Spring_autumn!$C$6*((Spring_autumn!$C$17-Spring_autumn!$C$16)/1000)</f>
        <v>0</v>
      </c>
      <c r="E38">
        <f>'Refrig Mass Flow &amp; Cond kW'!D29*(($C$13-$C$14)-$C$6*($C$17-$C$18)/1000)-'Refrig Mass Flow &amp; Cond kW'!C29*(1-$C$6/($C$10+273))</f>
        <v>0</v>
      </c>
      <c r="F38" s="13"/>
      <c r="G38" s="13">
        <f>'Refrig Mass Flow &amp; Cond kW'!F29*$C$6*($G$19-$G$18)/1000</f>
        <v>2.4835392300079414E-3</v>
      </c>
      <c r="H38">
        <f>'Refrig Mass Flow &amp; Cond kW'!F29*$C$6*($G$17-$G$16)/1000</f>
        <v>1.5485597551813677E-2</v>
      </c>
      <c r="I38">
        <f>'Refrig Mass Flow &amp; Cond kW'!F29*(($G$13-$G$14)-$C$6*($G$17-$G$18)/1000)-'Refrig Mass Flow &amp; Cond kW'!E29*(1-$C$6/($G$10+273))</f>
        <v>6.8540813063451556E-3</v>
      </c>
    </row>
    <row r="39" spans="2:9" x14ac:dyDescent="0.2">
      <c r="B39" s="2">
        <v>16</v>
      </c>
      <c r="C39">
        <f>'Refrig Mass Flow &amp; Cond kW'!G30*$C$6*(($C$19-$C$18)/1000)</f>
        <v>0</v>
      </c>
      <c r="D39">
        <f>'Refrig Mass Flow &amp; Cond kW'!G30*Spring_autumn!$C$6*((Spring_autumn!$C$17-Spring_autumn!$C$16)/1000)</f>
        <v>0</v>
      </c>
      <c r="E39">
        <f>'Refrig Mass Flow &amp; Cond kW'!D30*(($C$13-$C$14)-$C$6*($C$17-$C$18)/1000)-'Refrig Mass Flow &amp; Cond kW'!C30*(1-$C$6/($C$10+273))</f>
        <v>0</v>
      </c>
      <c r="F39" s="13"/>
      <c r="G39" s="13">
        <f>'Refrig Mass Flow &amp; Cond kW'!F30*$C$6*($G$19-$G$18)/1000</f>
        <v>2.1301151841057538E-3</v>
      </c>
      <c r="H39">
        <f>'Refrig Mass Flow &amp; Cond kW'!F30*$C$6*($G$17-$G$16)/1000</f>
        <v>1.3281894677364818E-2</v>
      </c>
      <c r="I39">
        <f>'Refrig Mass Flow &amp; Cond kW'!F30*(($G$13-$G$14)-$C$6*($G$17-$G$18)/1000)-'Refrig Mass Flow &amp; Cond kW'!E30*(1-$C$6/($G$10+273))</f>
        <v>5.8787002384876885E-3</v>
      </c>
    </row>
    <row r="40" spans="2:9" x14ac:dyDescent="0.2">
      <c r="B40" s="2">
        <v>17</v>
      </c>
      <c r="C40">
        <f>'Refrig Mass Flow &amp; Cond kW'!G31*$C$6*(($C$19-$C$18)/1000)</f>
        <v>0</v>
      </c>
      <c r="D40">
        <f>'Refrig Mass Flow &amp; Cond kW'!G31*Spring_autumn!$C$6*((Spring_autumn!$C$17-Spring_autumn!$C$16)/1000)</f>
        <v>0</v>
      </c>
      <c r="E40">
        <f>'Refrig Mass Flow &amp; Cond kW'!D31*(($C$13-$C$14)-$C$6*($C$17-$C$18)/1000)-'Refrig Mass Flow &amp; Cond kW'!C31*(1-$C$6/($C$10+273))</f>
        <v>0</v>
      </c>
      <c r="F40" s="13"/>
      <c r="G40" s="13">
        <f>'Refrig Mass Flow &amp; Cond kW'!F31*$C$6*($G$19-$G$18)/1000</f>
        <v>1.648726359588831E-3</v>
      </c>
      <c r="H40">
        <f>'Refrig Mass Flow &amp; Cond kW'!F31*$C$6*($G$17-$G$16)/1000</f>
        <v>1.0280293771553525E-2</v>
      </c>
      <c r="I40">
        <f>'Refrig Mass Flow &amp; Cond kW'!F31*(($G$13-$G$14)-$C$6*($G$17-$G$18)/1000)-'Refrig Mass Flow &amp; Cond kW'!E31*(1-$C$6/($G$10+273))</f>
        <v>4.5501614727866402E-3</v>
      </c>
    </row>
    <row r="41" spans="2:9" x14ac:dyDescent="0.2">
      <c r="B41" s="2">
        <v>18</v>
      </c>
      <c r="C41">
        <f>'Refrig Mass Flow &amp; Cond kW'!G32*$C$6*(($C$19-$C$18)/1000)</f>
        <v>0</v>
      </c>
      <c r="D41">
        <f>'Refrig Mass Flow &amp; Cond kW'!G32*Spring_autumn!$C$6*((Spring_autumn!$C$17-Spring_autumn!$C$16)/1000)</f>
        <v>0</v>
      </c>
      <c r="E41">
        <f>'Refrig Mass Flow &amp; Cond kW'!D32*(($C$13-$C$14)-$C$6*($C$17-$C$18)/1000)-'Refrig Mass Flow &amp; Cond kW'!C32*(1-$C$6/($C$10+273))</f>
        <v>0</v>
      </c>
      <c r="F41" s="13"/>
      <c r="G41" s="13">
        <f>'Refrig Mass Flow &amp; Cond kW'!F32*$C$6*($G$19-$G$18)/1000</f>
        <v>9.9922668913683026E-4</v>
      </c>
      <c r="H41">
        <f>'Refrig Mass Flow &amp; Cond kW'!F32*$C$6*($G$17-$G$16)/1000</f>
        <v>6.2304722969706034E-3</v>
      </c>
      <c r="I41">
        <f>'Refrig Mass Flow &amp; Cond kW'!F32*(($G$13-$G$14)-$C$6*($G$17-$G$18)/1000)-'Refrig Mass Flow &amp; Cond kW'!E32*(1-$C$6/($G$10+273))</f>
        <v>2.7576697352157467E-3</v>
      </c>
    </row>
    <row r="42" spans="2:9" x14ac:dyDescent="0.2">
      <c r="B42" s="2">
        <v>19</v>
      </c>
      <c r="C42">
        <f>'Refrig Mass Flow &amp; Cond kW'!G33*$C$6*(($C$19-$C$18)/1000)</f>
        <v>0</v>
      </c>
      <c r="D42">
        <f>'Refrig Mass Flow &amp; Cond kW'!G33*Spring_autumn!$C$6*((Spring_autumn!$C$17-Spring_autumn!$C$16)/1000)</f>
        <v>0</v>
      </c>
      <c r="E42">
        <f>'Refrig Mass Flow &amp; Cond kW'!D33*(($C$13-$C$14)-$C$6*($C$17-$C$18)/1000)-'Refrig Mass Flow &amp; Cond kW'!C33*(1-$C$6/($C$10+273))</f>
        <v>0</v>
      </c>
      <c r="F42" s="13"/>
      <c r="G42" s="13">
        <f>'Refrig Mass Flow &amp; Cond kW'!F33*$C$6*($G$19-$G$18)/1000</f>
        <v>2.1938566458928066E-4</v>
      </c>
      <c r="H42">
        <f>'Refrig Mass Flow &amp; Cond kW'!F33*$C$6*($G$17-$G$16)/1000</f>
        <v>1.367934143909584E-3</v>
      </c>
      <c r="I42">
        <f>'Refrig Mass Flow &amp; Cond kW'!F33*(($G$13-$G$14)-$C$6*($G$17-$G$18)/1000)-'Refrig Mass Flow &amp; Cond kW'!E33*(1-$C$6/($G$10+273))</f>
        <v>6.0546141746941132E-4</v>
      </c>
    </row>
    <row r="43" spans="2:9" x14ac:dyDescent="0.2">
      <c r="B43" s="2">
        <v>20</v>
      </c>
      <c r="C43">
        <f>'Refrig Mass Flow &amp; Cond kW'!G34*$C$6*(($C$19-$C$18)/1000)</f>
        <v>0</v>
      </c>
      <c r="D43">
        <f>'Refrig Mass Flow &amp; Cond kW'!G34*Spring_autumn!$C$6*((Spring_autumn!$C$17-Spring_autumn!$C$16)/1000)</f>
        <v>0</v>
      </c>
      <c r="E43">
        <f>'Refrig Mass Flow &amp; Cond kW'!D34*(($C$13-$C$14)-$C$6*($C$17-$C$18)/1000)-'Refrig Mass Flow &amp; Cond kW'!C34*(1-$C$6/($C$10+273))</f>
        <v>0</v>
      </c>
      <c r="F43" s="13"/>
      <c r="G43" s="13">
        <f>'Refrig Mass Flow &amp; Cond kW'!F34*$C$6*($G$19-$G$18)/1000</f>
        <v>0</v>
      </c>
      <c r="H43">
        <f>'Refrig Mass Flow &amp; Cond kW'!F34*$C$6*($G$17-$G$16)/1000</f>
        <v>0</v>
      </c>
      <c r="I43">
        <f>'Refrig Mass Flow &amp; Cond kW'!F34*(($G$13-$G$14)-$C$6*($G$17-$G$18)/1000)-'Refrig Mass Flow &amp; Cond kW'!E34*(1-$C$6/($G$10+273))</f>
        <v>0</v>
      </c>
    </row>
    <row r="44" spans="2:9" x14ac:dyDescent="0.2">
      <c r="B44" s="2">
        <v>21</v>
      </c>
      <c r="C44">
        <f>'Refrig Mass Flow &amp; Cond kW'!G35*$C$6*(($C$19-$C$18)/1000)</f>
        <v>0</v>
      </c>
      <c r="D44">
        <f>'Refrig Mass Flow &amp; Cond kW'!G35*Spring_autumn!$C$6*((Spring_autumn!$C$17-Spring_autumn!$C$16)/1000)</f>
        <v>0</v>
      </c>
      <c r="E44">
        <f>'Refrig Mass Flow &amp; Cond kW'!D35*(($C$13-$C$14)-$C$6*($C$17-$C$18)/1000)-'Refrig Mass Flow &amp; Cond kW'!C35*(1-$C$6/($C$10+273))</f>
        <v>0</v>
      </c>
      <c r="F44" s="13"/>
      <c r="G44" s="13">
        <f>'Refrig Mass Flow &amp; Cond kW'!F35*$C$6*($G$19-$G$18)/1000</f>
        <v>0</v>
      </c>
      <c r="H44">
        <f>'Refrig Mass Flow &amp; Cond kW'!F35*$C$6*($G$17-$G$16)/1000</f>
        <v>0</v>
      </c>
      <c r="I44">
        <f>'Refrig Mass Flow &amp; Cond kW'!F35*(($G$13-$G$14)-$C$6*($G$17-$G$18)/1000)-'Refrig Mass Flow &amp; Cond kW'!E35*(1-$C$6/($G$10+273))</f>
        <v>0</v>
      </c>
    </row>
    <row r="45" spans="2:9" x14ac:dyDescent="0.2">
      <c r="B45" s="2">
        <v>22</v>
      </c>
      <c r="C45">
        <f>'Refrig Mass Flow &amp; Cond kW'!G36*$C$6*(($C$19-$C$18)/1000)</f>
        <v>0</v>
      </c>
      <c r="D45">
        <f>'Refrig Mass Flow &amp; Cond kW'!G36*Spring_autumn!$C$6*((Spring_autumn!$C$17-Spring_autumn!$C$16)/1000)</f>
        <v>0</v>
      </c>
      <c r="E45">
        <f>'Refrig Mass Flow &amp; Cond kW'!D36*(($C$13-$C$14)-$C$6*($C$17-$C$18)/1000)-'Refrig Mass Flow &amp; Cond kW'!C36*(1-$C$6/($C$10+273))</f>
        <v>0</v>
      </c>
      <c r="F45" s="13"/>
      <c r="G45" s="13">
        <f>'Refrig Mass Flow &amp; Cond kW'!F36*$C$6*($G$19-$G$18)/1000</f>
        <v>0</v>
      </c>
      <c r="H45">
        <f>'Refrig Mass Flow &amp; Cond kW'!F36*$C$6*($G$17-$G$16)/1000</f>
        <v>0</v>
      </c>
      <c r="I45">
        <f>'Refrig Mass Flow &amp; Cond kW'!F36*(($G$13-$G$14)-$C$6*($G$17-$G$18)/1000)-'Refrig Mass Flow &amp; Cond kW'!E36*(1-$C$6/($G$10+273))</f>
        <v>0</v>
      </c>
    </row>
    <row r="46" spans="2:9" x14ac:dyDescent="0.2">
      <c r="B46" s="2">
        <v>23</v>
      </c>
      <c r="C46">
        <f>'Refrig Mass Flow &amp; Cond kW'!G37*$C$6*(($C$19-$C$18)/1000)</f>
        <v>0</v>
      </c>
      <c r="D46">
        <f>'Refrig Mass Flow &amp; Cond kW'!G37*Spring_autumn!$C$6*((Spring_autumn!$C$17-Spring_autumn!$C$16)/1000)</f>
        <v>0</v>
      </c>
      <c r="E46">
        <f>'Refrig Mass Flow &amp; Cond kW'!D37*(($C$13-$C$14)-$C$6*($C$17-$C$18)/1000)-'Refrig Mass Flow &amp; Cond kW'!C37*(1-$C$6/($C$10+273))</f>
        <v>0</v>
      </c>
      <c r="F46" s="13"/>
      <c r="G46" s="13">
        <f>'Refrig Mass Flow &amp; Cond kW'!F37*$C$6*($G$19-$G$18)/1000</f>
        <v>0</v>
      </c>
      <c r="H46">
        <f>'Refrig Mass Flow &amp; Cond kW'!F37*$C$6*($G$17-$G$16)/1000</f>
        <v>0</v>
      </c>
      <c r="I46">
        <f>'Refrig Mass Flow &amp; Cond kW'!F37*(($G$13-$G$14)-$C$6*($G$17-$G$18)/1000)-'Refrig Mass Flow &amp; Cond kW'!E37*(1-$C$6/($G$10+273))</f>
        <v>0</v>
      </c>
    </row>
    <row r="47" spans="2:9" x14ac:dyDescent="0.2">
      <c r="B47" s="2">
        <v>24</v>
      </c>
      <c r="C47">
        <f>'Refrig Mass Flow &amp; Cond kW'!G38*$C$6*(($C$19-$C$18)/1000)</f>
        <v>0</v>
      </c>
      <c r="D47">
        <f>'Refrig Mass Flow &amp; Cond kW'!G38*Spring_autumn!$C$6*((Spring_autumn!$C$17-Spring_autumn!$C$16)/1000)</f>
        <v>0</v>
      </c>
      <c r="E47">
        <f>'Refrig Mass Flow &amp; Cond kW'!D38*(($C$13-$C$14)-$C$6*($C$17-$C$18)/1000)-'Refrig Mass Flow &amp; Cond kW'!C38*(1-$C$6/($C$10+273))</f>
        <v>0</v>
      </c>
      <c r="F47" s="13"/>
      <c r="G47" s="13">
        <f>'Refrig Mass Flow &amp; Cond kW'!F38*$C$6*($G$19-$G$18)/1000</f>
        <v>0</v>
      </c>
      <c r="H47">
        <f>'Refrig Mass Flow &amp; Cond kW'!F38*$C$6*($G$17-$G$16)/1000</f>
        <v>0</v>
      </c>
      <c r="I47">
        <f>'Refrig Mass Flow &amp; Cond kW'!F38*(($G$13-$G$14)-$C$6*($G$17-$G$18)/1000)-'Refrig Mass Flow &amp; Cond kW'!E38*(1-$C$6/($G$10+273))</f>
        <v>0</v>
      </c>
    </row>
    <row r="48" spans="2:9" x14ac:dyDescent="0.2">
      <c r="B48" s="2">
        <v>25</v>
      </c>
      <c r="C48">
        <f>'Refrig Mass Flow &amp; Cond kW'!G39*$C$6*(($C$19-$C$18)/1000)</f>
        <v>0</v>
      </c>
      <c r="D48">
        <f>'Refrig Mass Flow &amp; Cond kW'!G39*Spring_autumn!$C$6*((Spring_autumn!$C$17-Spring_autumn!$C$16)/1000)</f>
        <v>0</v>
      </c>
      <c r="E48">
        <f>'Refrig Mass Flow &amp; Cond kW'!D39*(($C$13-$C$14)-$C$6*($C$17-$C$18)/1000)-'Refrig Mass Flow &amp; Cond kW'!C39*(1-$C$6/($C$10+273))</f>
        <v>0</v>
      </c>
      <c r="F48" s="13"/>
      <c r="G48" s="13">
        <f>'Refrig Mass Flow &amp; Cond kW'!F39*$C$6*($G$19-$G$18)/1000</f>
        <v>0</v>
      </c>
      <c r="H48">
        <f>'Refrig Mass Flow &amp; Cond kW'!F39*$C$6*($G$17-$G$16)/1000</f>
        <v>0</v>
      </c>
      <c r="I48">
        <f>'Refrig Mass Flow &amp; Cond kW'!F39*(($G$13-$G$14)-$C$6*($G$17-$G$18)/1000)-'Refrig Mass Flow &amp; Cond kW'!E39*(1-$C$6/($G$10+273))</f>
        <v>0</v>
      </c>
    </row>
    <row r="49" spans="2:9" x14ac:dyDescent="0.2">
      <c r="B49" s="2">
        <v>26</v>
      </c>
      <c r="C49">
        <f>'Refrig Mass Flow &amp; Cond kW'!G40*$C$6*(($C$19-$C$18)/1000)</f>
        <v>0</v>
      </c>
      <c r="D49">
        <f>'Refrig Mass Flow &amp; Cond kW'!G40*Spring_autumn!$C$6*((Spring_autumn!$C$17-Spring_autumn!$C$16)/1000)</f>
        <v>0</v>
      </c>
      <c r="E49">
        <f>'Refrig Mass Flow &amp; Cond kW'!D40*(($C$13-$C$14)-$C$6*($C$17-$C$18)/1000)-'Refrig Mass Flow &amp; Cond kW'!C40*(1-$C$6/($C$10+273))</f>
        <v>0</v>
      </c>
      <c r="F49" s="13"/>
      <c r="G49" s="13">
        <f>'Refrig Mass Flow &amp; Cond kW'!F40*$C$6*($G$19-$G$18)/1000</f>
        <v>0</v>
      </c>
      <c r="H49">
        <f>'Refrig Mass Flow &amp; Cond kW'!F40*$C$6*($G$17-$G$16)/1000</f>
        <v>0</v>
      </c>
      <c r="I49">
        <f>'Refrig Mass Flow &amp; Cond kW'!F40*(($G$13-$G$14)-$C$6*($G$17-$G$18)/1000)-'Refrig Mass Flow &amp; Cond kW'!E40*(1-$C$6/($G$10+273))</f>
        <v>0</v>
      </c>
    </row>
    <row r="50" spans="2:9" x14ac:dyDescent="0.2">
      <c r="B50" s="2">
        <v>27</v>
      </c>
      <c r="C50">
        <f>'Refrig Mass Flow &amp; Cond kW'!G41*$C$6*(($C$19-$C$18)/1000)</f>
        <v>0</v>
      </c>
      <c r="D50">
        <f>'Refrig Mass Flow &amp; Cond kW'!G41*Spring_autumn!$C$6*((Spring_autumn!$C$17-Spring_autumn!$C$16)/1000)</f>
        <v>0</v>
      </c>
      <c r="E50">
        <f>'Refrig Mass Flow &amp; Cond kW'!D41*(($C$13-$C$14)-$C$6*($C$17-$C$18)/1000)-'Refrig Mass Flow &amp; Cond kW'!C41*(1-$C$6/($C$10+273))</f>
        <v>0</v>
      </c>
      <c r="F50" s="13"/>
      <c r="G50" s="13">
        <f>'Refrig Mass Flow &amp; Cond kW'!F41*$C$6*($G$19-$G$18)/1000</f>
        <v>0</v>
      </c>
      <c r="H50">
        <f>'Refrig Mass Flow &amp; Cond kW'!F41*$C$6*($G$17-$G$16)/1000</f>
        <v>0</v>
      </c>
      <c r="I50">
        <f>'Refrig Mass Flow &amp; Cond kW'!F41*(($G$13-$G$14)-$C$6*($G$17-$G$18)/1000)-'Refrig Mass Flow &amp; Cond kW'!E41*(1-$C$6/($G$10+273))</f>
        <v>0</v>
      </c>
    </row>
    <row r="51" spans="2:9" x14ac:dyDescent="0.2">
      <c r="B51" s="2">
        <v>28</v>
      </c>
      <c r="C51">
        <f>'Refrig Mass Flow &amp; Cond kW'!G42*$C$6*(($C$19-$C$18)/1000)</f>
        <v>0</v>
      </c>
      <c r="D51">
        <f>'Refrig Mass Flow &amp; Cond kW'!G42*Spring_autumn!$C$6*((Spring_autumn!$C$17-Spring_autumn!$C$16)/1000)</f>
        <v>0</v>
      </c>
      <c r="E51">
        <f>'Refrig Mass Flow &amp; Cond kW'!D42*(($C$13-$C$14)-$C$6*($C$17-$C$18)/1000)-'Refrig Mass Flow &amp; Cond kW'!C42*(1-$C$6/($C$10+273))</f>
        <v>0</v>
      </c>
      <c r="F51" s="13"/>
      <c r="G51" s="13">
        <f>'Refrig Mass Flow &amp; Cond kW'!F42*$C$6*($G$19-$G$18)/1000</f>
        <v>0</v>
      </c>
      <c r="H51">
        <f>'Refrig Mass Flow &amp; Cond kW'!F42*$C$6*($G$17-$G$16)/1000</f>
        <v>0</v>
      </c>
      <c r="I51">
        <f>'Refrig Mass Flow &amp; Cond kW'!F42*(($G$13-$G$14)-$C$6*($G$17-$G$18)/1000)-'Refrig Mass Flow &amp; Cond kW'!E42*(1-$C$6/($G$10+273))</f>
        <v>0</v>
      </c>
    </row>
    <row r="52" spans="2:9" x14ac:dyDescent="0.2">
      <c r="B52" s="2">
        <v>29</v>
      </c>
      <c r="C52">
        <f>'Refrig Mass Flow &amp; Cond kW'!G43*$C$6*(($C$19-$C$18)/1000)</f>
        <v>0</v>
      </c>
      <c r="D52">
        <f>'Refrig Mass Flow &amp; Cond kW'!G43*Spring_autumn!$C$6*((Spring_autumn!$C$17-Spring_autumn!$C$16)/1000)</f>
        <v>0</v>
      </c>
      <c r="E52">
        <f>'Refrig Mass Flow &amp; Cond kW'!D43*(($C$13-$C$14)-$C$6*($C$17-$C$18)/1000)-'Refrig Mass Flow &amp; Cond kW'!C43*(1-$C$6/($C$10+273))</f>
        <v>0</v>
      </c>
      <c r="F52" s="13"/>
      <c r="G52" s="13">
        <f>'Refrig Mass Flow &amp; Cond kW'!F43*$C$6*($G$19-$G$18)/1000</f>
        <v>0</v>
      </c>
      <c r="H52">
        <f>'Refrig Mass Flow &amp; Cond kW'!F43*$C$6*($G$17-$G$16)/1000</f>
        <v>0</v>
      </c>
      <c r="I52">
        <f>'Refrig Mass Flow &amp; Cond kW'!F43*(($G$13-$G$14)-$C$6*($G$17-$G$18)/1000)-'Refrig Mass Flow &amp; Cond kW'!E43*(1-$C$6/($G$10+273))</f>
        <v>0</v>
      </c>
    </row>
    <row r="53" spans="2:9" x14ac:dyDescent="0.2">
      <c r="B53" s="2">
        <v>30</v>
      </c>
      <c r="C53">
        <f>'Refrig Mass Flow &amp; Cond kW'!G44*$C$6*(($C$19-$C$18)/1000)</f>
        <v>0</v>
      </c>
      <c r="D53">
        <f>'Refrig Mass Flow &amp; Cond kW'!G44*Spring_autumn!$C$6*((Spring_autumn!$C$17-Spring_autumn!$C$16)/1000)</f>
        <v>0</v>
      </c>
      <c r="E53">
        <f>'Refrig Mass Flow &amp; Cond kW'!D44*(($C$13-$C$14)-$C$6*($C$17-$C$18)/1000)-'Refrig Mass Flow &amp; Cond kW'!C44*(1-$C$6/($C$10+273))</f>
        <v>0</v>
      </c>
      <c r="F53" s="13"/>
      <c r="G53" s="13">
        <f>'Refrig Mass Flow &amp; Cond kW'!F44*$C$6*($G$19-$G$18)/1000</f>
        <v>0</v>
      </c>
      <c r="H53">
        <f>'Refrig Mass Flow &amp; Cond kW'!F44*$C$6*($G$17-$G$16)/1000</f>
        <v>0</v>
      </c>
      <c r="I53">
        <f>'Refrig Mass Flow &amp; Cond kW'!F44*(($G$13-$G$14)-$C$6*($G$17-$G$18)/1000)-'Refrig Mass Flow &amp; Cond kW'!E44*(1-$C$6/($G$10+273))</f>
        <v>0</v>
      </c>
    </row>
    <row r="54" spans="2:9" x14ac:dyDescent="0.2">
      <c r="B54" s="2">
        <v>31</v>
      </c>
      <c r="C54">
        <f>'Refrig Mass Flow &amp; Cond kW'!G45*$C$6*(($C$19-$C$18)/1000)</f>
        <v>0</v>
      </c>
      <c r="D54">
        <f>'Refrig Mass Flow &amp; Cond kW'!G45*Spring_autumn!$C$6*((Spring_autumn!$C$17-Spring_autumn!$C$16)/1000)</f>
        <v>0</v>
      </c>
      <c r="E54">
        <f>'Refrig Mass Flow &amp; Cond kW'!D45*(($C$13-$C$14)-$C$6*($C$17-$C$18)/1000)-'Refrig Mass Flow &amp; Cond kW'!C45*(1-$C$6/($C$10+273))</f>
        <v>0</v>
      </c>
      <c r="F54" s="13"/>
      <c r="G54" s="13">
        <f>'Refrig Mass Flow &amp; Cond kW'!F45*$C$6*($G$19-$G$18)/1000</f>
        <v>0</v>
      </c>
      <c r="H54">
        <f>'Refrig Mass Flow &amp; Cond kW'!F45*$C$6*($G$17-$G$16)/1000</f>
        <v>0</v>
      </c>
      <c r="I54">
        <f>'Refrig Mass Flow &amp; Cond kW'!F45*(($G$13-$G$14)-$C$6*($G$17-$G$18)/1000)-'Refrig Mass Flow &amp; Cond kW'!E45*(1-$C$6/($G$10+273))</f>
        <v>0</v>
      </c>
    </row>
    <row r="55" spans="2:9" x14ac:dyDescent="0.2">
      <c r="B55" s="2">
        <v>32</v>
      </c>
      <c r="C55">
        <f>'Refrig Mass Flow &amp; Cond kW'!G46*$C$6*(($C$19-$C$18)/1000)</f>
        <v>0</v>
      </c>
      <c r="D55">
        <f>'Refrig Mass Flow &amp; Cond kW'!G46*Spring_autumn!$C$6*((Spring_autumn!$C$17-Spring_autumn!$C$16)/1000)</f>
        <v>0</v>
      </c>
      <c r="E55">
        <f>'Refrig Mass Flow &amp; Cond kW'!D46*(($C$13-$C$14)-$C$6*($C$17-$C$18)/1000)-'Refrig Mass Flow &amp; Cond kW'!C46*(1-$C$6/($C$10+273))</f>
        <v>0</v>
      </c>
      <c r="F55" s="13"/>
      <c r="G55" s="13">
        <f>'Refrig Mass Flow &amp; Cond kW'!F46*$C$6*($G$19-$G$18)/1000</f>
        <v>0</v>
      </c>
      <c r="H55">
        <f>'Refrig Mass Flow &amp; Cond kW'!F46*$C$6*($G$17-$G$16)/1000</f>
        <v>0</v>
      </c>
      <c r="I55">
        <f>'Refrig Mass Flow &amp; Cond kW'!F46*(($G$13-$G$14)-$C$6*($G$17-$G$18)/1000)-'Refrig Mass Flow &amp; Cond kW'!E46*(1-$C$6/($G$10+273))</f>
        <v>0</v>
      </c>
    </row>
    <row r="56" spans="2:9" x14ac:dyDescent="0.2">
      <c r="B56" s="2">
        <v>33</v>
      </c>
      <c r="C56">
        <f>'Refrig Mass Flow &amp; Cond kW'!G47*$C$6*(($C$19-$C$18)/1000)</f>
        <v>0</v>
      </c>
      <c r="D56">
        <f>'Refrig Mass Flow &amp; Cond kW'!G47*Spring_autumn!$C$6*((Spring_autumn!$C$17-Spring_autumn!$C$16)/1000)</f>
        <v>0</v>
      </c>
      <c r="E56">
        <f>'Refrig Mass Flow &amp; Cond kW'!D47*(($C$13-$C$14)-$C$6*($C$17-$C$18)/1000)-'Refrig Mass Flow &amp; Cond kW'!C47*(1-$C$6/($C$10+273))</f>
        <v>0</v>
      </c>
      <c r="F56" s="13"/>
      <c r="G56" s="13">
        <f>'Refrig Mass Flow &amp; Cond kW'!F47*$C$6*($G$19-$G$18)/1000</f>
        <v>0</v>
      </c>
      <c r="H56">
        <f>'Refrig Mass Flow &amp; Cond kW'!F47*$C$6*($G$17-$G$16)/1000</f>
        <v>0</v>
      </c>
      <c r="I56">
        <f>'Refrig Mass Flow &amp; Cond kW'!F47*(($G$13-$G$14)-$C$6*($G$17-$G$18)/1000)-'Refrig Mass Flow &amp; Cond kW'!E47*(1-$C$6/($G$10+273))</f>
        <v>0</v>
      </c>
    </row>
    <row r="57" spans="2:9" x14ac:dyDescent="0.2">
      <c r="B57" s="2">
        <v>34</v>
      </c>
      <c r="C57">
        <f>'Refrig Mass Flow &amp; Cond kW'!G48*$C$6*(($C$19-$C$18)/1000)</f>
        <v>0</v>
      </c>
      <c r="D57">
        <f>'Refrig Mass Flow &amp; Cond kW'!G48*Spring_autumn!$C$6*((Spring_autumn!$C$17-Spring_autumn!$C$16)/1000)</f>
        <v>0</v>
      </c>
      <c r="E57">
        <f>'Refrig Mass Flow &amp; Cond kW'!D48*(($C$13-$C$14)-$C$6*($C$17-$C$18)/1000)-'Refrig Mass Flow &amp; Cond kW'!C48*(1-$C$6/($C$10+273))</f>
        <v>0</v>
      </c>
      <c r="F57" s="13"/>
      <c r="G57" s="13">
        <f>'Refrig Mass Flow &amp; Cond kW'!F48*$C$6*($G$19-$G$18)/1000</f>
        <v>0</v>
      </c>
      <c r="H57">
        <f>'Refrig Mass Flow &amp; Cond kW'!F48*$C$6*($G$17-$G$16)/1000</f>
        <v>0</v>
      </c>
      <c r="I57">
        <f>'Refrig Mass Flow &amp; Cond kW'!F48*(($G$13-$G$14)-$C$6*($G$17-$G$18)/1000)-'Refrig Mass Flow &amp; Cond kW'!E48*(1-$C$6/($G$10+273))</f>
        <v>0</v>
      </c>
    </row>
    <row r="58" spans="2:9" x14ac:dyDescent="0.2">
      <c r="B58" s="2">
        <v>35</v>
      </c>
      <c r="C58">
        <f>'Refrig Mass Flow &amp; Cond kW'!G49*$C$6*(($C$19-$C$18)/1000)</f>
        <v>0</v>
      </c>
      <c r="D58">
        <f>'Refrig Mass Flow &amp; Cond kW'!G49*Spring_autumn!$C$6*((Spring_autumn!$C$17-Spring_autumn!$C$16)/1000)</f>
        <v>0</v>
      </c>
      <c r="E58">
        <f>'Refrig Mass Flow &amp; Cond kW'!D49*(($C$13-$C$14)-$C$6*($C$17-$C$18)/1000)-'Refrig Mass Flow &amp; Cond kW'!C49*(1-$C$6/($C$10+273))</f>
        <v>0</v>
      </c>
      <c r="F58" s="13"/>
      <c r="G58" s="13">
        <f>'Refrig Mass Flow &amp; Cond kW'!F49*$C$6*($G$19-$G$18)/1000</f>
        <v>0</v>
      </c>
      <c r="H58">
        <f>'Refrig Mass Flow &amp; Cond kW'!F49*$C$6*($G$17-$G$16)/1000</f>
        <v>0</v>
      </c>
      <c r="I58">
        <f>'Refrig Mass Flow &amp; Cond kW'!F49*(($G$13-$G$14)-$C$6*($G$17-$G$18)/1000)-'Refrig Mass Flow &amp; Cond kW'!E49*(1-$C$6/($G$10+273))</f>
        <v>0</v>
      </c>
    </row>
    <row r="59" spans="2:9" x14ac:dyDescent="0.2">
      <c r="B59" s="2">
        <v>36</v>
      </c>
      <c r="C59">
        <f>'Refrig Mass Flow &amp; Cond kW'!G50*$C$6*(($C$19-$C$18)/1000)</f>
        <v>0</v>
      </c>
      <c r="D59">
        <f>'Refrig Mass Flow &amp; Cond kW'!G50*Spring_autumn!$C$6*((Spring_autumn!$C$17-Spring_autumn!$C$16)/1000)</f>
        <v>0</v>
      </c>
      <c r="E59">
        <f>'Refrig Mass Flow &amp; Cond kW'!D50*(($C$13-$C$14)-$C$6*($C$17-$C$18)/1000)-'Refrig Mass Flow &amp; Cond kW'!C50*(1-$C$6/($C$10+273))</f>
        <v>0</v>
      </c>
      <c r="F59" s="13"/>
      <c r="G59" s="13">
        <f>'Refrig Mass Flow &amp; Cond kW'!F50*$C$6*($G$19-$G$18)/1000</f>
        <v>0</v>
      </c>
      <c r="H59">
        <f>'Refrig Mass Flow &amp; Cond kW'!F50*$C$6*($G$17-$G$16)/1000</f>
        <v>0</v>
      </c>
      <c r="I59">
        <f>'Refrig Mass Flow &amp; Cond kW'!F50*(($G$13-$G$14)-$C$6*($G$17-$G$18)/1000)-'Refrig Mass Flow &amp; Cond kW'!E50*(1-$C$6/($G$10+273))</f>
        <v>0</v>
      </c>
    </row>
    <row r="60" spans="2:9" x14ac:dyDescent="0.2">
      <c r="B60" s="2">
        <v>37</v>
      </c>
      <c r="C60">
        <f>'Refrig Mass Flow &amp; Cond kW'!G51*$C$6*(($C$19-$C$18)/1000)</f>
        <v>0</v>
      </c>
      <c r="D60">
        <f>'Refrig Mass Flow &amp; Cond kW'!G51*Spring_autumn!$C$6*((Spring_autumn!$C$17-Spring_autumn!$C$16)/1000)</f>
        <v>0</v>
      </c>
      <c r="E60">
        <f>'Refrig Mass Flow &amp; Cond kW'!D51*(($C$13-$C$14)-$C$6*($C$17-$C$18)/1000)-'Refrig Mass Flow &amp; Cond kW'!C51*(1-$C$6/($C$10+273))</f>
        <v>0</v>
      </c>
      <c r="F60" s="13"/>
      <c r="G60" s="13">
        <f>'Refrig Mass Flow &amp; Cond kW'!F51*$C$6*($G$19-$G$18)/1000</f>
        <v>0</v>
      </c>
      <c r="H60">
        <f>'Refrig Mass Flow &amp; Cond kW'!F51*$C$6*($G$17-$G$16)/1000</f>
        <v>0</v>
      </c>
      <c r="I60">
        <f>'Refrig Mass Flow &amp; Cond kW'!F51*(($G$13-$G$14)-$C$6*($G$17-$G$18)/1000)-'Refrig Mass Flow &amp; Cond kW'!E51*(1-$C$6/($G$10+273))</f>
        <v>0</v>
      </c>
    </row>
    <row r="61" spans="2:9" x14ac:dyDescent="0.2">
      <c r="B61" s="2">
        <v>38</v>
      </c>
      <c r="C61">
        <f>'Refrig Mass Flow &amp; Cond kW'!G52*$C$6*(($C$19-$C$18)/1000)</f>
        <v>0</v>
      </c>
      <c r="D61">
        <f>'Refrig Mass Flow &amp; Cond kW'!G52*Spring_autumn!$C$6*((Spring_autumn!$C$17-Spring_autumn!$C$16)/1000)</f>
        <v>0</v>
      </c>
      <c r="E61">
        <f>'Refrig Mass Flow &amp; Cond kW'!D52*(($C$13-$C$14)-$C$6*($C$17-$C$18)/1000)-'Refrig Mass Flow &amp; Cond kW'!C52*(1-$C$6/($C$10+273))</f>
        <v>0</v>
      </c>
      <c r="F61" s="13"/>
      <c r="G61" s="13">
        <f>'Refrig Mass Flow &amp; Cond kW'!F52*$C$6*($G$19-$G$18)/1000</f>
        <v>0</v>
      </c>
      <c r="H61">
        <f>'Refrig Mass Flow &amp; Cond kW'!F52*$C$6*($G$17-$G$16)/1000</f>
        <v>0</v>
      </c>
      <c r="I61">
        <f>'Refrig Mass Flow &amp; Cond kW'!F52*(($G$13-$G$14)-$C$6*($G$17-$G$18)/1000)-'Refrig Mass Flow &amp; Cond kW'!E52*(1-$C$6/($G$10+273))</f>
        <v>0</v>
      </c>
    </row>
    <row r="62" spans="2:9" x14ac:dyDescent="0.2">
      <c r="B62" s="2">
        <v>39</v>
      </c>
      <c r="C62">
        <f>'Refrig Mass Flow &amp; Cond kW'!G53*$C$6*(($C$19-$C$18)/1000)</f>
        <v>0</v>
      </c>
      <c r="D62">
        <f>'Refrig Mass Flow &amp; Cond kW'!G53*Spring_autumn!$C$6*((Spring_autumn!$C$17-Spring_autumn!$C$16)/1000)</f>
        <v>0</v>
      </c>
      <c r="E62">
        <f>'Refrig Mass Flow &amp; Cond kW'!D53*(($C$13-$C$14)-$C$6*($C$17-$C$18)/1000)-'Refrig Mass Flow &amp; Cond kW'!C53*(1-$C$6/($C$10+273))</f>
        <v>0</v>
      </c>
      <c r="F62" s="13"/>
      <c r="G62" s="13">
        <f>'Refrig Mass Flow &amp; Cond kW'!F53*$C$6*($G$19-$G$18)/1000</f>
        <v>0</v>
      </c>
      <c r="H62">
        <f>'Refrig Mass Flow &amp; Cond kW'!F53*$C$6*($G$17-$G$16)/1000</f>
        <v>0</v>
      </c>
      <c r="I62">
        <f>'Refrig Mass Flow &amp; Cond kW'!F53*(($G$13-$G$14)-$C$6*($G$17-$G$18)/1000)-'Refrig Mass Flow &amp; Cond kW'!E53*(1-$C$6/($G$10+273))</f>
        <v>0</v>
      </c>
    </row>
    <row r="63" spans="2:9" x14ac:dyDescent="0.2">
      <c r="B63" s="2">
        <v>40</v>
      </c>
      <c r="C63">
        <f>'Refrig Mass Flow &amp; Cond kW'!G54*$C$6*(($C$19-$C$18)/1000)</f>
        <v>0</v>
      </c>
      <c r="D63">
        <f>'Refrig Mass Flow &amp; Cond kW'!G54*Spring_autumn!$C$6*((Spring_autumn!$C$17-Spring_autumn!$C$16)/1000)</f>
        <v>0</v>
      </c>
      <c r="E63">
        <f>'Refrig Mass Flow &amp; Cond kW'!D54*(($C$13-$C$14)-$C$6*($C$17-$C$18)/1000)-'Refrig Mass Flow &amp; Cond kW'!C54*(1-$C$6/($C$10+273))</f>
        <v>0</v>
      </c>
      <c r="F63" s="13"/>
      <c r="G63" s="13">
        <f>'Refrig Mass Flow &amp; Cond kW'!F54*$C$6*($G$19-$G$18)/1000</f>
        <v>0</v>
      </c>
      <c r="H63">
        <f>'Refrig Mass Flow &amp; Cond kW'!F54*$C$6*($G$17-$G$16)/1000</f>
        <v>0</v>
      </c>
      <c r="I63">
        <f>'Refrig Mass Flow &amp; Cond kW'!F54*(($G$13-$G$14)-$C$6*($G$17-$G$18)/1000)-'Refrig Mass Flow &amp; Cond kW'!E54*(1-$C$6/($G$10+273))</f>
        <v>0</v>
      </c>
    </row>
    <row r="64" spans="2:9" x14ac:dyDescent="0.2">
      <c r="B64" s="2">
        <v>41</v>
      </c>
      <c r="C64">
        <f>'Refrig Mass Flow &amp; Cond kW'!G55*$C$6*(($C$19-$C$18)/1000)</f>
        <v>0</v>
      </c>
      <c r="D64">
        <f>'Refrig Mass Flow &amp; Cond kW'!G55*Spring_autumn!$C$6*((Spring_autumn!$C$17-Spring_autumn!$C$16)/1000)</f>
        <v>0</v>
      </c>
      <c r="E64">
        <f>'Refrig Mass Flow &amp; Cond kW'!D55*(($C$13-$C$14)-$C$6*($C$17-$C$18)/1000)-'Refrig Mass Flow &amp; Cond kW'!C55*(1-$C$6/($C$10+273))</f>
        <v>0</v>
      </c>
      <c r="F64" s="13"/>
      <c r="G64" s="13">
        <f>'Refrig Mass Flow &amp; Cond kW'!F55*$C$6*($G$19-$G$18)/1000</f>
        <v>0</v>
      </c>
      <c r="H64">
        <f>'Refrig Mass Flow &amp; Cond kW'!F55*$C$6*($G$17-$G$16)/1000</f>
        <v>0</v>
      </c>
      <c r="I64">
        <f>'Refrig Mass Flow &amp; Cond kW'!F55*(($G$13-$G$14)-$C$6*($G$17-$G$18)/1000)-'Refrig Mass Flow &amp; Cond kW'!E55*(1-$C$6/($G$10+273))</f>
        <v>0</v>
      </c>
    </row>
    <row r="65" spans="2:9" x14ac:dyDescent="0.2">
      <c r="B65" s="2">
        <v>42</v>
      </c>
      <c r="C65">
        <f>'Refrig Mass Flow &amp; Cond kW'!G56*$C$6*(($C$19-$C$18)/1000)</f>
        <v>0</v>
      </c>
      <c r="D65">
        <f>'Refrig Mass Flow &amp; Cond kW'!G56*Spring_autumn!$C$6*((Spring_autumn!$C$17-Spring_autumn!$C$16)/1000)</f>
        <v>0</v>
      </c>
      <c r="E65">
        <f>'Refrig Mass Flow &amp; Cond kW'!D56*(($C$13-$C$14)-$C$6*($C$17-$C$18)/1000)-'Refrig Mass Flow &amp; Cond kW'!C56*(1-$C$6/($C$10+273))</f>
        <v>0</v>
      </c>
      <c r="F65" s="13"/>
      <c r="G65" s="13">
        <f>'Refrig Mass Flow &amp; Cond kW'!F56*$C$6*($G$19-$G$18)/1000</f>
        <v>0</v>
      </c>
      <c r="H65">
        <f>'Refrig Mass Flow &amp; Cond kW'!F56*$C$6*($G$17-$G$16)/1000</f>
        <v>0</v>
      </c>
      <c r="I65">
        <f>'Refrig Mass Flow &amp; Cond kW'!F56*(($G$13-$G$14)-$C$6*($G$17-$G$18)/1000)-'Refrig Mass Flow &amp; Cond kW'!E56*(1-$C$6/($G$10+273))</f>
        <v>0</v>
      </c>
    </row>
    <row r="66" spans="2:9" x14ac:dyDescent="0.2">
      <c r="B66" s="2">
        <v>43</v>
      </c>
      <c r="C66">
        <f>'Refrig Mass Flow &amp; Cond kW'!G57*$C$6*(($C$19-$C$18)/1000)</f>
        <v>0</v>
      </c>
      <c r="D66">
        <f>'Refrig Mass Flow &amp; Cond kW'!G57*Spring_autumn!$C$6*((Spring_autumn!$C$17-Spring_autumn!$C$16)/1000)</f>
        <v>0</v>
      </c>
      <c r="E66">
        <f>'Refrig Mass Flow &amp; Cond kW'!D57*(($C$13-$C$14)-$C$6*($C$17-$C$18)/1000)-'Refrig Mass Flow &amp; Cond kW'!C57*(1-$C$6/($C$10+273))</f>
        <v>0</v>
      </c>
      <c r="F66" s="13"/>
      <c r="G66" s="13">
        <f>'Refrig Mass Flow &amp; Cond kW'!F57*$C$6*($G$19-$G$18)/1000</f>
        <v>0</v>
      </c>
      <c r="H66">
        <f>'Refrig Mass Flow &amp; Cond kW'!F57*$C$6*($G$17-$G$16)/1000</f>
        <v>0</v>
      </c>
      <c r="I66">
        <f>'Refrig Mass Flow &amp; Cond kW'!F57*(($G$13-$G$14)-$C$6*($G$17-$G$18)/1000)-'Refrig Mass Flow &amp; Cond kW'!E57*(1-$C$6/($G$10+273))</f>
        <v>0</v>
      </c>
    </row>
    <row r="67" spans="2:9" x14ac:dyDescent="0.2">
      <c r="B67" s="2">
        <v>44</v>
      </c>
      <c r="C67">
        <f>'Refrig Mass Flow &amp; Cond kW'!G58*$C$6*(($C$19-$C$18)/1000)</f>
        <v>0</v>
      </c>
      <c r="D67">
        <f>'Refrig Mass Flow &amp; Cond kW'!G58*Spring_autumn!$C$6*((Spring_autumn!$C$17-Spring_autumn!$C$16)/1000)</f>
        <v>0</v>
      </c>
      <c r="E67">
        <f>'Refrig Mass Flow &amp; Cond kW'!D58*(($C$13-$C$14)-$C$6*($C$17-$C$18)/1000)-'Refrig Mass Flow &amp; Cond kW'!C58*(1-$C$6/($C$10+273))</f>
        <v>0</v>
      </c>
      <c r="F67" s="13"/>
      <c r="G67" s="13">
        <f>'Refrig Mass Flow &amp; Cond kW'!F58*$C$6*($G$19-$G$18)/1000</f>
        <v>0</v>
      </c>
      <c r="H67">
        <f>'Refrig Mass Flow &amp; Cond kW'!F58*$C$6*($G$17-$G$16)/1000</f>
        <v>0</v>
      </c>
      <c r="I67">
        <f>'Refrig Mass Flow &amp; Cond kW'!F58*(($G$13-$G$14)-$C$6*($G$17-$G$18)/1000)-'Refrig Mass Flow &amp; Cond kW'!E58*(1-$C$6/($G$10+273))</f>
        <v>0</v>
      </c>
    </row>
    <row r="68" spans="2:9" x14ac:dyDescent="0.2">
      <c r="B68" s="2">
        <v>45</v>
      </c>
      <c r="C68">
        <f>'Refrig Mass Flow &amp; Cond kW'!G59*$C$6*(($C$19-$C$18)/1000)</f>
        <v>0</v>
      </c>
      <c r="D68">
        <f>'Refrig Mass Flow &amp; Cond kW'!G59*Spring_autumn!$C$6*((Spring_autumn!$C$17-Spring_autumn!$C$16)/1000)</f>
        <v>0</v>
      </c>
      <c r="E68">
        <f>'Refrig Mass Flow &amp; Cond kW'!D59*(($C$13-$C$14)-$C$6*($C$17-$C$18)/1000)-'Refrig Mass Flow &amp; Cond kW'!C59*(1-$C$6/($C$10+273))</f>
        <v>0</v>
      </c>
      <c r="F68" s="13"/>
      <c r="G68" s="13">
        <f>'Refrig Mass Flow &amp; Cond kW'!F59*$C$6*($G$19-$G$18)/1000</f>
        <v>0</v>
      </c>
      <c r="H68">
        <f>'Refrig Mass Flow &amp; Cond kW'!F59*$C$6*($G$17-$G$16)/1000</f>
        <v>0</v>
      </c>
      <c r="I68">
        <f>'Refrig Mass Flow &amp; Cond kW'!F59*(($G$13-$G$14)-$C$6*($G$17-$G$18)/1000)-'Refrig Mass Flow &amp; Cond kW'!E59*(1-$C$6/($G$10+273))</f>
        <v>0</v>
      </c>
    </row>
    <row r="69" spans="2:9" x14ac:dyDescent="0.2">
      <c r="B69" s="2">
        <v>46</v>
      </c>
      <c r="C69">
        <f>'Refrig Mass Flow &amp; Cond kW'!G60*$C$6*(($C$19-$C$18)/1000)</f>
        <v>0</v>
      </c>
      <c r="D69">
        <f>'Refrig Mass Flow &amp; Cond kW'!G60*Spring_autumn!$C$6*((Spring_autumn!$C$17-Spring_autumn!$C$16)/1000)</f>
        <v>0</v>
      </c>
      <c r="E69">
        <f>'Refrig Mass Flow &amp; Cond kW'!D60*(($C$13-$C$14)-$C$6*($C$17-$C$18)/1000)-'Refrig Mass Flow &amp; Cond kW'!C60*(1-$C$6/($C$10+273))</f>
        <v>0</v>
      </c>
      <c r="F69" s="13"/>
      <c r="G69" s="13">
        <f>'Refrig Mass Flow &amp; Cond kW'!F60*$C$6*($G$19-$G$18)/1000</f>
        <v>0</v>
      </c>
      <c r="H69">
        <f>'Refrig Mass Flow &amp; Cond kW'!F60*$C$6*($G$17-$G$16)/1000</f>
        <v>0</v>
      </c>
      <c r="I69">
        <f>'Refrig Mass Flow &amp; Cond kW'!F60*(($G$13-$G$14)-$C$6*($G$17-$G$18)/1000)-'Refrig Mass Flow &amp; Cond kW'!E60*(1-$C$6/($G$10+273))</f>
        <v>0</v>
      </c>
    </row>
    <row r="70" spans="2:9" x14ac:dyDescent="0.2">
      <c r="B70" s="2">
        <v>47</v>
      </c>
      <c r="C70">
        <f>'Refrig Mass Flow &amp; Cond kW'!G61*$C$6*(($C$19-$C$18)/1000)</f>
        <v>0</v>
      </c>
      <c r="D70">
        <f>'Refrig Mass Flow &amp; Cond kW'!G61*Spring_autumn!$C$6*((Spring_autumn!$C$17-Spring_autumn!$C$16)/1000)</f>
        <v>0</v>
      </c>
      <c r="E70">
        <f>'Refrig Mass Flow &amp; Cond kW'!D61*(($C$13-$C$14)-$C$6*($C$17-$C$18)/1000)-'Refrig Mass Flow &amp; Cond kW'!C61*(1-$C$6/($C$10+273))</f>
        <v>0</v>
      </c>
      <c r="F70" s="13"/>
      <c r="G70" s="13">
        <f>'Refrig Mass Flow &amp; Cond kW'!F61*$C$6*($G$19-$G$18)/1000</f>
        <v>0</v>
      </c>
      <c r="H70">
        <f>'Refrig Mass Flow &amp; Cond kW'!F61*$C$6*($G$17-$G$16)/1000</f>
        <v>0</v>
      </c>
      <c r="I70">
        <f>'Refrig Mass Flow &amp; Cond kW'!F61*(($G$13-$G$14)-$C$6*($G$17-$G$18)/1000)-'Refrig Mass Flow &amp; Cond kW'!E61*(1-$C$6/($G$10+273))</f>
        <v>0</v>
      </c>
    </row>
    <row r="71" spans="2:9" x14ac:dyDescent="0.2">
      <c r="B71" s="2">
        <v>48</v>
      </c>
      <c r="C71">
        <f>'Refrig Mass Flow &amp; Cond kW'!G62*$C$6*(($C$19-$C$18)/1000)</f>
        <v>0</v>
      </c>
      <c r="D71">
        <f>'Refrig Mass Flow &amp; Cond kW'!G62*Spring_autumn!$C$6*((Spring_autumn!$C$17-Spring_autumn!$C$16)/1000)</f>
        <v>0</v>
      </c>
      <c r="E71">
        <f>'Refrig Mass Flow &amp; Cond kW'!D62*(($C$13-$C$14)-$C$6*($C$17-$C$18)/1000)-'Refrig Mass Flow &amp; Cond kW'!C62*(1-$C$6/($C$10+273))</f>
        <v>0</v>
      </c>
      <c r="F71" s="13"/>
      <c r="G71" s="13">
        <f>'Refrig Mass Flow &amp; Cond kW'!F62*$C$6*($G$19-$G$18)/1000</f>
        <v>0</v>
      </c>
      <c r="H71">
        <f>'Refrig Mass Flow &amp; Cond kW'!F62*$C$6*($G$17-$G$16)/1000</f>
        <v>0</v>
      </c>
      <c r="I71">
        <f>'Refrig Mass Flow &amp; Cond kW'!F62*(($G$13-$G$14)-$C$6*($G$17-$G$18)/1000)-'Refrig Mass Flow &amp; Cond kW'!E62*(1-$C$6/($G$10+273))</f>
        <v>0</v>
      </c>
    </row>
    <row r="72" spans="2:9" x14ac:dyDescent="0.2">
      <c r="B72" s="2">
        <v>49</v>
      </c>
      <c r="C72">
        <f>'Refrig Mass Flow &amp; Cond kW'!G63*$C$6*(($C$19-$C$18)/1000)</f>
        <v>0</v>
      </c>
      <c r="D72">
        <f>'Refrig Mass Flow &amp; Cond kW'!G63*Spring_autumn!$C$6*((Spring_autumn!$C$17-Spring_autumn!$C$16)/1000)</f>
        <v>0</v>
      </c>
      <c r="E72">
        <f>'Refrig Mass Flow &amp; Cond kW'!D63*(($C$13-$C$14)-$C$6*($C$17-$C$18)/1000)-'Refrig Mass Flow &amp; Cond kW'!C63*(1-$C$6/($C$10+273))</f>
        <v>0</v>
      </c>
      <c r="F72" s="13"/>
      <c r="G72" s="13">
        <f>'Refrig Mass Flow &amp; Cond kW'!F63*$C$6*($G$19-$G$18)/1000</f>
        <v>0</v>
      </c>
      <c r="H72">
        <f>'Refrig Mass Flow &amp; Cond kW'!F63*$C$6*($G$17-$G$16)/1000</f>
        <v>0</v>
      </c>
      <c r="I72">
        <f>'Refrig Mass Flow &amp; Cond kW'!F63*(($G$13-$G$14)-$C$6*($G$17-$G$18)/1000)-'Refrig Mass Flow &amp; Cond kW'!E63*(1-$C$6/($G$10+273))</f>
        <v>0</v>
      </c>
    </row>
    <row r="73" spans="2:9" x14ac:dyDescent="0.2">
      <c r="B73" s="2">
        <v>50</v>
      </c>
      <c r="C73">
        <f>'Refrig Mass Flow &amp; Cond kW'!G64*$C$6*(($C$19-$C$18)/1000)</f>
        <v>0</v>
      </c>
      <c r="D73">
        <f>'Refrig Mass Flow &amp; Cond kW'!G64*Spring_autumn!$C$6*((Spring_autumn!$C$17-Spring_autumn!$C$16)/1000)</f>
        <v>0</v>
      </c>
      <c r="E73">
        <f>'Refrig Mass Flow &amp; Cond kW'!D64*(($C$13-$C$14)-$C$6*($C$17-$C$18)/1000)-'Refrig Mass Flow &amp; Cond kW'!C64*(1-$C$6/($C$10+273))</f>
        <v>0</v>
      </c>
      <c r="F73" s="13"/>
      <c r="G73" s="13">
        <f>'Refrig Mass Flow &amp; Cond kW'!F64*$C$6*($G$19-$G$18)/1000</f>
        <v>0</v>
      </c>
      <c r="H73">
        <f>'Refrig Mass Flow &amp; Cond kW'!F64*$C$6*($G$17-$G$16)/1000</f>
        <v>0</v>
      </c>
      <c r="I73">
        <f>'Refrig Mass Flow &amp; Cond kW'!F64*(($G$13-$G$14)-$C$6*($G$17-$G$18)/1000)-'Refrig Mass Flow &amp; Cond kW'!E64*(1-$C$6/($G$10+273))</f>
        <v>0</v>
      </c>
    </row>
    <row r="74" spans="2:9" x14ac:dyDescent="0.2">
      <c r="B74" s="2">
        <v>51</v>
      </c>
      <c r="C74">
        <f>'Refrig Mass Flow &amp; Cond kW'!G65*$C$6*(($C$19-$C$18)/1000)</f>
        <v>0</v>
      </c>
      <c r="D74">
        <f>'Refrig Mass Flow &amp; Cond kW'!G65*Spring_autumn!$C$6*((Spring_autumn!$C$17-Spring_autumn!$C$16)/1000)</f>
        <v>0</v>
      </c>
      <c r="E74">
        <f>'Refrig Mass Flow &amp; Cond kW'!D65*(($C$13-$C$14)-$C$6*($C$17-$C$18)/1000)-'Refrig Mass Flow &amp; Cond kW'!C65*(1-$C$6/($C$10+273))</f>
        <v>0</v>
      </c>
      <c r="F74" s="13"/>
      <c r="G74" s="13">
        <f>'Refrig Mass Flow &amp; Cond kW'!F65*$C$6*($G$19-$G$18)/1000</f>
        <v>0</v>
      </c>
      <c r="H74">
        <f>'Refrig Mass Flow &amp; Cond kW'!F65*$C$6*($G$17-$G$16)/1000</f>
        <v>0</v>
      </c>
      <c r="I74">
        <f>'Refrig Mass Flow &amp; Cond kW'!F65*(($G$13-$G$14)-$C$6*($G$17-$G$18)/1000)-'Refrig Mass Flow &amp; Cond kW'!E65*(1-$C$6/($G$10+273))</f>
        <v>0</v>
      </c>
    </row>
    <row r="75" spans="2:9" x14ac:dyDescent="0.2">
      <c r="B75" s="2">
        <v>52</v>
      </c>
      <c r="C75">
        <f>'Refrig Mass Flow &amp; Cond kW'!G66*$C$6*(($C$19-$C$18)/1000)</f>
        <v>0</v>
      </c>
      <c r="D75">
        <f>'Refrig Mass Flow &amp; Cond kW'!G66*Spring_autumn!$C$6*((Spring_autumn!$C$17-Spring_autumn!$C$16)/1000)</f>
        <v>0</v>
      </c>
      <c r="E75">
        <f>'Refrig Mass Flow &amp; Cond kW'!D66*(($C$13-$C$14)-$C$6*($C$17-$C$18)/1000)-'Refrig Mass Flow &amp; Cond kW'!C66*(1-$C$6/($C$10+273))</f>
        <v>0</v>
      </c>
      <c r="F75" s="13"/>
      <c r="G75" s="13">
        <f>'Refrig Mass Flow &amp; Cond kW'!F66*$C$6*($G$19-$G$18)/1000</f>
        <v>0</v>
      </c>
      <c r="H75">
        <f>'Refrig Mass Flow &amp; Cond kW'!F66*$C$6*($G$17-$G$16)/1000</f>
        <v>0</v>
      </c>
      <c r="I75">
        <f>'Refrig Mass Flow &amp; Cond kW'!F66*(($G$13-$G$14)-$C$6*($G$17-$G$18)/1000)-'Refrig Mass Flow &amp; Cond kW'!E66*(1-$C$6/($G$10+273))</f>
        <v>0</v>
      </c>
    </row>
    <row r="76" spans="2:9" x14ac:dyDescent="0.2">
      <c r="B76" s="2">
        <v>53</v>
      </c>
      <c r="C76">
        <f>'Refrig Mass Flow &amp; Cond kW'!G67*$C$6*(($C$19-$C$18)/1000)</f>
        <v>0</v>
      </c>
      <c r="D76">
        <f>'Refrig Mass Flow &amp; Cond kW'!G67*Spring_autumn!$C$6*((Spring_autumn!$C$17-Spring_autumn!$C$16)/1000)</f>
        <v>0</v>
      </c>
      <c r="E76">
        <f>'Refrig Mass Flow &amp; Cond kW'!D67*(($C$13-$C$14)-$C$6*($C$17-$C$18)/1000)-'Refrig Mass Flow &amp; Cond kW'!C67*(1-$C$6/($C$10+273))</f>
        <v>0</v>
      </c>
      <c r="F76" s="13"/>
      <c r="G76" s="13">
        <f>'Refrig Mass Flow &amp; Cond kW'!F67*$C$6*($G$19-$G$18)/1000</f>
        <v>0</v>
      </c>
      <c r="H76">
        <f>'Refrig Mass Flow &amp; Cond kW'!F67*$C$6*($G$17-$G$16)/1000</f>
        <v>0</v>
      </c>
      <c r="I76">
        <f>'Refrig Mass Flow &amp; Cond kW'!F67*(($G$13-$G$14)-$C$6*($G$17-$G$18)/1000)-'Refrig Mass Flow &amp; Cond kW'!E67*(1-$C$6/($G$10+273))</f>
        <v>0</v>
      </c>
    </row>
    <row r="77" spans="2:9" x14ac:dyDescent="0.2">
      <c r="B77" s="2">
        <v>54</v>
      </c>
      <c r="C77">
        <f>'Refrig Mass Flow &amp; Cond kW'!G68*$C$6*(($C$19-$C$18)/1000)</f>
        <v>0</v>
      </c>
      <c r="D77">
        <f>'Refrig Mass Flow &amp; Cond kW'!G68*Spring_autumn!$C$6*((Spring_autumn!$C$17-Spring_autumn!$C$16)/1000)</f>
        <v>0</v>
      </c>
      <c r="E77">
        <f>'Refrig Mass Flow &amp; Cond kW'!D68*(($C$13-$C$14)-$C$6*($C$17-$C$18)/1000)-'Refrig Mass Flow &amp; Cond kW'!C68*(1-$C$6/($C$10+273))</f>
        <v>0</v>
      </c>
      <c r="F77" s="13"/>
      <c r="G77" s="13">
        <f>'Refrig Mass Flow &amp; Cond kW'!F68*$C$6*($G$19-$G$18)/1000</f>
        <v>0</v>
      </c>
      <c r="H77">
        <f>'Refrig Mass Flow &amp; Cond kW'!F68*$C$6*($G$17-$G$16)/1000</f>
        <v>0</v>
      </c>
      <c r="I77">
        <f>'Refrig Mass Flow &amp; Cond kW'!F68*(($G$13-$G$14)-$C$6*($G$17-$G$18)/1000)-'Refrig Mass Flow &amp; Cond kW'!E68*(1-$C$6/($G$10+273))</f>
        <v>0</v>
      </c>
    </row>
    <row r="78" spans="2:9" x14ac:dyDescent="0.2">
      <c r="B78" s="2">
        <v>55</v>
      </c>
      <c r="C78">
        <f>'Refrig Mass Flow &amp; Cond kW'!G69*$C$6*(($C$19-$C$18)/1000)</f>
        <v>0</v>
      </c>
      <c r="D78">
        <f>'Refrig Mass Flow &amp; Cond kW'!G69*Spring_autumn!$C$6*((Spring_autumn!$C$17-Spring_autumn!$C$16)/1000)</f>
        <v>0</v>
      </c>
      <c r="E78">
        <f>'Refrig Mass Flow &amp; Cond kW'!D69*(($C$13-$C$14)-$C$6*($C$17-$C$18)/1000)-'Refrig Mass Flow &amp; Cond kW'!C69*(1-$C$6/($C$10+273))</f>
        <v>0</v>
      </c>
      <c r="F78" s="13"/>
      <c r="G78" s="13">
        <f>'Refrig Mass Flow &amp; Cond kW'!F69*$C$6*($G$19-$G$18)/1000</f>
        <v>0</v>
      </c>
      <c r="H78">
        <f>'Refrig Mass Flow &amp; Cond kW'!F69*$C$6*($G$17-$G$16)/1000</f>
        <v>0</v>
      </c>
      <c r="I78">
        <f>'Refrig Mass Flow &amp; Cond kW'!F69*(($G$13-$G$14)-$C$6*($G$17-$G$18)/1000)-'Refrig Mass Flow &amp; Cond kW'!E69*(1-$C$6/($G$10+273))</f>
        <v>0</v>
      </c>
    </row>
    <row r="79" spans="2:9" x14ac:dyDescent="0.2">
      <c r="B79" s="2">
        <v>56</v>
      </c>
      <c r="C79">
        <f>'Refrig Mass Flow &amp; Cond kW'!G70*$C$6*(($C$19-$C$18)/1000)</f>
        <v>0</v>
      </c>
      <c r="D79">
        <f>'Refrig Mass Flow &amp; Cond kW'!G70*Spring_autumn!$C$6*((Spring_autumn!$C$17-Spring_autumn!$C$16)/1000)</f>
        <v>0</v>
      </c>
      <c r="E79">
        <f>'Refrig Mass Flow &amp; Cond kW'!D70*(($C$13-$C$14)-$C$6*($C$17-$C$18)/1000)-'Refrig Mass Flow &amp; Cond kW'!C70*(1-$C$6/($C$10+273))</f>
        <v>0</v>
      </c>
      <c r="F79" s="13"/>
      <c r="G79" s="13">
        <f>'Refrig Mass Flow &amp; Cond kW'!F70*$C$6*($G$19-$G$18)/1000</f>
        <v>0</v>
      </c>
      <c r="H79">
        <f>'Refrig Mass Flow &amp; Cond kW'!F70*$C$6*($G$17-$G$16)/1000</f>
        <v>0</v>
      </c>
      <c r="I79">
        <f>'Refrig Mass Flow &amp; Cond kW'!F70*(($G$13-$G$14)-$C$6*($G$17-$G$18)/1000)-'Refrig Mass Flow &amp; Cond kW'!E70*(1-$C$6/($G$10+273))</f>
        <v>0</v>
      </c>
    </row>
    <row r="80" spans="2:9" x14ac:dyDescent="0.2">
      <c r="B80" s="2">
        <v>57</v>
      </c>
      <c r="C80">
        <f>'Refrig Mass Flow &amp; Cond kW'!G71*$C$6*(($C$19-$C$18)/1000)</f>
        <v>0</v>
      </c>
      <c r="D80">
        <f>'Refrig Mass Flow &amp; Cond kW'!G71*Spring_autumn!$C$6*((Spring_autumn!$C$17-Spring_autumn!$C$16)/1000)</f>
        <v>0</v>
      </c>
      <c r="E80">
        <f>'Refrig Mass Flow &amp; Cond kW'!D71*(($C$13-$C$14)-$C$6*($C$17-$C$18)/1000)-'Refrig Mass Flow &amp; Cond kW'!C71*(1-$C$6/($C$10+273))</f>
        <v>0</v>
      </c>
      <c r="F80" s="13"/>
      <c r="G80" s="13">
        <f>'Refrig Mass Flow &amp; Cond kW'!F71*$C$6*($G$19-$G$18)/1000</f>
        <v>0</v>
      </c>
      <c r="H80">
        <f>'Refrig Mass Flow &amp; Cond kW'!F71*$C$6*($G$17-$G$16)/1000</f>
        <v>0</v>
      </c>
      <c r="I80">
        <f>'Refrig Mass Flow &amp; Cond kW'!F71*(($G$13-$G$14)-$C$6*($G$17-$G$18)/1000)-'Refrig Mass Flow &amp; Cond kW'!E71*(1-$C$6/($G$10+273))</f>
        <v>0</v>
      </c>
    </row>
    <row r="81" spans="2:9" x14ac:dyDescent="0.2">
      <c r="B81" s="2">
        <v>58</v>
      </c>
      <c r="C81">
        <f>'Refrig Mass Flow &amp; Cond kW'!G72*$C$6*(($C$19-$C$18)/1000)</f>
        <v>0</v>
      </c>
      <c r="D81">
        <f>'Refrig Mass Flow &amp; Cond kW'!G72*Spring_autumn!$C$6*((Spring_autumn!$C$17-Spring_autumn!$C$16)/1000)</f>
        <v>0</v>
      </c>
      <c r="E81">
        <f>'Refrig Mass Flow &amp; Cond kW'!D72*(($C$13-$C$14)-$C$6*($C$17-$C$18)/1000)-'Refrig Mass Flow &amp; Cond kW'!C72*(1-$C$6/($C$10+273))</f>
        <v>0</v>
      </c>
      <c r="F81" s="13"/>
      <c r="G81" s="13">
        <f>'Refrig Mass Flow &amp; Cond kW'!F72*$C$6*($G$19-$G$18)/1000</f>
        <v>0</v>
      </c>
      <c r="H81">
        <f>'Refrig Mass Flow &amp; Cond kW'!F72*$C$6*($G$17-$G$16)/1000</f>
        <v>0</v>
      </c>
      <c r="I81">
        <f>'Refrig Mass Flow &amp; Cond kW'!F72*(($G$13-$G$14)-$C$6*($G$17-$G$18)/1000)-'Refrig Mass Flow &amp; Cond kW'!E72*(1-$C$6/($G$10+273))</f>
        <v>0</v>
      </c>
    </row>
    <row r="82" spans="2:9" x14ac:dyDescent="0.2">
      <c r="B82" s="2">
        <v>59</v>
      </c>
      <c r="C82">
        <f>'Refrig Mass Flow &amp; Cond kW'!G73*$C$6*(($C$19-$C$18)/1000)</f>
        <v>0</v>
      </c>
      <c r="D82">
        <f>'Refrig Mass Flow &amp; Cond kW'!G73*Spring_autumn!$C$6*((Spring_autumn!$C$17-Spring_autumn!$C$16)/1000)</f>
        <v>0</v>
      </c>
      <c r="E82">
        <f>'Refrig Mass Flow &amp; Cond kW'!D73*(($C$13-$C$14)-$C$6*($C$17-$C$18)/1000)-'Refrig Mass Flow &amp; Cond kW'!C73*(1-$C$6/($C$10+273))</f>
        <v>0</v>
      </c>
      <c r="F82" s="13"/>
      <c r="G82" s="13">
        <f>'Refrig Mass Flow &amp; Cond kW'!F73*$C$6*($G$19-$G$18)/1000</f>
        <v>0</v>
      </c>
      <c r="H82">
        <f>'Refrig Mass Flow &amp; Cond kW'!F73*$C$6*($G$17-$G$16)/1000</f>
        <v>0</v>
      </c>
      <c r="I82">
        <f>'Refrig Mass Flow &amp; Cond kW'!F73*(($G$13-$G$14)-$C$6*($G$17-$G$18)/1000)-'Refrig Mass Flow &amp; Cond kW'!E73*(1-$C$6/($G$10+273))</f>
        <v>0</v>
      </c>
    </row>
    <row r="83" spans="2:9" x14ac:dyDescent="0.2">
      <c r="B83" s="2">
        <v>60</v>
      </c>
      <c r="C83">
        <f>'Refrig Mass Flow &amp; Cond kW'!G74*$C$6*(($C$19-$C$18)/1000)</f>
        <v>0</v>
      </c>
      <c r="D83">
        <f>'Refrig Mass Flow &amp; Cond kW'!G74*Spring_autumn!$C$6*((Spring_autumn!$C$17-Spring_autumn!$C$16)/1000)</f>
        <v>0</v>
      </c>
      <c r="E83">
        <f>'Refrig Mass Flow &amp; Cond kW'!D74*(($C$13-$C$14)-$C$6*($C$17-$C$18)/1000)-'Refrig Mass Flow &amp; Cond kW'!C74*(1-$C$6/($C$10+273))</f>
        <v>0</v>
      </c>
      <c r="F83" s="13"/>
      <c r="G83" s="13">
        <f>'Refrig Mass Flow &amp; Cond kW'!F74*$C$6*($G$19-$G$18)/1000</f>
        <v>0</v>
      </c>
      <c r="H83">
        <f>'Refrig Mass Flow &amp; Cond kW'!F74*$C$6*($G$17-$G$16)/1000</f>
        <v>0</v>
      </c>
      <c r="I83">
        <f>'Refrig Mass Flow &amp; Cond kW'!F74*(($G$13-$G$14)-$C$6*($G$17-$G$18)/1000)-'Refrig Mass Flow &amp; Cond kW'!E74*(1-$C$6/($G$10+273))</f>
        <v>0</v>
      </c>
    </row>
    <row r="84" spans="2:9" x14ac:dyDescent="0.2">
      <c r="B84" s="2">
        <v>61</v>
      </c>
      <c r="C84">
        <f>'Refrig Mass Flow &amp; Cond kW'!G75*$C$6*(($C$19-$C$18)/1000)</f>
        <v>0</v>
      </c>
      <c r="D84">
        <f>'Refrig Mass Flow &amp; Cond kW'!G75*Spring_autumn!$C$6*((Spring_autumn!$C$17-Spring_autumn!$C$16)/1000)</f>
        <v>0</v>
      </c>
      <c r="E84">
        <f>'Refrig Mass Flow &amp; Cond kW'!D75*(($C$13-$C$14)-$C$6*($C$17-$C$18)/1000)-'Refrig Mass Flow &amp; Cond kW'!C75*(1-$C$6/($C$10+273))</f>
        <v>0</v>
      </c>
      <c r="F84" s="13"/>
      <c r="G84" s="13">
        <f>'Refrig Mass Flow &amp; Cond kW'!F75*$C$6*($G$19-$G$18)/1000</f>
        <v>0</v>
      </c>
      <c r="H84">
        <f>'Refrig Mass Flow &amp; Cond kW'!F75*$C$6*($G$17-$G$16)/1000</f>
        <v>0</v>
      </c>
      <c r="I84">
        <f>'Refrig Mass Flow &amp; Cond kW'!F75*(($G$13-$G$14)-$C$6*($G$17-$G$18)/1000)-'Refrig Mass Flow &amp; Cond kW'!E75*(1-$C$6/($G$10+273))</f>
        <v>0</v>
      </c>
    </row>
    <row r="85" spans="2:9" x14ac:dyDescent="0.2">
      <c r="B85" s="2">
        <v>62</v>
      </c>
      <c r="C85">
        <f>'Refrig Mass Flow &amp; Cond kW'!G76*$C$6*(($C$19-$C$18)/1000)</f>
        <v>0</v>
      </c>
      <c r="D85">
        <f>'Refrig Mass Flow &amp; Cond kW'!G76*Spring_autumn!$C$6*((Spring_autumn!$C$17-Spring_autumn!$C$16)/1000)</f>
        <v>0</v>
      </c>
      <c r="E85">
        <f>'Refrig Mass Flow &amp; Cond kW'!D76*(($C$13-$C$14)-$C$6*($C$17-$C$18)/1000)-'Refrig Mass Flow &amp; Cond kW'!C76*(1-$C$6/($C$10+273))</f>
        <v>0</v>
      </c>
      <c r="F85" s="13"/>
      <c r="G85" s="13">
        <f>'Refrig Mass Flow &amp; Cond kW'!F76*$C$6*($G$19-$G$18)/1000</f>
        <v>0</v>
      </c>
      <c r="H85">
        <f>'Refrig Mass Flow &amp; Cond kW'!F76*$C$6*($G$17-$G$16)/1000</f>
        <v>0</v>
      </c>
      <c r="I85">
        <f>'Refrig Mass Flow &amp; Cond kW'!F76*(($G$13-$G$14)-$C$6*($G$17-$G$18)/1000)-'Refrig Mass Flow &amp; Cond kW'!E76*(1-$C$6/($G$10+273))</f>
        <v>0</v>
      </c>
    </row>
    <row r="86" spans="2:9" x14ac:dyDescent="0.2">
      <c r="B86" s="2">
        <v>63</v>
      </c>
      <c r="C86">
        <f>'Refrig Mass Flow &amp; Cond kW'!G77*$C$6*(($C$19-$C$18)/1000)</f>
        <v>0</v>
      </c>
      <c r="D86">
        <f>'Refrig Mass Flow &amp; Cond kW'!G77*Spring_autumn!$C$6*((Spring_autumn!$C$17-Spring_autumn!$C$16)/1000)</f>
        <v>0</v>
      </c>
      <c r="E86">
        <f>'Refrig Mass Flow &amp; Cond kW'!D77*(($C$13-$C$14)-$C$6*($C$17-$C$18)/1000)-'Refrig Mass Flow &amp; Cond kW'!C77*(1-$C$6/($C$10+273))</f>
        <v>0</v>
      </c>
      <c r="F86" s="13"/>
      <c r="G86" s="13">
        <f>'Refrig Mass Flow &amp; Cond kW'!F77*$C$6*($G$19-$G$18)/1000</f>
        <v>0</v>
      </c>
      <c r="H86">
        <f>'Refrig Mass Flow &amp; Cond kW'!F77*$C$6*($G$17-$G$16)/1000</f>
        <v>0</v>
      </c>
      <c r="I86">
        <f>'Refrig Mass Flow &amp; Cond kW'!F77*(($G$13-$G$14)-$C$6*($G$17-$G$18)/1000)-'Refrig Mass Flow &amp; Cond kW'!E77*(1-$C$6/($G$10+273))</f>
        <v>0</v>
      </c>
    </row>
    <row r="87" spans="2:9" x14ac:dyDescent="0.2">
      <c r="B87" s="2">
        <v>64</v>
      </c>
      <c r="C87">
        <f>'Refrig Mass Flow &amp; Cond kW'!G78*$C$6*(($C$19-$C$18)/1000)</f>
        <v>0</v>
      </c>
      <c r="D87">
        <f>'Refrig Mass Flow &amp; Cond kW'!G78*Spring_autumn!$C$6*((Spring_autumn!$C$17-Spring_autumn!$C$16)/1000)</f>
        <v>0</v>
      </c>
      <c r="E87">
        <f>'Refrig Mass Flow &amp; Cond kW'!D78*(($C$13-$C$14)-$C$6*($C$17-$C$18)/1000)-'Refrig Mass Flow &amp; Cond kW'!C78*(1-$C$6/($C$10+273))</f>
        <v>0</v>
      </c>
      <c r="F87" s="13"/>
      <c r="G87" s="13">
        <f>'Refrig Mass Flow &amp; Cond kW'!F78*$C$6*($G$19-$G$18)/1000</f>
        <v>0</v>
      </c>
      <c r="H87">
        <f>'Refrig Mass Flow &amp; Cond kW'!F78*$C$6*($G$17-$G$16)/1000</f>
        <v>0</v>
      </c>
      <c r="I87">
        <f>'Refrig Mass Flow &amp; Cond kW'!F78*(($G$13-$G$14)-$C$6*($G$17-$G$18)/1000)-'Refrig Mass Flow &amp; Cond kW'!E78*(1-$C$6/($G$10+273))</f>
        <v>0</v>
      </c>
    </row>
    <row r="88" spans="2:9" x14ac:dyDescent="0.2">
      <c r="B88" s="2">
        <v>65</v>
      </c>
      <c r="C88">
        <f>'Refrig Mass Flow &amp; Cond kW'!G79*$C$6*(($C$19-$C$18)/1000)</f>
        <v>0</v>
      </c>
      <c r="D88">
        <f>'Refrig Mass Flow &amp; Cond kW'!G79*Spring_autumn!$C$6*((Spring_autumn!$C$17-Spring_autumn!$C$16)/1000)</f>
        <v>0</v>
      </c>
      <c r="E88">
        <f>'Refrig Mass Flow &amp; Cond kW'!D79*(($C$13-$C$14)-$C$6*($C$17-$C$18)/1000)-'Refrig Mass Flow &amp; Cond kW'!C79*(1-$C$6/($C$10+273))</f>
        <v>0</v>
      </c>
      <c r="F88" s="13"/>
      <c r="G88" s="13">
        <f>'Refrig Mass Flow &amp; Cond kW'!F79*$C$6*($G$19-$G$18)/1000</f>
        <v>0</v>
      </c>
      <c r="H88">
        <f>'Refrig Mass Flow &amp; Cond kW'!F79*$C$6*($G$17-$G$16)/1000</f>
        <v>0</v>
      </c>
      <c r="I88">
        <f>'Refrig Mass Flow &amp; Cond kW'!F79*(($G$13-$G$14)-$C$6*($G$17-$G$18)/1000)-'Refrig Mass Flow &amp; Cond kW'!E79*(1-$C$6/($G$10+273))</f>
        <v>0</v>
      </c>
    </row>
    <row r="89" spans="2:9" x14ac:dyDescent="0.2">
      <c r="B89" s="2">
        <v>66</v>
      </c>
      <c r="C89">
        <f>'Refrig Mass Flow &amp; Cond kW'!G80*$C$6*(($C$19-$C$18)/1000)</f>
        <v>0</v>
      </c>
      <c r="D89">
        <f>'Refrig Mass Flow &amp; Cond kW'!G80*Spring_autumn!$C$6*((Spring_autumn!$C$17-Spring_autumn!$C$16)/1000)</f>
        <v>0</v>
      </c>
      <c r="E89">
        <f>'Refrig Mass Flow &amp; Cond kW'!D80*(($C$13-$C$14)-$C$6*($C$17-$C$18)/1000)-'Refrig Mass Flow &amp; Cond kW'!C80*(1-$C$6/($C$10+273))</f>
        <v>0</v>
      </c>
      <c r="F89" s="13"/>
      <c r="G89" s="13">
        <f>'Refrig Mass Flow &amp; Cond kW'!F80*$C$6*($G$19-$G$18)/1000</f>
        <v>0</v>
      </c>
      <c r="H89">
        <f>'Refrig Mass Flow &amp; Cond kW'!F80*$C$6*($G$17-$G$16)/1000</f>
        <v>0</v>
      </c>
      <c r="I89">
        <f>'Refrig Mass Flow &amp; Cond kW'!F80*(($G$13-$G$14)-$C$6*($G$17-$G$18)/1000)-'Refrig Mass Flow &amp; Cond kW'!E80*(1-$C$6/($G$10+273))</f>
        <v>0</v>
      </c>
    </row>
    <row r="90" spans="2:9" x14ac:dyDescent="0.2">
      <c r="B90" s="2">
        <v>67</v>
      </c>
      <c r="C90">
        <f>'Refrig Mass Flow &amp; Cond kW'!G81*$C$6*(($C$19-$C$18)/1000)</f>
        <v>0</v>
      </c>
      <c r="D90">
        <f>'Refrig Mass Flow &amp; Cond kW'!G81*Spring_autumn!$C$6*((Spring_autumn!$C$17-Spring_autumn!$C$16)/1000)</f>
        <v>0</v>
      </c>
      <c r="E90">
        <f>'Refrig Mass Flow &amp; Cond kW'!D81*(($C$13-$C$14)-$C$6*($C$17-$C$18)/1000)-'Refrig Mass Flow &amp; Cond kW'!C81*(1-$C$6/($C$10+273))</f>
        <v>0</v>
      </c>
      <c r="F90" s="13"/>
      <c r="G90" s="13">
        <f>'Refrig Mass Flow &amp; Cond kW'!F81*$C$6*($G$19-$G$18)/1000</f>
        <v>0</v>
      </c>
      <c r="H90">
        <f>'Refrig Mass Flow &amp; Cond kW'!F81*$C$6*($G$17-$G$16)/1000</f>
        <v>0</v>
      </c>
      <c r="I90">
        <f>'Refrig Mass Flow &amp; Cond kW'!F81*(($G$13-$G$14)-$C$6*($G$17-$G$18)/1000)-'Refrig Mass Flow &amp; Cond kW'!E81*(1-$C$6/($G$10+273))</f>
        <v>0</v>
      </c>
    </row>
    <row r="91" spans="2:9" x14ac:dyDescent="0.2">
      <c r="B91" s="2">
        <v>68</v>
      </c>
      <c r="C91">
        <f>'Refrig Mass Flow &amp; Cond kW'!G82*$C$6*(($C$19-$C$18)/1000)</f>
        <v>0</v>
      </c>
      <c r="D91">
        <f>'Refrig Mass Flow &amp; Cond kW'!G82*Spring_autumn!$C$6*((Spring_autumn!$C$17-Spring_autumn!$C$16)/1000)</f>
        <v>0</v>
      </c>
      <c r="E91">
        <f>'Refrig Mass Flow &amp; Cond kW'!D82*(($C$13-$C$14)-$C$6*($C$17-$C$18)/1000)-'Refrig Mass Flow &amp; Cond kW'!C82*(1-$C$6/($C$10+273))</f>
        <v>0</v>
      </c>
      <c r="F91" s="13"/>
      <c r="G91" s="13">
        <f>'Refrig Mass Flow &amp; Cond kW'!F82*$C$6*($G$19-$G$18)/1000</f>
        <v>0</v>
      </c>
      <c r="H91">
        <f>'Refrig Mass Flow &amp; Cond kW'!F82*$C$6*($G$17-$G$16)/1000</f>
        <v>0</v>
      </c>
      <c r="I91">
        <f>'Refrig Mass Flow &amp; Cond kW'!F82*(($G$13-$G$14)-$C$6*($G$17-$G$18)/1000)-'Refrig Mass Flow &amp; Cond kW'!E82*(1-$C$6/($G$10+273))</f>
        <v>0</v>
      </c>
    </row>
    <row r="92" spans="2:9" x14ac:dyDescent="0.2">
      <c r="B92" s="2">
        <v>69</v>
      </c>
      <c r="C92">
        <f>'Refrig Mass Flow &amp; Cond kW'!G83*$C$6*(($C$19-$C$18)/1000)</f>
        <v>0</v>
      </c>
      <c r="D92">
        <f>'Refrig Mass Flow &amp; Cond kW'!G83*Spring_autumn!$C$6*((Spring_autumn!$C$17-Spring_autumn!$C$16)/1000)</f>
        <v>0</v>
      </c>
      <c r="E92">
        <f>'Refrig Mass Flow &amp; Cond kW'!D83*(($C$13-$C$14)-$C$6*($C$17-$C$18)/1000)-'Refrig Mass Flow &amp; Cond kW'!C83*(1-$C$6/($C$10+273))</f>
        <v>0</v>
      </c>
      <c r="F92" s="13"/>
      <c r="G92" s="13">
        <f>'Refrig Mass Flow &amp; Cond kW'!F83*$C$6*($G$19-$G$18)/1000</f>
        <v>0</v>
      </c>
      <c r="H92">
        <f>'Refrig Mass Flow &amp; Cond kW'!F83*$C$6*($G$17-$G$16)/1000</f>
        <v>0</v>
      </c>
      <c r="I92">
        <f>'Refrig Mass Flow &amp; Cond kW'!F83*(($G$13-$G$14)-$C$6*($G$17-$G$18)/1000)-'Refrig Mass Flow &amp; Cond kW'!E83*(1-$C$6/($G$10+273))</f>
        <v>0</v>
      </c>
    </row>
    <row r="93" spans="2:9" x14ac:dyDescent="0.2">
      <c r="B93" s="2">
        <v>70</v>
      </c>
      <c r="C93">
        <f>'Refrig Mass Flow &amp; Cond kW'!G84*$C$6*(($C$19-$C$18)/1000)</f>
        <v>0</v>
      </c>
      <c r="D93">
        <f>'Refrig Mass Flow &amp; Cond kW'!G84*Spring_autumn!$C$6*((Spring_autumn!$C$17-Spring_autumn!$C$16)/1000)</f>
        <v>0</v>
      </c>
      <c r="E93">
        <f>'Refrig Mass Flow &amp; Cond kW'!D84*(($C$13-$C$14)-$C$6*($C$17-$C$18)/1000)-'Refrig Mass Flow &amp; Cond kW'!C84*(1-$C$6/($C$10+273))</f>
        <v>0</v>
      </c>
      <c r="F93" s="13"/>
      <c r="G93" s="13">
        <f>'Refrig Mass Flow &amp; Cond kW'!F84*$C$6*($G$19-$G$18)/1000</f>
        <v>0</v>
      </c>
      <c r="H93">
        <f>'Refrig Mass Flow &amp; Cond kW'!F84*$C$6*($G$17-$G$16)/1000</f>
        <v>0</v>
      </c>
      <c r="I93">
        <f>'Refrig Mass Flow &amp; Cond kW'!F84*(($G$13-$G$14)-$C$6*($G$17-$G$18)/1000)-'Refrig Mass Flow &amp; Cond kW'!E84*(1-$C$6/($G$10+273))</f>
        <v>0</v>
      </c>
    </row>
    <row r="94" spans="2:9" x14ac:dyDescent="0.2">
      <c r="B94" s="2">
        <v>71</v>
      </c>
      <c r="C94">
        <f>'Refrig Mass Flow &amp; Cond kW'!G85*$C$6*(($C$19-$C$18)/1000)</f>
        <v>0</v>
      </c>
      <c r="D94">
        <f>'Refrig Mass Flow &amp; Cond kW'!G85*Spring_autumn!$C$6*((Spring_autumn!$C$17-Spring_autumn!$C$16)/1000)</f>
        <v>0</v>
      </c>
      <c r="E94">
        <f>'Refrig Mass Flow &amp; Cond kW'!D85*(($C$13-$C$14)-$C$6*($C$17-$C$18)/1000)-'Refrig Mass Flow &amp; Cond kW'!C85*(1-$C$6/($C$10+273))</f>
        <v>0</v>
      </c>
      <c r="F94" s="13"/>
      <c r="G94" s="13">
        <f>'Refrig Mass Flow &amp; Cond kW'!F85*$C$6*($G$19-$G$18)/1000</f>
        <v>0</v>
      </c>
      <c r="H94">
        <f>'Refrig Mass Flow &amp; Cond kW'!F85*$C$6*($G$17-$G$16)/1000</f>
        <v>0</v>
      </c>
      <c r="I94">
        <f>'Refrig Mass Flow &amp; Cond kW'!F85*(($G$13-$G$14)-$C$6*($G$17-$G$18)/1000)-'Refrig Mass Flow &amp; Cond kW'!E85*(1-$C$6/($G$10+273))</f>
        <v>0</v>
      </c>
    </row>
    <row r="95" spans="2:9" x14ac:dyDescent="0.2">
      <c r="B95" s="2">
        <v>72</v>
      </c>
      <c r="C95">
        <f>'Refrig Mass Flow &amp; Cond kW'!G86*$C$6*(($C$19-$C$18)/1000)</f>
        <v>0</v>
      </c>
      <c r="D95">
        <f>'Refrig Mass Flow &amp; Cond kW'!G86*Spring_autumn!$C$6*((Spring_autumn!$C$17-Spring_autumn!$C$16)/1000)</f>
        <v>0</v>
      </c>
      <c r="E95">
        <f>'Refrig Mass Flow &amp; Cond kW'!D86*(($C$13-$C$14)-$C$6*($C$17-$C$18)/1000)-'Refrig Mass Flow &amp; Cond kW'!C86*(1-$C$6/($C$10+273))</f>
        <v>0</v>
      </c>
      <c r="F95" s="13"/>
      <c r="G95" s="13">
        <f>'Refrig Mass Flow &amp; Cond kW'!F86*$C$6*($G$19-$G$18)/1000</f>
        <v>0</v>
      </c>
      <c r="H95">
        <f>'Refrig Mass Flow &amp; Cond kW'!F86*$C$6*($G$17-$G$16)/1000</f>
        <v>0</v>
      </c>
      <c r="I95">
        <f>'Refrig Mass Flow &amp; Cond kW'!F86*(($G$13-$G$14)-$C$6*($G$17-$G$18)/1000)-'Refrig Mass Flow &amp; Cond kW'!E86*(1-$C$6/($G$10+273))</f>
        <v>0</v>
      </c>
    </row>
    <row r="96" spans="2:9" x14ac:dyDescent="0.2">
      <c r="B96" s="2">
        <v>73</v>
      </c>
      <c r="C96">
        <f>'Refrig Mass Flow &amp; Cond kW'!G87*$C$6*(($C$19-$C$18)/1000)</f>
        <v>0</v>
      </c>
      <c r="D96">
        <f>'Refrig Mass Flow &amp; Cond kW'!G87*Spring_autumn!$C$6*((Spring_autumn!$C$17-Spring_autumn!$C$16)/1000)</f>
        <v>0</v>
      </c>
      <c r="E96">
        <f>'Refrig Mass Flow &amp; Cond kW'!D87*(($C$13-$C$14)-$C$6*($C$17-$C$18)/1000)-'Refrig Mass Flow &amp; Cond kW'!C87*(1-$C$6/($C$10+273))</f>
        <v>0</v>
      </c>
      <c r="F96" s="13"/>
      <c r="G96" s="13">
        <f>'Refrig Mass Flow &amp; Cond kW'!F87*$C$6*($G$19-$G$18)/1000</f>
        <v>0</v>
      </c>
      <c r="H96">
        <f>'Refrig Mass Flow &amp; Cond kW'!F87*$C$6*($G$17-$G$16)/1000</f>
        <v>0</v>
      </c>
      <c r="I96">
        <f>'Refrig Mass Flow &amp; Cond kW'!F87*(($G$13-$G$14)-$C$6*($G$17-$G$18)/1000)-'Refrig Mass Flow &amp; Cond kW'!E87*(1-$C$6/($G$10+273))</f>
        <v>0</v>
      </c>
    </row>
    <row r="97" spans="2:9" x14ac:dyDescent="0.2">
      <c r="B97" s="2">
        <v>74</v>
      </c>
      <c r="C97">
        <f>'Refrig Mass Flow &amp; Cond kW'!G88*$C$6*(($C$19-$C$18)/1000)</f>
        <v>0</v>
      </c>
      <c r="D97">
        <f>'Refrig Mass Flow &amp; Cond kW'!G88*Spring_autumn!$C$6*((Spring_autumn!$C$17-Spring_autumn!$C$16)/1000)</f>
        <v>0</v>
      </c>
      <c r="E97">
        <f>'Refrig Mass Flow &amp; Cond kW'!D88*(($C$13-$C$14)-$C$6*($C$17-$C$18)/1000)-'Refrig Mass Flow &amp; Cond kW'!C88*(1-$C$6/($C$10+273))</f>
        <v>0</v>
      </c>
      <c r="F97" s="13"/>
      <c r="G97" s="13">
        <f>'Refrig Mass Flow &amp; Cond kW'!F88*$C$6*($G$19-$G$18)/1000</f>
        <v>0</v>
      </c>
      <c r="H97">
        <f>'Refrig Mass Flow &amp; Cond kW'!F88*$C$6*($G$17-$G$16)/1000</f>
        <v>0</v>
      </c>
      <c r="I97">
        <f>'Refrig Mass Flow &amp; Cond kW'!F88*(($G$13-$G$14)-$C$6*($G$17-$G$18)/1000)-'Refrig Mass Flow &amp; Cond kW'!E88*(1-$C$6/($G$10+273))</f>
        <v>0</v>
      </c>
    </row>
    <row r="98" spans="2:9" x14ac:dyDescent="0.2">
      <c r="B98" s="2">
        <v>75</v>
      </c>
      <c r="C98">
        <f>'Refrig Mass Flow &amp; Cond kW'!G89*$C$6*(($C$19-$C$18)/1000)</f>
        <v>0</v>
      </c>
      <c r="D98">
        <f>'Refrig Mass Flow &amp; Cond kW'!G89*Spring_autumn!$C$6*((Spring_autumn!$C$17-Spring_autumn!$C$16)/1000)</f>
        <v>0</v>
      </c>
      <c r="E98">
        <f>'Refrig Mass Flow &amp; Cond kW'!D89*(($C$13-$C$14)-$C$6*($C$17-$C$18)/1000)-'Refrig Mass Flow &amp; Cond kW'!C89*(1-$C$6/($C$10+273))</f>
        <v>0</v>
      </c>
      <c r="F98" s="13"/>
      <c r="G98" s="13">
        <f>'Refrig Mass Flow &amp; Cond kW'!F89*$C$6*($G$19-$G$18)/1000</f>
        <v>0</v>
      </c>
      <c r="H98">
        <f>'Refrig Mass Flow &amp; Cond kW'!F89*$C$6*($G$17-$G$16)/1000</f>
        <v>0</v>
      </c>
      <c r="I98">
        <f>'Refrig Mass Flow &amp; Cond kW'!F89*(($G$13-$G$14)-$C$6*($G$17-$G$18)/1000)-'Refrig Mass Flow &amp; Cond kW'!E89*(1-$C$6/($G$10+273))</f>
        <v>0</v>
      </c>
    </row>
    <row r="99" spans="2:9" x14ac:dyDescent="0.2">
      <c r="B99" s="2">
        <v>76</v>
      </c>
      <c r="C99">
        <f>'Refrig Mass Flow &amp; Cond kW'!G90*$C$6*(($C$19-$C$18)/1000)</f>
        <v>0</v>
      </c>
      <c r="D99">
        <f>'Refrig Mass Flow &amp; Cond kW'!G90*Spring_autumn!$C$6*((Spring_autumn!$C$17-Spring_autumn!$C$16)/1000)</f>
        <v>0</v>
      </c>
      <c r="E99">
        <f>'Refrig Mass Flow &amp; Cond kW'!D90*(($C$13-$C$14)-$C$6*($C$17-$C$18)/1000)-'Refrig Mass Flow &amp; Cond kW'!C90*(1-$C$6/($C$10+273))</f>
        <v>0</v>
      </c>
      <c r="F99" s="13"/>
      <c r="G99" s="13">
        <f>'Refrig Mass Flow &amp; Cond kW'!F90*$C$6*($G$19-$G$18)/1000</f>
        <v>0</v>
      </c>
      <c r="H99">
        <f>'Refrig Mass Flow &amp; Cond kW'!F90*$C$6*($G$17-$G$16)/1000</f>
        <v>0</v>
      </c>
      <c r="I99">
        <f>'Refrig Mass Flow &amp; Cond kW'!F90*(($G$13-$G$14)-$C$6*($G$17-$G$18)/1000)-'Refrig Mass Flow &amp; Cond kW'!E90*(1-$C$6/($G$10+273))</f>
        <v>0</v>
      </c>
    </row>
    <row r="100" spans="2:9" x14ac:dyDescent="0.2">
      <c r="B100" s="2">
        <v>77</v>
      </c>
      <c r="C100">
        <f>'Refrig Mass Flow &amp; Cond kW'!G91*$C$6*(($C$19-$C$18)/1000)</f>
        <v>0</v>
      </c>
      <c r="D100">
        <f>'Refrig Mass Flow &amp; Cond kW'!G91*Spring_autumn!$C$6*((Spring_autumn!$C$17-Spring_autumn!$C$16)/1000)</f>
        <v>0</v>
      </c>
      <c r="E100">
        <f>'Refrig Mass Flow &amp; Cond kW'!D91*(($C$13-$C$14)-$C$6*($C$17-$C$18)/1000)-'Refrig Mass Flow &amp; Cond kW'!C91*(1-$C$6/($C$10+273))</f>
        <v>0</v>
      </c>
      <c r="F100" s="13"/>
      <c r="G100" s="13">
        <f>'Refrig Mass Flow &amp; Cond kW'!F91*$C$6*($G$19-$G$18)/1000</f>
        <v>0</v>
      </c>
      <c r="H100">
        <f>'Refrig Mass Flow &amp; Cond kW'!F91*$C$6*($G$17-$G$16)/1000</f>
        <v>0</v>
      </c>
      <c r="I100">
        <f>'Refrig Mass Flow &amp; Cond kW'!F91*(($G$13-$G$14)-$C$6*($G$17-$G$18)/1000)-'Refrig Mass Flow &amp; Cond kW'!E91*(1-$C$6/($G$10+273))</f>
        <v>0</v>
      </c>
    </row>
    <row r="101" spans="2:9" x14ac:dyDescent="0.2">
      <c r="B101" s="2">
        <v>78</v>
      </c>
      <c r="C101">
        <f>'Refrig Mass Flow &amp; Cond kW'!G92*$C$6*(($C$19-$C$18)/1000)</f>
        <v>0</v>
      </c>
      <c r="D101">
        <f>'Refrig Mass Flow &amp; Cond kW'!G92*Spring_autumn!$C$6*((Spring_autumn!$C$17-Spring_autumn!$C$16)/1000)</f>
        <v>0</v>
      </c>
      <c r="E101">
        <f>'Refrig Mass Flow &amp; Cond kW'!D92*(($C$13-$C$14)-$C$6*($C$17-$C$18)/1000)-'Refrig Mass Flow &amp; Cond kW'!C92*(1-$C$6/($C$10+273))</f>
        <v>0</v>
      </c>
      <c r="F101" s="13"/>
      <c r="G101" s="13">
        <f>'Refrig Mass Flow &amp; Cond kW'!F92*$C$6*($G$19-$G$18)/1000</f>
        <v>0</v>
      </c>
      <c r="H101">
        <f>'Refrig Mass Flow &amp; Cond kW'!F92*$C$6*($G$17-$G$16)/1000</f>
        <v>0</v>
      </c>
      <c r="I101">
        <f>'Refrig Mass Flow &amp; Cond kW'!F92*(($G$13-$G$14)-$C$6*($G$17-$G$18)/1000)-'Refrig Mass Flow &amp; Cond kW'!E92*(1-$C$6/($G$10+273))</f>
        <v>0</v>
      </c>
    </row>
    <row r="102" spans="2:9" x14ac:dyDescent="0.2">
      <c r="B102" s="2">
        <v>79</v>
      </c>
      <c r="C102">
        <f>'Refrig Mass Flow &amp; Cond kW'!G93*$C$6*(($C$19-$C$18)/1000)</f>
        <v>0</v>
      </c>
      <c r="D102">
        <f>'Refrig Mass Flow &amp; Cond kW'!G93*Spring_autumn!$C$6*((Spring_autumn!$C$17-Spring_autumn!$C$16)/1000)</f>
        <v>0</v>
      </c>
      <c r="E102">
        <f>'Refrig Mass Flow &amp; Cond kW'!D93*(($C$13-$C$14)-$C$6*($C$17-$C$18)/1000)-'Refrig Mass Flow &amp; Cond kW'!C93*(1-$C$6/($C$10+273))</f>
        <v>0</v>
      </c>
      <c r="F102" s="13"/>
      <c r="G102" s="13">
        <f>'Refrig Mass Flow &amp; Cond kW'!F93*$C$6*($G$19-$G$18)/1000</f>
        <v>0</v>
      </c>
      <c r="H102">
        <f>'Refrig Mass Flow &amp; Cond kW'!F93*$C$6*($G$17-$G$16)/1000</f>
        <v>0</v>
      </c>
      <c r="I102">
        <f>'Refrig Mass Flow &amp; Cond kW'!F93*(($G$13-$G$14)-$C$6*($G$17-$G$18)/1000)-'Refrig Mass Flow &amp; Cond kW'!E93*(1-$C$6/($G$10+273))</f>
        <v>0</v>
      </c>
    </row>
    <row r="103" spans="2:9" x14ac:dyDescent="0.2">
      <c r="B103" s="2">
        <v>80</v>
      </c>
      <c r="C103">
        <f>'Refrig Mass Flow &amp; Cond kW'!G94*$C$6*(($C$19-$C$18)/1000)</f>
        <v>0</v>
      </c>
      <c r="D103">
        <f>'Refrig Mass Flow &amp; Cond kW'!G94*Spring_autumn!$C$6*((Spring_autumn!$C$17-Spring_autumn!$C$16)/1000)</f>
        <v>0</v>
      </c>
      <c r="E103">
        <f>'Refrig Mass Flow &amp; Cond kW'!D94*(($C$13-$C$14)-$C$6*($C$17-$C$18)/1000)-'Refrig Mass Flow &amp; Cond kW'!C94*(1-$C$6/($C$10+273))</f>
        <v>0</v>
      </c>
      <c r="F103" s="13"/>
      <c r="G103" s="13">
        <f>'Refrig Mass Flow &amp; Cond kW'!F94*$C$6*($G$19-$G$18)/1000</f>
        <v>0</v>
      </c>
      <c r="H103">
        <f>'Refrig Mass Flow &amp; Cond kW'!F94*$C$6*($G$17-$G$16)/1000</f>
        <v>0</v>
      </c>
      <c r="I103">
        <f>'Refrig Mass Flow &amp; Cond kW'!F94*(($G$13-$G$14)-$C$6*($G$17-$G$18)/1000)-'Refrig Mass Flow &amp; Cond kW'!E94*(1-$C$6/($G$10+273))</f>
        <v>0</v>
      </c>
    </row>
    <row r="104" spans="2:9" x14ac:dyDescent="0.2">
      <c r="B104" s="2">
        <v>81</v>
      </c>
      <c r="C104">
        <f>'Refrig Mass Flow &amp; Cond kW'!G95*$C$6*(($C$19-$C$18)/1000)</f>
        <v>0</v>
      </c>
      <c r="D104">
        <f>'Refrig Mass Flow &amp; Cond kW'!G95*Spring_autumn!$C$6*((Spring_autumn!$C$17-Spring_autumn!$C$16)/1000)</f>
        <v>0</v>
      </c>
      <c r="E104">
        <f>'Refrig Mass Flow &amp; Cond kW'!D95*(($C$13-$C$14)-$C$6*($C$17-$C$18)/1000)-'Refrig Mass Flow &amp; Cond kW'!C95*(1-$C$6/($C$10+273))</f>
        <v>0</v>
      </c>
      <c r="F104" s="13"/>
      <c r="G104" s="13">
        <f>'Refrig Mass Flow &amp; Cond kW'!F95*$C$6*($G$19-$G$18)/1000</f>
        <v>0</v>
      </c>
      <c r="H104">
        <f>'Refrig Mass Flow &amp; Cond kW'!F95*$C$6*($G$17-$G$16)/1000</f>
        <v>0</v>
      </c>
      <c r="I104">
        <f>'Refrig Mass Flow &amp; Cond kW'!F95*(($G$13-$G$14)-$C$6*($G$17-$G$18)/1000)-'Refrig Mass Flow &amp; Cond kW'!E95*(1-$C$6/($G$10+273))</f>
        <v>0</v>
      </c>
    </row>
    <row r="105" spans="2:9" x14ac:dyDescent="0.2">
      <c r="B105" s="2">
        <v>82</v>
      </c>
      <c r="C105">
        <f>'Refrig Mass Flow &amp; Cond kW'!G96*$C$6*(($C$19-$C$18)/1000)</f>
        <v>0</v>
      </c>
      <c r="D105">
        <f>'Refrig Mass Flow &amp; Cond kW'!G96*Spring_autumn!$C$6*((Spring_autumn!$C$17-Spring_autumn!$C$16)/1000)</f>
        <v>0</v>
      </c>
      <c r="E105">
        <f>'Refrig Mass Flow &amp; Cond kW'!D96*(($C$13-$C$14)-$C$6*($C$17-$C$18)/1000)-'Refrig Mass Flow &amp; Cond kW'!C96*(1-$C$6/($C$10+273))</f>
        <v>0</v>
      </c>
      <c r="F105" s="13"/>
      <c r="G105" s="13">
        <f>'Refrig Mass Flow &amp; Cond kW'!F96*$C$6*($G$19-$G$18)/1000</f>
        <v>0</v>
      </c>
      <c r="H105">
        <f>'Refrig Mass Flow &amp; Cond kW'!F96*$C$6*($G$17-$G$16)/1000</f>
        <v>0</v>
      </c>
      <c r="I105">
        <f>'Refrig Mass Flow &amp; Cond kW'!F96*(($G$13-$G$14)-$C$6*($G$17-$G$18)/1000)-'Refrig Mass Flow &amp; Cond kW'!E96*(1-$C$6/($G$10+273))</f>
        <v>0</v>
      </c>
    </row>
    <row r="106" spans="2:9" x14ac:dyDescent="0.2">
      <c r="B106" s="2">
        <v>83</v>
      </c>
      <c r="C106">
        <f>'Refrig Mass Flow &amp; Cond kW'!G97*$C$6*(($C$19-$C$18)/1000)</f>
        <v>0</v>
      </c>
      <c r="D106">
        <f>'Refrig Mass Flow &amp; Cond kW'!G97*Spring_autumn!$C$6*((Spring_autumn!$C$17-Spring_autumn!$C$16)/1000)</f>
        <v>0</v>
      </c>
      <c r="E106">
        <f>'Refrig Mass Flow &amp; Cond kW'!D97*(($C$13-$C$14)-$C$6*($C$17-$C$18)/1000)-'Refrig Mass Flow &amp; Cond kW'!C97*(1-$C$6/($C$10+273))</f>
        <v>0</v>
      </c>
      <c r="F106" s="13"/>
      <c r="G106" s="13">
        <f>'Refrig Mass Flow &amp; Cond kW'!F97*$C$6*($G$19-$G$18)/1000</f>
        <v>0</v>
      </c>
      <c r="H106">
        <f>'Refrig Mass Flow &amp; Cond kW'!F97*$C$6*($G$17-$G$16)/1000</f>
        <v>0</v>
      </c>
      <c r="I106">
        <f>'Refrig Mass Flow &amp; Cond kW'!F97*(($G$13-$G$14)-$C$6*($G$17-$G$18)/1000)-'Refrig Mass Flow &amp; Cond kW'!E97*(1-$C$6/($G$10+273))</f>
        <v>0</v>
      </c>
    </row>
    <row r="107" spans="2:9" x14ac:dyDescent="0.2">
      <c r="B107" s="2">
        <v>84</v>
      </c>
      <c r="C107">
        <f>'Refrig Mass Flow &amp; Cond kW'!G98*$C$6*(($C$19-$C$18)/1000)</f>
        <v>0</v>
      </c>
      <c r="D107">
        <f>'Refrig Mass Flow &amp; Cond kW'!G98*Spring_autumn!$C$6*((Spring_autumn!$C$17-Spring_autumn!$C$16)/1000)</f>
        <v>0</v>
      </c>
      <c r="E107">
        <f>'Refrig Mass Flow &amp; Cond kW'!D98*(($C$13-$C$14)-$C$6*($C$17-$C$18)/1000)-'Refrig Mass Flow &amp; Cond kW'!C98*(1-$C$6/($C$10+273))</f>
        <v>0</v>
      </c>
      <c r="F107" s="13"/>
      <c r="G107" s="13">
        <f>'Refrig Mass Flow &amp; Cond kW'!F98*$C$6*($G$19-$G$18)/1000</f>
        <v>0</v>
      </c>
      <c r="H107">
        <f>'Refrig Mass Flow &amp; Cond kW'!F98*$C$6*($G$17-$G$16)/1000</f>
        <v>0</v>
      </c>
      <c r="I107">
        <f>'Refrig Mass Flow &amp; Cond kW'!F98*(($G$13-$G$14)-$C$6*($G$17-$G$18)/1000)-'Refrig Mass Flow &amp; Cond kW'!E98*(1-$C$6/($G$10+273))</f>
        <v>0</v>
      </c>
    </row>
    <row r="108" spans="2:9" x14ac:dyDescent="0.2">
      <c r="B108" s="2">
        <v>85</v>
      </c>
      <c r="C108">
        <f>'Refrig Mass Flow &amp; Cond kW'!G99*$C$6*(($C$19-$C$18)/1000)</f>
        <v>0</v>
      </c>
      <c r="D108">
        <f>'Refrig Mass Flow &amp; Cond kW'!G99*Spring_autumn!$C$6*((Spring_autumn!$C$17-Spring_autumn!$C$16)/1000)</f>
        <v>0</v>
      </c>
      <c r="E108">
        <f>'Refrig Mass Flow &amp; Cond kW'!D99*(($C$13-$C$14)-$C$6*($C$17-$C$18)/1000)-'Refrig Mass Flow &amp; Cond kW'!C99*(1-$C$6/($C$10+273))</f>
        <v>0</v>
      </c>
      <c r="F108" s="13"/>
      <c r="G108" s="13">
        <f>'Refrig Mass Flow &amp; Cond kW'!F99*$C$6*($G$19-$G$18)/1000</f>
        <v>0</v>
      </c>
      <c r="H108">
        <f>'Refrig Mass Flow &amp; Cond kW'!F99*$C$6*($G$17-$G$16)/1000</f>
        <v>0</v>
      </c>
      <c r="I108">
        <f>'Refrig Mass Flow &amp; Cond kW'!F99*(($G$13-$G$14)-$C$6*($G$17-$G$18)/1000)-'Refrig Mass Flow &amp; Cond kW'!E99*(1-$C$6/($G$10+273))</f>
        <v>0</v>
      </c>
    </row>
    <row r="109" spans="2:9" x14ac:dyDescent="0.2">
      <c r="B109" s="2">
        <v>86</v>
      </c>
      <c r="C109">
        <f>'Refrig Mass Flow &amp; Cond kW'!G100*$C$6*(($C$19-$C$18)/1000)</f>
        <v>0</v>
      </c>
      <c r="D109">
        <f>'Refrig Mass Flow &amp; Cond kW'!G100*Spring_autumn!$C$6*((Spring_autumn!$C$17-Spring_autumn!$C$16)/1000)</f>
        <v>0</v>
      </c>
      <c r="E109">
        <f>'Refrig Mass Flow &amp; Cond kW'!D100*(($C$13-$C$14)-$C$6*($C$17-$C$18)/1000)-'Refrig Mass Flow &amp; Cond kW'!C100*(1-$C$6/($C$10+273))</f>
        <v>0</v>
      </c>
      <c r="F109" s="13"/>
      <c r="G109" s="13">
        <f>'Refrig Mass Flow &amp; Cond kW'!F100*$C$6*($G$19-$G$18)/1000</f>
        <v>0</v>
      </c>
      <c r="H109">
        <f>'Refrig Mass Flow &amp; Cond kW'!F100*$C$6*($G$17-$G$16)/1000</f>
        <v>0</v>
      </c>
      <c r="I109">
        <f>'Refrig Mass Flow &amp; Cond kW'!F100*(($G$13-$G$14)-$C$6*($G$17-$G$18)/1000)-'Refrig Mass Flow &amp; Cond kW'!E100*(1-$C$6/($G$10+273))</f>
        <v>0</v>
      </c>
    </row>
    <row r="110" spans="2:9" x14ac:dyDescent="0.2">
      <c r="B110" s="2">
        <v>87</v>
      </c>
      <c r="C110">
        <f>'Refrig Mass Flow &amp; Cond kW'!G101*$C$6*(($C$19-$C$18)/1000)</f>
        <v>0</v>
      </c>
      <c r="D110">
        <f>'Refrig Mass Flow &amp; Cond kW'!G101*Spring_autumn!$C$6*((Spring_autumn!$C$17-Spring_autumn!$C$16)/1000)</f>
        <v>0</v>
      </c>
      <c r="E110">
        <f>'Refrig Mass Flow &amp; Cond kW'!D101*(($C$13-$C$14)-$C$6*($C$17-$C$18)/1000)-'Refrig Mass Flow &amp; Cond kW'!C101*(1-$C$6/($C$10+273))</f>
        <v>0</v>
      </c>
      <c r="F110" s="13"/>
      <c r="G110" s="13">
        <f>'Refrig Mass Flow &amp; Cond kW'!F101*$C$6*($G$19-$G$18)/1000</f>
        <v>0</v>
      </c>
      <c r="H110">
        <f>'Refrig Mass Flow &amp; Cond kW'!F101*$C$6*($G$17-$G$16)/1000</f>
        <v>0</v>
      </c>
      <c r="I110">
        <f>'Refrig Mass Flow &amp; Cond kW'!F101*(($G$13-$G$14)-$C$6*($G$17-$G$18)/1000)-'Refrig Mass Flow &amp; Cond kW'!E101*(1-$C$6/($G$10+273))</f>
        <v>0</v>
      </c>
    </row>
    <row r="111" spans="2:9" x14ac:dyDescent="0.2">
      <c r="B111" s="2">
        <v>88</v>
      </c>
      <c r="C111">
        <f>'Refrig Mass Flow &amp; Cond kW'!G102*$C$6*(($C$19-$C$18)/1000)</f>
        <v>0</v>
      </c>
      <c r="D111">
        <f>'Refrig Mass Flow &amp; Cond kW'!G102*Spring_autumn!$C$6*((Spring_autumn!$C$17-Spring_autumn!$C$16)/1000)</f>
        <v>0</v>
      </c>
      <c r="E111">
        <f>'Refrig Mass Flow &amp; Cond kW'!D102*(($C$13-$C$14)-$C$6*($C$17-$C$18)/1000)-'Refrig Mass Flow &amp; Cond kW'!C102*(1-$C$6/($C$10+273))</f>
        <v>0</v>
      </c>
      <c r="F111" s="13"/>
      <c r="G111" s="13">
        <f>'Refrig Mass Flow &amp; Cond kW'!F102*$C$6*($G$19-$G$18)/1000</f>
        <v>0</v>
      </c>
      <c r="H111">
        <f>'Refrig Mass Flow &amp; Cond kW'!F102*$C$6*($G$17-$G$16)/1000</f>
        <v>0</v>
      </c>
      <c r="I111">
        <f>'Refrig Mass Flow &amp; Cond kW'!F102*(($G$13-$G$14)-$C$6*($G$17-$G$18)/1000)-'Refrig Mass Flow &amp; Cond kW'!E102*(1-$C$6/($G$10+273))</f>
        <v>0</v>
      </c>
    </row>
    <row r="112" spans="2:9" x14ac:dyDescent="0.2">
      <c r="B112" s="2">
        <v>89</v>
      </c>
      <c r="C112">
        <f>'Refrig Mass Flow &amp; Cond kW'!G103*$C$6*(($C$19-$C$18)/1000)</f>
        <v>0</v>
      </c>
      <c r="D112">
        <f>'Refrig Mass Flow &amp; Cond kW'!G103*Spring_autumn!$C$6*((Spring_autumn!$C$17-Spring_autumn!$C$16)/1000)</f>
        <v>0</v>
      </c>
      <c r="E112">
        <f>'Refrig Mass Flow &amp; Cond kW'!D103*(($C$13-$C$14)-$C$6*($C$17-$C$18)/1000)-'Refrig Mass Flow &amp; Cond kW'!C103*(1-$C$6/($C$10+273))</f>
        <v>0</v>
      </c>
      <c r="F112" s="13"/>
      <c r="G112" s="13">
        <f>'Refrig Mass Flow &amp; Cond kW'!F103*$C$6*($G$19-$G$18)/1000</f>
        <v>0</v>
      </c>
      <c r="H112">
        <f>'Refrig Mass Flow &amp; Cond kW'!F103*$C$6*($G$17-$G$16)/1000</f>
        <v>0</v>
      </c>
      <c r="I112">
        <f>'Refrig Mass Flow &amp; Cond kW'!F103*(($G$13-$G$14)-$C$6*($G$17-$G$18)/1000)-'Refrig Mass Flow &amp; Cond kW'!E103*(1-$C$6/($G$10+273))</f>
        <v>0</v>
      </c>
    </row>
    <row r="113" spans="2:9" x14ac:dyDescent="0.2">
      <c r="B113" s="2">
        <v>90</v>
      </c>
      <c r="C113">
        <f>'Refrig Mass Flow &amp; Cond kW'!G104*$C$6*(($C$19-$C$18)/1000)</f>
        <v>0</v>
      </c>
      <c r="D113">
        <f>'Refrig Mass Flow &amp; Cond kW'!G104*Spring_autumn!$C$6*((Spring_autumn!$C$17-Spring_autumn!$C$16)/1000)</f>
        <v>0</v>
      </c>
      <c r="E113">
        <f>'Refrig Mass Flow &amp; Cond kW'!D104*(($C$13-$C$14)-$C$6*($C$17-$C$18)/1000)-'Refrig Mass Flow &amp; Cond kW'!C104*(1-$C$6/($C$10+273))</f>
        <v>0</v>
      </c>
      <c r="F113" s="13"/>
      <c r="G113" s="13">
        <f>'Refrig Mass Flow &amp; Cond kW'!F104*$C$6*($G$19-$G$18)/1000</f>
        <v>0</v>
      </c>
      <c r="H113">
        <f>'Refrig Mass Flow &amp; Cond kW'!F104*$C$6*($G$17-$G$16)/1000</f>
        <v>0</v>
      </c>
      <c r="I113">
        <f>'Refrig Mass Flow &amp; Cond kW'!F104*(($G$13-$G$14)-$C$6*($G$17-$G$18)/1000)-'Refrig Mass Flow &amp; Cond kW'!E104*(1-$C$6/($G$10+273))</f>
        <v>0</v>
      </c>
    </row>
    <row r="114" spans="2:9" x14ac:dyDescent="0.2">
      <c r="B114" s="2">
        <v>91</v>
      </c>
      <c r="C114">
        <f>'Refrig Mass Flow &amp; Cond kW'!G105*$C$6*(($C$19-$C$18)/1000)</f>
        <v>0</v>
      </c>
      <c r="D114">
        <f>'Refrig Mass Flow &amp; Cond kW'!G105*Spring_autumn!$C$6*((Spring_autumn!$C$17-Spring_autumn!$C$16)/1000)</f>
        <v>0</v>
      </c>
      <c r="E114">
        <f>'Refrig Mass Flow &amp; Cond kW'!D105*(($C$13-$C$14)-$C$6*($C$17-$C$18)/1000)-'Refrig Mass Flow &amp; Cond kW'!C105*(1-$C$6/($C$10+273))</f>
        <v>0</v>
      </c>
      <c r="F114" s="13"/>
      <c r="G114" s="13">
        <f>'Refrig Mass Flow &amp; Cond kW'!F105*$C$6*($G$19-$G$18)/1000</f>
        <v>0</v>
      </c>
      <c r="H114">
        <f>'Refrig Mass Flow &amp; Cond kW'!F105*$C$6*($G$17-$G$16)/1000</f>
        <v>0</v>
      </c>
      <c r="I114">
        <f>'Refrig Mass Flow &amp; Cond kW'!F105*(($G$13-$G$14)-$C$6*($G$17-$G$18)/1000)-'Refrig Mass Flow &amp; Cond kW'!E105*(1-$C$6/($G$10+273))</f>
        <v>0</v>
      </c>
    </row>
    <row r="115" spans="2:9" x14ac:dyDescent="0.2">
      <c r="B115" s="2">
        <v>92</v>
      </c>
      <c r="C115">
        <f>'Refrig Mass Flow &amp; Cond kW'!G106*$C$6*(($C$19-$C$18)/1000)</f>
        <v>0</v>
      </c>
      <c r="D115">
        <f>'Refrig Mass Flow &amp; Cond kW'!G106*Spring_autumn!$C$6*((Spring_autumn!$C$17-Spring_autumn!$C$16)/1000)</f>
        <v>0</v>
      </c>
      <c r="E115">
        <f>'Refrig Mass Flow &amp; Cond kW'!D106*(($C$13-$C$14)-$C$6*($C$17-$C$18)/1000)-'Refrig Mass Flow &amp; Cond kW'!C106*(1-$C$6/($C$10+273))</f>
        <v>0</v>
      </c>
      <c r="F115" s="13"/>
      <c r="G115" s="13">
        <f>'Refrig Mass Flow &amp; Cond kW'!F106*$C$6*($G$19-$G$18)/1000</f>
        <v>0</v>
      </c>
      <c r="H115">
        <f>'Refrig Mass Flow &amp; Cond kW'!F106*$C$6*($G$17-$G$16)/1000</f>
        <v>0</v>
      </c>
      <c r="I115">
        <f>'Refrig Mass Flow &amp; Cond kW'!F106*(($G$13-$G$14)-$C$6*($G$17-$G$18)/1000)-'Refrig Mass Flow &amp; Cond kW'!E106*(1-$C$6/($G$10+273))</f>
        <v>0</v>
      </c>
    </row>
    <row r="116" spans="2:9" x14ac:dyDescent="0.2">
      <c r="B116" s="2">
        <v>93</v>
      </c>
      <c r="C116">
        <f>'Refrig Mass Flow &amp; Cond kW'!G107*$C$6*(($C$19-$C$18)/1000)</f>
        <v>0</v>
      </c>
      <c r="D116">
        <f>'Refrig Mass Flow &amp; Cond kW'!G107*Spring_autumn!$C$6*((Spring_autumn!$C$17-Spring_autumn!$C$16)/1000)</f>
        <v>0</v>
      </c>
      <c r="E116">
        <f>'Refrig Mass Flow &amp; Cond kW'!D107*(($C$13-$C$14)-$C$6*($C$17-$C$18)/1000)-'Refrig Mass Flow &amp; Cond kW'!C107*(1-$C$6/($C$10+273))</f>
        <v>0</v>
      </c>
      <c r="F116" s="13"/>
      <c r="G116" s="13">
        <f>'Refrig Mass Flow &amp; Cond kW'!F107*$C$6*($G$19-$G$18)/1000</f>
        <v>0</v>
      </c>
      <c r="H116">
        <f>'Refrig Mass Flow &amp; Cond kW'!F107*$C$6*($G$17-$G$16)/1000</f>
        <v>0</v>
      </c>
      <c r="I116">
        <f>'Refrig Mass Flow &amp; Cond kW'!F107*(($G$13-$G$14)-$C$6*($G$17-$G$18)/1000)-'Refrig Mass Flow &amp; Cond kW'!E107*(1-$C$6/($G$10+273))</f>
        <v>0</v>
      </c>
    </row>
    <row r="117" spans="2:9" x14ac:dyDescent="0.2">
      <c r="B117" s="2">
        <v>94</v>
      </c>
      <c r="C117">
        <f>'Refrig Mass Flow &amp; Cond kW'!G108*$C$6*(($C$19-$C$18)/1000)</f>
        <v>0</v>
      </c>
      <c r="D117">
        <f>'Refrig Mass Flow &amp; Cond kW'!G108*Spring_autumn!$C$6*((Spring_autumn!$C$17-Spring_autumn!$C$16)/1000)</f>
        <v>0</v>
      </c>
      <c r="E117">
        <f>'Refrig Mass Flow &amp; Cond kW'!D108*(($C$13-$C$14)-$C$6*($C$17-$C$18)/1000)-'Refrig Mass Flow &amp; Cond kW'!C108*(1-$C$6/($C$10+273))</f>
        <v>0</v>
      </c>
      <c r="F117" s="13"/>
      <c r="G117" s="13">
        <f>'Refrig Mass Flow &amp; Cond kW'!F108*$C$6*($G$19-$G$18)/1000</f>
        <v>0</v>
      </c>
      <c r="H117">
        <f>'Refrig Mass Flow &amp; Cond kW'!F108*$C$6*($G$17-$G$16)/1000</f>
        <v>0</v>
      </c>
      <c r="I117">
        <f>'Refrig Mass Flow &amp; Cond kW'!F108*(($G$13-$G$14)-$C$6*($G$17-$G$18)/1000)-'Refrig Mass Flow &amp; Cond kW'!E108*(1-$C$6/($G$10+273))</f>
        <v>0</v>
      </c>
    </row>
    <row r="118" spans="2:9" x14ac:dyDescent="0.2">
      <c r="B118" s="2">
        <v>95</v>
      </c>
      <c r="C118">
        <f>'Refrig Mass Flow &amp; Cond kW'!G109*$C$6*(($C$19-$C$18)/1000)</f>
        <v>0</v>
      </c>
      <c r="D118">
        <f>'Refrig Mass Flow &amp; Cond kW'!G109*Spring_autumn!$C$6*((Spring_autumn!$C$17-Spring_autumn!$C$16)/1000)</f>
        <v>0</v>
      </c>
      <c r="E118">
        <f>'Refrig Mass Flow &amp; Cond kW'!D109*(($C$13-$C$14)-$C$6*($C$17-$C$18)/1000)-'Refrig Mass Flow &amp; Cond kW'!C109*(1-$C$6/($C$10+273))</f>
        <v>0</v>
      </c>
      <c r="F118" s="13"/>
      <c r="G118" s="13">
        <f>'Refrig Mass Flow &amp; Cond kW'!F109*$C$6*($G$19-$G$18)/1000</f>
        <v>0</v>
      </c>
      <c r="H118">
        <f>'Refrig Mass Flow &amp; Cond kW'!F109*$C$6*($G$17-$G$16)/1000</f>
        <v>0</v>
      </c>
      <c r="I118">
        <f>'Refrig Mass Flow &amp; Cond kW'!F109*(($G$13-$G$14)-$C$6*($G$17-$G$18)/1000)-'Refrig Mass Flow &amp; Cond kW'!E109*(1-$C$6/($G$10+273))</f>
        <v>0</v>
      </c>
    </row>
    <row r="119" spans="2:9" x14ac:dyDescent="0.2">
      <c r="B119" s="2">
        <v>96</v>
      </c>
      <c r="C119">
        <f>'Refrig Mass Flow &amp; Cond kW'!G110*$C$6*(($C$19-$C$18)/1000)</f>
        <v>0</v>
      </c>
      <c r="D119">
        <f>'Refrig Mass Flow &amp; Cond kW'!G110*Spring_autumn!$C$6*((Spring_autumn!$C$17-Spring_autumn!$C$16)/1000)</f>
        <v>0</v>
      </c>
      <c r="E119">
        <f>'Refrig Mass Flow &amp; Cond kW'!D110*(($C$13-$C$14)-$C$6*($C$17-$C$18)/1000)-'Refrig Mass Flow &amp; Cond kW'!C110*(1-$C$6/($C$10+273))</f>
        <v>0</v>
      </c>
      <c r="F119" s="13"/>
      <c r="G119" s="13">
        <f>'Refrig Mass Flow &amp; Cond kW'!F110*$C$6*($G$19-$G$18)/1000</f>
        <v>0</v>
      </c>
      <c r="H119">
        <f>'Refrig Mass Flow &amp; Cond kW'!F110*$C$6*($G$17-$G$16)/1000</f>
        <v>0</v>
      </c>
      <c r="I119">
        <f>'Refrig Mass Flow &amp; Cond kW'!F110*(($G$13-$G$14)-$C$6*($G$17-$G$18)/1000)-'Refrig Mass Flow &amp; Cond kW'!E110*(1-$C$6/($G$10+273))</f>
        <v>0</v>
      </c>
    </row>
    <row r="120" spans="2:9" x14ac:dyDescent="0.2">
      <c r="B120" s="2">
        <v>97</v>
      </c>
      <c r="C120">
        <f>'Refrig Mass Flow &amp; Cond kW'!G111*$C$6*(($C$19-$C$18)/1000)</f>
        <v>0</v>
      </c>
      <c r="D120">
        <f>'Refrig Mass Flow &amp; Cond kW'!G111*Spring_autumn!$C$6*((Spring_autumn!$C$17-Spring_autumn!$C$16)/1000)</f>
        <v>0</v>
      </c>
      <c r="E120">
        <f>'Refrig Mass Flow &amp; Cond kW'!D111*(($C$13-$C$14)-$C$6*($C$17-$C$18)/1000)-'Refrig Mass Flow &amp; Cond kW'!C111*(1-$C$6/($C$10+273))</f>
        <v>0</v>
      </c>
      <c r="F120" s="13"/>
      <c r="G120" s="13">
        <f>'Refrig Mass Flow &amp; Cond kW'!F111*$C$6*($G$19-$G$18)/1000</f>
        <v>0</v>
      </c>
      <c r="H120">
        <f>'Refrig Mass Flow &amp; Cond kW'!F111*$C$6*($G$17-$G$16)/1000</f>
        <v>0</v>
      </c>
      <c r="I120">
        <f>'Refrig Mass Flow &amp; Cond kW'!F111*(($G$13-$G$14)-$C$6*($G$17-$G$18)/1000)-'Refrig Mass Flow &amp; Cond kW'!E111*(1-$C$6/($G$10+273))</f>
        <v>0</v>
      </c>
    </row>
    <row r="121" spans="2:9" x14ac:dyDescent="0.2">
      <c r="B121" s="2">
        <v>98</v>
      </c>
      <c r="C121">
        <f>'Refrig Mass Flow &amp; Cond kW'!G112*$C$6*(($C$19-$C$18)/1000)</f>
        <v>0</v>
      </c>
      <c r="D121">
        <f>'Refrig Mass Flow &amp; Cond kW'!G112*Spring_autumn!$C$6*((Spring_autumn!$C$17-Spring_autumn!$C$16)/1000)</f>
        <v>0</v>
      </c>
      <c r="E121">
        <f>'Refrig Mass Flow &amp; Cond kW'!D112*(($C$13-$C$14)-$C$6*($C$17-$C$18)/1000)-'Refrig Mass Flow &amp; Cond kW'!C112*(1-$C$6/($C$10+273))</f>
        <v>0</v>
      </c>
      <c r="F121" s="13"/>
      <c r="G121" s="13">
        <f>'Refrig Mass Flow &amp; Cond kW'!F112*$C$6*($G$19-$G$18)/1000</f>
        <v>0</v>
      </c>
      <c r="H121">
        <f>'Refrig Mass Flow &amp; Cond kW'!F112*$C$6*($G$17-$G$16)/1000</f>
        <v>0</v>
      </c>
      <c r="I121">
        <f>'Refrig Mass Flow &amp; Cond kW'!F112*(($G$13-$G$14)-$C$6*($G$17-$G$18)/1000)-'Refrig Mass Flow &amp; Cond kW'!E112*(1-$C$6/($G$10+273))</f>
        <v>0</v>
      </c>
    </row>
    <row r="122" spans="2:9" x14ac:dyDescent="0.2">
      <c r="B122" s="2">
        <v>99</v>
      </c>
      <c r="C122">
        <f>'Refrig Mass Flow &amp; Cond kW'!G113*$C$6*(($C$19-$C$18)/1000)</f>
        <v>0</v>
      </c>
      <c r="D122">
        <f>'Refrig Mass Flow &amp; Cond kW'!G113*Spring_autumn!$C$6*((Spring_autumn!$C$17-Spring_autumn!$C$16)/1000)</f>
        <v>0</v>
      </c>
      <c r="E122">
        <f>'Refrig Mass Flow &amp; Cond kW'!D113*(($C$13-$C$14)-$C$6*($C$17-$C$18)/1000)-'Refrig Mass Flow &amp; Cond kW'!C113*(1-$C$6/($C$10+273))</f>
        <v>0</v>
      </c>
      <c r="F122" s="13"/>
      <c r="G122" s="13">
        <f>'Refrig Mass Flow &amp; Cond kW'!F113*$C$6*($G$19-$G$18)/1000</f>
        <v>0</v>
      </c>
      <c r="H122">
        <f>'Refrig Mass Flow &amp; Cond kW'!F113*$C$6*($G$17-$G$16)/1000</f>
        <v>0</v>
      </c>
      <c r="I122">
        <f>'Refrig Mass Flow &amp; Cond kW'!F113*(($G$13-$G$14)-$C$6*($G$17-$G$18)/1000)-'Refrig Mass Flow &amp; Cond kW'!E113*(1-$C$6/($G$10+273))</f>
        <v>0</v>
      </c>
    </row>
    <row r="123" spans="2:9" x14ac:dyDescent="0.2">
      <c r="B123" s="2">
        <v>100</v>
      </c>
      <c r="C123">
        <f>'Refrig Mass Flow &amp; Cond kW'!G114*$C$6*(($C$19-$C$18)/1000)</f>
        <v>0</v>
      </c>
      <c r="D123">
        <f>'Refrig Mass Flow &amp; Cond kW'!G114*Spring_autumn!$C$6*((Spring_autumn!$C$17-Spring_autumn!$C$16)/1000)</f>
        <v>0</v>
      </c>
      <c r="E123">
        <f>'Refrig Mass Flow &amp; Cond kW'!D114*(($C$13-$C$14)-$C$6*($C$17-$C$18)/1000)-'Refrig Mass Flow &amp; Cond kW'!C114*(1-$C$6/($C$10+273))</f>
        <v>0</v>
      </c>
      <c r="F123" s="13"/>
      <c r="G123" s="13">
        <f>'Refrig Mass Flow &amp; Cond kW'!F114*$C$6*($G$19-$G$18)/1000</f>
        <v>0</v>
      </c>
      <c r="H123">
        <f>'Refrig Mass Flow &amp; Cond kW'!F114*$C$6*($G$17-$G$16)/1000</f>
        <v>0</v>
      </c>
      <c r="I123">
        <f>'Refrig Mass Flow &amp; Cond kW'!F114*(($G$13-$G$14)-$C$6*($G$17-$G$18)/1000)-'Refrig Mass Flow &amp; Cond kW'!E114*(1-$C$6/($G$10+273))</f>
        <v>0</v>
      </c>
    </row>
    <row r="124" spans="2:9" x14ac:dyDescent="0.2">
      <c r="B124" s="2">
        <v>101</v>
      </c>
      <c r="C124">
        <f>'Refrig Mass Flow &amp; Cond kW'!G115*$C$6*(($C$19-$C$18)/1000)</f>
        <v>0</v>
      </c>
      <c r="D124">
        <f>'Refrig Mass Flow &amp; Cond kW'!G115*Spring_autumn!$C$6*((Spring_autumn!$C$17-Spring_autumn!$C$16)/1000)</f>
        <v>0</v>
      </c>
      <c r="E124">
        <f>'Refrig Mass Flow &amp; Cond kW'!D115*(($C$13-$C$14)-$C$6*($C$17-$C$18)/1000)-'Refrig Mass Flow &amp; Cond kW'!C115*(1-$C$6/($C$10+273))</f>
        <v>0</v>
      </c>
      <c r="F124" s="13"/>
      <c r="G124" s="13">
        <f>'Refrig Mass Flow &amp; Cond kW'!F115*$C$6*($G$19-$G$18)/1000</f>
        <v>0</v>
      </c>
      <c r="H124">
        <f>'Refrig Mass Flow &amp; Cond kW'!F115*$C$6*($G$17-$G$16)/1000</f>
        <v>0</v>
      </c>
      <c r="I124">
        <f>'Refrig Mass Flow &amp; Cond kW'!F115*(($G$13-$G$14)-$C$6*($G$17-$G$18)/1000)-'Refrig Mass Flow &amp; Cond kW'!E115*(1-$C$6/($G$10+273))</f>
        <v>0</v>
      </c>
    </row>
    <row r="125" spans="2:9" x14ac:dyDescent="0.2">
      <c r="B125" s="2">
        <v>102</v>
      </c>
      <c r="C125">
        <f>'Refrig Mass Flow &amp; Cond kW'!G116*$C$6*(($C$19-$C$18)/1000)</f>
        <v>0</v>
      </c>
      <c r="D125">
        <f>'Refrig Mass Flow &amp; Cond kW'!G116*Spring_autumn!$C$6*((Spring_autumn!$C$17-Spring_autumn!$C$16)/1000)</f>
        <v>0</v>
      </c>
      <c r="E125">
        <f>'Refrig Mass Flow &amp; Cond kW'!D116*(($C$13-$C$14)-$C$6*($C$17-$C$18)/1000)-'Refrig Mass Flow &amp; Cond kW'!C116*(1-$C$6/($C$10+273))</f>
        <v>0</v>
      </c>
      <c r="F125" s="13"/>
      <c r="G125" s="13">
        <f>'Refrig Mass Flow &amp; Cond kW'!F116*$C$6*($G$19-$G$18)/1000</f>
        <v>0</v>
      </c>
      <c r="H125">
        <f>'Refrig Mass Flow &amp; Cond kW'!F116*$C$6*($G$17-$G$16)/1000</f>
        <v>0</v>
      </c>
      <c r="I125">
        <f>'Refrig Mass Flow &amp; Cond kW'!F116*(($G$13-$G$14)-$C$6*($G$17-$G$18)/1000)-'Refrig Mass Flow &amp; Cond kW'!E116*(1-$C$6/($G$10+273))</f>
        <v>0</v>
      </c>
    </row>
    <row r="126" spans="2:9" x14ac:dyDescent="0.2">
      <c r="B126" s="2">
        <v>103</v>
      </c>
      <c r="C126">
        <f>'Refrig Mass Flow &amp; Cond kW'!G117*$C$6*(($C$19-$C$18)/1000)</f>
        <v>0</v>
      </c>
      <c r="D126">
        <f>'Refrig Mass Flow &amp; Cond kW'!G117*Spring_autumn!$C$6*((Spring_autumn!$C$17-Spring_autumn!$C$16)/1000)</f>
        <v>0</v>
      </c>
      <c r="E126">
        <f>'Refrig Mass Flow &amp; Cond kW'!D117*(($C$13-$C$14)-$C$6*($C$17-$C$18)/1000)-'Refrig Mass Flow &amp; Cond kW'!C117*(1-$C$6/($C$10+273))</f>
        <v>0</v>
      </c>
      <c r="F126" s="13"/>
      <c r="G126" s="13">
        <f>'Refrig Mass Flow &amp; Cond kW'!F117*$C$6*($G$19-$G$18)/1000</f>
        <v>0</v>
      </c>
      <c r="H126">
        <f>'Refrig Mass Flow &amp; Cond kW'!F117*$C$6*($G$17-$G$16)/1000</f>
        <v>0</v>
      </c>
      <c r="I126">
        <f>'Refrig Mass Flow &amp; Cond kW'!F117*(($G$13-$G$14)-$C$6*($G$17-$G$18)/1000)-'Refrig Mass Flow &amp; Cond kW'!E117*(1-$C$6/($G$10+273))</f>
        <v>0</v>
      </c>
    </row>
    <row r="127" spans="2:9" x14ac:dyDescent="0.2">
      <c r="B127" s="2">
        <v>104</v>
      </c>
      <c r="C127">
        <f>'Refrig Mass Flow &amp; Cond kW'!G118*$C$6*(($C$19-$C$18)/1000)</f>
        <v>0</v>
      </c>
      <c r="D127">
        <f>'Refrig Mass Flow &amp; Cond kW'!G118*Spring_autumn!$C$6*((Spring_autumn!$C$17-Spring_autumn!$C$16)/1000)</f>
        <v>0</v>
      </c>
      <c r="E127">
        <f>'Refrig Mass Flow &amp; Cond kW'!D118*(($C$13-$C$14)-$C$6*($C$17-$C$18)/1000)-'Refrig Mass Flow &amp; Cond kW'!C118*(1-$C$6/($C$10+273))</f>
        <v>0</v>
      </c>
      <c r="F127" s="13"/>
      <c r="G127" s="13">
        <f>'Refrig Mass Flow &amp; Cond kW'!F118*$C$6*($G$19-$G$18)/1000</f>
        <v>0</v>
      </c>
      <c r="H127">
        <f>'Refrig Mass Flow &amp; Cond kW'!F118*$C$6*($G$17-$G$16)/1000</f>
        <v>0</v>
      </c>
      <c r="I127">
        <f>'Refrig Mass Flow &amp; Cond kW'!F118*(($G$13-$G$14)-$C$6*($G$17-$G$18)/1000)-'Refrig Mass Flow &amp; Cond kW'!E118*(1-$C$6/($G$10+273))</f>
        <v>0</v>
      </c>
    </row>
    <row r="128" spans="2:9" x14ac:dyDescent="0.2">
      <c r="B128" s="2">
        <v>105</v>
      </c>
      <c r="C128">
        <f>'Refrig Mass Flow &amp; Cond kW'!G119*$C$6*(($C$19-$C$18)/1000)</f>
        <v>0</v>
      </c>
      <c r="D128">
        <f>'Refrig Mass Flow &amp; Cond kW'!G119*Spring_autumn!$C$6*((Spring_autumn!$C$17-Spring_autumn!$C$16)/1000)</f>
        <v>0</v>
      </c>
      <c r="E128">
        <f>'Refrig Mass Flow &amp; Cond kW'!D119*(($C$13-$C$14)-$C$6*($C$17-$C$18)/1000)-'Refrig Mass Flow &amp; Cond kW'!C119*(1-$C$6/($C$10+273))</f>
        <v>0</v>
      </c>
      <c r="F128" s="13"/>
      <c r="G128" s="13">
        <f>'Refrig Mass Flow &amp; Cond kW'!F119*$C$6*($G$19-$G$18)/1000</f>
        <v>0</v>
      </c>
      <c r="H128">
        <f>'Refrig Mass Flow &amp; Cond kW'!F119*$C$6*($G$17-$G$16)/1000</f>
        <v>0</v>
      </c>
      <c r="I128">
        <f>'Refrig Mass Flow &amp; Cond kW'!F119*(($G$13-$G$14)-$C$6*($G$17-$G$18)/1000)-'Refrig Mass Flow &amp; Cond kW'!E119*(1-$C$6/($G$10+273))</f>
        <v>0</v>
      </c>
    </row>
    <row r="129" spans="2:9" x14ac:dyDescent="0.2">
      <c r="B129" s="2">
        <v>106</v>
      </c>
      <c r="C129">
        <f>'Refrig Mass Flow &amp; Cond kW'!G120*$C$6*(($C$19-$C$18)/1000)</f>
        <v>0</v>
      </c>
      <c r="D129">
        <f>'Refrig Mass Flow &amp; Cond kW'!G120*Spring_autumn!$C$6*((Spring_autumn!$C$17-Spring_autumn!$C$16)/1000)</f>
        <v>0</v>
      </c>
      <c r="E129">
        <f>'Refrig Mass Flow &amp; Cond kW'!D120*(($C$13-$C$14)-$C$6*($C$17-$C$18)/1000)-'Refrig Mass Flow &amp; Cond kW'!C120*(1-$C$6/($C$10+273))</f>
        <v>0</v>
      </c>
      <c r="F129" s="13"/>
      <c r="G129" s="13">
        <f>'Refrig Mass Flow &amp; Cond kW'!F120*$C$6*($G$19-$G$18)/1000</f>
        <v>0</v>
      </c>
      <c r="H129">
        <f>'Refrig Mass Flow &amp; Cond kW'!F120*$C$6*($G$17-$G$16)/1000</f>
        <v>0</v>
      </c>
      <c r="I129">
        <f>'Refrig Mass Flow &amp; Cond kW'!F120*(($G$13-$G$14)-$C$6*($G$17-$G$18)/1000)-'Refrig Mass Flow &amp; Cond kW'!E120*(1-$C$6/($G$10+273))</f>
        <v>0</v>
      </c>
    </row>
    <row r="130" spans="2:9" x14ac:dyDescent="0.2">
      <c r="B130" s="2">
        <v>107</v>
      </c>
      <c r="C130">
        <f>'Refrig Mass Flow &amp; Cond kW'!G121*$C$6*(($C$19-$C$18)/1000)</f>
        <v>0</v>
      </c>
      <c r="D130">
        <f>'Refrig Mass Flow &amp; Cond kW'!G121*Spring_autumn!$C$6*((Spring_autumn!$C$17-Spring_autumn!$C$16)/1000)</f>
        <v>0</v>
      </c>
      <c r="E130">
        <f>'Refrig Mass Flow &amp; Cond kW'!D121*(($C$13-$C$14)-$C$6*($C$17-$C$18)/1000)-'Refrig Mass Flow &amp; Cond kW'!C121*(1-$C$6/($C$10+273))</f>
        <v>0</v>
      </c>
      <c r="F130" s="13"/>
      <c r="G130" s="13">
        <f>'Refrig Mass Flow &amp; Cond kW'!F121*$C$6*($G$19-$G$18)/1000</f>
        <v>0</v>
      </c>
      <c r="H130">
        <f>'Refrig Mass Flow &amp; Cond kW'!F121*$C$6*($G$17-$G$16)/1000</f>
        <v>0</v>
      </c>
      <c r="I130">
        <f>'Refrig Mass Flow &amp; Cond kW'!F121*(($G$13-$G$14)-$C$6*($G$17-$G$18)/1000)-'Refrig Mass Flow &amp; Cond kW'!E121*(1-$C$6/($G$10+273))</f>
        <v>0</v>
      </c>
    </row>
    <row r="131" spans="2:9" x14ac:dyDescent="0.2">
      <c r="B131" s="2">
        <v>108</v>
      </c>
      <c r="C131">
        <f>'Refrig Mass Flow &amp; Cond kW'!G122*$C$6*(($C$19-$C$18)/1000)</f>
        <v>0</v>
      </c>
      <c r="D131">
        <f>'Refrig Mass Flow &amp; Cond kW'!G122*Spring_autumn!$C$6*((Spring_autumn!$C$17-Spring_autumn!$C$16)/1000)</f>
        <v>0</v>
      </c>
      <c r="E131">
        <f>'Refrig Mass Flow &amp; Cond kW'!D122*(($C$13-$C$14)-$C$6*($C$17-$C$18)/1000)-'Refrig Mass Flow &amp; Cond kW'!C122*(1-$C$6/($C$10+273))</f>
        <v>0</v>
      </c>
      <c r="F131" s="13"/>
      <c r="G131" s="13">
        <f>'Refrig Mass Flow &amp; Cond kW'!F122*$C$6*($G$19-$G$18)/1000</f>
        <v>0</v>
      </c>
      <c r="H131">
        <f>'Refrig Mass Flow &amp; Cond kW'!F122*$C$6*($G$17-$G$16)/1000</f>
        <v>0</v>
      </c>
      <c r="I131">
        <f>'Refrig Mass Flow &amp; Cond kW'!F122*(($G$13-$G$14)-$C$6*($G$17-$G$18)/1000)-'Refrig Mass Flow &amp; Cond kW'!E122*(1-$C$6/($G$10+273))</f>
        <v>0</v>
      </c>
    </row>
    <row r="132" spans="2:9" x14ac:dyDescent="0.2">
      <c r="B132" s="2">
        <v>109</v>
      </c>
      <c r="C132">
        <f>'Refrig Mass Flow &amp; Cond kW'!G123*$C$6*(($C$19-$C$18)/1000)</f>
        <v>0</v>
      </c>
      <c r="D132">
        <f>'Refrig Mass Flow &amp; Cond kW'!G123*Spring_autumn!$C$6*((Spring_autumn!$C$17-Spring_autumn!$C$16)/1000)</f>
        <v>0</v>
      </c>
      <c r="E132">
        <f>'Refrig Mass Flow &amp; Cond kW'!D123*(($C$13-$C$14)-$C$6*($C$17-$C$18)/1000)-'Refrig Mass Flow &amp; Cond kW'!C123*(1-$C$6/($C$10+273))</f>
        <v>0</v>
      </c>
      <c r="F132" s="13"/>
      <c r="G132" s="13">
        <f>'Refrig Mass Flow &amp; Cond kW'!F123*$C$6*($G$19-$G$18)/1000</f>
        <v>0</v>
      </c>
      <c r="H132">
        <f>'Refrig Mass Flow &amp; Cond kW'!F123*$C$6*($G$17-$G$16)/1000</f>
        <v>0</v>
      </c>
      <c r="I132">
        <f>'Refrig Mass Flow &amp; Cond kW'!F123*(($G$13-$G$14)-$C$6*($G$17-$G$18)/1000)-'Refrig Mass Flow &amp; Cond kW'!E123*(1-$C$6/($G$10+273))</f>
        <v>0</v>
      </c>
    </row>
    <row r="133" spans="2:9" x14ac:dyDescent="0.2">
      <c r="B133" s="2">
        <v>110</v>
      </c>
      <c r="C133">
        <f>'Refrig Mass Flow &amp; Cond kW'!G124*$C$6*(($C$19-$C$18)/1000)</f>
        <v>0</v>
      </c>
      <c r="D133">
        <f>'Refrig Mass Flow &amp; Cond kW'!G124*Spring_autumn!$C$6*((Spring_autumn!$C$17-Spring_autumn!$C$16)/1000)</f>
        <v>0</v>
      </c>
      <c r="E133">
        <f>'Refrig Mass Flow &amp; Cond kW'!D124*(($C$13-$C$14)-$C$6*($C$17-$C$18)/1000)-'Refrig Mass Flow &amp; Cond kW'!C124*(1-$C$6/($C$10+273))</f>
        <v>0</v>
      </c>
      <c r="F133" s="13"/>
      <c r="G133" s="13">
        <f>'Refrig Mass Flow &amp; Cond kW'!F124*$C$6*($G$19-$G$18)/1000</f>
        <v>0</v>
      </c>
      <c r="H133">
        <f>'Refrig Mass Flow &amp; Cond kW'!F124*$C$6*($G$17-$G$16)/1000</f>
        <v>0</v>
      </c>
      <c r="I133">
        <f>'Refrig Mass Flow &amp; Cond kW'!F124*(($G$13-$G$14)-$C$6*($G$17-$G$18)/1000)-'Refrig Mass Flow &amp; Cond kW'!E124*(1-$C$6/($G$10+273))</f>
        <v>0</v>
      </c>
    </row>
    <row r="134" spans="2:9" x14ac:dyDescent="0.2">
      <c r="B134" s="2">
        <v>111</v>
      </c>
      <c r="C134">
        <f>'Refrig Mass Flow &amp; Cond kW'!G125*$C$6*(($C$19-$C$18)/1000)</f>
        <v>0</v>
      </c>
      <c r="D134">
        <f>'Refrig Mass Flow &amp; Cond kW'!G125*Spring_autumn!$C$6*((Spring_autumn!$C$17-Spring_autumn!$C$16)/1000)</f>
        <v>0</v>
      </c>
      <c r="E134">
        <f>'Refrig Mass Flow &amp; Cond kW'!D125*(($C$13-$C$14)-$C$6*($C$17-$C$18)/1000)-'Refrig Mass Flow &amp; Cond kW'!C125*(1-$C$6/($C$10+273))</f>
        <v>0</v>
      </c>
      <c r="F134" s="13"/>
      <c r="G134" s="13">
        <f>'Refrig Mass Flow &amp; Cond kW'!F125*$C$6*($G$19-$G$18)/1000</f>
        <v>0</v>
      </c>
      <c r="H134">
        <f>'Refrig Mass Flow &amp; Cond kW'!F125*$C$6*($G$17-$G$16)/1000</f>
        <v>0</v>
      </c>
      <c r="I134">
        <f>'Refrig Mass Flow &amp; Cond kW'!F125*(($G$13-$G$14)-$C$6*($G$17-$G$18)/1000)-'Refrig Mass Flow &amp; Cond kW'!E125*(1-$C$6/($G$10+273))</f>
        <v>0</v>
      </c>
    </row>
    <row r="135" spans="2:9" x14ac:dyDescent="0.2">
      <c r="B135" s="2">
        <v>112</v>
      </c>
      <c r="C135">
        <f>'Refrig Mass Flow &amp; Cond kW'!G126*$C$6*(($C$19-$C$18)/1000)</f>
        <v>0</v>
      </c>
      <c r="D135">
        <f>'Refrig Mass Flow &amp; Cond kW'!G126*Spring_autumn!$C$6*((Spring_autumn!$C$17-Spring_autumn!$C$16)/1000)</f>
        <v>0</v>
      </c>
      <c r="E135">
        <f>'Refrig Mass Flow &amp; Cond kW'!D126*(($C$13-$C$14)-$C$6*($C$17-$C$18)/1000)-'Refrig Mass Flow &amp; Cond kW'!C126*(1-$C$6/($C$10+273))</f>
        <v>-0.19535775184389692</v>
      </c>
      <c r="F135" s="13"/>
      <c r="G135" s="13">
        <f>'Refrig Mass Flow &amp; Cond kW'!F126*$C$6*($G$19-$G$18)/1000</f>
        <v>0</v>
      </c>
      <c r="H135">
        <f>'Refrig Mass Flow &amp; Cond kW'!F126*$C$6*($G$17-$G$16)/1000</f>
        <v>0</v>
      </c>
      <c r="I135">
        <f>'Refrig Mass Flow &amp; Cond kW'!F126*(($G$13-$G$14)-$C$6*($G$17-$G$18)/1000)-'Refrig Mass Flow &amp; Cond kW'!E126*(1-$C$6/($G$10+273))</f>
        <v>0</v>
      </c>
    </row>
    <row r="136" spans="2:9" x14ac:dyDescent="0.2">
      <c r="B136" s="2">
        <v>113</v>
      </c>
      <c r="C136">
        <f>'Refrig Mass Flow &amp; Cond kW'!G127*$C$6*(($C$19-$C$18)/1000)</f>
        <v>0</v>
      </c>
      <c r="D136">
        <f>'Refrig Mass Flow &amp; Cond kW'!G127*Spring_autumn!$C$6*((Spring_autumn!$C$17-Spring_autumn!$C$16)/1000)</f>
        <v>0</v>
      </c>
      <c r="E136">
        <f>'Refrig Mass Flow &amp; Cond kW'!D127*(($C$13-$C$14)-$C$6*($C$17-$C$18)/1000)-'Refrig Mass Flow &amp; Cond kW'!C127*(1-$C$6/($C$10+273))</f>
        <v>-0.20047178391565623</v>
      </c>
      <c r="F136" s="13"/>
      <c r="G136" s="13">
        <f>'Refrig Mass Flow &amp; Cond kW'!F127*$C$6*($G$19-$G$18)/1000</f>
        <v>0</v>
      </c>
      <c r="H136">
        <f>'Refrig Mass Flow &amp; Cond kW'!F127*$C$6*($G$17-$G$16)/1000</f>
        <v>0</v>
      </c>
      <c r="I136">
        <f>'Refrig Mass Flow &amp; Cond kW'!F127*(($G$13-$G$14)-$C$6*($G$17-$G$18)/1000)-'Refrig Mass Flow &amp; Cond kW'!E127*(1-$C$6/($G$10+273))</f>
        <v>0</v>
      </c>
    </row>
    <row r="137" spans="2:9" x14ac:dyDescent="0.2">
      <c r="B137" s="2">
        <v>114</v>
      </c>
      <c r="C137">
        <f>'Refrig Mass Flow &amp; Cond kW'!G128*$C$6*(($C$19-$C$18)/1000)</f>
        <v>0</v>
      </c>
      <c r="D137">
        <f>'Refrig Mass Flow &amp; Cond kW'!G128*Spring_autumn!$C$6*((Spring_autumn!$C$17-Spring_autumn!$C$16)/1000)</f>
        <v>0</v>
      </c>
      <c r="E137">
        <f>'Refrig Mass Flow &amp; Cond kW'!D128*(($C$13-$C$14)-$C$6*($C$17-$C$18)/1000)-'Refrig Mass Flow &amp; Cond kW'!C128*(1-$C$6/($C$10+273))</f>
        <v>-0.20557913316043042</v>
      </c>
      <c r="F137" s="13"/>
      <c r="G137" s="13">
        <f>'Refrig Mass Flow &amp; Cond kW'!F128*$C$6*($G$19-$G$18)/1000</f>
        <v>0</v>
      </c>
      <c r="H137">
        <f>'Refrig Mass Flow &amp; Cond kW'!F128*$C$6*($G$17-$G$16)/1000</f>
        <v>0</v>
      </c>
      <c r="I137">
        <f>'Refrig Mass Flow &amp; Cond kW'!F128*(($G$13-$G$14)-$C$6*($G$17-$G$18)/1000)-'Refrig Mass Flow &amp; Cond kW'!E128*(1-$C$6/($G$10+273))</f>
        <v>0</v>
      </c>
    </row>
    <row r="138" spans="2:9" x14ac:dyDescent="0.2">
      <c r="B138" s="2">
        <v>115</v>
      </c>
      <c r="C138">
        <f>'Refrig Mass Flow &amp; Cond kW'!G129*$C$6*(($C$19-$C$18)/1000)</f>
        <v>0</v>
      </c>
      <c r="D138">
        <f>'Refrig Mass Flow &amp; Cond kW'!G129*Spring_autumn!$C$6*((Spring_autumn!$C$17-Spring_autumn!$C$16)/1000)</f>
        <v>0</v>
      </c>
      <c r="E138">
        <f>'Refrig Mass Flow &amp; Cond kW'!D129*(($C$13-$C$14)-$C$6*($C$17-$C$18)/1000)-'Refrig Mass Flow &amp; Cond kW'!C129*(1-$C$6/($C$10+273))</f>
        <v>-0.21067998811613009</v>
      </c>
      <c r="F138" s="13"/>
      <c r="G138" s="13">
        <f>'Refrig Mass Flow &amp; Cond kW'!F129*$C$6*($G$19-$G$18)/1000</f>
        <v>0</v>
      </c>
      <c r="H138">
        <f>'Refrig Mass Flow &amp; Cond kW'!F129*$C$6*($G$17-$G$16)/1000</f>
        <v>0</v>
      </c>
      <c r="I138">
        <f>'Refrig Mass Flow &amp; Cond kW'!F129*(($G$13-$G$14)-$C$6*($G$17-$G$18)/1000)-'Refrig Mass Flow &amp; Cond kW'!E129*(1-$C$6/($G$10+273))</f>
        <v>0</v>
      </c>
    </row>
    <row r="139" spans="2:9" x14ac:dyDescent="0.2">
      <c r="B139" s="2">
        <v>116</v>
      </c>
      <c r="C139">
        <f>'Refrig Mass Flow &amp; Cond kW'!G130*$C$6*(($C$19-$C$18)/1000)</f>
        <v>0</v>
      </c>
      <c r="D139">
        <f>'Refrig Mass Flow &amp; Cond kW'!G130*Spring_autumn!$C$6*((Spring_autumn!$C$17-Spring_autumn!$C$16)/1000)</f>
        <v>0</v>
      </c>
      <c r="E139">
        <f>'Refrig Mass Flow &amp; Cond kW'!D130*(($C$13-$C$14)-$C$6*($C$17-$C$18)/1000)-'Refrig Mass Flow &amp; Cond kW'!C130*(1-$C$6/($C$10+273))</f>
        <v>-0.21577453632837162</v>
      </c>
      <c r="F139" s="13"/>
      <c r="G139" s="13">
        <f>'Refrig Mass Flow &amp; Cond kW'!F130*$C$6*($G$19-$G$18)/1000</f>
        <v>0</v>
      </c>
      <c r="H139">
        <f>'Refrig Mass Flow &amp; Cond kW'!F130*$C$6*($G$17-$G$16)/1000</f>
        <v>0</v>
      </c>
      <c r="I139">
        <f>'Refrig Mass Flow &amp; Cond kW'!F130*(($G$13-$G$14)-$C$6*($G$17-$G$18)/1000)-'Refrig Mass Flow &amp; Cond kW'!E130*(1-$C$6/($G$10+273))</f>
        <v>0</v>
      </c>
    </row>
    <row r="140" spans="2:9" x14ac:dyDescent="0.2">
      <c r="B140" s="2">
        <v>117</v>
      </c>
      <c r="C140">
        <f>'Refrig Mass Flow &amp; Cond kW'!G131*$C$6*(($C$19-$C$18)/1000)</f>
        <v>0</v>
      </c>
      <c r="D140">
        <f>'Refrig Mass Flow &amp; Cond kW'!G131*Spring_autumn!$C$6*((Spring_autumn!$C$17-Spring_autumn!$C$16)/1000)</f>
        <v>0</v>
      </c>
      <c r="E140">
        <f>'Refrig Mass Flow &amp; Cond kW'!D131*(($C$13-$C$14)-$C$6*($C$17-$C$18)/1000)-'Refrig Mass Flow &amp; Cond kW'!C131*(1-$C$6/($C$10+273))</f>
        <v>-0.22086280039257744</v>
      </c>
      <c r="F140" s="13"/>
      <c r="G140" s="13">
        <f>'Refrig Mass Flow &amp; Cond kW'!F131*$C$6*($G$19-$G$18)/1000</f>
        <v>0</v>
      </c>
      <c r="H140">
        <f>'Refrig Mass Flow &amp; Cond kW'!F131*$C$6*($G$17-$G$16)/1000</f>
        <v>0</v>
      </c>
      <c r="I140">
        <f>'Refrig Mass Flow &amp; Cond kW'!F131*(($G$13-$G$14)-$C$6*($G$17-$G$18)/1000)-'Refrig Mass Flow &amp; Cond kW'!E131*(1-$C$6/($G$10+273))</f>
        <v>0</v>
      </c>
    </row>
    <row r="141" spans="2:9" x14ac:dyDescent="0.2">
      <c r="B141" s="2">
        <v>118</v>
      </c>
      <c r="C141">
        <f>'Refrig Mass Flow &amp; Cond kW'!G132*$C$6*(($C$19-$C$18)/1000)</f>
        <v>0</v>
      </c>
      <c r="D141">
        <f>'Refrig Mass Flow &amp; Cond kW'!G132*Spring_autumn!$C$6*((Spring_autumn!$C$17-Spring_autumn!$C$16)/1000)</f>
        <v>0</v>
      </c>
      <c r="E141">
        <f>'Refrig Mass Flow &amp; Cond kW'!D132*(($C$13-$C$14)-$C$6*($C$17-$C$18)/1000)-'Refrig Mass Flow &amp; Cond kW'!C132*(1-$C$6/($C$10+273))</f>
        <v>-0.22597349650161291</v>
      </c>
      <c r="F141" s="13"/>
      <c r="G141" s="13">
        <f>'Refrig Mass Flow &amp; Cond kW'!F132*$C$6*($G$19-$G$18)/1000</f>
        <v>0</v>
      </c>
      <c r="H141">
        <f>'Refrig Mass Flow &amp; Cond kW'!F132*$C$6*($G$17-$G$16)/1000</f>
        <v>0</v>
      </c>
      <c r="I141">
        <f>'Refrig Mass Flow &amp; Cond kW'!F132*(($G$13-$G$14)-$C$6*($G$17-$G$18)/1000)-'Refrig Mass Flow &amp; Cond kW'!E132*(1-$C$6/($G$10+273))</f>
        <v>0</v>
      </c>
    </row>
    <row r="142" spans="2:9" x14ac:dyDescent="0.2">
      <c r="B142" s="2">
        <v>119</v>
      </c>
      <c r="C142">
        <f>'Refrig Mass Flow &amp; Cond kW'!G133*$C$6*(($C$19-$C$18)/1000)</f>
        <v>0</v>
      </c>
      <c r="D142">
        <f>'Refrig Mass Flow &amp; Cond kW'!G133*Spring_autumn!$C$6*((Spring_autumn!$C$17-Spring_autumn!$C$16)/1000)</f>
        <v>0</v>
      </c>
      <c r="E142">
        <f>'Refrig Mass Flow &amp; Cond kW'!D133*(($C$13-$C$14)-$C$6*($C$17-$C$18)/1000)-'Refrig Mass Flow &amp; Cond kW'!C133*(1-$C$6/($C$10+273))</f>
        <v>-0.22486505688165792</v>
      </c>
      <c r="F142" s="13"/>
      <c r="G142" s="13">
        <f>'Refrig Mass Flow &amp; Cond kW'!F133*$C$6*($G$19-$G$18)/1000</f>
        <v>0</v>
      </c>
      <c r="H142">
        <f>'Refrig Mass Flow &amp; Cond kW'!F133*$C$6*($G$17-$G$16)/1000</f>
        <v>0</v>
      </c>
      <c r="I142">
        <f>'Refrig Mass Flow &amp; Cond kW'!F133*(($G$13-$G$14)-$C$6*($G$17-$G$18)/1000)-'Refrig Mass Flow &amp; Cond kW'!E133*(1-$C$6/($G$10+273))</f>
        <v>0</v>
      </c>
    </row>
    <row r="143" spans="2:9" x14ac:dyDescent="0.2">
      <c r="B143" s="2">
        <v>120</v>
      </c>
      <c r="C143">
        <f>'Refrig Mass Flow &amp; Cond kW'!G134*$C$6*(($C$19-$C$18)/1000)</f>
        <v>0</v>
      </c>
      <c r="D143">
        <f>'Refrig Mass Flow &amp; Cond kW'!G134*Spring_autumn!$C$6*((Spring_autumn!$C$17-Spring_autumn!$C$16)/1000)</f>
        <v>0</v>
      </c>
      <c r="E143">
        <f>'Refrig Mass Flow &amp; Cond kW'!D134*(($C$13-$C$14)-$C$6*($C$17-$C$18)/1000)-'Refrig Mass Flow &amp; Cond kW'!C134*(1-$C$6/($C$10+273))</f>
        <v>-0.21953297490897583</v>
      </c>
      <c r="F143" s="13"/>
      <c r="G143" s="13">
        <f>'Refrig Mass Flow &amp; Cond kW'!F134*$C$6*($G$19-$G$18)/1000</f>
        <v>0</v>
      </c>
      <c r="H143">
        <f>'Refrig Mass Flow &amp; Cond kW'!F134*$C$6*($G$17-$G$16)/1000</f>
        <v>0</v>
      </c>
      <c r="I143">
        <f>'Refrig Mass Flow &amp; Cond kW'!F134*(($G$13-$G$14)-$C$6*($G$17-$G$18)/1000)-'Refrig Mass Flow &amp; Cond kW'!E134*(1-$C$6/($G$10+273))</f>
        <v>0</v>
      </c>
    </row>
    <row r="144" spans="2:9" x14ac:dyDescent="0.2">
      <c r="B144" s="2">
        <v>121</v>
      </c>
      <c r="C144">
        <f>'Refrig Mass Flow &amp; Cond kW'!G135*$C$6*(($C$19-$C$18)/1000)</f>
        <v>0</v>
      </c>
      <c r="D144">
        <f>'Refrig Mass Flow &amp; Cond kW'!G135*Spring_autumn!$C$6*((Spring_autumn!$C$17-Spring_autumn!$C$16)/1000)</f>
        <v>0</v>
      </c>
      <c r="E144">
        <f>'Refrig Mass Flow &amp; Cond kW'!D135*(($C$13-$C$14)-$C$6*($C$17-$C$18)/1000)-'Refrig Mass Flow &amp; Cond kW'!C135*(1-$C$6/($C$10+273))</f>
        <v>-0.21504727161223514</v>
      </c>
      <c r="F144" s="13"/>
      <c r="G144" s="13">
        <f>'Refrig Mass Flow &amp; Cond kW'!F135*$C$6*($G$19-$G$18)/1000</f>
        <v>0</v>
      </c>
      <c r="H144">
        <f>'Refrig Mass Flow &amp; Cond kW'!F135*$C$6*($G$17-$G$16)/1000</f>
        <v>0</v>
      </c>
      <c r="I144">
        <f>'Refrig Mass Flow &amp; Cond kW'!F135*(($G$13-$G$14)-$C$6*($G$17-$G$18)/1000)-'Refrig Mass Flow &amp; Cond kW'!E135*(1-$C$6/($G$10+273))</f>
        <v>0</v>
      </c>
    </row>
    <row r="145" spans="2:9" x14ac:dyDescent="0.2">
      <c r="B145" s="2">
        <v>122</v>
      </c>
      <c r="C145">
        <f>'Refrig Mass Flow &amp; Cond kW'!G136*$C$6*(($C$19-$C$18)/1000)</f>
        <v>0</v>
      </c>
      <c r="D145">
        <f>'Refrig Mass Flow &amp; Cond kW'!G136*Spring_autumn!$C$6*((Spring_autumn!$C$17-Spring_autumn!$C$16)/1000)</f>
        <v>0</v>
      </c>
      <c r="E145">
        <f>'Refrig Mass Flow &amp; Cond kW'!D136*(($C$13-$C$14)-$C$6*($C$17-$C$18)/1000)-'Refrig Mass Flow &amp; Cond kW'!C136*(1-$C$6/($C$10+273))</f>
        <v>-0.21098283235792081</v>
      </c>
      <c r="F145" s="13"/>
      <c r="G145" s="13">
        <f>'Refrig Mass Flow &amp; Cond kW'!F136*$C$6*($G$19-$G$18)/1000</f>
        <v>0</v>
      </c>
      <c r="H145">
        <f>'Refrig Mass Flow &amp; Cond kW'!F136*$C$6*($G$17-$G$16)/1000</f>
        <v>0</v>
      </c>
      <c r="I145">
        <f>'Refrig Mass Flow &amp; Cond kW'!F136*(($G$13-$G$14)-$C$6*($G$17-$G$18)/1000)-'Refrig Mass Flow &amp; Cond kW'!E136*(1-$C$6/($G$10+273))</f>
        <v>0</v>
      </c>
    </row>
    <row r="146" spans="2:9" x14ac:dyDescent="0.2">
      <c r="B146" s="2">
        <v>123</v>
      </c>
      <c r="C146">
        <f>'Refrig Mass Flow &amp; Cond kW'!G137*$C$6*(($C$19-$C$18)/1000)</f>
        <v>0</v>
      </c>
      <c r="D146">
        <f>'Refrig Mass Flow &amp; Cond kW'!G137*Spring_autumn!$C$6*((Spring_autumn!$C$17-Spring_autumn!$C$16)/1000)</f>
        <v>0</v>
      </c>
      <c r="E146">
        <f>'Refrig Mass Flow &amp; Cond kW'!D137*(($C$13-$C$14)-$C$6*($C$17-$C$18)/1000)-'Refrig Mass Flow &amp; Cond kW'!C137*(1-$C$6/($C$10+273))</f>
        <v>-0.20675225936103914</v>
      </c>
      <c r="F146" s="13"/>
      <c r="G146" s="13">
        <f>'Refrig Mass Flow &amp; Cond kW'!F137*$C$6*($G$19-$G$18)/1000</f>
        <v>0</v>
      </c>
      <c r="H146">
        <f>'Refrig Mass Flow &amp; Cond kW'!F137*$C$6*($G$17-$G$16)/1000</f>
        <v>0</v>
      </c>
      <c r="I146">
        <f>'Refrig Mass Flow &amp; Cond kW'!F137*(($G$13-$G$14)-$C$6*($G$17-$G$18)/1000)-'Refrig Mass Flow &amp; Cond kW'!E137*(1-$C$6/($G$10+273))</f>
        <v>0</v>
      </c>
    </row>
    <row r="147" spans="2:9" x14ac:dyDescent="0.2">
      <c r="B147" s="2">
        <v>124</v>
      </c>
      <c r="C147">
        <f>'Refrig Mass Flow &amp; Cond kW'!G138*$C$6*(($C$19-$C$18)/1000)</f>
        <v>0</v>
      </c>
      <c r="D147">
        <f>'Refrig Mass Flow &amp; Cond kW'!G138*Spring_autumn!$C$6*((Spring_autumn!$C$17-Spring_autumn!$C$16)/1000)</f>
        <v>0</v>
      </c>
      <c r="E147">
        <f>'Refrig Mass Flow &amp; Cond kW'!D138*(($C$13-$C$14)-$C$6*($C$17-$C$18)/1000)-'Refrig Mass Flow &amp; Cond kW'!C138*(1-$C$6/($C$10+273))</f>
        <v>-0.20219343385457833</v>
      </c>
      <c r="F147" s="13"/>
      <c r="G147" s="13">
        <f>'Refrig Mass Flow &amp; Cond kW'!F138*$C$6*($G$19-$G$18)/1000</f>
        <v>0</v>
      </c>
      <c r="H147">
        <f>'Refrig Mass Flow &amp; Cond kW'!F138*$C$6*($G$17-$G$16)/1000</f>
        <v>0</v>
      </c>
      <c r="I147">
        <f>'Refrig Mass Flow &amp; Cond kW'!F138*(($G$13-$G$14)-$C$6*($G$17-$G$18)/1000)-'Refrig Mass Flow &amp; Cond kW'!E138*(1-$C$6/($G$10+273))</f>
        <v>0</v>
      </c>
    </row>
    <row r="148" spans="2:9" x14ac:dyDescent="0.2">
      <c r="B148" s="2">
        <v>125</v>
      </c>
      <c r="C148">
        <f>'Refrig Mass Flow &amp; Cond kW'!G139*$C$6*(($C$19-$C$18)/1000)</f>
        <v>0</v>
      </c>
      <c r="D148">
        <f>'Refrig Mass Flow &amp; Cond kW'!G139*Spring_autumn!$C$6*((Spring_autumn!$C$17-Spring_autumn!$C$16)/1000)</f>
        <v>0</v>
      </c>
      <c r="E148">
        <f>'Refrig Mass Flow &amp; Cond kW'!D139*(($C$13-$C$14)-$C$6*($C$17-$C$18)/1000)-'Refrig Mass Flow &amp; Cond kW'!C139*(1-$C$6/($C$10+273))</f>
        <v>-0.19730627924082711</v>
      </c>
      <c r="F148" s="13"/>
      <c r="G148" s="13">
        <f>'Refrig Mass Flow &amp; Cond kW'!F139*$C$6*($G$19-$G$18)/1000</f>
        <v>0</v>
      </c>
      <c r="H148">
        <f>'Refrig Mass Flow &amp; Cond kW'!F139*$C$6*($G$17-$G$16)/1000</f>
        <v>0</v>
      </c>
      <c r="I148">
        <f>'Refrig Mass Flow &amp; Cond kW'!F139*(($G$13-$G$14)-$C$6*($G$17-$G$18)/1000)-'Refrig Mass Flow &amp; Cond kW'!E139*(1-$C$6/($G$10+273))</f>
        <v>0</v>
      </c>
    </row>
    <row r="149" spans="2:9" x14ac:dyDescent="0.2">
      <c r="B149" s="2">
        <v>126</v>
      </c>
      <c r="C149">
        <f>'Refrig Mass Flow &amp; Cond kW'!G140*$C$6*(($C$19-$C$18)/1000)</f>
        <v>0</v>
      </c>
      <c r="D149">
        <f>'Refrig Mass Flow &amp; Cond kW'!G140*Spring_autumn!$C$6*((Spring_autumn!$C$17-Spring_autumn!$C$16)/1000)</f>
        <v>0</v>
      </c>
      <c r="E149">
        <f>'Refrig Mass Flow &amp; Cond kW'!D140*(($C$13-$C$14)-$C$6*($C$17-$C$18)/1000)-'Refrig Mass Flow &amp; Cond kW'!C140*(1-$C$6/($C$10+273))</f>
        <v>-0.19209072117908477</v>
      </c>
      <c r="F149" s="13"/>
      <c r="G149" s="13">
        <f>'Refrig Mass Flow &amp; Cond kW'!F140*$C$6*($G$19-$G$18)/1000</f>
        <v>0</v>
      </c>
      <c r="H149">
        <f>'Refrig Mass Flow &amp; Cond kW'!F140*$C$6*($G$17-$G$16)/1000</f>
        <v>0</v>
      </c>
      <c r="I149">
        <f>'Refrig Mass Flow &amp; Cond kW'!F140*(($G$13-$G$14)-$C$6*($G$17-$G$18)/1000)-'Refrig Mass Flow &amp; Cond kW'!E140*(1-$C$6/($G$10+273))</f>
        <v>0</v>
      </c>
    </row>
    <row r="150" spans="2:9" x14ac:dyDescent="0.2">
      <c r="B150" s="2">
        <v>127</v>
      </c>
      <c r="C150">
        <f>'Refrig Mass Flow &amp; Cond kW'!G141*$C$6*(($C$19-$C$18)/1000)</f>
        <v>0</v>
      </c>
      <c r="D150">
        <f>'Refrig Mass Flow &amp; Cond kW'!G141*Spring_autumn!$C$6*((Spring_autumn!$C$17-Spring_autumn!$C$16)/1000)</f>
        <v>0</v>
      </c>
      <c r="E150">
        <f>'Refrig Mass Flow &amp; Cond kW'!D141*(($C$13-$C$14)-$C$6*($C$17-$C$18)/1000)-'Refrig Mass Flow &amp; Cond kW'!C141*(1-$C$6/($C$10+273))</f>
        <v>-0.19162619229775046</v>
      </c>
      <c r="F150" s="13"/>
      <c r="G150" s="13">
        <f>'Refrig Mass Flow &amp; Cond kW'!F141*$C$6*($G$19-$G$18)/1000</f>
        <v>0</v>
      </c>
      <c r="H150">
        <f>'Refrig Mass Flow &amp; Cond kW'!F141*$C$6*($G$17-$G$16)/1000</f>
        <v>0</v>
      </c>
      <c r="I150">
        <f>'Refrig Mass Flow &amp; Cond kW'!F141*(($G$13-$G$14)-$C$6*($G$17-$G$18)/1000)-'Refrig Mass Flow &amp; Cond kW'!E141*(1-$C$6/($G$10+273))</f>
        <v>0</v>
      </c>
    </row>
    <row r="151" spans="2:9" x14ac:dyDescent="0.2">
      <c r="B151" s="2">
        <v>128</v>
      </c>
      <c r="C151">
        <f>'Refrig Mass Flow &amp; Cond kW'!G142*$C$6*(($C$19-$C$18)/1000)</f>
        <v>0</v>
      </c>
      <c r="D151">
        <f>'Refrig Mass Flow &amp; Cond kW'!G142*Spring_autumn!$C$6*((Spring_autumn!$C$17-Spring_autumn!$C$16)/1000)</f>
        <v>0</v>
      </c>
      <c r="E151">
        <f>'Refrig Mass Flow &amp; Cond kW'!D142*(($C$13-$C$14)-$C$6*($C$17-$C$18)/1000)-'Refrig Mass Flow &amp; Cond kW'!C142*(1-$C$6/($C$10+273))</f>
        <v>-0.19767782089368069</v>
      </c>
      <c r="F151" s="13"/>
      <c r="G151" s="13">
        <f>'Refrig Mass Flow &amp; Cond kW'!F142*$C$6*($G$19-$G$18)/1000</f>
        <v>0</v>
      </c>
      <c r="H151">
        <f>'Refrig Mass Flow &amp; Cond kW'!F142*$C$6*($G$17-$G$16)/1000</f>
        <v>0</v>
      </c>
      <c r="I151">
        <f>'Refrig Mass Flow &amp; Cond kW'!F142*(($G$13-$G$14)-$C$6*($G$17-$G$18)/1000)-'Refrig Mass Flow &amp; Cond kW'!E142*(1-$C$6/($G$10+273))</f>
        <v>0</v>
      </c>
    </row>
    <row r="152" spans="2:9" x14ac:dyDescent="0.2">
      <c r="B152" s="2">
        <v>129</v>
      </c>
      <c r="C152">
        <f>'Refrig Mass Flow &amp; Cond kW'!G143*$C$6*(($C$19-$C$18)/1000)</f>
        <v>0</v>
      </c>
      <c r="D152">
        <f>'Refrig Mass Flow &amp; Cond kW'!G143*Spring_autumn!$C$6*((Spring_autumn!$C$17-Spring_autumn!$C$16)/1000)</f>
        <v>0</v>
      </c>
      <c r="E152">
        <f>'Refrig Mass Flow &amp; Cond kW'!D143*(($C$13-$C$14)-$C$6*($C$17-$C$18)/1000)-'Refrig Mass Flow &amp; Cond kW'!C143*(1-$C$6/($C$10+273))</f>
        <v>-0.19656858401755528</v>
      </c>
      <c r="F152" s="13"/>
      <c r="G152" s="13">
        <f>'Refrig Mass Flow &amp; Cond kW'!F143*$C$6*($G$19-$G$18)/1000</f>
        <v>0</v>
      </c>
      <c r="H152">
        <f>'Refrig Mass Flow &amp; Cond kW'!F143*$C$6*($G$17-$G$16)/1000</f>
        <v>0</v>
      </c>
      <c r="I152">
        <f>'Refrig Mass Flow &amp; Cond kW'!F143*(($G$13-$G$14)-$C$6*($G$17-$G$18)/1000)-'Refrig Mass Flow &amp; Cond kW'!E143*(1-$C$6/($G$10+273))</f>
        <v>0</v>
      </c>
    </row>
    <row r="153" spans="2:9" x14ac:dyDescent="0.2">
      <c r="B153" s="2">
        <v>130</v>
      </c>
      <c r="C153">
        <f>'Refrig Mass Flow &amp; Cond kW'!G144*$C$6*(($C$19-$C$18)/1000)</f>
        <v>0</v>
      </c>
      <c r="D153">
        <f>'Refrig Mass Flow &amp; Cond kW'!G144*Spring_autumn!$C$6*((Spring_autumn!$C$17-Spring_autumn!$C$16)/1000)</f>
        <v>0</v>
      </c>
      <c r="E153">
        <f>'Refrig Mass Flow &amp; Cond kW'!D144*(($C$13-$C$14)-$C$6*($C$17-$C$18)/1000)-'Refrig Mass Flow &amp; Cond kW'!C144*(1-$C$6/($C$10+273))</f>
        <v>-0.19004625148125598</v>
      </c>
      <c r="F153" s="13"/>
      <c r="G153" s="13">
        <f>'Refrig Mass Flow &amp; Cond kW'!F144*$C$6*($G$19-$G$18)/1000</f>
        <v>0</v>
      </c>
      <c r="H153">
        <f>'Refrig Mass Flow &amp; Cond kW'!F144*$C$6*($G$17-$G$16)/1000</f>
        <v>0</v>
      </c>
      <c r="I153">
        <f>'Refrig Mass Flow &amp; Cond kW'!F144*(($G$13-$G$14)-$C$6*($G$17-$G$18)/1000)-'Refrig Mass Flow &amp; Cond kW'!E144*(1-$C$6/($G$10+273))</f>
        <v>0</v>
      </c>
    </row>
    <row r="154" spans="2:9" x14ac:dyDescent="0.2">
      <c r="B154" s="2">
        <v>131</v>
      </c>
      <c r="C154">
        <f>'Refrig Mass Flow &amp; Cond kW'!G145*$C$6*(($C$19-$C$18)/1000)</f>
        <v>0</v>
      </c>
      <c r="D154">
        <f>'Refrig Mass Flow &amp; Cond kW'!G145*Spring_autumn!$C$6*((Spring_autumn!$C$17-Spring_autumn!$C$16)/1000)</f>
        <v>0</v>
      </c>
      <c r="E154">
        <f>'Refrig Mass Flow &amp; Cond kW'!D145*(($C$13-$C$14)-$C$6*($C$17-$C$18)/1000)-'Refrig Mass Flow &amp; Cond kW'!C145*(1-$C$6/($C$10+273))</f>
        <v>-0.18329765431785816</v>
      </c>
      <c r="F154" s="13"/>
      <c r="G154" s="13">
        <f>'Refrig Mass Flow &amp; Cond kW'!F145*$C$6*($G$19-$G$18)/1000</f>
        <v>0</v>
      </c>
      <c r="H154">
        <f>'Refrig Mass Flow &amp; Cond kW'!F145*$C$6*($G$17-$G$16)/1000</f>
        <v>0</v>
      </c>
      <c r="I154">
        <f>'Refrig Mass Flow &amp; Cond kW'!F145*(($G$13-$G$14)-$C$6*($G$17-$G$18)/1000)-'Refrig Mass Flow &amp; Cond kW'!E145*(1-$C$6/($G$10+273))</f>
        <v>0</v>
      </c>
    </row>
    <row r="155" spans="2:9" x14ac:dyDescent="0.2">
      <c r="B155" s="2">
        <v>132</v>
      </c>
      <c r="C155">
        <f>'Refrig Mass Flow &amp; Cond kW'!G146*$C$6*(($C$19-$C$18)/1000)</f>
        <v>0</v>
      </c>
      <c r="D155">
        <f>'Refrig Mass Flow &amp; Cond kW'!G146*Spring_autumn!$C$6*((Spring_autumn!$C$17-Spring_autumn!$C$16)/1000)</f>
        <v>0</v>
      </c>
      <c r="E155">
        <f>'Refrig Mass Flow &amp; Cond kW'!D146*(($C$13-$C$14)-$C$6*($C$17-$C$18)/1000)-'Refrig Mass Flow &amp; Cond kW'!C146*(1-$C$6/($C$10+273))</f>
        <v>-0.49594890241323242</v>
      </c>
      <c r="F155" s="13"/>
      <c r="G155" s="13">
        <f>'Refrig Mass Flow &amp; Cond kW'!F146*$C$6*($G$19-$G$18)/1000</f>
        <v>0</v>
      </c>
      <c r="H155">
        <f>'Refrig Mass Flow &amp; Cond kW'!F146*$C$6*($G$17-$G$16)/1000</f>
        <v>0</v>
      </c>
      <c r="I155">
        <f>'Refrig Mass Flow &amp; Cond kW'!F146*(($G$13-$G$14)-$C$6*($G$17-$G$18)/1000)-'Refrig Mass Flow &amp; Cond kW'!E146*(1-$C$6/($G$10+273))</f>
        <v>0</v>
      </c>
    </row>
    <row r="156" spans="2:9" x14ac:dyDescent="0.2">
      <c r="B156" s="2">
        <v>133</v>
      </c>
      <c r="C156">
        <f>'Refrig Mass Flow &amp; Cond kW'!G147*$C$6*(($C$19-$C$18)/1000)</f>
        <v>0</v>
      </c>
      <c r="D156">
        <f>'Refrig Mass Flow &amp; Cond kW'!G147*Spring_autumn!$C$6*((Spring_autumn!$C$17-Spring_autumn!$C$16)/1000)</f>
        <v>0</v>
      </c>
      <c r="E156">
        <f>'Refrig Mass Flow &amp; Cond kW'!D147*(($C$13-$C$14)-$C$6*($C$17-$C$18)/1000)-'Refrig Mass Flow &amp; Cond kW'!C147*(1-$C$6/($C$10+273))</f>
        <v>-0.48932934905154468</v>
      </c>
      <c r="F156" s="13"/>
      <c r="G156" s="13">
        <f>'Refrig Mass Flow &amp; Cond kW'!F147*$C$6*($G$19-$G$18)/1000</f>
        <v>0</v>
      </c>
      <c r="H156">
        <f>'Refrig Mass Flow &amp; Cond kW'!F147*$C$6*($G$17-$G$16)/1000</f>
        <v>0</v>
      </c>
      <c r="I156">
        <f>'Refrig Mass Flow &amp; Cond kW'!F147*(($G$13-$G$14)-$C$6*($G$17-$G$18)/1000)-'Refrig Mass Flow &amp; Cond kW'!E147*(1-$C$6/($G$10+273))</f>
        <v>0</v>
      </c>
    </row>
    <row r="157" spans="2:9" x14ac:dyDescent="0.2">
      <c r="B157" s="2">
        <v>134</v>
      </c>
      <c r="C157">
        <f>'Refrig Mass Flow &amp; Cond kW'!G148*$C$6*(($C$19-$C$18)/1000)</f>
        <v>0</v>
      </c>
      <c r="D157">
        <f>'Refrig Mass Flow &amp; Cond kW'!G148*Spring_autumn!$C$6*((Spring_autumn!$C$17-Spring_autumn!$C$16)/1000)</f>
        <v>0</v>
      </c>
      <c r="E157">
        <f>'Refrig Mass Flow &amp; Cond kW'!D148*(($C$13-$C$14)-$C$6*($C$17-$C$18)/1000)-'Refrig Mass Flow &amp; Cond kW'!C148*(1-$C$6/($C$10+273))</f>
        <v>-0.48272156354684626</v>
      </c>
      <c r="F157" s="13"/>
      <c r="G157" s="13">
        <f>'Refrig Mass Flow &amp; Cond kW'!F148*$C$6*($G$19-$G$18)/1000</f>
        <v>0</v>
      </c>
      <c r="H157">
        <f>'Refrig Mass Flow &amp; Cond kW'!F148*$C$6*($G$17-$G$16)/1000</f>
        <v>0</v>
      </c>
      <c r="I157">
        <f>'Refrig Mass Flow &amp; Cond kW'!F148*(($G$13-$G$14)-$C$6*($G$17-$G$18)/1000)-'Refrig Mass Flow &amp; Cond kW'!E148*(1-$C$6/($G$10+273))</f>
        <v>0</v>
      </c>
    </row>
    <row r="158" spans="2:9" x14ac:dyDescent="0.2">
      <c r="B158" s="2">
        <v>135</v>
      </c>
      <c r="C158">
        <f>'Refrig Mass Flow &amp; Cond kW'!G149*$C$6*(($C$19-$C$18)/1000)</f>
        <v>0</v>
      </c>
      <c r="D158">
        <f>'Refrig Mass Flow &amp; Cond kW'!G149*Spring_autumn!$C$6*((Spring_autumn!$C$17-Spring_autumn!$C$16)/1000)</f>
        <v>0</v>
      </c>
      <c r="E158">
        <f>'Refrig Mass Flow &amp; Cond kW'!D149*(($C$13-$C$14)-$C$6*($C$17-$C$18)/1000)-'Refrig Mass Flow &amp; Cond kW'!C149*(1-$C$6/($C$10+273))</f>
        <v>-0.47612553370957045</v>
      </c>
      <c r="F158" s="13"/>
      <c r="G158" s="13">
        <f>'Refrig Mass Flow &amp; Cond kW'!F149*$C$6*($G$19-$G$18)/1000</f>
        <v>0</v>
      </c>
      <c r="H158">
        <f>'Refrig Mass Flow &amp; Cond kW'!F149*$C$6*($G$17-$G$16)/1000</f>
        <v>0</v>
      </c>
      <c r="I158">
        <f>'Refrig Mass Flow &amp; Cond kW'!F149*(($G$13-$G$14)-$C$6*($G$17-$G$18)/1000)-'Refrig Mass Flow &amp; Cond kW'!E149*(1-$C$6/($G$10+273))</f>
        <v>0</v>
      </c>
    </row>
    <row r="159" spans="2:9" x14ac:dyDescent="0.2">
      <c r="B159" s="2">
        <v>136</v>
      </c>
      <c r="C159">
        <f>'Refrig Mass Flow &amp; Cond kW'!G150*$C$6*(($C$19-$C$18)/1000)</f>
        <v>0</v>
      </c>
      <c r="D159">
        <f>'Refrig Mass Flow &amp; Cond kW'!G150*Spring_autumn!$C$6*((Spring_autumn!$C$17-Spring_autumn!$C$16)/1000)</f>
        <v>0</v>
      </c>
      <c r="E159">
        <f>'Refrig Mass Flow &amp; Cond kW'!D150*(($C$13-$C$14)-$C$6*($C$17-$C$18)/1000)-'Refrig Mass Flow &amp; Cond kW'!C150*(1-$C$6/($C$10+273))</f>
        <v>0</v>
      </c>
      <c r="F159" s="13"/>
      <c r="G159" s="13">
        <f>'Refrig Mass Flow &amp; Cond kW'!F150*$C$6*($G$19-$G$18)/1000</f>
        <v>0</v>
      </c>
      <c r="H159">
        <f>'Refrig Mass Flow &amp; Cond kW'!F150*$C$6*($G$17-$G$16)/1000</f>
        <v>0</v>
      </c>
      <c r="I159">
        <f>'Refrig Mass Flow &amp; Cond kW'!F150*(($G$13-$G$14)-$C$6*($G$17-$G$18)/1000)-'Refrig Mass Flow &amp; Cond kW'!E150*(1-$C$6/($G$10+273))</f>
        <v>0</v>
      </c>
    </row>
    <row r="160" spans="2:9" x14ac:dyDescent="0.2">
      <c r="B160" s="2">
        <v>137</v>
      </c>
      <c r="C160">
        <f>'Refrig Mass Flow &amp; Cond kW'!G151*$C$6*(($C$19-$C$18)/1000)</f>
        <v>0</v>
      </c>
      <c r="D160">
        <f>'Refrig Mass Flow &amp; Cond kW'!G151*Spring_autumn!$C$6*((Spring_autumn!$C$17-Spring_autumn!$C$16)/1000)</f>
        <v>0</v>
      </c>
      <c r="E160">
        <f>'Refrig Mass Flow &amp; Cond kW'!D151*(($C$13-$C$14)-$C$6*($C$17-$C$18)/1000)-'Refrig Mass Flow &amp; Cond kW'!C151*(1-$C$6/($C$10+273))</f>
        <v>0</v>
      </c>
      <c r="F160" s="13"/>
      <c r="G160" s="13">
        <f>'Refrig Mass Flow &amp; Cond kW'!F151*$C$6*($G$19-$G$18)/1000</f>
        <v>0</v>
      </c>
      <c r="H160">
        <f>'Refrig Mass Flow &amp; Cond kW'!F151*$C$6*($G$17-$G$16)/1000</f>
        <v>0</v>
      </c>
      <c r="I160">
        <f>'Refrig Mass Flow &amp; Cond kW'!F151*(($G$13-$G$14)-$C$6*($G$17-$G$18)/1000)-'Refrig Mass Flow &amp; Cond kW'!E151*(1-$C$6/($G$10+273))</f>
        <v>0</v>
      </c>
    </row>
    <row r="161" spans="2:9" x14ac:dyDescent="0.2">
      <c r="B161" s="2">
        <v>138</v>
      </c>
      <c r="C161">
        <f>'Refrig Mass Flow &amp; Cond kW'!G152*$C$6*(($C$19-$C$18)/1000)</f>
        <v>0</v>
      </c>
      <c r="D161">
        <f>'Refrig Mass Flow &amp; Cond kW'!G152*Spring_autumn!$C$6*((Spring_autumn!$C$17-Spring_autumn!$C$16)/1000)</f>
        <v>0</v>
      </c>
      <c r="E161">
        <f>'Refrig Mass Flow &amp; Cond kW'!D152*(($C$13-$C$14)-$C$6*($C$17-$C$18)/1000)-'Refrig Mass Flow &amp; Cond kW'!C152*(1-$C$6/($C$10+273))</f>
        <v>0</v>
      </c>
      <c r="F161" s="13"/>
      <c r="G161" s="13">
        <f>'Refrig Mass Flow &amp; Cond kW'!F152*$C$6*($G$19-$G$18)/1000</f>
        <v>0</v>
      </c>
      <c r="H161">
        <f>'Refrig Mass Flow &amp; Cond kW'!F152*$C$6*($G$17-$G$16)/1000</f>
        <v>0</v>
      </c>
      <c r="I161">
        <f>'Refrig Mass Flow &amp; Cond kW'!F152*(($G$13-$G$14)-$C$6*($G$17-$G$18)/1000)-'Refrig Mass Flow &amp; Cond kW'!E152*(1-$C$6/($G$10+273))</f>
        <v>0</v>
      </c>
    </row>
    <row r="162" spans="2:9" x14ac:dyDescent="0.2">
      <c r="B162" s="2">
        <v>139</v>
      </c>
      <c r="C162">
        <f>'Refrig Mass Flow &amp; Cond kW'!G153*$C$6*(($C$19-$C$18)/1000)</f>
        <v>0</v>
      </c>
      <c r="D162">
        <f>'Refrig Mass Flow &amp; Cond kW'!G153*Spring_autumn!$C$6*((Spring_autumn!$C$17-Spring_autumn!$C$16)/1000)</f>
        <v>0</v>
      </c>
      <c r="E162">
        <f>'Refrig Mass Flow &amp; Cond kW'!D153*(($C$13-$C$14)-$C$6*($C$17-$C$18)/1000)-'Refrig Mass Flow &amp; Cond kW'!C153*(1-$C$6/($C$10+273))</f>
        <v>0</v>
      </c>
      <c r="F162" s="13"/>
      <c r="G162" s="13">
        <f>'Refrig Mass Flow &amp; Cond kW'!F153*$C$6*($G$19-$G$18)/1000</f>
        <v>0</v>
      </c>
      <c r="H162">
        <f>'Refrig Mass Flow &amp; Cond kW'!F153*$C$6*($G$17-$G$16)/1000</f>
        <v>0</v>
      </c>
      <c r="I162">
        <f>'Refrig Mass Flow &amp; Cond kW'!F153*(($G$13-$G$14)-$C$6*($G$17-$G$18)/1000)-'Refrig Mass Flow &amp; Cond kW'!E153*(1-$C$6/($G$10+273))</f>
        <v>0</v>
      </c>
    </row>
    <row r="163" spans="2:9" x14ac:dyDescent="0.2">
      <c r="B163" s="2">
        <v>140</v>
      </c>
      <c r="C163">
        <f>'Refrig Mass Flow &amp; Cond kW'!G154*$C$6*(($C$19-$C$18)/1000)</f>
        <v>0</v>
      </c>
      <c r="D163">
        <f>'Refrig Mass Flow &amp; Cond kW'!G154*Spring_autumn!$C$6*((Spring_autumn!$C$17-Spring_autumn!$C$16)/1000)</f>
        <v>0</v>
      </c>
      <c r="E163">
        <f>'Refrig Mass Flow &amp; Cond kW'!D154*(($C$13-$C$14)-$C$6*($C$17-$C$18)/1000)-'Refrig Mass Flow &amp; Cond kW'!C154*(1-$C$6/($C$10+273))</f>
        <v>0</v>
      </c>
      <c r="F163" s="13"/>
      <c r="G163" s="13">
        <f>'Refrig Mass Flow &amp; Cond kW'!F154*$C$6*($G$19-$G$18)/1000</f>
        <v>0</v>
      </c>
      <c r="H163">
        <f>'Refrig Mass Flow &amp; Cond kW'!F154*$C$6*($G$17-$G$16)/1000</f>
        <v>0</v>
      </c>
      <c r="I163">
        <f>'Refrig Mass Flow &amp; Cond kW'!F154*(($G$13-$G$14)-$C$6*($G$17-$G$18)/1000)-'Refrig Mass Flow &amp; Cond kW'!E154*(1-$C$6/($G$10+273))</f>
        <v>0</v>
      </c>
    </row>
    <row r="164" spans="2:9" x14ac:dyDescent="0.2">
      <c r="B164" s="2">
        <v>141</v>
      </c>
      <c r="C164">
        <f>'Refrig Mass Flow &amp; Cond kW'!G155*$C$6*(($C$19-$C$18)/1000)</f>
        <v>0</v>
      </c>
      <c r="D164">
        <f>'Refrig Mass Flow &amp; Cond kW'!G155*Spring_autumn!$C$6*((Spring_autumn!$C$17-Spring_autumn!$C$16)/1000)</f>
        <v>0</v>
      </c>
      <c r="E164">
        <f>'Refrig Mass Flow &amp; Cond kW'!D155*(($C$13-$C$14)-$C$6*($C$17-$C$18)/1000)-'Refrig Mass Flow &amp; Cond kW'!C155*(1-$C$6/($C$10+273))</f>
        <v>0</v>
      </c>
      <c r="F164" s="13"/>
      <c r="G164" s="13">
        <f>'Refrig Mass Flow &amp; Cond kW'!F155*$C$6*($G$19-$G$18)/1000</f>
        <v>0</v>
      </c>
      <c r="H164">
        <f>'Refrig Mass Flow &amp; Cond kW'!F155*$C$6*($G$17-$G$16)/1000</f>
        <v>0</v>
      </c>
      <c r="I164">
        <f>'Refrig Mass Flow &amp; Cond kW'!F155*(($G$13-$G$14)-$C$6*($G$17-$G$18)/1000)-'Refrig Mass Flow &amp; Cond kW'!E155*(1-$C$6/($G$10+273))</f>
        <v>0</v>
      </c>
    </row>
    <row r="165" spans="2:9" x14ac:dyDescent="0.2">
      <c r="B165" s="2">
        <v>142</v>
      </c>
      <c r="C165">
        <f>'Refrig Mass Flow &amp; Cond kW'!G156*$C$6*(($C$19-$C$18)/1000)</f>
        <v>0</v>
      </c>
      <c r="D165">
        <f>'Refrig Mass Flow &amp; Cond kW'!G156*Spring_autumn!$C$6*((Spring_autumn!$C$17-Spring_autumn!$C$16)/1000)</f>
        <v>0</v>
      </c>
      <c r="E165">
        <f>'Refrig Mass Flow &amp; Cond kW'!D156*(($C$13-$C$14)-$C$6*($C$17-$C$18)/1000)-'Refrig Mass Flow &amp; Cond kW'!C156*(1-$C$6/($C$10+273))</f>
        <v>0</v>
      </c>
      <c r="F165" s="13"/>
      <c r="G165" s="13">
        <f>'Refrig Mass Flow &amp; Cond kW'!F156*$C$6*($G$19-$G$18)/1000</f>
        <v>0</v>
      </c>
      <c r="H165">
        <f>'Refrig Mass Flow &amp; Cond kW'!F156*$C$6*($G$17-$G$16)/1000</f>
        <v>0</v>
      </c>
      <c r="I165">
        <f>'Refrig Mass Flow &amp; Cond kW'!F156*(($G$13-$G$14)-$C$6*($G$17-$G$18)/1000)-'Refrig Mass Flow &amp; Cond kW'!E156*(1-$C$6/($G$10+273))</f>
        <v>0</v>
      </c>
    </row>
    <row r="166" spans="2:9" x14ac:dyDescent="0.2">
      <c r="B166" s="2">
        <v>143</v>
      </c>
      <c r="C166">
        <f>'Refrig Mass Flow &amp; Cond kW'!G157*$C$6*(($C$19-$C$18)/1000)</f>
        <v>0</v>
      </c>
      <c r="D166">
        <f>'Refrig Mass Flow &amp; Cond kW'!G157*Spring_autumn!$C$6*((Spring_autumn!$C$17-Spring_autumn!$C$16)/1000)</f>
        <v>0</v>
      </c>
      <c r="E166">
        <f>'Refrig Mass Flow &amp; Cond kW'!D157*(($C$13-$C$14)-$C$6*($C$17-$C$18)/1000)-'Refrig Mass Flow &amp; Cond kW'!C157*(1-$C$6/($C$10+273))</f>
        <v>0</v>
      </c>
      <c r="F166" s="13"/>
      <c r="G166" s="13">
        <f>'Refrig Mass Flow &amp; Cond kW'!F157*$C$6*($G$19-$G$18)/1000</f>
        <v>2.0300701907110013E-2</v>
      </c>
      <c r="H166">
        <f>'Refrig Mass Flow &amp; Cond kW'!F157*$C$6*($G$17-$G$16)/1000</f>
        <v>0.12658084718550502</v>
      </c>
      <c r="I166">
        <f>'Refrig Mass Flow &amp; Cond kW'!F157*(($G$13-$G$14)-$C$6*($G$17-$G$18)/1000)-'Refrig Mass Flow &amp; Cond kW'!E157*(1-$C$6/($G$10+273))</f>
        <v>5.6025956733835591E-2</v>
      </c>
    </row>
    <row r="167" spans="2:9" x14ac:dyDescent="0.2">
      <c r="B167" s="2">
        <v>144</v>
      </c>
      <c r="C167">
        <f>'Refrig Mass Flow &amp; Cond kW'!G158*$C$6*(($C$19-$C$18)/1000)</f>
        <v>0</v>
      </c>
      <c r="D167">
        <f>'Refrig Mass Flow &amp; Cond kW'!G158*Spring_autumn!$C$6*((Spring_autumn!$C$17-Spring_autumn!$C$16)/1000)</f>
        <v>0</v>
      </c>
      <c r="E167">
        <f>'Refrig Mass Flow &amp; Cond kW'!D158*(($C$13-$C$14)-$C$6*($C$17-$C$18)/1000)-'Refrig Mass Flow &amp; Cond kW'!C158*(1-$C$6/($C$10+273))</f>
        <v>0</v>
      </c>
      <c r="F167" s="13"/>
      <c r="G167" s="13">
        <f>'Refrig Mass Flow &amp; Cond kW'!F158*$C$6*($G$19-$G$18)/1000</f>
        <v>4.7963595557375643E-2</v>
      </c>
      <c r="H167">
        <f>'Refrig Mass Flow &amp; Cond kW'!F158*$C$6*($G$17-$G$16)/1000</f>
        <v>0.29906712524009632</v>
      </c>
      <c r="I167">
        <f>'Refrig Mass Flow &amp; Cond kW'!F158*(($G$13-$G$14)-$C$6*($G$17-$G$18)/1000)-'Refrig Mass Flow &amp; Cond kW'!E158*(1-$C$6/($G$10+273))</f>
        <v>0.13237011911177121</v>
      </c>
    </row>
    <row r="168" spans="2:9" x14ac:dyDescent="0.2">
      <c r="B168" s="2">
        <v>145</v>
      </c>
      <c r="C168">
        <f>'Refrig Mass Flow &amp; Cond kW'!G159*$C$6*(($C$19-$C$18)/1000)</f>
        <v>0</v>
      </c>
      <c r="D168">
        <f>'Refrig Mass Flow &amp; Cond kW'!G159*Spring_autumn!$C$6*((Spring_autumn!$C$17-Spring_autumn!$C$16)/1000)</f>
        <v>0</v>
      </c>
      <c r="E168">
        <f>'Refrig Mass Flow &amp; Cond kW'!D159*(($C$13-$C$14)-$C$6*($C$17-$C$18)/1000)-'Refrig Mass Flow &amp; Cond kW'!C159*(1-$C$6/($C$10+273))</f>
        <v>0</v>
      </c>
      <c r="F168" s="13"/>
      <c r="G168" s="13">
        <f>'Refrig Mass Flow &amp; Cond kW'!F159*$C$6*($G$19-$G$18)/1000</f>
        <v>7.5617701846062507E-2</v>
      </c>
      <c r="H168">
        <f>'Refrig Mass Flow &amp; Cond kW'!F159*$C$6*($G$17-$G$16)/1000</f>
        <v>0.47149861151072603</v>
      </c>
      <c r="I168">
        <f>'Refrig Mass Flow &amp; Cond kW'!F159*(($G$13-$G$14)-$C$6*($G$17-$G$18)/1000)-'Refrig Mass Flow &amp; Cond kW'!E159*(1-$C$6/($G$10+273))</f>
        <v>0.20869003009476206</v>
      </c>
    </row>
    <row r="169" spans="2:9" x14ac:dyDescent="0.2">
      <c r="B169" s="2">
        <v>146</v>
      </c>
      <c r="C169">
        <f>'Refrig Mass Flow &amp; Cond kW'!G160*$C$6*(($C$19-$C$18)/1000)</f>
        <v>0</v>
      </c>
      <c r="D169">
        <f>'Refrig Mass Flow &amp; Cond kW'!G160*Spring_autumn!$C$6*((Spring_autumn!$C$17-Spring_autumn!$C$16)/1000)</f>
        <v>0</v>
      </c>
      <c r="E169">
        <f>'Refrig Mass Flow &amp; Cond kW'!D160*(($C$13-$C$14)-$C$6*($C$17-$C$18)/1000)-'Refrig Mass Flow &amp; Cond kW'!C160*(1-$C$6/($C$10+273))</f>
        <v>0</v>
      </c>
      <c r="F169" s="13"/>
      <c r="G169" s="13">
        <f>'Refrig Mass Flow &amp; Cond kW'!F160*$C$6*($G$19-$G$18)/1000</f>
        <v>0.10326048761483793</v>
      </c>
      <c r="H169">
        <f>'Refrig Mass Flow &amp; Cond kW'!F160*$C$6*($G$17-$G$16)/1000</f>
        <v>0.64385951101014316</v>
      </c>
      <c r="I169">
        <f>'Refrig Mass Flow &amp; Cond kW'!F160*(($G$13-$G$14)-$C$6*($G$17-$G$18)/1000)-'Refrig Mass Flow &amp; Cond kW'!E160*(1-$C$6/($G$10+273))</f>
        <v>0.28497869866250625</v>
      </c>
    </row>
    <row r="170" spans="2:9" x14ac:dyDescent="0.2">
      <c r="B170" s="2">
        <v>147</v>
      </c>
      <c r="C170">
        <f>'Refrig Mass Flow &amp; Cond kW'!G161*$C$6*(($C$19-$C$18)/1000)</f>
        <v>0</v>
      </c>
      <c r="D170">
        <f>'Refrig Mass Flow &amp; Cond kW'!G161*Spring_autumn!$C$6*((Spring_autumn!$C$17-Spring_autumn!$C$16)/1000)</f>
        <v>0</v>
      </c>
      <c r="E170">
        <f>'Refrig Mass Flow &amp; Cond kW'!D161*(($C$13-$C$14)-$C$6*($C$17-$C$18)/1000)-'Refrig Mass Flow &amp; Cond kW'!C161*(1-$C$6/($C$10+273))</f>
        <v>0</v>
      </c>
      <c r="F170" s="13"/>
      <c r="G170" s="13">
        <f>'Refrig Mass Flow &amp; Cond kW'!F161*$C$6*($G$19-$G$18)/1000</f>
        <v>0.13088942114504887</v>
      </c>
      <c r="H170">
        <f>'Refrig Mass Flow &amp; Cond kW'!F161*$C$6*($G$17-$G$16)/1000</f>
        <v>0.81613403772792292</v>
      </c>
      <c r="I170">
        <f>'Refrig Mass Flow &amp; Cond kW'!F161*(($G$13-$G$14)-$C$6*($G$17-$G$18)/1000)-'Refrig Mass Flow &amp; Cond kW'!E161*(1-$C$6/($G$10+273))</f>
        <v>0.36122913776793908</v>
      </c>
    </row>
    <row r="171" spans="2:9" x14ac:dyDescent="0.2">
      <c r="B171" s="2">
        <v>148</v>
      </c>
      <c r="C171">
        <f>'Refrig Mass Flow &amp; Cond kW'!G162*$C$6*(($C$19-$C$18)/1000)</f>
        <v>0</v>
      </c>
      <c r="D171">
        <f>'Refrig Mass Flow &amp; Cond kW'!G162*Spring_autumn!$C$6*((Spring_autumn!$C$17-Spring_autumn!$C$16)/1000)</f>
        <v>0</v>
      </c>
      <c r="E171">
        <f>'Refrig Mass Flow &amp; Cond kW'!D162*(($C$13-$C$14)-$C$6*($C$17-$C$18)/1000)-'Refrig Mass Flow &amp; Cond kW'!C162*(1-$C$6/($C$10+273))</f>
        <v>0</v>
      </c>
      <c r="F171" s="13"/>
      <c r="G171" s="13">
        <f>'Refrig Mass Flow &amp; Cond kW'!F162*$C$6*($G$19-$G$18)/1000</f>
        <v>0.15850197238953084</v>
      </c>
      <c r="H171">
        <f>'Refrig Mass Flow &amp; Cond kW'!F162*$C$6*($G$17-$G$16)/1000</f>
        <v>0.98830641607586323</v>
      </c>
      <c r="I171">
        <f>'Refrig Mass Flow &amp; Cond kW'!F162*(($G$13-$G$14)-$C$6*($G$17-$G$18)/1000)-'Refrig Mass Flow &amp; Cond kW'!E162*(1-$C$6/($G$10+273))</f>
        <v>0.43743436497697186</v>
      </c>
    </row>
    <row r="172" spans="2:9" x14ac:dyDescent="0.2">
      <c r="B172" s="2">
        <v>149</v>
      </c>
      <c r="C172">
        <f>'Refrig Mass Flow &amp; Cond kW'!G163*$C$6*(($C$19-$C$18)/1000)</f>
        <v>0</v>
      </c>
      <c r="D172">
        <f>'Refrig Mass Flow &amp; Cond kW'!G163*Spring_autumn!$C$6*((Spring_autumn!$C$17-Spring_autumn!$C$16)/1000)</f>
        <v>0</v>
      </c>
      <c r="E172">
        <f>'Refrig Mass Flow &amp; Cond kW'!D163*(($C$13-$C$14)-$C$6*($C$17-$C$18)/1000)-'Refrig Mass Flow &amp; Cond kW'!C163*(1-$C$6/($C$10+273))</f>
        <v>0</v>
      </c>
      <c r="F172" s="13"/>
      <c r="G172" s="13">
        <f>'Refrig Mass Flow &amp; Cond kW'!F163*$C$6*($G$19-$G$18)/1000</f>
        <v>0.1860956132042221</v>
      </c>
      <c r="H172">
        <f>'Refrig Mass Flow &amp; Cond kW'!F163*$C$6*($G$17-$G$16)/1000</f>
        <v>1.1603608823321674</v>
      </c>
      <c r="I172">
        <f>'Refrig Mass Flow &amp; Cond kW'!F163*(($G$13-$G$14)-$C$6*($G$17-$G$18)/1000)-'Refrig Mass Flow &amp; Cond kW'!E163*(1-$C$6/($G$10+273))</f>
        <v>0.51358740310770923</v>
      </c>
    </row>
    <row r="173" spans="2:9" x14ac:dyDescent="0.2">
      <c r="B173" s="2">
        <v>150</v>
      </c>
      <c r="C173">
        <f>'Refrig Mass Flow &amp; Cond kW'!G164*$C$6*(($C$19-$C$18)/1000)</f>
        <v>0</v>
      </c>
      <c r="D173">
        <f>'Refrig Mass Flow &amp; Cond kW'!G164*Spring_autumn!$C$6*((Spring_autumn!$C$17-Spring_autumn!$C$16)/1000)</f>
        <v>0</v>
      </c>
      <c r="E173">
        <f>'Refrig Mass Flow &amp; Cond kW'!D164*(($C$13-$C$14)-$C$6*($C$17-$C$18)/1000)-'Refrig Mass Flow &amp; Cond kW'!C164*(1-$C$6/($C$10+273))</f>
        <v>0</v>
      </c>
      <c r="F173" s="13"/>
      <c r="G173" s="13">
        <f>'Refrig Mass Flow &amp; Cond kW'!F164*$C$6*($G$19-$G$18)/1000</f>
        <v>0.21366781757958139</v>
      </c>
      <c r="H173">
        <f>'Refrig Mass Flow &amp; Cond kW'!F164*$C$6*($G$17-$G$16)/1000</f>
        <v>1.3322816860844016</v>
      </c>
      <c r="I173">
        <f>'Refrig Mass Flow &amp; Cond kW'!F164*(($G$13-$G$14)-$C$6*($G$17-$G$18)/1000)-'Refrig Mass Flow &amp; Cond kW'!E164*(1-$C$6/($G$10+273))</f>
        <v>0.58968128086911342</v>
      </c>
    </row>
    <row r="174" spans="2:9" x14ac:dyDescent="0.2">
      <c r="B174" s="2">
        <v>151</v>
      </c>
      <c r="C174">
        <f>'Refrig Mass Flow &amp; Cond kW'!G165*$C$6*(($C$19-$C$18)/1000)</f>
        <v>0</v>
      </c>
      <c r="D174">
        <f>'Refrig Mass Flow &amp; Cond kW'!G165*Spring_autumn!$C$6*((Spring_autumn!$C$17-Spring_autumn!$C$16)/1000)</f>
        <v>0</v>
      </c>
      <c r="E174">
        <f>'Refrig Mass Flow &amp; Cond kW'!D165*(($C$13-$C$14)-$C$6*($C$17-$C$18)/1000)-'Refrig Mass Flow &amp; Cond kW'!C165*(1-$C$6/($C$10+273))</f>
        <v>0</v>
      </c>
      <c r="F174" s="13"/>
      <c r="G174" s="13">
        <f>'Refrig Mass Flow &amp; Cond kW'!F165*$C$6*($G$19-$G$18)/1000</f>
        <v>0.24150351437921347</v>
      </c>
      <c r="H174">
        <f>'Refrig Mass Flow &amp; Cond kW'!F165*$C$6*($G$17-$G$16)/1000</f>
        <v>1.5058454425997483</v>
      </c>
      <c r="I174">
        <f>'Refrig Mass Flow &amp; Cond kW'!F165*(($G$13-$G$14)-$C$6*($G$17-$G$18)/1000)-'Refrig Mass Flow &amp; Cond kW'!E165*(1-$C$6/($G$10+273))</f>
        <v>0.66650234605633152</v>
      </c>
    </row>
    <row r="175" spans="2:9" x14ac:dyDescent="0.2">
      <c r="B175" s="2">
        <v>152</v>
      </c>
      <c r="C175">
        <f>'Refrig Mass Flow &amp; Cond kW'!G166*$C$6*(($C$19-$C$18)/1000)</f>
        <v>0</v>
      </c>
      <c r="D175">
        <f>'Refrig Mass Flow &amp; Cond kW'!G166*Spring_autumn!$C$6*((Spring_autumn!$C$17-Spring_autumn!$C$16)/1000)</f>
        <v>0</v>
      </c>
      <c r="E175">
        <f>'Refrig Mass Flow &amp; Cond kW'!D166*(($C$13-$C$14)-$C$6*($C$17-$C$18)/1000)-'Refrig Mass Flow &amp; Cond kW'!C166*(1-$C$6/($C$10+273))</f>
        <v>0</v>
      </c>
      <c r="F175" s="13"/>
      <c r="G175" s="13">
        <f>'Refrig Mass Flow &amp; Cond kW'!F166*$C$6*($G$19-$G$18)/1000</f>
        <v>0.2694711509198861</v>
      </c>
      <c r="H175">
        <f>'Refrig Mass Flow &amp; Cond kW'!F166*$C$6*($G$17-$G$16)/1000</f>
        <v>1.6802318822062894</v>
      </c>
      <c r="I175">
        <f>'Refrig Mass Flow &amp; Cond kW'!F166*(($G$13-$G$14)-$C$6*($G$17-$G$18)/1000)-'Refrig Mass Flow &amp; Cond kW'!E166*(1-$C$6/($G$10+273))</f>
        <v>0.743687539058282</v>
      </c>
    </row>
    <row r="176" spans="2:9" x14ac:dyDescent="0.2">
      <c r="B176" s="2">
        <v>153</v>
      </c>
      <c r="C176">
        <f>'Refrig Mass Flow &amp; Cond kW'!G167*$C$6*(($C$19-$C$18)/1000)</f>
        <v>0</v>
      </c>
      <c r="D176">
        <f>'Refrig Mass Flow &amp; Cond kW'!G167*Spring_autumn!$C$6*((Spring_autumn!$C$17-Spring_autumn!$C$16)/1000)</f>
        <v>0</v>
      </c>
      <c r="E176">
        <f>'Refrig Mass Flow &amp; Cond kW'!D167*(($C$13-$C$14)-$C$6*($C$17-$C$18)/1000)-'Refrig Mass Flow &amp; Cond kW'!C167*(1-$C$6/($C$10+273))</f>
        <v>0</v>
      </c>
      <c r="F176" s="13"/>
      <c r="G176" s="13">
        <f>'Refrig Mass Flow &amp; Cond kW'!F167*$C$6*($G$19-$G$18)/1000</f>
        <v>0.29753193371949127</v>
      </c>
      <c r="H176">
        <f>'Refrig Mass Flow &amp; Cond kW'!F167*$C$6*($G$17-$G$16)/1000</f>
        <v>1.8551991161332333</v>
      </c>
      <c r="I176">
        <f>'Refrig Mass Flow &amp; Cond kW'!F167*(($G$13-$G$14)-$C$6*($G$17-$G$18)/1000)-'Refrig Mass Flow &amp; Cond kW'!E167*(1-$C$6/($G$10+273))</f>
        <v>0.82112979747091508</v>
      </c>
    </row>
    <row r="177" spans="2:9" x14ac:dyDescent="0.2">
      <c r="B177" s="2">
        <v>154</v>
      </c>
      <c r="C177">
        <f>'Refrig Mass Flow &amp; Cond kW'!G168*$C$6*(($C$19-$C$18)/1000)</f>
        <v>0</v>
      </c>
      <c r="D177">
        <f>'Refrig Mass Flow &amp; Cond kW'!G168*Spring_autumn!$C$6*((Spring_autumn!$C$17-Spring_autumn!$C$16)/1000)</f>
        <v>0</v>
      </c>
      <c r="E177">
        <f>'Refrig Mass Flow &amp; Cond kW'!D168*(($C$13-$C$14)-$C$6*($C$17-$C$18)/1000)-'Refrig Mass Flow &amp; Cond kW'!C168*(1-$C$6/($C$10+273))</f>
        <v>0</v>
      </c>
      <c r="F177" s="13"/>
      <c r="G177" s="13">
        <f>'Refrig Mass Flow &amp; Cond kW'!F168*$C$6*($G$19-$G$18)/1000</f>
        <v>0.32539539411121188</v>
      </c>
      <c r="H177">
        <f>'Refrig Mass Flow &amp; Cond kW'!F168*$C$6*($G$17-$G$16)/1000</f>
        <v>2.0289359868110144</v>
      </c>
      <c r="I177">
        <f>'Refrig Mass Flow &amp; Cond kW'!F168*(($G$13-$G$14)-$C$6*($G$17-$G$18)/1000)-'Refrig Mass Flow &amp; Cond kW'!E168*(1-$C$6/($G$10+273))</f>
        <v>0.89802748472845373</v>
      </c>
    </row>
    <row r="178" spans="2:9" x14ac:dyDescent="0.2">
      <c r="B178" s="2">
        <v>155</v>
      </c>
      <c r="C178">
        <f>'Refrig Mass Flow &amp; Cond kW'!G169*$C$6*(($C$19-$C$18)/1000)</f>
        <v>0</v>
      </c>
      <c r="D178">
        <f>'Refrig Mass Flow &amp; Cond kW'!G169*Spring_autumn!$C$6*((Spring_autumn!$C$17-Spring_autumn!$C$16)/1000)</f>
        <v>0</v>
      </c>
      <c r="E178">
        <f>'Refrig Mass Flow &amp; Cond kW'!D169*(($C$13-$C$14)-$C$6*($C$17-$C$18)/1000)-'Refrig Mass Flow &amp; Cond kW'!C169*(1-$C$6/($C$10+273))</f>
        <v>0</v>
      </c>
      <c r="F178" s="13"/>
      <c r="G178" s="13">
        <f>'Refrig Mass Flow &amp; Cond kW'!F169*$C$6*($G$19-$G$18)/1000</f>
        <v>0.35322460813128481</v>
      </c>
      <c r="H178">
        <f>'Refrig Mass Flow &amp; Cond kW'!F169*$C$6*($G$17-$G$16)/1000</f>
        <v>2.2024593212891102</v>
      </c>
      <c r="I178">
        <f>'Refrig Mass Flow &amp; Cond kW'!F169*(($G$13-$G$14)-$C$6*($G$17-$G$18)/1000)-'Refrig Mass Flow &amp; Cond kW'!E169*(1-$C$6/($G$10+273))</f>
        <v>0.97483065871522179</v>
      </c>
    </row>
    <row r="179" spans="2:9" x14ac:dyDescent="0.2">
      <c r="B179" s="2">
        <v>156</v>
      </c>
      <c r="C179">
        <f>'Refrig Mass Flow &amp; Cond kW'!G170*$C$6*(($C$19-$C$18)/1000)</f>
        <v>0</v>
      </c>
      <c r="D179">
        <f>'Refrig Mass Flow &amp; Cond kW'!G170*Spring_autumn!$C$6*((Spring_autumn!$C$17-Spring_autumn!$C$16)/1000)</f>
        <v>0</v>
      </c>
      <c r="E179">
        <f>'Refrig Mass Flow &amp; Cond kW'!D170*(($C$13-$C$14)-$C$6*($C$17-$C$18)/1000)-'Refrig Mass Flow &amp; Cond kW'!C170*(1-$C$6/($C$10+273))</f>
        <v>0</v>
      </c>
      <c r="F179" s="13"/>
      <c r="G179" s="13">
        <f>'Refrig Mass Flow &amp; Cond kW'!F170*$C$6*($G$19-$G$18)/1000</f>
        <v>0.38100507023494157</v>
      </c>
      <c r="H179">
        <f>'Refrig Mass Flow &amp; Cond kW'!F170*$C$6*($G$17-$G$16)/1000</f>
        <v>2.3756786732295518</v>
      </c>
      <c r="I179">
        <f>'Refrig Mass Flow &amp; Cond kW'!F170*(($G$13-$G$14)-$C$6*($G$17-$G$18)/1000)-'Refrig Mass Flow &amp; Cond kW'!E170*(1-$C$6/($G$10+273))</f>
        <v>1.0514992869718789</v>
      </c>
    </row>
    <row r="180" spans="2:9" x14ac:dyDescent="0.2">
      <c r="B180" s="2">
        <v>157</v>
      </c>
      <c r="C180">
        <f>'Refrig Mass Flow &amp; Cond kW'!G171*$C$6*(($C$19-$C$18)/1000)</f>
        <v>0</v>
      </c>
      <c r="D180">
        <f>'Refrig Mass Flow &amp; Cond kW'!G171*Spring_autumn!$C$6*((Spring_autumn!$C$17-Spring_autumn!$C$16)/1000)</f>
        <v>0</v>
      </c>
      <c r="E180">
        <f>'Refrig Mass Flow &amp; Cond kW'!D171*(($C$13-$C$14)-$C$6*($C$17-$C$18)/1000)-'Refrig Mass Flow &amp; Cond kW'!C171*(1-$C$6/($C$10+273))</f>
        <v>0</v>
      </c>
      <c r="F180" s="13"/>
      <c r="G180" s="13">
        <f>'Refrig Mass Flow &amp; Cond kW'!F171*$C$6*($G$19-$G$18)/1000</f>
        <v>0.40869610690209685</v>
      </c>
      <c r="H180">
        <f>'Refrig Mass Flow &amp; Cond kW'!F171*$C$6*($G$17-$G$16)/1000</f>
        <v>2.5483404312718081</v>
      </c>
      <c r="I180">
        <f>'Refrig Mass Flow &amp; Cond kW'!F171*(($G$13-$G$14)-$C$6*($G$17-$G$18)/1000)-'Refrig Mass Flow &amp; Cond kW'!E171*(1-$C$6/($G$10+273))</f>
        <v>1.1279211185581914</v>
      </c>
    </row>
    <row r="181" spans="2:9" x14ac:dyDescent="0.2">
      <c r="B181" s="2">
        <v>158</v>
      </c>
      <c r="C181">
        <f>'Refrig Mass Flow &amp; Cond kW'!G172*$C$6*(($C$19-$C$18)/1000)</f>
        <v>0</v>
      </c>
      <c r="D181">
        <f>'Refrig Mass Flow &amp; Cond kW'!G172*Spring_autumn!$C$6*((Spring_autumn!$C$17-Spring_autumn!$C$16)/1000)</f>
        <v>0</v>
      </c>
      <c r="E181">
        <f>'Refrig Mass Flow &amp; Cond kW'!D172*(($C$13-$C$14)-$C$6*($C$17-$C$18)/1000)-'Refrig Mass Flow &amp; Cond kW'!C172*(1-$C$6/($C$10+273))</f>
        <v>0</v>
      </c>
      <c r="F181" s="13"/>
      <c r="G181" s="13">
        <f>'Refrig Mass Flow &amp; Cond kW'!F172*$C$6*($G$19-$G$18)/1000</f>
        <v>0.43627390477427841</v>
      </c>
      <c r="H181">
        <f>'Refrig Mass Flow &amp; Cond kW'!F172*$C$6*($G$17-$G$16)/1000</f>
        <v>2.7202961121218752</v>
      </c>
      <c r="I181">
        <f>'Refrig Mass Flow &amp; Cond kW'!F172*(($G$13-$G$14)-$C$6*($G$17-$G$18)/1000)-'Refrig Mass Flow &amp; Cond kW'!E172*(1-$C$6/($G$10+273))</f>
        <v>1.2040304332740615</v>
      </c>
    </row>
    <row r="182" spans="2:9" x14ac:dyDescent="0.2">
      <c r="B182" s="2">
        <v>159</v>
      </c>
      <c r="C182">
        <f>'Refrig Mass Flow &amp; Cond kW'!G173*$C$6*(($C$19-$C$18)/1000)</f>
        <v>0</v>
      </c>
      <c r="D182">
        <f>'Refrig Mass Flow &amp; Cond kW'!G173*Spring_autumn!$C$6*((Spring_autumn!$C$17-Spring_autumn!$C$16)/1000)</f>
        <v>0</v>
      </c>
      <c r="E182">
        <f>'Refrig Mass Flow &amp; Cond kW'!D173*(($C$13-$C$14)-$C$6*($C$17-$C$18)/1000)-'Refrig Mass Flow &amp; Cond kW'!C173*(1-$C$6/($C$10+273))</f>
        <v>0</v>
      </c>
      <c r="F182" s="13"/>
      <c r="G182" s="13">
        <f>'Refrig Mass Flow &amp; Cond kW'!F173*$C$6*($G$19-$G$18)/1000</f>
        <v>0.46375602584433051</v>
      </c>
      <c r="H182">
        <f>'Refrig Mass Flow &amp; Cond kW'!F173*$C$6*($G$17-$G$16)/1000</f>
        <v>2.8916552199704291</v>
      </c>
      <c r="I182">
        <f>'Refrig Mass Flow &amp; Cond kW'!F173*(($G$13-$G$14)-$C$6*($G$17-$G$18)/1000)-'Refrig Mass Flow &amp; Cond kW'!E173*(1-$C$6/($G$10+273))</f>
        <v>1.279875698776209</v>
      </c>
    </row>
    <row r="183" spans="2:9" x14ac:dyDescent="0.2">
      <c r="B183" s="2">
        <v>160</v>
      </c>
      <c r="C183">
        <f>'Refrig Mass Flow &amp; Cond kW'!G174*$C$6*(($C$19-$C$18)/1000)</f>
        <v>0</v>
      </c>
      <c r="D183">
        <f>'Refrig Mass Flow &amp; Cond kW'!G174*Spring_autumn!$C$6*((Spring_autumn!$C$17-Spring_autumn!$C$16)/1000)</f>
        <v>0</v>
      </c>
      <c r="E183">
        <f>'Refrig Mass Flow &amp; Cond kW'!D174*(($C$13-$C$14)-$C$6*($C$17-$C$18)/1000)-'Refrig Mass Flow &amp; Cond kW'!C174*(1-$C$6/($C$10+273))</f>
        <v>0</v>
      </c>
      <c r="F183" s="13"/>
      <c r="G183" s="13">
        <f>'Refrig Mass Flow &amp; Cond kW'!F174*$C$6*($G$19-$G$18)/1000</f>
        <v>0.49143368843704027</v>
      </c>
      <c r="H183">
        <f>'Refrig Mass Flow &amp; Cond kW'!F174*$C$6*($G$17-$G$16)/1000</f>
        <v>3.0642335867249662</v>
      </c>
      <c r="I183">
        <f>'Refrig Mass Flow &amp; Cond kW'!F174*(($G$13-$G$14)-$C$6*($G$17-$G$18)/1000)-'Refrig Mass Flow &amp; Cond kW'!E174*(1-$C$6/($G$10+273))</f>
        <v>1.3562606205394232</v>
      </c>
    </row>
    <row r="184" spans="2:9" x14ac:dyDescent="0.2">
      <c r="B184" s="2">
        <v>161</v>
      </c>
      <c r="C184">
        <f>'Refrig Mass Flow &amp; Cond kW'!G175*$C$6*(($C$19-$C$18)/1000)</f>
        <v>0</v>
      </c>
      <c r="D184">
        <f>'Refrig Mass Flow &amp; Cond kW'!G175*Spring_autumn!$C$6*((Spring_autumn!$C$17-Spring_autumn!$C$16)/1000)</f>
        <v>0</v>
      </c>
      <c r="E184">
        <f>'Refrig Mass Flow &amp; Cond kW'!D175*(($C$13-$C$14)-$C$6*($C$17-$C$18)/1000)-'Refrig Mass Flow &amp; Cond kW'!C175*(1-$C$6/($C$10+273))</f>
        <v>0</v>
      </c>
      <c r="F184" s="13"/>
      <c r="G184" s="13">
        <f>'Refrig Mass Flow &amp; Cond kW'!F175*$C$6*($G$19-$G$18)/1000</f>
        <v>0.51907015775003085</v>
      </c>
      <c r="H184">
        <f>'Refrig Mass Flow &amp; Cond kW'!F175*$C$6*($G$17-$G$16)/1000</f>
        <v>3.2365551012647837</v>
      </c>
      <c r="I184">
        <f>'Refrig Mass Flow &amp; Cond kW'!F175*(($G$13-$G$14)-$C$6*($G$17-$G$18)/1000)-'Refrig Mass Flow &amp; Cond kW'!E175*(1-$C$6/($G$10+273))</f>
        <v>1.4325318569277208</v>
      </c>
    </row>
    <row r="185" spans="2:9" x14ac:dyDescent="0.2">
      <c r="B185" s="2">
        <v>162</v>
      </c>
      <c r="C185">
        <f>'Refrig Mass Flow &amp; Cond kW'!G176*$C$6*(($C$19-$C$18)/1000)</f>
        <v>0</v>
      </c>
      <c r="D185">
        <f>'Refrig Mass Flow &amp; Cond kW'!G176*Spring_autumn!$C$6*((Spring_autumn!$C$17-Spring_autumn!$C$16)/1000)</f>
        <v>0</v>
      </c>
      <c r="E185">
        <f>'Refrig Mass Flow &amp; Cond kW'!D176*(($C$13-$C$14)-$C$6*($C$17-$C$18)/1000)-'Refrig Mass Flow &amp; Cond kW'!C176*(1-$C$6/($C$10+273))</f>
        <v>0</v>
      </c>
      <c r="F185" s="13"/>
      <c r="G185" s="13">
        <f>'Refrig Mass Flow &amp; Cond kW'!F176*$C$6*($G$19-$G$18)/1000</f>
        <v>0.54662876956910733</v>
      </c>
      <c r="H185">
        <f>'Refrig Mass Flow &amp; Cond kW'!F176*$C$6*($G$17-$G$16)/1000</f>
        <v>3.4083911514307847</v>
      </c>
      <c r="I185">
        <f>'Refrig Mass Flow &amp; Cond kW'!F176*(($G$13-$G$14)-$C$6*($G$17-$G$18)/1000)-'Refrig Mass Flow &amp; Cond kW'!E176*(1-$C$6/($G$10+273))</f>
        <v>1.5085882218989966</v>
      </c>
    </row>
    <row r="186" spans="2:9" x14ac:dyDescent="0.2">
      <c r="B186" s="2">
        <v>163</v>
      </c>
      <c r="C186">
        <f>'Refrig Mass Flow &amp; Cond kW'!G177*$C$6*(($C$19-$C$18)/1000)</f>
        <v>0</v>
      </c>
      <c r="D186">
        <f>'Refrig Mass Flow &amp; Cond kW'!G177*Spring_autumn!$C$6*((Spring_autumn!$C$17-Spring_autumn!$C$16)/1000)</f>
        <v>0</v>
      </c>
      <c r="E186">
        <f>'Refrig Mass Flow &amp; Cond kW'!D177*(($C$13-$C$14)-$C$6*($C$17-$C$18)/1000)-'Refrig Mass Flow &amp; Cond kW'!C177*(1-$C$6/($C$10+273))</f>
        <v>0</v>
      </c>
      <c r="F186" s="13"/>
      <c r="G186" s="13">
        <f>'Refrig Mass Flow &amp; Cond kW'!F177*$C$6*($G$19-$G$18)/1000</f>
        <v>0.57413550634540711</v>
      </c>
      <c r="H186">
        <f>'Refrig Mass Flow &amp; Cond kW'!F177*$C$6*($G$17-$G$16)/1000</f>
        <v>3.5799037454477061</v>
      </c>
      <c r="I186">
        <f>'Refrig Mass Flow &amp; Cond kW'!F177*(($G$13-$G$14)-$C$6*($G$17-$G$18)/1000)-'Refrig Mass Flow &amp; Cond kW'!E177*(1-$C$6/($G$10+273))</f>
        <v>1.584501421923779</v>
      </c>
    </row>
    <row r="187" spans="2:9" x14ac:dyDescent="0.2">
      <c r="B187" s="2">
        <v>164</v>
      </c>
      <c r="C187">
        <f>'Refrig Mass Flow &amp; Cond kW'!G178*$C$6*(($C$19-$C$18)/1000)</f>
        <v>0</v>
      </c>
      <c r="D187">
        <f>'Refrig Mass Flow &amp; Cond kW'!G178*Spring_autumn!$C$6*((Spring_autumn!$C$17-Spring_autumn!$C$16)/1000)</f>
        <v>0</v>
      </c>
      <c r="E187">
        <f>'Refrig Mass Flow &amp; Cond kW'!D178*(($C$13-$C$14)-$C$6*($C$17-$C$18)/1000)-'Refrig Mass Flow &amp; Cond kW'!C178*(1-$C$6/($C$10+273))</f>
        <v>0</v>
      </c>
      <c r="F187" s="13"/>
      <c r="G187" s="13">
        <f>'Refrig Mass Flow &amp; Cond kW'!F178*$C$6*($G$19-$G$18)/1000</f>
        <v>0.60159368112888778</v>
      </c>
      <c r="H187">
        <f>'Refrig Mass Flow &amp; Cond kW'!F178*$C$6*($G$17-$G$16)/1000</f>
        <v>3.751113541156462</v>
      </c>
      <c r="I187">
        <f>'Refrig Mass Flow &amp; Cond kW'!F178*(($G$13-$G$14)-$C$6*($G$17-$G$18)/1000)-'Refrig Mass Flow &amp; Cond kW'!E178*(1-$C$6/($G$10+273))</f>
        <v>1.6602806003703385</v>
      </c>
    </row>
    <row r="188" spans="2:9" x14ac:dyDescent="0.2">
      <c r="B188" s="2">
        <v>165</v>
      </c>
      <c r="C188">
        <f>'Refrig Mass Flow &amp; Cond kW'!G179*$C$6*(($C$19-$C$18)/1000)</f>
        <v>0</v>
      </c>
      <c r="D188">
        <f>'Refrig Mass Flow &amp; Cond kW'!G179*Spring_autumn!$C$6*((Spring_autumn!$C$17-Spring_autumn!$C$16)/1000)</f>
        <v>0</v>
      </c>
      <c r="E188">
        <f>'Refrig Mass Flow &amp; Cond kW'!D179*(($C$13-$C$14)-$C$6*($C$17-$C$18)/1000)-'Refrig Mass Flow &amp; Cond kW'!C179*(1-$C$6/($C$10+273))</f>
        <v>-0.13687718676384719</v>
      </c>
      <c r="F188" s="13"/>
      <c r="G188" s="13">
        <f>'Refrig Mass Flow &amp; Cond kW'!F179*$C$6*($G$19-$G$18)/1000</f>
        <v>0.6291024145495302</v>
      </c>
      <c r="H188">
        <f>'Refrig Mass Flow &amp; Cond kW'!F179*$C$6*($G$17-$G$16)/1000</f>
        <v>3.9226385848381087</v>
      </c>
      <c r="I188">
        <f>'Refrig Mass Flow &amp; Cond kW'!F179*(($G$13-$G$14)-$C$6*($G$17-$G$18)/1000)-'Refrig Mass Flow &amp; Cond kW'!E179*(1-$C$6/($G$10+273))</f>
        <v>1.7361993107420126</v>
      </c>
    </row>
    <row r="189" spans="2:9" x14ac:dyDescent="0.2">
      <c r="B189" s="2">
        <v>166</v>
      </c>
      <c r="C189">
        <f>'Refrig Mass Flow &amp; Cond kW'!G180*$C$6*(($C$19-$C$18)/1000)</f>
        <v>0</v>
      </c>
      <c r="D189">
        <f>'Refrig Mass Flow &amp; Cond kW'!G180*Spring_autumn!$C$6*((Spring_autumn!$C$17-Spring_autumn!$C$16)/1000)</f>
        <v>0</v>
      </c>
      <c r="E189">
        <f>'Refrig Mass Flow &amp; Cond kW'!D180*(($C$13-$C$14)-$C$6*($C$17-$C$18)/1000)-'Refrig Mass Flow &amp; Cond kW'!C180*(1-$C$6/($C$10+273))</f>
        <v>-0.14216520410558076</v>
      </c>
      <c r="F189" s="13"/>
      <c r="G189" s="13">
        <f>'Refrig Mass Flow &amp; Cond kW'!F180*$C$6*($G$19-$G$18)/1000</f>
        <v>0.65670270503645911</v>
      </c>
      <c r="H189">
        <f>'Refrig Mass Flow &amp; Cond kW'!F180*$C$6*($G$17-$G$16)/1000</f>
        <v>4.0947345137565998</v>
      </c>
      <c r="I189">
        <f>'Refrig Mass Flow &amp; Cond kW'!F180*(($G$13-$G$14)-$C$6*($G$17-$G$18)/1000)-'Refrig Mass Flow &amp; Cond kW'!E180*(1-$C$6/($G$10+273))</f>
        <v>1.8123707006642711</v>
      </c>
    </row>
    <row r="190" spans="2:9" x14ac:dyDescent="0.2">
      <c r="B190" s="2">
        <v>167</v>
      </c>
      <c r="C190">
        <f>'Refrig Mass Flow &amp; Cond kW'!G181*$C$6*(($C$19-$C$18)/1000)</f>
        <v>0</v>
      </c>
      <c r="D190">
        <f>'Refrig Mass Flow &amp; Cond kW'!G181*Spring_autumn!$C$6*((Spring_autumn!$C$17-Spring_autumn!$C$16)/1000)</f>
        <v>0</v>
      </c>
      <c r="E190">
        <f>'Refrig Mass Flow &amp; Cond kW'!D181*(($C$13-$C$14)-$C$6*($C$17-$C$18)/1000)-'Refrig Mass Flow &amp; Cond kW'!C181*(1-$C$6/($C$10+273))</f>
        <v>-0.14069582643892176</v>
      </c>
      <c r="F190" s="13"/>
      <c r="G190" s="13">
        <f>'Refrig Mass Flow &amp; Cond kW'!F181*$C$6*($G$19-$G$18)/1000</f>
        <v>0.68440447419380634</v>
      </c>
      <c r="H190">
        <f>'Refrig Mass Flow &amp; Cond kW'!F181*$C$6*($G$17-$G$16)/1000</f>
        <v>4.2674631920318182</v>
      </c>
      <c r="I190">
        <f>'Refrig Mass Flow &amp; Cond kW'!F181*(($G$13-$G$14)-$C$6*($G$17-$G$18)/1000)-'Refrig Mass Flow &amp; Cond kW'!E181*(1-$C$6/($G$10+273))</f>
        <v>1.8888221518191024</v>
      </c>
    </row>
    <row r="191" spans="2:9" x14ac:dyDescent="0.2">
      <c r="B191" s="2">
        <v>168</v>
      </c>
      <c r="C191">
        <f>'Refrig Mass Flow &amp; Cond kW'!G182*$C$6*(($C$19-$C$18)/1000)</f>
        <v>0</v>
      </c>
      <c r="D191">
        <f>'Refrig Mass Flow &amp; Cond kW'!G182*Spring_autumn!$C$6*((Spring_autumn!$C$17-Spring_autumn!$C$16)/1000)</f>
        <v>0</v>
      </c>
      <c r="E191">
        <f>'Refrig Mass Flow &amp; Cond kW'!D182*(($C$13-$C$14)-$C$6*($C$17-$C$18)/1000)-'Refrig Mass Flow &amp; Cond kW'!C182*(1-$C$6/($C$10+273))</f>
        <v>-0.13468284193439928</v>
      </c>
      <c r="F191" s="13"/>
      <c r="G191" s="13">
        <f>'Refrig Mass Flow &amp; Cond kW'!F182*$C$6*($G$19-$G$18)/1000</f>
        <v>0.7118804063495815</v>
      </c>
      <c r="H191">
        <f>'Refrig Mass Flow &amp; Cond kW'!F182*$C$6*($G$17-$G$16)/1000</f>
        <v>4.4387837101795871</v>
      </c>
      <c r="I191">
        <f>'Refrig Mass Flow &amp; Cond kW'!F182*(($G$13-$G$14)-$C$6*($G$17-$G$18)/1000)-'Refrig Mass Flow &amp; Cond kW'!E182*(1-$C$6/($G$10+273))</f>
        <v>1.9646503371313599</v>
      </c>
    </row>
    <row r="192" spans="2:9" x14ac:dyDescent="0.2">
      <c r="B192" s="2">
        <v>169</v>
      </c>
      <c r="C192">
        <f>'Refrig Mass Flow &amp; Cond kW'!G183*$C$6*(($C$19-$C$18)/1000)</f>
        <v>0</v>
      </c>
      <c r="D192">
        <f>'Refrig Mass Flow &amp; Cond kW'!G183*Spring_autumn!$C$6*((Spring_autumn!$C$17-Spring_autumn!$C$16)/1000)</f>
        <v>0</v>
      </c>
      <c r="E192">
        <f>'Refrig Mass Flow &amp; Cond kW'!D183*(($C$13-$C$14)-$C$6*($C$17-$C$18)/1000)-'Refrig Mass Flow &amp; Cond kW'!C183*(1-$C$6/($C$10+273))</f>
        <v>-0.12968654761700726</v>
      </c>
      <c r="F192" s="13"/>
      <c r="G192" s="13">
        <f>'Refrig Mass Flow &amp; Cond kW'!F183*$C$6*($G$19-$G$18)/1000</f>
        <v>0.73928673154020974</v>
      </c>
      <c r="H192">
        <f>'Refrig Mass Flow &amp; Cond kW'!F183*$C$6*($G$17-$G$16)/1000</f>
        <v>4.6096702084270271</v>
      </c>
      <c r="I192">
        <f>'Refrig Mass Flow &amp; Cond kW'!F183*(($G$13-$G$14)-$C$6*($G$17-$G$18)/1000)-'Refrig Mass Flow &amp; Cond kW'!E183*(1-$C$6/($G$10+273))</f>
        <v>2.0402864208682381</v>
      </c>
    </row>
    <row r="193" spans="2:9" x14ac:dyDescent="0.2">
      <c r="B193" s="2">
        <v>170</v>
      </c>
      <c r="C193">
        <f>'Refrig Mass Flow &amp; Cond kW'!G184*$C$6*(($C$19-$C$18)/1000)</f>
        <v>0</v>
      </c>
      <c r="D193">
        <f>'Refrig Mass Flow &amp; Cond kW'!G184*Spring_autumn!$C$6*((Spring_autumn!$C$17-Spring_autumn!$C$16)/1000)</f>
        <v>0</v>
      </c>
      <c r="E193">
        <f>'Refrig Mass Flow &amp; Cond kW'!D184*(($C$13-$C$14)-$C$6*($C$17-$C$18)/1000)-'Refrig Mass Flow &amp; Cond kW'!C184*(1-$C$6/($C$10+273))</f>
        <v>-0.12553721255612338</v>
      </c>
      <c r="F193" s="13"/>
      <c r="G193" s="13">
        <f>'Refrig Mass Flow &amp; Cond kW'!F184*$C$6*($G$19-$G$18)/1000</f>
        <v>0.76662094897191746</v>
      </c>
      <c r="H193">
        <f>'Refrig Mass Flow &amp; Cond kW'!F184*$C$6*($G$17-$G$16)/1000</f>
        <v>4.7801070935894341</v>
      </c>
      <c r="I193">
        <f>'Refrig Mass Flow &amp; Cond kW'!F184*(($G$13-$G$14)-$C$6*($G$17-$G$18)/1000)-'Refrig Mass Flow &amp; Cond kW'!E184*(1-$C$6/($G$10+273))</f>
        <v>2.1157235013292706</v>
      </c>
    </row>
    <row r="194" spans="2:9" x14ac:dyDescent="0.2">
      <c r="B194" s="2">
        <v>171</v>
      </c>
      <c r="C194">
        <f>'Refrig Mass Flow &amp; Cond kW'!G185*$C$6*(($C$19-$C$18)/1000)</f>
        <v>0</v>
      </c>
      <c r="D194">
        <f>'Refrig Mass Flow &amp; Cond kW'!G185*Spring_autumn!$C$6*((Spring_autumn!$C$17-Spring_autumn!$C$16)/1000)</f>
        <v>0</v>
      </c>
      <c r="E194">
        <f>'Refrig Mass Flow &amp; Cond kW'!D185*(($C$13-$C$14)-$C$6*($C$17-$C$18)/1000)-'Refrig Mass Flow &amp; Cond kW'!C185*(1-$C$6/($C$10+273))</f>
        <v>-0.12138419585742</v>
      </c>
      <c r="F194" s="13"/>
      <c r="G194" s="13">
        <f>'Refrig Mass Flow &amp; Cond kW'!F185*$C$6*($G$19-$G$18)/1000</f>
        <v>0.79388056485674541</v>
      </c>
      <c r="H194">
        <f>'Refrig Mass Flow &amp; Cond kW'!F185*$C$6*($G$17-$G$16)/1000</f>
        <v>4.9500788161654148</v>
      </c>
      <c r="I194">
        <f>'Refrig Mass Flow &amp; Cond kW'!F185*(($G$13-$G$14)-$C$6*($G$17-$G$18)/1000)-'Refrig Mass Flow &amp; Cond kW'!E185*(1-$C$6/($G$10+273))</f>
        <v>2.1909546961486726</v>
      </c>
    </row>
    <row r="195" spans="2:9" x14ac:dyDescent="0.2">
      <c r="B195" s="2">
        <v>172</v>
      </c>
      <c r="C195">
        <f>'Refrig Mass Flow &amp; Cond kW'!G186*$C$6*(($C$19-$C$18)/1000)</f>
        <v>0</v>
      </c>
      <c r="D195">
        <f>'Refrig Mass Flow &amp; Cond kW'!G186*Spring_autumn!$C$6*((Spring_autumn!$C$17-Spring_autumn!$C$16)/1000)</f>
        <v>0</v>
      </c>
      <c r="E195">
        <f>'Refrig Mass Flow &amp; Cond kW'!D186*(($C$13-$C$14)-$C$6*($C$17-$C$18)/1000)-'Refrig Mass Flow &amp; Cond kW'!C186*(1-$C$6/($C$10+273))</f>
        <v>-0.11694386176926841</v>
      </c>
      <c r="F195" s="13"/>
      <c r="G195" s="13">
        <f>'Refrig Mass Flow &amp; Cond kW'!F186*$C$6*($G$19-$G$18)/1000</f>
        <v>0.82106309263999167</v>
      </c>
      <c r="H195">
        <f>'Refrig Mass Flow &amp; Cond kW'!F186*$C$6*($G$17-$G$16)/1000</f>
        <v>5.1195698717550613</v>
      </c>
      <c r="I195">
        <f>'Refrig Mass Flow &amp; Cond kW'!F186*(($G$13-$G$14)-$C$6*($G$17-$G$18)/1000)-'Refrig Mass Flow &amp; Cond kW'!E186*(1-$C$6/($G$10+273))</f>
        <v>2.2659731429230199</v>
      </c>
    </row>
    <row r="196" spans="2:9" x14ac:dyDescent="0.2">
      <c r="B196" s="2">
        <v>173</v>
      </c>
      <c r="C196">
        <f>'Refrig Mass Flow &amp; Cond kW'!G187*$C$6*(($C$19-$C$18)/1000)</f>
        <v>0</v>
      </c>
      <c r="D196">
        <f>'Refrig Mass Flow &amp; Cond kW'!G187*Spring_autumn!$C$6*((Spring_autumn!$C$17-Spring_autumn!$C$16)/1000)</f>
        <v>0</v>
      </c>
      <c r="E196">
        <f>'Refrig Mass Flow &amp; Cond kW'!D187*(($C$13-$C$14)-$C$6*($C$17-$C$18)/1000)-'Refrig Mass Flow &amp; Cond kW'!C187*(1-$C$6/($C$10+273))</f>
        <v>-0.11200341854373619</v>
      </c>
      <c r="F196" s="13"/>
      <c r="G196" s="13">
        <f>'Refrig Mass Flow &amp; Cond kW'!F187*$C$6*($G$19-$G$18)/1000</f>
        <v>0.84816605322696759</v>
      </c>
      <c r="H196">
        <f>'Refrig Mass Flow &amp; Cond kW'!F187*$C$6*($G$17-$G$16)/1000</f>
        <v>5.2885648024738465</v>
      </c>
      <c r="I196">
        <f>'Refrig Mass Flow &amp; Cond kW'!F187*(($G$13-$G$14)-$C$6*($G$17-$G$18)/1000)-'Refrig Mass Flow &amp; Cond kW'!E187*(1-$C$6/($G$10+273))</f>
        <v>2.3407719998370737</v>
      </c>
    </row>
    <row r="197" spans="2:9" x14ac:dyDescent="0.2">
      <c r="B197" s="2">
        <v>174</v>
      </c>
      <c r="C197">
        <f>'Refrig Mass Flow &amp; Cond kW'!G188*$C$6*(($C$19-$C$18)/1000)</f>
        <v>0</v>
      </c>
      <c r="D197">
        <f>'Refrig Mass Flow &amp; Cond kW'!G188*Spring_autumn!$C$6*((Spring_autumn!$C$17-Spring_autumn!$C$16)/1000)</f>
        <v>0</v>
      </c>
      <c r="E197">
        <f>'Refrig Mass Flow &amp; Cond kW'!D188*(($C$13-$C$14)-$C$6*($C$17-$C$18)/1000)-'Refrig Mass Flow &amp; Cond kW'!C188*(1-$C$6/($C$10+273))</f>
        <v>0</v>
      </c>
      <c r="F197" s="13"/>
      <c r="G197" s="13">
        <f>'Refrig Mass Flow &amp; Cond kW'!F188*$C$6*($G$19-$G$18)/1000</f>
        <v>0.87518697520901911</v>
      </c>
      <c r="H197">
        <f>'Refrig Mass Flow &amp; Cond kW'!F188*$C$6*($G$17-$G$16)/1000</f>
        <v>5.4570481983619263</v>
      </c>
      <c r="I197">
        <f>'Refrig Mass Flow &amp; Cond kW'!F188*(($G$13-$G$14)-$C$6*($G$17-$G$18)/1000)-'Refrig Mass Flow &amp; Cond kW'!E188*(1-$C$6/($G$10+273))</f>
        <v>2.4153444462875377</v>
      </c>
    </row>
    <row r="198" spans="2:9" x14ac:dyDescent="0.2">
      <c r="B198" s="2">
        <v>175</v>
      </c>
      <c r="C198">
        <f>'Refrig Mass Flow &amp; Cond kW'!G189*$C$6*(($C$19-$C$18)/1000)</f>
        <v>0</v>
      </c>
      <c r="D198">
        <f>'Refrig Mass Flow &amp; Cond kW'!G189*Spring_autumn!$C$6*((Spring_autumn!$C$17-Spring_autumn!$C$16)/1000)</f>
        <v>0</v>
      </c>
      <c r="E198">
        <f>'Refrig Mass Flow &amp; Cond kW'!D189*(($C$13-$C$14)-$C$6*($C$17-$C$18)/1000)-'Refrig Mass Flow &amp; Cond kW'!C189*(1-$C$6/($C$10+273))</f>
        <v>0</v>
      </c>
      <c r="F198" s="13"/>
      <c r="G198" s="13">
        <f>'Refrig Mass Flow &amp; Cond kW'!F189*$C$6*($G$19-$G$18)/1000</f>
        <v>0.90241210159259544</v>
      </c>
      <c r="H198">
        <f>'Refrig Mass Flow &amp; Cond kW'!F189*$C$6*($G$17-$G$16)/1000</f>
        <v>5.6268048687536316</v>
      </c>
      <c r="I198">
        <f>'Refrig Mass Flow &amp; Cond kW'!F189*(($G$13-$G$14)-$C$6*($G$17-$G$18)/1000)-'Refrig Mass Flow &amp; Cond kW'!E189*(1-$C$6/($G$10+273))</f>
        <v>2.4904804568461287</v>
      </c>
    </row>
    <row r="199" spans="2:9" x14ac:dyDescent="0.2">
      <c r="B199" s="2">
        <v>176</v>
      </c>
      <c r="C199">
        <f>'Refrig Mass Flow &amp; Cond kW'!G190*$C$6*(($C$19-$C$18)/1000)</f>
        <v>0</v>
      </c>
      <c r="D199">
        <f>'Refrig Mass Flow &amp; Cond kW'!G190*Spring_autumn!$C$6*((Spring_autumn!$C$17-Spring_autumn!$C$16)/1000)</f>
        <v>0</v>
      </c>
      <c r="E199">
        <f>'Refrig Mass Flow &amp; Cond kW'!D190*(($C$13-$C$14)-$C$6*($C$17-$C$18)/1000)-'Refrig Mass Flow &amp; Cond kW'!C190*(1-$C$6/($C$10+273))</f>
        <v>0</v>
      </c>
      <c r="F199" s="13"/>
      <c r="G199" s="13">
        <f>'Refrig Mass Flow &amp; Cond kW'!F190*$C$6*($G$19-$G$18)/1000</f>
        <v>0.92970972094139381</v>
      </c>
      <c r="H199">
        <f>'Refrig Mass Flow &amp; Cond kW'!F190*$C$6*($G$17-$G$16)/1000</f>
        <v>5.7970135541049563</v>
      </c>
      <c r="I199">
        <f>'Refrig Mass Flow &amp; Cond kW'!F190*(($G$13-$G$14)-$C$6*($G$17-$G$18)/1000)-'Refrig Mass Flow &amp; Cond kW'!E190*(1-$C$6/($G$10+273))</f>
        <v>2.5658165337744308</v>
      </c>
    </row>
    <row r="200" spans="2:9" x14ac:dyDescent="0.2">
      <c r="B200" s="2">
        <v>177</v>
      </c>
      <c r="C200">
        <f>'Refrig Mass Flow &amp; Cond kW'!G191*$C$6*(($C$19-$C$18)/1000)</f>
        <v>0</v>
      </c>
      <c r="D200">
        <f>'Refrig Mass Flow &amp; Cond kW'!G191*Spring_autumn!$C$6*((Spring_autumn!$C$17-Spring_autumn!$C$16)/1000)</f>
        <v>0</v>
      </c>
      <c r="E200">
        <f>'Refrig Mass Flow &amp; Cond kW'!D191*(($C$13-$C$14)-$C$6*($C$17-$C$18)/1000)-'Refrig Mass Flow &amp; Cond kW'!C191*(1-$C$6/($C$10+273))</f>
        <v>0</v>
      </c>
      <c r="F200" s="13"/>
      <c r="G200" s="13">
        <f>'Refrig Mass Flow &amp; Cond kW'!F191*$C$6*($G$19-$G$18)/1000</f>
        <v>0.95701480570119102</v>
      </c>
      <c r="H200">
        <f>'Refrig Mass Flow &amp; Cond kW'!F191*$C$6*($G$17-$G$16)/1000</f>
        <v>5.9672687884895685</v>
      </c>
      <c r="I200">
        <f>'Refrig Mass Flow &amp; Cond kW'!F191*(($G$13-$G$14)-$C$6*($G$17-$G$18)/1000)-'Refrig Mass Flow &amp; Cond kW'!E191*(1-$C$6/($G$10+273))</f>
        <v>2.6411732137732784</v>
      </c>
    </row>
    <row r="201" spans="2:9" x14ac:dyDescent="0.2">
      <c r="B201" s="2">
        <v>178</v>
      </c>
      <c r="C201">
        <f>'Refrig Mass Flow &amp; Cond kW'!G192*$C$6*(($C$19-$C$18)/1000)</f>
        <v>0</v>
      </c>
      <c r="D201">
        <f>'Refrig Mass Flow &amp; Cond kW'!G192*Spring_autumn!$C$6*((Spring_autumn!$C$17-Spring_autumn!$C$16)/1000)</f>
        <v>0</v>
      </c>
      <c r="E201">
        <f>'Refrig Mass Flow &amp; Cond kW'!D192*(($C$13-$C$14)-$C$6*($C$17-$C$18)/1000)-'Refrig Mass Flow &amp; Cond kW'!C192*(1-$C$6/($C$10+273))</f>
        <v>0</v>
      </c>
      <c r="F201" s="13"/>
      <c r="G201" s="13">
        <f>'Refrig Mass Flow &amp; Cond kW'!F192*$C$6*($G$19-$G$18)/1000</f>
        <v>0.98398170585844469</v>
      </c>
      <c r="H201">
        <f>'Refrig Mass Flow &amp; Cond kW'!F192*$C$6*($G$17-$G$16)/1000</f>
        <v>6.1354153424112621</v>
      </c>
      <c r="I201">
        <f>'Refrig Mass Flow &amp; Cond kW'!F192*(($G$13-$G$14)-$C$6*($G$17-$G$18)/1000)-'Refrig Mass Flow &amp; Cond kW'!E192*(1-$C$6/($G$10+273))</f>
        <v>2.7155965705798124</v>
      </c>
    </row>
    <row r="202" spans="2:9" x14ac:dyDescent="0.2">
      <c r="B202" s="2">
        <v>179</v>
      </c>
      <c r="C202">
        <f>'Refrig Mass Flow &amp; Cond kW'!G193*$C$6*(($C$19-$C$18)/1000)</f>
        <v>0</v>
      </c>
      <c r="D202">
        <f>'Refrig Mass Flow &amp; Cond kW'!G193*Spring_autumn!$C$6*((Spring_autumn!$C$17-Spring_autumn!$C$16)/1000)</f>
        <v>0</v>
      </c>
      <c r="E202">
        <f>'Refrig Mass Flow &amp; Cond kW'!D193*(($C$13-$C$14)-$C$6*($C$17-$C$18)/1000)-'Refrig Mass Flow &amp; Cond kW'!C193*(1-$C$6/($C$10+273))</f>
        <v>0</v>
      </c>
      <c r="F202" s="13"/>
      <c r="G202" s="13">
        <f>'Refrig Mass Flow &amp; Cond kW'!F193*$C$6*($G$19-$G$18)/1000</f>
        <v>1.0107438017849482</v>
      </c>
      <c r="H202">
        <f>'Refrig Mass Flow &amp; Cond kW'!F193*$C$6*($G$17-$G$16)/1000</f>
        <v>6.3022848817176902</v>
      </c>
      <c r="I202">
        <f>'Refrig Mass Flow &amp; Cond kW'!F193*(($G$13-$G$14)-$C$6*($G$17-$G$18)/1000)-'Refrig Mass Flow &amp; Cond kW'!E193*(1-$C$6/($G$10+273))</f>
        <v>2.7894547078671721</v>
      </c>
    </row>
    <row r="203" spans="2:9" x14ac:dyDescent="0.2">
      <c r="B203" s="2">
        <v>180</v>
      </c>
      <c r="C203">
        <f>'Refrig Mass Flow &amp; Cond kW'!G194*$C$6*(($C$19-$C$18)/1000)</f>
        <v>0</v>
      </c>
      <c r="D203">
        <f>'Refrig Mass Flow &amp; Cond kW'!G194*Spring_autumn!$C$6*((Spring_autumn!$C$17-Spring_autumn!$C$16)/1000)</f>
        <v>0</v>
      </c>
      <c r="E203">
        <f>'Refrig Mass Flow &amp; Cond kW'!D194*(($C$13-$C$14)-$C$6*($C$17-$C$18)/1000)-'Refrig Mass Flow &amp; Cond kW'!C194*(1-$C$6/($C$10+273))</f>
        <v>0</v>
      </c>
      <c r="F203" s="13"/>
      <c r="G203" s="13">
        <f>'Refrig Mass Flow &amp; Cond kW'!F194*$C$6*($G$19-$G$18)/1000</f>
        <v>1.0372683958326809</v>
      </c>
      <c r="H203">
        <f>'Refrig Mass Flow &amp; Cond kW'!F194*$C$6*($G$17-$G$16)/1000</f>
        <v>6.4676735269564878</v>
      </c>
      <c r="I203">
        <f>'Refrig Mass Flow &amp; Cond kW'!F194*(($G$13-$G$14)-$C$6*($G$17-$G$18)/1000)-'Refrig Mass Flow &amp; Cond kW'!E194*(1-$C$6/($G$10+273))</f>
        <v>2.8626573865381104</v>
      </c>
    </row>
    <row r="204" spans="2:9" x14ac:dyDescent="0.2">
      <c r="B204" s="2">
        <v>181</v>
      </c>
      <c r="C204">
        <f>'Refrig Mass Flow &amp; Cond kW'!G195*$C$6*(($C$19-$C$18)/1000)</f>
        <v>0</v>
      </c>
      <c r="D204">
        <f>'Refrig Mass Flow &amp; Cond kW'!G195*Spring_autumn!$C$6*((Spring_autumn!$C$17-Spring_autumn!$C$16)/1000)</f>
        <v>0</v>
      </c>
      <c r="E204">
        <f>'Refrig Mass Flow &amp; Cond kW'!D195*(($C$13-$C$14)-$C$6*($C$17-$C$18)/1000)-'Refrig Mass Flow &amp; Cond kW'!C195*(1-$C$6/($C$10+273))</f>
        <v>0</v>
      </c>
      <c r="F204" s="13"/>
      <c r="G204" s="13">
        <f>'Refrig Mass Flow &amp; Cond kW'!F195*$C$6*($G$19-$G$18)/1000</f>
        <v>1.0635228217942543</v>
      </c>
      <c r="H204">
        <f>'Refrig Mass Flow &amp; Cond kW'!F195*$C$6*($G$17-$G$16)/1000</f>
        <v>6.6313775947168816</v>
      </c>
      <c r="I204">
        <f>'Refrig Mass Flow &amp; Cond kW'!F195*(($G$13-$G$14)-$C$6*($G$17-$G$18)/1000)-'Refrig Mass Flow &amp; Cond kW'!E195*(1-$C$6/($G$10+273))</f>
        <v>2.9351144542653955</v>
      </c>
    </row>
    <row r="205" spans="2:9" x14ac:dyDescent="0.2">
      <c r="B205" s="2">
        <v>182</v>
      </c>
      <c r="C205">
        <f>'Refrig Mass Flow &amp; Cond kW'!G196*$C$6*(($C$19-$C$18)/1000)</f>
        <v>0</v>
      </c>
      <c r="D205">
        <f>'Refrig Mass Flow &amp; Cond kW'!G196*Spring_autumn!$C$6*((Spring_autumn!$C$17-Spring_autumn!$C$16)/1000)</f>
        <v>0</v>
      </c>
      <c r="E205">
        <f>'Refrig Mass Flow &amp; Cond kW'!D196*(($C$13-$C$14)-$C$6*($C$17-$C$18)/1000)-'Refrig Mass Flow &amp; Cond kW'!C196*(1-$C$6/($C$10+273))</f>
        <v>0</v>
      </c>
      <c r="F205" s="13"/>
      <c r="G205" s="13">
        <f>'Refrig Mass Flow &amp; Cond kW'!F196*$C$6*($G$19-$G$18)/1000</f>
        <v>1.0894744478769345</v>
      </c>
      <c r="H205">
        <f>'Refrig Mass Flow &amp; Cond kW'!F196*$C$6*($G$17-$G$16)/1000</f>
        <v>6.7931936161735855</v>
      </c>
      <c r="I205">
        <f>'Refrig Mass Flow &amp; Cond kW'!F196*(($G$13-$G$14)-$C$6*($G$17-$G$18)/1000)-'Refrig Mass Flow &amp; Cond kW'!E196*(1-$C$6/($G$10+273))</f>
        <v>3.0067358536994533</v>
      </c>
    </row>
    <row r="206" spans="2:9" x14ac:dyDescent="0.2">
      <c r="B206" s="2">
        <v>183</v>
      </c>
      <c r="C206">
        <f>'Refrig Mass Flow &amp; Cond kW'!G197*$C$6*(($C$19-$C$18)/1000)</f>
        <v>0</v>
      </c>
      <c r="D206">
        <f>'Refrig Mass Flow &amp; Cond kW'!G197*Spring_autumn!$C$6*((Spring_autumn!$C$17-Spring_autumn!$C$16)/1000)</f>
        <v>0</v>
      </c>
      <c r="E206">
        <f>'Refrig Mass Flow &amp; Cond kW'!D197*(($C$13-$C$14)-$C$6*($C$17-$C$18)/1000)-'Refrig Mass Flow &amp; Cond kW'!C197*(1-$C$6/($C$10+273))</f>
        <v>0</v>
      </c>
      <c r="F206" s="13"/>
      <c r="G206" s="13">
        <f>'Refrig Mass Flow &amp; Cond kW'!F197*$C$6*($G$19-$G$18)/1000</f>
        <v>1.1151412474181412</v>
      </c>
      <c r="H206">
        <f>'Refrig Mass Flow &amp; Cond kW'!F197*$C$6*($G$17-$G$16)/1000</f>
        <v>6.9532336603716942</v>
      </c>
      <c r="I206">
        <f>'Refrig Mass Flow &amp; Cond kW'!F197*(($G$13-$G$14)-$C$6*($G$17-$G$18)/1000)-'Refrig Mass Flow &amp; Cond kW'!E197*(1-$C$6/($G$10+273))</f>
        <v>3.0775711877273935</v>
      </c>
    </row>
    <row r="207" spans="2:9" x14ac:dyDescent="0.2">
      <c r="B207" s="2">
        <v>184</v>
      </c>
      <c r="C207">
        <f>'Refrig Mass Flow &amp; Cond kW'!G198*$C$6*(($C$19-$C$18)/1000)</f>
        <v>0</v>
      </c>
      <c r="D207">
        <f>'Refrig Mass Flow &amp; Cond kW'!G198*Spring_autumn!$C$6*((Spring_autumn!$C$17-Spring_autumn!$C$16)/1000)</f>
        <v>0</v>
      </c>
      <c r="E207">
        <f>'Refrig Mass Flow &amp; Cond kW'!D198*(($C$13-$C$14)-$C$6*($C$17-$C$18)/1000)-'Refrig Mass Flow &amp; Cond kW'!C198*(1-$C$6/($C$10+273))</f>
        <v>0</v>
      </c>
      <c r="F207" s="13"/>
      <c r="G207" s="13">
        <f>'Refrig Mass Flow &amp; Cond kW'!F198*$C$6*($G$19-$G$18)/1000</f>
        <v>1.1408188111986712</v>
      </c>
      <c r="H207">
        <f>'Refrig Mass Flow &amp; Cond kW'!F198*$C$6*($G$17-$G$16)/1000</f>
        <v>7.1133408227679347</v>
      </c>
      <c r="I207">
        <f>'Refrig Mass Flow &amp; Cond kW'!F198*(($G$13-$G$14)-$C$6*($G$17-$G$18)/1000)-'Refrig Mass Flow &amp; Cond kW'!E198*(1-$C$6/($G$10+273))</f>
        <v>3.1484362289452221</v>
      </c>
    </row>
    <row r="208" spans="2:9" x14ac:dyDescent="0.2">
      <c r="B208" s="2">
        <v>185</v>
      </c>
      <c r="C208">
        <f>'Refrig Mass Flow &amp; Cond kW'!G199*$C$6*(($C$19-$C$18)/1000)</f>
        <v>0</v>
      </c>
      <c r="D208">
        <f>'Refrig Mass Flow &amp; Cond kW'!G199*Spring_autumn!$C$6*((Spring_autumn!$C$17-Spring_autumn!$C$16)/1000)</f>
        <v>0</v>
      </c>
      <c r="E208">
        <f>'Refrig Mass Flow &amp; Cond kW'!D199*(($C$13-$C$14)-$C$6*($C$17-$C$18)/1000)-'Refrig Mass Flow &amp; Cond kW'!C199*(1-$C$6/($C$10+273))</f>
        <v>0</v>
      </c>
      <c r="F208" s="13"/>
      <c r="G208" s="13">
        <f>'Refrig Mass Flow &amp; Cond kW'!F199*$C$6*($G$19-$G$18)/1000</f>
        <v>1.1662519075222535</v>
      </c>
      <c r="H208">
        <f>'Refrig Mass Flow &amp; Cond kW'!F199*$C$6*($G$17-$G$16)/1000</f>
        <v>7.2719236586679123</v>
      </c>
      <c r="I208">
        <f>'Refrig Mass Flow &amp; Cond kW'!F199*(($G$13-$G$14)-$C$6*($G$17-$G$18)/1000)-'Refrig Mass Flow &amp; Cond kW'!E199*(1-$C$6/($G$10+273))</f>
        <v>3.218626587916674</v>
      </c>
    </row>
    <row r="209" spans="2:9" x14ac:dyDescent="0.2">
      <c r="B209" s="2">
        <v>186</v>
      </c>
      <c r="C209">
        <f>'Refrig Mass Flow &amp; Cond kW'!G200*$C$6*(($C$19-$C$18)/1000)</f>
        <v>0</v>
      </c>
      <c r="D209">
        <f>'Refrig Mass Flow &amp; Cond kW'!G200*Spring_autumn!$C$6*((Spring_autumn!$C$17-Spring_autumn!$C$16)/1000)</f>
        <v>0</v>
      </c>
      <c r="E209">
        <f>'Refrig Mass Flow &amp; Cond kW'!D200*(($C$13-$C$14)-$C$6*($C$17-$C$18)/1000)-'Refrig Mass Flow &amp; Cond kW'!C200*(1-$C$6/($C$10+273))</f>
        <v>0</v>
      </c>
      <c r="F209" s="13"/>
      <c r="G209" s="13">
        <f>'Refrig Mass Flow &amp; Cond kW'!F200*$C$6*($G$19-$G$18)/1000</f>
        <v>1.1913996027153964</v>
      </c>
      <c r="H209">
        <f>'Refrig Mass Flow &amp; Cond kW'!F200*$C$6*($G$17-$G$16)/1000</f>
        <v>7.4287269345780924</v>
      </c>
      <c r="I209">
        <f>'Refrig Mass Flow &amp; Cond kW'!F200*(($G$13-$G$14)-$C$6*($G$17-$G$18)/1000)-'Refrig Mass Flow &amp; Cond kW'!E200*(1-$C$6/($G$10+273))</f>
        <v>3.2880292957291246</v>
      </c>
    </row>
    <row r="210" spans="2:9" x14ac:dyDescent="0.2">
      <c r="B210" s="2">
        <v>187</v>
      </c>
      <c r="C210">
        <f>'Refrig Mass Flow &amp; Cond kW'!G201*$C$6*(($C$19-$C$18)/1000)</f>
        <v>0</v>
      </c>
      <c r="D210">
        <f>'Refrig Mass Flow &amp; Cond kW'!G201*Spring_autumn!$C$6*((Spring_autumn!$C$17-Spring_autumn!$C$16)/1000)</f>
        <v>0</v>
      </c>
      <c r="E210">
        <f>'Refrig Mass Flow &amp; Cond kW'!D201*(($C$13-$C$14)-$C$6*($C$17-$C$18)/1000)-'Refrig Mass Flow &amp; Cond kW'!C201*(1-$C$6/($C$10+273))</f>
        <v>0</v>
      </c>
      <c r="F210" s="13"/>
      <c r="G210" s="13">
        <f>'Refrig Mass Flow &amp; Cond kW'!F201*$C$6*($G$19-$G$18)/1000</f>
        <v>1.2162974417136978</v>
      </c>
      <c r="H210">
        <f>'Refrig Mass Flow &amp; Cond kW'!F201*$C$6*($G$17-$G$16)/1000</f>
        <v>7.5839722836263181</v>
      </c>
      <c r="I210">
        <f>'Refrig Mass Flow &amp; Cond kW'!F201*(($G$13-$G$14)-$C$6*($G$17-$G$18)/1000)-'Refrig Mass Flow &amp; Cond kW'!E201*(1-$C$6/($G$10+273))</f>
        <v>3.3567424494352096</v>
      </c>
    </row>
    <row r="211" spans="2:9" x14ac:dyDescent="0.2">
      <c r="B211" s="2">
        <v>188</v>
      </c>
      <c r="C211">
        <f>'Refrig Mass Flow &amp; Cond kW'!G202*$C$6*(($C$19-$C$18)/1000)</f>
        <v>0</v>
      </c>
      <c r="D211">
        <f>'Refrig Mass Flow &amp; Cond kW'!G202*Spring_autumn!$C$6*((Spring_autumn!$C$17-Spring_autumn!$C$16)/1000)</f>
        <v>0</v>
      </c>
      <c r="E211">
        <f>'Refrig Mass Flow &amp; Cond kW'!D202*(($C$13-$C$14)-$C$6*($C$17-$C$18)/1000)-'Refrig Mass Flow &amp; Cond kW'!C202*(1-$C$6/($C$10+273))</f>
        <v>0</v>
      </c>
      <c r="F211" s="13"/>
      <c r="G211" s="13">
        <f>'Refrig Mass Flow &amp; Cond kW'!F202*$C$6*($G$19-$G$18)/1000</f>
        <v>1.2409451359859482</v>
      </c>
      <c r="H211">
        <f>'Refrig Mass Flow &amp; Cond kW'!F202*$C$6*($G$17-$G$16)/1000</f>
        <v>7.7376579067356399</v>
      </c>
      <c r="I211">
        <f>'Refrig Mass Flow &amp; Cond kW'!F202*(($G$13-$G$14)-$C$6*($G$17-$G$18)/1000)-'Refrig Mass Flow &amp; Cond kW'!E202*(1-$C$6/($G$10+273))</f>
        <v>3.424765252745388</v>
      </c>
    </row>
    <row r="212" spans="2:9" x14ac:dyDescent="0.2">
      <c r="B212" s="2">
        <v>189</v>
      </c>
      <c r="C212">
        <f>'Refrig Mass Flow &amp; Cond kW'!G203*$C$6*(($C$19-$C$18)/1000)</f>
        <v>0</v>
      </c>
      <c r="D212">
        <f>'Refrig Mass Flow &amp; Cond kW'!G203*Spring_autumn!$C$6*((Spring_autumn!$C$17-Spring_autumn!$C$16)/1000)</f>
        <v>0</v>
      </c>
      <c r="E212">
        <f>'Refrig Mass Flow &amp; Cond kW'!D203*(($C$13-$C$14)-$C$6*($C$17-$C$18)/1000)-'Refrig Mass Flow &amp; Cond kW'!C203*(1-$C$6/($C$10+273))</f>
        <v>0</v>
      </c>
      <c r="F212" s="13"/>
      <c r="G212" s="13">
        <f>'Refrig Mass Flow &amp; Cond kW'!F203*$C$6*($G$19-$G$18)/1000</f>
        <v>1.2653345407029546</v>
      </c>
      <c r="H212">
        <f>'Refrig Mass Flow &amp; Cond kW'!F203*$C$6*($G$17-$G$16)/1000</f>
        <v>7.8897330185004968</v>
      </c>
      <c r="I212">
        <f>'Refrig Mass Flow &amp; Cond kW'!F203*(($G$13-$G$14)-$C$6*($G$17-$G$18)/1000)-'Refrig Mass Flow &amp; Cond kW'!E203*(1-$C$6/($G$10+273))</f>
        <v>3.4920752275281117</v>
      </c>
    </row>
    <row r="213" spans="2:9" x14ac:dyDescent="0.2">
      <c r="B213" s="2">
        <v>190</v>
      </c>
      <c r="C213">
        <f>'Refrig Mass Flow &amp; Cond kW'!G204*$C$6*(($C$19-$C$18)/1000)</f>
        <v>0</v>
      </c>
      <c r="D213">
        <f>'Refrig Mass Flow &amp; Cond kW'!G204*Spring_autumn!$C$6*((Spring_autumn!$C$17-Spring_autumn!$C$16)/1000)</f>
        <v>0</v>
      </c>
      <c r="E213">
        <f>'Refrig Mass Flow &amp; Cond kW'!D204*(($C$13-$C$14)-$C$6*($C$17-$C$18)/1000)-'Refrig Mass Flow &amp; Cond kW'!C204*(1-$C$6/($C$10+273))</f>
        <v>0</v>
      </c>
      <c r="F213" s="13"/>
      <c r="G213" s="13">
        <f>'Refrig Mass Flow &amp; Cond kW'!F204*$C$6*($G$19-$G$18)/1000</f>
        <v>1.2894993742418481</v>
      </c>
      <c r="H213">
        <f>'Refrig Mass Flow &amp; Cond kW'!F204*$C$6*($G$17-$G$16)/1000</f>
        <v>8.0404078629194746</v>
      </c>
      <c r="I213">
        <f>'Refrig Mass Flow &amp; Cond kW'!F204*(($G$13-$G$14)-$C$6*($G$17-$G$18)/1000)-'Refrig Mass Flow &amp; Cond kW'!E204*(1-$C$6/($G$10+273))</f>
        <v>3.5587654298927944</v>
      </c>
    </row>
    <row r="214" spans="2:9" x14ac:dyDescent="0.2">
      <c r="B214" s="2">
        <v>191</v>
      </c>
      <c r="C214">
        <f>'Refrig Mass Flow &amp; Cond kW'!G205*$C$6*(($C$19-$C$18)/1000)</f>
        <v>0</v>
      </c>
      <c r="D214">
        <f>'Refrig Mass Flow &amp; Cond kW'!G205*Spring_autumn!$C$6*((Spring_autumn!$C$17-Spring_autumn!$C$16)/1000)</f>
        <v>0</v>
      </c>
      <c r="E214">
        <f>'Refrig Mass Flow &amp; Cond kW'!D205*(($C$13-$C$14)-$C$6*($C$17-$C$18)/1000)-'Refrig Mass Flow &amp; Cond kW'!C205*(1-$C$6/($C$10+273))</f>
        <v>0</v>
      </c>
      <c r="F214" s="13"/>
      <c r="G214" s="13">
        <f>'Refrig Mass Flow &amp; Cond kW'!F205*$C$6*($G$19-$G$18)/1000</f>
        <v>1.3136257422753894</v>
      </c>
      <c r="H214">
        <f>'Refrig Mass Flow &amp; Cond kW'!F205*$C$6*($G$17-$G$16)/1000</f>
        <v>8.1908428635991974</v>
      </c>
      <c r="I214">
        <f>'Refrig Mass Flow &amp; Cond kW'!F205*(($G$13-$G$14)-$C$6*($G$17-$G$18)/1000)-'Refrig Mass Flow &amp; Cond kW'!E205*(1-$C$6/($G$10+273))</f>
        <v>3.6253494750049668</v>
      </c>
    </row>
    <row r="215" spans="2:9" x14ac:dyDescent="0.2">
      <c r="B215" s="2">
        <v>192</v>
      </c>
      <c r="C215">
        <f>'Refrig Mass Flow &amp; Cond kW'!G206*$C$6*(($C$19-$C$18)/1000)</f>
        <v>0</v>
      </c>
      <c r="D215">
        <f>'Refrig Mass Flow &amp; Cond kW'!G206*Spring_autumn!$C$6*((Spring_autumn!$C$17-Spring_autumn!$C$16)/1000)</f>
        <v>0</v>
      </c>
      <c r="E215">
        <f>'Refrig Mass Flow &amp; Cond kW'!D206*(($C$13-$C$14)-$C$6*($C$17-$C$18)/1000)-'Refrig Mass Flow &amp; Cond kW'!C206*(1-$C$6/($C$10+273))</f>
        <v>0</v>
      </c>
      <c r="F215" s="13"/>
      <c r="G215" s="13">
        <f>'Refrig Mass Flow &amp; Cond kW'!F206*$C$6*($G$19-$G$18)/1000</f>
        <v>1.3375101925299797</v>
      </c>
      <c r="H215">
        <f>'Refrig Mass Flow &amp; Cond kW'!F206*$C$6*($G$17-$G$16)/1000</f>
        <v>8.3397694357748726</v>
      </c>
      <c r="I215">
        <f>'Refrig Mass Flow &amp; Cond kW'!F206*(($G$13-$G$14)-$C$6*($G$17-$G$18)/1000)-'Refrig Mass Flow &amp; Cond kW'!E206*(1-$C$6/($G$10+273))</f>
        <v>3.6912658744820988</v>
      </c>
    </row>
    <row r="216" spans="2:9" x14ac:dyDescent="0.2">
      <c r="B216" s="2">
        <v>193</v>
      </c>
      <c r="C216">
        <f>'Refrig Mass Flow &amp; Cond kW'!G207*$C$6*(($C$19-$C$18)/1000)</f>
        <v>0</v>
      </c>
      <c r="D216">
        <f>'Refrig Mass Flow &amp; Cond kW'!G207*Spring_autumn!$C$6*((Spring_autumn!$C$17-Spring_autumn!$C$16)/1000)</f>
        <v>0</v>
      </c>
      <c r="E216">
        <f>'Refrig Mass Flow &amp; Cond kW'!D207*(($C$13-$C$14)-$C$6*($C$17-$C$18)/1000)-'Refrig Mass Flow &amp; Cond kW'!C207*(1-$C$6/($C$10+273))</f>
        <v>0</v>
      </c>
      <c r="F216" s="13"/>
      <c r="G216" s="13">
        <f>'Refrig Mass Flow &amp; Cond kW'!F207*$C$6*($G$19-$G$18)/1000</f>
        <v>1.3613561851775264</v>
      </c>
      <c r="H216">
        <f>'Refrig Mass Flow &amp; Cond kW'!F207*$C$6*($G$17-$G$16)/1000</f>
        <v>8.4884562134595711</v>
      </c>
      <c r="I216">
        <f>'Refrig Mass Flow &amp; Cond kW'!F207*(($G$13-$G$14)-$C$6*($G$17-$G$18)/1000)-'Refrig Mass Flow &amp; Cond kW'!E207*(1-$C$6/($G$10+273))</f>
        <v>3.7570761385044875</v>
      </c>
    </row>
    <row r="217" spans="2:9" x14ac:dyDescent="0.2">
      <c r="B217" s="2">
        <v>194</v>
      </c>
      <c r="C217">
        <f>'Refrig Mass Flow &amp; Cond kW'!G208*$C$6*(($C$19-$C$18)/1000)</f>
        <v>0</v>
      </c>
      <c r="D217">
        <f>'Refrig Mass Flow &amp; Cond kW'!G208*Spring_autumn!$C$6*((Spring_autumn!$C$17-Spring_autumn!$C$16)/1000)</f>
        <v>0</v>
      </c>
      <c r="E217">
        <f>'Refrig Mass Flow &amp; Cond kW'!D208*(($C$13-$C$14)-$C$6*($C$17-$C$18)/1000)-'Refrig Mass Flow &amp; Cond kW'!C208*(1-$C$6/($C$10+273))</f>
        <v>0</v>
      </c>
      <c r="F217" s="13"/>
      <c r="G217" s="13">
        <f>'Refrig Mass Flow &amp; Cond kW'!F208*$C$6*($G$19-$G$18)/1000</f>
        <v>1.3850752541492004</v>
      </c>
      <c r="H217">
        <f>'Refrig Mass Flow &amp; Cond kW'!F208*$C$6*($G$17-$G$16)/1000</f>
        <v>8.6363515846947081</v>
      </c>
      <c r="I217">
        <f>'Refrig Mass Flow &amp; Cond kW'!F208*(($G$13-$G$14)-$C$6*($G$17-$G$18)/1000)-'Refrig Mass Flow &amp; Cond kW'!E208*(1-$C$6/($G$10+273))</f>
        <v>3.82253611806847</v>
      </c>
    </row>
    <row r="218" spans="2:9" x14ac:dyDescent="0.2">
      <c r="B218" s="2">
        <v>195</v>
      </c>
      <c r="C218">
        <f>'Refrig Mass Flow &amp; Cond kW'!G209*$C$6*(($C$19-$C$18)/1000)</f>
        <v>0</v>
      </c>
      <c r="D218">
        <f>'Refrig Mass Flow &amp; Cond kW'!G209*Spring_autumn!$C$6*((Spring_autumn!$C$17-Spring_autumn!$C$16)/1000)</f>
        <v>0</v>
      </c>
      <c r="E218">
        <f>'Refrig Mass Flow &amp; Cond kW'!D209*(($C$13-$C$14)-$C$6*($C$17-$C$18)/1000)-'Refrig Mass Flow &amp; Cond kW'!C209*(1-$C$6/($C$10+273))</f>
        <v>0</v>
      </c>
      <c r="F218" s="13"/>
      <c r="G218" s="13">
        <f>'Refrig Mass Flow &amp; Cond kW'!F209*$C$6*($G$19-$G$18)/1000</f>
        <v>1.4086636129132659</v>
      </c>
      <c r="H218">
        <f>'Refrig Mass Flow &amp; Cond kW'!F209*$C$6*($G$17-$G$16)/1000</f>
        <v>8.7834319393412308</v>
      </c>
      <c r="I218">
        <f>'Refrig Mass Flow &amp; Cond kW'!F209*(($G$13-$G$14)-$C$6*($G$17-$G$18)/1000)-'Refrig Mass Flow &amp; Cond kW'!E209*(1-$C$6/($G$10+273))</f>
        <v>3.8876353630888971</v>
      </c>
    </row>
    <row r="219" spans="2:9" x14ac:dyDescent="0.2">
      <c r="B219" s="2">
        <v>196</v>
      </c>
      <c r="C219">
        <f>'Refrig Mass Flow &amp; Cond kW'!G210*$C$6*(($C$19-$C$18)/1000)</f>
        <v>0</v>
      </c>
      <c r="D219">
        <f>'Refrig Mass Flow &amp; Cond kW'!G210*Spring_autumn!$C$6*((Spring_autumn!$C$17-Spring_autumn!$C$16)/1000)</f>
        <v>0</v>
      </c>
      <c r="E219">
        <f>'Refrig Mass Flow &amp; Cond kW'!D210*(($C$13-$C$14)-$C$6*($C$17-$C$18)/1000)-'Refrig Mass Flow &amp; Cond kW'!C210*(1-$C$6/($C$10+273))</f>
        <v>0</v>
      </c>
      <c r="F219" s="13"/>
      <c r="G219" s="13">
        <f>'Refrig Mass Flow &amp; Cond kW'!F210*$C$6*($G$19-$G$18)/1000</f>
        <v>1.4321191203000521</v>
      </c>
      <c r="H219">
        <f>'Refrig Mass Flow &amp; Cond kW'!F210*$C$6*($G$17-$G$16)/1000</f>
        <v>8.9296839265764802</v>
      </c>
      <c r="I219">
        <f>'Refrig Mass Flow &amp; Cond kW'!F210*(($G$13-$G$14)-$C$6*($G$17-$G$18)/1000)-'Refrig Mass Flow &amp; Cond kW'!E210*(1-$C$6/($G$10+273))</f>
        <v>3.9523679643573359</v>
      </c>
    </row>
    <row r="220" spans="2:9" x14ac:dyDescent="0.2">
      <c r="B220" s="2">
        <v>197</v>
      </c>
      <c r="C220">
        <f>'Refrig Mass Flow &amp; Cond kW'!G211*$C$6*(($C$19-$C$18)/1000)</f>
        <v>0</v>
      </c>
      <c r="D220">
        <f>'Refrig Mass Flow &amp; Cond kW'!G211*Spring_autumn!$C$6*((Spring_autumn!$C$17-Spring_autumn!$C$16)/1000)</f>
        <v>0</v>
      </c>
      <c r="E220">
        <f>'Refrig Mass Flow &amp; Cond kW'!D211*(($C$13-$C$14)-$C$6*($C$17-$C$18)/1000)-'Refrig Mass Flow &amp; Cond kW'!C211*(1-$C$6/($C$10+273))</f>
        <v>0</v>
      </c>
      <c r="F220" s="13"/>
      <c r="G220" s="13">
        <f>'Refrig Mass Flow &amp; Cond kW'!F211*$C$6*($G$19-$G$18)/1000</f>
        <v>1.4554396476558806</v>
      </c>
      <c r="H220">
        <f>'Refrig Mass Flow &amp; Cond kW'!F211*$C$6*($G$17-$G$16)/1000</f>
        <v>9.075094273618701</v>
      </c>
      <c r="I220">
        <f>'Refrig Mass Flow &amp; Cond kW'!F211*(($G$13-$G$14)-$C$6*($G$17-$G$18)/1000)-'Refrig Mass Flow &amp; Cond kW'!E211*(1-$C$6/($G$10+273))</f>
        <v>4.0167280472069891</v>
      </c>
    </row>
    <row r="221" spans="2:9" x14ac:dyDescent="0.2">
      <c r="B221" s="2">
        <v>198</v>
      </c>
      <c r="C221">
        <f>'Refrig Mass Flow &amp; Cond kW'!G212*$C$6*(($C$19-$C$18)/1000)</f>
        <v>0</v>
      </c>
      <c r="D221">
        <f>'Refrig Mass Flow &amp; Cond kW'!G212*Spring_autumn!$C$6*((Spring_autumn!$C$17-Spring_autumn!$C$16)/1000)</f>
        <v>0</v>
      </c>
      <c r="E221">
        <f>'Refrig Mass Flow &amp; Cond kW'!D212*(($C$13-$C$14)-$C$6*($C$17-$C$18)/1000)-'Refrig Mass Flow &amp; Cond kW'!C212*(1-$C$6/($C$10+273))</f>
        <v>0</v>
      </c>
      <c r="F221" s="13"/>
      <c r="G221" s="13">
        <f>'Refrig Mass Flow &amp; Cond kW'!F212*$C$6*($G$19-$G$18)/1000</f>
        <v>1.4786230790361878</v>
      </c>
      <c r="H221">
        <f>'Refrig Mass Flow &amp; Cond kW'!F212*$C$6*($G$17-$G$16)/1000</f>
        <v>9.219649786931198</v>
      </c>
      <c r="I221">
        <f>'Refrig Mass Flow &amp; Cond kW'!F212*(($G$13-$G$14)-$C$6*($G$17-$G$18)/1000)-'Refrig Mass Flow &amp; Cond kW'!E212*(1-$C$6/($G$10+273))</f>
        <v>4.0807097720457861</v>
      </c>
    </row>
    <row r="222" spans="2:9" x14ac:dyDescent="0.2">
      <c r="B222" s="2">
        <v>199</v>
      </c>
      <c r="C222">
        <f>'Refrig Mass Flow &amp; Cond kW'!G213*$C$6*(($C$19-$C$18)/1000)</f>
        <v>0</v>
      </c>
      <c r="D222">
        <f>'Refrig Mass Flow &amp; Cond kW'!G213*Spring_autumn!$C$6*((Spring_autumn!$C$17-Spring_autumn!$C$16)/1000)</f>
        <v>0</v>
      </c>
      <c r="E222">
        <f>'Refrig Mass Flow &amp; Cond kW'!D213*(($C$13-$C$14)-$C$6*($C$17-$C$18)/1000)-'Refrig Mass Flow &amp; Cond kW'!C213*(1-$C$6/($C$10+273))</f>
        <v>0</v>
      </c>
      <c r="F222" s="13"/>
      <c r="G222" s="13">
        <f>'Refrig Mass Flow &amp; Cond kW'!F213*$C$6*($G$19-$G$18)/1000</f>
        <v>1.5019653626372687</v>
      </c>
      <c r="H222">
        <f>'Refrig Mass Flow &amp; Cond kW'!F213*$C$6*($G$17-$G$16)/1000</f>
        <v>9.3651957905614616</v>
      </c>
      <c r="I222">
        <f>'Refrig Mass Flow &amp; Cond kW'!F213*(($G$13-$G$14)-$C$6*($G$17-$G$18)/1000)-'Refrig Mass Flow &amp; Cond kW'!E213*(1-$C$6/($G$10+273))</f>
        <v>4.1451298978664113</v>
      </c>
    </row>
    <row r="223" spans="2:9" x14ac:dyDescent="0.2">
      <c r="B223" s="2">
        <v>200</v>
      </c>
      <c r="C223">
        <f>'Refrig Mass Flow &amp; Cond kW'!G214*$C$6*(($C$19-$C$18)/1000)</f>
        <v>0</v>
      </c>
      <c r="D223">
        <f>'Refrig Mass Flow &amp; Cond kW'!G214*Spring_autumn!$C$6*((Spring_autumn!$C$17-Spring_autumn!$C$16)/1000)</f>
        <v>0</v>
      </c>
      <c r="E223">
        <f>'Refrig Mass Flow &amp; Cond kW'!D214*(($C$13-$C$14)-$C$6*($C$17-$C$18)/1000)-'Refrig Mass Flow &amp; Cond kW'!C214*(1-$C$6/($C$10+273))</f>
        <v>0</v>
      </c>
      <c r="F223" s="13"/>
      <c r="G223" s="13">
        <f>'Refrig Mass Flow &amp; Cond kW'!F214*$C$6*($G$19-$G$18)/1000</f>
        <v>1.5253323772922003</v>
      </c>
      <c r="H223">
        <f>'Refrig Mass Flow &amp; Cond kW'!F214*$C$6*($G$17-$G$16)/1000</f>
        <v>9.5108959995863245</v>
      </c>
      <c r="I223">
        <f>'Refrig Mass Flow &amp; Cond kW'!F214*(($G$13-$G$14)-$C$6*($G$17-$G$18)/1000)-'Refrig Mass Flow &amp; Cond kW'!E214*(1-$C$6/($G$10+273))</f>
        <v>4.2096182765464363</v>
      </c>
    </row>
    <row r="224" spans="2:9" x14ac:dyDescent="0.2">
      <c r="B224" s="2">
        <v>201</v>
      </c>
      <c r="C224">
        <f>'Refrig Mass Flow &amp; Cond kW'!G215*$C$6*(($C$19-$C$18)/1000)</f>
        <v>0</v>
      </c>
      <c r="D224">
        <f>'Refrig Mass Flow &amp; Cond kW'!G215*Spring_autumn!$C$6*((Spring_autumn!$C$17-Spring_autumn!$C$16)/1000)</f>
        <v>0</v>
      </c>
      <c r="E224">
        <f>'Refrig Mass Flow &amp; Cond kW'!D215*(($C$13-$C$14)-$C$6*($C$17-$C$18)/1000)-'Refrig Mass Flow &amp; Cond kW'!C215*(1-$C$6/($C$10+273))</f>
        <v>0</v>
      </c>
      <c r="F224" s="13"/>
      <c r="G224" s="13">
        <f>'Refrig Mass Flow &amp; Cond kW'!F215*$C$6*($G$19-$G$18)/1000</f>
        <v>1.5486828229334066</v>
      </c>
      <c r="H224">
        <f>'Refrig Mass Flow &amp; Cond kW'!F215*$C$6*($G$17-$G$16)/1000</f>
        <v>9.6564928959373724</v>
      </c>
      <c r="I224">
        <f>'Refrig Mass Flow &amp; Cond kW'!F215*(($G$13-$G$14)-$C$6*($G$17-$G$18)/1000)-'Refrig Mass Flow &amp; Cond kW'!E215*(1-$C$6/($G$10+273))</f>
        <v>4.2740609279974038</v>
      </c>
    </row>
    <row r="225" spans="2:9" x14ac:dyDescent="0.2">
      <c r="B225" s="2">
        <v>202</v>
      </c>
      <c r="C225">
        <f>'Refrig Mass Flow &amp; Cond kW'!G216*$C$6*(($C$19-$C$18)/1000)</f>
        <v>0</v>
      </c>
      <c r="D225">
        <f>'Refrig Mass Flow &amp; Cond kW'!G216*Spring_autumn!$C$6*((Spring_autumn!$C$17-Spring_autumn!$C$16)/1000)</f>
        <v>0</v>
      </c>
      <c r="E225">
        <f>'Refrig Mass Flow &amp; Cond kW'!D216*(($C$13-$C$14)-$C$6*($C$17-$C$18)/1000)-'Refrig Mass Flow &amp; Cond kW'!C216*(1-$C$6/($C$10+273))</f>
        <v>0</v>
      </c>
      <c r="F225" s="13"/>
      <c r="G225" s="13">
        <f>'Refrig Mass Flow &amp; Cond kW'!F216*$C$6*($G$19-$G$18)/1000</f>
        <v>1.5716875733216482</v>
      </c>
      <c r="H225">
        <f>'Refrig Mass Flow &amp; Cond kW'!F216*$C$6*($G$17-$G$16)/1000</f>
        <v>9.7999342807111081</v>
      </c>
      <c r="I225">
        <f>'Refrig Mass Flow &amp; Cond kW'!F216*(($G$13-$G$14)-$C$6*($G$17-$G$18)/1000)-'Refrig Mass Flow &amp; Cond kW'!E216*(1-$C$6/($G$10+273))</f>
        <v>4.3375495283335894</v>
      </c>
    </row>
    <row r="226" spans="2:9" x14ac:dyDescent="0.2">
      <c r="B226" s="2">
        <v>203</v>
      </c>
      <c r="C226">
        <f>'Refrig Mass Flow &amp; Cond kW'!G217*$C$6*(($C$19-$C$18)/1000)</f>
        <v>0</v>
      </c>
      <c r="D226">
        <f>'Refrig Mass Flow &amp; Cond kW'!G217*Spring_autumn!$C$6*((Spring_autumn!$C$17-Spring_autumn!$C$16)/1000)</f>
        <v>0</v>
      </c>
      <c r="E226">
        <f>'Refrig Mass Flow &amp; Cond kW'!D217*(($C$13-$C$14)-$C$6*($C$17-$C$18)/1000)-'Refrig Mass Flow &amp; Cond kW'!C217*(1-$C$6/($C$10+273))</f>
        <v>0</v>
      </c>
      <c r="F226" s="13"/>
      <c r="G226" s="13">
        <f>'Refrig Mass Flow &amp; Cond kW'!F217*$C$6*($G$19-$G$18)/1000</f>
        <v>1.59447333127899</v>
      </c>
      <c r="H226">
        <f>'Refrig Mass Flow &amp; Cond kW'!F217*$C$6*($G$17-$G$16)/1000</f>
        <v>9.9420101832686463</v>
      </c>
      <c r="I226">
        <f>'Refrig Mass Flow &amp; Cond kW'!F217*(($G$13-$G$14)-$C$6*($G$17-$G$18)/1000)-'Refrig Mass Flow &amp; Cond kW'!E217*(1-$C$6/($G$10+273))</f>
        <v>4.4004337525001702</v>
      </c>
    </row>
    <row r="227" spans="2:9" x14ac:dyDescent="0.2">
      <c r="B227" s="2">
        <v>204</v>
      </c>
      <c r="C227">
        <f>'Refrig Mass Flow &amp; Cond kW'!G218*$C$6*(($C$19-$C$18)/1000)</f>
        <v>0</v>
      </c>
      <c r="D227">
        <f>'Refrig Mass Flow &amp; Cond kW'!G218*Spring_autumn!$C$6*((Spring_autumn!$C$17-Spring_autumn!$C$16)/1000)</f>
        <v>0</v>
      </c>
      <c r="E227">
        <f>'Refrig Mass Flow &amp; Cond kW'!D218*(($C$13-$C$14)-$C$6*($C$17-$C$18)/1000)-'Refrig Mass Flow &amp; Cond kW'!C218*(1-$C$6/($C$10+273))</f>
        <v>0</v>
      </c>
      <c r="F227" s="13"/>
      <c r="G227" s="13">
        <f>'Refrig Mass Flow &amp; Cond kW'!F218*$C$6*($G$19-$G$18)/1000</f>
        <v>1.6170121005186133</v>
      </c>
      <c r="H227">
        <f>'Refrig Mass Flow &amp; Cond kW'!F218*$C$6*($G$17-$G$16)/1000</f>
        <v>10.082546038527468</v>
      </c>
      <c r="I227">
        <f>'Refrig Mass Flow &amp; Cond kW'!F218*(($G$13-$G$14)-$C$6*($G$17-$G$18)/1000)-'Refrig Mass Flow &amp; Cond kW'!E218*(1-$C$6/($G$10+273))</f>
        <v>4.4626363362350077</v>
      </c>
    </row>
    <row r="228" spans="2:9" x14ac:dyDescent="0.2">
      <c r="B228" s="2">
        <v>205</v>
      </c>
      <c r="C228">
        <f>'Refrig Mass Flow &amp; Cond kW'!G219*$C$6*(($C$19-$C$18)/1000)</f>
        <v>0</v>
      </c>
      <c r="D228">
        <f>'Refrig Mass Flow &amp; Cond kW'!G219*Spring_autumn!$C$6*((Spring_autumn!$C$17-Spring_autumn!$C$16)/1000)</f>
        <v>0</v>
      </c>
      <c r="E228">
        <f>'Refrig Mass Flow &amp; Cond kW'!D219*(($C$13-$C$14)-$C$6*($C$17-$C$18)/1000)-'Refrig Mass Flow &amp; Cond kW'!C219*(1-$C$6/($C$10+273))</f>
        <v>0</v>
      </c>
      <c r="F228" s="13"/>
      <c r="G228" s="13">
        <f>'Refrig Mass Flow &amp; Cond kW'!F219*$C$6*($G$19-$G$18)/1000</f>
        <v>1.6392759160105816</v>
      </c>
      <c r="H228">
        <f>'Refrig Mass Flow &amp; Cond kW'!F219*$C$6*($G$17-$G$16)/1000</f>
        <v>10.221367476300911</v>
      </c>
      <c r="I228">
        <f>'Refrig Mass Flow &amp; Cond kW'!F219*(($G$13-$G$14)-$C$6*($G$17-$G$18)/1000)-'Refrig Mass Flow &amp; Cond kW'!E219*(1-$C$6/($G$10+273))</f>
        <v>4.5240801015388143</v>
      </c>
    </row>
    <row r="229" spans="2:9" x14ac:dyDescent="0.2">
      <c r="B229" s="2">
        <v>206</v>
      </c>
      <c r="C229">
        <f>'Refrig Mass Flow &amp; Cond kW'!G220*$C$6*(($C$19-$C$18)/1000)</f>
        <v>0</v>
      </c>
      <c r="D229">
        <f>'Refrig Mass Flow &amp; Cond kW'!G220*Spring_autumn!$C$6*((Spring_autumn!$C$17-Spring_autumn!$C$16)/1000)</f>
        <v>0</v>
      </c>
      <c r="E229">
        <f>'Refrig Mass Flow &amp; Cond kW'!D220*(($C$13-$C$14)-$C$6*($C$17-$C$18)/1000)-'Refrig Mass Flow &amp; Cond kW'!C220*(1-$C$6/($C$10+273))</f>
        <v>0</v>
      </c>
      <c r="F229" s="13"/>
      <c r="G229" s="13">
        <f>'Refrig Mass Flow &amp; Cond kW'!F220*$C$6*($G$19-$G$18)/1000</f>
        <v>1.6612367264149659</v>
      </c>
      <c r="H229">
        <f>'Refrig Mass Flow &amp; Cond kW'!F220*$C$6*($G$17-$G$16)/1000</f>
        <v>10.358299588234127</v>
      </c>
      <c r="I229">
        <f>'Refrig Mass Flow &amp; Cond kW'!F220*(($G$13-$G$14)-$C$6*($G$17-$G$18)/1000)-'Refrig Mass Flow &amp; Cond kW'!E220*(1-$C$6/($G$10+273))</f>
        <v>4.584687632213658</v>
      </c>
    </row>
    <row r="230" spans="2:9" x14ac:dyDescent="0.2">
      <c r="B230" s="2">
        <v>207</v>
      </c>
      <c r="C230">
        <f>'Refrig Mass Flow &amp; Cond kW'!G221*$C$6*(($C$19-$C$18)/1000)</f>
        <v>0</v>
      </c>
      <c r="D230">
        <f>'Refrig Mass Flow &amp; Cond kW'!G221*Spring_autumn!$C$6*((Spring_autumn!$C$17-Spring_autumn!$C$16)/1000)</f>
        <v>0</v>
      </c>
      <c r="E230">
        <f>'Refrig Mass Flow &amp; Cond kW'!D221*(($C$13-$C$14)-$C$6*($C$17-$C$18)/1000)-'Refrig Mass Flow &amp; Cond kW'!C221*(1-$C$6/($C$10+273))</f>
        <v>0</v>
      </c>
      <c r="F230" s="13"/>
      <c r="G230" s="13">
        <f>'Refrig Mass Flow &amp; Cond kW'!F221*$C$6*($G$19-$G$18)/1000</f>
        <v>1.5550391161941561</v>
      </c>
      <c r="H230">
        <f>'Refrig Mass Flow &amp; Cond kW'!F221*$C$6*($G$17-$G$16)/1000</f>
        <v>9.6961262539161606</v>
      </c>
      <c r="I230">
        <f>'Refrig Mass Flow &amp; Cond kW'!F221*(($G$13-$G$14)-$C$6*($G$17-$G$18)/1000)-'Refrig Mass Flow &amp; Cond kW'!E221*(1-$C$6/($G$10+273))</f>
        <v>4.2916030510650671</v>
      </c>
    </row>
    <row r="231" spans="2:9" x14ac:dyDescent="0.2">
      <c r="B231" s="2">
        <v>208</v>
      </c>
      <c r="C231">
        <f>'Refrig Mass Flow &amp; Cond kW'!G222*$C$6*(($C$19-$C$18)/1000)</f>
        <v>0</v>
      </c>
      <c r="D231">
        <f>'Refrig Mass Flow &amp; Cond kW'!G222*Spring_autumn!$C$6*((Spring_autumn!$C$17-Spring_autumn!$C$16)/1000)</f>
        <v>0</v>
      </c>
      <c r="E231">
        <f>'Refrig Mass Flow &amp; Cond kW'!D222*(($C$13-$C$14)-$C$6*($C$17-$C$18)/1000)-'Refrig Mass Flow &amp; Cond kW'!C222*(1-$C$6/($C$10+273))</f>
        <v>0</v>
      </c>
      <c r="F231" s="13"/>
      <c r="G231" s="13">
        <f>'Refrig Mass Flow &amp; Cond kW'!F222*$C$6*($G$19-$G$18)/1000</f>
        <v>1.5104828553110403</v>
      </c>
      <c r="H231">
        <f>'Refrig Mass Flow &amp; Cond kW'!F222*$C$6*($G$17-$G$16)/1000</f>
        <v>9.4183048625273287</v>
      </c>
      <c r="I231">
        <f>'Refrig Mass Flow &amp; Cond kW'!F222*(($G$13-$G$14)-$C$6*($G$17-$G$18)/1000)-'Refrig Mass Flow &amp; Cond kW'!E222*(1-$C$6/($G$10+273))</f>
        <v>4.1686365075494081</v>
      </c>
    </row>
    <row r="232" spans="2:9" x14ac:dyDescent="0.2">
      <c r="B232" s="2">
        <v>209</v>
      </c>
      <c r="C232">
        <f>'Refrig Mass Flow &amp; Cond kW'!G223*$C$6*(($C$19-$C$18)/1000)</f>
        <v>0</v>
      </c>
      <c r="D232">
        <f>'Refrig Mass Flow &amp; Cond kW'!G223*Spring_autumn!$C$6*((Spring_autumn!$C$17-Spring_autumn!$C$16)/1000)</f>
        <v>0</v>
      </c>
      <c r="E232">
        <f>'Refrig Mass Flow &amp; Cond kW'!D223*(($C$13-$C$14)-$C$6*($C$17-$C$18)/1000)-'Refrig Mass Flow &amp; Cond kW'!C223*(1-$C$6/($C$10+273))</f>
        <v>0</v>
      </c>
      <c r="F232" s="13"/>
      <c r="G232" s="13">
        <f>'Refrig Mass Flow &amp; Cond kW'!F223*$C$6*($G$19-$G$18)/1000</f>
        <v>1.4657864718445845</v>
      </c>
      <c r="H232">
        <f>'Refrig Mass Flow &amp; Cond kW'!F223*$C$6*($G$17-$G$16)/1000</f>
        <v>9.139609765618852</v>
      </c>
      <c r="I232">
        <f>'Refrig Mass Flow &amp; Cond kW'!F223*(($G$13-$G$14)-$C$6*($G$17-$G$18)/1000)-'Refrig Mass Flow &amp; Cond kW'!E223*(1-$C$6/($G$10+273))</f>
        <v>4.0452832531787521</v>
      </c>
    </row>
    <row r="233" spans="2:9" x14ac:dyDescent="0.2">
      <c r="B233" s="2">
        <v>210</v>
      </c>
      <c r="C233">
        <f>'Refrig Mass Flow &amp; Cond kW'!G224*$C$6*(($C$19-$C$18)/1000)</f>
        <v>0</v>
      </c>
      <c r="D233">
        <f>'Refrig Mass Flow &amp; Cond kW'!G224*Spring_autumn!$C$6*((Spring_autumn!$C$17-Spring_autumn!$C$16)/1000)</f>
        <v>0</v>
      </c>
      <c r="E233">
        <f>'Refrig Mass Flow &amp; Cond kW'!D224*(($C$13-$C$14)-$C$6*($C$17-$C$18)/1000)-'Refrig Mass Flow &amp; Cond kW'!C224*(1-$C$6/($C$10+273))</f>
        <v>0</v>
      </c>
      <c r="F233" s="13"/>
      <c r="G233" s="13">
        <f>'Refrig Mass Flow &amp; Cond kW'!F224*$C$6*($G$19-$G$18)/1000</f>
        <v>1.4209265150016628</v>
      </c>
      <c r="H233">
        <f>'Refrig Mass Flow &amp; Cond kW'!F224*$C$6*($G$17-$G$16)/1000</f>
        <v>8.8598947405982909</v>
      </c>
      <c r="I233">
        <f>'Refrig Mass Flow &amp; Cond kW'!F224*(($G$13-$G$14)-$C$6*($G$17-$G$18)/1000)-'Refrig Mass Flow &amp; Cond kW'!E224*(1-$C$6/($G$10+273))</f>
        <v>3.9214785683622679</v>
      </c>
    </row>
    <row r="234" spans="2:9" x14ac:dyDescent="0.2">
      <c r="B234" s="2">
        <v>211</v>
      </c>
      <c r="C234">
        <f>'Refrig Mass Flow &amp; Cond kW'!G225*$C$6*(($C$19-$C$18)/1000)</f>
        <v>0</v>
      </c>
      <c r="D234">
        <f>'Refrig Mass Flow &amp; Cond kW'!G225*Spring_autumn!$C$6*((Spring_autumn!$C$17-Spring_autumn!$C$16)/1000)</f>
        <v>0</v>
      </c>
      <c r="E234">
        <f>'Refrig Mass Flow &amp; Cond kW'!D225*(($C$13-$C$14)-$C$6*($C$17-$C$18)/1000)-'Refrig Mass Flow &amp; Cond kW'!C225*(1-$C$6/($C$10+273))</f>
        <v>0</v>
      </c>
      <c r="F234" s="13"/>
      <c r="G234" s="13">
        <f>'Refrig Mass Flow &amp; Cond kW'!F225*$C$6*($G$19-$G$18)/1000</f>
        <v>1.3758280955931863</v>
      </c>
      <c r="H234">
        <f>'Refrig Mass Flow &amp; Cond kW'!F225*$C$6*($G$17-$G$16)/1000</f>
        <v>8.578692831345446</v>
      </c>
      <c r="I234">
        <f>'Refrig Mass Flow &amp; Cond kW'!F225*(($G$13-$G$14)-$C$6*($G$17-$G$18)/1000)-'Refrig Mass Flow &amp; Cond kW'!E225*(1-$C$6/($G$10+273))</f>
        <v>3.7970157736222205</v>
      </c>
    </row>
    <row r="235" spans="2:9" x14ac:dyDescent="0.2">
      <c r="B235" s="2">
        <v>212</v>
      </c>
      <c r="C235">
        <f>'Refrig Mass Flow &amp; Cond kW'!G226*$C$6*(($C$19-$C$18)/1000)</f>
        <v>0</v>
      </c>
      <c r="D235">
        <f>'Refrig Mass Flow &amp; Cond kW'!G226*Spring_autumn!$C$6*((Spring_autumn!$C$17-Spring_autumn!$C$16)/1000)</f>
        <v>0</v>
      </c>
      <c r="E235">
        <f>'Refrig Mass Flow &amp; Cond kW'!D226*(($C$13-$C$14)-$C$6*($C$17-$C$18)/1000)-'Refrig Mass Flow &amp; Cond kW'!C226*(1-$C$6/($C$10+273))</f>
        <v>0</v>
      </c>
      <c r="F235" s="13"/>
      <c r="G235" s="13">
        <f>'Refrig Mass Flow &amp; Cond kW'!F226*$C$6*($G$19-$G$18)/1000</f>
        <v>1.3304777292907439</v>
      </c>
      <c r="H235">
        <f>'Refrig Mass Flow &amp; Cond kW'!F226*$C$6*($G$17-$G$16)/1000</f>
        <v>8.2959199591066994</v>
      </c>
      <c r="I235">
        <f>'Refrig Mass Flow &amp; Cond kW'!F226*(($G$13-$G$14)-$C$6*($G$17-$G$18)/1000)-'Refrig Mass Flow &amp; Cond kW'!E226*(1-$C$6/($G$10+273))</f>
        <v>3.6718576548561686</v>
      </c>
    </row>
    <row r="236" spans="2:9" x14ac:dyDescent="0.2">
      <c r="B236" s="2">
        <v>213</v>
      </c>
      <c r="C236">
        <f>'Refrig Mass Flow &amp; Cond kW'!G227*$C$6*(($C$19-$C$18)/1000)</f>
        <v>0</v>
      </c>
      <c r="D236">
        <f>'Refrig Mass Flow &amp; Cond kW'!G227*Spring_autumn!$C$6*((Spring_autumn!$C$17-Spring_autumn!$C$16)/1000)</f>
        <v>0</v>
      </c>
      <c r="E236">
        <f>'Refrig Mass Flow &amp; Cond kW'!D227*(($C$13-$C$14)-$C$6*($C$17-$C$18)/1000)-'Refrig Mass Flow &amp; Cond kW'!C227*(1-$C$6/($C$10+273))</f>
        <v>0</v>
      </c>
      <c r="F236" s="13"/>
      <c r="G236" s="13">
        <f>'Refrig Mass Flow &amp; Cond kW'!F227*$C$6*($G$19-$G$18)/1000</f>
        <v>1.2848345737687155</v>
      </c>
      <c r="H236">
        <f>'Refrig Mass Flow &amp; Cond kW'!F227*$C$6*($G$17-$G$16)/1000</f>
        <v>8.0113214599693556</v>
      </c>
      <c r="I236">
        <f>'Refrig Mass Flow &amp; Cond kW'!F227*(($G$13-$G$14)-$C$6*($G$17-$G$18)/1000)-'Refrig Mass Flow &amp; Cond kW'!E227*(1-$C$6/($G$10+273))</f>
        <v>3.5458914952537057</v>
      </c>
    </row>
    <row r="237" spans="2:9" x14ac:dyDescent="0.2">
      <c r="B237" s="2">
        <v>214</v>
      </c>
      <c r="C237">
        <f>'Refrig Mass Flow &amp; Cond kW'!G228*$C$6*(($C$19-$C$18)/1000)</f>
        <v>0</v>
      </c>
      <c r="D237">
        <f>'Refrig Mass Flow &amp; Cond kW'!G228*Spring_autumn!$C$6*((Spring_autumn!$C$17-Spring_autumn!$C$16)/1000)</f>
        <v>0</v>
      </c>
      <c r="E237">
        <f>'Refrig Mass Flow &amp; Cond kW'!D228*(($C$13-$C$14)-$C$6*($C$17-$C$18)/1000)-'Refrig Mass Flow &amp; Cond kW'!C228*(1-$C$6/($C$10+273))</f>
        <v>0</v>
      </c>
      <c r="F237" s="13"/>
      <c r="G237" s="13">
        <f>'Refrig Mass Flow &amp; Cond kW'!F228*$C$6*($G$19-$G$18)/1000</f>
        <v>1.2389798514537647</v>
      </c>
      <c r="H237">
        <f>'Refrig Mass Flow &amp; Cond kW'!F228*$C$6*($G$17-$G$16)/1000</f>
        <v>7.7254037796526127</v>
      </c>
      <c r="I237">
        <f>'Refrig Mass Flow &amp; Cond kW'!F228*(($G$13-$G$14)-$C$6*($G$17-$G$18)/1000)-'Refrig Mass Flow &amp; Cond kW'!E228*(1-$C$6/($G$10+273))</f>
        <v>3.4193414527864761</v>
      </c>
    </row>
    <row r="238" spans="2:9" x14ac:dyDescent="0.2">
      <c r="B238" s="2">
        <v>215</v>
      </c>
      <c r="C238">
        <f>'Refrig Mass Flow &amp; Cond kW'!G229*$C$6*(($C$19-$C$18)/1000)</f>
        <v>0</v>
      </c>
      <c r="D238">
        <f>'Refrig Mass Flow &amp; Cond kW'!G229*Spring_autumn!$C$6*((Spring_autumn!$C$17-Spring_autumn!$C$16)/1000)</f>
        <v>0</v>
      </c>
      <c r="E238">
        <f>'Refrig Mass Flow &amp; Cond kW'!D229*(($C$13-$C$14)-$C$6*($C$17-$C$18)/1000)-'Refrig Mass Flow &amp; Cond kW'!C229*(1-$C$6/($C$10+273))</f>
        <v>0</v>
      </c>
      <c r="F238" s="13"/>
      <c r="G238" s="13">
        <f>'Refrig Mass Flow &amp; Cond kW'!F229*$C$6*($G$19-$G$18)/1000</f>
        <v>1.1931044923547789</v>
      </c>
      <c r="H238">
        <f>'Refrig Mass Flow &amp; Cond kW'!F229*$C$6*($G$17-$G$16)/1000</f>
        <v>7.4393574229177695</v>
      </c>
      <c r="I238">
        <f>'Refrig Mass Flow &amp; Cond kW'!F229*(($G$13-$G$14)-$C$6*($G$17-$G$18)/1000)-'Refrig Mass Flow &amp; Cond kW'!E229*(1-$C$6/($G$10+273))</f>
        <v>3.2927344568417283</v>
      </c>
    </row>
    <row r="239" spans="2:9" x14ac:dyDescent="0.2">
      <c r="B239" s="2">
        <v>216</v>
      </c>
      <c r="C239">
        <f>'Refrig Mass Flow &amp; Cond kW'!G230*$C$6*(($C$19-$C$18)/1000)</f>
        <v>0</v>
      </c>
      <c r="D239">
        <f>'Refrig Mass Flow &amp; Cond kW'!G230*Spring_autumn!$C$6*((Spring_autumn!$C$17-Spring_autumn!$C$16)/1000)</f>
        <v>0</v>
      </c>
      <c r="E239">
        <f>'Refrig Mass Flow &amp; Cond kW'!D230*(($C$13-$C$14)-$C$6*($C$17-$C$18)/1000)-'Refrig Mass Flow &amp; Cond kW'!C230*(1-$C$6/($C$10+273))</f>
        <v>0</v>
      </c>
      <c r="F239" s="13"/>
      <c r="G239" s="13">
        <f>'Refrig Mass Flow &amp; Cond kW'!F230*$C$6*($G$19-$G$18)/1000</f>
        <v>1.147001714587695</v>
      </c>
      <c r="H239">
        <f>'Refrig Mass Flow &amp; Cond kW'!F230*$C$6*($G$17-$G$16)/1000</f>
        <v>7.1518930438994932</v>
      </c>
      <c r="I239">
        <f>'Refrig Mass Flow &amp; Cond kW'!F230*(($G$13-$G$14)-$C$6*($G$17-$G$18)/1000)-'Refrig Mass Flow &amp; Cond kW'!E230*(1-$C$6/($G$10+273))</f>
        <v>3.1654998299649293</v>
      </c>
    </row>
    <row r="240" spans="2:9" x14ac:dyDescent="0.2">
      <c r="B240" s="2">
        <v>217</v>
      </c>
      <c r="C240">
        <f>'Refrig Mass Flow &amp; Cond kW'!G231*$C$6*(($C$19-$C$18)/1000)</f>
        <v>0</v>
      </c>
      <c r="D240">
        <f>'Refrig Mass Flow &amp; Cond kW'!G231*Spring_autumn!$C$6*((Spring_autumn!$C$17-Spring_autumn!$C$16)/1000)</f>
        <v>0</v>
      </c>
      <c r="E240">
        <f>'Refrig Mass Flow &amp; Cond kW'!D231*(($C$13-$C$14)-$C$6*($C$17-$C$18)/1000)-'Refrig Mass Flow &amp; Cond kW'!C231*(1-$C$6/($C$10+273))</f>
        <v>0</v>
      </c>
      <c r="F240" s="13"/>
      <c r="G240" s="13">
        <f>'Refrig Mass Flow &amp; Cond kW'!F231*$C$6*($G$19-$G$18)/1000</f>
        <v>1.1008906533252958</v>
      </c>
      <c r="H240">
        <f>'Refrig Mass Flow &amp; Cond kW'!F231*$C$6*($G$17-$G$16)/1000</f>
        <v>6.8643770148516001</v>
      </c>
      <c r="I240">
        <f>'Refrig Mass Flow &amp; Cond kW'!F231*(($G$13-$G$14)-$C$6*($G$17-$G$18)/1000)-'Refrig Mass Flow &amp; Cond kW'!E231*(1-$C$6/($G$10+273))</f>
        <v>3.0382423422652778</v>
      </c>
    </row>
    <row r="241" spans="2:9" x14ac:dyDescent="0.2">
      <c r="B241" s="2">
        <v>218</v>
      </c>
      <c r="C241">
        <f>'Refrig Mass Flow &amp; Cond kW'!G232*$C$6*(($C$19-$C$18)/1000)</f>
        <v>0</v>
      </c>
      <c r="D241">
        <f>'Refrig Mass Flow &amp; Cond kW'!G232*Spring_autumn!$C$6*((Spring_autumn!$C$17-Spring_autumn!$C$16)/1000)</f>
        <v>0</v>
      </c>
      <c r="E241">
        <f>'Refrig Mass Flow &amp; Cond kW'!D232*(($C$13-$C$14)-$C$6*($C$17-$C$18)/1000)-'Refrig Mass Flow &amp; Cond kW'!C232*(1-$C$6/($C$10+273))</f>
        <v>0</v>
      </c>
      <c r="F241" s="13"/>
      <c r="G241" s="13">
        <f>'Refrig Mass Flow &amp; Cond kW'!F232*$C$6*($G$19-$G$18)/1000</f>
        <v>1.0546879725668392</v>
      </c>
      <c r="H241">
        <f>'Refrig Mass Flow &amp; Cond kW'!F232*$C$6*($G$17-$G$16)/1000</f>
        <v>6.5762897112988821</v>
      </c>
      <c r="I241">
        <f>'Refrig Mass Flow &amp; Cond kW'!F232*(($G$13-$G$14)-$C$6*($G$17-$G$18)/1000)-'Refrig Mass Flow &amp; Cond kW'!E232*(1-$C$6/($G$10+273))</f>
        <v>2.9107320027211045</v>
      </c>
    </row>
    <row r="242" spans="2:9" x14ac:dyDescent="0.2">
      <c r="B242" s="2">
        <v>219</v>
      </c>
      <c r="C242">
        <f>'Refrig Mass Flow &amp; Cond kW'!G233*$C$6*(($C$19-$C$18)/1000)</f>
        <v>0</v>
      </c>
      <c r="D242">
        <f>'Refrig Mass Flow &amp; Cond kW'!G233*Spring_autumn!$C$6*((Spring_autumn!$C$17-Spring_autumn!$C$16)/1000)</f>
        <v>0</v>
      </c>
      <c r="E242">
        <f>'Refrig Mass Flow &amp; Cond kW'!D233*(($C$13-$C$14)-$C$6*($C$17-$C$18)/1000)-'Refrig Mass Flow &amp; Cond kW'!C233*(1-$C$6/($C$10+273))</f>
        <v>0</v>
      </c>
      <c r="F242" s="13"/>
      <c r="G242" s="13">
        <f>'Refrig Mass Flow &amp; Cond kW'!F233*$C$6*($G$19-$G$18)/1000</f>
        <v>1.0083959621193592</v>
      </c>
      <c r="H242">
        <f>'Refrig Mass Flow &amp; Cond kW'!F233*$C$6*($G$17-$G$16)/1000</f>
        <v>6.2876454108616642</v>
      </c>
      <c r="I242">
        <f>'Refrig Mass Flow &amp; Cond kW'!F233*(($G$13-$G$14)-$C$6*($G$17-$G$18)/1000)-'Refrig Mass Flow &amp; Cond kW'!E233*(1-$C$6/($G$10+273))</f>
        <v>2.782975130750863</v>
      </c>
    </row>
    <row r="243" spans="2:9" x14ac:dyDescent="0.2">
      <c r="B243" s="2">
        <v>220</v>
      </c>
      <c r="C243">
        <f>'Refrig Mass Flow &amp; Cond kW'!G234*$C$6*(($C$19-$C$18)/1000)</f>
        <v>0</v>
      </c>
      <c r="D243">
        <f>'Refrig Mass Flow &amp; Cond kW'!G234*Spring_autumn!$C$6*((Spring_autumn!$C$17-Spring_autumn!$C$16)/1000)</f>
        <v>0</v>
      </c>
      <c r="E243">
        <f>'Refrig Mass Flow &amp; Cond kW'!D234*(($C$13-$C$14)-$C$6*($C$17-$C$18)/1000)-'Refrig Mass Flow &amp; Cond kW'!C234*(1-$C$6/($C$10+273))</f>
        <v>0</v>
      </c>
      <c r="F243" s="13"/>
      <c r="G243" s="13">
        <f>'Refrig Mass Flow &amp; Cond kW'!F234*$C$6*($G$19-$G$18)/1000</f>
        <v>0.96201887891760318</v>
      </c>
      <c r="H243">
        <f>'Refrig Mass Flow &amp; Cond kW'!F234*$C$6*($G$17-$G$16)/1000</f>
        <v>5.9984706567801371</v>
      </c>
      <c r="I243">
        <f>'Refrig Mass Flow &amp; Cond kW'!F234*(($G$13-$G$14)-$C$6*($G$17-$G$18)/1000)-'Refrig Mass Flow &amp; Cond kW'!E234*(1-$C$6/($G$10+273))</f>
        <v>2.654983474659744</v>
      </c>
    </row>
    <row r="244" spans="2:9" x14ac:dyDescent="0.2">
      <c r="B244" s="2">
        <v>221</v>
      </c>
      <c r="C244">
        <f>'Refrig Mass Flow &amp; Cond kW'!G235*$C$6*(($C$19-$C$18)/1000)</f>
        <v>0</v>
      </c>
      <c r="D244">
        <f>'Refrig Mass Flow &amp; Cond kW'!G235*Spring_autumn!$C$6*((Spring_autumn!$C$17-Spring_autumn!$C$16)/1000)</f>
        <v>0</v>
      </c>
      <c r="E244">
        <f>'Refrig Mass Flow &amp; Cond kW'!D235*(($C$13-$C$14)-$C$6*($C$17-$C$18)/1000)-'Refrig Mass Flow &amp; Cond kW'!C235*(1-$C$6/($C$10+273))</f>
        <v>0</v>
      </c>
      <c r="F244" s="13"/>
      <c r="G244" s="13">
        <f>'Refrig Mass Flow &amp; Cond kW'!F235*$C$6*($G$19-$G$18)/1000</f>
        <v>0.91556098701762978</v>
      </c>
      <c r="H244">
        <f>'Refrig Mass Flow &amp; Cond kW'!F235*$C$6*($G$17-$G$16)/1000</f>
        <v>5.708792036697961</v>
      </c>
      <c r="I244">
        <f>'Refrig Mass Flow &amp; Cond kW'!F235*(($G$13-$G$14)-$C$6*($G$17-$G$18)/1000)-'Refrig Mass Flow &amp; Cond kW'!E235*(1-$C$6/($G$10+273))</f>
        <v>2.5267688024063872</v>
      </c>
    </row>
    <row r="245" spans="2:9" x14ac:dyDescent="0.2">
      <c r="B245" s="2">
        <v>222</v>
      </c>
      <c r="C245">
        <f>'Refrig Mass Flow &amp; Cond kW'!G236*$C$6*(($C$19-$C$18)/1000)</f>
        <v>0</v>
      </c>
      <c r="D245">
        <f>'Refrig Mass Flow &amp; Cond kW'!G236*Spring_autumn!$C$6*((Spring_autumn!$C$17-Spring_autumn!$C$16)/1000)</f>
        <v>0</v>
      </c>
      <c r="E245">
        <f>'Refrig Mass Flow &amp; Cond kW'!D236*(($C$13-$C$14)-$C$6*($C$17-$C$18)/1000)-'Refrig Mass Flow &amp; Cond kW'!C236*(1-$C$6/($C$10+273))</f>
        <v>0</v>
      </c>
      <c r="F245" s="13"/>
      <c r="G245" s="13">
        <f>'Refrig Mass Flow &amp; Cond kW'!F236*$C$6*($G$19-$G$18)/1000</f>
        <v>0.86902655720486477</v>
      </c>
      <c r="H245">
        <f>'Refrig Mass Flow &amp; Cond kW'!F236*$C$6*($G$17-$G$16)/1000</f>
        <v>5.4186361802183765</v>
      </c>
      <c r="I245">
        <f>'Refrig Mass Flow &amp; Cond kW'!F236*(($G$13-$G$14)-$C$6*($G$17-$G$18)/1000)-'Refrig Mass Flow &amp; Cond kW'!E236*(1-$C$6/($G$10+273))</f>
        <v>2.3983429005211683</v>
      </c>
    </row>
    <row r="246" spans="2:9" x14ac:dyDescent="0.2">
      <c r="B246" s="2">
        <v>223</v>
      </c>
      <c r="C246">
        <f>'Refrig Mass Flow &amp; Cond kW'!G237*$C$6*(($C$19-$C$18)/1000)</f>
        <v>0</v>
      </c>
      <c r="D246">
        <f>'Refrig Mass Flow &amp; Cond kW'!G237*Spring_autumn!$C$6*((Spring_autumn!$C$17-Spring_autumn!$C$16)/1000)</f>
        <v>0</v>
      </c>
      <c r="E246">
        <f>'Refrig Mass Flow &amp; Cond kW'!D237*(($C$13-$C$14)-$C$6*($C$17-$C$18)/1000)-'Refrig Mass Flow &amp; Cond kW'!C237*(1-$C$6/($C$10+273))</f>
        <v>0</v>
      </c>
      <c r="F246" s="13"/>
      <c r="G246" s="13">
        <f>'Refrig Mass Flow &amp; Cond kW'!F237*$C$6*($G$19-$G$18)/1000</f>
        <v>0.82272673959671927</v>
      </c>
      <c r="H246">
        <f>'Refrig Mass Flow &amp; Cond kW'!F237*$C$6*($G$17-$G$16)/1000</f>
        <v>5.1299431998381859</v>
      </c>
      <c r="I246">
        <f>'Refrig Mass Flow &amp; Cond kW'!F237*(($G$13-$G$14)-$C$6*($G$17-$G$18)/1000)-'Refrig Mass Flow &amp; Cond kW'!E237*(1-$C$6/($G$10+273))</f>
        <v>2.2705644823183029</v>
      </c>
    </row>
    <row r="247" spans="2:9" x14ac:dyDescent="0.2">
      <c r="B247" s="2">
        <v>224</v>
      </c>
      <c r="C247">
        <f>'Refrig Mass Flow &amp; Cond kW'!G238*$C$6*(($C$19-$C$18)/1000)</f>
        <v>0</v>
      </c>
      <c r="D247">
        <f>'Refrig Mass Flow &amp; Cond kW'!G238*Spring_autumn!$C$6*((Spring_autumn!$C$17-Spring_autumn!$C$16)/1000)</f>
        <v>0</v>
      </c>
      <c r="E247">
        <f>'Refrig Mass Flow &amp; Cond kW'!D238*(($C$13-$C$14)-$C$6*($C$17-$C$18)/1000)-'Refrig Mass Flow &amp; Cond kW'!C238*(1-$C$6/($C$10+273))</f>
        <v>0</v>
      </c>
      <c r="F247" s="13"/>
      <c r="G247" s="13">
        <f>'Refrig Mass Flow &amp; Cond kW'!F238*$C$6*($G$19-$G$18)/1000</f>
        <v>0.77653084855405097</v>
      </c>
      <c r="H247">
        <f>'Refrig Mass Flow &amp; Cond kW'!F238*$C$6*($G$17-$G$16)/1000</f>
        <v>4.841898232160383</v>
      </c>
      <c r="I247">
        <f>'Refrig Mass Flow &amp; Cond kW'!F238*(($G$13-$G$14)-$C$6*($G$17-$G$18)/1000)-'Refrig Mass Flow &amp; Cond kW'!E238*(1-$C$6/($G$10+273))</f>
        <v>2.1430728810583908</v>
      </c>
    </row>
    <row r="248" spans="2:9" x14ac:dyDescent="0.2">
      <c r="B248" s="2">
        <v>225</v>
      </c>
      <c r="C248">
        <f>'Refrig Mass Flow &amp; Cond kW'!G239*$C$6*(($C$19-$C$18)/1000)</f>
        <v>0</v>
      </c>
      <c r="D248">
        <f>'Refrig Mass Flow &amp; Cond kW'!G239*Spring_autumn!$C$6*((Spring_autumn!$C$17-Spring_autumn!$C$16)/1000)</f>
        <v>0</v>
      </c>
      <c r="E248">
        <f>'Refrig Mass Flow &amp; Cond kW'!D239*(($C$13-$C$14)-$C$6*($C$17-$C$18)/1000)-'Refrig Mass Flow &amp; Cond kW'!C239*(1-$C$6/($C$10+273))</f>
        <v>0</v>
      </c>
      <c r="F248" s="13"/>
      <c r="G248" s="13">
        <f>'Refrig Mass Flow &amp; Cond kW'!F239*$C$6*($G$19-$G$18)/1000</f>
        <v>0.73039165872273315</v>
      </c>
      <c r="H248">
        <f>'Refrig Mass Flow &amp; Cond kW'!F239*$C$6*($G$17-$G$16)/1000</f>
        <v>4.5542068132121756</v>
      </c>
      <c r="I248">
        <f>'Refrig Mass Flow &amp; Cond kW'!F239*(($G$13-$G$14)-$C$6*($G$17-$G$18)/1000)-'Refrig Mass Flow &amp; Cond kW'!E239*(1-$C$6/($G$10+273))</f>
        <v>2.0157377640239282</v>
      </c>
    </row>
    <row r="249" spans="2:9" x14ac:dyDescent="0.2">
      <c r="B249" s="2">
        <v>226</v>
      </c>
      <c r="C249">
        <f>'Refrig Mass Flow &amp; Cond kW'!G240*$C$6*(($C$19-$C$18)/1000)</f>
        <v>0</v>
      </c>
      <c r="D249">
        <f>'Refrig Mass Flow &amp; Cond kW'!G240*Spring_autumn!$C$6*((Spring_autumn!$C$17-Spring_autumn!$C$16)/1000)</f>
        <v>0</v>
      </c>
      <c r="E249">
        <f>'Refrig Mass Flow &amp; Cond kW'!D240*(($C$13-$C$14)-$C$6*($C$17-$C$18)/1000)-'Refrig Mass Flow &amp; Cond kW'!C240*(1-$C$6/($C$10+273))</f>
        <v>0</v>
      </c>
      <c r="F249" s="13"/>
      <c r="G249" s="13">
        <f>'Refrig Mass Flow &amp; Cond kW'!F240*$C$6*($G$19-$G$18)/1000</f>
        <v>0.68395373339957022</v>
      </c>
      <c r="H249">
        <f>'Refrig Mass Flow &amp; Cond kW'!F240*$C$6*($G$17-$G$16)/1000</f>
        <v>4.2646526906089335</v>
      </c>
      <c r="I249">
        <f>'Refrig Mass Flow &amp; Cond kW'!F240*(($G$13-$G$14)-$C$6*($G$17-$G$18)/1000)-'Refrig Mass Flow &amp; Cond kW'!E240*(1-$C$6/($G$10+273))</f>
        <v>1.8875781956075599</v>
      </c>
    </row>
    <row r="250" spans="2:9" x14ac:dyDescent="0.2">
      <c r="B250" s="2">
        <v>227</v>
      </c>
      <c r="C250">
        <f>'Refrig Mass Flow &amp; Cond kW'!G241*$C$6*(($C$19-$C$18)/1000)</f>
        <v>0</v>
      </c>
      <c r="D250">
        <f>'Refrig Mass Flow &amp; Cond kW'!G241*Spring_autumn!$C$6*((Spring_autumn!$C$17-Spring_autumn!$C$16)/1000)</f>
        <v>0</v>
      </c>
      <c r="E250">
        <f>'Refrig Mass Flow &amp; Cond kW'!D241*(($C$13-$C$14)-$C$6*($C$17-$C$18)/1000)-'Refrig Mass Flow &amp; Cond kW'!C241*(1-$C$6/($C$10+273))</f>
        <v>0</v>
      </c>
      <c r="F250" s="13"/>
      <c r="G250" s="13">
        <f>'Refrig Mass Flow &amp; Cond kW'!F241*$C$6*($G$19-$G$18)/1000</f>
        <v>0.63736731829031823</v>
      </c>
      <c r="H250">
        <f>'Refrig Mass Flow &amp; Cond kW'!F241*$C$6*($G$17-$G$16)/1000</f>
        <v>3.974172690515962</v>
      </c>
      <c r="I250">
        <f>'Refrig Mass Flow &amp; Cond kW'!F241*(($G$13-$G$14)-$C$6*($G$17-$G$18)/1000)-'Refrig Mass Flow &amp; Cond kW'!E241*(1-$C$6/($G$10+273))</f>
        <v>1.7590088244972257</v>
      </c>
    </row>
    <row r="251" spans="2:9" x14ac:dyDescent="0.2">
      <c r="B251" s="2">
        <v>228</v>
      </c>
      <c r="C251">
        <f>'Refrig Mass Flow &amp; Cond kW'!G242*$C$6*(($C$19-$C$18)/1000)</f>
        <v>0</v>
      </c>
      <c r="D251">
        <f>'Refrig Mass Flow &amp; Cond kW'!G242*Spring_autumn!$C$6*((Spring_autumn!$C$17-Spring_autumn!$C$16)/1000)</f>
        <v>0</v>
      </c>
      <c r="E251">
        <f>'Refrig Mass Flow &amp; Cond kW'!D242*(($C$13-$C$14)-$C$6*($C$17-$C$18)/1000)-'Refrig Mass Flow &amp; Cond kW'!C242*(1-$C$6/($C$10+273))</f>
        <v>0</v>
      </c>
      <c r="F251" s="13"/>
      <c r="G251" s="13">
        <f>'Refrig Mass Flow &amp; Cond kW'!F242*$C$6*($G$19-$G$18)/1000</f>
        <v>0.59060873390467961</v>
      </c>
      <c r="H251">
        <f>'Refrig Mass Flow &amp; Cond kW'!F242*$C$6*($G$17-$G$16)/1000</f>
        <v>3.6826191643466957</v>
      </c>
      <c r="I251">
        <f>'Refrig Mass Flow &amp; Cond kW'!F242*(($G$13-$G$14)-$C$6*($G$17-$G$18)/1000)-'Refrig Mass Flow &amp; Cond kW'!E242*(1-$C$6/($G$10+273))</f>
        <v>1.6299642999427491</v>
      </c>
    </row>
    <row r="252" spans="2:9" x14ac:dyDescent="0.2">
      <c r="B252" s="2">
        <v>229</v>
      </c>
      <c r="C252">
        <f>'Refrig Mass Flow &amp; Cond kW'!G243*$C$6*(($C$19-$C$18)/1000)</f>
        <v>0</v>
      </c>
      <c r="D252">
        <f>'Refrig Mass Flow &amp; Cond kW'!G243*Spring_autumn!$C$6*((Spring_autumn!$C$17-Spring_autumn!$C$16)/1000)</f>
        <v>0</v>
      </c>
      <c r="E252">
        <f>'Refrig Mass Flow &amp; Cond kW'!D243*(($C$13-$C$14)-$C$6*($C$17-$C$18)/1000)-'Refrig Mass Flow &amp; Cond kW'!C243*(1-$C$6/($C$10+273))</f>
        <v>0</v>
      </c>
      <c r="F252" s="13"/>
      <c r="G252" s="13">
        <f>'Refrig Mass Flow &amp; Cond kW'!F243*$C$6*($G$19-$G$18)/1000</f>
        <v>0.54365432459921381</v>
      </c>
      <c r="H252">
        <f>'Refrig Mass Flow &amp; Cond kW'!F243*$C$6*($G$17-$G$16)/1000</f>
        <v>3.3898446122067432</v>
      </c>
      <c r="I252">
        <f>'Refrig Mass Flow &amp; Cond kW'!F243*(($G$13-$G$14)-$C$6*($G$17-$G$18)/1000)-'Refrig Mass Flow &amp; Cond kW'!E243*(1-$C$6/($G$10+273))</f>
        <v>1.5003793370065921</v>
      </c>
    </row>
    <row r="253" spans="2:9" x14ac:dyDescent="0.2">
      <c r="B253" s="2">
        <v>230</v>
      </c>
      <c r="C253">
        <f>'Refrig Mass Flow &amp; Cond kW'!G244*$C$6*(($C$19-$C$18)/1000)</f>
        <v>0</v>
      </c>
      <c r="D253">
        <f>'Refrig Mass Flow &amp; Cond kW'!G244*Spring_autumn!$C$6*((Spring_autumn!$C$17-Spring_autumn!$C$16)/1000)</f>
        <v>0</v>
      </c>
      <c r="E253">
        <f>'Refrig Mass Flow &amp; Cond kW'!D244*(($C$13-$C$14)-$C$6*($C$17-$C$18)/1000)-'Refrig Mass Flow &amp; Cond kW'!C244*(1-$C$6/($C$10+273))</f>
        <v>0</v>
      </c>
      <c r="F253" s="13"/>
      <c r="G253" s="13">
        <f>'Refrig Mass Flow &amp; Cond kW'!F244*$C$6*($G$19-$G$18)/1000</f>
        <v>0.49648046072724095</v>
      </c>
      <c r="H253">
        <f>'Refrig Mass Flow &amp; Cond kW'!F244*$C$6*($G$17-$G$16)/1000</f>
        <v>3.0957016962991575</v>
      </c>
      <c r="I253">
        <f>'Refrig Mass Flow &amp; Cond kW'!F244*(($G$13-$G$14)-$C$6*($G$17-$G$18)/1000)-'Refrig Mass Flow &amp; Cond kW'!E244*(1-$C$6/($G$10+273))</f>
        <v>1.3701887224971827</v>
      </c>
    </row>
    <row r="254" spans="2:9" x14ac:dyDescent="0.2">
      <c r="B254" s="2">
        <v>231</v>
      </c>
      <c r="C254">
        <f>'Refrig Mass Flow &amp; Cond kW'!G245*$C$6*(($C$19-$C$18)/1000)</f>
        <v>0</v>
      </c>
      <c r="D254">
        <f>'Refrig Mass Flow &amp; Cond kW'!G245*Spring_autumn!$C$6*((Spring_autumn!$C$17-Spring_autumn!$C$16)/1000)</f>
        <v>0</v>
      </c>
      <c r="E254">
        <f>'Refrig Mass Flow &amp; Cond kW'!D245*(($C$13-$C$14)-$C$6*($C$17-$C$18)/1000)-'Refrig Mass Flow &amp; Cond kW'!C245*(1-$C$6/($C$10+273))</f>
        <v>0</v>
      </c>
      <c r="F254" s="13"/>
      <c r="G254" s="13">
        <f>'Refrig Mass Flow &amp; Cond kW'!F245*$C$6*($G$19-$G$18)/1000</f>
        <v>0.44906354078607952</v>
      </c>
      <c r="H254">
        <f>'Refrig Mass Flow &amp; Cond kW'!F245*$C$6*($G$17-$G$16)/1000</f>
        <v>2.8000432543131026</v>
      </c>
      <c r="I254">
        <f>'Refrig Mass Flow &amp; Cond kW'!F245*(($G$13-$G$14)-$C$6*($G$17-$G$18)/1000)-'Refrig Mass Flow &amp; Cond kW'!E245*(1-$C$6/($G$10+273))</f>
        <v>1.2393273208948621</v>
      </c>
    </row>
    <row r="255" spans="2:9" x14ac:dyDescent="0.2">
      <c r="B255" s="2">
        <v>232</v>
      </c>
      <c r="C255">
        <f>'Refrig Mass Flow &amp; Cond kW'!G246*$C$6*(($C$19-$C$18)/1000)</f>
        <v>0</v>
      </c>
      <c r="D255">
        <f>'Refrig Mass Flow &amp; Cond kW'!G246*Spring_autumn!$C$6*((Spring_autumn!$C$17-Spring_autumn!$C$16)/1000)</f>
        <v>0</v>
      </c>
      <c r="E255">
        <f>'Refrig Mass Flow &amp; Cond kW'!D246*(($C$13-$C$14)-$C$6*($C$17-$C$18)/1000)-'Refrig Mass Flow &amp; Cond kW'!C246*(1-$C$6/($C$10+273))</f>
        <v>0</v>
      </c>
      <c r="F255" s="13"/>
      <c r="G255" s="13">
        <f>'Refrig Mass Flow &amp; Cond kW'!F246*$C$6*($G$19-$G$18)/1000</f>
        <v>0.40173755886385565</v>
      </c>
      <c r="H255">
        <f>'Refrig Mass Flow &amp; Cond kW'!F246*$C$6*($G$17-$G$16)/1000</f>
        <v>2.5049518376215998</v>
      </c>
      <c r="I255">
        <f>'Refrig Mass Flow &amp; Cond kW'!F246*(($G$13-$G$14)-$C$6*($G$17-$G$18)/1000)-'Refrig Mass Flow &amp; Cond kW'!E246*(1-$C$6/($G$10+273))</f>
        <v>1.1087168903938291</v>
      </c>
    </row>
    <row r="256" spans="2:9" x14ac:dyDescent="0.2">
      <c r="B256" s="2">
        <v>233</v>
      </c>
      <c r="C256">
        <f>'Refrig Mass Flow &amp; Cond kW'!G247*$C$6*(($C$19-$C$18)/1000)</f>
        <v>0</v>
      </c>
      <c r="D256">
        <f>'Refrig Mass Flow &amp; Cond kW'!G247*Spring_autumn!$C$6*((Spring_autumn!$C$17-Spring_autumn!$C$16)/1000)</f>
        <v>0</v>
      </c>
      <c r="E256">
        <f>'Refrig Mass Flow &amp; Cond kW'!D247*(($C$13-$C$14)-$C$6*($C$17-$C$18)/1000)-'Refrig Mass Flow &amp; Cond kW'!C247*(1-$C$6/($C$10+273))</f>
        <v>0</v>
      </c>
      <c r="F256" s="13"/>
      <c r="G256" s="13">
        <f>'Refrig Mass Flow &amp; Cond kW'!F247*$C$6*($G$19-$G$18)/1000</f>
        <v>0.354369678371592</v>
      </c>
      <c r="H256">
        <f>'Refrig Mass Flow &amp; Cond kW'!F247*$C$6*($G$17-$G$16)/1000</f>
        <v>2.2095991710227896</v>
      </c>
      <c r="I256">
        <f>'Refrig Mass Flow &amp; Cond kW'!F247*(($G$13-$G$14)-$C$6*($G$17-$G$18)/1000)-'Refrig Mass Flow &amp; Cond kW'!E247*(1-$C$6/($G$10+273))</f>
        <v>0.97799082805489235</v>
      </c>
    </row>
    <row r="257" spans="2:9" x14ac:dyDescent="0.2">
      <c r="B257" s="2">
        <v>234</v>
      </c>
      <c r="C257">
        <f>'Refrig Mass Flow &amp; Cond kW'!G248*$C$6*(($C$19-$C$18)/1000)</f>
        <v>0</v>
      </c>
      <c r="D257">
        <f>'Refrig Mass Flow &amp; Cond kW'!G248*Spring_autumn!$C$6*((Spring_autumn!$C$17-Spring_autumn!$C$16)/1000)</f>
        <v>0</v>
      </c>
      <c r="E257">
        <f>'Refrig Mass Flow &amp; Cond kW'!D248*(($C$13-$C$14)-$C$6*($C$17-$C$18)/1000)-'Refrig Mass Flow &amp; Cond kW'!C248*(1-$C$6/($C$10+273))</f>
        <v>0</v>
      </c>
      <c r="F257" s="13"/>
      <c r="G257" s="13">
        <f>'Refrig Mass Flow &amp; Cond kW'!F248*$C$6*($G$19-$G$18)/1000</f>
        <v>0.30687190467485259</v>
      </c>
      <c r="H257">
        <f>'Refrig Mass Flow &amp; Cond kW'!F248*$C$6*($G$17-$G$16)/1000</f>
        <v>1.91343658209019</v>
      </c>
      <c r="I257">
        <f>'Refrig Mass Flow &amp; Cond kW'!F248*(($G$13-$G$14)-$C$6*($G$17-$G$18)/1000)-'Refrig Mass Flow &amp; Cond kW'!E248*(1-$C$6/($G$10+273))</f>
        <v>0.84690628594085737</v>
      </c>
    </row>
    <row r="258" spans="2:9" x14ac:dyDescent="0.2">
      <c r="B258" s="2">
        <v>235</v>
      </c>
      <c r="C258">
        <f>'Refrig Mass Flow &amp; Cond kW'!G249*$C$6*(($C$19-$C$18)/1000)</f>
        <v>0</v>
      </c>
      <c r="D258">
        <f>'Refrig Mass Flow &amp; Cond kW'!G249*Spring_autumn!$C$6*((Spring_autumn!$C$17-Spring_autumn!$C$16)/1000)</f>
        <v>0</v>
      </c>
      <c r="E258">
        <f>'Refrig Mass Flow &amp; Cond kW'!D249*(($C$13-$C$14)-$C$6*($C$17-$C$18)/1000)-'Refrig Mass Flow &amp; Cond kW'!C249*(1-$C$6/($C$10+273))</f>
        <v>0</v>
      </c>
      <c r="F258" s="13"/>
      <c r="G258" s="13">
        <f>'Refrig Mass Flow &amp; Cond kW'!F249*$C$6*($G$19-$G$18)/1000</f>
        <v>0.25918229157338463</v>
      </c>
      <c r="H258">
        <f>'Refrig Mass Flow &amp; Cond kW'!F249*$C$6*($G$17-$G$16)/1000</f>
        <v>1.6160778180457531</v>
      </c>
      <c r="I258">
        <f>'Refrig Mass Flow &amp; Cond kW'!F249*(($G$13-$G$14)-$C$6*($G$17-$G$18)/1000)-'Refrig Mass Flow &amp; Cond kW'!E249*(1-$C$6/($G$10+273))</f>
        <v>0.71529230468533989</v>
      </c>
    </row>
    <row r="259" spans="2:9" x14ac:dyDescent="0.2">
      <c r="B259" s="2">
        <v>236</v>
      </c>
      <c r="C259">
        <f>'Refrig Mass Flow &amp; Cond kW'!G250*$C$6*(($C$19-$C$18)/1000)</f>
        <v>0</v>
      </c>
      <c r="D259">
        <f>'Refrig Mass Flow &amp; Cond kW'!G250*Spring_autumn!$C$6*((Spring_autumn!$C$17-Spring_autumn!$C$16)/1000)</f>
        <v>0</v>
      </c>
      <c r="E259">
        <f>'Refrig Mass Flow &amp; Cond kW'!D250*(($C$13-$C$14)-$C$6*($C$17-$C$18)/1000)-'Refrig Mass Flow &amp; Cond kW'!C250*(1-$C$6/($C$10+273))</f>
        <v>0</v>
      </c>
      <c r="F259" s="13"/>
      <c r="G259" s="13">
        <f>'Refrig Mass Flow &amp; Cond kW'!F250*$C$6*($G$19-$G$18)/1000</f>
        <v>0.21128687723167847</v>
      </c>
      <c r="H259">
        <f>'Refrig Mass Flow &amp; Cond kW'!F250*$C$6*($G$17-$G$16)/1000</f>
        <v>1.3174358227386544</v>
      </c>
      <c r="I259">
        <f>'Refrig Mass Flow &amp; Cond kW'!F250*(($G$13-$G$14)-$C$6*($G$17-$G$18)/1000)-'Refrig Mass Flow &amp; Cond kW'!E250*(1-$C$6/($G$10+273))</f>
        <v>0.58311035235995146</v>
      </c>
    </row>
    <row r="260" spans="2:9" x14ac:dyDescent="0.2">
      <c r="B260" s="2">
        <v>237</v>
      </c>
      <c r="C260">
        <f>'Refrig Mass Flow &amp; Cond kW'!G251*$C$6*(($C$19-$C$18)/1000)</f>
        <v>0</v>
      </c>
      <c r="D260">
        <f>'Refrig Mass Flow &amp; Cond kW'!G251*Spring_autumn!$C$6*((Spring_autumn!$C$17-Spring_autumn!$C$16)/1000)</f>
        <v>0</v>
      </c>
      <c r="E260">
        <f>'Refrig Mass Flow &amp; Cond kW'!D251*(($C$13-$C$14)-$C$6*($C$17-$C$18)/1000)-'Refrig Mass Flow &amp; Cond kW'!C251*(1-$C$6/($C$10+273))</f>
        <v>0</v>
      </c>
      <c r="F260" s="13"/>
      <c r="G260" s="13">
        <f>'Refrig Mass Flow &amp; Cond kW'!F251*$C$6*($G$19-$G$18)/1000</f>
        <v>0.16319753125021957</v>
      </c>
      <c r="H260">
        <f>'Refrig Mass Flow &amp; Cond kW'!F251*$C$6*($G$17-$G$16)/1000</f>
        <v>1.0175846066189802</v>
      </c>
      <c r="I260">
        <f>'Refrig Mass Flow &amp; Cond kW'!F251*(($G$13-$G$14)-$C$6*($G$17-$G$18)/1000)-'Refrig Mass Flow &amp; Cond kW'!E251*(1-$C$6/($G$10+273))</f>
        <v>0.45039318673465623</v>
      </c>
    </row>
    <row r="261" spans="2:9" x14ac:dyDescent="0.2">
      <c r="B261" s="2">
        <v>238</v>
      </c>
      <c r="C261">
        <f>'Refrig Mass Flow &amp; Cond kW'!G252*$C$6*(($C$19-$C$18)/1000)</f>
        <v>0</v>
      </c>
      <c r="D261">
        <f>'Refrig Mass Flow &amp; Cond kW'!G252*Spring_autumn!$C$6*((Spring_autumn!$C$17-Spring_autumn!$C$16)/1000)</f>
        <v>0</v>
      </c>
      <c r="E261">
        <f>'Refrig Mass Flow &amp; Cond kW'!D252*(($C$13-$C$14)-$C$6*($C$17-$C$18)/1000)-'Refrig Mass Flow &amp; Cond kW'!C252*(1-$C$6/($C$10+273))</f>
        <v>0</v>
      </c>
      <c r="F261" s="13"/>
      <c r="G261" s="13">
        <f>'Refrig Mass Flow &amp; Cond kW'!F252*$C$6*($G$19-$G$18)/1000</f>
        <v>0.1149990795962976</v>
      </c>
      <c r="H261">
        <f>'Refrig Mass Flow &amp; Cond kW'!F252*$C$6*($G$17-$G$16)/1000</f>
        <v>0.717053084541595</v>
      </c>
      <c r="I261">
        <f>'Refrig Mass Flow &amp; Cond kW'!F252*(($G$13-$G$14)-$C$6*($G$17-$G$18)/1000)-'Refrig Mass Flow &amp; Cond kW'!E252*(1-$C$6/($G$10+273))</f>
        <v>0.31737491084663105</v>
      </c>
    </row>
    <row r="262" spans="2:9" x14ac:dyDescent="0.2">
      <c r="B262" s="2">
        <v>239</v>
      </c>
      <c r="C262">
        <f>'Refrig Mass Flow &amp; Cond kW'!G253*$C$6*(($C$19-$C$18)/1000)</f>
        <v>0</v>
      </c>
      <c r="D262">
        <f>'Refrig Mass Flow &amp; Cond kW'!G253*Spring_autumn!$C$6*((Spring_autumn!$C$17-Spring_autumn!$C$16)/1000)</f>
        <v>0</v>
      </c>
      <c r="E262">
        <f>'Refrig Mass Flow &amp; Cond kW'!D253*(($C$13-$C$14)-$C$6*($C$17-$C$18)/1000)-'Refrig Mass Flow &amp; Cond kW'!C253*(1-$C$6/($C$10+273))</f>
        <v>0</v>
      </c>
      <c r="F262" s="13"/>
      <c r="G262" s="13">
        <f>'Refrig Mass Flow &amp; Cond kW'!F253*$C$6*($G$19-$G$18)/1000</f>
        <v>6.6874767902999788E-2</v>
      </c>
      <c r="H262">
        <f>'Refrig Mass Flow &amp; Cond kW'!F253*$C$6*($G$17-$G$16)/1000</f>
        <v>0.41698384692457224</v>
      </c>
      <c r="I262">
        <f>'Refrig Mass Flow &amp; Cond kW'!F253*(($G$13-$G$14)-$C$6*($G$17-$G$18)/1000)-'Refrig Mass Flow &amp; Cond kW'!E253*(1-$C$6/($G$10+273))</f>
        <v>0.18456124671268315</v>
      </c>
    </row>
    <row r="263" spans="2:9" x14ac:dyDescent="0.2">
      <c r="B263" s="2">
        <v>240</v>
      </c>
      <c r="C263">
        <f>'Refrig Mass Flow &amp; Cond kW'!G254*$C$6*(($C$19-$C$18)/1000)</f>
        <v>0</v>
      </c>
      <c r="D263">
        <f>'Refrig Mass Flow &amp; Cond kW'!G254*Spring_autumn!$C$6*((Spring_autumn!$C$17-Spring_autumn!$C$16)/1000)</f>
        <v>0</v>
      </c>
      <c r="E263">
        <f>'Refrig Mass Flow &amp; Cond kW'!D254*(($C$13-$C$14)-$C$6*($C$17-$C$18)/1000)-'Refrig Mass Flow &amp; Cond kW'!C254*(1-$C$6/($C$10+273))</f>
        <v>0</v>
      </c>
      <c r="F263" s="13"/>
      <c r="G263" s="13">
        <f>'Refrig Mass Flow &amp; Cond kW'!F254*$C$6*($G$19-$G$18)/1000</f>
        <v>1.8616169099708025E-2</v>
      </c>
      <c r="H263">
        <f>'Refrig Mass Flow &amp; Cond kW'!F254*$C$6*($G$17-$G$16)/1000</f>
        <v>0.1160772896805283</v>
      </c>
      <c r="I263">
        <f>'Refrig Mass Flow &amp; Cond kW'!F254*(($G$13-$G$14)-$C$6*($G$17-$G$18)/1000)-'Refrig Mass Flow &amp; Cond kW'!E254*(1-$C$6/($G$10+273))</f>
        <v>5.1376976485956849E-2</v>
      </c>
    </row>
    <row r="264" spans="2:9" x14ac:dyDescent="0.2">
      <c r="B264" s="2">
        <v>241</v>
      </c>
      <c r="C264">
        <f>'Refrig Mass Flow &amp; Cond kW'!G255*$C$6*(($C$19-$C$18)/1000)</f>
        <v>0</v>
      </c>
      <c r="D264">
        <f>'Refrig Mass Flow &amp; Cond kW'!G255*Spring_autumn!$C$6*((Spring_autumn!$C$17-Spring_autumn!$C$16)/1000)</f>
        <v>0</v>
      </c>
      <c r="E264">
        <f>'Refrig Mass Flow &amp; Cond kW'!D255*(($C$13-$C$14)-$C$6*($C$17-$C$18)/1000)-'Refrig Mass Flow &amp; Cond kW'!C255*(1-$C$6/($C$10+273))</f>
        <v>0</v>
      </c>
      <c r="F264" s="13"/>
      <c r="G264" s="13">
        <f>'Refrig Mass Flow &amp; Cond kW'!F255*$C$6*($G$19-$G$18)/1000</f>
        <v>0</v>
      </c>
      <c r="H264">
        <f>'Refrig Mass Flow &amp; Cond kW'!F255*$C$6*($G$17-$G$16)/1000</f>
        <v>0</v>
      </c>
      <c r="I264">
        <f>'Refrig Mass Flow &amp; Cond kW'!F255*(($G$13-$G$14)-$C$6*($G$17-$G$18)/1000)-'Refrig Mass Flow &amp; Cond kW'!E255*(1-$C$6/($G$10+273))</f>
        <v>0</v>
      </c>
    </row>
    <row r="265" spans="2:9" x14ac:dyDescent="0.2">
      <c r="B265" s="2">
        <v>242</v>
      </c>
      <c r="C265">
        <f>'Refrig Mass Flow &amp; Cond kW'!G256*$C$6*(($C$19-$C$18)/1000)</f>
        <v>0</v>
      </c>
      <c r="D265">
        <f>'Refrig Mass Flow &amp; Cond kW'!G256*Spring_autumn!$C$6*((Spring_autumn!$C$17-Spring_autumn!$C$16)/1000)</f>
        <v>0</v>
      </c>
      <c r="E265">
        <f>'Refrig Mass Flow &amp; Cond kW'!D256*(($C$13-$C$14)-$C$6*($C$17-$C$18)/1000)-'Refrig Mass Flow &amp; Cond kW'!C256*(1-$C$6/($C$10+273))</f>
        <v>0</v>
      </c>
      <c r="F265" s="13"/>
      <c r="G265" s="13">
        <f>'Refrig Mass Flow &amp; Cond kW'!F256*$C$6*($G$19-$G$18)/1000</f>
        <v>0</v>
      </c>
      <c r="H265">
        <f>'Refrig Mass Flow &amp; Cond kW'!F256*$C$6*($G$17-$G$16)/1000</f>
        <v>0</v>
      </c>
      <c r="I265">
        <f>'Refrig Mass Flow &amp; Cond kW'!F256*(($G$13-$G$14)-$C$6*($G$17-$G$18)/1000)-'Refrig Mass Flow &amp; Cond kW'!E256*(1-$C$6/($G$10+273))</f>
        <v>0</v>
      </c>
    </row>
    <row r="266" spans="2:9" x14ac:dyDescent="0.2">
      <c r="B266" s="2">
        <v>243</v>
      </c>
      <c r="C266">
        <f>'Refrig Mass Flow &amp; Cond kW'!G257*$C$6*(($C$19-$C$18)/1000)</f>
        <v>0</v>
      </c>
      <c r="D266">
        <f>'Refrig Mass Flow &amp; Cond kW'!G257*Spring_autumn!$C$6*((Spring_autumn!$C$17-Spring_autumn!$C$16)/1000)</f>
        <v>0</v>
      </c>
      <c r="E266">
        <f>'Refrig Mass Flow &amp; Cond kW'!D257*(($C$13-$C$14)-$C$6*($C$17-$C$18)/1000)-'Refrig Mass Flow &amp; Cond kW'!C257*(1-$C$6/($C$10+273))</f>
        <v>0</v>
      </c>
      <c r="F266" s="13"/>
      <c r="G266" s="13">
        <f>'Refrig Mass Flow &amp; Cond kW'!F257*$C$6*($G$19-$G$18)/1000</f>
        <v>0</v>
      </c>
      <c r="H266">
        <f>'Refrig Mass Flow &amp; Cond kW'!F257*$C$6*($G$17-$G$16)/1000</f>
        <v>0</v>
      </c>
      <c r="I266">
        <f>'Refrig Mass Flow &amp; Cond kW'!F257*(($G$13-$G$14)-$C$6*($G$17-$G$18)/1000)-'Refrig Mass Flow &amp; Cond kW'!E257*(1-$C$6/($G$10+273))</f>
        <v>0</v>
      </c>
    </row>
    <row r="267" spans="2:9" x14ac:dyDescent="0.2">
      <c r="B267" s="2">
        <v>244</v>
      </c>
      <c r="C267">
        <f>'Refrig Mass Flow &amp; Cond kW'!G258*$C$6*(($C$19-$C$18)/1000)</f>
        <v>0</v>
      </c>
      <c r="D267">
        <f>'Refrig Mass Flow &amp; Cond kW'!G258*Spring_autumn!$C$6*((Spring_autumn!$C$17-Spring_autumn!$C$16)/1000)</f>
        <v>0</v>
      </c>
      <c r="E267">
        <f>'Refrig Mass Flow &amp; Cond kW'!D258*(($C$13-$C$14)-$C$6*($C$17-$C$18)/1000)-'Refrig Mass Flow &amp; Cond kW'!C258*(1-$C$6/($C$10+273))</f>
        <v>0</v>
      </c>
      <c r="F267" s="13"/>
      <c r="G267" s="13">
        <f>'Refrig Mass Flow &amp; Cond kW'!F258*$C$6*($G$19-$G$18)/1000</f>
        <v>0</v>
      </c>
      <c r="H267">
        <f>'Refrig Mass Flow &amp; Cond kW'!F258*$C$6*($G$17-$G$16)/1000</f>
        <v>0</v>
      </c>
      <c r="I267">
        <f>'Refrig Mass Flow &amp; Cond kW'!F258*(($G$13-$G$14)-$C$6*($G$17-$G$18)/1000)-'Refrig Mass Flow &amp; Cond kW'!E258*(1-$C$6/($G$10+273))</f>
        <v>0</v>
      </c>
    </row>
    <row r="268" spans="2:9" x14ac:dyDescent="0.2">
      <c r="B268" s="2">
        <v>245</v>
      </c>
      <c r="C268">
        <f>'Refrig Mass Flow &amp; Cond kW'!G259*$C$6*(($C$19-$C$18)/1000)</f>
        <v>0</v>
      </c>
      <c r="D268">
        <f>'Refrig Mass Flow &amp; Cond kW'!G259*Spring_autumn!$C$6*((Spring_autumn!$C$17-Spring_autumn!$C$16)/1000)</f>
        <v>0</v>
      </c>
      <c r="E268">
        <f>'Refrig Mass Flow &amp; Cond kW'!D259*(($C$13-$C$14)-$C$6*($C$17-$C$18)/1000)-'Refrig Mass Flow &amp; Cond kW'!C259*(1-$C$6/($C$10+273))</f>
        <v>0</v>
      </c>
      <c r="F268" s="13"/>
      <c r="G268" s="13">
        <f>'Refrig Mass Flow &amp; Cond kW'!F259*$C$6*($G$19-$G$18)/1000</f>
        <v>0</v>
      </c>
      <c r="H268">
        <f>'Refrig Mass Flow &amp; Cond kW'!F259*$C$6*($G$17-$G$16)/1000</f>
        <v>0</v>
      </c>
      <c r="I268">
        <f>'Refrig Mass Flow &amp; Cond kW'!F259*(($G$13-$G$14)-$C$6*($G$17-$G$18)/1000)-'Refrig Mass Flow &amp; Cond kW'!E259*(1-$C$6/($G$10+273))</f>
        <v>0</v>
      </c>
    </row>
    <row r="269" spans="2:9" x14ac:dyDescent="0.2">
      <c r="B269" s="2">
        <v>246</v>
      </c>
      <c r="C269">
        <f>'Refrig Mass Flow &amp; Cond kW'!G260*$C$6*(($C$19-$C$18)/1000)</f>
        <v>0</v>
      </c>
      <c r="D269">
        <f>'Refrig Mass Flow &amp; Cond kW'!G260*Spring_autumn!$C$6*((Spring_autumn!$C$17-Spring_autumn!$C$16)/1000)</f>
        <v>0</v>
      </c>
      <c r="E269">
        <f>'Refrig Mass Flow &amp; Cond kW'!D260*(($C$13-$C$14)-$C$6*($C$17-$C$18)/1000)-'Refrig Mass Flow &amp; Cond kW'!C260*(1-$C$6/($C$10+273))</f>
        <v>0</v>
      </c>
      <c r="F269" s="13"/>
      <c r="G269" s="13">
        <f>'Refrig Mass Flow &amp; Cond kW'!F260*$C$6*($G$19-$G$18)/1000</f>
        <v>0</v>
      </c>
      <c r="H269">
        <f>'Refrig Mass Flow &amp; Cond kW'!F260*$C$6*($G$17-$G$16)/1000</f>
        <v>0</v>
      </c>
      <c r="I269">
        <f>'Refrig Mass Flow &amp; Cond kW'!F260*(($G$13-$G$14)-$C$6*($G$17-$G$18)/1000)-'Refrig Mass Flow &amp; Cond kW'!E260*(1-$C$6/($G$10+273))</f>
        <v>0</v>
      </c>
    </row>
    <row r="270" spans="2:9" x14ac:dyDescent="0.2">
      <c r="B270" s="2">
        <v>247</v>
      </c>
      <c r="C270">
        <f>'Refrig Mass Flow &amp; Cond kW'!G261*$C$6*(($C$19-$C$18)/1000)</f>
        <v>0</v>
      </c>
      <c r="D270">
        <f>'Refrig Mass Flow &amp; Cond kW'!G261*Spring_autumn!$C$6*((Spring_autumn!$C$17-Spring_autumn!$C$16)/1000)</f>
        <v>0</v>
      </c>
      <c r="E270">
        <f>'Refrig Mass Flow &amp; Cond kW'!D261*(($C$13-$C$14)-$C$6*($C$17-$C$18)/1000)-'Refrig Mass Flow &amp; Cond kW'!C261*(1-$C$6/($C$10+273))</f>
        <v>0</v>
      </c>
      <c r="F270" s="13"/>
      <c r="G270" s="13">
        <f>'Refrig Mass Flow &amp; Cond kW'!F261*$C$6*($G$19-$G$18)/1000</f>
        <v>0</v>
      </c>
      <c r="H270">
        <f>'Refrig Mass Flow &amp; Cond kW'!F261*$C$6*($G$17-$G$16)/1000</f>
        <v>0</v>
      </c>
      <c r="I270">
        <f>'Refrig Mass Flow &amp; Cond kW'!F261*(($G$13-$G$14)-$C$6*($G$17-$G$18)/1000)-'Refrig Mass Flow &amp; Cond kW'!E261*(1-$C$6/($G$10+273))</f>
        <v>0</v>
      </c>
    </row>
    <row r="271" spans="2:9" x14ac:dyDescent="0.2">
      <c r="B271" s="2">
        <v>248</v>
      </c>
      <c r="C271">
        <f>'Refrig Mass Flow &amp; Cond kW'!G262*$C$6*(($C$19-$C$18)/1000)</f>
        <v>0</v>
      </c>
      <c r="D271">
        <f>'Refrig Mass Flow &amp; Cond kW'!G262*Spring_autumn!$C$6*((Spring_autumn!$C$17-Spring_autumn!$C$16)/1000)</f>
        <v>0</v>
      </c>
      <c r="E271">
        <f>'Refrig Mass Flow &amp; Cond kW'!D262*(($C$13-$C$14)-$C$6*($C$17-$C$18)/1000)-'Refrig Mass Flow &amp; Cond kW'!C262*(1-$C$6/($C$10+273))</f>
        <v>0</v>
      </c>
      <c r="F271" s="13"/>
      <c r="G271" s="13">
        <f>'Refrig Mass Flow &amp; Cond kW'!F262*$C$6*($G$19-$G$18)/1000</f>
        <v>0</v>
      </c>
      <c r="H271">
        <f>'Refrig Mass Flow &amp; Cond kW'!F262*$C$6*($G$17-$G$16)/1000</f>
        <v>0</v>
      </c>
      <c r="I271">
        <f>'Refrig Mass Flow &amp; Cond kW'!F262*(($G$13-$G$14)-$C$6*($G$17-$G$18)/1000)-'Refrig Mass Flow &amp; Cond kW'!E262*(1-$C$6/($G$10+273))</f>
        <v>0</v>
      </c>
    </row>
    <row r="272" spans="2:9" x14ac:dyDescent="0.2">
      <c r="B272" s="2">
        <v>249</v>
      </c>
      <c r="C272">
        <f>'Refrig Mass Flow &amp; Cond kW'!G263*$C$6*(($C$19-$C$18)/1000)</f>
        <v>0</v>
      </c>
      <c r="D272">
        <f>'Refrig Mass Flow &amp; Cond kW'!G263*Spring_autumn!$C$6*((Spring_autumn!$C$17-Spring_autumn!$C$16)/1000)</f>
        <v>0</v>
      </c>
      <c r="E272">
        <f>'Refrig Mass Flow &amp; Cond kW'!D263*(($C$13-$C$14)-$C$6*($C$17-$C$18)/1000)-'Refrig Mass Flow &amp; Cond kW'!C263*(1-$C$6/($C$10+273))</f>
        <v>0</v>
      </c>
      <c r="F272" s="13"/>
      <c r="G272" s="13">
        <f>'Refrig Mass Flow &amp; Cond kW'!F263*$C$6*($G$19-$G$18)/1000</f>
        <v>0</v>
      </c>
      <c r="H272">
        <f>'Refrig Mass Flow &amp; Cond kW'!F263*$C$6*($G$17-$G$16)/1000</f>
        <v>0</v>
      </c>
      <c r="I272">
        <f>'Refrig Mass Flow &amp; Cond kW'!F263*(($G$13-$G$14)-$C$6*($G$17-$G$18)/1000)-'Refrig Mass Flow &amp; Cond kW'!E263*(1-$C$6/($G$10+273))</f>
        <v>0</v>
      </c>
    </row>
    <row r="273" spans="2:9" x14ac:dyDescent="0.2">
      <c r="B273" s="2">
        <v>250</v>
      </c>
      <c r="C273">
        <f>'Refrig Mass Flow &amp; Cond kW'!G264*$C$6*(($C$19-$C$18)/1000)</f>
        <v>0</v>
      </c>
      <c r="D273">
        <f>'Refrig Mass Flow &amp; Cond kW'!G264*Spring_autumn!$C$6*((Spring_autumn!$C$17-Spring_autumn!$C$16)/1000)</f>
        <v>0</v>
      </c>
      <c r="E273">
        <f>'Refrig Mass Flow &amp; Cond kW'!D264*(($C$13-$C$14)-$C$6*($C$17-$C$18)/1000)-'Refrig Mass Flow &amp; Cond kW'!C264*(1-$C$6/($C$10+273))</f>
        <v>0</v>
      </c>
      <c r="F273" s="13"/>
      <c r="G273" s="13">
        <f>'Refrig Mass Flow &amp; Cond kW'!F264*$C$6*($G$19-$G$18)/1000</f>
        <v>0</v>
      </c>
      <c r="H273">
        <f>'Refrig Mass Flow &amp; Cond kW'!F264*$C$6*($G$17-$G$16)/1000</f>
        <v>0</v>
      </c>
      <c r="I273">
        <f>'Refrig Mass Flow &amp; Cond kW'!F264*(($G$13-$G$14)-$C$6*($G$17-$G$18)/1000)-'Refrig Mass Flow &amp; Cond kW'!E264*(1-$C$6/($G$10+273))</f>
        <v>0</v>
      </c>
    </row>
    <row r="274" spans="2:9" x14ac:dyDescent="0.2">
      <c r="B274" s="2">
        <v>251</v>
      </c>
      <c r="C274">
        <f>'Refrig Mass Flow &amp; Cond kW'!G265*$C$6*(($C$19-$C$18)/1000)</f>
        <v>0</v>
      </c>
      <c r="D274">
        <f>'Refrig Mass Flow &amp; Cond kW'!G265*Spring_autumn!$C$6*((Spring_autumn!$C$17-Spring_autumn!$C$16)/1000)</f>
        <v>0</v>
      </c>
      <c r="E274">
        <f>'Refrig Mass Flow &amp; Cond kW'!D265*(($C$13-$C$14)-$C$6*($C$17-$C$18)/1000)-'Refrig Mass Flow &amp; Cond kW'!C265*(1-$C$6/($C$10+273))</f>
        <v>0</v>
      </c>
      <c r="F274" s="13"/>
      <c r="G274" s="13">
        <f>'Refrig Mass Flow &amp; Cond kW'!F265*$C$6*($G$19-$G$18)/1000</f>
        <v>0</v>
      </c>
      <c r="H274">
        <f>'Refrig Mass Flow &amp; Cond kW'!F265*$C$6*($G$17-$G$16)/1000</f>
        <v>0</v>
      </c>
      <c r="I274">
        <f>'Refrig Mass Flow &amp; Cond kW'!F265*(($G$13-$G$14)-$C$6*($G$17-$G$18)/1000)-'Refrig Mass Flow &amp; Cond kW'!E265*(1-$C$6/($G$10+273))</f>
        <v>0</v>
      </c>
    </row>
    <row r="275" spans="2:9" x14ac:dyDescent="0.2">
      <c r="B275" s="2">
        <v>252</v>
      </c>
      <c r="C275">
        <f>'Refrig Mass Flow &amp; Cond kW'!G266*$C$6*(($C$19-$C$18)/1000)</f>
        <v>0</v>
      </c>
      <c r="D275">
        <f>'Refrig Mass Flow &amp; Cond kW'!G266*Spring_autumn!$C$6*((Spring_autumn!$C$17-Spring_autumn!$C$16)/1000)</f>
        <v>0</v>
      </c>
      <c r="E275">
        <f>'Refrig Mass Flow &amp; Cond kW'!D266*(($C$13-$C$14)-$C$6*($C$17-$C$18)/1000)-'Refrig Mass Flow &amp; Cond kW'!C266*(1-$C$6/($C$10+273))</f>
        <v>0</v>
      </c>
      <c r="F275" s="13"/>
      <c r="G275" s="13">
        <f>'Refrig Mass Flow &amp; Cond kW'!F266*$C$6*($G$19-$G$18)/1000</f>
        <v>0</v>
      </c>
      <c r="H275">
        <f>'Refrig Mass Flow &amp; Cond kW'!F266*$C$6*($G$17-$G$16)/1000</f>
        <v>0</v>
      </c>
      <c r="I275">
        <f>'Refrig Mass Flow &amp; Cond kW'!F266*(($G$13-$G$14)-$C$6*($G$17-$G$18)/1000)-'Refrig Mass Flow &amp; Cond kW'!E266*(1-$C$6/($G$10+273))</f>
        <v>0</v>
      </c>
    </row>
    <row r="276" spans="2:9" x14ac:dyDescent="0.2">
      <c r="B276" s="2">
        <v>253</v>
      </c>
      <c r="C276">
        <f>'Refrig Mass Flow &amp; Cond kW'!G267*$C$6*(($C$19-$C$18)/1000)</f>
        <v>0</v>
      </c>
      <c r="D276">
        <f>'Refrig Mass Flow &amp; Cond kW'!G267*Spring_autumn!$C$6*((Spring_autumn!$C$17-Spring_autumn!$C$16)/1000)</f>
        <v>0</v>
      </c>
      <c r="E276">
        <f>'Refrig Mass Flow &amp; Cond kW'!D267*(($C$13-$C$14)-$C$6*($C$17-$C$18)/1000)-'Refrig Mass Flow &amp; Cond kW'!C267*(1-$C$6/($C$10+273))</f>
        <v>0</v>
      </c>
      <c r="F276" s="13"/>
      <c r="G276" s="13">
        <f>'Refrig Mass Flow &amp; Cond kW'!F267*$C$6*($G$19-$G$18)/1000</f>
        <v>0</v>
      </c>
      <c r="H276">
        <f>'Refrig Mass Flow &amp; Cond kW'!F267*$C$6*($G$17-$G$16)/1000</f>
        <v>0</v>
      </c>
      <c r="I276">
        <f>'Refrig Mass Flow &amp; Cond kW'!F267*(($G$13-$G$14)-$C$6*($G$17-$G$18)/1000)-'Refrig Mass Flow &amp; Cond kW'!E267*(1-$C$6/($G$10+273))</f>
        <v>0</v>
      </c>
    </row>
    <row r="277" spans="2:9" x14ac:dyDescent="0.2">
      <c r="B277" s="2">
        <v>254</v>
      </c>
      <c r="C277">
        <f>'Refrig Mass Flow &amp; Cond kW'!G268*$C$6*(($C$19-$C$18)/1000)</f>
        <v>0</v>
      </c>
      <c r="D277">
        <f>'Refrig Mass Flow &amp; Cond kW'!G268*Spring_autumn!$C$6*((Spring_autumn!$C$17-Spring_autumn!$C$16)/1000)</f>
        <v>0</v>
      </c>
      <c r="E277">
        <f>'Refrig Mass Flow &amp; Cond kW'!D268*(($C$13-$C$14)-$C$6*($C$17-$C$18)/1000)-'Refrig Mass Flow &amp; Cond kW'!C268*(1-$C$6/($C$10+273))</f>
        <v>0</v>
      </c>
      <c r="F277" s="13"/>
      <c r="G277" s="13">
        <f>'Refrig Mass Flow &amp; Cond kW'!F268*$C$6*($G$19-$G$18)/1000</f>
        <v>0</v>
      </c>
      <c r="H277">
        <f>'Refrig Mass Flow &amp; Cond kW'!F268*$C$6*($G$17-$G$16)/1000</f>
        <v>0</v>
      </c>
      <c r="I277">
        <f>'Refrig Mass Flow &amp; Cond kW'!F268*(($G$13-$G$14)-$C$6*($G$17-$G$18)/1000)-'Refrig Mass Flow &amp; Cond kW'!E268*(1-$C$6/($G$10+273))</f>
        <v>0</v>
      </c>
    </row>
    <row r="278" spans="2:9" x14ac:dyDescent="0.2">
      <c r="B278" s="2">
        <v>255</v>
      </c>
      <c r="C278">
        <f>'Refrig Mass Flow &amp; Cond kW'!G269*$C$6*(($C$19-$C$18)/1000)</f>
        <v>0</v>
      </c>
      <c r="D278">
        <f>'Refrig Mass Flow &amp; Cond kW'!G269*Spring_autumn!$C$6*((Spring_autumn!$C$17-Spring_autumn!$C$16)/1000)</f>
        <v>0</v>
      </c>
      <c r="E278">
        <f>'Refrig Mass Flow &amp; Cond kW'!D269*(($C$13-$C$14)-$C$6*($C$17-$C$18)/1000)-'Refrig Mass Flow &amp; Cond kW'!C269*(1-$C$6/($C$10+273))</f>
        <v>0</v>
      </c>
      <c r="F278" s="13"/>
      <c r="G278" s="13">
        <f>'Refrig Mass Flow &amp; Cond kW'!F269*$C$6*($G$19-$G$18)/1000</f>
        <v>0</v>
      </c>
      <c r="H278">
        <f>'Refrig Mass Flow &amp; Cond kW'!F269*$C$6*($G$17-$G$16)/1000</f>
        <v>0</v>
      </c>
      <c r="I278">
        <f>'Refrig Mass Flow &amp; Cond kW'!F269*(($G$13-$G$14)-$C$6*($G$17-$G$18)/1000)-'Refrig Mass Flow &amp; Cond kW'!E269*(1-$C$6/($G$10+273))</f>
        <v>0</v>
      </c>
    </row>
    <row r="279" spans="2:9" x14ac:dyDescent="0.2">
      <c r="B279" s="2">
        <v>256</v>
      </c>
      <c r="C279">
        <f>'Refrig Mass Flow &amp; Cond kW'!G270*$C$6*(($C$19-$C$18)/1000)</f>
        <v>0</v>
      </c>
      <c r="D279">
        <f>'Refrig Mass Flow &amp; Cond kW'!G270*Spring_autumn!$C$6*((Spring_autumn!$C$17-Spring_autumn!$C$16)/1000)</f>
        <v>0</v>
      </c>
      <c r="E279">
        <f>'Refrig Mass Flow &amp; Cond kW'!D270*(($C$13-$C$14)-$C$6*($C$17-$C$18)/1000)-'Refrig Mass Flow &amp; Cond kW'!C270*(1-$C$6/($C$10+273))</f>
        <v>0</v>
      </c>
      <c r="F279" s="13"/>
      <c r="G279" s="13">
        <f>'Refrig Mass Flow &amp; Cond kW'!F270*$C$6*($G$19-$G$18)/1000</f>
        <v>0</v>
      </c>
      <c r="H279">
        <f>'Refrig Mass Flow &amp; Cond kW'!F270*$C$6*($G$17-$G$16)/1000</f>
        <v>0</v>
      </c>
      <c r="I279">
        <f>'Refrig Mass Flow &amp; Cond kW'!F270*(($G$13-$G$14)-$C$6*($G$17-$G$18)/1000)-'Refrig Mass Flow &amp; Cond kW'!E270*(1-$C$6/($G$10+273))</f>
        <v>0</v>
      </c>
    </row>
    <row r="280" spans="2:9" x14ac:dyDescent="0.2">
      <c r="B280" s="2">
        <v>257</v>
      </c>
      <c r="C280">
        <f>'Refrig Mass Flow &amp; Cond kW'!G271*$C$6*(($C$19-$C$18)/1000)</f>
        <v>0</v>
      </c>
      <c r="D280">
        <f>'Refrig Mass Flow &amp; Cond kW'!G271*Spring_autumn!$C$6*((Spring_autumn!$C$17-Spring_autumn!$C$16)/1000)</f>
        <v>0</v>
      </c>
      <c r="E280">
        <f>'Refrig Mass Flow &amp; Cond kW'!D271*(($C$13-$C$14)-$C$6*($C$17-$C$18)/1000)-'Refrig Mass Flow &amp; Cond kW'!C271*(1-$C$6/($C$10+273))</f>
        <v>0</v>
      </c>
      <c r="F280" s="13"/>
      <c r="G280" s="13">
        <f>'Refrig Mass Flow &amp; Cond kW'!F271*$C$6*($G$19-$G$18)/1000</f>
        <v>0</v>
      </c>
      <c r="H280">
        <f>'Refrig Mass Flow &amp; Cond kW'!F271*$C$6*($G$17-$G$16)/1000</f>
        <v>0</v>
      </c>
      <c r="I280">
        <f>'Refrig Mass Flow &amp; Cond kW'!F271*(($G$13-$G$14)-$C$6*($G$17-$G$18)/1000)-'Refrig Mass Flow &amp; Cond kW'!E271*(1-$C$6/($G$10+273))</f>
        <v>0</v>
      </c>
    </row>
    <row r="281" spans="2:9" x14ac:dyDescent="0.2">
      <c r="B281" s="2">
        <v>258</v>
      </c>
      <c r="C281">
        <f>'Refrig Mass Flow &amp; Cond kW'!G272*$C$6*(($C$19-$C$18)/1000)</f>
        <v>0</v>
      </c>
      <c r="D281">
        <f>'Refrig Mass Flow &amp; Cond kW'!G272*Spring_autumn!$C$6*((Spring_autumn!$C$17-Spring_autumn!$C$16)/1000)</f>
        <v>0</v>
      </c>
      <c r="E281">
        <f>'Refrig Mass Flow &amp; Cond kW'!D272*(($C$13-$C$14)-$C$6*($C$17-$C$18)/1000)-'Refrig Mass Flow &amp; Cond kW'!C272*(1-$C$6/($C$10+273))</f>
        <v>-2.2845798787405336E-2</v>
      </c>
      <c r="F281" s="13"/>
      <c r="G281" s="13">
        <f>'Refrig Mass Flow &amp; Cond kW'!F272*$C$6*($G$19-$G$18)/1000</f>
        <v>0</v>
      </c>
      <c r="H281">
        <f>'Refrig Mass Flow &amp; Cond kW'!F272*$C$6*($G$17-$G$16)/1000</f>
        <v>0</v>
      </c>
      <c r="I281">
        <f>'Refrig Mass Flow &amp; Cond kW'!F272*(($G$13-$G$14)-$C$6*($G$17-$G$18)/1000)-'Refrig Mass Flow &amp; Cond kW'!E272*(1-$C$6/($G$10+273))</f>
        <v>0</v>
      </c>
    </row>
    <row r="282" spans="2:9" x14ac:dyDescent="0.2">
      <c r="B282" s="2">
        <v>259</v>
      </c>
      <c r="C282">
        <f>'Refrig Mass Flow &amp; Cond kW'!G273*$C$6*(($C$19-$C$18)/1000)</f>
        <v>0</v>
      </c>
      <c r="D282">
        <f>'Refrig Mass Flow &amp; Cond kW'!G273*Spring_autumn!$C$6*((Spring_autumn!$C$17-Spring_autumn!$C$16)/1000)</f>
        <v>0</v>
      </c>
      <c r="E282">
        <f>'Refrig Mass Flow &amp; Cond kW'!D273*(($C$13-$C$14)-$C$6*($C$17-$C$18)/1000)-'Refrig Mass Flow &amp; Cond kW'!C273*(1-$C$6/($C$10+273))</f>
        <v>-2.8244229072411642E-2</v>
      </c>
      <c r="F282" s="13"/>
      <c r="G282" s="13">
        <f>'Refrig Mass Flow &amp; Cond kW'!F273*$C$6*($G$19-$G$18)/1000</f>
        <v>0</v>
      </c>
      <c r="H282">
        <f>'Refrig Mass Flow &amp; Cond kW'!F273*$C$6*($G$17-$G$16)/1000</f>
        <v>0</v>
      </c>
      <c r="I282">
        <f>'Refrig Mass Flow &amp; Cond kW'!F273*(($G$13-$G$14)-$C$6*($G$17-$G$18)/1000)-'Refrig Mass Flow &amp; Cond kW'!E273*(1-$C$6/($G$10+273))</f>
        <v>0</v>
      </c>
    </row>
    <row r="283" spans="2:9" x14ac:dyDescent="0.2">
      <c r="B283" s="2">
        <v>260</v>
      </c>
      <c r="C283">
        <f>'Refrig Mass Flow &amp; Cond kW'!G274*$C$6*(($C$19-$C$18)/1000)</f>
        <v>0</v>
      </c>
      <c r="D283">
        <f>'Refrig Mass Flow &amp; Cond kW'!G274*Spring_autumn!$C$6*((Spring_autumn!$C$17-Spring_autumn!$C$16)/1000)</f>
        <v>0</v>
      </c>
      <c r="E283">
        <f>'Refrig Mass Flow &amp; Cond kW'!D274*(($C$13-$C$14)-$C$6*($C$17-$C$18)/1000)-'Refrig Mass Flow &amp; Cond kW'!C274*(1-$C$6/($C$10+273))</f>
        <v>-3.3632821885509756E-2</v>
      </c>
      <c r="F283" s="13"/>
      <c r="G283" s="13">
        <f>'Refrig Mass Flow &amp; Cond kW'!F274*$C$6*($G$19-$G$18)/1000</f>
        <v>0</v>
      </c>
      <c r="H283">
        <f>'Refrig Mass Flow &amp; Cond kW'!F274*$C$6*($G$17-$G$16)/1000</f>
        <v>0</v>
      </c>
      <c r="I283">
        <f>'Refrig Mass Flow &amp; Cond kW'!F274*(($G$13-$G$14)-$C$6*($G$17-$G$18)/1000)-'Refrig Mass Flow &amp; Cond kW'!E274*(1-$C$6/($G$10+273))</f>
        <v>0</v>
      </c>
    </row>
    <row r="284" spans="2:9" x14ac:dyDescent="0.2">
      <c r="B284" s="2">
        <v>261</v>
      </c>
      <c r="C284">
        <f>'Refrig Mass Flow &amp; Cond kW'!G275*$C$6*(($C$19-$C$18)/1000)</f>
        <v>0</v>
      </c>
      <c r="D284">
        <f>'Refrig Mass Flow &amp; Cond kW'!G275*Spring_autumn!$C$6*((Spring_autumn!$C$17-Spring_autumn!$C$16)/1000)</f>
        <v>0</v>
      </c>
      <c r="E284">
        <f>'Refrig Mass Flow &amp; Cond kW'!D275*(($C$13-$C$14)-$C$6*($C$17-$C$18)/1000)-'Refrig Mass Flow &amp; Cond kW'!C275*(1-$C$6/($C$10+273))</f>
        <v>-3.9012737340461179E-2</v>
      </c>
      <c r="F284" s="13"/>
      <c r="G284" s="13">
        <f>'Refrig Mass Flow &amp; Cond kW'!F275*$C$6*($G$19-$G$18)/1000</f>
        <v>0</v>
      </c>
      <c r="H284">
        <f>'Refrig Mass Flow &amp; Cond kW'!F275*$C$6*($G$17-$G$16)/1000</f>
        <v>0</v>
      </c>
      <c r="I284">
        <f>'Refrig Mass Flow &amp; Cond kW'!F275*(($G$13-$G$14)-$C$6*($G$17-$G$18)/1000)-'Refrig Mass Flow &amp; Cond kW'!E275*(1-$C$6/($G$10+273))</f>
        <v>0</v>
      </c>
    </row>
    <row r="285" spans="2:9" x14ac:dyDescent="0.2">
      <c r="B285" s="2">
        <v>262</v>
      </c>
      <c r="C285">
        <f>'Refrig Mass Flow &amp; Cond kW'!G276*$C$6*(($C$19-$C$18)/1000)</f>
        <v>0</v>
      </c>
      <c r="D285">
        <f>'Refrig Mass Flow &amp; Cond kW'!G276*Spring_autumn!$C$6*((Spring_autumn!$C$17-Spring_autumn!$C$16)/1000)</f>
        <v>0</v>
      </c>
      <c r="E285">
        <f>'Refrig Mass Flow &amp; Cond kW'!D276*(($C$13-$C$14)-$C$6*($C$17-$C$18)/1000)-'Refrig Mass Flow &amp; Cond kW'!C276*(1-$C$6/($C$10+273))</f>
        <v>-4.4385131412360224E-2</v>
      </c>
      <c r="F285" s="13"/>
      <c r="G285" s="13">
        <f>'Refrig Mass Flow &amp; Cond kW'!F276*$C$6*($G$19-$G$18)/1000</f>
        <v>0</v>
      </c>
      <c r="H285">
        <f>'Refrig Mass Flow &amp; Cond kW'!F276*$C$6*($G$17-$G$16)/1000</f>
        <v>0</v>
      </c>
      <c r="I285">
        <f>'Refrig Mass Flow &amp; Cond kW'!F276*(($G$13-$G$14)-$C$6*($G$17-$G$18)/1000)-'Refrig Mass Flow &amp; Cond kW'!E276*(1-$C$6/($G$10+273))</f>
        <v>0</v>
      </c>
    </row>
    <row r="286" spans="2:9" x14ac:dyDescent="0.2">
      <c r="B286" s="2">
        <v>263</v>
      </c>
      <c r="C286">
        <f>'Refrig Mass Flow &amp; Cond kW'!G277*$C$6*(($C$19-$C$18)/1000)</f>
        <v>0</v>
      </c>
      <c r="D286">
        <f>'Refrig Mass Flow &amp; Cond kW'!G277*Spring_autumn!$C$6*((Spring_autumn!$C$17-Spring_autumn!$C$16)/1000)</f>
        <v>0</v>
      </c>
      <c r="E286">
        <f>'Refrig Mass Flow &amp; Cond kW'!D277*(($C$13-$C$14)-$C$6*($C$17-$C$18)/1000)-'Refrig Mass Flow &amp; Cond kW'!C277*(1-$C$6/($C$10+273))</f>
        <v>-4.3014302737622856E-2</v>
      </c>
      <c r="F286" s="13"/>
      <c r="G286" s="13">
        <f>'Refrig Mass Flow &amp; Cond kW'!F277*$C$6*($G$19-$G$18)/1000</f>
        <v>0</v>
      </c>
      <c r="H286">
        <f>'Refrig Mass Flow &amp; Cond kW'!F277*$C$6*($G$17-$G$16)/1000</f>
        <v>0</v>
      </c>
      <c r="I286">
        <f>'Refrig Mass Flow &amp; Cond kW'!F277*(($G$13-$G$14)-$C$6*($G$17-$G$18)/1000)-'Refrig Mass Flow &amp; Cond kW'!E277*(1-$C$6/($G$10+273))</f>
        <v>0</v>
      </c>
    </row>
    <row r="287" spans="2:9" x14ac:dyDescent="0.2">
      <c r="B287" s="2">
        <v>264</v>
      </c>
      <c r="C287">
        <f>'Refrig Mass Flow &amp; Cond kW'!G278*$C$6*(($C$19-$C$18)/1000)</f>
        <v>0</v>
      </c>
      <c r="D287">
        <f>'Refrig Mass Flow &amp; Cond kW'!G278*Spring_autumn!$C$6*((Spring_autumn!$C$17-Spring_autumn!$C$16)/1000)</f>
        <v>0</v>
      </c>
      <c r="E287">
        <f>'Refrig Mass Flow &amp; Cond kW'!D278*(($C$13-$C$14)-$C$6*($C$17-$C$18)/1000)-'Refrig Mass Flow &amp; Cond kW'!C278*(1-$C$6/($C$10+273))</f>
        <v>-3.7545201673809814E-2</v>
      </c>
      <c r="F287" s="13"/>
      <c r="G287" s="13">
        <f>'Refrig Mass Flow &amp; Cond kW'!F278*$C$6*($G$19-$G$18)/1000</f>
        <v>0</v>
      </c>
      <c r="H287">
        <f>'Refrig Mass Flow &amp; Cond kW'!F278*$C$6*($G$17-$G$16)/1000</f>
        <v>0</v>
      </c>
      <c r="I287">
        <f>'Refrig Mass Flow &amp; Cond kW'!F278*(($G$13-$G$14)-$C$6*($G$17-$G$18)/1000)-'Refrig Mass Flow &amp; Cond kW'!E278*(1-$C$6/($G$10+273))</f>
        <v>0</v>
      </c>
    </row>
    <row r="288" spans="2:9" x14ac:dyDescent="0.2">
      <c r="B288" s="2">
        <v>265</v>
      </c>
      <c r="C288">
        <f>'Refrig Mass Flow &amp; Cond kW'!G279*$C$6*(($C$19-$C$18)/1000)</f>
        <v>0</v>
      </c>
      <c r="D288">
        <f>'Refrig Mass Flow &amp; Cond kW'!G279*Spring_autumn!$C$6*((Spring_autumn!$C$17-Spring_autumn!$C$16)/1000)</f>
        <v>0</v>
      </c>
      <c r="E288">
        <f>'Refrig Mass Flow &amp; Cond kW'!D279*(($C$13-$C$14)-$C$6*($C$17-$C$18)/1000)-'Refrig Mass Flow &amp; Cond kW'!C279*(1-$C$6/($C$10+273))</f>
        <v>-3.3100002653757787E-2</v>
      </c>
      <c r="F288" s="13"/>
      <c r="G288" s="13">
        <f>'Refrig Mass Flow &amp; Cond kW'!F279*$C$6*($G$19-$G$18)/1000</f>
        <v>0</v>
      </c>
      <c r="H288">
        <f>'Refrig Mass Flow &amp; Cond kW'!F279*$C$6*($G$17-$G$16)/1000</f>
        <v>0</v>
      </c>
      <c r="I288">
        <f>'Refrig Mass Flow &amp; Cond kW'!F279*(($G$13-$G$14)-$C$6*($G$17-$G$18)/1000)-'Refrig Mass Flow &amp; Cond kW'!E279*(1-$C$6/($G$10+273))</f>
        <v>0</v>
      </c>
    </row>
    <row r="289" spans="2:9" x14ac:dyDescent="0.2">
      <c r="B289" s="2">
        <v>266</v>
      </c>
      <c r="C289">
        <f>'Refrig Mass Flow &amp; Cond kW'!G280*$C$6*(($C$19-$C$18)/1000)</f>
        <v>0</v>
      </c>
      <c r="D289">
        <f>'Refrig Mass Flow &amp; Cond kW'!G280*Spring_autumn!$C$6*((Spring_autumn!$C$17-Spring_autumn!$C$16)/1000)</f>
        <v>0</v>
      </c>
      <c r="E289">
        <f>'Refrig Mass Flow &amp; Cond kW'!D280*(($C$13-$C$14)-$C$6*($C$17-$C$18)/1000)-'Refrig Mass Flow &amp; Cond kW'!C280*(1-$C$6/($C$10+273))</f>
        <v>-2.921817749217448E-2</v>
      </c>
      <c r="F289" s="13"/>
      <c r="G289" s="13">
        <f>'Refrig Mass Flow &amp; Cond kW'!F280*$C$6*($G$19-$G$18)/1000</f>
        <v>0</v>
      </c>
      <c r="H289">
        <f>'Refrig Mass Flow &amp; Cond kW'!F280*$C$6*($G$17-$G$16)/1000</f>
        <v>0</v>
      </c>
      <c r="I289">
        <f>'Refrig Mass Flow &amp; Cond kW'!F280*(($G$13-$G$14)-$C$6*($G$17-$G$18)/1000)-'Refrig Mass Flow &amp; Cond kW'!E280*(1-$C$6/($G$10+273))</f>
        <v>0</v>
      </c>
    </row>
    <row r="290" spans="2:9" x14ac:dyDescent="0.2">
      <c r="B290" s="2">
        <v>267</v>
      </c>
      <c r="C290">
        <f>'Refrig Mass Flow &amp; Cond kW'!G281*$C$6*(($C$19-$C$18)/1000)</f>
        <v>0</v>
      </c>
      <c r="D290">
        <f>'Refrig Mass Flow &amp; Cond kW'!G281*Spring_autumn!$C$6*((Spring_autumn!$C$17-Spring_autumn!$C$16)/1000)</f>
        <v>0</v>
      </c>
      <c r="E290">
        <f>'Refrig Mass Flow &amp; Cond kW'!D281*(($C$13-$C$14)-$C$6*($C$17-$C$18)/1000)-'Refrig Mass Flow &amp; Cond kW'!C281*(1-$C$6/($C$10+273))</f>
        <v>-2.5332653476659583E-2</v>
      </c>
      <c r="F290" s="13"/>
      <c r="G290" s="13">
        <f>'Refrig Mass Flow &amp; Cond kW'!F281*$C$6*($G$19-$G$18)/1000</f>
        <v>0</v>
      </c>
      <c r="H290">
        <f>'Refrig Mass Flow &amp; Cond kW'!F281*$C$6*($G$17-$G$16)/1000</f>
        <v>0</v>
      </c>
      <c r="I290">
        <f>'Refrig Mass Flow &amp; Cond kW'!F281*(($G$13-$G$14)-$C$6*($G$17-$G$18)/1000)-'Refrig Mass Flow &amp; Cond kW'!E281*(1-$C$6/($G$10+273))</f>
        <v>0</v>
      </c>
    </row>
    <row r="291" spans="2:9" x14ac:dyDescent="0.2">
      <c r="B291" s="2">
        <v>268</v>
      </c>
      <c r="C291">
        <f>'Refrig Mass Flow &amp; Cond kW'!G282*$C$6*(($C$19-$C$18)/1000)</f>
        <v>0</v>
      </c>
      <c r="D291">
        <f>'Refrig Mass Flow &amp; Cond kW'!G282*Spring_autumn!$C$6*((Spring_autumn!$C$17-Spring_autumn!$C$16)/1000)</f>
        <v>0</v>
      </c>
      <c r="E291">
        <f>'Refrig Mass Flow &amp; Cond kW'!D282*(($C$13-$C$14)-$C$6*($C$17-$C$18)/1000)-'Refrig Mass Flow &amp; Cond kW'!C282*(1-$C$6/($C$10+273))</f>
        <v>-2.1159793203330945E-2</v>
      </c>
      <c r="F291" s="13"/>
      <c r="G291" s="13">
        <f>'Refrig Mass Flow &amp; Cond kW'!F282*$C$6*($G$19-$G$18)/1000</f>
        <v>0</v>
      </c>
      <c r="H291">
        <f>'Refrig Mass Flow &amp; Cond kW'!F282*$C$6*($G$17-$G$16)/1000</f>
        <v>0</v>
      </c>
      <c r="I291">
        <f>'Refrig Mass Flow &amp; Cond kW'!F282*(($G$13-$G$14)-$C$6*($G$17-$G$18)/1000)-'Refrig Mass Flow &amp; Cond kW'!E282*(1-$C$6/($G$10+273))</f>
        <v>0</v>
      </c>
    </row>
    <row r="292" spans="2:9" x14ac:dyDescent="0.2">
      <c r="B292" s="2">
        <v>269</v>
      </c>
      <c r="C292">
        <f>'Refrig Mass Flow &amp; Cond kW'!G283*$C$6*(($C$19-$C$18)/1000)</f>
        <v>0</v>
      </c>
      <c r="D292">
        <f>'Refrig Mass Flow &amp; Cond kW'!G283*Spring_autumn!$C$6*((Spring_autumn!$C$17-Spring_autumn!$C$16)/1000)</f>
        <v>0</v>
      </c>
      <c r="E292">
        <f>'Refrig Mass Flow &amp; Cond kW'!D283*(($C$13-$C$14)-$C$6*($C$17-$C$18)/1000)-'Refrig Mass Flow &amp; Cond kW'!C283*(1-$C$6/($C$10+273))</f>
        <v>-1.6583497733682728E-2</v>
      </c>
      <c r="F292" s="13"/>
      <c r="G292" s="13">
        <f>'Refrig Mass Flow &amp; Cond kW'!F283*$C$6*($G$19-$G$18)/1000</f>
        <v>0</v>
      </c>
      <c r="H292">
        <f>'Refrig Mass Flow &amp; Cond kW'!F283*$C$6*($G$17-$G$16)/1000</f>
        <v>0</v>
      </c>
      <c r="I292">
        <f>'Refrig Mass Flow &amp; Cond kW'!F283*(($G$13-$G$14)-$C$6*($G$17-$G$18)/1000)-'Refrig Mass Flow &amp; Cond kW'!E283*(1-$C$6/($G$10+273))</f>
        <v>0</v>
      </c>
    </row>
    <row r="293" spans="2:9" x14ac:dyDescent="0.2">
      <c r="B293" s="2">
        <v>270</v>
      </c>
      <c r="C293">
        <f>'Refrig Mass Flow &amp; Cond kW'!G284*$C$6*(($C$19-$C$18)/1000)</f>
        <v>0</v>
      </c>
      <c r="D293">
        <f>'Refrig Mass Flow &amp; Cond kW'!G284*Spring_autumn!$C$6*((Spring_autumn!$C$17-Spring_autumn!$C$16)/1000)</f>
        <v>0</v>
      </c>
      <c r="E293">
        <f>'Refrig Mass Flow &amp; Cond kW'!D284*(($C$13-$C$14)-$C$6*($C$17-$C$18)/1000)-'Refrig Mass Flow &amp; Cond kW'!C284*(1-$C$6/($C$10+273))</f>
        <v>-1.1564971485972242E-2</v>
      </c>
      <c r="F293" s="13"/>
      <c r="G293" s="13">
        <f>'Refrig Mass Flow &amp; Cond kW'!F284*$C$6*($G$19-$G$18)/1000</f>
        <v>0</v>
      </c>
      <c r="H293">
        <f>'Refrig Mass Flow &amp; Cond kW'!F284*$C$6*($G$17-$G$16)/1000</f>
        <v>0</v>
      </c>
      <c r="I293">
        <f>'Refrig Mass Flow &amp; Cond kW'!F284*(($G$13-$G$14)-$C$6*($G$17-$G$18)/1000)-'Refrig Mass Flow &amp; Cond kW'!E284*(1-$C$6/($G$10+273))</f>
        <v>0</v>
      </c>
    </row>
    <row r="294" spans="2:9" x14ac:dyDescent="0.2">
      <c r="B294" s="2">
        <v>271</v>
      </c>
      <c r="C294">
        <f>'Refrig Mass Flow &amp; Cond kW'!G285*$C$6*(($C$19-$C$18)/1000)</f>
        <v>0</v>
      </c>
      <c r="D294">
        <f>'Refrig Mass Flow &amp; Cond kW'!G285*Spring_autumn!$C$6*((Spring_autumn!$C$17-Spring_autumn!$C$16)/1000)</f>
        <v>0</v>
      </c>
      <c r="E294">
        <f>'Refrig Mass Flow &amp; Cond kW'!D285*(($C$13-$C$14)-$C$6*($C$17-$C$18)/1000)-'Refrig Mass Flow &amp; Cond kW'!C285*(1-$C$6/($C$10+273))</f>
        <v>-1.1169716498267812E-2</v>
      </c>
      <c r="F294" s="13"/>
      <c r="G294" s="13">
        <f>'Refrig Mass Flow &amp; Cond kW'!F285*$C$6*($G$19-$G$18)/1000</f>
        <v>0</v>
      </c>
      <c r="H294">
        <f>'Refrig Mass Flow &amp; Cond kW'!F285*$C$6*($G$17-$G$16)/1000</f>
        <v>0</v>
      </c>
      <c r="I294">
        <f>'Refrig Mass Flow &amp; Cond kW'!F285*(($G$13-$G$14)-$C$6*($G$17-$G$18)/1000)-'Refrig Mass Flow &amp; Cond kW'!E285*(1-$C$6/($G$10+273))</f>
        <v>0</v>
      </c>
    </row>
    <row r="295" spans="2:9" x14ac:dyDescent="0.2">
      <c r="B295" s="2">
        <v>272</v>
      </c>
      <c r="C295">
        <f>'Refrig Mass Flow &amp; Cond kW'!G286*$C$6*(($C$19-$C$18)/1000)</f>
        <v>0</v>
      </c>
      <c r="D295">
        <f>'Refrig Mass Flow &amp; Cond kW'!G286*Spring_autumn!$C$6*((Spring_autumn!$C$17-Spring_autumn!$C$16)/1000)</f>
        <v>0</v>
      </c>
      <c r="E295">
        <f>'Refrig Mass Flow &amp; Cond kW'!D286*(($C$13-$C$14)-$C$6*($C$17-$C$18)/1000)-'Refrig Mass Flow &amp; Cond kW'!C286*(1-$C$6/($C$10+273))</f>
        <v>-1.7239263619209799E-2</v>
      </c>
      <c r="F295" s="13"/>
      <c r="G295" s="13">
        <f>'Refrig Mass Flow &amp; Cond kW'!F286*$C$6*($G$19-$G$18)/1000</f>
        <v>0</v>
      </c>
      <c r="H295">
        <f>'Refrig Mass Flow &amp; Cond kW'!F286*$C$6*($G$17-$G$16)/1000</f>
        <v>0</v>
      </c>
      <c r="I295">
        <f>'Refrig Mass Flow &amp; Cond kW'!F286*(($G$13-$G$14)-$C$6*($G$17-$G$18)/1000)-'Refrig Mass Flow &amp; Cond kW'!E286*(1-$C$6/($G$10+273))</f>
        <v>0</v>
      </c>
    </row>
    <row r="296" spans="2:9" x14ac:dyDescent="0.2">
      <c r="B296" s="2">
        <v>273</v>
      </c>
      <c r="C296">
        <f>'Refrig Mass Flow &amp; Cond kW'!G287*$C$6*(($C$19-$C$18)/1000)</f>
        <v>0</v>
      </c>
      <c r="D296">
        <f>'Refrig Mass Flow &amp; Cond kW'!G287*Spring_autumn!$C$6*((Spring_autumn!$C$17-Spring_autumn!$C$16)/1000)</f>
        <v>0</v>
      </c>
      <c r="E296">
        <f>'Refrig Mass Flow &amp; Cond kW'!D287*(($C$13-$C$14)-$C$6*($C$17-$C$18)/1000)-'Refrig Mass Flow &amp; Cond kW'!C287*(1-$C$6/($C$10+273))</f>
        <v>-2.2953309368428432E-2</v>
      </c>
      <c r="F296" s="13"/>
      <c r="G296" s="13">
        <f>'Refrig Mass Flow &amp; Cond kW'!F287*$C$6*($G$19-$G$18)/1000</f>
        <v>0</v>
      </c>
      <c r="H296">
        <f>'Refrig Mass Flow &amp; Cond kW'!F287*$C$6*($G$17-$G$16)/1000</f>
        <v>0</v>
      </c>
      <c r="I296">
        <f>'Refrig Mass Flow &amp; Cond kW'!F287*(($G$13-$G$14)-$C$6*($G$17-$G$18)/1000)-'Refrig Mass Flow &amp; Cond kW'!E287*(1-$C$6/($G$10+273))</f>
        <v>0</v>
      </c>
    </row>
    <row r="297" spans="2:9" x14ac:dyDescent="0.2">
      <c r="B297" s="2">
        <v>274</v>
      </c>
      <c r="C297">
        <f>'Refrig Mass Flow &amp; Cond kW'!G288*$C$6*(($C$19-$C$18)/1000)</f>
        <v>0</v>
      </c>
      <c r="D297">
        <f>'Refrig Mass Flow &amp; Cond kW'!G288*Spring_autumn!$C$6*((Spring_autumn!$C$17-Spring_autumn!$C$16)/1000)</f>
        <v>0</v>
      </c>
      <c r="E297">
        <f>'Refrig Mass Flow &amp; Cond kW'!D288*(($C$13-$C$14)-$C$6*($C$17-$C$18)/1000)-'Refrig Mass Flow &amp; Cond kW'!C288*(1-$C$6/($C$10+273))</f>
        <v>-2.8405088360064834E-2</v>
      </c>
      <c r="F297" s="13"/>
      <c r="G297" s="13">
        <f>'Refrig Mass Flow &amp; Cond kW'!F288*$C$6*($G$19-$G$18)/1000</f>
        <v>0</v>
      </c>
      <c r="H297">
        <f>'Refrig Mass Flow &amp; Cond kW'!F288*$C$6*($G$17-$G$16)/1000</f>
        <v>0</v>
      </c>
      <c r="I297">
        <f>'Refrig Mass Flow &amp; Cond kW'!F288*(($G$13-$G$14)-$C$6*($G$17-$G$18)/1000)-'Refrig Mass Flow &amp; Cond kW'!E288*(1-$C$6/($G$10+273))</f>
        <v>0</v>
      </c>
    </row>
    <row r="298" spans="2:9" x14ac:dyDescent="0.2">
      <c r="B298" s="2">
        <v>275</v>
      </c>
      <c r="C298">
        <f>'Refrig Mass Flow &amp; Cond kW'!G289*$C$6*(($C$19-$C$18)/1000)</f>
        <v>0</v>
      </c>
      <c r="D298">
        <f>'Refrig Mass Flow &amp; Cond kW'!G289*Spring_autumn!$C$6*((Spring_autumn!$C$17-Spring_autumn!$C$16)/1000)</f>
        <v>0</v>
      </c>
      <c r="E298">
        <f>'Refrig Mass Flow &amp; Cond kW'!D289*(($C$13-$C$14)-$C$6*($C$17-$C$18)/1000)-'Refrig Mass Flow &amp; Cond kW'!C289*(1-$C$6/($C$10+273))</f>
        <v>-3.383867709214039E-2</v>
      </c>
      <c r="F298" s="13"/>
      <c r="G298" s="13">
        <f>'Refrig Mass Flow &amp; Cond kW'!F289*$C$6*($G$19-$G$18)/1000</f>
        <v>0</v>
      </c>
      <c r="H298">
        <f>'Refrig Mass Flow &amp; Cond kW'!F289*$C$6*($G$17-$G$16)/1000</f>
        <v>0</v>
      </c>
      <c r="I298">
        <f>'Refrig Mass Flow &amp; Cond kW'!F289*(($G$13-$G$14)-$C$6*($G$17-$G$18)/1000)-'Refrig Mass Flow &amp; Cond kW'!E289*(1-$C$6/($G$10+273))</f>
        <v>0</v>
      </c>
    </row>
    <row r="299" spans="2:9" x14ac:dyDescent="0.2">
      <c r="B299" s="2">
        <v>276</v>
      </c>
      <c r="C299">
        <f>'Refrig Mass Flow &amp; Cond kW'!G290*$C$6*(($C$19-$C$18)/1000)</f>
        <v>0</v>
      </c>
      <c r="D299">
        <f>'Refrig Mass Flow &amp; Cond kW'!G290*Spring_autumn!$C$6*((Spring_autumn!$C$17-Spring_autumn!$C$16)/1000)</f>
        <v>0</v>
      </c>
      <c r="E299">
        <f>'Refrig Mass Flow &amp; Cond kW'!D290*(($C$13-$C$14)-$C$6*($C$17-$C$18)/1000)-'Refrig Mass Flow &amp; Cond kW'!C290*(1-$C$6/($C$10+273))</f>
        <v>-3.9266254841653137E-2</v>
      </c>
      <c r="F299" s="13"/>
      <c r="G299" s="13">
        <f>'Refrig Mass Flow &amp; Cond kW'!F290*$C$6*($G$19-$G$18)/1000</f>
        <v>0</v>
      </c>
      <c r="H299">
        <f>'Refrig Mass Flow &amp; Cond kW'!F290*$C$6*($G$17-$G$16)/1000</f>
        <v>0</v>
      </c>
      <c r="I299">
        <f>'Refrig Mass Flow &amp; Cond kW'!F290*(($G$13-$G$14)-$C$6*($G$17-$G$18)/1000)-'Refrig Mass Flow &amp; Cond kW'!E290*(1-$C$6/($G$10+273))</f>
        <v>0</v>
      </c>
    </row>
    <row r="300" spans="2:9" x14ac:dyDescent="0.2">
      <c r="B300" s="2">
        <v>277</v>
      </c>
      <c r="C300">
        <f>'Refrig Mass Flow &amp; Cond kW'!G291*$C$6*(($C$19-$C$18)/1000)</f>
        <v>0</v>
      </c>
      <c r="D300">
        <f>'Refrig Mass Flow &amp; Cond kW'!G291*Spring_autumn!$C$6*((Spring_autumn!$C$17-Spring_autumn!$C$16)/1000)</f>
        <v>0</v>
      </c>
      <c r="E300">
        <f>'Refrig Mass Flow &amp; Cond kW'!D291*(($C$13-$C$14)-$C$6*($C$17-$C$18)/1000)-'Refrig Mass Flow &amp; Cond kW'!C291*(1-$C$6/($C$10+273))</f>
        <v>-4.4687303827404712E-2</v>
      </c>
      <c r="F300" s="13"/>
      <c r="G300" s="13">
        <f>'Refrig Mass Flow &amp; Cond kW'!F291*$C$6*($G$19-$G$18)/1000</f>
        <v>0</v>
      </c>
      <c r="H300">
        <f>'Refrig Mass Flow &amp; Cond kW'!F291*$C$6*($G$17-$G$16)/1000</f>
        <v>0</v>
      </c>
      <c r="I300">
        <f>'Refrig Mass Flow &amp; Cond kW'!F291*(($G$13-$G$14)-$C$6*($G$17-$G$18)/1000)-'Refrig Mass Flow &amp; Cond kW'!E291*(1-$C$6/($G$10+273))</f>
        <v>0</v>
      </c>
    </row>
    <row r="301" spans="2:9" x14ac:dyDescent="0.2">
      <c r="B301" s="2">
        <v>278</v>
      </c>
      <c r="C301">
        <f>'Refrig Mass Flow &amp; Cond kW'!G292*$C$6*(($C$19-$C$18)/1000)</f>
        <v>0</v>
      </c>
      <c r="D301">
        <f>'Refrig Mass Flow &amp; Cond kW'!G292*Spring_autumn!$C$6*((Spring_autumn!$C$17-Spring_autumn!$C$16)/1000)</f>
        <v>0</v>
      </c>
      <c r="E301">
        <f>'Refrig Mass Flow &amp; Cond kW'!D292*(($C$13-$C$14)-$C$6*($C$17-$C$18)/1000)-'Refrig Mass Flow &amp; Cond kW'!C292*(1-$C$6/($C$10+273))</f>
        <v>-5.0101429136823583E-2</v>
      </c>
      <c r="F301" s="13"/>
      <c r="G301" s="13">
        <f>'Refrig Mass Flow &amp; Cond kW'!F292*$C$6*($G$19-$G$18)/1000</f>
        <v>0</v>
      </c>
      <c r="H301">
        <f>'Refrig Mass Flow &amp; Cond kW'!F292*$C$6*($G$17-$G$16)/1000</f>
        <v>0</v>
      </c>
      <c r="I301">
        <f>'Refrig Mass Flow &amp; Cond kW'!F292*(($G$13-$G$14)-$C$6*($G$17-$G$18)/1000)-'Refrig Mass Flow &amp; Cond kW'!E292*(1-$C$6/($G$10+273))</f>
        <v>0</v>
      </c>
    </row>
    <row r="302" spans="2:9" x14ac:dyDescent="0.2">
      <c r="B302" s="2">
        <v>279</v>
      </c>
      <c r="C302">
        <f>'Refrig Mass Flow &amp; Cond kW'!G293*$C$6*(($C$19-$C$18)/1000)</f>
        <v>0</v>
      </c>
      <c r="D302">
        <f>'Refrig Mass Flow &amp; Cond kW'!G293*Spring_autumn!$C$6*((Spring_autumn!$C$17-Spring_autumn!$C$16)/1000)</f>
        <v>0</v>
      </c>
      <c r="E302">
        <f>'Refrig Mass Flow &amp; Cond kW'!D293*(($C$13-$C$14)-$C$6*($C$17-$C$18)/1000)-'Refrig Mass Flow &amp; Cond kW'!C293*(1-$C$6/($C$10+273))</f>
        <v>-5.5508706737618319E-2</v>
      </c>
      <c r="F302" s="13"/>
      <c r="G302" s="13">
        <f>'Refrig Mass Flow &amp; Cond kW'!F293*$C$6*($G$19-$G$18)/1000</f>
        <v>0</v>
      </c>
      <c r="H302">
        <f>'Refrig Mass Flow &amp; Cond kW'!F293*$C$6*($G$17-$G$16)/1000</f>
        <v>0</v>
      </c>
      <c r="I302">
        <f>'Refrig Mass Flow &amp; Cond kW'!F293*(($G$13-$G$14)-$C$6*($G$17-$G$18)/1000)-'Refrig Mass Flow &amp; Cond kW'!E293*(1-$C$6/($G$10+273))</f>
        <v>0</v>
      </c>
    </row>
    <row r="303" spans="2:9" x14ac:dyDescent="0.2">
      <c r="B303" s="2">
        <v>280</v>
      </c>
      <c r="C303">
        <f>'Refrig Mass Flow &amp; Cond kW'!G294*$C$6*(($C$19-$C$18)/1000)</f>
        <v>0</v>
      </c>
      <c r="D303">
        <f>'Refrig Mass Flow &amp; Cond kW'!G294*Spring_autumn!$C$6*((Spring_autumn!$C$17-Spring_autumn!$C$16)/1000)</f>
        <v>0</v>
      </c>
      <c r="E303">
        <f>'Refrig Mass Flow &amp; Cond kW'!D294*(($C$13-$C$14)-$C$6*($C$17-$C$18)/1000)-'Refrig Mass Flow &amp; Cond kW'!C294*(1-$C$6/($C$10+273))</f>
        <v>-6.0909329344478458E-2</v>
      </c>
      <c r="F303" s="13"/>
      <c r="G303" s="13">
        <f>'Refrig Mass Flow &amp; Cond kW'!F294*$C$6*($G$19-$G$18)/1000</f>
        <v>0</v>
      </c>
      <c r="H303">
        <f>'Refrig Mass Flow &amp; Cond kW'!F294*$C$6*($G$17-$G$16)/1000</f>
        <v>0</v>
      </c>
      <c r="I303">
        <f>'Refrig Mass Flow &amp; Cond kW'!F294*(($G$13-$G$14)-$C$6*($G$17-$G$18)/1000)-'Refrig Mass Flow &amp; Cond kW'!E294*(1-$C$6/($G$10+273))</f>
        <v>0</v>
      </c>
    </row>
    <row r="304" spans="2:9" x14ac:dyDescent="0.2">
      <c r="B304" s="2">
        <v>281</v>
      </c>
      <c r="C304">
        <f>'Refrig Mass Flow &amp; Cond kW'!G295*$C$6*(($C$19-$C$18)/1000)</f>
        <v>0</v>
      </c>
      <c r="D304">
        <f>'Refrig Mass Flow &amp; Cond kW'!G295*Spring_autumn!$C$6*((Spring_autumn!$C$17-Spring_autumn!$C$16)/1000)</f>
        <v>0</v>
      </c>
      <c r="E304">
        <f>'Refrig Mass Flow &amp; Cond kW'!D295*(($C$13-$C$14)-$C$6*($C$17-$C$18)/1000)-'Refrig Mass Flow &amp; Cond kW'!C295*(1-$C$6/($C$10+273))</f>
        <v>-6.6303488628810747E-2</v>
      </c>
      <c r="F304" s="13"/>
      <c r="G304" s="13">
        <f>'Refrig Mass Flow &amp; Cond kW'!F295*$C$6*($G$19-$G$18)/1000</f>
        <v>0</v>
      </c>
      <c r="H304">
        <f>'Refrig Mass Flow &amp; Cond kW'!F295*$C$6*($G$17-$G$16)/1000</f>
        <v>0</v>
      </c>
      <c r="I304">
        <f>'Refrig Mass Flow &amp; Cond kW'!F295*(($G$13-$G$14)-$C$6*($G$17-$G$18)/1000)-'Refrig Mass Flow &amp; Cond kW'!E295*(1-$C$6/($G$10+273))</f>
        <v>0</v>
      </c>
    </row>
    <row r="305" spans="2:9" x14ac:dyDescent="0.2">
      <c r="B305" s="2">
        <v>282</v>
      </c>
      <c r="C305">
        <f>'Refrig Mass Flow &amp; Cond kW'!G296*$C$6*(($C$19-$C$18)/1000)</f>
        <v>0</v>
      </c>
      <c r="D305">
        <f>'Refrig Mass Flow &amp; Cond kW'!G296*Spring_autumn!$C$6*((Spring_autumn!$C$17-Spring_autumn!$C$16)/1000)</f>
        <v>0</v>
      </c>
      <c r="E305">
        <f>'Refrig Mass Flow &amp; Cond kW'!D296*(($C$13-$C$14)-$C$6*($C$17-$C$18)/1000)-'Refrig Mass Flow &amp; Cond kW'!C296*(1-$C$6/($C$10+273))</f>
        <v>-7.1691375205294783E-2</v>
      </c>
      <c r="F305" s="13"/>
      <c r="G305" s="13">
        <f>'Refrig Mass Flow &amp; Cond kW'!F296*$C$6*($G$19-$G$18)/1000</f>
        <v>0</v>
      </c>
      <c r="H305">
        <f>'Refrig Mass Flow &amp; Cond kW'!F296*$C$6*($G$17-$G$16)/1000</f>
        <v>0</v>
      </c>
      <c r="I305">
        <f>'Refrig Mass Flow &amp; Cond kW'!F296*(($G$13-$G$14)-$C$6*($G$17-$G$18)/1000)-'Refrig Mass Flow &amp; Cond kW'!E296*(1-$C$6/($G$10+273))</f>
        <v>0</v>
      </c>
    </row>
    <row r="306" spans="2:9" x14ac:dyDescent="0.2">
      <c r="B306" s="2">
        <v>283</v>
      </c>
      <c r="C306">
        <f>'Refrig Mass Flow &amp; Cond kW'!G297*$C$6*(($C$19-$C$18)/1000)</f>
        <v>0</v>
      </c>
      <c r="D306">
        <f>'Refrig Mass Flow &amp; Cond kW'!G297*Spring_autumn!$C$6*((Spring_autumn!$C$17-Spring_autumn!$C$16)/1000)</f>
        <v>0</v>
      </c>
      <c r="E306">
        <f>'Refrig Mass Flow &amp; Cond kW'!D297*(($C$13-$C$14)-$C$6*($C$17-$C$18)/1000)-'Refrig Mass Flow &amp; Cond kW'!C297*(1-$C$6/($C$10+273))</f>
        <v>-7.7073178618578098E-2</v>
      </c>
      <c r="F306" s="13"/>
      <c r="G306" s="13">
        <f>'Refrig Mass Flow &amp; Cond kW'!F297*$C$6*($G$19-$G$18)/1000</f>
        <v>0</v>
      </c>
      <c r="H306">
        <f>'Refrig Mass Flow &amp; Cond kW'!F297*$C$6*($G$17-$G$16)/1000</f>
        <v>0</v>
      </c>
      <c r="I306">
        <f>'Refrig Mass Flow &amp; Cond kW'!F297*(($G$13-$G$14)-$C$6*($G$17-$G$18)/1000)-'Refrig Mass Flow &amp; Cond kW'!E297*(1-$C$6/($G$10+273))</f>
        <v>0</v>
      </c>
    </row>
    <row r="307" spans="2:9" x14ac:dyDescent="0.2">
      <c r="B307" s="2">
        <v>284</v>
      </c>
      <c r="C307">
        <f>'Refrig Mass Flow &amp; Cond kW'!G298*$C$6*(($C$19-$C$18)/1000)</f>
        <v>0</v>
      </c>
      <c r="D307">
        <f>'Refrig Mass Flow &amp; Cond kW'!G298*Spring_autumn!$C$6*((Spring_autumn!$C$17-Spring_autumn!$C$16)/1000)</f>
        <v>0</v>
      </c>
      <c r="E307">
        <f>'Refrig Mass Flow &amp; Cond kW'!D298*(($C$13-$C$14)-$C$6*($C$17-$C$18)/1000)-'Refrig Mass Flow &amp; Cond kW'!C298*(1-$C$6/($C$10+273))</f>
        <v>-8.2449087330056514E-2</v>
      </c>
      <c r="F307" s="13"/>
      <c r="G307" s="13">
        <f>'Refrig Mass Flow &amp; Cond kW'!F298*$C$6*($G$19-$G$18)/1000</f>
        <v>0</v>
      </c>
      <c r="H307">
        <f>'Refrig Mass Flow &amp; Cond kW'!F298*$C$6*($G$17-$G$16)/1000</f>
        <v>0</v>
      </c>
      <c r="I307">
        <f>'Refrig Mass Flow &amp; Cond kW'!F298*(($G$13-$G$14)-$C$6*($G$17-$G$18)/1000)-'Refrig Mass Flow &amp; Cond kW'!E298*(1-$C$6/($G$10+273))</f>
        <v>0</v>
      </c>
    </row>
    <row r="308" spans="2:9" x14ac:dyDescent="0.2">
      <c r="B308" s="2">
        <v>285</v>
      </c>
      <c r="C308">
        <f>'Refrig Mass Flow &amp; Cond kW'!G299*$C$6*(($C$19-$C$18)/1000)</f>
        <v>0</v>
      </c>
      <c r="D308">
        <f>'Refrig Mass Flow &amp; Cond kW'!G299*Spring_autumn!$C$6*((Spring_autumn!$C$17-Spring_autumn!$C$16)/1000)</f>
        <v>0</v>
      </c>
      <c r="E308">
        <f>'Refrig Mass Flow &amp; Cond kW'!D299*(($C$13-$C$14)-$C$6*($C$17-$C$18)/1000)-'Refrig Mass Flow &amp; Cond kW'!C299*(1-$C$6/($C$10+273))</f>
        <v>-8.7819124760095235E-2</v>
      </c>
      <c r="F308" s="13"/>
      <c r="G308" s="13">
        <f>'Refrig Mass Flow &amp; Cond kW'!F299*$C$6*($G$19-$G$18)/1000</f>
        <v>0</v>
      </c>
      <c r="H308">
        <f>'Refrig Mass Flow &amp; Cond kW'!F299*$C$6*($G$17-$G$16)/1000</f>
        <v>0</v>
      </c>
      <c r="I308">
        <f>'Refrig Mass Flow &amp; Cond kW'!F299*(($G$13-$G$14)-$C$6*($G$17-$G$18)/1000)-'Refrig Mass Flow &amp; Cond kW'!E299*(1-$C$6/($G$10+273))</f>
        <v>0</v>
      </c>
    </row>
    <row r="309" spans="2:9" x14ac:dyDescent="0.2">
      <c r="B309" s="2">
        <v>286</v>
      </c>
      <c r="C309">
        <f>'Refrig Mass Flow &amp; Cond kW'!G300*$C$6*(($C$19-$C$18)/1000)</f>
        <v>0</v>
      </c>
      <c r="D309">
        <f>'Refrig Mass Flow &amp; Cond kW'!G300*Spring_autumn!$C$6*((Spring_autumn!$C$17-Spring_autumn!$C$16)/1000)</f>
        <v>0</v>
      </c>
      <c r="E309">
        <f>'Refrig Mass Flow &amp; Cond kW'!D300*(($C$13-$C$14)-$C$6*($C$17-$C$18)/1000)-'Refrig Mass Flow &amp; Cond kW'!C300*(1-$C$6/($C$10+273))</f>
        <v>-9.3206303156350145E-2</v>
      </c>
      <c r="F309" s="13"/>
      <c r="G309" s="13">
        <f>'Refrig Mass Flow &amp; Cond kW'!F300*$C$6*($G$19-$G$18)/1000</f>
        <v>0</v>
      </c>
      <c r="H309">
        <f>'Refrig Mass Flow &amp; Cond kW'!F300*$C$6*($G$17-$G$16)/1000</f>
        <v>0</v>
      </c>
      <c r="I309">
        <f>'Refrig Mass Flow &amp; Cond kW'!F300*(($G$13-$G$14)-$C$6*($G$17-$G$18)/1000)-'Refrig Mass Flow &amp; Cond kW'!E300*(1-$C$6/($G$10+273))</f>
        <v>0</v>
      </c>
    </row>
    <row r="310" spans="2:9" x14ac:dyDescent="0.2">
      <c r="B310" s="2">
        <v>287</v>
      </c>
      <c r="C310">
        <f>'Refrig Mass Flow &amp; Cond kW'!G301*$C$6*(($C$19-$C$18)/1000)</f>
        <v>0</v>
      </c>
      <c r="D310">
        <f>'Refrig Mass Flow &amp; Cond kW'!G301*Spring_autumn!$C$6*((Spring_autumn!$C$17-Spring_autumn!$C$16)/1000)</f>
        <v>0</v>
      </c>
      <c r="E310">
        <f>'Refrig Mass Flow &amp; Cond kW'!D301*(($C$13-$C$14)-$C$6*($C$17-$C$18)/1000)-'Refrig Mass Flow &amp; Cond kW'!C301*(1-$C$6/($C$10+273))</f>
        <v>-9.2361142418713627E-2</v>
      </c>
      <c r="F310" s="13"/>
      <c r="G310" s="13">
        <f>'Refrig Mass Flow &amp; Cond kW'!F301*$C$6*($G$19-$G$18)/1000</f>
        <v>0</v>
      </c>
      <c r="H310">
        <f>'Refrig Mass Flow &amp; Cond kW'!F301*$C$6*($G$17-$G$16)/1000</f>
        <v>0</v>
      </c>
      <c r="I310">
        <f>'Refrig Mass Flow &amp; Cond kW'!F301*(($G$13-$G$14)-$C$6*($G$17-$G$18)/1000)-'Refrig Mass Flow &amp; Cond kW'!E301*(1-$C$6/($G$10+273))</f>
        <v>0</v>
      </c>
    </row>
    <row r="311" spans="2:9" x14ac:dyDescent="0.2">
      <c r="B311" s="2">
        <v>288</v>
      </c>
      <c r="C311">
        <f>'Refrig Mass Flow &amp; Cond kW'!G302*$C$6*(($C$19-$C$18)/1000)</f>
        <v>0</v>
      </c>
      <c r="D311">
        <f>'Refrig Mass Flow &amp; Cond kW'!G302*Spring_autumn!$C$6*((Spring_autumn!$C$17-Spring_autumn!$C$16)/1000)</f>
        <v>0</v>
      </c>
      <c r="E311">
        <f>'Refrig Mass Flow &amp; Cond kW'!D302*(($C$13-$C$14)-$C$6*($C$17-$C$18)/1000)-'Refrig Mass Flow &amp; Cond kW'!C302*(1-$C$6/($C$10+273))</f>
        <v>-8.7312949252437377E-2</v>
      </c>
      <c r="F311" s="13"/>
      <c r="G311" s="13">
        <f>'Refrig Mass Flow &amp; Cond kW'!F302*$C$6*($G$19-$G$18)/1000</f>
        <v>0</v>
      </c>
      <c r="H311">
        <f>'Refrig Mass Flow &amp; Cond kW'!F302*$C$6*($G$17-$G$16)/1000</f>
        <v>0</v>
      </c>
      <c r="I311">
        <f>'Refrig Mass Flow &amp; Cond kW'!F302*(($G$13-$G$14)-$C$6*($G$17-$G$18)/1000)-'Refrig Mass Flow &amp; Cond kW'!E302*(1-$C$6/($G$10+273))</f>
        <v>0</v>
      </c>
    </row>
    <row r="312" spans="2:9" x14ac:dyDescent="0.2">
      <c r="B312" s="2">
        <v>289</v>
      </c>
      <c r="C312">
        <f>'Refrig Mass Flow &amp; Cond kW'!G303*$C$6*(($C$19-$C$18)/1000)</f>
        <v>0</v>
      </c>
      <c r="D312">
        <f>'Refrig Mass Flow &amp; Cond kW'!G303*Spring_autumn!$C$6*((Spring_autumn!$C$17-Spring_autumn!$C$16)/1000)</f>
        <v>0</v>
      </c>
      <c r="E312">
        <f>'Refrig Mass Flow &amp; Cond kW'!D303*(($C$13-$C$14)-$C$6*($C$17-$C$18)/1000)-'Refrig Mass Flow &amp; Cond kW'!C303*(1-$C$6/($C$10+273))</f>
        <v>-8.3111306343186087E-2</v>
      </c>
      <c r="F312" s="13"/>
      <c r="G312" s="13">
        <f>'Refrig Mass Flow &amp; Cond kW'!F303*$C$6*($G$19-$G$18)/1000</f>
        <v>0</v>
      </c>
      <c r="H312">
        <f>'Refrig Mass Flow &amp; Cond kW'!F303*$C$6*($G$17-$G$16)/1000</f>
        <v>0</v>
      </c>
      <c r="I312">
        <f>'Refrig Mass Flow &amp; Cond kW'!F303*(($G$13-$G$14)-$C$6*($G$17-$G$18)/1000)-'Refrig Mass Flow &amp; Cond kW'!E303*(1-$C$6/($G$10+273))</f>
        <v>0</v>
      </c>
    </row>
    <row r="313" spans="2:9" x14ac:dyDescent="0.2">
      <c r="B313" s="2">
        <v>290</v>
      </c>
      <c r="C313">
        <f>'Refrig Mass Flow &amp; Cond kW'!G304*$C$6*(($C$19-$C$18)/1000)</f>
        <v>0</v>
      </c>
      <c r="D313">
        <f>'Refrig Mass Flow &amp; Cond kW'!G304*Spring_autumn!$C$6*((Spring_autumn!$C$17-Spring_autumn!$C$16)/1000)</f>
        <v>0</v>
      </c>
      <c r="E313">
        <f>'Refrig Mass Flow &amp; Cond kW'!D304*(($C$13-$C$14)-$C$6*($C$17-$C$18)/1000)-'Refrig Mass Flow &amp; Cond kW'!C304*(1-$C$6/($C$10+273))</f>
        <v>-7.9331096858069827E-2</v>
      </c>
      <c r="F313" s="13"/>
      <c r="G313" s="13">
        <f>'Refrig Mass Flow &amp; Cond kW'!F304*$C$6*($G$19-$G$18)/1000</f>
        <v>0</v>
      </c>
      <c r="H313">
        <f>'Refrig Mass Flow &amp; Cond kW'!F304*$C$6*($G$17-$G$16)/1000</f>
        <v>0</v>
      </c>
      <c r="I313">
        <f>'Refrig Mass Flow &amp; Cond kW'!F304*(($G$13-$G$14)-$C$6*($G$17-$G$18)/1000)-'Refrig Mass Flow &amp; Cond kW'!E304*(1-$C$6/($G$10+273))</f>
        <v>0</v>
      </c>
    </row>
    <row r="314" spans="2:9" x14ac:dyDescent="0.2">
      <c r="B314" s="2">
        <v>291</v>
      </c>
      <c r="C314">
        <f>'Refrig Mass Flow &amp; Cond kW'!G305*$C$6*(($C$19-$C$18)/1000)</f>
        <v>0</v>
      </c>
      <c r="D314">
        <f>'Refrig Mass Flow &amp; Cond kW'!G305*Spring_autumn!$C$6*((Spring_autumn!$C$17-Spring_autumn!$C$16)/1000)</f>
        <v>0</v>
      </c>
      <c r="E314">
        <f>'Refrig Mass Flow &amp; Cond kW'!D305*(($C$13-$C$14)-$C$6*($C$17-$C$18)/1000)-'Refrig Mass Flow &amp; Cond kW'!C305*(1-$C$6/($C$10+273))</f>
        <v>-7.5384920816794931E-2</v>
      </c>
      <c r="F314" s="13"/>
      <c r="G314" s="13">
        <f>'Refrig Mass Flow &amp; Cond kW'!F305*$C$6*($G$19-$G$18)/1000</f>
        <v>0</v>
      </c>
      <c r="H314">
        <f>'Refrig Mass Flow &amp; Cond kW'!F305*$C$6*($G$17-$G$16)/1000</f>
        <v>0</v>
      </c>
      <c r="I314">
        <f>'Refrig Mass Flow &amp; Cond kW'!F305*(($G$13-$G$14)-$C$6*($G$17-$G$18)/1000)-'Refrig Mass Flow &amp; Cond kW'!E305*(1-$C$6/($G$10+273))</f>
        <v>0</v>
      </c>
    </row>
    <row r="315" spans="2:9" x14ac:dyDescent="0.2">
      <c r="B315" s="2">
        <v>292</v>
      </c>
      <c r="C315">
        <f>'Refrig Mass Flow &amp; Cond kW'!G306*$C$6*(($C$19-$C$18)/1000)</f>
        <v>0</v>
      </c>
      <c r="D315">
        <f>'Refrig Mass Flow &amp; Cond kW'!G306*Spring_autumn!$C$6*((Spring_autumn!$C$17-Spring_autumn!$C$16)/1000)</f>
        <v>0</v>
      </c>
      <c r="E315">
        <f>'Refrig Mass Flow &amp; Cond kW'!D306*(($C$13-$C$14)-$C$6*($C$17-$C$18)/1000)-'Refrig Mass Flow &amp; Cond kW'!C306*(1-$C$6/($C$10+273))</f>
        <v>-7.1110657261125532E-2</v>
      </c>
      <c r="F315" s="13"/>
      <c r="G315" s="13">
        <f>'Refrig Mass Flow &amp; Cond kW'!F306*$C$6*($G$19-$G$18)/1000</f>
        <v>0</v>
      </c>
      <c r="H315">
        <f>'Refrig Mass Flow &amp; Cond kW'!F306*$C$6*($G$17-$G$16)/1000</f>
        <v>0</v>
      </c>
      <c r="I315">
        <f>'Refrig Mass Flow &amp; Cond kW'!F306*(($G$13-$G$14)-$C$6*($G$17-$G$18)/1000)-'Refrig Mass Flow &amp; Cond kW'!E306*(1-$C$6/($G$10+273))</f>
        <v>0</v>
      </c>
    </row>
    <row r="316" spans="2:9" x14ac:dyDescent="0.2">
      <c r="B316" s="2">
        <v>293</v>
      </c>
      <c r="C316">
        <f>'Refrig Mass Flow &amp; Cond kW'!G307*$C$6*(($C$19-$C$18)/1000)</f>
        <v>0</v>
      </c>
      <c r="D316">
        <f>'Refrig Mass Flow &amp; Cond kW'!G307*Spring_autumn!$C$6*((Spring_autumn!$C$17-Spring_autumn!$C$16)/1000)</f>
        <v>0</v>
      </c>
      <c r="E316">
        <f>'Refrig Mass Flow &amp; Cond kW'!D307*(($C$13-$C$14)-$C$6*($C$17-$C$18)/1000)-'Refrig Mass Flow &amp; Cond kW'!C307*(1-$C$6/($C$10+273))</f>
        <v>-6.6508227406243847E-2</v>
      </c>
      <c r="F316" s="13"/>
      <c r="G316" s="13">
        <f>'Refrig Mass Flow &amp; Cond kW'!F307*$C$6*($G$19-$G$18)/1000</f>
        <v>0</v>
      </c>
      <c r="H316">
        <f>'Refrig Mass Flow &amp; Cond kW'!F307*$C$6*($G$17-$G$16)/1000</f>
        <v>0</v>
      </c>
      <c r="I316">
        <f>'Refrig Mass Flow &amp; Cond kW'!F307*(($G$13-$G$14)-$C$6*($G$17-$G$18)/1000)-'Refrig Mass Flow &amp; Cond kW'!E307*(1-$C$6/($G$10+273))</f>
        <v>0</v>
      </c>
    </row>
    <row r="317" spans="2:9" x14ac:dyDescent="0.2">
      <c r="B317" s="2">
        <v>294</v>
      </c>
      <c r="C317">
        <f>'Refrig Mass Flow &amp; Cond kW'!G308*$C$6*(($C$19-$C$18)/1000)</f>
        <v>0</v>
      </c>
      <c r="D317">
        <f>'Refrig Mass Flow &amp; Cond kW'!G308*Spring_autumn!$C$6*((Spring_autumn!$C$17-Spring_autumn!$C$16)/1000)</f>
        <v>0</v>
      </c>
      <c r="E317">
        <f>'Refrig Mass Flow &amp; Cond kW'!D308*(($C$13-$C$14)-$C$6*($C$17-$C$18)/1000)-'Refrig Mass Flow &amp; Cond kW'!C308*(1-$C$6/($C$10+273))</f>
        <v>-6.1577554728398987E-2</v>
      </c>
      <c r="F317" s="13"/>
      <c r="G317" s="13">
        <f>'Refrig Mass Flow &amp; Cond kW'!F308*$C$6*($G$19-$G$18)/1000</f>
        <v>0</v>
      </c>
      <c r="H317">
        <f>'Refrig Mass Flow &amp; Cond kW'!F308*$C$6*($G$17-$G$16)/1000</f>
        <v>0</v>
      </c>
      <c r="I317">
        <f>'Refrig Mass Flow &amp; Cond kW'!F308*(($G$13-$G$14)-$C$6*($G$17-$G$18)/1000)-'Refrig Mass Flow &amp; Cond kW'!E308*(1-$C$6/($G$10+273))</f>
        <v>0</v>
      </c>
    </row>
    <row r="318" spans="2:9" x14ac:dyDescent="0.2">
      <c r="B318" s="2">
        <v>295</v>
      </c>
      <c r="C318">
        <f>'Refrig Mass Flow &amp; Cond kW'!G309*$C$6*(($C$19-$C$18)/1000)</f>
        <v>0</v>
      </c>
      <c r="D318">
        <f>'Refrig Mass Flow &amp; Cond kW'!G309*Spring_autumn!$C$6*((Spring_autumn!$C$17-Spring_autumn!$C$16)/1000)</f>
        <v>0</v>
      </c>
      <c r="E318">
        <f>'Refrig Mass Flow &amp; Cond kW'!D309*(($C$13-$C$14)-$C$6*($C$17-$C$18)/1000)-'Refrig Mass Flow &amp; Cond kW'!C309*(1-$C$6/($C$10+273))</f>
        <v>-6.1384344805238911E-2</v>
      </c>
      <c r="F318" s="13"/>
      <c r="G318" s="13">
        <f>'Refrig Mass Flow &amp; Cond kW'!F309*$C$6*($G$19-$G$18)/1000</f>
        <v>0</v>
      </c>
      <c r="H318">
        <f>'Refrig Mass Flow &amp; Cond kW'!F309*$C$6*($G$17-$G$16)/1000</f>
        <v>0</v>
      </c>
      <c r="I318">
        <f>'Refrig Mass Flow &amp; Cond kW'!F309*(($G$13-$G$14)-$C$6*($G$17-$G$18)/1000)-'Refrig Mass Flow &amp; Cond kW'!E309*(1-$C$6/($G$10+273))</f>
        <v>0</v>
      </c>
    </row>
    <row r="319" spans="2:9" x14ac:dyDescent="0.2">
      <c r="B319" s="2">
        <v>296</v>
      </c>
      <c r="C319">
        <f>'Refrig Mass Flow &amp; Cond kW'!G310*$C$6*(($C$19-$C$18)/1000)</f>
        <v>0</v>
      </c>
      <c r="D319">
        <f>'Refrig Mass Flow &amp; Cond kW'!G310*Spring_autumn!$C$6*((Spring_autumn!$C$17-Spring_autumn!$C$16)/1000)</f>
        <v>0</v>
      </c>
      <c r="E319">
        <f>'Refrig Mass Flow &amp; Cond kW'!D310*(($C$13-$C$14)-$C$6*($C$17-$C$18)/1000)-'Refrig Mass Flow &amp; Cond kW'!C310*(1-$C$6/($C$10+273))</f>
        <v>-6.770584105731281E-2</v>
      </c>
      <c r="F319" s="13"/>
      <c r="G319" s="13">
        <f>'Refrig Mass Flow &amp; Cond kW'!F310*$C$6*($G$19-$G$18)/1000</f>
        <v>0</v>
      </c>
      <c r="H319">
        <f>'Refrig Mass Flow &amp; Cond kW'!F310*$C$6*($G$17-$G$16)/1000</f>
        <v>0</v>
      </c>
      <c r="I319">
        <f>'Refrig Mass Flow &amp; Cond kW'!F310*(($G$13-$G$14)-$C$6*($G$17-$G$18)/1000)-'Refrig Mass Flow &amp; Cond kW'!E310*(1-$C$6/($G$10+273))</f>
        <v>0</v>
      </c>
    </row>
    <row r="320" spans="2:9" x14ac:dyDescent="0.2">
      <c r="B320" s="2">
        <v>297</v>
      </c>
      <c r="C320">
        <f>'Refrig Mass Flow &amp; Cond kW'!G311*$C$6*(($C$19-$C$18)/1000)</f>
        <v>0</v>
      </c>
      <c r="D320">
        <f>'Refrig Mass Flow &amp; Cond kW'!G311*Spring_autumn!$C$6*((Spring_autumn!$C$17-Spring_autumn!$C$16)/1000)</f>
        <v>0</v>
      </c>
      <c r="E320">
        <f>'Refrig Mass Flow &amp; Cond kW'!D311*(($C$13-$C$14)-$C$6*($C$17-$C$18)/1000)-'Refrig Mass Flow &amp; Cond kW'!C311*(1-$C$6/($C$10+273))</f>
        <v>-6.686962682285813E-2</v>
      </c>
      <c r="F320" s="13"/>
      <c r="G320" s="13">
        <f>'Refrig Mass Flow &amp; Cond kW'!F311*$C$6*($G$19-$G$18)/1000</f>
        <v>0</v>
      </c>
      <c r="H320">
        <f>'Refrig Mass Flow &amp; Cond kW'!F311*$C$6*($G$17-$G$16)/1000</f>
        <v>0</v>
      </c>
      <c r="I320">
        <f>'Refrig Mass Flow &amp; Cond kW'!F311*(($G$13-$G$14)-$C$6*($G$17-$G$18)/1000)-'Refrig Mass Flow &amp; Cond kW'!E311*(1-$C$6/($G$10+273))</f>
        <v>0</v>
      </c>
    </row>
    <row r="321" spans="2:9" x14ac:dyDescent="0.2">
      <c r="B321" s="2">
        <v>298</v>
      </c>
      <c r="C321">
        <f>'Refrig Mass Flow &amp; Cond kW'!G312*$C$6*(($C$19-$C$18)/1000)</f>
        <v>0</v>
      </c>
      <c r="D321">
        <f>'Refrig Mass Flow &amp; Cond kW'!G312*Spring_autumn!$C$6*((Spring_autumn!$C$17-Spring_autumn!$C$16)/1000)</f>
        <v>0</v>
      </c>
      <c r="E321">
        <f>'Refrig Mass Flow &amp; Cond kW'!D312*(($C$13-$C$14)-$C$6*($C$17-$C$18)/1000)-'Refrig Mass Flow &amp; Cond kW'!C312*(1-$C$6/($C$10+273))</f>
        <v>-6.0632786313178144E-2</v>
      </c>
      <c r="F321" s="13"/>
      <c r="G321" s="13">
        <f>'Refrig Mass Flow &amp; Cond kW'!F312*$C$6*($G$19-$G$18)/1000</f>
        <v>0</v>
      </c>
      <c r="H321">
        <f>'Refrig Mass Flow &amp; Cond kW'!F312*$C$6*($G$17-$G$16)/1000</f>
        <v>0</v>
      </c>
      <c r="I321">
        <f>'Refrig Mass Flow &amp; Cond kW'!F312*(($G$13-$G$14)-$C$6*($G$17-$G$18)/1000)-'Refrig Mass Flow &amp; Cond kW'!E312*(1-$C$6/($G$10+273))</f>
        <v>0</v>
      </c>
    </row>
    <row r="322" spans="2:9" x14ac:dyDescent="0.2">
      <c r="B322" s="2">
        <v>299</v>
      </c>
      <c r="C322">
        <f>'Refrig Mass Flow &amp; Cond kW'!G313*$C$6*(($C$19-$C$18)/1000)</f>
        <v>0</v>
      </c>
      <c r="D322">
        <f>'Refrig Mass Flow &amp; Cond kW'!G313*Spring_autumn!$C$6*((Spring_autumn!$C$17-Spring_autumn!$C$16)/1000)</f>
        <v>0</v>
      </c>
      <c r="E322">
        <f>'Refrig Mass Flow &amp; Cond kW'!D313*(($C$13-$C$14)-$C$6*($C$17-$C$18)/1000)-'Refrig Mass Flow &amp; Cond kW'!C313*(1-$C$6/($C$10+273))</f>
        <v>-0.3735660868228905</v>
      </c>
      <c r="F322" s="13"/>
      <c r="G322" s="13">
        <f>'Refrig Mass Flow &amp; Cond kW'!F313*$C$6*($G$19-$G$18)/1000</f>
        <v>0</v>
      </c>
      <c r="H322">
        <f>'Refrig Mass Flow &amp; Cond kW'!F313*$C$6*($G$17-$G$16)/1000</f>
        <v>0</v>
      </c>
      <c r="I322">
        <f>'Refrig Mass Flow &amp; Cond kW'!F313*(($G$13-$G$14)-$C$6*($G$17-$G$18)/1000)-'Refrig Mass Flow &amp; Cond kW'!E313*(1-$C$6/($G$10+273))</f>
        <v>0</v>
      </c>
    </row>
    <row r="323" spans="2:9" x14ac:dyDescent="0.2">
      <c r="B323" s="2">
        <v>300</v>
      </c>
      <c r="C323">
        <f>'Refrig Mass Flow &amp; Cond kW'!G314*$C$6*(($C$19-$C$18)/1000)</f>
        <v>0</v>
      </c>
      <c r="D323">
        <f>'Refrig Mass Flow &amp; Cond kW'!G314*Spring_autumn!$C$6*((Spring_autumn!$C$17-Spring_autumn!$C$16)/1000)</f>
        <v>0</v>
      </c>
      <c r="E323">
        <f>'Refrig Mass Flow &amp; Cond kW'!D314*(($C$13-$C$14)-$C$6*($C$17-$C$18)/1000)-'Refrig Mass Flow &amp; Cond kW'!C314*(1-$C$6/($C$10+273))</f>
        <v>-0.36723390425569846</v>
      </c>
      <c r="F323" s="13"/>
      <c r="G323" s="13">
        <f>'Refrig Mass Flow &amp; Cond kW'!F314*$C$6*($G$19-$G$18)/1000</f>
        <v>0</v>
      </c>
      <c r="H323">
        <f>'Refrig Mass Flow &amp; Cond kW'!F314*$C$6*($G$17-$G$16)/1000</f>
        <v>0</v>
      </c>
      <c r="I323">
        <f>'Refrig Mass Flow &amp; Cond kW'!F314*(($G$13-$G$14)-$C$6*($G$17-$G$18)/1000)-'Refrig Mass Flow &amp; Cond kW'!E314*(1-$C$6/($G$10+273))</f>
        <v>0</v>
      </c>
    </row>
    <row r="324" spans="2:9" x14ac:dyDescent="0.2">
      <c r="B324" s="2">
        <v>301</v>
      </c>
      <c r="C324">
        <f>'Refrig Mass Flow &amp; Cond kW'!G315*$C$6*(($C$19-$C$18)/1000)</f>
        <v>0</v>
      </c>
      <c r="D324">
        <f>'Refrig Mass Flow &amp; Cond kW'!G315*Spring_autumn!$C$6*((Spring_autumn!$C$17-Spring_autumn!$C$16)/1000)</f>
        <v>0</v>
      </c>
      <c r="E324">
        <f>'Refrig Mass Flow &amp; Cond kW'!D315*(($C$13-$C$14)-$C$6*($C$17-$C$18)/1000)-'Refrig Mass Flow &amp; Cond kW'!C315*(1-$C$6/($C$10+273))</f>
        <v>-0.36091294369251159</v>
      </c>
      <c r="F324" s="13"/>
      <c r="G324" s="13">
        <f>'Refrig Mass Flow &amp; Cond kW'!F315*$C$6*($G$19-$G$18)/1000</f>
        <v>0</v>
      </c>
      <c r="H324">
        <f>'Refrig Mass Flow &amp; Cond kW'!F315*$C$6*($G$17-$G$16)/1000</f>
        <v>0</v>
      </c>
      <c r="I324">
        <f>'Refrig Mass Flow &amp; Cond kW'!F315*(($G$13-$G$14)-$C$6*($G$17-$G$18)/1000)-'Refrig Mass Flow &amp; Cond kW'!E315*(1-$C$6/($G$10+273))</f>
        <v>0</v>
      </c>
    </row>
    <row r="325" spans="2:9" x14ac:dyDescent="0.2">
      <c r="B325" s="2">
        <v>302</v>
      </c>
      <c r="C325">
        <f>'Refrig Mass Flow &amp; Cond kW'!G316*$C$6*(($C$19-$C$18)/1000)</f>
        <v>0</v>
      </c>
      <c r="D325">
        <f>'Refrig Mass Flow &amp; Cond kW'!G316*Spring_autumn!$C$6*((Spring_autumn!$C$17-Spring_autumn!$C$16)/1000)</f>
        <v>0</v>
      </c>
      <c r="E325">
        <f>'Refrig Mass Flow &amp; Cond kW'!D316*(($C$13-$C$14)-$C$6*($C$17-$C$18)/1000)-'Refrig Mass Flow &amp; Cond kW'!C316*(1-$C$6/($C$10+273))</f>
        <v>-0.35460319363355808</v>
      </c>
      <c r="F325" s="13"/>
      <c r="G325" s="13">
        <f>'Refrig Mass Flow &amp; Cond kW'!F316*$C$6*($G$19-$G$18)/1000</f>
        <v>0</v>
      </c>
      <c r="H325">
        <f>'Refrig Mass Flow &amp; Cond kW'!F316*$C$6*($G$17-$G$16)/1000</f>
        <v>0</v>
      </c>
      <c r="I325">
        <f>'Refrig Mass Flow &amp; Cond kW'!F316*(($G$13-$G$14)-$C$6*($G$17-$G$18)/1000)-'Refrig Mass Flow &amp; Cond kW'!E316*(1-$C$6/($G$10+273))</f>
        <v>0</v>
      </c>
    </row>
    <row r="326" spans="2:9" x14ac:dyDescent="0.2">
      <c r="B326" s="2">
        <v>303</v>
      </c>
      <c r="C326">
        <f>'Refrig Mass Flow &amp; Cond kW'!G317*$C$6*(($C$19-$C$18)/1000)</f>
        <v>0</v>
      </c>
      <c r="D326">
        <f>'Refrig Mass Flow &amp; Cond kW'!G317*Spring_autumn!$C$6*((Spring_autumn!$C$17-Spring_autumn!$C$16)/1000)</f>
        <v>0</v>
      </c>
      <c r="E326">
        <f>'Refrig Mass Flow &amp; Cond kW'!D317*(($C$13-$C$14)-$C$6*($C$17-$C$18)/1000)-'Refrig Mass Flow &amp; Cond kW'!C317*(1-$C$6/($C$10+273))</f>
        <v>0</v>
      </c>
      <c r="F326" s="13"/>
      <c r="G326" s="13">
        <f>'Refrig Mass Flow &amp; Cond kW'!F317*$C$6*($G$19-$G$18)/1000</f>
        <v>0</v>
      </c>
      <c r="H326">
        <f>'Refrig Mass Flow &amp; Cond kW'!F317*$C$6*($G$17-$G$16)/1000</f>
        <v>0</v>
      </c>
      <c r="I326">
        <f>'Refrig Mass Flow &amp; Cond kW'!F317*(($G$13-$G$14)-$C$6*($G$17-$G$18)/1000)-'Refrig Mass Flow &amp; Cond kW'!E317*(1-$C$6/($G$10+273))</f>
        <v>0</v>
      </c>
    </row>
    <row r="327" spans="2:9" x14ac:dyDescent="0.2">
      <c r="B327" s="2">
        <v>304</v>
      </c>
      <c r="C327">
        <f>'Refrig Mass Flow &amp; Cond kW'!G318*$C$6*(($C$19-$C$18)/1000)</f>
        <v>0</v>
      </c>
      <c r="D327">
        <f>'Refrig Mass Flow &amp; Cond kW'!G318*Spring_autumn!$C$6*((Spring_autumn!$C$17-Spring_autumn!$C$16)/1000)</f>
        <v>0</v>
      </c>
      <c r="E327">
        <f>'Refrig Mass Flow &amp; Cond kW'!D318*(($C$13-$C$14)-$C$6*($C$17-$C$18)/1000)-'Refrig Mass Flow &amp; Cond kW'!C318*(1-$C$6/($C$10+273))</f>
        <v>0</v>
      </c>
      <c r="F327" s="13"/>
      <c r="G327" s="13">
        <f>'Refrig Mass Flow &amp; Cond kW'!F318*$C$6*($G$19-$G$18)/1000</f>
        <v>0</v>
      </c>
      <c r="H327">
        <f>'Refrig Mass Flow &amp; Cond kW'!F318*$C$6*($G$17-$G$16)/1000</f>
        <v>0</v>
      </c>
      <c r="I327">
        <f>'Refrig Mass Flow &amp; Cond kW'!F318*(($G$13-$G$14)-$C$6*($G$17-$G$18)/1000)-'Refrig Mass Flow &amp; Cond kW'!E318*(1-$C$6/($G$10+273))</f>
        <v>0</v>
      </c>
    </row>
    <row r="328" spans="2:9" x14ac:dyDescent="0.2">
      <c r="B328" s="2">
        <v>305</v>
      </c>
      <c r="C328">
        <f>'Refrig Mass Flow &amp; Cond kW'!G319*$C$6*(($C$19-$C$18)/1000)</f>
        <v>0</v>
      </c>
      <c r="D328">
        <f>'Refrig Mass Flow &amp; Cond kW'!G319*Spring_autumn!$C$6*((Spring_autumn!$C$17-Spring_autumn!$C$16)/1000)</f>
        <v>0</v>
      </c>
      <c r="E328">
        <f>'Refrig Mass Flow &amp; Cond kW'!D319*(($C$13-$C$14)-$C$6*($C$17-$C$18)/1000)-'Refrig Mass Flow &amp; Cond kW'!C319*(1-$C$6/($C$10+273))</f>
        <v>0</v>
      </c>
      <c r="F328" s="13"/>
      <c r="G328" s="13">
        <f>'Refrig Mass Flow &amp; Cond kW'!F319*$C$6*($G$19-$G$18)/1000</f>
        <v>0</v>
      </c>
      <c r="H328">
        <f>'Refrig Mass Flow &amp; Cond kW'!F319*$C$6*($G$17-$G$16)/1000</f>
        <v>0</v>
      </c>
      <c r="I328">
        <f>'Refrig Mass Flow &amp; Cond kW'!F319*(($G$13-$G$14)-$C$6*($G$17-$G$18)/1000)-'Refrig Mass Flow &amp; Cond kW'!E319*(1-$C$6/($G$10+273))</f>
        <v>0</v>
      </c>
    </row>
    <row r="329" spans="2:9" x14ac:dyDescent="0.2">
      <c r="B329" s="2">
        <v>306</v>
      </c>
      <c r="C329">
        <f>'Refrig Mass Flow &amp; Cond kW'!G320*$C$6*(($C$19-$C$18)/1000)</f>
        <v>0</v>
      </c>
      <c r="D329">
        <f>'Refrig Mass Flow &amp; Cond kW'!G320*Spring_autumn!$C$6*((Spring_autumn!$C$17-Spring_autumn!$C$16)/1000)</f>
        <v>0</v>
      </c>
      <c r="E329">
        <f>'Refrig Mass Flow &amp; Cond kW'!D320*(($C$13-$C$14)-$C$6*($C$17-$C$18)/1000)-'Refrig Mass Flow &amp; Cond kW'!C320*(1-$C$6/($C$10+273))</f>
        <v>0</v>
      </c>
      <c r="F329" s="13"/>
      <c r="G329" s="13">
        <f>'Refrig Mass Flow &amp; Cond kW'!F320*$C$6*($G$19-$G$18)/1000</f>
        <v>0</v>
      </c>
      <c r="H329">
        <f>'Refrig Mass Flow &amp; Cond kW'!F320*$C$6*($G$17-$G$16)/1000</f>
        <v>0</v>
      </c>
      <c r="I329">
        <f>'Refrig Mass Flow &amp; Cond kW'!F320*(($G$13-$G$14)-$C$6*($G$17-$G$18)/1000)-'Refrig Mass Flow &amp; Cond kW'!E320*(1-$C$6/($G$10+273))</f>
        <v>0</v>
      </c>
    </row>
    <row r="330" spans="2:9" x14ac:dyDescent="0.2">
      <c r="B330" s="2">
        <v>307</v>
      </c>
      <c r="C330">
        <f>'Refrig Mass Flow &amp; Cond kW'!G321*$C$6*(($C$19-$C$18)/1000)</f>
        <v>0</v>
      </c>
      <c r="D330">
        <f>'Refrig Mass Flow &amp; Cond kW'!G321*Spring_autumn!$C$6*((Spring_autumn!$C$17-Spring_autumn!$C$16)/1000)</f>
        <v>0</v>
      </c>
      <c r="E330">
        <f>'Refrig Mass Flow &amp; Cond kW'!D321*(($C$13-$C$14)-$C$6*($C$17-$C$18)/1000)-'Refrig Mass Flow &amp; Cond kW'!C321*(1-$C$6/($C$10+273))</f>
        <v>0</v>
      </c>
      <c r="F330" s="13"/>
      <c r="G330" s="13">
        <f>'Refrig Mass Flow &amp; Cond kW'!F321*$C$6*($G$19-$G$18)/1000</f>
        <v>0</v>
      </c>
      <c r="H330">
        <f>'Refrig Mass Flow &amp; Cond kW'!F321*$C$6*($G$17-$G$16)/1000</f>
        <v>0</v>
      </c>
      <c r="I330">
        <f>'Refrig Mass Flow &amp; Cond kW'!F321*(($G$13-$G$14)-$C$6*($G$17-$G$18)/1000)-'Refrig Mass Flow &amp; Cond kW'!E321*(1-$C$6/($G$10+273))</f>
        <v>0</v>
      </c>
    </row>
    <row r="331" spans="2:9" x14ac:dyDescent="0.2">
      <c r="B331" s="2">
        <v>308</v>
      </c>
      <c r="C331">
        <f>'Refrig Mass Flow &amp; Cond kW'!G322*$C$6*(($C$19-$C$18)/1000)</f>
        <v>0</v>
      </c>
      <c r="D331">
        <f>'Refrig Mass Flow &amp; Cond kW'!G322*Spring_autumn!$C$6*((Spring_autumn!$C$17-Spring_autumn!$C$16)/1000)</f>
        <v>0</v>
      </c>
      <c r="E331">
        <f>'Refrig Mass Flow &amp; Cond kW'!D322*(($C$13-$C$14)-$C$6*($C$17-$C$18)/1000)-'Refrig Mass Flow &amp; Cond kW'!C322*(1-$C$6/($C$10+273))</f>
        <v>0</v>
      </c>
      <c r="F331" s="13"/>
      <c r="G331" s="13">
        <f>'Refrig Mass Flow &amp; Cond kW'!F322*$C$6*($G$19-$G$18)/1000</f>
        <v>0</v>
      </c>
      <c r="H331">
        <f>'Refrig Mass Flow &amp; Cond kW'!F322*$C$6*($G$17-$G$16)/1000</f>
        <v>0</v>
      </c>
      <c r="I331">
        <f>'Refrig Mass Flow &amp; Cond kW'!F322*(($G$13-$G$14)-$C$6*($G$17-$G$18)/1000)-'Refrig Mass Flow &amp; Cond kW'!E322*(1-$C$6/($G$10+273))</f>
        <v>0</v>
      </c>
    </row>
    <row r="332" spans="2:9" x14ac:dyDescent="0.2">
      <c r="B332" s="2">
        <v>309</v>
      </c>
      <c r="C332">
        <f>'Refrig Mass Flow &amp; Cond kW'!G323*$C$6*(($C$19-$C$18)/1000)</f>
        <v>0</v>
      </c>
      <c r="D332">
        <f>'Refrig Mass Flow &amp; Cond kW'!G323*Spring_autumn!$C$6*((Spring_autumn!$C$17-Spring_autumn!$C$16)/1000)</f>
        <v>0</v>
      </c>
      <c r="E332">
        <f>'Refrig Mass Flow &amp; Cond kW'!D323*(($C$13-$C$14)-$C$6*($C$17-$C$18)/1000)-'Refrig Mass Flow &amp; Cond kW'!C323*(1-$C$6/($C$10+273))</f>
        <v>0</v>
      </c>
      <c r="F332" s="13"/>
      <c r="G332" s="13">
        <f>'Refrig Mass Flow &amp; Cond kW'!F323*$C$6*($G$19-$G$18)/1000</f>
        <v>0</v>
      </c>
      <c r="H332">
        <f>'Refrig Mass Flow &amp; Cond kW'!F323*$C$6*($G$17-$G$16)/1000</f>
        <v>0</v>
      </c>
      <c r="I332">
        <f>'Refrig Mass Flow &amp; Cond kW'!F323*(($G$13-$G$14)-$C$6*($G$17-$G$18)/1000)-'Refrig Mass Flow &amp; Cond kW'!E323*(1-$C$6/($G$10+273))</f>
        <v>0</v>
      </c>
    </row>
    <row r="333" spans="2:9" x14ac:dyDescent="0.2">
      <c r="B333" s="2">
        <v>310</v>
      </c>
      <c r="C333">
        <f>'Refrig Mass Flow &amp; Cond kW'!G324*$C$6*(($C$19-$C$18)/1000)</f>
        <v>0</v>
      </c>
      <c r="D333">
        <f>'Refrig Mass Flow &amp; Cond kW'!G324*Spring_autumn!$C$6*((Spring_autumn!$C$17-Spring_autumn!$C$16)/1000)</f>
        <v>0</v>
      </c>
      <c r="E333">
        <f>'Refrig Mass Flow &amp; Cond kW'!D324*(($C$13-$C$14)-$C$6*($C$17-$C$18)/1000)-'Refrig Mass Flow &amp; Cond kW'!C324*(1-$C$6/($C$10+273))</f>
        <v>-5.9625127582810578E-2</v>
      </c>
      <c r="F333" s="13"/>
      <c r="G333" s="13">
        <f>'Refrig Mass Flow &amp; Cond kW'!F324*$C$6*($G$19-$G$18)/1000</f>
        <v>0</v>
      </c>
      <c r="H333">
        <f>'Refrig Mass Flow &amp; Cond kW'!F324*$C$6*($G$17-$G$16)/1000</f>
        <v>0</v>
      </c>
      <c r="I333">
        <f>'Refrig Mass Flow &amp; Cond kW'!F324*(($G$13-$G$14)-$C$6*($G$17-$G$18)/1000)-'Refrig Mass Flow &amp; Cond kW'!E324*(1-$C$6/($G$10+273))</f>
        <v>0</v>
      </c>
    </row>
    <row r="334" spans="2:9" x14ac:dyDescent="0.2">
      <c r="B334" s="2">
        <v>311</v>
      </c>
      <c r="C334">
        <f>'Refrig Mass Flow &amp; Cond kW'!G325*$C$6*(($C$19-$C$18)/1000)</f>
        <v>0</v>
      </c>
      <c r="D334">
        <f>'Refrig Mass Flow &amp; Cond kW'!G325*Spring_autumn!$C$6*((Spring_autumn!$C$17-Spring_autumn!$C$16)/1000)</f>
        <v>0</v>
      </c>
      <c r="E334">
        <f>'Refrig Mass Flow &amp; Cond kW'!D325*(($C$13-$C$14)-$C$6*($C$17-$C$18)/1000)-'Refrig Mass Flow &amp; Cond kW'!C325*(1-$C$6/($C$10+273))</f>
        <v>-5.9718969062134697E-2</v>
      </c>
      <c r="F334" s="13"/>
      <c r="G334" s="13">
        <f>'Refrig Mass Flow &amp; Cond kW'!F325*$C$6*($G$19-$G$18)/1000</f>
        <v>0</v>
      </c>
      <c r="H334">
        <f>'Refrig Mass Flow &amp; Cond kW'!F325*$C$6*($G$17-$G$16)/1000</f>
        <v>0</v>
      </c>
      <c r="I334">
        <f>'Refrig Mass Flow &amp; Cond kW'!F325*(($G$13-$G$14)-$C$6*($G$17-$G$18)/1000)-'Refrig Mass Flow &amp; Cond kW'!E325*(1-$C$6/($G$10+273))</f>
        <v>0</v>
      </c>
    </row>
    <row r="335" spans="2:9" x14ac:dyDescent="0.2">
      <c r="B335" s="2">
        <v>312</v>
      </c>
      <c r="C335">
        <f>'Refrig Mass Flow &amp; Cond kW'!G326*$C$6*(($C$19-$C$18)/1000)</f>
        <v>0</v>
      </c>
      <c r="D335">
        <f>'Refrig Mass Flow &amp; Cond kW'!G326*Spring_autumn!$C$6*((Spring_autumn!$C$17-Spring_autumn!$C$16)/1000)</f>
        <v>0</v>
      </c>
      <c r="E335">
        <f>'Refrig Mass Flow &amp; Cond kW'!D326*(($C$13-$C$14)-$C$6*($C$17-$C$18)/1000)-'Refrig Mass Flow &amp; Cond kW'!C326*(1-$C$6/($C$10+273))</f>
        <v>-5.547951391680872E-2</v>
      </c>
      <c r="F335" s="13"/>
      <c r="G335" s="13">
        <f>'Refrig Mass Flow &amp; Cond kW'!F326*$C$6*($G$19-$G$18)/1000</f>
        <v>0</v>
      </c>
      <c r="H335">
        <f>'Refrig Mass Flow &amp; Cond kW'!F326*$C$6*($G$17-$G$16)/1000</f>
        <v>0</v>
      </c>
      <c r="I335">
        <f>'Refrig Mass Flow &amp; Cond kW'!F326*(($G$13-$G$14)-$C$6*($G$17-$G$18)/1000)-'Refrig Mass Flow &amp; Cond kW'!E326*(1-$C$6/($G$10+273))</f>
        <v>0</v>
      </c>
    </row>
    <row r="336" spans="2:9" x14ac:dyDescent="0.2">
      <c r="B336" s="2">
        <v>313</v>
      </c>
      <c r="C336">
        <f>'Refrig Mass Flow &amp; Cond kW'!G327*$C$6*(($C$19-$C$18)/1000)</f>
        <v>0</v>
      </c>
      <c r="D336">
        <f>'Refrig Mass Flow &amp; Cond kW'!G327*Spring_autumn!$C$6*((Spring_autumn!$C$17-Spring_autumn!$C$16)/1000)</f>
        <v>0</v>
      </c>
      <c r="E336">
        <f>'Refrig Mass Flow &amp; Cond kW'!D327*(($C$13-$C$14)-$C$6*($C$17-$C$18)/1000)-'Refrig Mass Flow &amp; Cond kW'!C327*(1-$C$6/($C$10+273))</f>
        <v>-5.1519903502923015E-2</v>
      </c>
      <c r="F336" s="13"/>
      <c r="G336" s="13">
        <f>'Refrig Mass Flow &amp; Cond kW'!F327*$C$6*($G$19-$G$18)/1000</f>
        <v>0</v>
      </c>
      <c r="H336">
        <f>'Refrig Mass Flow &amp; Cond kW'!F327*$C$6*($G$17-$G$16)/1000</f>
        <v>0</v>
      </c>
      <c r="I336">
        <f>'Refrig Mass Flow &amp; Cond kW'!F327*(($G$13-$G$14)-$C$6*($G$17-$G$18)/1000)-'Refrig Mass Flow &amp; Cond kW'!E327*(1-$C$6/($G$10+273))</f>
        <v>0</v>
      </c>
    </row>
    <row r="337" spans="2:9" x14ac:dyDescent="0.2">
      <c r="B337" s="2">
        <v>314</v>
      </c>
      <c r="C337">
        <f>'Refrig Mass Flow &amp; Cond kW'!G328*$C$6*(($C$19-$C$18)/1000)</f>
        <v>0</v>
      </c>
      <c r="D337">
        <f>'Refrig Mass Flow &amp; Cond kW'!G328*Spring_autumn!$C$6*((Spring_autumn!$C$17-Spring_autumn!$C$16)/1000)</f>
        <v>0</v>
      </c>
      <c r="E337">
        <f>'Refrig Mass Flow &amp; Cond kW'!D328*(($C$13-$C$14)-$C$6*($C$17-$C$18)/1000)-'Refrig Mass Flow &amp; Cond kW'!C328*(1-$C$6/($C$10+273))</f>
        <v>-4.7698453881020342E-2</v>
      </c>
      <c r="F337" s="13"/>
      <c r="G337" s="13">
        <f>'Refrig Mass Flow &amp; Cond kW'!F328*$C$6*($G$19-$G$18)/1000</f>
        <v>0</v>
      </c>
      <c r="H337">
        <f>'Refrig Mass Flow &amp; Cond kW'!F328*$C$6*($G$17-$G$16)/1000</f>
        <v>0</v>
      </c>
      <c r="I337">
        <f>'Refrig Mass Flow &amp; Cond kW'!F328*(($G$13-$G$14)-$C$6*($G$17-$G$18)/1000)-'Refrig Mass Flow &amp; Cond kW'!E328*(1-$C$6/($G$10+273))</f>
        <v>0</v>
      </c>
    </row>
    <row r="338" spans="2:9" x14ac:dyDescent="0.2">
      <c r="B338" s="2">
        <v>315</v>
      </c>
      <c r="C338">
        <f>'Refrig Mass Flow &amp; Cond kW'!G329*$C$6*(($C$19-$C$18)/1000)</f>
        <v>0</v>
      </c>
      <c r="D338">
        <f>'Refrig Mass Flow &amp; Cond kW'!G329*Spring_autumn!$C$6*((Spring_autumn!$C$17-Spring_autumn!$C$16)/1000)</f>
        <v>0</v>
      </c>
      <c r="E338">
        <f>'Refrig Mass Flow &amp; Cond kW'!D329*(($C$13-$C$14)-$C$6*($C$17-$C$18)/1000)-'Refrig Mass Flow &amp; Cond kW'!C329*(1-$C$6/($C$10+273))</f>
        <v>-4.3731594264809104E-2</v>
      </c>
      <c r="F338" s="13"/>
      <c r="G338" s="13">
        <f>'Refrig Mass Flow &amp; Cond kW'!F329*$C$6*($G$19-$G$18)/1000</f>
        <v>0</v>
      </c>
      <c r="H338">
        <f>'Refrig Mass Flow &amp; Cond kW'!F329*$C$6*($G$17-$G$16)/1000</f>
        <v>0</v>
      </c>
      <c r="I338">
        <f>'Refrig Mass Flow &amp; Cond kW'!F329*(($G$13-$G$14)-$C$6*($G$17-$G$18)/1000)-'Refrig Mass Flow &amp; Cond kW'!E329*(1-$C$6/($G$10+273))</f>
        <v>0</v>
      </c>
    </row>
    <row r="339" spans="2:9" x14ac:dyDescent="0.2">
      <c r="B339" s="2">
        <v>316</v>
      </c>
      <c r="C339">
        <f>'Refrig Mass Flow &amp; Cond kW'!G330*$C$6*(($C$19-$C$18)/1000)</f>
        <v>0</v>
      </c>
      <c r="D339">
        <f>'Refrig Mass Flow &amp; Cond kW'!G330*Spring_autumn!$C$6*((Spring_autumn!$C$17-Spring_autumn!$C$16)/1000)</f>
        <v>0</v>
      </c>
      <c r="E339">
        <f>'Refrig Mass Flow &amp; Cond kW'!D330*(($C$13-$C$14)-$C$6*($C$17-$C$18)/1000)-'Refrig Mass Flow &amp; Cond kW'!C330*(1-$C$6/($C$10+273))</f>
        <v>-3.9477472511312506E-2</v>
      </c>
      <c r="F339" s="13"/>
      <c r="G339" s="13">
        <f>'Refrig Mass Flow &amp; Cond kW'!F330*$C$6*($G$19-$G$18)/1000</f>
        <v>0</v>
      </c>
      <c r="H339">
        <f>'Refrig Mass Flow &amp; Cond kW'!F330*$C$6*($G$17-$G$16)/1000</f>
        <v>0</v>
      </c>
      <c r="I339">
        <f>'Refrig Mass Flow &amp; Cond kW'!F330*(($G$13-$G$14)-$C$6*($G$17-$G$18)/1000)-'Refrig Mass Flow &amp; Cond kW'!E330*(1-$C$6/($G$10+273))</f>
        <v>0</v>
      </c>
    </row>
    <row r="340" spans="2:9" x14ac:dyDescent="0.2">
      <c r="B340" s="2">
        <v>317</v>
      </c>
      <c r="C340">
        <f>'Refrig Mass Flow &amp; Cond kW'!G331*$C$6*(($C$19-$C$18)/1000)</f>
        <v>0</v>
      </c>
      <c r="D340">
        <f>'Refrig Mass Flow &amp; Cond kW'!G331*Spring_autumn!$C$6*((Spring_autumn!$C$17-Spring_autumn!$C$16)/1000)</f>
        <v>0</v>
      </c>
      <c r="E340">
        <f>'Refrig Mass Flow &amp; Cond kW'!D331*(($C$13-$C$14)-$C$6*($C$17-$C$18)/1000)-'Refrig Mass Flow &amp; Cond kW'!C331*(1-$C$6/($C$10+273))</f>
        <v>-3.4936023371806346E-2</v>
      </c>
      <c r="F340" s="13"/>
      <c r="G340" s="13">
        <f>'Refrig Mass Flow &amp; Cond kW'!F331*$C$6*($G$19-$G$18)/1000</f>
        <v>0</v>
      </c>
      <c r="H340">
        <f>'Refrig Mass Flow &amp; Cond kW'!F331*$C$6*($G$17-$G$16)/1000</f>
        <v>0</v>
      </c>
      <c r="I340">
        <f>'Refrig Mass Flow &amp; Cond kW'!F331*(($G$13-$G$14)-$C$6*($G$17-$G$18)/1000)-'Refrig Mass Flow &amp; Cond kW'!E331*(1-$C$6/($G$10+273))</f>
        <v>0</v>
      </c>
    </row>
    <row r="341" spans="2:9" x14ac:dyDescent="0.2">
      <c r="B341" s="2">
        <v>318</v>
      </c>
      <c r="C341">
        <f>'Refrig Mass Flow &amp; Cond kW'!G332*$C$6*(($C$19-$C$18)/1000)</f>
        <v>0</v>
      </c>
      <c r="D341">
        <f>'Refrig Mass Flow &amp; Cond kW'!G332*Spring_autumn!$C$6*((Spring_autumn!$C$17-Spring_autumn!$C$16)/1000)</f>
        <v>0</v>
      </c>
      <c r="E341">
        <f>'Refrig Mass Flow &amp; Cond kW'!D332*(($C$13-$C$14)-$C$6*($C$17-$C$18)/1000)-'Refrig Mass Flow &amp; Cond kW'!C332*(1-$C$6/($C$10+273))</f>
        <v>0</v>
      </c>
      <c r="F341" s="13"/>
      <c r="G341" s="13">
        <f>'Refrig Mass Flow &amp; Cond kW'!F332*$C$6*($G$19-$G$18)/1000</f>
        <v>0</v>
      </c>
      <c r="H341">
        <f>'Refrig Mass Flow &amp; Cond kW'!F332*$C$6*($G$17-$G$16)/1000</f>
        <v>0</v>
      </c>
      <c r="I341">
        <f>'Refrig Mass Flow &amp; Cond kW'!F332*(($G$13-$G$14)-$C$6*($G$17-$G$18)/1000)-'Refrig Mass Flow &amp; Cond kW'!E332*(1-$C$6/($G$10+273))</f>
        <v>0</v>
      </c>
    </row>
    <row r="342" spans="2:9" x14ac:dyDescent="0.2">
      <c r="B342" s="2">
        <v>319</v>
      </c>
      <c r="C342">
        <f>'Refrig Mass Flow &amp; Cond kW'!G333*$C$6*(($C$19-$C$18)/1000)</f>
        <v>0</v>
      </c>
      <c r="D342">
        <f>'Refrig Mass Flow &amp; Cond kW'!G333*Spring_autumn!$C$6*((Spring_autumn!$C$17-Spring_autumn!$C$16)/1000)</f>
        <v>0</v>
      </c>
      <c r="E342">
        <f>'Refrig Mass Flow &amp; Cond kW'!D333*(($C$13-$C$14)-$C$6*($C$17-$C$18)/1000)-'Refrig Mass Flow &amp; Cond kW'!C333*(1-$C$6/($C$10+273))</f>
        <v>0</v>
      </c>
      <c r="F342" s="13"/>
      <c r="G342" s="13">
        <f>'Refrig Mass Flow &amp; Cond kW'!F333*$C$6*($G$19-$G$18)/1000</f>
        <v>0</v>
      </c>
      <c r="H342">
        <f>'Refrig Mass Flow &amp; Cond kW'!F333*$C$6*($G$17-$G$16)/1000</f>
        <v>0</v>
      </c>
      <c r="I342">
        <f>'Refrig Mass Flow &amp; Cond kW'!F333*(($G$13-$G$14)-$C$6*($G$17-$G$18)/1000)-'Refrig Mass Flow &amp; Cond kW'!E333*(1-$C$6/($G$10+273))</f>
        <v>0</v>
      </c>
    </row>
    <row r="343" spans="2:9" x14ac:dyDescent="0.2">
      <c r="B343" s="2">
        <v>320</v>
      </c>
      <c r="C343">
        <f>'Refrig Mass Flow &amp; Cond kW'!G334*$C$6*(($C$19-$C$18)/1000)</f>
        <v>0</v>
      </c>
      <c r="D343">
        <f>'Refrig Mass Flow &amp; Cond kW'!G334*Spring_autumn!$C$6*((Spring_autumn!$C$17-Spring_autumn!$C$16)/1000)</f>
        <v>0</v>
      </c>
      <c r="E343">
        <f>'Refrig Mass Flow &amp; Cond kW'!D334*(($C$13-$C$14)-$C$6*($C$17-$C$18)/1000)-'Refrig Mass Flow &amp; Cond kW'!C334*(1-$C$6/($C$10+273))</f>
        <v>0</v>
      </c>
      <c r="F343" s="13"/>
      <c r="G343" s="13">
        <f>'Refrig Mass Flow &amp; Cond kW'!F334*$C$6*($G$19-$G$18)/1000</f>
        <v>0</v>
      </c>
      <c r="H343">
        <f>'Refrig Mass Flow &amp; Cond kW'!F334*$C$6*($G$17-$G$16)/1000</f>
        <v>0</v>
      </c>
      <c r="I343">
        <f>'Refrig Mass Flow &amp; Cond kW'!F334*(($G$13-$G$14)-$C$6*($G$17-$G$18)/1000)-'Refrig Mass Flow &amp; Cond kW'!E334*(1-$C$6/($G$10+273))</f>
        <v>0</v>
      </c>
    </row>
    <row r="344" spans="2:9" x14ac:dyDescent="0.2">
      <c r="B344" s="2">
        <v>321</v>
      </c>
      <c r="C344">
        <f>'Refrig Mass Flow &amp; Cond kW'!G335*$C$6*(($C$19-$C$18)/1000)</f>
        <v>0</v>
      </c>
      <c r="D344">
        <f>'Refrig Mass Flow &amp; Cond kW'!G335*Spring_autumn!$C$6*((Spring_autumn!$C$17-Spring_autumn!$C$16)/1000)</f>
        <v>0</v>
      </c>
      <c r="E344">
        <f>'Refrig Mass Flow &amp; Cond kW'!D335*(($C$13-$C$14)-$C$6*($C$17-$C$18)/1000)-'Refrig Mass Flow &amp; Cond kW'!C335*(1-$C$6/($C$10+273))</f>
        <v>0</v>
      </c>
      <c r="F344" s="13"/>
      <c r="G344" s="13">
        <f>'Refrig Mass Flow &amp; Cond kW'!F335*$C$6*($G$19-$G$18)/1000</f>
        <v>0</v>
      </c>
      <c r="H344">
        <f>'Refrig Mass Flow &amp; Cond kW'!F335*$C$6*($G$17-$G$16)/1000</f>
        <v>0</v>
      </c>
      <c r="I344">
        <f>'Refrig Mass Flow &amp; Cond kW'!F335*(($G$13-$G$14)-$C$6*($G$17-$G$18)/1000)-'Refrig Mass Flow &amp; Cond kW'!E335*(1-$C$6/($G$10+273))</f>
        <v>0</v>
      </c>
    </row>
    <row r="345" spans="2:9" x14ac:dyDescent="0.2">
      <c r="B345" s="2">
        <v>322</v>
      </c>
      <c r="C345">
        <f>'Refrig Mass Flow &amp; Cond kW'!G336*$C$6*(($C$19-$C$18)/1000)</f>
        <v>0</v>
      </c>
      <c r="D345">
        <f>'Refrig Mass Flow &amp; Cond kW'!G336*Spring_autumn!$C$6*((Spring_autumn!$C$17-Spring_autumn!$C$16)/1000)</f>
        <v>0</v>
      </c>
      <c r="E345">
        <f>'Refrig Mass Flow &amp; Cond kW'!D336*(($C$13-$C$14)-$C$6*($C$17-$C$18)/1000)-'Refrig Mass Flow &amp; Cond kW'!C336*(1-$C$6/($C$10+273))</f>
        <v>0</v>
      </c>
      <c r="F345" s="13"/>
      <c r="G345" s="13">
        <f>'Refrig Mass Flow &amp; Cond kW'!F336*$C$6*($G$19-$G$18)/1000</f>
        <v>0</v>
      </c>
      <c r="H345">
        <f>'Refrig Mass Flow &amp; Cond kW'!F336*$C$6*($G$17-$G$16)/1000</f>
        <v>0</v>
      </c>
      <c r="I345">
        <f>'Refrig Mass Flow &amp; Cond kW'!F336*(($G$13-$G$14)-$C$6*($G$17-$G$18)/1000)-'Refrig Mass Flow &amp; Cond kW'!E336*(1-$C$6/($G$10+273))</f>
        <v>0</v>
      </c>
    </row>
    <row r="346" spans="2:9" x14ac:dyDescent="0.2">
      <c r="B346" s="2">
        <v>323</v>
      </c>
      <c r="C346">
        <f>'Refrig Mass Flow &amp; Cond kW'!G337*$C$6*(($C$19-$C$18)/1000)</f>
        <v>0</v>
      </c>
      <c r="D346">
        <f>'Refrig Mass Flow &amp; Cond kW'!G337*Spring_autumn!$C$6*((Spring_autumn!$C$17-Spring_autumn!$C$16)/1000)</f>
        <v>0</v>
      </c>
      <c r="E346">
        <f>'Refrig Mass Flow &amp; Cond kW'!D337*(($C$13-$C$14)-$C$6*($C$17-$C$18)/1000)-'Refrig Mass Flow &amp; Cond kW'!C337*(1-$C$6/($C$10+273))</f>
        <v>0</v>
      </c>
      <c r="F346" s="13"/>
      <c r="G346" s="13">
        <f>'Refrig Mass Flow &amp; Cond kW'!F337*$C$6*($G$19-$G$18)/1000</f>
        <v>0</v>
      </c>
      <c r="H346">
        <f>'Refrig Mass Flow &amp; Cond kW'!F337*$C$6*($G$17-$G$16)/1000</f>
        <v>0</v>
      </c>
      <c r="I346">
        <f>'Refrig Mass Flow &amp; Cond kW'!F337*(($G$13-$G$14)-$C$6*($G$17-$G$18)/1000)-'Refrig Mass Flow &amp; Cond kW'!E337*(1-$C$6/($G$10+273))</f>
        <v>0</v>
      </c>
    </row>
    <row r="347" spans="2:9" x14ac:dyDescent="0.2">
      <c r="B347" s="2">
        <v>324</v>
      </c>
      <c r="C347">
        <f>'Refrig Mass Flow &amp; Cond kW'!G338*$C$6*(($C$19-$C$18)/1000)</f>
        <v>0</v>
      </c>
      <c r="D347">
        <f>'Refrig Mass Flow &amp; Cond kW'!G338*Spring_autumn!$C$6*((Spring_autumn!$C$17-Spring_autumn!$C$16)/1000)</f>
        <v>0</v>
      </c>
      <c r="E347">
        <f>'Refrig Mass Flow &amp; Cond kW'!D338*(($C$13-$C$14)-$C$6*($C$17-$C$18)/1000)-'Refrig Mass Flow &amp; Cond kW'!C338*(1-$C$6/($C$10+273))</f>
        <v>0</v>
      </c>
      <c r="F347" s="13"/>
      <c r="G347" s="13">
        <f>'Refrig Mass Flow &amp; Cond kW'!F338*$C$6*($G$19-$G$18)/1000</f>
        <v>0</v>
      </c>
      <c r="H347">
        <f>'Refrig Mass Flow &amp; Cond kW'!F338*$C$6*($G$17-$G$16)/1000</f>
        <v>0</v>
      </c>
      <c r="I347">
        <f>'Refrig Mass Flow &amp; Cond kW'!F338*(($G$13-$G$14)-$C$6*($G$17-$G$18)/1000)-'Refrig Mass Flow &amp; Cond kW'!E338*(1-$C$6/($G$10+273))</f>
        <v>0</v>
      </c>
    </row>
    <row r="348" spans="2:9" x14ac:dyDescent="0.2">
      <c r="B348" s="2">
        <v>325</v>
      </c>
      <c r="C348">
        <f>'Refrig Mass Flow &amp; Cond kW'!G339*$C$6*(($C$19-$C$18)/1000)</f>
        <v>0</v>
      </c>
      <c r="D348">
        <f>'Refrig Mass Flow &amp; Cond kW'!G339*Spring_autumn!$C$6*((Spring_autumn!$C$17-Spring_autumn!$C$16)/1000)</f>
        <v>0</v>
      </c>
      <c r="E348">
        <f>'Refrig Mass Flow &amp; Cond kW'!D339*(($C$13-$C$14)-$C$6*($C$17-$C$18)/1000)-'Refrig Mass Flow &amp; Cond kW'!C339*(1-$C$6/($C$10+273))</f>
        <v>0</v>
      </c>
      <c r="F348" s="13"/>
      <c r="G348" s="13">
        <f>'Refrig Mass Flow &amp; Cond kW'!F339*$C$6*($G$19-$G$18)/1000</f>
        <v>0</v>
      </c>
      <c r="H348">
        <f>'Refrig Mass Flow &amp; Cond kW'!F339*$C$6*($G$17-$G$16)/1000</f>
        <v>0</v>
      </c>
      <c r="I348">
        <f>'Refrig Mass Flow &amp; Cond kW'!F339*(($G$13-$G$14)-$C$6*($G$17-$G$18)/1000)-'Refrig Mass Flow &amp; Cond kW'!E339*(1-$C$6/($G$10+273))</f>
        <v>0</v>
      </c>
    </row>
    <row r="349" spans="2:9" x14ac:dyDescent="0.2">
      <c r="B349" s="2">
        <v>326</v>
      </c>
      <c r="C349">
        <f>'Refrig Mass Flow &amp; Cond kW'!G340*$C$6*(($C$19-$C$18)/1000)</f>
        <v>0</v>
      </c>
      <c r="D349">
        <f>'Refrig Mass Flow &amp; Cond kW'!G340*Spring_autumn!$C$6*((Spring_autumn!$C$17-Spring_autumn!$C$16)/1000)</f>
        <v>0</v>
      </c>
      <c r="E349">
        <f>'Refrig Mass Flow &amp; Cond kW'!D340*(($C$13-$C$14)-$C$6*($C$17-$C$18)/1000)-'Refrig Mass Flow &amp; Cond kW'!C340*(1-$C$6/($C$10+273))</f>
        <v>0</v>
      </c>
      <c r="F349" s="13"/>
      <c r="G349" s="13">
        <f>'Refrig Mass Flow &amp; Cond kW'!F340*$C$6*($G$19-$G$18)/1000</f>
        <v>0</v>
      </c>
      <c r="H349">
        <f>'Refrig Mass Flow &amp; Cond kW'!F340*$C$6*($G$17-$G$16)/1000</f>
        <v>0</v>
      </c>
      <c r="I349">
        <f>'Refrig Mass Flow &amp; Cond kW'!F340*(($G$13-$G$14)-$C$6*($G$17-$G$18)/1000)-'Refrig Mass Flow &amp; Cond kW'!E340*(1-$C$6/($G$10+273))</f>
        <v>0</v>
      </c>
    </row>
    <row r="350" spans="2:9" x14ac:dyDescent="0.2">
      <c r="B350" s="2">
        <v>327</v>
      </c>
      <c r="C350">
        <f>'Refrig Mass Flow &amp; Cond kW'!G341*$C$6*(($C$19-$C$18)/1000)</f>
        <v>0</v>
      </c>
      <c r="D350">
        <f>'Refrig Mass Flow &amp; Cond kW'!G341*Spring_autumn!$C$6*((Spring_autumn!$C$17-Spring_autumn!$C$16)/1000)</f>
        <v>0</v>
      </c>
      <c r="E350">
        <f>'Refrig Mass Flow &amp; Cond kW'!D341*(($C$13-$C$14)-$C$6*($C$17-$C$18)/1000)-'Refrig Mass Flow &amp; Cond kW'!C341*(1-$C$6/($C$10+273))</f>
        <v>0</v>
      </c>
      <c r="F350" s="13"/>
      <c r="G350" s="13">
        <f>'Refrig Mass Flow &amp; Cond kW'!F341*$C$6*($G$19-$G$18)/1000</f>
        <v>0</v>
      </c>
      <c r="H350">
        <f>'Refrig Mass Flow &amp; Cond kW'!F341*$C$6*($G$17-$G$16)/1000</f>
        <v>0</v>
      </c>
      <c r="I350">
        <f>'Refrig Mass Flow &amp; Cond kW'!F341*(($G$13-$G$14)-$C$6*($G$17-$G$18)/1000)-'Refrig Mass Flow &amp; Cond kW'!E341*(1-$C$6/($G$10+273))</f>
        <v>0</v>
      </c>
    </row>
    <row r="351" spans="2:9" x14ac:dyDescent="0.2">
      <c r="B351" s="2">
        <v>328</v>
      </c>
      <c r="C351">
        <f>'Refrig Mass Flow &amp; Cond kW'!G342*$C$6*(($C$19-$C$18)/1000)</f>
        <v>0</v>
      </c>
      <c r="D351">
        <f>'Refrig Mass Flow &amp; Cond kW'!G342*Spring_autumn!$C$6*((Spring_autumn!$C$17-Spring_autumn!$C$16)/1000)</f>
        <v>0</v>
      </c>
      <c r="E351">
        <f>'Refrig Mass Flow &amp; Cond kW'!D342*(($C$13-$C$14)-$C$6*($C$17-$C$18)/1000)-'Refrig Mass Flow &amp; Cond kW'!C342*(1-$C$6/($C$10+273))</f>
        <v>0</v>
      </c>
      <c r="F351" s="13"/>
      <c r="G351" s="13">
        <f>'Refrig Mass Flow &amp; Cond kW'!F342*$C$6*($G$19-$G$18)/1000</f>
        <v>0</v>
      </c>
      <c r="H351">
        <f>'Refrig Mass Flow &amp; Cond kW'!F342*$C$6*($G$17-$G$16)/1000</f>
        <v>0</v>
      </c>
      <c r="I351">
        <f>'Refrig Mass Flow &amp; Cond kW'!F342*(($G$13-$G$14)-$C$6*($G$17-$G$18)/1000)-'Refrig Mass Flow &amp; Cond kW'!E342*(1-$C$6/($G$10+273))</f>
        <v>0</v>
      </c>
    </row>
    <row r="352" spans="2:9" x14ac:dyDescent="0.2">
      <c r="B352" s="2">
        <v>329</v>
      </c>
      <c r="C352">
        <f>'Refrig Mass Flow &amp; Cond kW'!G343*$C$6*(($C$19-$C$18)/1000)</f>
        <v>0</v>
      </c>
      <c r="D352">
        <f>'Refrig Mass Flow &amp; Cond kW'!G343*Spring_autumn!$C$6*((Spring_autumn!$C$17-Spring_autumn!$C$16)/1000)</f>
        <v>0</v>
      </c>
      <c r="E352">
        <f>'Refrig Mass Flow &amp; Cond kW'!D343*(($C$13-$C$14)-$C$6*($C$17-$C$18)/1000)-'Refrig Mass Flow &amp; Cond kW'!C343*(1-$C$6/($C$10+273))</f>
        <v>0</v>
      </c>
      <c r="F352" s="13"/>
      <c r="G352" s="13">
        <f>'Refrig Mass Flow &amp; Cond kW'!F343*$C$6*($G$19-$G$18)/1000</f>
        <v>0</v>
      </c>
      <c r="H352">
        <f>'Refrig Mass Flow &amp; Cond kW'!F343*$C$6*($G$17-$G$16)/1000</f>
        <v>0</v>
      </c>
      <c r="I352">
        <f>'Refrig Mass Flow &amp; Cond kW'!F343*(($G$13-$G$14)-$C$6*($G$17-$G$18)/1000)-'Refrig Mass Flow &amp; Cond kW'!E343*(1-$C$6/($G$10+273))</f>
        <v>0</v>
      </c>
    </row>
    <row r="353" spans="2:9" x14ac:dyDescent="0.2">
      <c r="B353" s="2">
        <v>330</v>
      </c>
      <c r="C353">
        <f>'Refrig Mass Flow &amp; Cond kW'!G344*$C$6*(($C$19-$C$18)/1000)</f>
        <v>0</v>
      </c>
      <c r="D353">
        <f>'Refrig Mass Flow &amp; Cond kW'!G344*Spring_autumn!$C$6*((Spring_autumn!$C$17-Spring_autumn!$C$16)/1000)</f>
        <v>0</v>
      </c>
      <c r="E353">
        <f>'Refrig Mass Flow &amp; Cond kW'!D344*(($C$13-$C$14)-$C$6*($C$17-$C$18)/1000)-'Refrig Mass Flow &amp; Cond kW'!C344*(1-$C$6/($C$10+273))</f>
        <v>0</v>
      </c>
      <c r="F353" s="13"/>
      <c r="G353" s="13">
        <f>'Refrig Mass Flow &amp; Cond kW'!F344*$C$6*($G$19-$G$18)/1000</f>
        <v>2.0573907587585042E-2</v>
      </c>
      <c r="H353">
        <f>'Refrig Mass Flow &amp; Cond kW'!F344*$C$6*($G$17-$G$16)/1000</f>
        <v>0.12828436495787865</v>
      </c>
      <c r="I353">
        <f>'Refrig Mass Flow &amp; Cond kW'!F344*(($G$13-$G$14)-$C$6*($G$17-$G$18)/1000)-'Refrig Mass Flow &amp; Cond kW'!E344*(1-$C$6/($G$10+273))</f>
        <v>5.677995084220544E-2</v>
      </c>
    </row>
    <row r="354" spans="2:9" x14ac:dyDescent="0.2">
      <c r="B354" s="2">
        <v>331</v>
      </c>
      <c r="C354">
        <f>'Refrig Mass Flow &amp; Cond kW'!G345*$C$6*(($C$19-$C$18)/1000)</f>
        <v>0</v>
      </c>
      <c r="D354">
        <f>'Refrig Mass Flow &amp; Cond kW'!G345*Spring_autumn!$C$6*((Spring_autumn!$C$17-Spring_autumn!$C$16)/1000)</f>
        <v>0</v>
      </c>
      <c r="E354">
        <f>'Refrig Mass Flow &amp; Cond kW'!D345*(($C$13-$C$14)-$C$6*($C$17-$C$18)/1000)-'Refrig Mass Flow &amp; Cond kW'!C345*(1-$C$6/($C$10+273))</f>
        <v>0</v>
      </c>
      <c r="F354" s="13"/>
      <c r="G354" s="13">
        <f>'Refrig Mass Flow &amp; Cond kW'!F345*$C$6*($G$19-$G$18)/1000</f>
        <v>4.9040758371768016E-2</v>
      </c>
      <c r="H354">
        <f>'Refrig Mass Flow &amp; Cond kW'!F345*$C$6*($G$17-$G$16)/1000</f>
        <v>0.30578355220042502</v>
      </c>
      <c r="I354">
        <f>'Refrig Mass Flow &amp; Cond kW'!F345*(($G$13-$G$14)-$C$6*($G$17-$G$18)/1000)-'Refrig Mass Flow &amp; Cond kW'!E345*(1-$C$6/($G$10+273))</f>
        <v>0.13534287727109939</v>
      </c>
    </row>
    <row r="355" spans="2:9" x14ac:dyDescent="0.2">
      <c r="B355" s="2">
        <v>332</v>
      </c>
      <c r="C355">
        <f>'Refrig Mass Flow &amp; Cond kW'!G346*$C$6*(($C$19-$C$18)/1000)</f>
        <v>0</v>
      </c>
      <c r="D355">
        <f>'Refrig Mass Flow &amp; Cond kW'!G346*Spring_autumn!$C$6*((Spring_autumn!$C$17-Spring_autumn!$C$16)/1000)</f>
        <v>0</v>
      </c>
      <c r="E355">
        <f>'Refrig Mass Flow &amp; Cond kW'!D346*(($C$13-$C$14)-$C$6*($C$17-$C$18)/1000)-'Refrig Mass Flow &amp; Cond kW'!C346*(1-$C$6/($C$10+273))</f>
        <v>0</v>
      </c>
      <c r="F355" s="13"/>
      <c r="G355" s="13">
        <f>'Refrig Mass Flow &amp; Cond kW'!F346*$C$6*($G$19-$G$18)/1000</f>
        <v>7.7501279071531065E-2</v>
      </c>
      <c r="H355">
        <f>'Refrig Mass Flow &amp; Cond kW'!F346*$C$6*($G$17-$G$16)/1000</f>
        <v>0.48324326950482366</v>
      </c>
      <c r="I355">
        <f>'Refrig Mass Flow &amp; Cond kW'!F346*(($G$13-$G$14)-$C$6*($G$17-$G$18)/1000)-'Refrig Mass Flow &amp; Cond kW'!E346*(1-$C$6/($G$10+273))</f>
        <v>0.21388833390818718</v>
      </c>
    </row>
    <row r="356" spans="2:9" x14ac:dyDescent="0.2">
      <c r="B356" s="2">
        <v>333</v>
      </c>
      <c r="C356">
        <f>'Refrig Mass Flow &amp; Cond kW'!G347*$C$6*(($C$19-$C$18)/1000)</f>
        <v>0</v>
      </c>
      <c r="D356">
        <f>'Refrig Mass Flow &amp; Cond kW'!G347*Spring_autumn!$C$6*((Spring_autumn!$C$17-Spring_autumn!$C$16)/1000)</f>
        <v>0</v>
      </c>
      <c r="E356">
        <f>'Refrig Mass Flow &amp; Cond kW'!D347*(($C$13-$C$14)-$C$6*($C$17-$C$18)/1000)-'Refrig Mass Flow &amp; Cond kW'!C347*(1-$C$6/($C$10+273))</f>
        <v>0</v>
      </c>
      <c r="F356" s="13"/>
      <c r="G356" s="13">
        <f>'Refrig Mass Flow &amp; Cond kW'!F347*$C$6*($G$19-$G$18)/1000</f>
        <v>0.1060543860504059</v>
      </c>
      <c r="H356">
        <f>'Refrig Mass Flow &amp; Cond kW'!F347*$C$6*($G$17-$G$16)/1000</f>
        <v>0.6612802894907428</v>
      </c>
      <c r="I356">
        <f>'Refrig Mass Flow &amp; Cond kW'!F347*(($G$13-$G$14)-$C$6*($G$17-$G$18)/1000)-'Refrig Mass Flow &amp; Cond kW'!E347*(1-$C$6/($G$10+273))</f>
        <v>0.29268931052145097</v>
      </c>
    </row>
    <row r="357" spans="2:9" x14ac:dyDescent="0.2">
      <c r="B357" s="2">
        <v>334</v>
      </c>
      <c r="C357">
        <f>'Refrig Mass Flow &amp; Cond kW'!G348*$C$6*(($C$19-$C$18)/1000)</f>
        <v>0</v>
      </c>
      <c r="D357">
        <f>'Refrig Mass Flow &amp; Cond kW'!G348*Spring_autumn!$C$6*((Spring_autumn!$C$17-Spring_autumn!$C$16)/1000)</f>
        <v>0</v>
      </c>
      <c r="E357">
        <f>'Refrig Mass Flow &amp; Cond kW'!D348*(($C$13-$C$14)-$C$6*($C$17-$C$18)/1000)-'Refrig Mass Flow &amp; Cond kW'!C348*(1-$C$6/($C$10+273))</f>
        <v>0</v>
      </c>
      <c r="F357" s="13"/>
      <c r="G357" s="13">
        <f>'Refrig Mass Flow &amp; Cond kW'!F348*$C$6*($G$19-$G$18)/1000</f>
        <v>0.13474135512378688</v>
      </c>
      <c r="H357">
        <f>'Refrig Mass Flow &amp; Cond kW'!F348*$C$6*($G$17-$G$16)/1000</f>
        <v>0.84015197900711203</v>
      </c>
      <c r="I357">
        <f>'Refrig Mass Flow &amp; Cond kW'!F348*(($G$13-$G$14)-$C$6*($G$17-$G$18)/1000)-'Refrig Mass Flow &amp; Cond kW'!E348*(1-$C$6/($G$10+273))</f>
        <v>0.37185972026808312</v>
      </c>
    </row>
    <row r="358" spans="2:9" x14ac:dyDescent="0.2">
      <c r="B358" s="2">
        <v>335</v>
      </c>
      <c r="C358">
        <f>'Refrig Mass Flow &amp; Cond kW'!G349*$C$6*(($C$19-$C$18)/1000)</f>
        <v>0</v>
      </c>
      <c r="D358">
        <f>'Refrig Mass Flow &amp; Cond kW'!G349*Spring_autumn!$C$6*((Spring_autumn!$C$17-Spring_autumn!$C$16)/1000)</f>
        <v>0</v>
      </c>
      <c r="E358">
        <f>'Refrig Mass Flow &amp; Cond kW'!D349*(($C$13-$C$14)-$C$6*($C$17-$C$18)/1000)-'Refrig Mass Flow &amp; Cond kW'!C349*(1-$C$6/($C$10+273))</f>
        <v>0</v>
      </c>
      <c r="F358" s="13"/>
      <c r="G358" s="13">
        <f>'Refrig Mass Flow &amp; Cond kW'!F349*$C$6*($G$19-$G$18)/1000</f>
        <v>0.16357651781397217</v>
      </c>
      <c r="H358">
        <f>'Refrig Mass Flow &amp; Cond kW'!F349*$C$6*($G$17-$G$16)/1000</f>
        <v>1.0199476993106138</v>
      </c>
      <c r="I358">
        <f>'Refrig Mass Flow &amp; Cond kW'!F349*(($G$13-$G$14)-$C$6*($G$17-$G$18)/1000)-'Refrig Mass Flow &amp; Cond kW'!E349*(1-$C$6/($G$10+273))</f>
        <v>0.45143911533952252</v>
      </c>
    </row>
    <row r="359" spans="2:9" x14ac:dyDescent="0.2">
      <c r="B359" s="2">
        <v>336</v>
      </c>
      <c r="C359">
        <f>'Refrig Mass Flow &amp; Cond kW'!G350*$C$6*(($C$19-$C$18)/1000)</f>
        <v>0</v>
      </c>
      <c r="D359">
        <f>'Refrig Mass Flow &amp; Cond kW'!G350*Spring_autumn!$C$6*((Spring_autumn!$C$17-Spring_autumn!$C$16)/1000)</f>
        <v>0</v>
      </c>
      <c r="E359">
        <f>'Refrig Mass Flow &amp; Cond kW'!D350*(($C$13-$C$14)-$C$6*($C$17-$C$18)/1000)-'Refrig Mass Flow &amp; Cond kW'!C350*(1-$C$6/($C$10+273))</f>
        <v>0</v>
      </c>
      <c r="F359" s="13"/>
      <c r="G359" s="13">
        <f>'Refrig Mass Flow &amp; Cond kW'!F350*$C$6*($G$19-$G$18)/1000</f>
        <v>0.19223799739480621</v>
      </c>
      <c r="H359">
        <f>'Refrig Mass Flow &amp; Cond kW'!F350*$C$6*($G$17-$G$16)/1000</f>
        <v>1.1986604543440433</v>
      </c>
      <c r="I359">
        <f>'Refrig Mass Flow &amp; Cond kW'!F350*(($G$13-$G$14)-$C$6*($G$17-$G$18)/1000)-'Refrig Mass Flow &amp; Cond kW'!E350*(1-$C$6/($G$10+273))</f>
        <v>0.53053917908466364</v>
      </c>
    </row>
    <row r="360" spans="2:9" x14ac:dyDescent="0.2">
      <c r="B360" s="2">
        <v>337</v>
      </c>
      <c r="C360">
        <f>'Refrig Mass Flow &amp; Cond kW'!G351*$C$6*(($C$19-$C$18)/1000)</f>
        <v>0</v>
      </c>
      <c r="D360">
        <f>'Refrig Mass Flow &amp; Cond kW'!G351*Spring_autumn!$C$6*((Spring_autumn!$C$17-Spring_autumn!$C$16)/1000)</f>
        <v>0</v>
      </c>
      <c r="E360">
        <f>'Refrig Mass Flow &amp; Cond kW'!D351*(($C$13-$C$14)-$C$6*($C$17-$C$18)/1000)-'Refrig Mass Flow &amp; Cond kW'!C351*(1-$C$6/($C$10+273))</f>
        <v>0</v>
      </c>
      <c r="F360" s="13"/>
      <c r="G360" s="13">
        <f>'Refrig Mass Flow &amp; Cond kW'!F351*$C$6*($G$19-$G$18)/1000</f>
        <v>0.22087730805841521</v>
      </c>
      <c r="H360">
        <f>'Refrig Mass Flow &amp; Cond kW'!F351*$C$6*($G$17-$G$16)/1000</f>
        <v>1.377234979658305</v>
      </c>
      <c r="I360">
        <f>'Refrig Mass Flow &amp; Cond kW'!F351*(($G$13-$G$14)-$C$6*($G$17-$G$18)/1000)-'Refrig Mass Flow &amp; Cond kW'!E351*(1-$C$6/($G$10+273))</f>
        <v>0.60957806096511202</v>
      </c>
    </row>
    <row r="361" spans="2:9" x14ac:dyDescent="0.2">
      <c r="B361" s="2">
        <v>338</v>
      </c>
      <c r="C361">
        <f>'Refrig Mass Flow &amp; Cond kW'!G352*$C$6*(($C$19-$C$18)/1000)</f>
        <v>0</v>
      </c>
      <c r="D361">
        <f>'Refrig Mass Flow &amp; Cond kW'!G352*Spring_autumn!$C$6*((Spring_autumn!$C$17-Spring_autumn!$C$16)/1000)</f>
        <v>0</v>
      </c>
      <c r="E361">
        <f>'Refrig Mass Flow &amp; Cond kW'!D352*(($C$13-$C$14)-$C$6*($C$17-$C$18)/1000)-'Refrig Mass Flow &amp; Cond kW'!C352*(1-$C$6/($C$10+273))</f>
        <v>0</v>
      </c>
      <c r="F361" s="13"/>
      <c r="G361" s="13">
        <f>'Refrig Mass Flow &amp; Cond kW'!F352*$C$6*($G$19-$G$18)/1000</f>
        <v>0.24949182847482504</v>
      </c>
      <c r="H361">
        <f>'Refrig Mass Flow &amp; Cond kW'!F352*$C$6*($G$17-$G$16)/1000</f>
        <v>1.5556549304900307</v>
      </c>
      <c r="I361">
        <f>'Refrig Mass Flow &amp; Cond kW'!F352*(($G$13-$G$14)-$C$6*($G$17-$G$18)/1000)-'Refrig Mass Flow &amp; Cond kW'!E352*(1-$C$6/($G$10+273))</f>
        <v>0.68854852662411936</v>
      </c>
    </row>
    <row r="362" spans="2:9" x14ac:dyDescent="0.2">
      <c r="B362" s="2">
        <v>339</v>
      </c>
      <c r="C362">
        <f>'Refrig Mass Flow &amp; Cond kW'!G353*$C$6*(($C$19-$C$18)/1000)</f>
        <v>0</v>
      </c>
      <c r="D362">
        <f>'Refrig Mass Flow &amp; Cond kW'!G353*Spring_autumn!$C$6*((Spring_autumn!$C$17-Spring_autumn!$C$16)/1000)</f>
        <v>0</v>
      </c>
      <c r="E362">
        <f>'Refrig Mass Flow &amp; Cond kW'!D353*(($C$13-$C$14)-$C$6*($C$17-$C$18)/1000)-'Refrig Mass Flow &amp; Cond kW'!C353*(1-$C$6/($C$10+273))</f>
        <v>0</v>
      </c>
      <c r="F362" s="13"/>
      <c r="G362" s="13">
        <f>'Refrig Mass Flow &amp; Cond kW'!F353*$C$6*($G$19-$G$18)/1000</f>
        <v>0.27807894000226868</v>
      </c>
      <c r="H362">
        <f>'Refrig Mass Flow &amp; Cond kW'!F353*$C$6*($G$17-$G$16)/1000</f>
        <v>1.7339039788376138</v>
      </c>
      <c r="I362">
        <f>'Refrig Mass Flow &amp; Cond kW'!F353*(($G$13-$G$14)-$C$6*($G$17-$G$18)/1000)-'Refrig Mass Flow &amp; Cond kW'!E353*(1-$C$6/($G$10+273))</f>
        <v>0.76744334912387657</v>
      </c>
    </row>
    <row r="363" spans="2:9" x14ac:dyDescent="0.2">
      <c r="B363" s="2">
        <v>340</v>
      </c>
      <c r="C363">
        <f>'Refrig Mass Flow &amp; Cond kW'!G354*$C$6*(($C$19-$C$18)/1000)</f>
        <v>0</v>
      </c>
      <c r="D363">
        <f>'Refrig Mass Flow &amp; Cond kW'!G354*Spring_autumn!$C$6*((Spring_autumn!$C$17-Spring_autumn!$C$16)/1000)</f>
        <v>0</v>
      </c>
      <c r="E363">
        <f>'Refrig Mass Flow &amp; Cond kW'!D354*(($C$13-$C$14)-$C$6*($C$17-$C$18)/1000)-'Refrig Mass Flow &amp; Cond kW'!C354*(1-$C$6/($C$10+273))</f>
        <v>0</v>
      </c>
      <c r="F363" s="13"/>
      <c r="G363" s="13">
        <f>'Refrig Mass Flow &amp; Cond kW'!F354*$C$6*($G$19-$G$18)/1000</f>
        <v>0.30663602692676184</v>
      </c>
      <c r="H363">
        <f>'Refrig Mass Flow &amp; Cond kW'!F354*$C$6*($G$17-$G$16)/1000</f>
        <v>1.9119658149550356</v>
      </c>
      <c r="I363">
        <f>'Refrig Mass Flow &amp; Cond kW'!F354*(($G$13-$G$14)-$C$6*($G$17-$G$18)/1000)-'Refrig Mass Flow &amp; Cond kW'!E354*(1-$C$6/($G$10+273))</f>
        <v>0.84625530960666495</v>
      </c>
    </row>
    <row r="364" spans="2:9" x14ac:dyDescent="0.2">
      <c r="B364" s="2">
        <v>341</v>
      </c>
      <c r="C364">
        <f>'Refrig Mass Flow &amp; Cond kW'!G355*$C$6*(($C$19-$C$18)/1000)</f>
        <v>0</v>
      </c>
      <c r="D364">
        <f>'Refrig Mass Flow &amp; Cond kW'!G355*Spring_autumn!$C$6*((Spring_autumn!$C$17-Spring_autumn!$C$16)/1000)</f>
        <v>0</v>
      </c>
      <c r="E364">
        <f>'Refrig Mass Flow &amp; Cond kW'!D355*(($C$13-$C$14)-$C$6*($C$17-$C$18)/1000)-'Refrig Mass Flow &amp; Cond kW'!C355*(1-$C$6/($C$10+273))</f>
        <v>0</v>
      </c>
      <c r="F364" s="13"/>
      <c r="G364" s="13">
        <f>'Refrig Mass Flow &amp; Cond kW'!F355*$C$6*($G$19-$G$18)/1000</f>
        <v>0.33516047670136467</v>
      </c>
      <c r="H364">
        <f>'Refrig Mass Flow &amp; Cond kW'!F355*$C$6*($G$17-$G$16)/1000</f>
        <v>2.0898241488437299</v>
      </c>
      <c r="I364">
        <f>'Refrig Mass Flow &amp; Cond kW'!F355*(($G$13-$G$14)-$C$6*($G$17-$G$18)/1000)-'Refrig Mass Flow &amp; Cond kW'!E355*(1-$C$6/($G$10+273))</f>
        <v>0.92497719795519728</v>
      </c>
    </row>
    <row r="365" spans="2:9" x14ac:dyDescent="0.2">
      <c r="B365" s="2">
        <v>342</v>
      </c>
      <c r="C365">
        <f>'Refrig Mass Flow &amp; Cond kW'!G356*$C$6*(($C$19-$C$18)/1000)</f>
        <v>0</v>
      </c>
      <c r="D365">
        <f>'Refrig Mass Flow &amp; Cond kW'!G356*Spring_autumn!$C$6*((Spring_autumn!$C$17-Spring_autumn!$C$16)/1000)</f>
        <v>0</v>
      </c>
      <c r="E365">
        <f>'Refrig Mass Flow &amp; Cond kW'!D356*(($C$13-$C$14)-$C$6*($C$17-$C$18)/1000)-'Refrig Mass Flow &amp; Cond kW'!C356*(1-$C$6/($C$10+273))</f>
        <v>0</v>
      </c>
      <c r="F365" s="13"/>
      <c r="G365" s="13">
        <f>'Refrig Mass Flow &amp; Cond kW'!F356*$C$6*($G$19-$G$18)/1000</f>
        <v>0.3636496801851381</v>
      </c>
      <c r="H365">
        <f>'Refrig Mass Flow &amp; Cond kW'!F356*$C$6*($G$17-$G$16)/1000</f>
        <v>2.2674627117425459</v>
      </c>
      <c r="I365">
        <f>'Refrig Mass Flow &amp; Cond kW'!F356*(($G$13-$G$14)-$C$6*($G$17-$G$18)/1000)-'Refrig Mass Flow &amp; Cond kW'!E356*(1-$C$6/($G$10+273))</f>
        <v>1.0036018134520805</v>
      </c>
    </row>
    <row r="366" spans="2:9" x14ac:dyDescent="0.2">
      <c r="B366" s="2">
        <v>343</v>
      </c>
      <c r="C366">
        <f>'Refrig Mass Flow &amp; Cond kW'!G357*$C$6*(($C$19-$C$18)/1000)</f>
        <v>0</v>
      </c>
      <c r="D366">
        <f>'Refrig Mass Flow &amp; Cond kW'!G357*Spring_autumn!$C$6*((Spring_autumn!$C$17-Spring_autumn!$C$16)/1000)</f>
        <v>0</v>
      </c>
      <c r="E366">
        <f>'Refrig Mass Flow &amp; Cond kW'!D357*(($C$13-$C$14)-$C$6*($C$17-$C$18)/1000)-'Refrig Mass Flow &amp; Cond kW'!C357*(1-$C$6/($C$10+273))</f>
        <v>0</v>
      </c>
      <c r="F366" s="13"/>
      <c r="G366" s="13">
        <f>'Refrig Mass Flow &amp; Cond kW'!F357*$C$6*($G$19-$G$18)/1000</f>
        <v>0.39238620612906644</v>
      </c>
      <c r="H366">
        <f>'Refrig Mass Flow &amp; Cond kW'!F357*$C$6*($G$17-$G$16)/1000</f>
        <v>2.4466434029223278</v>
      </c>
      <c r="I366">
        <f>'Refrig Mass Flow &amp; Cond kW'!F357*(($G$13-$G$14)-$C$6*($G$17-$G$18)/1000)-'Refrig Mass Flow &amp; Cond kW'!E357*(1-$C$6/($G$10+273))</f>
        <v>1.0829089904443876</v>
      </c>
    </row>
    <row r="367" spans="2:9" x14ac:dyDescent="0.2">
      <c r="B367" s="2">
        <v>344</v>
      </c>
      <c r="C367">
        <f>'Refrig Mass Flow &amp; Cond kW'!G358*$C$6*(($C$19-$C$18)/1000)</f>
        <v>0</v>
      </c>
      <c r="D367">
        <f>'Refrig Mass Flow &amp; Cond kW'!G358*Spring_autumn!$C$6*((Spring_autumn!$C$17-Spring_autumn!$C$16)/1000)</f>
        <v>0</v>
      </c>
      <c r="E367">
        <f>'Refrig Mass Flow &amp; Cond kW'!D358*(($C$13-$C$14)-$C$6*($C$17-$C$18)/1000)-'Refrig Mass Flow &amp; Cond kW'!C358*(1-$C$6/($C$10+273))</f>
        <v>0</v>
      </c>
      <c r="F367" s="13"/>
      <c r="G367" s="13">
        <f>'Refrig Mass Flow &amp; Cond kW'!F358*$C$6*($G$19-$G$18)/1000</f>
        <v>0.42123917289792162</v>
      </c>
      <c r="H367">
        <f>'Refrig Mass Flow &amp; Cond kW'!F358*$C$6*($G$17-$G$16)/1000</f>
        <v>2.6265501368928303</v>
      </c>
      <c r="I367">
        <f>'Refrig Mass Flow &amp; Cond kW'!F358*(($G$13-$G$14)-$C$6*($G$17-$G$18)/1000)-'Refrig Mass Flow &amp; Cond kW'!E358*(1-$C$6/($G$10+273))</f>
        <v>1.162537521281962</v>
      </c>
    </row>
    <row r="368" spans="2:9" x14ac:dyDescent="0.2">
      <c r="B368" s="2">
        <v>345</v>
      </c>
      <c r="C368">
        <f>'Refrig Mass Flow &amp; Cond kW'!G359*$C$6*(($C$19-$C$18)/1000)</f>
        <v>0</v>
      </c>
      <c r="D368">
        <f>'Refrig Mass Flow &amp; Cond kW'!G359*Spring_autumn!$C$6*((Spring_autumn!$C$17-Spring_autumn!$C$16)/1000)</f>
        <v>0</v>
      </c>
      <c r="E368">
        <f>'Refrig Mass Flow &amp; Cond kW'!D359*(($C$13-$C$14)-$C$6*($C$17-$C$18)/1000)-'Refrig Mass Flow &amp; Cond kW'!C359*(1-$C$6/($C$10+273))</f>
        <v>0</v>
      </c>
      <c r="F368" s="13"/>
      <c r="G368" s="13">
        <f>'Refrig Mass Flow &amp; Cond kW'!F359*$C$6*($G$19-$G$18)/1000</f>
        <v>0.45014027408370627</v>
      </c>
      <c r="H368">
        <f>'Refrig Mass Flow &amp; Cond kW'!F359*$C$6*($G$17-$G$16)/1000</f>
        <v>2.8067570031100697</v>
      </c>
      <c r="I368">
        <f>'Refrig Mass Flow &amp; Cond kW'!F359*(($G$13-$G$14)-$C$6*($G$17-$G$18)/1000)-'Refrig Mass Flow &amp; Cond kW'!E359*(1-$C$6/($G$10+273))</f>
        <v>1.2422988936721353</v>
      </c>
    </row>
    <row r="369" spans="2:9" x14ac:dyDescent="0.2">
      <c r="B369" s="2">
        <v>346</v>
      </c>
      <c r="C369">
        <f>'Refrig Mass Flow &amp; Cond kW'!G360*$C$6*(($C$19-$C$18)/1000)</f>
        <v>0</v>
      </c>
      <c r="D369">
        <f>'Refrig Mass Flow &amp; Cond kW'!G360*Spring_autumn!$C$6*((Spring_autumn!$C$17-Spring_autumn!$C$16)/1000)</f>
        <v>0</v>
      </c>
      <c r="E369">
        <f>'Refrig Mass Flow &amp; Cond kW'!D360*(($C$13-$C$14)-$C$6*($C$17-$C$18)/1000)-'Refrig Mass Flow &amp; Cond kW'!C360*(1-$C$6/($C$10+273))</f>
        <v>0</v>
      </c>
      <c r="F369" s="13"/>
      <c r="G369" s="13">
        <f>'Refrig Mass Flow &amp; Cond kW'!F360*$C$6*($G$19-$G$18)/1000</f>
        <v>0.47874975366653416</v>
      </c>
      <c r="H369">
        <f>'Refrig Mass Flow &amp; Cond kW'!F360*$C$6*($G$17-$G$16)/1000</f>
        <v>2.9851455228618131</v>
      </c>
      <c r="I369">
        <f>'Refrig Mass Flow &amp; Cond kW'!F360*(($G$13-$G$14)-$C$6*($G$17-$G$18)/1000)-'Refrig Mass Flow &amp; Cond kW'!E360*(1-$C$6/($G$10+273))</f>
        <v>1.32125544761886</v>
      </c>
    </row>
    <row r="370" spans="2:9" x14ac:dyDescent="0.2">
      <c r="B370" s="2">
        <v>347</v>
      </c>
      <c r="C370">
        <f>'Refrig Mass Flow &amp; Cond kW'!G361*$C$6*(($C$19-$C$18)/1000)</f>
        <v>0</v>
      </c>
      <c r="D370">
        <f>'Refrig Mass Flow &amp; Cond kW'!G361*Spring_autumn!$C$6*((Spring_autumn!$C$17-Spring_autumn!$C$16)/1000)</f>
        <v>0</v>
      </c>
      <c r="E370">
        <f>'Refrig Mass Flow &amp; Cond kW'!D361*(($C$13-$C$14)-$C$6*($C$17-$C$18)/1000)-'Refrig Mass Flow &amp; Cond kW'!C361*(1-$C$6/($C$10+273))</f>
        <v>0</v>
      </c>
      <c r="F370" s="13"/>
      <c r="G370" s="13">
        <f>'Refrig Mass Flow &amp; Cond kW'!F361*$C$6*($G$19-$G$18)/1000</f>
        <v>0.50719870625997743</v>
      </c>
      <c r="H370">
        <f>'Refrig Mass Flow &amp; Cond kW'!F361*$C$6*($G$17-$G$16)/1000</f>
        <v>3.1625331096209237</v>
      </c>
      <c r="I370">
        <f>'Refrig Mass Flow &amp; Cond kW'!F361*(($G$13-$G$14)-$C$6*($G$17-$G$18)/1000)-'Refrig Mass Flow &amp; Cond kW'!E361*(1-$C$6/($G$10+273))</f>
        <v>1.3997689785507603</v>
      </c>
    </row>
    <row r="371" spans="2:9" x14ac:dyDescent="0.2">
      <c r="B371" s="2">
        <v>348</v>
      </c>
      <c r="C371">
        <f>'Refrig Mass Flow &amp; Cond kW'!G362*$C$6*(($C$19-$C$18)/1000)</f>
        <v>0</v>
      </c>
      <c r="D371">
        <f>'Refrig Mass Flow &amp; Cond kW'!G362*Spring_autumn!$C$6*((Spring_autumn!$C$17-Spring_autumn!$C$16)/1000)</f>
        <v>0</v>
      </c>
      <c r="E371">
        <f>'Refrig Mass Flow &amp; Cond kW'!D362*(($C$13-$C$14)-$C$6*($C$17-$C$18)/1000)-'Refrig Mass Flow &amp; Cond kW'!C362*(1-$C$6/($C$10+273))</f>
        <v>0</v>
      </c>
      <c r="F371" s="13"/>
      <c r="G371" s="13">
        <f>'Refrig Mass Flow &amp; Cond kW'!F362*$C$6*($G$19-$G$18)/1000</f>
        <v>0.53545431782860442</v>
      </c>
      <c r="H371">
        <f>'Refrig Mass Flow &amp; Cond kW'!F362*$C$6*($G$17-$G$16)/1000</f>
        <v>3.3387151582252983</v>
      </c>
      <c r="I371">
        <f>'Refrig Mass Flow &amp; Cond kW'!F362*(($G$13-$G$14)-$C$6*($G$17-$G$18)/1000)-'Refrig Mass Flow &amp; Cond kW'!E362*(1-$C$6/($G$10+273))</f>
        <v>1.4777489261641747</v>
      </c>
    </row>
    <row r="372" spans="2:9" x14ac:dyDescent="0.2">
      <c r="B372" s="2">
        <v>349</v>
      </c>
      <c r="C372">
        <f>'Refrig Mass Flow &amp; Cond kW'!G363*$C$6*(($C$19-$C$18)/1000)</f>
        <v>0</v>
      </c>
      <c r="D372">
        <f>'Refrig Mass Flow &amp; Cond kW'!G363*Spring_autumn!$C$6*((Spring_autumn!$C$17-Spring_autumn!$C$16)/1000)</f>
        <v>0</v>
      </c>
      <c r="E372">
        <f>'Refrig Mass Flow &amp; Cond kW'!D363*(($C$13-$C$14)-$C$6*($C$17-$C$18)/1000)-'Refrig Mass Flow &amp; Cond kW'!C363*(1-$C$6/($C$10+273))</f>
        <v>0</v>
      </c>
      <c r="F372" s="13"/>
      <c r="G372" s="13">
        <f>'Refrig Mass Flow &amp; Cond kW'!F363*$C$6*($G$19-$G$18)/1000</f>
        <v>0.56348380155210276</v>
      </c>
      <c r="H372">
        <f>'Refrig Mass Flow &amp; Cond kW'!F363*$C$6*($G$17-$G$16)/1000</f>
        <v>3.5134872332071043</v>
      </c>
      <c r="I372">
        <f>'Refrig Mass Flow &amp; Cond kW'!F363*(($G$13-$G$14)-$C$6*($G$17-$G$18)/1000)-'Refrig Mass Flow &amp; Cond kW'!E363*(1-$C$6/($G$10+273))</f>
        <v>1.5551048052638237</v>
      </c>
    </row>
    <row r="373" spans="2:9" x14ac:dyDescent="0.2">
      <c r="B373" s="2">
        <v>350</v>
      </c>
      <c r="C373">
        <f>'Refrig Mass Flow &amp; Cond kW'!G364*$C$6*(($C$19-$C$18)/1000)</f>
        <v>0</v>
      </c>
      <c r="D373">
        <f>'Refrig Mass Flow &amp; Cond kW'!G364*Spring_autumn!$C$6*((Spring_autumn!$C$17-Spring_autumn!$C$16)/1000)</f>
        <v>0</v>
      </c>
      <c r="E373">
        <f>'Refrig Mass Flow &amp; Cond kW'!D364*(($C$13-$C$14)-$C$6*($C$17-$C$18)/1000)-'Refrig Mass Flow &amp; Cond kW'!C364*(1-$C$6/($C$10+273))</f>
        <v>0</v>
      </c>
      <c r="F373" s="13"/>
      <c r="G373" s="13">
        <f>'Refrig Mass Flow &amp; Cond kW'!F364*$C$6*($G$19-$G$18)/1000</f>
        <v>0.59125440081164915</v>
      </c>
      <c r="H373">
        <f>'Refrig Mass Flow &amp; Cond kW'!F364*$C$6*($G$17-$G$16)/1000</f>
        <v>3.686645087413682</v>
      </c>
      <c r="I373">
        <f>'Refrig Mass Flow &amp; Cond kW'!F364*(($G$13-$G$14)-$C$6*($G$17-$G$18)/1000)-'Refrig Mass Flow &amp; Cond kW'!E364*(1-$C$6/($G$10+273))</f>
        <v>1.6317462140046324</v>
      </c>
    </row>
    <row r="374" spans="2:9" x14ac:dyDescent="0.2">
      <c r="B374" s="2">
        <v>351</v>
      </c>
      <c r="C374">
        <f>'Refrig Mass Flow &amp; Cond kW'!G365*$C$6*(($C$19-$C$18)/1000)</f>
        <v>0</v>
      </c>
      <c r="D374">
        <f>'Refrig Mass Flow &amp; Cond kW'!G365*Spring_autumn!$C$6*((Spring_autumn!$C$17-Spring_autumn!$C$16)/1000)</f>
        <v>0</v>
      </c>
      <c r="E374">
        <f>'Refrig Mass Flow &amp; Cond kW'!D365*(($C$13-$C$14)-$C$6*($C$17-$C$18)/1000)-'Refrig Mass Flow &amp; Cond kW'!C365*(1-$C$6/($C$10+273))</f>
        <v>0</v>
      </c>
      <c r="F374" s="13"/>
      <c r="G374" s="13">
        <f>'Refrig Mass Flow &amp; Cond kW'!F365*$C$6*($G$19-$G$18)/1000</f>
        <v>0.61878395991812463</v>
      </c>
      <c r="H374">
        <f>'Refrig Mass Flow &amp; Cond kW'!F365*$C$6*($G$17-$G$16)/1000</f>
        <v>3.8582999853716995</v>
      </c>
      <c r="I374">
        <f>'Refrig Mass Flow &amp; Cond kW'!F365*(($G$13-$G$14)-$C$6*($G$17-$G$18)/1000)-'Refrig Mass Flow &amp; Cond kW'!E365*(1-$C$6/($G$10+273))</f>
        <v>1.7077223991857338</v>
      </c>
    </row>
    <row r="375" spans="2:9" x14ac:dyDescent="0.2">
      <c r="B375" s="2">
        <v>352</v>
      </c>
      <c r="C375">
        <f>'Refrig Mass Flow &amp; Cond kW'!G366*$C$6*(($C$19-$C$18)/1000)</f>
        <v>0</v>
      </c>
      <c r="D375">
        <f>'Refrig Mass Flow &amp; Cond kW'!G366*Spring_autumn!$C$6*((Spring_autumn!$C$17-Spring_autumn!$C$16)/1000)</f>
        <v>0</v>
      </c>
      <c r="E375">
        <f>'Refrig Mass Flow &amp; Cond kW'!D366*(($C$13-$C$14)-$C$6*($C$17-$C$18)/1000)-'Refrig Mass Flow &amp; Cond kW'!C366*(1-$C$6/($C$10+273))</f>
        <v>0</v>
      </c>
      <c r="F375" s="13"/>
      <c r="G375" s="13">
        <f>'Refrig Mass Flow &amp; Cond kW'!F366*$C$6*($G$19-$G$18)/1000</f>
        <v>0.64636343287579023</v>
      </c>
      <c r="H375">
        <f>'Refrig Mass Flow &amp; Cond kW'!F366*$C$6*($G$17-$G$16)/1000</f>
        <v>4.0302661108724314</v>
      </c>
      <c r="I375">
        <f>'Refrig Mass Flow &amp; Cond kW'!F366*(($G$13-$G$14)-$C$6*($G$17-$G$18)/1000)-'Refrig Mass Flow &amp; Cond kW'!E366*(1-$C$6/($G$10+273))</f>
        <v>1.7838363368090917</v>
      </c>
    </row>
    <row r="376" spans="2:9" x14ac:dyDescent="0.2">
      <c r="B376" s="2">
        <v>353</v>
      </c>
      <c r="C376">
        <f>'Refrig Mass Flow &amp; Cond kW'!G367*$C$6*(($C$19-$C$18)/1000)</f>
        <v>0</v>
      </c>
      <c r="D376">
        <f>'Refrig Mass Flow &amp; Cond kW'!G367*Spring_autumn!$C$6*((Spring_autumn!$C$17-Spring_autumn!$C$16)/1000)</f>
        <v>0</v>
      </c>
      <c r="E376">
        <f>'Refrig Mass Flow &amp; Cond kW'!D367*(($C$13-$C$14)-$C$6*($C$17-$C$18)/1000)-'Refrig Mass Flow &amp; Cond kW'!C367*(1-$C$6/($C$10+273))</f>
        <v>0</v>
      </c>
      <c r="F376" s="13"/>
      <c r="G376" s="13">
        <f>'Refrig Mass Flow &amp; Cond kW'!F367*$C$6*($G$19-$G$18)/1000</f>
        <v>0.6737387515755886</v>
      </c>
      <c r="H376">
        <f>'Refrig Mass Flow &amp; Cond kW'!F367*$C$6*($G$17-$G$16)/1000</f>
        <v>4.2009592745299917</v>
      </c>
      <c r="I376">
        <f>'Refrig Mass Flow &amp; Cond kW'!F367*(($G$13-$G$14)-$C$6*($G$17-$G$18)/1000)-'Refrig Mass Flow &amp; Cond kW'!E367*(1-$C$6/($G$10+273))</f>
        <v>1.859386848710983</v>
      </c>
    </row>
    <row r="377" spans="2:9" x14ac:dyDescent="0.2">
      <c r="B377" s="2">
        <v>354</v>
      </c>
      <c r="C377">
        <f>'Refrig Mass Flow &amp; Cond kW'!G368*$C$6*(($C$19-$C$18)/1000)</f>
        <v>0</v>
      </c>
      <c r="D377">
        <f>'Refrig Mass Flow &amp; Cond kW'!G368*Spring_autumn!$C$6*((Spring_autumn!$C$17-Spring_autumn!$C$16)/1000)</f>
        <v>0</v>
      </c>
      <c r="E377">
        <f>'Refrig Mass Flow &amp; Cond kW'!D368*(($C$13-$C$14)-$C$6*($C$17-$C$18)/1000)-'Refrig Mass Flow &amp; Cond kW'!C368*(1-$C$6/($C$10+273))</f>
        <v>0</v>
      </c>
      <c r="F377" s="13"/>
      <c r="G377" s="13">
        <f>'Refrig Mass Flow &amp; Cond kW'!F368*$C$6*($G$19-$G$18)/1000</f>
        <v>0.70086941665415858</v>
      </c>
      <c r="H377">
        <f>'Refrig Mass Flow &amp; Cond kW'!F368*$C$6*($G$17-$G$16)/1000</f>
        <v>4.3701269509022467</v>
      </c>
      <c r="I377">
        <f>'Refrig Mass Flow &amp; Cond kW'!F368*(($G$13-$G$14)-$C$6*($G$17-$G$18)/1000)-'Refrig Mass Flow &amp; Cond kW'!E368*(1-$C$6/($G$10+273))</f>
        <v>1.9342621645895832</v>
      </c>
    </row>
    <row r="378" spans="2:9" x14ac:dyDescent="0.2">
      <c r="B378" s="2">
        <v>355</v>
      </c>
      <c r="C378">
        <f>'Refrig Mass Flow &amp; Cond kW'!G369*$C$6*(($C$19-$C$18)/1000)</f>
        <v>0</v>
      </c>
      <c r="D378">
        <f>'Refrig Mass Flow &amp; Cond kW'!G369*Spring_autumn!$C$6*((Spring_autumn!$C$17-Spring_autumn!$C$16)/1000)</f>
        <v>0</v>
      </c>
      <c r="E378">
        <f>'Refrig Mass Flow &amp; Cond kW'!D369*(($C$13-$C$14)-$C$6*($C$17-$C$18)/1000)-'Refrig Mass Flow &amp; Cond kW'!C369*(1-$C$6/($C$10+273))</f>
        <v>0</v>
      </c>
      <c r="F378" s="13"/>
      <c r="G378" s="13">
        <f>'Refrig Mass Flow &amp; Cond kW'!F369*$C$6*($G$19-$G$18)/1000</f>
        <v>0.7277907797593175</v>
      </c>
      <c r="H378">
        <f>'Refrig Mass Flow &amp; Cond kW'!F369*$C$6*($G$17-$G$16)/1000</f>
        <v>4.5379895679108788</v>
      </c>
      <c r="I378">
        <f>'Refrig Mass Flow &amp; Cond kW'!F369*(($G$13-$G$14)-$C$6*($G$17-$G$18)/1000)-'Refrig Mass Flow &amp; Cond kW'!E369*(1-$C$6/($G$10+273))</f>
        <v>2.0085598480611715</v>
      </c>
    </row>
    <row r="379" spans="2:9" x14ac:dyDescent="0.2">
      <c r="B379" s="2">
        <v>356</v>
      </c>
      <c r="C379">
        <f>'Refrig Mass Flow &amp; Cond kW'!G370*$C$6*(($C$19-$C$18)/1000)</f>
        <v>0</v>
      </c>
      <c r="D379">
        <f>'Refrig Mass Flow &amp; Cond kW'!G370*Spring_autumn!$C$6*((Spring_autumn!$C$17-Spring_autumn!$C$16)/1000)</f>
        <v>0</v>
      </c>
      <c r="E379">
        <f>'Refrig Mass Flow &amp; Cond kW'!D370*(($C$13-$C$14)-$C$6*($C$17-$C$18)/1000)-'Refrig Mass Flow &amp; Cond kW'!C370*(1-$C$6/($C$10+273))</f>
        <v>0</v>
      </c>
      <c r="F379" s="13"/>
      <c r="G379" s="13">
        <f>'Refrig Mass Flow &amp; Cond kW'!F370*$C$6*($G$19-$G$18)/1000</f>
        <v>0.75450235555250622</v>
      </c>
      <c r="H379">
        <f>'Refrig Mass Flow &amp; Cond kW'!F370*$C$6*($G$17-$G$16)/1000</f>
        <v>4.7045440993272258</v>
      </c>
      <c r="I379">
        <f>'Refrig Mass Flow &amp; Cond kW'!F370*(($G$13-$G$14)-$C$6*($G$17-$G$18)/1000)-'Refrig Mass Flow &amp; Cond kW'!E370*(1-$C$6/($G$10+273))</f>
        <v>2.0822785596864861</v>
      </c>
    </row>
    <row r="380" spans="2:9" x14ac:dyDescent="0.2">
      <c r="B380" s="2">
        <v>357</v>
      </c>
      <c r="C380">
        <f>'Refrig Mass Flow &amp; Cond kW'!G371*$C$6*(($C$19-$C$18)/1000)</f>
        <v>0</v>
      </c>
      <c r="D380">
        <f>'Refrig Mass Flow &amp; Cond kW'!G371*Spring_autumn!$C$6*((Spring_autumn!$C$17-Spring_autumn!$C$16)/1000)</f>
        <v>0</v>
      </c>
      <c r="E380">
        <f>'Refrig Mass Flow &amp; Cond kW'!D371*(($C$13-$C$14)-$C$6*($C$17-$C$18)/1000)-'Refrig Mass Flow &amp; Cond kW'!C371*(1-$C$6/($C$10+273))</f>
        <v>0</v>
      </c>
      <c r="F380" s="13"/>
      <c r="G380" s="13">
        <f>'Refrig Mass Flow &amp; Cond kW'!F371*$C$6*($G$19-$G$18)/1000</f>
        <v>0.78099579890047077</v>
      </c>
      <c r="H380">
        <f>'Refrig Mass Flow &amp; Cond kW'!F371*$C$6*($G$17-$G$16)/1000</f>
        <v>4.8697385107909987</v>
      </c>
      <c r="I380">
        <f>'Refrig Mass Flow &amp; Cond kW'!F371*(($G$13-$G$14)-$C$6*($G$17-$G$18)/1000)-'Refrig Mass Flow &amp; Cond kW'!E371*(1-$C$6/($G$10+273))</f>
        <v>2.1553952685340505</v>
      </c>
    </row>
    <row r="381" spans="2:9" x14ac:dyDescent="0.2">
      <c r="B381" s="2">
        <v>358</v>
      </c>
      <c r="C381">
        <f>'Refrig Mass Flow &amp; Cond kW'!G372*$C$6*(($C$19-$C$18)/1000)</f>
        <v>0</v>
      </c>
      <c r="D381">
        <f>'Refrig Mass Flow &amp; Cond kW'!G372*Spring_autumn!$C$6*((Spring_autumn!$C$17-Spring_autumn!$C$16)/1000)</f>
        <v>0</v>
      </c>
      <c r="E381">
        <f>'Refrig Mass Flow &amp; Cond kW'!D372*(($C$13-$C$14)-$C$6*($C$17-$C$18)/1000)-'Refrig Mass Flow &amp; Cond kW'!C372*(1-$C$6/($C$10+273))</f>
        <v>0</v>
      </c>
      <c r="F381" s="13"/>
      <c r="G381" s="13">
        <f>'Refrig Mass Flow &amp; Cond kW'!F372*$C$6*($G$19-$G$18)/1000</f>
        <v>0.80730459679517397</v>
      </c>
      <c r="H381">
        <f>'Refrig Mass Flow &amp; Cond kW'!F372*$C$6*($G$17-$G$16)/1000</f>
        <v>5.0337816035462009</v>
      </c>
      <c r="I381">
        <f>'Refrig Mass Flow &amp; Cond kW'!F372*(($G$13-$G$14)-$C$6*($G$17-$G$18)/1000)-'Refrig Mass Flow &amp; Cond kW'!E372*(1-$C$6/($G$10+273))</f>
        <v>2.228002392135604</v>
      </c>
    </row>
    <row r="382" spans="2:9" x14ac:dyDescent="0.2">
      <c r="B382" s="2">
        <v>359</v>
      </c>
      <c r="C382">
        <f>'Refrig Mass Flow &amp; Cond kW'!G373*$C$6*(($C$19-$C$18)/1000)</f>
        <v>0</v>
      </c>
      <c r="D382">
        <f>'Refrig Mass Flow &amp; Cond kW'!G373*Spring_autumn!$C$6*((Spring_autumn!$C$17-Spring_autumn!$C$16)/1000)</f>
        <v>0</v>
      </c>
      <c r="E382">
        <f>'Refrig Mass Flow &amp; Cond kW'!D373*(($C$13-$C$14)-$C$6*($C$17-$C$18)/1000)-'Refrig Mass Flow &amp; Cond kW'!C373*(1-$C$6/($C$10+273))</f>
        <v>0</v>
      </c>
      <c r="F382" s="13"/>
      <c r="G382" s="13">
        <f>'Refrig Mass Flow &amp; Cond kW'!F373*$C$6*($G$19-$G$18)/1000</f>
        <v>0.83361519636956605</v>
      </c>
      <c r="H382">
        <f>'Refrig Mass Flow &amp; Cond kW'!F373*$C$6*($G$17-$G$16)/1000</f>
        <v>5.1978359303041701</v>
      </c>
      <c r="I382">
        <f>'Refrig Mass Flow &amp; Cond kW'!F373*(($G$13-$G$14)-$C$6*($G$17-$G$18)/1000)-'Refrig Mass Flow &amp; Cond kW'!E373*(1-$C$6/($G$10+273))</f>
        <v>2.300614488019832</v>
      </c>
    </row>
    <row r="383" spans="2:9" x14ac:dyDescent="0.2">
      <c r="B383" s="2">
        <v>360</v>
      </c>
      <c r="C383">
        <f>'Refrig Mass Flow &amp; Cond kW'!G374*$C$6*(($C$19-$C$18)/1000)</f>
        <v>0</v>
      </c>
      <c r="D383">
        <f>'Refrig Mass Flow &amp; Cond kW'!G374*Spring_autumn!$C$6*((Spring_autumn!$C$17-Spring_autumn!$C$16)/1000)</f>
        <v>0</v>
      </c>
      <c r="E383">
        <f>'Refrig Mass Flow &amp; Cond kW'!D374*(($C$13-$C$14)-$C$6*($C$17-$C$18)/1000)-'Refrig Mass Flow &amp; Cond kW'!C374*(1-$C$6/($C$10+273))</f>
        <v>0</v>
      </c>
      <c r="F383" s="13"/>
      <c r="G383" s="13">
        <f>'Refrig Mass Flow &amp; Cond kW'!F374*$C$6*($G$19-$G$18)/1000</f>
        <v>0.85972917817039707</v>
      </c>
      <c r="H383">
        <f>'Refrig Mass Flow &amp; Cond kW'!F374*$C$6*($G$17-$G$16)/1000</f>
        <v>5.3606642874152275</v>
      </c>
      <c r="I383">
        <f>'Refrig Mass Flow &amp; Cond kW'!F374*(($G$13-$G$14)-$C$6*($G$17-$G$18)/1000)-'Refrig Mass Flow &amp; Cond kW'!E374*(1-$C$6/($G$10+273))</f>
        <v>2.3726839574015344</v>
      </c>
    </row>
    <row r="384" spans="2:9" x14ac:dyDescent="0.2">
      <c r="B384" s="2">
        <v>361</v>
      </c>
      <c r="C384">
        <f>'Refrig Mass Flow &amp; Cond kW'!G375*$C$6*(($C$19-$C$18)/1000)</f>
        <v>0</v>
      </c>
      <c r="D384">
        <f>'Refrig Mass Flow &amp; Cond kW'!G375*Spring_autumn!$C$6*((Spring_autumn!$C$17-Spring_autumn!$C$16)/1000)</f>
        <v>0</v>
      </c>
      <c r="E384">
        <f>'Refrig Mass Flow &amp; Cond kW'!D375*(($C$13-$C$14)-$C$6*($C$17-$C$18)/1000)-'Refrig Mass Flow &amp; Cond kW'!C375*(1-$C$6/($C$10+273))</f>
        <v>0</v>
      </c>
      <c r="F384" s="13"/>
      <c r="G384" s="13">
        <f>'Refrig Mass Flow &amp; Cond kW'!F375*$C$6*($G$19-$G$18)/1000</f>
        <v>0.88584946858110447</v>
      </c>
      <c r="H384">
        <f>'Refrig Mass Flow &amp; Cond kW'!F375*$C$6*($G$17-$G$16)/1000</f>
        <v>5.5235319805643384</v>
      </c>
      <c r="I384">
        <f>'Refrig Mass Flow &amp; Cond kW'!F375*(($G$13-$G$14)-$C$6*($G$17-$G$18)/1000)-'Refrig Mass Flow &amp; Cond kW'!E375*(1-$C$6/($G$10+273))</f>
        <v>2.4447708373095125</v>
      </c>
    </row>
    <row r="385" spans="2:9" x14ac:dyDescent="0.2">
      <c r="B385" s="2">
        <v>362</v>
      </c>
      <c r="C385">
        <f>'Refrig Mass Flow &amp; Cond kW'!G376*$C$6*(($C$19-$C$18)/1000)</f>
        <v>0</v>
      </c>
      <c r="D385">
        <f>'Refrig Mass Flow &amp; Cond kW'!G376*Spring_autumn!$C$6*((Spring_autumn!$C$17-Spring_autumn!$C$16)/1000)</f>
        <v>0</v>
      </c>
      <c r="E385">
        <f>'Refrig Mass Flow &amp; Cond kW'!D376*(($C$13-$C$14)-$C$6*($C$17-$C$18)/1000)-'Refrig Mass Flow &amp; Cond kW'!C376*(1-$C$6/($C$10+273))</f>
        <v>0</v>
      </c>
      <c r="F385" s="13"/>
      <c r="G385" s="13">
        <f>'Refrig Mass Flow &amp; Cond kW'!F376*$C$6*($G$19-$G$18)/1000</f>
        <v>0.91188632546937187</v>
      </c>
      <c r="H385">
        <f>'Refrig Mass Flow &amp; Cond kW'!F376*$C$6*($G$17-$G$16)/1000</f>
        <v>5.6858794411617648</v>
      </c>
      <c r="I385">
        <f>'Refrig Mass Flow &amp; Cond kW'!F376*(($G$13-$G$14)-$C$6*($G$17-$G$18)/1000)-'Refrig Mass Flow &amp; Cond kW'!E376*(1-$C$6/($G$10+273))</f>
        <v>2.5166274570550726</v>
      </c>
    </row>
    <row r="386" spans="2:9" x14ac:dyDescent="0.2">
      <c r="B386" s="2">
        <v>363</v>
      </c>
      <c r="C386">
        <f>'Refrig Mass Flow &amp; Cond kW'!G377*$C$6*(($C$19-$C$18)/1000)</f>
        <v>0</v>
      </c>
      <c r="D386">
        <f>'Refrig Mass Flow &amp; Cond kW'!G377*Spring_autumn!$C$6*((Spring_autumn!$C$17-Spring_autumn!$C$16)/1000)</f>
        <v>0</v>
      </c>
      <c r="E386">
        <f>'Refrig Mass Flow &amp; Cond kW'!D377*(($C$13-$C$14)-$C$6*($C$17-$C$18)/1000)-'Refrig Mass Flow &amp; Cond kW'!C377*(1-$C$6/($C$10+273))</f>
        <v>0</v>
      </c>
      <c r="F386" s="13"/>
      <c r="G386" s="13">
        <f>'Refrig Mass Flow &amp; Cond kW'!F377*$C$6*($G$19-$G$18)/1000</f>
        <v>0.93783547290513025</v>
      </c>
      <c r="H386">
        <f>'Refrig Mass Flow &amp; Cond kW'!F377*$C$6*($G$17-$G$16)/1000</f>
        <v>5.8476800075258994</v>
      </c>
      <c r="I386">
        <f>'Refrig Mass Flow &amp; Cond kW'!F377*(($G$13-$G$14)-$C$6*($G$17-$G$18)/1000)-'Refrig Mass Flow &amp; Cond kW'!E377*(1-$C$6/($G$10+273))</f>
        <v>2.5882420159096355</v>
      </c>
    </row>
    <row r="387" spans="2:9" x14ac:dyDescent="0.2">
      <c r="B387" s="2">
        <v>364</v>
      </c>
      <c r="C387">
        <f>'Refrig Mass Flow &amp; Cond kW'!G378*$C$6*(($C$19-$C$18)/1000)</f>
        <v>0</v>
      </c>
      <c r="D387">
        <f>'Refrig Mass Flow &amp; Cond kW'!G378*Spring_autumn!$C$6*((Spring_autumn!$C$17-Spring_autumn!$C$16)/1000)</f>
        <v>0</v>
      </c>
      <c r="E387">
        <f>'Refrig Mass Flow &amp; Cond kW'!D378*(($C$13-$C$14)-$C$6*($C$17-$C$18)/1000)-'Refrig Mass Flow &amp; Cond kW'!C378*(1-$C$6/($C$10+273))</f>
        <v>0</v>
      </c>
      <c r="F387" s="13"/>
      <c r="G387" s="13">
        <f>'Refrig Mass Flow &amp; Cond kW'!F378*$C$6*($G$19-$G$18)/1000</f>
        <v>0.96369454652153352</v>
      </c>
      <c r="H387">
        <f>'Refrig Mass Flow &amp; Cond kW'!F378*$C$6*($G$17-$G$16)/1000</f>
        <v>6.0089189371340552</v>
      </c>
      <c r="I387">
        <f>'Refrig Mass Flow &amp; Cond kW'!F378*(($G$13-$G$14)-$C$6*($G$17-$G$18)/1000)-'Refrig Mass Flow &amp; Cond kW'!E378*(1-$C$6/($G$10+273))</f>
        <v>2.6596079886843214</v>
      </c>
    </row>
    <row r="388" spans="2:9" x14ac:dyDescent="0.2">
      <c r="B388" s="2">
        <v>365</v>
      </c>
      <c r="C388">
        <f>'Refrig Mass Flow &amp; Cond kW'!G379*$C$6*(($C$19-$C$18)/1000)</f>
        <v>0</v>
      </c>
      <c r="D388">
        <f>'Refrig Mass Flow &amp; Cond kW'!G379*Spring_autumn!$C$6*((Spring_autumn!$C$17-Spring_autumn!$C$16)/1000)</f>
        <v>0</v>
      </c>
      <c r="E388">
        <f>'Refrig Mass Flow &amp; Cond kW'!D379*(($C$13-$C$14)-$C$6*($C$17-$C$18)/1000)-'Refrig Mass Flow &amp; Cond kW'!C379*(1-$C$6/($C$10+273))</f>
        <v>0</v>
      </c>
      <c r="F388" s="13"/>
      <c r="G388" s="13">
        <f>'Refrig Mass Flow &amp; Cond kW'!F379*$C$6*($G$19-$G$18)/1000</f>
        <v>0.98946119058251947</v>
      </c>
      <c r="H388">
        <f>'Refrig Mass Flow &amp; Cond kW'!F379*$C$6*($G$17-$G$16)/1000</f>
        <v>6.1695815412790207</v>
      </c>
      <c r="I388">
        <f>'Refrig Mass Flow &amp; Cond kW'!F379*(($G$13-$G$14)-$C$6*($G$17-$G$18)/1000)-'Refrig Mass Flow &amp; Cond kW'!E379*(1-$C$6/($G$10+273))</f>
        <v>2.7307188740094901</v>
      </c>
    </row>
    <row r="389" spans="2:9" x14ac:dyDescent="0.2">
      <c r="B389" s="2">
        <v>366</v>
      </c>
      <c r="C389">
        <f>'Refrig Mass Flow &amp; Cond kW'!G380*$C$6*(($C$19-$C$18)/1000)</f>
        <v>0</v>
      </c>
      <c r="D389">
        <f>'Refrig Mass Flow &amp; Cond kW'!G380*Spring_autumn!$C$6*((Spring_autumn!$C$17-Spring_autumn!$C$16)/1000)</f>
        <v>0</v>
      </c>
      <c r="E389">
        <f>'Refrig Mass Flow &amp; Cond kW'!D380*(($C$13-$C$14)-$C$6*($C$17-$C$18)/1000)-'Refrig Mass Flow &amp; Cond kW'!C380*(1-$C$6/($C$10+273))</f>
        <v>0</v>
      </c>
      <c r="F389" s="13"/>
      <c r="G389" s="13">
        <f>'Refrig Mass Flow &amp; Cond kW'!F380*$C$6*($G$19-$G$18)/1000</f>
        <v>1.0151330581973361</v>
      </c>
      <c r="H389">
        <f>'Refrig Mass Flow &amp; Cond kW'!F380*$C$6*($G$17-$G$16)/1000</f>
        <v>6.3296531864066958</v>
      </c>
      <c r="I389">
        <f>'Refrig Mass Flow &amp; Cond kW'!F380*(($G$13-$G$14)-$C$6*($G$17-$G$18)/1000)-'Refrig Mass Flow &amp; Cond kW'!E380*(1-$C$6/($G$10+273))</f>
        <v>2.8015681949268512</v>
      </c>
    </row>
    <row r="390" spans="2:9" x14ac:dyDescent="0.2">
      <c r="B390" s="2">
        <v>367</v>
      </c>
      <c r="C390">
        <f>'Refrig Mass Flow &amp; Cond kW'!G381*$C$6*(($C$19-$C$18)/1000)</f>
        <v>0</v>
      </c>
      <c r="D390">
        <f>'Refrig Mass Flow &amp; Cond kW'!G381*Spring_autumn!$C$6*((Spring_autumn!$C$17-Spring_autumn!$C$16)/1000)</f>
        <v>0</v>
      </c>
      <c r="E390">
        <f>'Refrig Mass Flow &amp; Cond kW'!D381*(($C$13-$C$14)-$C$6*($C$17-$C$18)/1000)-'Refrig Mass Flow &amp; Cond kW'!C381*(1-$C$6/($C$10+273))</f>
        <v>0</v>
      </c>
      <c r="F390" s="13"/>
      <c r="G390" s="13">
        <f>'Refrig Mass Flow &amp; Cond kW'!F381*$C$6*($G$19-$G$18)/1000</f>
        <v>1.040999814249032</v>
      </c>
      <c r="H390">
        <f>'Refrig Mass Flow &amp; Cond kW'!F381*$C$6*($G$17-$G$16)/1000</f>
        <v>6.4909400182584402</v>
      </c>
      <c r="I390">
        <f>'Refrig Mass Flow &amp; Cond kW'!F381*(($G$13-$G$14)-$C$6*($G$17-$G$18)/1000)-'Refrig Mass Flow &amp; Cond kW'!E381*(1-$C$6/($G$10+273))</f>
        <v>2.8729553697165784</v>
      </c>
    </row>
    <row r="391" spans="2:9" x14ac:dyDescent="0.2">
      <c r="B391" s="2">
        <v>368</v>
      </c>
      <c r="C391">
        <f>'Refrig Mass Flow &amp; Cond kW'!G382*$C$6*(($C$19-$C$18)/1000)</f>
        <v>0</v>
      </c>
      <c r="D391">
        <f>'Refrig Mass Flow &amp; Cond kW'!G382*Spring_autumn!$C$6*((Spring_autumn!$C$17-Spring_autumn!$C$16)/1000)</f>
        <v>0</v>
      </c>
      <c r="E391">
        <f>'Refrig Mass Flow &amp; Cond kW'!D382*(($C$13-$C$14)-$C$6*($C$17-$C$18)/1000)-'Refrig Mass Flow &amp; Cond kW'!C382*(1-$C$6/($C$10+273))</f>
        <v>0</v>
      </c>
      <c r="F391" s="13"/>
      <c r="G391" s="13">
        <f>'Refrig Mass Flow &amp; Cond kW'!F382*$C$6*($G$19-$G$18)/1000</f>
        <v>1.0669288766331191</v>
      </c>
      <c r="H391">
        <f>'Refrig Mass Flow &amp; Cond kW'!F382*$C$6*($G$17-$G$16)/1000</f>
        <v>6.6526153484180366</v>
      </c>
      <c r="I391">
        <f>'Refrig Mass Flow &amp; Cond kW'!F382*(($G$13-$G$14)-$C$6*($G$17-$G$18)/1000)-'Refrig Mass Flow &amp; Cond kW'!E382*(1-$C$6/($G$10+273))</f>
        <v>2.9445144977667681</v>
      </c>
    </row>
    <row r="392" spans="2:9" x14ac:dyDescent="0.2">
      <c r="B392" s="2">
        <v>369</v>
      </c>
      <c r="C392">
        <f>'Refrig Mass Flow &amp; Cond kW'!G383*$C$6*(($C$19-$C$18)/1000)</f>
        <v>0</v>
      </c>
      <c r="D392">
        <f>'Refrig Mass Flow &amp; Cond kW'!G383*Spring_autumn!$C$6*((Spring_autumn!$C$17-Spring_autumn!$C$16)/1000)</f>
        <v>0</v>
      </c>
      <c r="E392">
        <f>'Refrig Mass Flow &amp; Cond kW'!D383*(($C$13-$C$14)-$C$6*($C$17-$C$18)/1000)-'Refrig Mass Flow &amp; Cond kW'!C383*(1-$C$6/($C$10+273))</f>
        <v>0</v>
      </c>
      <c r="F392" s="13"/>
      <c r="G392" s="13">
        <f>'Refrig Mass Flow &amp; Cond kW'!F383*$C$6*($G$19-$G$18)/1000</f>
        <v>1.0928801843603801</v>
      </c>
      <c r="H392">
        <f>'Refrig Mass Flow &amp; Cond kW'!F383*$C$6*($G$17-$G$16)/1000</f>
        <v>6.814429384835071</v>
      </c>
      <c r="I392">
        <f>'Refrig Mass Flow &amp; Cond kW'!F383*(($G$13-$G$14)-$C$6*($G$17-$G$18)/1000)-'Refrig Mass Flow &amp; Cond kW'!E383*(1-$C$6/($G$10+273))</f>
        <v>3.0161350186022986</v>
      </c>
    </row>
    <row r="393" spans="2:9" x14ac:dyDescent="0.2">
      <c r="B393" s="2">
        <v>370</v>
      </c>
      <c r="C393">
        <f>'Refrig Mass Flow &amp; Cond kW'!G384*$C$6*(($C$19-$C$18)/1000)</f>
        <v>0</v>
      </c>
      <c r="D393">
        <f>'Refrig Mass Flow &amp; Cond kW'!G384*Spring_autumn!$C$6*((Spring_autumn!$C$17-Spring_autumn!$C$16)/1000)</f>
        <v>0</v>
      </c>
      <c r="E393">
        <f>'Refrig Mass Flow &amp; Cond kW'!D384*(($C$13-$C$14)-$C$6*($C$17-$C$18)/1000)-'Refrig Mass Flow &amp; Cond kW'!C384*(1-$C$6/($C$10+273))</f>
        <v>0</v>
      </c>
      <c r="F393" s="13"/>
      <c r="G393" s="13">
        <f>'Refrig Mass Flow &amp; Cond kW'!F384*$C$6*($G$19-$G$18)/1000</f>
        <v>1.1185261999256828</v>
      </c>
      <c r="H393">
        <f>'Refrig Mass Flow &amp; Cond kW'!F384*$C$6*($G$17-$G$16)/1000</f>
        <v>6.9743398348304817</v>
      </c>
      <c r="I393">
        <f>'Refrig Mass Flow &amp; Cond kW'!F384*(($G$13-$G$14)-$C$6*($G$17-$G$18)/1000)-'Refrig Mass Flow &amp; Cond kW'!E384*(1-$C$6/($G$10+273))</f>
        <v>3.086912992932028</v>
      </c>
    </row>
    <row r="394" spans="2:9" x14ac:dyDescent="0.2">
      <c r="B394" s="2">
        <v>371</v>
      </c>
      <c r="C394">
        <f>'Refrig Mass Flow &amp; Cond kW'!G385*$C$6*(($C$19-$C$18)/1000)</f>
        <v>0</v>
      </c>
      <c r="D394">
        <f>'Refrig Mass Flow &amp; Cond kW'!G385*Spring_autumn!$C$6*((Spring_autumn!$C$17-Spring_autumn!$C$16)/1000)</f>
        <v>0</v>
      </c>
      <c r="E394">
        <f>'Refrig Mass Flow &amp; Cond kW'!D385*(($C$13-$C$14)-$C$6*($C$17-$C$18)/1000)-'Refrig Mass Flow &amp; Cond kW'!C385*(1-$C$6/($C$10+273))</f>
        <v>0</v>
      </c>
      <c r="F394" s="13"/>
      <c r="G394" s="13">
        <f>'Refrig Mass Flow &amp; Cond kW'!F385*$C$6*($G$19-$G$18)/1000</f>
        <v>1.1439919957179323</v>
      </c>
      <c r="H394">
        <f>'Refrig Mass Flow &amp; Cond kW'!F385*$C$6*($G$17-$G$16)/1000</f>
        <v>7.1331265615350894</v>
      </c>
      <c r="I394">
        <f>'Refrig Mass Flow &amp; Cond kW'!F385*(($G$13-$G$14)-$C$6*($G$17-$G$18)/1000)-'Refrig Mass Flow &amp; Cond kW'!E385*(1-$C$6/($G$10+273))</f>
        <v>3.157193596025337</v>
      </c>
    </row>
    <row r="395" spans="2:9" x14ac:dyDescent="0.2">
      <c r="B395" s="2">
        <v>372</v>
      </c>
      <c r="C395">
        <f>'Refrig Mass Flow &amp; Cond kW'!G386*$C$6*(($C$19-$C$18)/1000)</f>
        <v>0</v>
      </c>
      <c r="D395">
        <f>'Refrig Mass Flow &amp; Cond kW'!G386*Spring_autumn!$C$6*((Spring_autumn!$C$17-Spring_autumn!$C$16)/1000)</f>
        <v>0</v>
      </c>
      <c r="E395">
        <f>'Refrig Mass Flow &amp; Cond kW'!D386*(($C$13-$C$14)-$C$6*($C$17-$C$18)/1000)-'Refrig Mass Flow &amp; Cond kW'!C386*(1-$C$6/($C$10+273))</f>
        <v>0</v>
      </c>
      <c r="F395" s="13"/>
      <c r="G395" s="13">
        <f>'Refrig Mass Flow &amp; Cond kW'!F386*$C$6*($G$19-$G$18)/1000</f>
        <v>1.169249251070712</v>
      </c>
      <c r="H395">
        <f>'Refrig Mass Flow &amp; Cond kW'!F386*$C$6*($G$17-$G$16)/1000</f>
        <v>7.2906129772641828</v>
      </c>
      <c r="I395">
        <f>'Refrig Mass Flow &amp; Cond kW'!F386*(($G$13-$G$14)-$C$6*($G$17-$G$18)/1000)-'Refrig Mass Flow &amp; Cond kW'!E386*(1-$C$6/($G$10+273))</f>
        <v>3.2268986683959966</v>
      </c>
    </row>
    <row r="396" spans="2:9" x14ac:dyDescent="0.2">
      <c r="B396" s="2">
        <v>373</v>
      </c>
      <c r="C396">
        <f>'Refrig Mass Flow &amp; Cond kW'!G387*$C$6*(($C$19-$C$18)/1000)</f>
        <v>0</v>
      </c>
      <c r="D396">
        <f>'Refrig Mass Flow &amp; Cond kW'!G387*Spring_autumn!$C$6*((Spring_autumn!$C$17-Spring_autumn!$C$16)/1000)</f>
        <v>0</v>
      </c>
      <c r="E396">
        <f>'Refrig Mass Flow &amp; Cond kW'!D387*(($C$13-$C$14)-$C$6*($C$17-$C$18)/1000)-'Refrig Mass Flow &amp; Cond kW'!C387*(1-$C$6/($C$10+273))</f>
        <v>0</v>
      </c>
      <c r="F396" s="13"/>
      <c r="G396" s="13">
        <f>'Refrig Mass Flow &amp; Cond kW'!F387*$C$6*($G$19-$G$18)/1000</f>
        <v>1.1942696731366156</v>
      </c>
      <c r="H396">
        <f>'Refrig Mass Flow &amp; Cond kW'!F387*$C$6*($G$17-$G$16)/1000</f>
        <v>7.4466226677927523</v>
      </c>
      <c r="I396">
        <f>'Refrig Mass Flow &amp; Cond kW'!F387*(($G$13-$G$14)-$C$6*($G$17-$G$18)/1000)-'Refrig Mass Flow &amp; Cond kW'!E387*(1-$C$6/($G$10+273))</f>
        <v>3.2959501273327803</v>
      </c>
    </row>
    <row r="397" spans="2:9" x14ac:dyDescent="0.2">
      <c r="B397" s="2">
        <v>374</v>
      </c>
      <c r="C397">
        <f>'Refrig Mass Flow &amp; Cond kW'!G388*$C$6*(($C$19-$C$18)/1000)</f>
        <v>0</v>
      </c>
      <c r="D397">
        <f>'Refrig Mass Flow &amp; Cond kW'!G388*Spring_autumn!$C$6*((Spring_autumn!$C$17-Spring_autumn!$C$16)/1000)</f>
        <v>0</v>
      </c>
      <c r="E397">
        <f>'Refrig Mass Flow &amp; Cond kW'!D388*(($C$13-$C$14)-$C$6*($C$17-$C$18)/1000)-'Refrig Mass Flow &amp; Cond kW'!C388*(1-$C$6/($C$10+273))</f>
        <v>0</v>
      </c>
      <c r="F397" s="13"/>
      <c r="G397" s="13">
        <f>'Refrig Mass Flow &amp; Cond kW'!F388*$C$6*($G$19-$G$18)/1000</f>
        <v>1.2190249994618527</v>
      </c>
      <c r="H397">
        <f>'Refrig Mass Flow &amp; Cond kW'!F388*$C$6*($G$17-$G$16)/1000</f>
        <v>7.6009794084089304</v>
      </c>
      <c r="I397">
        <f>'Refrig Mass Flow &amp; Cond kW'!F388*(($G$13-$G$14)-$C$6*($G$17-$G$18)/1000)-'Refrig Mass Flow &amp; Cond kW'!E388*(1-$C$6/($G$10+273))</f>
        <v>3.3642699740048698</v>
      </c>
    </row>
    <row r="398" spans="2:9" x14ac:dyDescent="0.2">
      <c r="B398" s="2">
        <v>375</v>
      </c>
      <c r="C398">
        <f>'Refrig Mass Flow &amp; Cond kW'!G389*$C$6*(($C$19-$C$18)/1000)</f>
        <v>0</v>
      </c>
      <c r="D398">
        <f>'Refrig Mass Flow &amp; Cond kW'!G389*Spring_autumn!$C$6*((Spring_autumn!$C$17-Spring_autumn!$C$16)/1000)</f>
        <v>0</v>
      </c>
      <c r="E398">
        <f>'Refrig Mass Flow &amp; Cond kW'!D389*(($C$13-$C$14)-$C$6*($C$17-$C$18)/1000)-'Refrig Mass Flow &amp; Cond kW'!C389*(1-$C$6/($C$10+273))</f>
        <v>0</v>
      </c>
      <c r="F398" s="13"/>
      <c r="G398" s="13">
        <f>'Refrig Mass Flow &amp; Cond kW'!F389*$C$6*($G$19-$G$18)/1000</f>
        <v>1.2434870005577197</v>
      </c>
      <c r="H398">
        <f>'Refrig Mass Flow &amp; Cond kW'!F389*$C$6*($G$17-$G$16)/1000</f>
        <v>7.753507179947861</v>
      </c>
      <c r="I398">
        <f>'Refrig Mass Flow &amp; Cond kW'!F389*(($G$13-$G$14)-$C$6*($G$17-$G$18)/1000)-'Refrig Mass Flow &amp; Cond kW'!E389*(1-$C$6/($G$10+273))</f>
        <v>3.431780300558664</v>
      </c>
    </row>
    <row r="399" spans="2:9" x14ac:dyDescent="0.2">
      <c r="B399" s="2">
        <v>376</v>
      </c>
      <c r="C399">
        <f>'Refrig Mass Flow &amp; Cond kW'!G390*$C$6*(($C$19-$C$18)/1000)</f>
        <v>0</v>
      </c>
      <c r="D399">
        <f>'Refrig Mass Flow &amp; Cond kW'!G390*Spring_autumn!$C$6*((Spring_autumn!$C$17-Spring_autumn!$C$16)/1000)</f>
        <v>0</v>
      </c>
      <c r="E399">
        <f>'Refrig Mass Flow &amp; Cond kW'!D390*(($C$13-$C$14)-$C$6*($C$17-$C$18)/1000)-'Refrig Mass Flow &amp; Cond kW'!C390*(1-$C$6/($C$10+273))</f>
        <v>0</v>
      </c>
      <c r="F399" s="13"/>
      <c r="G399" s="13">
        <f>'Refrig Mass Flow &amp; Cond kW'!F390*$C$6*($G$19-$G$18)/1000</f>
        <v>1.2679226472179279</v>
      </c>
      <c r="H399">
        <f>'Refrig Mass Flow &amp; Cond kW'!F390*$C$6*($G$17-$G$16)/1000</f>
        <v>7.9058706238291538</v>
      </c>
      <c r="I399">
        <f>'Refrig Mass Flow &amp; Cond kW'!F390*(($G$13-$G$14)-$C$6*($G$17-$G$18)/1000)-'Refrig Mass Flow &amp; Cond kW'!E390*(1-$C$6/($G$10+273))</f>
        <v>3.4992178940375638</v>
      </c>
    </row>
    <row r="400" spans="2:9" x14ac:dyDescent="0.2">
      <c r="B400" s="2">
        <v>377</v>
      </c>
      <c r="C400">
        <f>'Refrig Mass Flow &amp; Cond kW'!G391*$C$6*(($C$19-$C$18)/1000)</f>
        <v>0</v>
      </c>
      <c r="D400">
        <f>'Refrig Mass Flow &amp; Cond kW'!G391*Spring_autumn!$C$6*((Spring_autumn!$C$17-Spring_autumn!$C$16)/1000)</f>
        <v>0</v>
      </c>
      <c r="E400">
        <f>'Refrig Mass Flow &amp; Cond kW'!D391*(($C$13-$C$14)-$C$6*($C$17-$C$18)/1000)-'Refrig Mass Flow &amp; Cond kW'!C391*(1-$C$6/($C$10+273))</f>
        <v>0</v>
      </c>
      <c r="F400" s="13"/>
      <c r="G400" s="13">
        <f>'Refrig Mass Flow &amp; Cond kW'!F391*$C$6*($G$19-$G$18)/1000</f>
        <v>1.292222464359297</v>
      </c>
      <c r="H400">
        <f>'Refrig Mass Flow &amp; Cond kW'!F391*$C$6*($G$17-$G$16)/1000</f>
        <v>8.0573871307106266</v>
      </c>
      <c r="I400">
        <f>'Refrig Mass Flow &amp; Cond kW'!F391*(($G$13-$G$14)-$C$6*($G$17-$G$18)/1000)-'Refrig Mass Flow &amp; Cond kW'!E391*(1-$C$6/($G$10+273))</f>
        <v>3.5662806246777095</v>
      </c>
    </row>
    <row r="401" spans="2:9" x14ac:dyDescent="0.2">
      <c r="B401" s="2">
        <v>378</v>
      </c>
      <c r="C401">
        <f>'Refrig Mass Flow &amp; Cond kW'!G392*$C$6*(($C$19-$C$18)/1000)</f>
        <v>0</v>
      </c>
      <c r="D401">
        <f>'Refrig Mass Flow &amp; Cond kW'!G392*Spring_autumn!$C$6*((Spring_autumn!$C$17-Spring_autumn!$C$16)/1000)</f>
        <v>0</v>
      </c>
      <c r="E401">
        <f>'Refrig Mass Flow &amp; Cond kW'!D392*(($C$13-$C$14)-$C$6*($C$17-$C$18)/1000)-'Refrig Mass Flow &amp; Cond kW'!C392*(1-$C$6/($C$10+273))</f>
        <v>0</v>
      </c>
      <c r="F401" s="13"/>
      <c r="G401" s="13">
        <f>'Refrig Mass Flow &amp; Cond kW'!F392*$C$6*($G$19-$G$18)/1000</f>
        <v>1.3163576844395781</v>
      </c>
      <c r="H401">
        <f>'Refrig Mass Flow &amp; Cond kW'!F392*$C$6*($G$17-$G$16)/1000</f>
        <v>8.2078773265053151</v>
      </c>
      <c r="I401">
        <f>'Refrig Mass Flow &amp; Cond kW'!F392*(($G$13-$G$14)-$C$6*($G$17-$G$18)/1000)-'Refrig Mass Flow &amp; Cond kW'!E392*(1-$C$6/($G$10+273))</f>
        <v>3.6328890997031991</v>
      </c>
    </row>
    <row r="402" spans="2:9" x14ac:dyDescent="0.2">
      <c r="B402" s="2">
        <v>379</v>
      </c>
      <c r="C402">
        <f>'Refrig Mass Flow &amp; Cond kW'!G393*$C$6*(($C$19-$C$18)/1000)</f>
        <v>0</v>
      </c>
      <c r="D402">
        <f>'Refrig Mass Flow &amp; Cond kW'!G393*Spring_autumn!$C$6*((Spring_autumn!$C$17-Spring_autumn!$C$16)/1000)</f>
        <v>0</v>
      </c>
      <c r="E402">
        <f>'Refrig Mass Flow &amp; Cond kW'!D393*(($C$13-$C$14)-$C$6*($C$17-$C$18)/1000)-'Refrig Mass Flow &amp; Cond kW'!C393*(1-$C$6/($C$10+273))</f>
        <v>0</v>
      </c>
      <c r="F402" s="13"/>
      <c r="G402" s="13">
        <f>'Refrig Mass Flow &amp; Cond kW'!F393*$C$6*($G$19-$G$18)/1000</f>
        <v>1.340247151600779</v>
      </c>
      <c r="H402">
        <f>'Refrig Mass Flow &amp; Cond kW'!F393*$C$6*($G$17-$G$16)/1000</f>
        <v>8.3568351805692664</v>
      </c>
      <c r="I402">
        <f>'Refrig Mass Flow &amp; Cond kW'!F393*(($G$13-$G$14)-$C$6*($G$17-$G$18)/1000)-'Refrig Mass Flow &amp; Cond kW'!E393*(1-$C$6/($G$10+273))</f>
        <v>3.6988193448588547</v>
      </c>
    </row>
    <row r="403" spans="2:9" x14ac:dyDescent="0.2">
      <c r="B403" s="2">
        <v>380</v>
      </c>
      <c r="C403">
        <f>'Refrig Mass Flow &amp; Cond kW'!G394*$C$6*(($C$19-$C$18)/1000)</f>
        <v>0</v>
      </c>
      <c r="D403">
        <f>'Refrig Mass Flow &amp; Cond kW'!G394*Spring_autumn!$C$6*((Spring_autumn!$C$17-Spring_autumn!$C$16)/1000)</f>
        <v>0</v>
      </c>
      <c r="E403">
        <f>'Refrig Mass Flow &amp; Cond kW'!D394*(($C$13-$C$14)-$C$6*($C$17-$C$18)/1000)-'Refrig Mass Flow &amp; Cond kW'!C394*(1-$C$6/($C$10+273))</f>
        <v>0</v>
      </c>
      <c r="F403" s="13"/>
      <c r="G403" s="13">
        <f>'Refrig Mass Flow &amp; Cond kW'!F394*$C$6*($G$19-$G$18)/1000</f>
        <v>1.3638711247181361</v>
      </c>
      <c r="H403">
        <f>'Refrig Mass Flow &amp; Cond kW'!F394*$C$6*($G$17-$G$16)/1000</f>
        <v>8.5041376011833734</v>
      </c>
      <c r="I403">
        <f>'Refrig Mass Flow &amp; Cond kW'!F394*(($G$13-$G$14)-$C$6*($G$17-$G$18)/1000)-'Refrig Mass Flow &amp; Cond kW'!E394*(1-$C$6/($G$10+273))</f>
        <v>3.7640168785111712</v>
      </c>
    </row>
    <row r="404" spans="2:9" x14ac:dyDescent="0.2">
      <c r="B404" s="2">
        <v>381</v>
      </c>
      <c r="C404">
        <f>'Refrig Mass Flow &amp; Cond kW'!G395*$C$6*(($C$19-$C$18)/1000)</f>
        <v>0</v>
      </c>
      <c r="D404">
        <f>'Refrig Mass Flow &amp; Cond kW'!G395*Spring_autumn!$C$6*((Spring_autumn!$C$17-Spring_autumn!$C$16)/1000)</f>
        <v>0</v>
      </c>
      <c r="E404">
        <f>'Refrig Mass Flow &amp; Cond kW'!D395*(($C$13-$C$14)-$C$6*($C$17-$C$18)/1000)-'Refrig Mass Flow &amp; Cond kW'!C395*(1-$C$6/($C$10+273))</f>
        <v>0</v>
      </c>
      <c r="F404" s="13"/>
      <c r="G404" s="13">
        <f>'Refrig Mass Flow &amp; Cond kW'!F395*$C$6*($G$19-$G$18)/1000</f>
        <v>1.3871825150822701</v>
      </c>
      <c r="H404">
        <f>'Refrig Mass Flow &amp; Cond kW'!F395*$C$6*($G$17-$G$16)/1000</f>
        <v>8.6494909763950254</v>
      </c>
      <c r="I404">
        <f>'Refrig Mass Flow &amp; Cond kW'!F395*(($G$13-$G$14)-$C$6*($G$17-$G$18)/1000)-'Refrig Mass Flow &amp; Cond kW'!E395*(1-$C$6/($G$10+273))</f>
        <v>3.8283517450553219</v>
      </c>
    </row>
    <row r="405" spans="2:9" x14ac:dyDescent="0.2">
      <c r="B405" s="2">
        <v>382</v>
      </c>
      <c r="C405">
        <f>'Refrig Mass Flow &amp; Cond kW'!G396*$C$6*(($C$19-$C$18)/1000)</f>
        <v>0</v>
      </c>
      <c r="D405">
        <f>'Refrig Mass Flow &amp; Cond kW'!G396*Spring_autumn!$C$6*((Spring_autumn!$C$17-Spring_autumn!$C$16)/1000)</f>
        <v>0</v>
      </c>
      <c r="E405">
        <f>'Refrig Mass Flow &amp; Cond kW'!D396*(($C$13-$C$14)-$C$6*($C$17-$C$18)/1000)-'Refrig Mass Flow &amp; Cond kW'!C396*(1-$C$6/($C$10+273))</f>
        <v>0</v>
      </c>
      <c r="F405" s="13"/>
      <c r="G405" s="13">
        <f>'Refrig Mass Flow &amp; Cond kW'!F396*$C$6*($G$19-$G$18)/1000</f>
        <v>1.4102563096870442</v>
      </c>
      <c r="H405">
        <f>'Refrig Mass Flow &amp; Cond kW'!F396*$C$6*($G$17-$G$16)/1000</f>
        <v>8.7933628721659662</v>
      </c>
      <c r="I405">
        <f>'Refrig Mass Flow &amp; Cond kW'!F396*(($G$13-$G$14)-$C$6*($G$17-$G$18)/1000)-'Refrig Mass Flow &amp; Cond kW'!E396*(1-$C$6/($G$10+273))</f>
        <v>3.8920308938910466</v>
      </c>
    </row>
    <row r="406" spans="2:9" x14ac:dyDescent="0.2">
      <c r="B406" s="2">
        <v>383</v>
      </c>
      <c r="C406">
        <f>'Refrig Mass Flow &amp; Cond kW'!G397*$C$6*(($C$19-$C$18)/1000)</f>
        <v>0</v>
      </c>
      <c r="D406">
        <f>'Refrig Mass Flow &amp; Cond kW'!G397*Spring_autumn!$C$6*((Spring_autumn!$C$17-Spring_autumn!$C$16)/1000)</f>
        <v>0</v>
      </c>
      <c r="E406">
        <f>'Refrig Mass Flow &amp; Cond kW'!D397*(($C$13-$C$14)-$C$6*($C$17-$C$18)/1000)-'Refrig Mass Flow &amp; Cond kW'!C397*(1-$C$6/($C$10+273))</f>
        <v>0</v>
      </c>
      <c r="F406" s="13"/>
      <c r="G406" s="13">
        <f>'Refrig Mass Flow &amp; Cond kW'!F397*$C$6*($G$19-$G$18)/1000</f>
        <v>1.4332781972600965</v>
      </c>
      <c r="H406">
        <f>'Refrig Mass Flow &amp; Cond kW'!F397*$C$6*($G$17-$G$16)/1000</f>
        <v>8.9369111123273459</v>
      </c>
      <c r="I406">
        <f>'Refrig Mass Flow &amp; Cond kW'!F397*(($G$13-$G$14)-$C$6*($G$17-$G$18)/1000)-'Refrig Mass Flow &amp; Cond kW'!E397*(1-$C$6/($G$10+273))</f>
        <v>3.9555667894970625</v>
      </c>
    </row>
    <row r="407" spans="2:9" x14ac:dyDescent="0.2">
      <c r="B407" s="2">
        <v>384</v>
      </c>
      <c r="C407">
        <f>'Refrig Mass Flow &amp; Cond kW'!G398*$C$6*(($C$19-$C$18)/1000)</f>
        <v>0</v>
      </c>
      <c r="D407">
        <f>'Refrig Mass Flow &amp; Cond kW'!G398*Spring_autumn!$C$6*((Spring_autumn!$C$17-Spring_autumn!$C$16)/1000)</f>
        <v>0</v>
      </c>
      <c r="E407">
        <f>'Refrig Mass Flow &amp; Cond kW'!D398*(($C$13-$C$14)-$C$6*($C$17-$C$18)/1000)-'Refrig Mass Flow &amp; Cond kW'!C398*(1-$C$6/($C$10+273))</f>
        <v>0</v>
      </c>
      <c r="F407" s="13"/>
      <c r="G407" s="13">
        <f>'Refrig Mass Flow &amp; Cond kW'!F398*$C$6*($G$19-$G$18)/1000</f>
        <v>1.4560420335664059</v>
      </c>
      <c r="H407">
        <f>'Refrig Mass Flow &amp; Cond kW'!F398*$C$6*($G$17-$G$16)/1000</f>
        <v>9.0788503269431526</v>
      </c>
      <c r="I407">
        <f>'Refrig Mass Flow &amp; Cond kW'!F398*(($G$13-$G$14)-$C$6*($G$17-$G$18)/1000)-'Refrig Mass Flow &amp; Cond kW'!E398*(1-$C$6/($G$10+273))</f>
        <v>4.0183905142051586</v>
      </c>
    </row>
    <row r="408" spans="2:9" x14ac:dyDescent="0.2">
      <c r="B408" s="2">
        <v>385</v>
      </c>
      <c r="C408">
        <f>'Refrig Mass Flow &amp; Cond kW'!G399*$C$6*(($C$19-$C$18)/1000)</f>
        <v>0</v>
      </c>
      <c r="D408">
        <f>'Refrig Mass Flow &amp; Cond kW'!G399*Spring_autumn!$C$6*((Spring_autumn!$C$17-Spring_autumn!$C$16)/1000)</f>
        <v>0</v>
      </c>
      <c r="E408">
        <f>'Refrig Mass Flow &amp; Cond kW'!D399*(($C$13-$C$14)-$C$6*($C$17-$C$18)/1000)-'Refrig Mass Flow &amp; Cond kW'!C399*(1-$C$6/($C$10+273))</f>
        <v>0</v>
      </c>
      <c r="F408" s="13"/>
      <c r="G408" s="13">
        <f>'Refrig Mass Flow &amp; Cond kW'!F399*$C$6*($G$19-$G$18)/1000</f>
        <v>1.478760143668614</v>
      </c>
      <c r="H408">
        <f>'Refrig Mass Flow &amp; Cond kW'!F399*$C$6*($G$17-$G$16)/1000</f>
        <v>9.2205044252275012</v>
      </c>
      <c r="I408">
        <f>'Refrig Mass Flow &amp; Cond kW'!F399*(($G$13-$G$14)-$C$6*($G$17-$G$18)/1000)-'Refrig Mass Flow &amp; Cond kW'!E399*(1-$C$6/($G$10+273))</f>
        <v>4.0810880435558587</v>
      </c>
    </row>
    <row r="409" spans="2:9" x14ac:dyDescent="0.2">
      <c r="B409" s="2">
        <v>386</v>
      </c>
      <c r="C409">
        <f>'Refrig Mass Flow &amp; Cond kW'!G400*$C$6*(($C$19-$C$18)/1000)</f>
        <v>0</v>
      </c>
      <c r="D409">
        <f>'Refrig Mass Flow &amp; Cond kW'!G400*Spring_autumn!$C$6*((Spring_autumn!$C$17-Spring_autumn!$C$16)/1000)</f>
        <v>0</v>
      </c>
      <c r="E409">
        <f>'Refrig Mass Flow &amp; Cond kW'!D400*(($C$13-$C$14)-$C$6*($C$17-$C$18)/1000)-'Refrig Mass Flow &amp; Cond kW'!C400*(1-$C$6/($C$10+273))</f>
        <v>0</v>
      </c>
      <c r="F409" s="13"/>
      <c r="G409" s="13">
        <f>'Refrig Mass Flow &amp; Cond kW'!F400*$C$6*($G$19-$G$18)/1000</f>
        <v>1.5013414224613966</v>
      </c>
      <c r="H409">
        <f>'Refrig Mass Flow &amp; Cond kW'!F400*$C$6*($G$17-$G$16)/1000</f>
        <v>9.3613053400530841</v>
      </c>
      <c r="I409">
        <f>'Refrig Mass Flow &amp; Cond kW'!F400*(($G$13-$G$14)-$C$6*($G$17-$G$18)/1000)-'Refrig Mass Flow &amp; Cond kW'!E400*(1-$C$6/($G$10+273))</f>
        <v>4.1434079453222097</v>
      </c>
    </row>
    <row r="410" spans="2:9" x14ac:dyDescent="0.2">
      <c r="B410" s="2">
        <v>387</v>
      </c>
      <c r="C410">
        <f>'Refrig Mass Flow &amp; Cond kW'!G401*$C$6*(($C$19-$C$18)/1000)</f>
        <v>0</v>
      </c>
      <c r="D410">
        <f>'Refrig Mass Flow &amp; Cond kW'!G401*Spring_autumn!$C$6*((Spring_autumn!$C$17-Spring_autumn!$C$16)/1000)</f>
        <v>0</v>
      </c>
      <c r="E410">
        <f>'Refrig Mass Flow &amp; Cond kW'!D401*(($C$13-$C$14)-$C$6*($C$17-$C$18)/1000)-'Refrig Mass Flow &amp; Cond kW'!C401*(1-$C$6/($C$10+273))</f>
        <v>0</v>
      </c>
      <c r="F410" s="13"/>
      <c r="G410" s="13">
        <f>'Refrig Mass Flow &amp; Cond kW'!F401*$C$6*($G$19-$G$18)/1000</f>
        <v>1.523781515644163</v>
      </c>
      <c r="H410">
        <f>'Refrig Mass Flow &amp; Cond kW'!F401*$C$6*($G$17-$G$16)/1000</f>
        <v>9.5012259210750329</v>
      </c>
      <c r="I410">
        <f>'Refrig Mass Flow &amp; Cond kW'!F401*(($G$13-$G$14)-$C$6*($G$17-$G$18)/1000)-'Refrig Mass Flow &amp; Cond kW'!E401*(1-$C$6/($G$10+273))</f>
        <v>4.2053382024883703</v>
      </c>
    </row>
    <row r="411" spans="2:9" x14ac:dyDescent="0.2">
      <c r="B411" s="2">
        <v>388</v>
      </c>
      <c r="C411">
        <f>'Refrig Mass Flow &amp; Cond kW'!G402*$C$6*(($C$19-$C$18)/1000)</f>
        <v>0</v>
      </c>
      <c r="D411">
        <f>'Refrig Mass Flow &amp; Cond kW'!G402*Spring_autumn!$C$6*((Spring_autumn!$C$17-Spring_autumn!$C$16)/1000)</f>
        <v>0</v>
      </c>
      <c r="E411">
        <f>'Refrig Mass Flow &amp; Cond kW'!D402*(($C$13-$C$14)-$C$6*($C$17-$C$18)/1000)-'Refrig Mass Flow &amp; Cond kW'!C402*(1-$C$6/($C$10+273))</f>
        <v>0</v>
      </c>
      <c r="F411" s="13"/>
      <c r="G411" s="13">
        <f>'Refrig Mass Flow &amp; Cond kW'!F402*$C$6*($G$19-$G$18)/1000</f>
        <v>1.5460783889509544</v>
      </c>
      <c r="H411">
        <f>'Refrig Mass Flow &amp; Cond kW'!F402*$C$6*($G$17-$G$16)/1000</f>
        <v>9.6402534840467844</v>
      </c>
      <c r="I411">
        <f>'Refrig Mass Flow &amp; Cond kW'!F402*(($G$13-$G$14)-$C$6*($G$17-$G$18)/1000)-'Refrig Mass Flow &amp; Cond kW'!E402*(1-$C$6/($G$10+273))</f>
        <v>4.266873200879175</v>
      </c>
    </row>
    <row r="412" spans="2:9" x14ac:dyDescent="0.2">
      <c r="B412" s="2">
        <v>389</v>
      </c>
      <c r="C412">
        <f>'Refrig Mass Flow &amp; Cond kW'!G403*$C$6*(($C$19-$C$18)/1000)</f>
        <v>0</v>
      </c>
      <c r="D412">
        <f>'Refrig Mass Flow &amp; Cond kW'!G403*Spring_autumn!$C$6*((Spring_autumn!$C$17-Spring_autumn!$C$16)/1000)</f>
        <v>0</v>
      </c>
      <c r="E412">
        <f>'Refrig Mass Flow &amp; Cond kW'!D403*(($C$13-$C$14)-$C$6*($C$17-$C$18)/1000)-'Refrig Mass Flow &amp; Cond kW'!C403*(1-$C$6/($C$10+273))</f>
        <v>0</v>
      </c>
      <c r="F412" s="13"/>
      <c r="G412" s="13">
        <f>'Refrig Mass Flow &amp; Cond kW'!F403*$C$6*($G$19-$G$18)/1000</f>
        <v>1.568230021565201</v>
      </c>
      <c r="H412">
        <f>'Refrig Mass Flow &amp; Cond kW'!F403*$C$6*($G$17-$G$16)/1000</f>
        <v>9.7783754285826721</v>
      </c>
      <c r="I412">
        <f>'Refrig Mass Flow &amp; Cond kW'!F403*(($G$13-$G$14)-$C$6*($G$17-$G$18)/1000)-'Refrig Mass Flow &amp; Cond kW'!E403*(1-$C$6/($G$10+273))</f>
        <v>4.3280073634371092</v>
      </c>
    </row>
    <row r="413" spans="2:9" x14ac:dyDescent="0.2">
      <c r="B413" s="2">
        <v>390</v>
      </c>
      <c r="C413">
        <f>'Refrig Mass Flow &amp; Cond kW'!G404*$C$6*(($C$19-$C$18)/1000)</f>
        <v>0</v>
      </c>
      <c r="D413">
        <f>'Refrig Mass Flow &amp; Cond kW'!G404*Spring_autumn!$C$6*((Spring_autumn!$C$17-Spring_autumn!$C$16)/1000)</f>
        <v>0</v>
      </c>
      <c r="E413">
        <f>'Refrig Mass Flow &amp; Cond kW'!D404*(($C$13-$C$14)-$C$6*($C$17-$C$18)/1000)-'Refrig Mass Flow &amp; Cond kW'!C404*(1-$C$6/($C$10+273))</f>
        <v>0</v>
      </c>
      <c r="F413" s="13"/>
      <c r="G413" s="13">
        <f>'Refrig Mass Flow &amp; Cond kW'!F404*$C$6*($G$19-$G$18)/1000</f>
        <v>1.5902344063026403</v>
      </c>
      <c r="H413">
        <f>'Refrig Mass Flow &amp; Cond kW'!F404*$C$6*($G$17-$G$16)/1000</f>
        <v>9.9155792392984665</v>
      </c>
      <c r="I413">
        <f>'Refrig Mass Flow &amp; Cond kW'!F404*(($G$13-$G$14)-$C$6*($G$17-$G$18)/1000)-'Refrig Mass Flow &amp; Cond kW'!E404*(1-$C$6/($G$10+273))</f>
        <v>4.3887351507272001</v>
      </c>
    </row>
    <row r="414" spans="2:9" x14ac:dyDescent="0.2">
      <c r="B414" s="2">
        <v>391</v>
      </c>
      <c r="C414">
        <f>'Refrig Mass Flow &amp; Cond kW'!G405*$C$6*(($C$19-$C$18)/1000)</f>
        <v>0</v>
      </c>
      <c r="D414">
        <f>'Refrig Mass Flow &amp; Cond kW'!G405*Spring_autumn!$C$6*((Spring_autumn!$C$17-Spring_autumn!$C$16)/1000)</f>
        <v>0</v>
      </c>
      <c r="E414">
        <f>'Refrig Mass Flow &amp; Cond kW'!D405*(($C$13-$C$14)-$C$6*($C$17-$C$18)/1000)-'Refrig Mass Flow &amp; Cond kW'!C405*(1-$C$6/($C$10+273))</f>
        <v>0</v>
      </c>
      <c r="F414" s="13"/>
      <c r="G414" s="13">
        <f>'Refrig Mass Flow &amp; Cond kW'!F405*$C$6*($G$19-$G$18)/1000</f>
        <v>1.6123904835019385</v>
      </c>
      <c r="H414">
        <f>'Refrig Mass Flow &amp; Cond kW'!F405*$C$6*($G$17-$G$16)/1000</f>
        <v>10.053728897129378</v>
      </c>
      <c r="I414">
        <f>'Refrig Mass Flow &amp; Cond kW'!F405*(($G$13-$G$14)-$C$6*($G$17-$G$18)/1000)-'Refrig Mass Flow &amp; Cond kW'!E405*(1-$C$6/($G$10+273))</f>
        <v>4.4498815794684035</v>
      </c>
    </row>
    <row r="415" spans="2:9" x14ac:dyDescent="0.2">
      <c r="B415" s="2">
        <v>392</v>
      </c>
      <c r="C415">
        <f>'Refrig Mass Flow &amp; Cond kW'!G406*$C$6*(($C$19-$C$18)/1000)</f>
        <v>0</v>
      </c>
      <c r="D415">
        <f>'Refrig Mass Flow &amp; Cond kW'!G406*Spring_autumn!$C$6*((Spring_autumn!$C$17-Spring_autumn!$C$16)/1000)</f>
        <v>0</v>
      </c>
      <c r="E415">
        <f>'Refrig Mass Flow &amp; Cond kW'!D406*(($C$13-$C$14)-$C$6*($C$17-$C$18)/1000)-'Refrig Mass Flow &amp; Cond kW'!C406*(1-$C$6/($C$10+273))</f>
        <v>0</v>
      </c>
      <c r="F415" s="13"/>
      <c r="G415" s="13">
        <f>'Refrig Mass Flow &amp; Cond kW'!F406*$C$6*($G$19-$G$18)/1000</f>
        <v>1.6345633675612463</v>
      </c>
      <c r="H415">
        <f>'Refrig Mass Flow &amp; Cond kW'!F406*$C$6*($G$17-$G$16)/1000</f>
        <v>10.191983350675647</v>
      </c>
      <c r="I415">
        <f>'Refrig Mass Flow &amp; Cond kW'!F406*(($G$13-$G$14)-$C$6*($G$17-$G$18)/1000)-'Refrig Mass Flow &amp; Cond kW'!E406*(1-$C$6/($G$10+273))</f>
        <v>4.5110743918477567</v>
      </c>
    </row>
    <row r="416" spans="2:9" x14ac:dyDescent="0.2">
      <c r="B416" s="2">
        <v>393</v>
      </c>
      <c r="C416">
        <f>'Refrig Mass Flow &amp; Cond kW'!G407*$C$6*(($C$19-$C$18)/1000)</f>
        <v>0</v>
      </c>
      <c r="D416">
        <f>'Refrig Mass Flow &amp; Cond kW'!G407*Spring_autumn!$C$6*((Spring_autumn!$C$17-Spring_autumn!$C$16)/1000)</f>
        <v>0</v>
      </c>
      <c r="E416">
        <f>'Refrig Mass Flow &amp; Cond kW'!D407*(($C$13-$C$14)-$C$6*($C$17-$C$18)/1000)-'Refrig Mass Flow &amp; Cond kW'!C407*(1-$C$6/($C$10+273))</f>
        <v>0</v>
      </c>
      <c r="F416" s="13"/>
      <c r="G416" s="13">
        <f>'Refrig Mass Flow &amp; Cond kW'!F407*$C$6*($G$19-$G$18)/1000</f>
        <v>1.6566993137573884</v>
      </c>
      <c r="H416">
        <f>'Refrig Mass Flow &amp; Cond kW'!F407*$C$6*($G$17-$G$16)/1000</f>
        <v>10.330007485780998</v>
      </c>
      <c r="I416">
        <f>'Refrig Mass Flow &amp; Cond kW'!F407*(($G$13-$G$14)-$C$6*($G$17-$G$18)/1000)-'Refrig Mass Flow &amp; Cond kW'!E407*(1-$C$6/($G$10+273))</f>
        <v>4.572165262967502</v>
      </c>
    </row>
    <row r="417" spans="2:9" x14ac:dyDescent="0.2">
      <c r="B417" s="2">
        <v>394</v>
      </c>
      <c r="C417">
        <f>'Refrig Mass Flow &amp; Cond kW'!G408*$C$6*(($C$19-$C$18)/1000)</f>
        <v>0</v>
      </c>
      <c r="D417">
        <f>'Refrig Mass Flow &amp; Cond kW'!G408*Spring_autumn!$C$6*((Spring_autumn!$C$17-Spring_autumn!$C$16)/1000)</f>
        <v>0</v>
      </c>
      <c r="E417">
        <f>'Refrig Mass Flow &amp; Cond kW'!D408*(($C$13-$C$14)-$C$6*($C$17-$C$18)/1000)-'Refrig Mass Flow &amp; Cond kW'!C408*(1-$C$6/($C$10+273))</f>
        <v>0</v>
      </c>
      <c r="F417" s="13"/>
      <c r="G417" s="13">
        <f>'Refrig Mass Flow &amp; Cond kW'!F408*$C$6*($G$19-$G$18)/1000</f>
        <v>1.6784418322356709</v>
      </c>
      <c r="H417">
        <f>'Refrig Mass Flow &amp; Cond kW'!F408*$C$6*($G$17-$G$16)/1000</f>
        <v>10.465578483351461</v>
      </c>
      <c r="I417">
        <f>'Refrig Mass Flow &amp; Cond kW'!F408*(($G$13-$G$14)-$C$6*($G$17-$G$18)/1000)-'Refrig Mass Flow &amp; Cond kW'!E408*(1-$C$6/($G$10+273))</f>
        <v>4.63217035072865</v>
      </c>
    </row>
    <row r="418" spans="2:9" x14ac:dyDescent="0.2">
      <c r="B418" s="2">
        <v>395</v>
      </c>
      <c r="C418">
        <f>'Refrig Mass Flow &amp; Cond kW'!G409*$C$6*(($C$19-$C$18)/1000)</f>
        <v>0</v>
      </c>
      <c r="D418">
        <f>'Refrig Mass Flow &amp; Cond kW'!G409*Spring_autumn!$C$6*((Spring_autumn!$C$17-Spring_autumn!$C$16)/1000)</f>
        <v>0</v>
      </c>
      <c r="E418">
        <f>'Refrig Mass Flow &amp; Cond kW'!D409*(($C$13-$C$14)-$C$6*($C$17-$C$18)/1000)-'Refrig Mass Flow &amp; Cond kW'!C409*(1-$C$6/($C$10+273))</f>
        <v>0</v>
      </c>
      <c r="F418" s="13"/>
      <c r="G418" s="13">
        <f>'Refrig Mass Flow &amp; Cond kW'!F409*$C$6*($G$19-$G$18)/1000</f>
        <v>1.6999324550735688</v>
      </c>
      <c r="H418">
        <f>'Refrig Mass Flow &amp; Cond kW'!F409*$C$6*($G$17-$G$16)/1000</f>
        <v>10.599578837517173</v>
      </c>
      <c r="I418">
        <f>'Refrig Mass Flow &amp; Cond kW'!F409*(($G$13-$G$14)-$C$6*($G$17-$G$18)/1000)-'Refrig Mass Flow &amp; Cond kW'!E409*(1-$C$6/($G$10+273))</f>
        <v>4.6914802559136319</v>
      </c>
    </row>
    <row r="419" spans="2:9" x14ac:dyDescent="0.2">
      <c r="B419" s="2">
        <v>396</v>
      </c>
      <c r="C419">
        <f>'Refrig Mass Flow &amp; Cond kW'!G410*$C$6*(($C$19-$C$18)/1000)</f>
        <v>0</v>
      </c>
      <c r="D419">
        <f>'Refrig Mass Flow &amp; Cond kW'!G410*Spring_autumn!$C$6*((Spring_autumn!$C$17-Spring_autumn!$C$16)/1000)</f>
        <v>0</v>
      </c>
      <c r="E419">
        <f>'Refrig Mass Flow &amp; Cond kW'!D410*(($C$13-$C$14)-$C$6*($C$17-$C$18)/1000)-'Refrig Mass Flow &amp; Cond kW'!C410*(1-$C$6/($C$10+273))</f>
        <v>0</v>
      </c>
      <c r="F419" s="13"/>
      <c r="G419" s="13">
        <f>'Refrig Mass Flow &amp; Cond kW'!F410*$C$6*($G$19-$G$18)/1000</f>
        <v>1.7211413192154057</v>
      </c>
      <c r="H419">
        <f>'Refrig Mass Flow &amp; Cond kW'!F410*$C$6*($G$17-$G$16)/1000</f>
        <v>10.731822343342738</v>
      </c>
      <c r="I419">
        <f>'Refrig Mass Flow &amp; Cond kW'!F410*(($G$13-$G$14)-$C$6*($G$17-$G$18)/1000)-'Refrig Mass Flow &amp; Cond kW'!E410*(1-$C$6/($G$10+273))</f>
        <v>4.7500125623442742</v>
      </c>
    </row>
    <row r="420" spans="2:9" x14ac:dyDescent="0.2">
      <c r="B420" s="2">
        <v>397</v>
      </c>
      <c r="C420">
        <f>'Refrig Mass Flow &amp; Cond kW'!G411*$C$6*(($C$19-$C$18)/1000)</f>
        <v>0</v>
      </c>
      <c r="D420">
        <f>'Refrig Mass Flow &amp; Cond kW'!G411*Spring_autumn!$C$6*((Spring_autumn!$C$17-Spring_autumn!$C$16)/1000)</f>
        <v>0</v>
      </c>
      <c r="E420">
        <f>'Refrig Mass Flow &amp; Cond kW'!D411*(($C$13-$C$14)-$C$6*($C$17-$C$18)/1000)-'Refrig Mass Flow &amp; Cond kW'!C411*(1-$C$6/($C$10+273))</f>
        <v>0</v>
      </c>
      <c r="F420" s="13"/>
      <c r="G420" s="13">
        <f>'Refrig Mass Flow &amp; Cond kW'!F411*$C$6*($G$19-$G$18)/1000</f>
        <v>1.7420385963061535</v>
      </c>
      <c r="H420">
        <f>'Refrig Mass Flow &amp; Cond kW'!F411*$C$6*($G$17-$G$16)/1000</f>
        <v>10.862123012261515</v>
      </c>
      <c r="I420">
        <f>'Refrig Mass Flow &amp; Cond kW'!F411*(($G$13-$G$14)-$C$6*($G$17-$G$18)/1000)-'Refrig Mass Flow &amp; Cond kW'!E411*(1-$C$6/($G$10+273))</f>
        <v>4.8076849496094312</v>
      </c>
    </row>
    <row r="421" spans="2:9" x14ac:dyDescent="0.2">
      <c r="B421" s="2">
        <v>398</v>
      </c>
      <c r="C421">
        <f>'Refrig Mass Flow &amp; Cond kW'!G412*$C$6*(($C$19-$C$18)/1000)</f>
        <v>0</v>
      </c>
      <c r="D421">
        <f>'Refrig Mass Flow &amp; Cond kW'!G412*Spring_autumn!$C$6*((Spring_autumn!$C$17-Spring_autumn!$C$16)/1000)</f>
        <v>0</v>
      </c>
      <c r="E421">
        <f>'Refrig Mass Flow &amp; Cond kW'!D412*(($C$13-$C$14)-$C$6*($C$17-$C$18)/1000)-'Refrig Mass Flow &amp; Cond kW'!C412*(1-$C$6/($C$10+273))</f>
        <v>0</v>
      </c>
      <c r="F421" s="13"/>
      <c r="G421" s="13">
        <f>'Refrig Mass Flow &amp; Cond kW'!F412*$C$6*($G$19-$G$18)/1000</f>
        <v>1.7625944954059669</v>
      </c>
      <c r="H421">
        <f>'Refrig Mass Flow &amp; Cond kW'!F412*$C$6*($G$17-$G$16)/1000</f>
        <v>10.990295089001522</v>
      </c>
      <c r="I421">
        <f>'Refrig Mass Flow &amp; Cond kW'!F412*(($G$13-$G$14)-$C$6*($G$17-$G$18)/1000)-'Refrig Mass Flow &amp; Cond kW'!E412*(1-$C$6/($G$10+273))</f>
        <v>4.8644152005564578</v>
      </c>
    </row>
    <row r="422" spans="2:9" x14ac:dyDescent="0.2">
      <c r="B422" s="2">
        <v>399</v>
      </c>
      <c r="C422">
        <f>'Refrig Mass Flow &amp; Cond kW'!G413*$C$6*(($C$19-$C$18)/1000)</f>
        <v>0</v>
      </c>
      <c r="D422">
        <f>'Refrig Mass Flow &amp; Cond kW'!G413*Spring_autumn!$C$6*((Spring_autumn!$C$17-Spring_autumn!$C$16)/1000)</f>
        <v>0</v>
      </c>
      <c r="E422">
        <f>'Refrig Mass Flow &amp; Cond kW'!D413*(($C$13-$C$14)-$C$6*($C$17-$C$18)/1000)-'Refrig Mass Flow &amp; Cond kW'!C413*(1-$C$6/($C$10+273))</f>
        <v>0</v>
      </c>
      <c r="F422" s="13"/>
      <c r="G422" s="13">
        <f>'Refrig Mass Flow &amp; Cond kW'!F413*$C$6*($G$19-$G$18)/1000</f>
        <v>1.7827792657007808</v>
      </c>
      <c r="H422">
        <f>'Refrig Mass Flow &amp; Cond kW'!F413*$C$6*($G$17-$G$16)/1000</f>
        <v>11.116153068486829</v>
      </c>
      <c r="I422">
        <f>'Refrig Mass Flow &amp; Cond kW'!F413*(($G$13-$G$14)-$C$6*($G$17-$G$18)/1000)-'Refrig Mass Flow &amp; Cond kW'!E413*(1-$C$6/($G$10+273))</f>
        <v>4.920121208772045</v>
      </c>
    </row>
    <row r="423" spans="2:9" x14ac:dyDescent="0.2">
      <c r="B423" s="2">
        <v>400</v>
      </c>
      <c r="C423">
        <f>'Refrig Mass Flow &amp; Cond kW'!G414*$C$6*(($C$19-$C$18)/1000)</f>
        <v>0</v>
      </c>
      <c r="D423">
        <f>'Refrig Mass Flow &amp; Cond kW'!G414*Spring_autumn!$C$6*((Spring_autumn!$C$17-Spring_autumn!$C$16)/1000)</f>
        <v>0</v>
      </c>
      <c r="E423">
        <f>'Refrig Mass Flow &amp; Cond kW'!D414*(($C$13-$C$14)-$C$6*($C$17-$C$18)/1000)-'Refrig Mass Flow &amp; Cond kW'!C414*(1-$C$6/($C$10+273))</f>
        <v>0</v>
      </c>
      <c r="F423" s="13"/>
      <c r="G423" s="13">
        <f>'Refrig Mass Flow &amp; Cond kW'!F414*$C$6*($G$19-$G$18)/1000</f>
        <v>1.8029169623605275</v>
      </c>
      <c r="H423">
        <f>'Refrig Mass Flow &amp; Cond kW'!F414*$C$6*($G$17-$G$16)/1000</f>
        <v>11.241717530012304</v>
      </c>
      <c r="I423">
        <f>'Refrig Mass Flow &amp; Cond kW'!F414*(($G$13-$G$14)-$C$6*($G$17-$G$18)/1000)-'Refrig Mass Flow &amp; Cond kW'!E414*(1-$C$6/($G$10+273))</f>
        <v>4.9756973029849831</v>
      </c>
    </row>
    <row r="424" spans="2:9" x14ac:dyDescent="0.2">
      <c r="B424" s="2">
        <v>401</v>
      </c>
      <c r="C424">
        <f>'Refrig Mass Flow &amp; Cond kW'!G415*$C$6*(($C$19-$C$18)/1000)</f>
        <v>0</v>
      </c>
      <c r="D424">
        <f>'Refrig Mass Flow &amp; Cond kW'!G415*Spring_autumn!$C$6*((Spring_autumn!$C$17-Spring_autumn!$C$16)/1000)</f>
        <v>0</v>
      </c>
      <c r="E424">
        <f>'Refrig Mass Flow &amp; Cond kW'!D415*(($C$13-$C$14)-$C$6*($C$17-$C$18)/1000)-'Refrig Mass Flow &amp; Cond kW'!C415*(1-$C$6/($C$10+273))</f>
        <v>0</v>
      </c>
      <c r="F424" s="13"/>
      <c r="G424" s="13">
        <f>'Refrig Mass Flow &amp; Cond kW'!F415*$C$6*($G$19-$G$18)/1000</f>
        <v>1.8228699474414305</v>
      </c>
      <c r="H424">
        <f>'Refrig Mass Flow &amp; Cond kW'!F415*$C$6*($G$17-$G$16)/1000</f>
        <v>11.366130260516753</v>
      </c>
      <c r="I424">
        <f>'Refrig Mass Flow &amp; Cond kW'!F415*(($G$13-$G$14)-$C$6*($G$17-$G$18)/1000)-'Refrig Mass Flow &amp; Cond kW'!E415*(1-$C$6/($G$10+273))</f>
        <v>5.0307636294582352</v>
      </c>
    </row>
    <row r="425" spans="2:9" x14ac:dyDescent="0.2">
      <c r="B425" s="2">
        <v>402</v>
      </c>
      <c r="C425">
        <f>'Refrig Mass Flow &amp; Cond kW'!G416*$C$6*(($C$19-$C$18)/1000)</f>
        <v>0</v>
      </c>
      <c r="D425">
        <f>'Refrig Mass Flow &amp; Cond kW'!G416*Spring_autumn!$C$6*((Spring_autumn!$C$17-Spring_autumn!$C$16)/1000)</f>
        <v>0</v>
      </c>
      <c r="E425">
        <f>'Refrig Mass Flow &amp; Cond kW'!D416*(($C$13-$C$14)-$C$6*($C$17-$C$18)/1000)-'Refrig Mass Flow &amp; Cond kW'!C416*(1-$C$6/($C$10+273))</f>
        <v>0</v>
      </c>
      <c r="F425" s="13"/>
      <c r="G425" s="13">
        <f>'Refrig Mass Flow &amp; Cond kW'!F416*$C$6*($G$19-$G$18)/1000</f>
        <v>1.8425447402379795</v>
      </c>
      <c r="H425">
        <f>'Refrig Mass Flow &amp; Cond kW'!F416*$C$6*($G$17-$G$16)/1000</f>
        <v>11.488808380306997</v>
      </c>
      <c r="I425">
        <f>'Refrig Mass Flow &amp; Cond kW'!F416*(($G$13-$G$14)-$C$6*($G$17-$G$18)/1000)-'Refrig Mass Flow &amp; Cond kW'!E416*(1-$C$6/($G$10+273))</f>
        <v>5.0850621997742138</v>
      </c>
    </row>
    <row r="426" spans="2:9" x14ac:dyDescent="0.2">
      <c r="B426" s="2">
        <v>403</v>
      </c>
      <c r="C426">
        <f>'Refrig Mass Flow &amp; Cond kW'!G417*$C$6*(($C$19-$C$18)/1000)</f>
        <v>0</v>
      </c>
      <c r="D426">
        <f>'Refrig Mass Flow &amp; Cond kW'!G417*Spring_autumn!$C$6*((Spring_autumn!$C$17-Spring_autumn!$C$16)/1000)</f>
        <v>0</v>
      </c>
      <c r="E426">
        <f>'Refrig Mass Flow &amp; Cond kW'!D417*(($C$13-$C$14)-$C$6*($C$17-$C$18)/1000)-'Refrig Mass Flow &amp; Cond kW'!C417*(1-$C$6/($C$10+273))</f>
        <v>0</v>
      </c>
      <c r="F426" s="13"/>
      <c r="G426" s="13">
        <f>'Refrig Mass Flow &amp; Cond kW'!F417*$C$6*($G$19-$G$18)/1000</f>
        <v>1.7075914807145662</v>
      </c>
      <c r="H426">
        <f>'Refrig Mass Flow &amp; Cond kW'!F417*$C$6*($G$17-$G$16)/1000</f>
        <v>10.64733511504339</v>
      </c>
      <c r="I426">
        <f>'Refrig Mass Flow &amp; Cond kW'!F417*(($G$13-$G$14)-$C$6*($G$17-$G$18)/1000)-'Refrig Mass Flow &amp; Cond kW'!E417*(1-$C$6/($G$10+273))</f>
        <v>4.71261766491304</v>
      </c>
    </row>
    <row r="427" spans="2:9" x14ac:dyDescent="0.2">
      <c r="B427" s="2">
        <v>404</v>
      </c>
      <c r="C427">
        <f>'Refrig Mass Flow &amp; Cond kW'!G418*$C$6*(($C$19-$C$18)/1000)</f>
        <v>0</v>
      </c>
      <c r="D427">
        <f>'Refrig Mass Flow &amp; Cond kW'!G418*Spring_autumn!$C$6*((Spring_autumn!$C$17-Spring_autumn!$C$16)/1000)</f>
        <v>0</v>
      </c>
      <c r="E427">
        <f>'Refrig Mass Flow &amp; Cond kW'!D418*(($C$13-$C$14)-$C$6*($C$17-$C$18)/1000)-'Refrig Mass Flow &amp; Cond kW'!C418*(1-$C$6/($C$10+273))</f>
        <v>0</v>
      </c>
      <c r="F427" s="13"/>
      <c r="G427" s="13">
        <f>'Refrig Mass Flow &amp; Cond kW'!F418*$C$6*($G$19-$G$18)/1000</f>
        <v>1.660435642307776</v>
      </c>
      <c r="H427">
        <f>'Refrig Mass Flow &amp; Cond kW'!F418*$C$6*($G$17-$G$16)/1000</f>
        <v>10.353304593212826</v>
      </c>
      <c r="I427">
        <f>'Refrig Mass Flow &amp; Cond kW'!F418*(($G$13-$G$14)-$C$6*($G$17-$G$18)/1000)-'Refrig Mass Flow &amp; Cond kW'!E418*(1-$C$6/($G$10+273))</f>
        <v>4.5824767971531273</v>
      </c>
    </row>
    <row r="428" spans="2:9" x14ac:dyDescent="0.2">
      <c r="B428" s="2">
        <v>405</v>
      </c>
      <c r="C428">
        <f>'Refrig Mass Flow &amp; Cond kW'!G419*$C$6*(($C$19-$C$18)/1000)</f>
        <v>0</v>
      </c>
      <c r="D428">
        <f>'Refrig Mass Flow &amp; Cond kW'!G419*Spring_autumn!$C$6*((Spring_autumn!$C$17-Spring_autumn!$C$16)/1000)</f>
        <v>0</v>
      </c>
      <c r="E428">
        <f>'Refrig Mass Flow &amp; Cond kW'!D419*(($C$13-$C$14)-$C$6*($C$17-$C$18)/1000)-'Refrig Mass Flow &amp; Cond kW'!C419*(1-$C$6/($C$10+273))</f>
        <v>0</v>
      </c>
      <c r="F428" s="13"/>
      <c r="G428" s="13">
        <f>'Refrig Mass Flow &amp; Cond kW'!F419*$C$6*($G$19-$G$18)/1000</f>
        <v>1.6129502484086322</v>
      </c>
      <c r="H428">
        <f>'Refrig Mass Flow &amp; Cond kW'!F419*$C$6*($G$17-$G$16)/1000</f>
        <v>10.057219195959352</v>
      </c>
      <c r="I428">
        <f>'Refrig Mass Flow &amp; Cond kW'!F419*(($G$13-$G$14)-$C$6*($G$17-$G$18)/1000)-'Refrig Mass Flow &amp; Cond kW'!E419*(1-$C$6/($G$10+273))</f>
        <v>4.4514264208530463</v>
      </c>
    </row>
    <row r="429" spans="2:9" x14ac:dyDescent="0.2">
      <c r="B429" s="2">
        <v>406</v>
      </c>
      <c r="C429">
        <f>'Refrig Mass Flow &amp; Cond kW'!G420*$C$6*(($C$19-$C$18)/1000)</f>
        <v>0</v>
      </c>
      <c r="D429">
        <f>'Refrig Mass Flow &amp; Cond kW'!G420*Spring_autumn!$C$6*((Spring_autumn!$C$17-Spring_autumn!$C$16)/1000)</f>
        <v>0</v>
      </c>
      <c r="E429">
        <f>'Refrig Mass Flow &amp; Cond kW'!D420*(($C$13-$C$14)-$C$6*($C$17-$C$18)/1000)-'Refrig Mass Flow &amp; Cond kW'!C420*(1-$C$6/($C$10+273))</f>
        <v>0</v>
      </c>
      <c r="F429" s="13"/>
      <c r="G429" s="13">
        <f>'Refrig Mass Flow &amp; Cond kW'!F420*$C$6*($G$19-$G$18)/1000</f>
        <v>1.5652201988019059</v>
      </c>
      <c r="H429">
        <f>'Refrig Mass Flow &amp; Cond kW'!F420*$C$6*($G$17-$G$16)/1000</f>
        <v>9.7596082984115391</v>
      </c>
      <c r="I429">
        <f>'Refrig Mass Flow &amp; Cond kW'!F420*(($G$13-$G$14)-$C$6*($G$17-$G$18)/1000)-'Refrig Mass Flow &amp; Cond kW'!E420*(1-$C$6/($G$10+273))</f>
        <v>4.3197008427717449</v>
      </c>
    </row>
    <row r="430" spans="2:9" x14ac:dyDescent="0.2">
      <c r="B430" s="2">
        <v>407</v>
      </c>
      <c r="C430">
        <f>'Refrig Mass Flow &amp; Cond kW'!G421*$C$6*(($C$19-$C$18)/1000)</f>
        <v>0</v>
      </c>
      <c r="D430">
        <f>'Refrig Mass Flow &amp; Cond kW'!G421*Spring_autumn!$C$6*((Spring_autumn!$C$17-Spring_autumn!$C$16)/1000)</f>
        <v>0</v>
      </c>
      <c r="E430">
        <f>'Refrig Mass Flow &amp; Cond kW'!D421*(($C$13-$C$14)-$C$6*($C$17-$C$18)/1000)-'Refrig Mass Flow &amp; Cond kW'!C421*(1-$C$6/($C$10+273))</f>
        <v>0</v>
      </c>
      <c r="F430" s="13"/>
      <c r="G430" s="13">
        <f>'Refrig Mass Flow &amp; Cond kW'!F421*$C$6*($G$19-$G$18)/1000</f>
        <v>1.5174290804972967</v>
      </c>
      <c r="H430">
        <f>'Refrig Mass Flow &amp; Cond kW'!F421*$C$6*($G$17-$G$16)/1000</f>
        <v>9.4616166195710463</v>
      </c>
      <c r="I430">
        <f>'Refrig Mass Flow &amp; Cond kW'!F421*(($G$13-$G$14)-$C$6*($G$17-$G$18)/1000)-'Refrig Mass Flow &amp; Cond kW'!E421*(1-$C$6/($G$10+273))</f>
        <v>4.1878067270585362</v>
      </c>
    </row>
    <row r="431" spans="2:9" x14ac:dyDescent="0.2">
      <c r="B431" s="2">
        <v>408</v>
      </c>
      <c r="C431">
        <f>'Refrig Mass Flow &amp; Cond kW'!G422*$C$6*(($C$19-$C$18)/1000)</f>
        <v>0</v>
      </c>
      <c r="D431">
        <f>'Refrig Mass Flow &amp; Cond kW'!G422*Spring_autumn!$C$6*((Spring_autumn!$C$17-Spring_autumn!$C$16)/1000)</f>
        <v>0</v>
      </c>
      <c r="E431">
        <f>'Refrig Mass Flow &amp; Cond kW'!D422*(($C$13-$C$14)-$C$6*($C$17-$C$18)/1000)-'Refrig Mass Flow &amp; Cond kW'!C422*(1-$C$6/($C$10+273))</f>
        <v>0</v>
      </c>
      <c r="F431" s="13"/>
      <c r="G431" s="13">
        <f>'Refrig Mass Flow &amp; Cond kW'!F422*$C$6*($G$19-$G$18)/1000</f>
        <v>1.4693698335458565</v>
      </c>
      <c r="H431">
        <f>'Refrig Mass Flow &amp; Cond kW'!F422*$C$6*($G$17-$G$16)/1000</f>
        <v>9.1619530797561932</v>
      </c>
      <c r="I431">
        <f>'Refrig Mass Flow &amp; Cond kW'!F422*(($G$13-$G$14)-$C$6*($G$17-$G$18)/1000)-'Refrig Mass Flow &amp; Cond kW'!E422*(1-$C$6/($G$10+273))</f>
        <v>4.0551726288543293</v>
      </c>
    </row>
    <row r="432" spans="2:9" x14ac:dyDescent="0.2">
      <c r="B432" s="2">
        <v>409</v>
      </c>
      <c r="C432">
        <f>'Refrig Mass Flow &amp; Cond kW'!G423*$C$6*(($C$19-$C$18)/1000)</f>
        <v>0</v>
      </c>
      <c r="D432">
        <f>'Refrig Mass Flow &amp; Cond kW'!G423*Spring_autumn!$C$6*((Spring_autumn!$C$17-Spring_autumn!$C$16)/1000)</f>
        <v>0</v>
      </c>
      <c r="E432">
        <f>'Refrig Mass Flow &amp; Cond kW'!D423*(($C$13-$C$14)-$C$6*($C$17-$C$18)/1000)-'Refrig Mass Flow &amp; Cond kW'!C423*(1-$C$6/($C$10+273))</f>
        <v>0</v>
      </c>
      <c r="F432" s="13"/>
      <c r="G432" s="13">
        <f>'Refrig Mass Flow &amp; Cond kW'!F423*$C$6*($G$19-$G$18)/1000</f>
        <v>1.4212859770516928</v>
      </c>
      <c r="H432">
        <f>'Refrig Mass Flow &amp; Cond kW'!F423*$C$6*($G$17-$G$16)/1000</f>
        <v>8.8621360922043593</v>
      </c>
      <c r="I432">
        <f>'Refrig Mass Flow &amp; Cond kW'!F423*(($G$13-$G$14)-$C$6*($G$17-$G$18)/1000)-'Refrig Mass Flow &amp; Cond kW'!E423*(1-$C$6/($G$10+273))</f>
        <v>3.9224706131376053</v>
      </c>
    </row>
    <row r="433" spans="2:9" x14ac:dyDescent="0.2">
      <c r="B433" s="2">
        <v>410</v>
      </c>
      <c r="C433">
        <f>'Refrig Mass Flow &amp; Cond kW'!G424*$C$6*(($C$19-$C$18)/1000)</f>
        <v>0</v>
      </c>
      <c r="D433">
        <f>'Refrig Mass Flow &amp; Cond kW'!G424*Spring_autumn!$C$6*((Spring_autumn!$C$17-Spring_autumn!$C$16)/1000)</f>
        <v>0</v>
      </c>
      <c r="E433">
        <f>'Refrig Mass Flow &amp; Cond kW'!D424*(($C$13-$C$14)-$C$6*($C$17-$C$18)/1000)-'Refrig Mass Flow &amp; Cond kW'!C424*(1-$C$6/($C$10+273))</f>
        <v>0</v>
      </c>
      <c r="F433" s="13"/>
      <c r="G433" s="13">
        <f>'Refrig Mass Flow &amp; Cond kW'!F424*$C$6*($G$19-$G$18)/1000</f>
        <v>1.373084040602718</v>
      </c>
      <c r="H433">
        <f>'Refrig Mass Flow &amp; Cond kW'!F424*$C$6*($G$17-$G$16)/1000</f>
        <v>8.5615828414048813</v>
      </c>
      <c r="I433">
        <f>'Refrig Mass Flow &amp; Cond kW'!F424*(($G$13-$G$14)-$C$6*($G$17-$G$18)/1000)-'Refrig Mass Flow &amp; Cond kW'!E424*(1-$C$6/($G$10+273))</f>
        <v>3.7894427198985241</v>
      </c>
    </row>
    <row r="434" spans="2:9" x14ac:dyDescent="0.2">
      <c r="B434" s="2">
        <v>411</v>
      </c>
      <c r="C434">
        <f>'Refrig Mass Flow &amp; Cond kW'!G425*$C$6*(($C$19-$C$18)/1000)</f>
        <v>0</v>
      </c>
      <c r="D434">
        <f>'Refrig Mass Flow &amp; Cond kW'!G425*Spring_autumn!$C$6*((Spring_autumn!$C$17-Spring_autumn!$C$16)/1000)</f>
        <v>0</v>
      </c>
      <c r="E434">
        <f>'Refrig Mass Flow &amp; Cond kW'!D425*(($C$13-$C$14)-$C$6*($C$17-$C$18)/1000)-'Refrig Mass Flow &amp; Cond kW'!C425*(1-$C$6/($C$10+273))</f>
        <v>0</v>
      </c>
      <c r="F434" s="13"/>
      <c r="G434" s="13">
        <f>'Refrig Mass Flow &amp; Cond kW'!F425*$C$6*($G$19-$G$18)/1000</f>
        <v>1.3247639102140716</v>
      </c>
      <c r="H434">
        <f>'Refrig Mass Flow &amp; Cond kW'!F425*$C$6*($G$17-$G$16)/1000</f>
        <v>8.2602926166286252</v>
      </c>
      <c r="I434">
        <f>'Refrig Mass Flow &amp; Cond kW'!F425*(($G$13-$G$14)-$C$6*($G$17-$G$18)/1000)-'Refrig Mass Flow &amp; Cond kW'!E425*(1-$C$6/($G$10+273))</f>
        <v>3.6560886345612289</v>
      </c>
    </row>
    <row r="435" spans="2:9" x14ac:dyDescent="0.2">
      <c r="B435" s="2">
        <v>412</v>
      </c>
      <c r="C435">
        <f>'Refrig Mass Flow &amp; Cond kW'!G426*$C$6*(($C$19-$C$18)/1000)</f>
        <v>0</v>
      </c>
      <c r="D435">
        <f>'Refrig Mass Flow &amp; Cond kW'!G426*Spring_autumn!$C$6*((Spring_autumn!$C$17-Spring_autumn!$C$16)/1000)</f>
        <v>0</v>
      </c>
      <c r="E435">
        <f>'Refrig Mass Flow &amp; Cond kW'!D426*(($C$13-$C$14)-$C$6*($C$17-$C$18)/1000)-'Refrig Mass Flow &amp; Cond kW'!C426*(1-$C$6/($C$10+273))</f>
        <v>0</v>
      </c>
      <c r="F435" s="13"/>
      <c r="G435" s="13">
        <f>'Refrig Mass Flow &amp; Cond kW'!F426*$C$6*($G$19-$G$18)/1000</f>
        <v>1.2763300332838006</v>
      </c>
      <c r="H435">
        <f>'Refrig Mass Flow &amp; Cond kW'!F426*$C$6*($G$17-$G$16)/1000</f>
        <v>7.9582931487104744</v>
      </c>
      <c r="I435">
        <f>'Refrig Mass Flow &amp; Cond kW'!F426*(($G$13-$G$14)-$C$6*($G$17-$G$18)/1000)-'Refrig Mass Flow &amp; Cond kW'!E426*(1-$C$6/($G$10+273))</f>
        <v>3.5224206310722934</v>
      </c>
    </row>
    <row r="436" spans="2:9" x14ac:dyDescent="0.2">
      <c r="B436" s="2">
        <v>413</v>
      </c>
      <c r="C436">
        <f>'Refrig Mass Flow &amp; Cond kW'!G427*$C$6*(($C$19-$C$18)/1000)</f>
        <v>0</v>
      </c>
      <c r="D436">
        <f>'Refrig Mass Flow &amp; Cond kW'!G427*Spring_autumn!$C$6*((Spring_autumn!$C$17-Spring_autumn!$C$16)/1000)</f>
        <v>0</v>
      </c>
      <c r="E436">
        <f>'Refrig Mass Flow &amp; Cond kW'!D427*(($C$13-$C$14)-$C$6*($C$17-$C$18)/1000)-'Refrig Mass Flow &amp; Cond kW'!C427*(1-$C$6/($C$10+273))</f>
        <v>0</v>
      </c>
      <c r="F436" s="13"/>
      <c r="G436" s="13">
        <f>'Refrig Mass Flow &amp; Cond kW'!F427*$C$6*($G$19-$G$18)/1000</f>
        <v>1.2277868669290408</v>
      </c>
      <c r="H436">
        <f>'Refrig Mass Flow &amp; Cond kW'!F427*$C$6*($G$17-$G$16)/1000</f>
        <v>7.6556122290866897</v>
      </c>
      <c r="I436">
        <f>'Refrig Mass Flow &amp; Cond kW'!F427*(($G$13-$G$14)-$C$6*($G$17-$G$18)/1000)-'Refrig Mass Flow &amp; Cond kW'!E427*(1-$C$6/($G$10+273))</f>
        <v>3.3884510102010879</v>
      </c>
    </row>
    <row r="437" spans="2:9" x14ac:dyDescent="0.2">
      <c r="B437" s="2">
        <v>414</v>
      </c>
      <c r="C437">
        <f>'Refrig Mass Flow &amp; Cond kW'!G428*$C$6*(($C$19-$C$18)/1000)</f>
        <v>0</v>
      </c>
      <c r="D437">
        <f>'Refrig Mass Flow &amp; Cond kW'!G428*Spring_autumn!$C$6*((Spring_autumn!$C$17-Spring_autumn!$C$16)/1000)</f>
        <v>0</v>
      </c>
      <c r="E437">
        <f>'Refrig Mass Flow &amp; Cond kW'!D428*(($C$13-$C$14)-$C$6*($C$17-$C$18)/1000)-'Refrig Mass Flow &amp; Cond kW'!C428*(1-$C$6/($C$10+273))</f>
        <v>0</v>
      </c>
      <c r="F437" s="13"/>
      <c r="G437" s="13">
        <f>'Refrig Mass Flow &amp; Cond kW'!F428*$C$6*($G$19-$G$18)/1000</f>
        <v>1.179138877575961</v>
      </c>
      <c r="H437">
        <f>'Refrig Mass Flow &amp; Cond kW'!F428*$C$6*($G$17-$G$16)/1000</f>
        <v>7.3522777072380849</v>
      </c>
      <c r="I437">
        <f>'Refrig Mass Flow &amp; Cond kW'!F428*(($G$13-$G$14)-$C$6*($G$17-$G$18)/1000)-'Refrig Mass Flow &amp; Cond kW'!E428*(1-$C$6/($G$10+273))</f>
        <v>3.2541920984080335</v>
      </c>
    </row>
    <row r="438" spans="2:9" x14ac:dyDescent="0.2">
      <c r="B438" s="2">
        <v>415</v>
      </c>
      <c r="C438">
        <f>'Refrig Mass Flow &amp; Cond kW'!G429*$C$6*(($C$19-$C$18)/1000)</f>
        <v>0</v>
      </c>
      <c r="D438">
        <f>'Refrig Mass Flow &amp; Cond kW'!G429*Spring_autumn!$C$6*((Spring_autumn!$C$17-Spring_autumn!$C$16)/1000)</f>
        <v>0</v>
      </c>
      <c r="E438">
        <f>'Refrig Mass Flow &amp; Cond kW'!D429*(($C$13-$C$14)-$C$6*($C$17-$C$18)/1000)-'Refrig Mass Flow &amp; Cond kW'!C429*(1-$C$6/($C$10+273))</f>
        <v>0</v>
      </c>
      <c r="F438" s="13"/>
      <c r="G438" s="13">
        <f>'Refrig Mass Flow &amp; Cond kW'!F429*$C$6*($G$19-$G$18)/1000</f>
        <v>1.1307025637291079</v>
      </c>
      <c r="H438">
        <f>'Refrig Mass Flow &amp; Cond kW'!F429*$C$6*($G$17-$G$16)/1000</f>
        <v>7.0502630444283056</v>
      </c>
      <c r="I438">
        <f>'Refrig Mass Flow &amp; Cond kW'!F429*(($G$13-$G$14)-$C$6*($G$17-$G$18)/1000)-'Refrig Mass Flow &amp; Cond kW'!E429*(1-$C$6/($G$10+273))</f>
        <v>3.1205173695071693</v>
      </c>
    </row>
    <row r="439" spans="2:9" x14ac:dyDescent="0.2">
      <c r="B439" s="2">
        <v>416</v>
      </c>
      <c r="C439">
        <f>'Refrig Mass Flow &amp; Cond kW'!G430*$C$6*(($C$19-$C$18)/1000)</f>
        <v>0</v>
      </c>
      <c r="D439">
        <f>'Refrig Mass Flow &amp; Cond kW'!G430*Spring_autumn!$C$6*((Spring_autumn!$C$17-Spring_autumn!$C$16)/1000)</f>
        <v>0</v>
      </c>
      <c r="E439">
        <f>'Refrig Mass Flow &amp; Cond kW'!D430*(($C$13-$C$14)-$C$6*($C$17-$C$18)/1000)-'Refrig Mass Flow &amp; Cond kW'!C430*(1-$C$6/($C$10+273))</f>
        <v>0</v>
      </c>
      <c r="F439" s="13"/>
      <c r="G439" s="13">
        <f>'Refrig Mass Flow &amp; Cond kW'!F430*$C$6*($G$19-$G$18)/1000</f>
        <v>1.0823459053003366</v>
      </c>
      <c r="H439">
        <f>'Refrig Mass Flow &amp; Cond kW'!F430*$C$6*($G$17-$G$16)/1000</f>
        <v>6.7487450565783318</v>
      </c>
      <c r="I439">
        <f>'Refrig Mass Flow &amp; Cond kW'!F430*(($G$13-$G$14)-$C$6*($G$17-$G$18)/1000)-'Refrig Mass Flow &amp; Cond kW'!E430*(1-$C$6/($G$10+273))</f>
        <v>2.9870624739414922</v>
      </c>
    </row>
    <row r="440" spans="2:9" x14ac:dyDescent="0.2">
      <c r="B440" s="2">
        <v>417</v>
      </c>
      <c r="C440">
        <f>'Refrig Mass Flow &amp; Cond kW'!G431*$C$6*(($C$19-$C$18)/1000)</f>
        <v>0</v>
      </c>
      <c r="D440">
        <f>'Refrig Mass Flow &amp; Cond kW'!G431*Spring_autumn!$C$6*((Spring_autumn!$C$17-Spring_autumn!$C$16)/1000)</f>
        <v>0</v>
      </c>
      <c r="E440">
        <f>'Refrig Mass Flow &amp; Cond kW'!D431*(($C$13-$C$14)-$C$6*($C$17-$C$18)/1000)-'Refrig Mass Flow &amp; Cond kW'!C431*(1-$C$6/($C$10+273))</f>
        <v>0</v>
      </c>
      <c r="F440" s="13"/>
      <c r="G440" s="13">
        <f>'Refrig Mass Flow &amp; Cond kW'!F431*$C$6*($G$19-$G$18)/1000</f>
        <v>1.0340478950840233</v>
      </c>
      <c r="H440">
        <f>'Refrig Mass Flow &amp; Cond kW'!F431*$C$6*($G$17-$G$16)/1000</f>
        <v>6.4475927575825063</v>
      </c>
      <c r="I440">
        <f>'Refrig Mass Flow &amp; Cond kW'!F431*(($G$13-$G$14)-$C$6*($G$17-$G$18)/1000)-'Refrig Mass Flow &amp; Cond kW'!E431*(1-$C$6/($G$10+273))</f>
        <v>2.8537694359425529</v>
      </c>
    </row>
    <row r="441" spans="2:9" x14ac:dyDescent="0.2">
      <c r="B441" s="2">
        <v>418</v>
      </c>
      <c r="C441">
        <f>'Refrig Mass Flow &amp; Cond kW'!G432*$C$6*(($C$19-$C$18)/1000)</f>
        <v>0</v>
      </c>
      <c r="D441">
        <f>'Refrig Mass Flow &amp; Cond kW'!G432*Spring_autumn!$C$6*((Spring_autumn!$C$17-Spring_autumn!$C$16)/1000)</f>
        <v>0</v>
      </c>
      <c r="E441">
        <f>'Refrig Mass Flow &amp; Cond kW'!D432*(($C$13-$C$14)-$C$6*($C$17-$C$18)/1000)-'Refrig Mass Flow &amp; Cond kW'!C432*(1-$C$6/($C$10+273))</f>
        <v>0</v>
      </c>
      <c r="F441" s="13"/>
      <c r="G441" s="13">
        <f>'Refrig Mass Flow &amp; Cond kW'!F432*$C$6*($G$19-$G$18)/1000</f>
        <v>0.98576940726198981</v>
      </c>
      <c r="H441">
        <f>'Refrig Mass Flow &amp; Cond kW'!F432*$C$6*($G$17-$G$16)/1000</f>
        <v>6.1465621864568956</v>
      </c>
      <c r="I441">
        <f>'Refrig Mass Flow &amp; Cond kW'!F432*(($G$13-$G$14)-$C$6*($G$17-$G$18)/1000)-'Refrig Mass Flow &amp; Cond kW'!E432*(1-$C$6/($G$10+273))</f>
        <v>2.7205302759239061</v>
      </c>
    </row>
    <row r="442" spans="2:9" x14ac:dyDescent="0.2">
      <c r="B442" s="2">
        <v>419</v>
      </c>
      <c r="C442">
        <f>'Refrig Mass Flow &amp; Cond kW'!G433*$C$6*(($C$19-$C$18)/1000)</f>
        <v>0</v>
      </c>
      <c r="D442">
        <f>'Refrig Mass Flow &amp; Cond kW'!G433*Spring_autumn!$C$6*((Spring_autumn!$C$17-Spring_autumn!$C$16)/1000)</f>
        <v>0</v>
      </c>
      <c r="E442">
        <f>'Refrig Mass Flow &amp; Cond kW'!D433*(($C$13-$C$14)-$C$6*($C$17-$C$18)/1000)-'Refrig Mass Flow &amp; Cond kW'!C433*(1-$C$6/($C$10+273))</f>
        <v>0</v>
      </c>
      <c r="F442" s="13"/>
      <c r="G442" s="13">
        <f>'Refrig Mass Flow &amp; Cond kW'!F433*$C$6*($G$19-$G$18)/1000</f>
        <v>0.93748364061597911</v>
      </c>
      <c r="H442">
        <f>'Refrig Mass Flow &amp; Cond kW'!F433*$C$6*($G$17-$G$16)/1000</f>
        <v>5.8454862297229573</v>
      </c>
      <c r="I442">
        <f>'Refrig Mass Flow &amp; Cond kW'!F433*(($G$13-$G$14)-$C$6*($G$17-$G$18)/1000)-'Refrig Mass Flow &amp; Cond kW'!E433*(1-$C$6/($G$10+273))</f>
        <v>2.5872710277783071</v>
      </c>
    </row>
    <row r="443" spans="2:9" x14ac:dyDescent="0.2">
      <c r="B443" s="2">
        <v>420</v>
      </c>
      <c r="C443">
        <f>'Refrig Mass Flow &amp; Cond kW'!G434*$C$6*(($C$19-$C$18)/1000)</f>
        <v>0</v>
      </c>
      <c r="D443">
        <f>'Refrig Mass Flow &amp; Cond kW'!G434*Spring_autumn!$C$6*((Spring_autumn!$C$17-Spring_autumn!$C$16)/1000)</f>
        <v>0</v>
      </c>
      <c r="E443">
        <f>'Refrig Mass Flow &amp; Cond kW'!D434*(($C$13-$C$14)-$C$6*($C$17-$C$18)/1000)-'Refrig Mass Flow &amp; Cond kW'!C434*(1-$C$6/($C$10+273))</f>
        <v>0</v>
      </c>
      <c r="F443" s="13"/>
      <c r="G443" s="13">
        <f>'Refrig Mass Flow &amp; Cond kW'!F434*$C$6*($G$19-$G$18)/1000</f>
        <v>0.88917004126937171</v>
      </c>
      <c r="H443">
        <f>'Refrig Mass Flow &amp; Cond kW'!F434*$C$6*($G$17-$G$16)/1000</f>
        <v>5.5442367279147104</v>
      </c>
      <c r="I443">
        <f>'Refrig Mass Flow &amp; Cond kW'!F434*(($G$13-$G$14)-$C$6*($G$17-$G$18)/1000)-'Refrig Mass Flow &amp; Cond kW'!E434*(1-$C$6/($G$10+273))</f>
        <v>2.4539349668364494</v>
      </c>
    </row>
    <row r="444" spans="2:9" x14ac:dyDescent="0.2">
      <c r="B444" s="2">
        <v>421</v>
      </c>
      <c r="C444">
        <f>'Refrig Mass Flow &amp; Cond kW'!G435*$C$6*(($C$19-$C$18)/1000)</f>
        <v>0</v>
      </c>
      <c r="D444">
        <f>'Refrig Mass Flow &amp; Cond kW'!G435*Spring_autumn!$C$6*((Spring_autumn!$C$17-Spring_autumn!$C$16)/1000)</f>
        <v>0</v>
      </c>
      <c r="E444">
        <f>'Refrig Mass Flow &amp; Cond kW'!D435*(($C$13-$C$14)-$C$6*($C$17-$C$18)/1000)-'Refrig Mass Flow &amp; Cond kW'!C435*(1-$C$6/($C$10+273))</f>
        <v>0</v>
      </c>
      <c r="F444" s="13"/>
      <c r="G444" s="13">
        <f>'Refrig Mass Flow &amp; Cond kW'!F435*$C$6*($G$19-$G$18)/1000</f>
        <v>0.84080808437754073</v>
      </c>
      <c r="H444">
        <f>'Refrig Mass Flow &amp; Cond kW'!F435*$C$6*($G$17-$G$16)/1000</f>
        <v>5.2426857025891858</v>
      </c>
      <c r="I444">
        <f>'Refrig Mass Flow &amp; Cond kW'!F435*(($G$13-$G$14)-$C$6*($G$17-$G$18)/1000)-'Refrig Mass Flow &amp; Cond kW'!E435*(1-$C$6/($G$10+273))</f>
        <v>2.3204654485516407</v>
      </c>
    </row>
    <row r="445" spans="2:9" x14ac:dyDescent="0.2">
      <c r="B445" s="2">
        <v>422</v>
      </c>
      <c r="C445">
        <f>'Refrig Mass Flow &amp; Cond kW'!G436*$C$6*(($C$19-$C$18)/1000)</f>
        <v>0</v>
      </c>
      <c r="D445">
        <f>'Refrig Mass Flow &amp; Cond kW'!G436*Spring_autumn!$C$6*((Spring_autumn!$C$17-Spring_autumn!$C$16)/1000)</f>
        <v>0</v>
      </c>
      <c r="E445">
        <f>'Refrig Mass Flow &amp; Cond kW'!D436*(($C$13-$C$14)-$C$6*($C$17-$C$18)/1000)-'Refrig Mass Flow &amp; Cond kW'!C436*(1-$C$6/($C$10+273))</f>
        <v>0</v>
      </c>
      <c r="F445" s="13"/>
      <c r="G445" s="13">
        <f>'Refrig Mass Flow &amp; Cond kW'!F436*$C$6*($G$19-$G$18)/1000</f>
        <v>0.79237727591546081</v>
      </c>
      <c r="H445">
        <f>'Refrig Mass Flow &amp; Cond kW'!F436*$C$6*($G$17-$G$16)/1000</f>
        <v>4.9407053674726988</v>
      </c>
      <c r="I445">
        <f>'Refrig Mass Flow &amp; Cond kW'!F436*(($G$13-$G$14)-$C$6*($G$17-$G$18)/1000)-'Refrig Mass Flow &amp; Cond kW'!E436*(1-$C$6/($G$10+273))</f>
        <v>2.1868059134332647</v>
      </c>
    </row>
    <row r="446" spans="2:9" x14ac:dyDescent="0.2">
      <c r="B446" s="2">
        <v>423</v>
      </c>
      <c r="C446">
        <f>'Refrig Mass Flow &amp; Cond kW'!G437*$C$6*(($C$19-$C$18)/1000)</f>
        <v>0</v>
      </c>
      <c r="D446">
        <f>'Refrig Mass Flow &amp; Cond kW'!G437*Spring_autumn!$C$6*((Spring_autumn!$C$17-Spring_autumn!$C$16)/1000)</f>
        <v>0</v>
      </c>
      <c r="E446">
        <f>'Refrig Mass Flow &amp; Cond kW'!D437*(($C$13-$C$14)-$C$6*($C$17-$C$18)/1000)-'Refrig Mass Flow &amp; Cond kW'!C437*(1-$C$6/($C$10+273))</f>
        <v>0</v>
      </c>
      <c r="F446" s="13"/>
      <c r="G446" s="13">
        <f>'Refrig Mass Flow &amp; Cond kW'!F437*$C$6*($G$19-$G$18)/1000</f>
        <v>0.74390433065911321</v>
      </c>
      <c r="H446">
        <f>'Refrig Mass Flow &amp; Cond kW'!F437*$C$6*($G$17-$G$16)/1000</f>
        <v>4.6384622970507774</v>
      </c>
      <c r="I446">
        <f>'Refrig Mass Flow &amp; Cond kW'!F437*(($G$13-$G$14)-$C$6*($G$17-$G$18)/1000)-'Refrig Mass Flow &amp; Cond kW'!E437*(1-$C$6/($G$10+273))</f>
        <v>2.0530300890248228</v>
      </c>
    </row>
    <row r="447" spans="2:9" x14ac:dyDescent="0.2">
      <c r="B447" s="2">
        <v>424</v>
      </c>
      <c r="C447">
        <f>'Refrig Mass Flow &amp; Cond kW'!G438*$C$6*(($C$19-$C$18)/1000)</f>
        <v>0</v>
      </c>
      <c r="D447">
        <f>'Refrig Mass Flow &amp; Cond kW'!G438*Spring_autumn!$C$6*((Spring_autumn!$C$17-Spring_autumn!$C$16)/1000)</f>
        <v>0</v>
      </c>
      <c r="E447">
        <f>'Refrig Mass Flow &amp; Cond kW'!D438*(($C$13-$C$14)-$C$6*($C$17-$C$18)/1000)-'Refrig Mass Flow &amp; Cond kW'!C438*(1-$C$6/($C$10+273))</f>
        <v>0</v>
      </c>
      <c r="F447" s="13"/>
      <c r="G447" s="13">
        <f>'Refrig Mass Flow &amp; Cond kW'!F438*$C$6*($G$19-$G$18)/1000</f>
        <v>0.69537895482375345</v>
      </c>
      <c r="H447">
        <f>'Refrig Mass Flow &amp; Cond kW'!F438*$C$6*($G$17-$G$16)/1000</f>
        <v>4.3358923065479562</v>
      </c>
      <c r="I447">
        <f>'Refrig Mass Flow &amp; Cond kW'!F438*(($G$13-$G$14)-$C$6*($G$17-$G$18)/1000)-'Refrig Mass Flow &amp; Cond kW'!E438*(1-$C$6/($G$10+273))</f>
        <v>1.9191095664988076</v>
      </c>
    </row>
    <row r="448" spans="2:9" x14ac:dyDescent="0.2">
      <c r="B448" s="2">
        <v>425</v>
      </c>
      <c r="C448">
        <f>'Refrig Mass Flow &amp; Cond kW'!G439*$C$6*(($C$19-$C$18)/1000)</f>
        <v>0</v>
      </c>
      <c r="D448">
        <f>'Refrig Mass Flow &amp; Cond kW'!G439*Spring_autumn!$C$6*((Spring_autumn!$C$17-Spring_autumn!$C$16)/1000)</f>
        <v>0</v>
      </c>
      <c r="E448">
        <f>'Refrig Mass Flow &amp; Cond kW'!D439*(($C$13-$C$14)-$C$6*($C$17-$C$18)/1000)-'Refrig Mass Flow &amp; Cond kW'!C439*(1-$C$6/($C$10+273))</f>
        <v>0</v>
      </c>
      <c r="F448" s="13"/>
      <c r="G448" s="13">
        <f>'Refrig Mass Flow &amp; Cond kW'!F439*$C$6*($G$19-$G$18)/1000</f>
        <v>0.64671547054852829</v>
      </c>
      <c r="H448">
        <f>'Refrig Mass Flow &amp; Cond kW'!F439*$C$6*($G$17-$G$16)/1000</f>
        <v>4.0324611693024455</v>
      </c>
      <c r="I448">
        <f>'Refrig Mass Flow &amp; Cond kW'!F439*(($G$13-$G$14)-$C$6*($G$17-$G$18)/1000)-'Refrig Mass Flow &amp; Cond kW'!E439*(1-$C$6/($G$10+273))</f>
        <v>1.7848078917588559</v>
      </c>
    </row>
    <row r="449" spans="2:9" x14ac:dyDescent="0.2">
      <c r="B449" s="2">
        <v>426</v>
      </c>
      <c r="C449">
        <f>'Refrig Mass Flow &amp; Cond kW'!G440*$C$6*(($C$19-$C$18)/1000)</f>
        <v>0</v>
      </c>
      <c r="D449">
        <f>'Refrig Mass Flow &amp; Cond kW'!G440*Spring_autumn!$C$6*((Spring_autumn!$C$17-Spring_autumn!$C$16)/1000)</f>
        <v>0</v>
      </c>
      <c r="E449">
        <f>'Refrig Mass Flow &amp; Cond kW'!D440*(($C$13-$C$14)-$C$6*($C$17-$C$18)/1000)-'Refrig Mass Flow &amp; Cond kW'!C440*(1-$C$6/($C$10+273))</f>
        <v>0</v>
      </c>
      <c r="F449" s="13"/>
      <c r="G449" s="13">
        <f>'Refrig Mass Flow &amp; Cond kW'!F440*$C$6*($G$19-$G$18)/1000</f>
        <v>0.59787395534835786</v>
      </c>
      <c r="H449">
        <f>'Refrig Mass Flow &amp; Cond kW'!F440*$C$6*($G$17-$G$16)/1000</f>
        <v>3.7279199568778645</v>
      </c>
      <c r="I449">
        <f>'Refrig Mass Flow &amp; Cond kW'!F440*(($G$13-$G$14)-$C$6*($G$17-$G$18)/1000)-'Refrig Mass Flow &amp; Cond kW'!E440*(1-$C$6/($G$10+273))</f>
        <v>1.6500148865740769</v>
      </c>
    </row>
    <row r="450" spans="2:9" x14ac:dyDescent="0.2">
      <c r="B450" s="2">
        <v>427</v>
      </c>
      <c r="C450">
        <f>'Refrig Mass Flow &amp; Cond kW'!G441*$C$6*(($C$19-$C$18)/1000)</f>
        <v>0</v>
      </c>
      <c r="D450">
        <f>'Refrig Mass Flow &amp; Cond kW'!G441*Spring_autumn!$C$6*((Spring_autumn!$C$17-Spring_autumn!$C$16)/1000)</f>
        <v>0</v>
      </c>
      <c r="E450">
        <f>'Refrig Mass Flow &amp; Cond kW'!D441*(($C$13-$C$14)-$C$6*($C$17-$C$18)/1000)-'Refrig Mass Flow &amp; Cond kW'!C441*(1-$C$6/($C$10+273))</f>
        <v>0</v>
      </c>
      <c r="F450" s="13"/>
      <c r="G450" s="13">
        <f>'Refrig Mass Flow &amp; Cond kW'!F441*$C$6*($G$19-$G$18)/1000</f>
        <v>0.54891733199447368</v>
      </c>
      <c r="H450">
        <f>'Refrig Mass Flow &amp; Cond kW'!F441*$C$6*($G$17-$G$16)/1000</f>
        <v>3.4226610112595384</v>
      </c>
      <c r="I450">
        <f>'Refrig Mass Flow &amp; Cond kW'!F441*(($G$13-$G$14)-$C$6*($G$17-$G$18)/1000)-'Refrig Mass Flow &amp; Cond kW'!E441*(1-$C$6/($G$10+273))</f>
        <v>1.5149042054552737</v>
      </c>
    </row>
    <row r="451" spans="2:9" x14ac:dyDescent="0.2">
      <c r="B451" s="2">
        <v>428</v>
      </c>
      <c r="C451">
        <f>'Refrig Mass Flow &amp; Cond kW'!G442*$C$6*(($C$19-$C$18)/1000)</f>
        <v>0</v>
      </c>
      <c r="D451">
        <f>'Refrig Mass Flow &amp; Cond kW'!G442*Spring_autumn!$C$6*((Spring_autumn!$C$17-Spring_autumn!$C$16)/1000)</f>
        <v>0</v>
      </c>
      <c r="E451">
        <f>'Refrig Mass Flow &amp; Cond kW'!D442*(($C$13-$C$14)-$C$6*($C$17-$C$18)/1000)-'Refrig Mass Flow &amp; Cond kW'!C442*(1-$C$6/($C$10+273))</f>
        <v>0</v>
      </c>
      <c r="F451" s="13"/>
      <c r="G451" s="13">
        <f>'Refrig Mass Flow &amp; Cond kW'!F442*$C$6*($G$19-$G$18)/1000</f>
        <v>0.49997429103402219</v>
      </c>
      <c r="H451">
        <f>'Refrig Mass Flow &amp; Cond kW'!F442*$C$6*($G$17-$G$16)/1000</f>
        <v>3.1174867558590873</v>
      </c>
      <c r="I451">
        <f>'Refrig Mass Flow &amp; Cond kW'!F442*(($G$13-$G$14)-$C$6*($G$17-$G$18)/1000)-'Refrig Mass Flow &amp; Cond kW'!E442*(1-$C$6/($G$10+273))</f>
        <v>1.3798310090791333</v>
      </c>
    </row>
    <row r="452" spans="2:9" x14ac:dyDescent="0.2">
      <c r="B452" s="2">
        <v>429</v>
      </c>
      <c r="C452">
        <f>'Refrig Mass Flow &amp; Cond kW'!G443*$C$6*(($C$19-$C$18)/1000)</f>
        <v>0</v>
      </c>
      <c r="D452">
        <f>'Refrig Mass Flow &amp; Cond kW'!G443*Spring_autumn!$C$6*((Spring_autumn!$C$17-Spring_autumn!$C$16)/1000)</f>
        <v>0</v>
      </c>
      <c r="E452">
        <f>'Refrig Mass Flow &amp; Cond kW'!D443*(($C$13-$C$14)-$C$6*($C$17-$C$18)/1000)-'Refrig Mass Flow &amp; Cond kW'!C443*(1-$C$6/($C$10+273))</f>
        <v>0</v>
      </c>
      <c r="F452" s="13"/>
      <c r="G452" s="13">
        <f>'Refrig Mass Flow &amp; Cond kW'!F443*$C$6*($G$19-$G$18)/1000</f>
        <v>0.45110363933672393</v>
      </c>
      <c r="H452">
        <f>'Refrig Mass Flow &amp; Cond kW'!F443*$C$6*($G$17-$G$16)/1000</f>
        <v>2.8127638688053556</v>
      </c>
      <c r="I452">
        <f>'Refrig Mass Flow &amp; Cond kW'!F443*(($G$13-$G$14)-$C$6*($G$17-$G$18)/1000)-'Refrig Mass Flow &amp; Cond kW'!E443*(1-$C$6/($G$10+273))</f>
        <v>1.2449575928753198</v>
      </c>
    </row>
    <row r="453" spans="2:9" x14ac:dyDescent="0.2">
      <c r="B453" s="2">
        <v>430</v>
      </c>
      <c r="C453">
        <f>'Refrig Mass Flow &amp; Cond kW'!G444*$C$6*(($C$19-$C$18)/1000)</f>
        <v>0</v>
      </c>
      <c r="D453">
        <f>'Refrig Mass Flow &amp; Cond kW'!G444*Spring_autumn!$C$6*((Spring_autumn!$C$17-Spring_autumn!$C$16)/1000)</f>
        <v>0</v>
      </c>
      <c r="E453">
        <f>'Refrig Mass Flow &amp; Cond kW'!D444*(($C$13-$C$14)-$C$6*($C$17-$C$18)/1000)-'Refrig Mass Flow &amp; Cond kW'!C444*(1-$C$6/($C$10+273))</f>
        <v>0</v>
      </c>
      <c r="F453" s="13"/>
      <c r="G453" s="13">
        <f>'Refrig Mass Flow &amp; Cond kW'!F444*$C$6*($G$19-$G$18)/1000</f>
        <v>0.4023642874832184</v>
      </c>
      <c r="H453">
        <f>'Refrig Mass Flow &amp; Cond kW'!F444*$C$6*($G$17-$G$16)/1000</f>
        <v>2.5088596748952732</v>
      </c>
      <c r="I453">
        <f>'Refrig Mass Flow &amp; Cond kW'!F444*(($G$13-$G$14)-$C$6*($G$17-$G$18)/1000)-'Refrig Mass Flow &amp; Cond kW'!E444*(1-$C$6/($G$10+273))</f>
        <v>1.1104465384953066</v>
      </c>
    </row>
    <row r="454" spans="2:9" x14ac:dyDescent="0.2">
      <c r="B454" s="2">
        <v>431</v>
      </c>
      <c r="C454">
        <f>'Refrig Mass Flow &amp; Cond kW'!G445*$C$6*(($C$19-$C$18)/1000)</f>
        <v>0</v>
      </c>
      <c r="D454">
        <f>'Refrig Mass Flow &amp; Cond kW'!G445*Spring_autumn!$C$6*((Spring_autumn!$C$17-Spring_autumn!$C$16)/1000)</f>
        <v>0</v>
      </c>
      <c r="E454">
        <f>'Refrig Mass Flow &amp; Cond kW'!D445*(($C$13-$C$14)-$C$6*($C$17-$C$18)/1000)-'Refrig Mass Flow &amp; Cond kW'!C445*(1-$C$6/($C$10+273))</f>
        <v>0</v>
      </c>
      <c r="F454" s="13"/>
      <c r="G454" s="13">
        <f>'Refrig Mass Flow &amp; Cond kW'!F445*$C$6*($G$19-$G$18)/1000</f>
        <v>0.3537824758718261</v>
      </c>
      <c r="H454">
        <f>'Refrig Mass Flow &amp; Cond kW'!F445*$C$6*($G$17-$G$16)/1000</f>
        <v>2.2059377907301316</v>
      </c>
      <c r="I454">
        <f>'Refrig Mass Flow &amp; Cond kW'!F445*(($G$13-$G$14)-$C$6*($G$17-$G$18)/1000)-'Refrig Mass Flow &amp; Cond kW'!E445*(1-$C$6/($G$10+273))</f>
        <v>0.97637026429328344</v>
      </c>
    </row>
    <row r="455" spans="2:9" x14ac:dyDescent="0.2">
      <c r="B455" s="2">
        <v>432</v>
      </c>
      <c r="C455">
        <f>'Refrig Mass Flow &amp; Cond kW'!G446*$C$6*(($C$19-$C$18)/1000)</f>
        <v>0</v>
      </c>
      <c r="D455">
        <f>'Refrig Mass Flow &amp; Cond kW'!G446*Spring_autumn!$C$6*((Spring_autumn!$C$17-Spring_autumn!$C$16)/1000)</f>
        <v>0</v>
      </c>
      <c r="E455">
        <f>'Refrig Mass Flow &amp; Cond kW'!D446*(($C$13-$C$14)-$C$6*($C$17-$C$18)/1000)-'Refrig Mass Flow &amp; Cond kW'!C446*(1-$C$6/($C$10+273))</f>
        <v>0</v>
      </c>
      <c r="F455" s="13"/>
      <c r="G455" s="13">
        <f>'Refrig Mass Flow &amp; Cond kW'!F446*$C$6*($G$19-$G$18)/1000</f>
        <v>0.30500767805244783</v>
      </c>
      <c r="H455">
        <f>'Refrig Mass Flow &amp; Cond kW'!F446*$C$6*($G$17-$G$16)/1000</f>
        <v>1.9018125807975488</v>
      </c>
      <c r="I455">
        <f>'Refrig Mass Flow &amp; Cond kW'!F446*(($G$13-$G$14)-$C$6*($G$17-$G$18)/1000)-'Refrig Mass Flow &amp; Cond kW'!E446*(1-$C$6/($G$10+273))</f>
        <v>0.8417613859976516</v>
      </c>
    </row>
    <row r="456" spans="2:9" x14ac:dyDescent="0.2">
      <c r="B456" s="2">
        <v>433</v>
      </c>
      <c r="C456">
        <f>'Refrig Mass Flow &amp; Cond kW'!G447*$C$6*(($C$19-$C$18)/1000)</f>
        <v>0</v>
      </c>
      <c r="D456">
        <f>'Refrig Mass Flow &amp; Cond kW'!G447*Spring_autumn!$C$6*((Spring_autumn!$C$17-Spring_autumn!$C$16)/1000)</f>
        <v>0</v>
      </c>
      <c r="E456">
        <f>'Refrig Mass Flow &amp; Cond kW'!D447*(($C$13-$C$14)-$C$6*($C$17-$C$18)/1000)-'Refrig Mass Flow &amp; Cond kW'!C447*(1-$C$6/($C$10+273))</f>
        <v>0</v>
      </c>
      <c r="F456" s="13"/>
      <c r="G456" s="13">
        <f>'Refrig Mass Flow &amp; Cond kW'!F447*$C$6*($G$19-$G$18)/1000</f>
        <v>0.25621266853545493</v>
      </c>
      <c r="H456">
        <f>'Refrig Mass Flow &amp; Cond kW'!F447*$C$6*($G$17-$G$16)/1000</f>
        <v>1.5975613449857216</v>
      </c>
      <c r="I456">
        <f>'Refrig Mass Flow &amp; Cond kW'!F447*(($G$13-$G$14)-$C$6*($G$17-$G$18)/1000)-'Refrig Mass Flow &amp; Cond kW'!E447*(1-$C$6/($G$10+273))</f>
        <v>0.70709672737968177</v>
      </c>
    </row>
    <row r="457" spans="2:9" x14ac:dyDescent="0.2">
      <c r="B457" s="2">
        <v>434</v>
      </c>
      <c r="C457">
        <f>'Refrig Mass Flow &amp; Cond kW'!G448*$C$6*(($C$19-$C$18)/1000)</f>
        <v>0</v>
      </c>
      <c r="D457">
        <f>'Refrig Mass Flow &amp; Cond kW'!G448*Spring_autumn!$C$6*((Spring_autumn!$C$17-Spring_autumn!$C$16)/1000)</f>
        <v>0</v>
      </c>
      <c r="E457">
        <f>'Refrig Mass Flow &amp; Cond kW'!D448*(($C$13-$C$14)-$C$6*($C$17-$C$18)/1000)-'Refrig Mass Flow &amp; Cond kW'!C448*(1-$C$6/($C$10+273))</f>
        <v>0</v>
      </c>
      <c r="F457" s="13"/>
      <c r="G457" s="13">
        <f>'Refrig Mass Flow &amp; Cond kW'!F448*$C$6*($G$19-$G$18)/1000</f>
        <v>0.20740192268811208</v>
      </c>
      <c r="H457">
        <f>'Refrig Mass Flow &amp; Cond kW'!F448*$C$6*($G$17-$G$16)/1000</f>
        <v>1.2932119885258295</v>
      </c>
      <c r="I457">
        <f>'Refrig Mass Flow &amp; Cond kW'!F448*(($G$13-$G$14)-$C$6*($G$17-$G$18)/1000)-'Refrig Mass Flow &amp; Cond kW'!E448*(1-$C$6/($G$10+273))</f>
        <v>0.57238863957550201</v>
      </c>
    </row>
    <row r="458" spans="2:9" x14ac:dyDescent="0.2">
      <c r="B458" s="2">
        <v>435</v>
      </c>
      <c r="C458">
        <f>'Refrig Mass Flow &amp; Cond kW'!G449*$C$6*(($C$19-$C$18)/1000)</f>
        <v>0</v>
      </c>
      <c r="D458">
        <f>'Refrig Mass Flow &amp; Cond kW'!G449*Spring_autumn!$C$6*((Spring_autumn!$C$17-Spring_autumn!$C$16)/1000)</f>
        <v>0</v>
      </c>
      <c r="E458">
        <f>'Refrig Mass Flow &amp; Cond kW'!D449*(($C$13-$C$14)-$C$6*($C$17-$C$18)/1000)-'Refrig Mass Flow &amp; Cond kW'!C449*(1-$C$6/($C$10+273))</f>
        <v>0</v>
      </c>
      <c r="F458" s="13"/>
      <c r="G458" s="13">
        <f>'Refrig Mass Flow &amp; Cond kW'!F449*$C$6*($G$19-$G$18)/1000</f>
        <v>0.1585799166094925</v>
      </c>
      <c r="H458">
        <f>'Refrig Mass Flow &amp; Cond kW'!F449*$C$6*($G$17-$G$16)/1000</f>
        <v>0.98879242121209476</v>
      </c>
      <c r="I458">
        <f>'Refrig Mass Flow &amp; Cond kW'!F449*(($G$13-$G$14)-$C$6*($G$17-$G$18)/1000)-'Refrig Mass Flow &amp; Cond kW'!E449*(1-$C$6/($G$10+273))</f>
        <v>0.43764947574088531</v>
      </c>
    </row>
    <row r="459" spans="2:9" x14ac:dyDescent="0.2">
      <c r="B459" s="2">
        <v>436</v>
      </c>
      <c r="C459">
        <f>'Refrig Mass Flow &amp; Cond kW'!G450*$C$6*(($C$19-$C$18)/1000)</f>
        <v>0</v>
      </c>
      <c r="D459">
        <f>'Refrig Mass Flow &amp; Cond kW'!G450*Spring_autumn!$C$6*((Spring_autumn!$C$17-Spring_autumn!$C$16)/1000)</f>
        <v>0</v>
      </c>
      <c r="E459">
        <f>'Refrig Mass Flow &amp; Cond kW'!D450*(($C$13-$C$14)-$C$6*($C$17-$C$18)/1000)-'Refrig Mass Flow &amp; Cond kW'!C450*(1-$C$6/($C$10+273))</f>
        <v>0</v>
      </c>
      <c r="F459" s="13"/>
      <c r="G459" s="13">
        <f>'Refrig Mass Flow &amp; Cond kW'!F450*$C$6*($G$19-$G$18)/1000</f>
        <v>0.10975112672013057</v>
      </c>
      <c r="H459">
        <f>'Refrig Mass Flow &amp; Cond kW'!F450*$C$6*($G$17-$G$16)/1000</f>
        <v>0.68433055484314298</v>
      </c>
      <c r="I459">
        <f>'Refrig Mass Flow &amp; Cond kW'!F450*(($G$13-$G$14)-$C$6*($G$17-$G$18)/1000)-'Refrig Mass Flow &amp; Cond kW'!E450*(1-$C$6/($G$10+273))</f>
        <v>0.3028915899187794</v>
      </c>
    </row>
    <row r="460" spans="2:9" x14ac:dyDescent="0.2">
      <c r="B460" s="2">
        <v>437</v>
      </c>
      <c r="C460">
        <f>'Refrig Mass Flow &amp; Cond kW'!G451*$C$6*(($C$19-$C$18)/1000)</f>
        <v>0</v>
      </c>
      <c r="D460">
        <f>'Refrig Mass Flow &amp; Cond kW'!G451*Spring_autumn!$C$6*((Spring_autumn!$C$17-Spring_autumn!$C$16)/1000)</f>
        <v>0</v>
      </c>
      <c r="E460">
        <f>'Refrig Mass Flow &amp; Cond kW'!D451*(($C$13-$C$14)-$C$6*($C$17-$C$18)/1000)-'Refrig Mass Flow &amp; Cond kW'!C451*(1-$C$6/($C$10+273))</f>
        <v>0</v>
      </c>
      <c r="F460" s="13"/>
      <c r="G460" s="13">
        <f>'Refrig Mass Flow &amp; Cond kW'!F451*$C$6*($G$19-$G$18)/1000</f>
        <v>6.0920029351686188E-2</v>
      </c>
      <c r="H460">
        <f>'Refrig Mass Flow &amp; Cond kW'!F451*$C$6*($G$17-$G$16)/1000</f>
        <v>0.37985430066344161</v>
      </c>
      <c r="I460">
        <f>'Refrig Mass Flow &amp; Cond kW'!F451*(($G$13-$G$14)-$C$6*($G$17-$G$18)/1000)-'Refrig Mass Flow &amp; Cond kW'!E451*(1-$C$6/($G$10+273))</f>
        <v>0.16812733590685269</v>
      </c>
    </row>
    <row r="461" spans="2:9" x14ac:dyDescent="0.2">
      <c r="B461" s="2">
        <v>438</v>
      </c>
      <c r="C461">
        <f>'Refrig Mass Flow &amp; Cond kW'!G452*$C$6*(($C$19-$C$18)/1000)</f>
        <v>0</v>
      </c>
      <c r="D461">
        <f>'Refrig Mass Flow &amp; Cond kW'!G452*Spring_autumn!$C$6*((Spring_autumn!$C$17-Spring_autumn!$C$16)/1000)</f>
        <v>0</v>
      </c>
      <c r="E461">
        <f>'Refrig Mass Flow &amp; Cond kW'!D452*(($C$13-$C$14)-$C$6*($C$17-$C$18)/1000)-'Refrig Mass Flow &amp; Cond kW'!C452*(1-$C$6/($C$10+273))</f>
        <v>0</v>
      </c>
      <c r="F461" s="13"/>
      <c r="G461" s="13">
        <f>'Refrig Mass Flow &amp; Cond kW'!F452*$C$6*($G$19-$G$18)/1000</f>
        <v>1.209110033670243E-2</v>
      </c>
      <c r="H461">
        <f>'Refrig Mass Flow &amp; Cond kW'!F452*$C$6*($G$17-$G$16)/1000</f>
        <v>7.5391566805318375E-2</v>
      </c>
      <c r="I461">
        <f>'Refrig Mass Flow &amp; Cond kW'!F452*(($G$13-$G$14)-$C$6*($G$17-$G$18)/1000)-'Refrig Mass Flow &amp; Cond kW'!E452*(1-$C$6/($G$10+273))</f>
        <v>3.336906612530971E-2</v>
      </c>
    </row>
    <row r="462" spans="2:9" x14ac:dyDescent="0.2">
      <c r="B462" s="2">
        <v>439</v>
      </c>
      <c r="C462">
        <f>'Refrig Mass Flow &amp; Cond kW'!G453*$C$6*(($C$19-$C$18)/1000)</f>
        <v>0</v>
      </c>
      <c r="D462">
        <f>'Refrig Mass Flow &amp; Cond kW'!G453*Spring_autumn!$C$6*((Spring_autumn!$C$17-Spring_autumn!$C$16)/1000)</f>
        <v>0</v>
      </c>
      <c r="E462">
        <f>'Refrig Mass Flow &amp; Cond kW'!D453*(($C$13-$C$14)-$C$6*($C$17-$C$18)/1000)-'Refrig Mass Flow &amp; Cond kW'!C453*(1-$C$6/($C$10+273))</f>
        <v>0</v>
      </c>
      <c r="F462" s="13"/>
      <c r="G462" s="13">
        <f>'Refrig Mass Flow &amp; Cond kW'!F453*$C$6*($G$19-$G$18)/1000</f>
        <v>0</v>
      </c>
      <c r="H462">
        <f>'Refrig Mass Flow &amp; Cond kW'!F453*$C$6*($G$17-$G$16)/1000</f>
        <v>0</v>
      </c>
      <c r="I462">
        <f>'Refrig Mass Flow &amp; Cond kW'!F453*(($G$13-$G$14)-$C$6*($G$17-$G$18)/1000)-'Refrig Mass Flow &amp; Cond kW'!E453*(1-$C$6/($G$10+273))</f>
        <v>0</v>
      </c>
    </row>
    <row r="463" spans="2:9" x14ac:dyDescent="0.2">
      <c r="B463" s="2">
        <v>440</v>
      </c>
      <c r="C463">
        <f>'Refrig Mass Flow &amp; Cond kW'!G454*$C$6*(($C$19-$C$18)/1000)</f>
        <v>0</v>
      </c>
      <c r="D463">
        <f>'Refrig Mass Flow &amp; Cond kW'!G454*Spring_autumn!$C$6*((Spring_autumn!$C$17-Spring_autumn!$C$16)/1000)</f>
        <v>0</v>
      </c>
      <c r="E463">
        <f>'Refrig Mass Flow &amp; Cond kW'!D454*(($C$13-$C$14)-$C$6*($C$17-$C$18)/1000)-'Refrig Mass Flow &amp; Cond kW'!C454*(1-$C$6/($C$10+273))</f>
        <v>0</v>
      </c>
      <c r="F463" s="13"/>
      <c r="G463" s="13">
        <f>'Refrig Mass Flow &amp; Cond kW'!F454*$C$6*($G$19-$G$18)/1000</f>
        <v>0</v>
      </c>
      <c r="H463">
        <f>'Refrig Mass Flow &amp; Cond kW'!F454*$C$6*($G$17-$G$16)/1000</f>
        <v>0</v>
      </c>
      <c r="I463">
        <f>'Refrig Mass Flow &amp; Cond kW'!F454*(($G$13-$G$14)-$C$6*($G$17-$G$18)/1000)-'Refrig Mass Flow &amp; Cond kW'!E454*(1-$C$6/($G$10+273))</f>
        <v>0</v>
      </c>
    </row>
    <row r="464" spans="2:9" x14ac:dyDescent="0.2">
      <c r="B464" s="2">
        <v>441</v>
      </c>
      <c r="C464">
        <f>'Refrig Mass Flow &amp; Cond kW'!G455*$C$6*(($C$19-$C$18)/1000)</f>
        <v>0</v>
      </c>
      <c r="D464">
        <f>'Refrig Mass Flow &amp; Cond kW'!G455*Spring_autumn!$C$6*((Spring_autumn!$C$17-Spring_autumn!$C$16)/1000)</f>
        <v>0</v>
      </c>
      <c r="E464">
        <f>'Refrig Mass Flow &amp; Cond kW'!D455*(($C$13-$C$14)-$C$6*($C$17-$C$18)/1000)-'Refrig Mass Flow &amp; Cond kW'!C455*(1-$C$6/($C$10+273))</f>
        <v>0</v>
      </c>
      <c r="F464" s="13"/>
      <c r="G464" s="13">
        <f>'Refrig Mass Flow &amp; Cond kW'!F455*$C$6*($G$19-$G$18)/1000</f>
        <v>0</v>
      </c>
      <c r="H464">
        <f>'Refrig Mass Flow &amp; Cond kW'!F455*$C$6*($G$17-$G$16)/1000</f>
        <v>0</v>
      </c>
      <c r="I464">
        <f>'Refrig Mass Flow &amp; Cond kW'!F455*(($G$13-$G$14)-$C$6*($G$17-$G$18)/1000)-'Refrig Mass Flow &amp; Cond kW'!E455*(1-$C$6/($G$10+273))</f>
        <v>0</v>
      </c>
    </row>
    <row r="465" spans="2:9" x14ac:dyDescent="0.2">
      <c r="B465" s="2">
        <v>442</v>
      </c>
      <c r="C465">
        <f>'Refrig Mass Flow &amp; Cond kW'!G456*$C$6*(($C$19-$C$18)/1000)</f>
        <v>0</v>
      </c>
      <c r="D465">
        <f>'Refrig Mass Flow &amp; Cond kW'!G456*Spring_autumn!$C$6*((Spring_autumn!$C$17-Spring_autumn!$C$16)/1000)</f>
        <v>0</v>
      </c>
      <c r="E465">
        <f>'Refrig Mass Flow &amp; Cond kW'!D456*(($C$13-$C$14)-$C$6*($C$17-$C$18)/1000)-'Refrig Mass Flow &amp; Cond kW'!C456*(1-$C$6/($C$10+273))</f>
        <v>0</v>
      </c>
      <c r="F465" s="13"/>
      <c r="G465" s="13">
        <f>'Refrig Mass Flow &amp; Cond kW'!F456*$C$6*($G$19-$G$18)/1000</f>
        <v>0</v>
      </c>
      <c r="H465">
        <f>'Refrig Mass Flow &amp; Cond kW'!F456*$C$6*($G$17-$G$16)/1000</f>
        <v>0</v>
      </c>
      <c r="I465">
        <f>'Refrig Mass Flow &amp; Cond kW'!F456*(($G$13-$G$14)-$C$6*($G$17-$G$18)/1000)-'Refrig Mass Flow &amp; Cond kW'!E456*(1-$C$6/($G$10+273))</f>
        <v>0</v>
      </c>
    </row>
    <row r="466" spans="2:9" x14ac:dyDescent="0.2">
      <c r="B466" s="2">
        <v>443</v>
      </c>
      <c r="C466">
        <f>'Refrig Mass Flow &amp; Cond kW'!G457*$C$6*(($C$19-$C$18)/1000)</f>
        <v>0</v>
      </c>
      <c r="D466">
        <f>'Refrig Mass Flow &amp; Cond kW'!G457*Spring_autumn!$C$6*((Spring_autumn!$C$17-Spring_autumn!$C$16)/1000)</f>
        <v>0</v>
      </c>
      <c r="E466">
        <f>'Refrig Mass Flow &amp; Cond kW'!D457*(($C$13-$C$14)-$C$6*($C$17-$C$18)/1000)-'Refrig Mass Flow &amp; Cond kW'!C457*(1-$C$6/($C$10+273))</f>
        <v>0</v>
      </c>
      <c r="F466" s="13"/>
      <c r="G466" s="13">
        <f>'Refrig Mass Flow &amp; Cond kW'!F457*$C$6*($G$19-$G$18)/1000</f>
        <v>0</v>
      </c>
      <c r="H466">
        <f>'Refrig Mass Flow &amp; Cond kW'!F457*$C$6*($G$17-$G$16)/1000</f>
        <v>0</v>
      </c>
      <c r="I466">
        <f>'Refrig Mass Flow &amp; Cond kW'!F457*(($G$13-$G$14)-$C$6*($G$17-$G$18)/1000)-'Refrig Mass Flow &amp; Cond kW'!E457*(1-$C$6/($G$10+273))</f>
        <v>0</v>
      </c>
    </row>
    <row r="467" spans="2:9" x14ac:dyDescent="0.2">
      <c r="B467" s="2">
        <v>444</v>
      </c>
      <c r="C467">
        <f>'Refrig Mass Flow &amp; Cond kW'!G458*$C$6*(($C$19-$C$18)/1000)</f>
        <v>0</v>
      </c>
      <c r="D467">
        <f>'Refrig Mass Flow &amp; Cond kW'!G458*Spring_autumn!$C$6*((Spring_autumn!$C$17-Spring_autumn!$C$16)/1000)</f>
        <v>0</v>
      </c>
      <c r="E467">
        <f>'Refrig Mass Flow &amp; Cond kW'!D458*(($C$13-$C$14)-$C$6*($C$17-$C$18)/1000)-'Refrig Mass Flow &amp; Cond kW'!C458*(1-$C$6/($C$10+273))</f>
        <v>0</v>
      </c>
      <c r="F467" s="13"/>
      <c r="G467" s="13">
        <f>'Refrig Mass Flow &amp; Cond kW'!F458*$C$6*($G$19-$G$18)/1000</f>
        <v>0</v>
      </c>
      <c r="H467">
        <f>'Refrig Mass Flow &amp; Cond kW'!F458*$C$6*($G$17-$G$16)/1000</f>
        <v>0</v>
      </c>
      <c r="I467">
        <f>'Refrig Mass Flow &amp; Cond kW'!F458*(($G$13-$G$14)-$C$6*($G$17-$G$18)/1000)-'Refrig Mass Flow &amp; Cond kW'!E458*(1-$C$6/($G$10+273))</f>
        <v>0</v>
      </c>
    </row>
    <row r="468" spans="2:9" x14ac:dyDescent="0.2">
      <c r="B468" s="2">
        <v>445</v>
      </c>
      <c r="C468">
        <f>'Refrig Mass Flow &amp; Cond kW'!G459*$C$6*(($C$19-$C$18)/1000)</f>
        <v>0</v>
      </c>
      <c r="D468">
        <f>'Refrig Mass Flow &amp; Cond kW'!G459*Spring_autumn!$C$6*((Spring_autumn!$C$17-Spring_autumn!$C$16)/1000)</f>
        <v>0</v>
      </c>
      <c r="E468">
        <f>'Refrig Mass Flow &amp; Cond kW'!D459*(($C$13-$C$14)-$C$6*($C$17-$C$18)/1000)-'Refrig Mass Flow &amp; Cond kW'!C459*(1-$C$6/($C$10+273))</f>
        <v>0</v>
      </c>
      <c r="F468" s="13"/>
      <c r="G468" s="13">
        <f>'Refrig Mass Flow &amp; Cond kW'!F459*$C$6*($G$19-$G$18)/1000</f>
        <v>0</v>
      </c>
      <c r="H468">
        <f>'Refrig Mass Flow &amp; Cond kW'!F459*$C$6*($G$17-$G$16)/1000</f>
        <v>0</v>
      </c>
      <c r="I468">
        <f>'Refrig Mass Flow &amp; Cond kW'!F459*(($G$13-$G$14)-$C$6*($G$17-$G$18)/1000)-'Refrig Mass Flow &amp; Cond kW'!E459*(1-$C$6/($G$10+273))</f>
        <v>0</v>
      </c>
    </row>
    <row r="469" spans="2:9" x14ac:dyDescent="0.2">
      <c r="B469" s="2">
        <v>446</v>
      </c>
      <c r="C469">
        <f>'Refrig Mass Flow &amp; Cond kW'!G460*$C$6*(($C$19-$C$18)/1000)</f>
        <v>0</v>
      </c>
      <c r="D469">
        <f>'Refrig Mass Flow &amp; Cond kW'!G460*Spring_autumn!$C$6*((Spring_autumn!$C$17-Spring_autumn!$C$16)/1000)</f>
        <v>0</v>
      </c>
      <c r="E469">
        <f>'Refrig Mass Flow &amp; Cond kW'!D460*(($C$13-$C$14)-$C$6*($C$17-$C$18)/1000)-'Refrig Mass Flow &amp; Cond kW'!C460*(1-$C$6/($C$10+273))</f>
        <v>0</v>
      </c>
      <c r="F469" s="13"/>
      <c r="G469" s="13">
        <f>'Refrig Mass Flow &amp; Cond kW'!F460*$C$6*($G$19-$G$18)/1000</f>
        <v>0</v>
      </c>
      <c r="H469">
        <f>'Refrig Mass Flow &amp; Cond kW'!F460*$C$6*($G$17-$G$16)/1000</f>
        <v>0</v>
      </c>
      <c r="I469">
        <f>'Refrig Mass Flow &amp; Cond kW'!F460*(($G$13-$G$14)-$C$6*($G$17-$G$18)/1000)-'Refrig Mass Flow &amp; Cond kW'!E460*(1-$C$6/($G$10+273))</f>
        <v>0</v>
      </c>
    </row>
    <row r="470" spans="2:9" x14ac:dyDescent="0.2">
      <c r="B470" s="2">
        <v>447</v>
      </c>
      <c r="C470">
        <f>'Refrig Mass Flow &amp; Cond kW'!G461*$C$6*(($C$19-$C$18)/1000)</f>
        <v>0</v>
      </c>
      <c r="D470">
        <f>'Refrig Mass Flow &amp; Cond kW'!G461*Spring_autumn!$C$6*((Spring_autumn!$C$17-Spring_autumn!$C$16)/1000)</f>
        <v>0</v>
      </c>
      <c r="E470">
        <f>'Refrig Mass Flow &amp; Cond kW'!D461*(($C$13-$C$14)-$C$6*($C$17-$C$18)/1000)-'Refrig Mass Flow &amp; Cond kW'!C461*(1-$C$6/($C$10+273))</f>
        <v>0</v>
      </c>
      <c r="F470" s="13"/>
      <c r="G470" s="13">
        <f>'Refrig Mass Flow &amp; Cond kW'!F461*$C$6*($G$19-$G$18)/1000</f>
        <v>0</v>
      </c>
      <c r="H470">
        <f>'Refrig Mass Flow &amp; Cond kW'!F461*$C$6*($G$17-$G$16)/1000</f>
        <v>0</v>
      </c>
      <c r="I470">
        <f>'Refrig Mass Flow &amp; Cond kW'!F461*(($G$13-$G$14)-$C$6*($G$17-$G$18)/1000)-'Refrig Mass Flow &amp; Cond kW'!E461*(1-$C$6/($G$10+273))</f>
        <v>0</v>
      </c>
    </row>
    <row r="471" spans="2:9" x14ac:dyDescent="0.2">
      <c r="B471" s="2">
        <v>448</v>
      </c>
      <c r="C471">
        <f>'Refrig Mass Flow &amp; Cond kW'!G462*$C$6*(($C$19-$C$18)/1000)</f>
        <v>0</v>
      </c>
      <c r="D471">
        <f>'Refrig Mass Flow &amp; Cond kW'!G462*Spring_autumn!$C$6*((Spring_autumn!$C$17-Spring_autumn!$C$16)/1000)</f>
        <v>0</v>
      </c>
      <c r="E471">
        <f>'Refrig Mass Flow &amp; Cond kW'!D462*(($C$13-$C$14)-$C$6*($C$17-$C$18)/1000)-'Refrig Mass Flow &amp; Cond kW'!C462*(1-$C$6/($C$10+273))</f>
        <v>0</v>
      </c>
      <c r="F471" s="13"/>
      <c r="G471" s="13">
        <f>'Refrig Mass Flow &amp; Cond kW'!F462*$C$6*($G$19-$G$18)/1000</f>
        <v>0</v>
      </c>
      <c r="H471">
        <f>'Refrig Mass Flow &amp; Cond kW'!F462*$C$6*($G$17-$G$16)/1000</f>
        <v>0</v>
      </c>
      <c r="I471">
        <f>'Refrig Mass Flow &amp; Cond kW'!F462*(($G$13-$G$14)-$C$6*($G$17-$G$18)/1000)-'Refrig Mass Flow &amp; Cond kW'!E462*(1-$C$6/($G$10+273))</f>
        <v>0</v>
      </c>
    </row>
    <row r="472" spans="2:9" x14ac:dyDescent="0.2">
      <c r="B472" s="2">
        <v>449</v>
      </c>
      <c r="C472">
        <f>'Refrig Mass Flow &amp; Cond kW'!G463*$C$6*(($C$19-$C$18)/1000)</f>
        <v>0</v>
      </c>
      <c r="D472">
        <f>'Refrig Mass Flow &amp; Cond kW'!G463*Spring_autumn!$C$6*((Spring_autumn!$C$17-Spring_autumn!$C$16)/1000)</f>
        <v>0</v>
      </c>
      <c r="E472">
        <f>'Refrig Mass Flow &amp; Cond kW'!D463*(($C$13-$C$14)-$C$6*($C$17-$C$18)/1000)-'Refrig Mass Flow &amp; Cond kW'!C463*(1-$C$6/($C$10+273))</f>
        <v>0</v>
      </c>
      <c r="F472" s="13"/>
      <c r="G472" s="13">
        <f>'Refrig Mass Flow &amp; Cond kW'!F463*$C$6*($G$19-$G$18)/1000</f>
        <v>0</v>
      </c>
      <c r="H472">
        <f>'Refrig Mass Flow &amp; Cond kW'!F463*$C$6*($G$17-$G$16)/1000</f>
        <v>0</v>
      </c>
      <c r="I472">
        <f>'Refrig Mass Flow &amp; Cond kW'!F463*(($G$13-$G$14)-$C$6*($G$17-$G$18)/1000)-'Refrig Mass Flow &amp; Cond kW'!E463*(1-$C$6/($G$10+273))</f>
        <v>0</v>
      </c>
    </row>
    <row r="473" spans="2:9" x14ac:dyDescent="0.2">
      <c r="B473" s="2">
        <v>450</v>
      </c>
      <c r="C473">
        <f>'Refrig Mass Flow &amp; Cond kW'!G464*$C$6*(($C$19-$C$18)/1000)</f>
        <v>0</v>
      </c>
      <c r="D473">
        <f>'Refrig Mass Flow &amp; Cond kW'!G464*Spring_autumn!$C$6*((Spring_autumn!$C$17-Spring_autumn!$C$16)/1000)</f>
        <v>0</v>
      </c>
      <c r="E473">
        <f>'Refrig Mass Flow &amp; Cond kW'!D464*(($C$13-$C$14)-$C$6*($C$17-$C$18)/1000)-'Refrig Mass Flow &amp; Cond kW'!C464*(1-$C$6/($C$10+273))</f>
        <v>0</v>
      </c>
      <c r="F473" s="13"/>
      <c r="G473" s="13">
        <f>'Refrig Mass Flow &amp; Cond kW'!F464*$C$6*($G$19-$G$18)/1000</f>
        <v>0</v>
      </c>
      <c r="H473">
        <f>'Refrig Mass Flow &amp; Cond kW'!F464*$C$6*($G$17-$G$16)/1000</f>
        <v>0</v>
      </c>
      <c r="I473">
        <f>'Refrig Mass Flow &amp; Cond kW'!F464*(($G$13-$G$14)-$C$6*($G$17-$G$18)/1000)-'Refrig Mass Flow &amp; Cond kW'!E464*(1-$C$6/($G$10+273))</f>
        <v>0</v>
      </c>
    </row>
    <row r="474" spans="2:9" x14ac:dyDescent="0.2">
      <c r="B474" s="2">
        <v>451</v>
      </c>
      <c r="C474">
        <f>'Refrig Mass Flow &amp; Cond kW'!G465*$C$6*(($C$19-$C$18)/1000)</f>
        <v>0</v>
      </c>
      <c r="D474">
        <f>'Refrig Mass Flow &amp; Cond kW'!G465*Spring_autumn!$C$6*((Spring_autumn!$C$17-Spring_autumn!$C$16)/1000)</f>
        <v>0</v>
      </c>
      <c r="E474">
        <f>'Refrig Mass Flow &amp; Cond kW'!D465*(($C$13-$C$14)-$C$6*($C$17-$C$18)/1000)-'Refrig Mass Flow &amp; Cond kW'!C465*(1-$C$6/($C$10+273))</f>
        <v>0</v>
      </c>
      <c r="F474" s="13"/>
      <c r="G474" s="13">
        <f>'Refrig Mass Flow &amp; Cond kW'!F465*$C$6*($G$19-$G$18)/1000</f>
        <v>0</v>
      </c>
      <c r="H474">
        <f>'Refrig Mass Flow &amp; Cond kW'!F465*$C$6*($G$17-$G$16)/1000</f>
        <v>0</v>
      </c>
      <c r="I474">
        <f>'Refrig Mass Flow &amp; Cond kW'!F465*(($G$13-$G$14)-$C$6*($G$17-$G$18)/1000)-'Refrig Mass Flow &amp; Cond kW'!E465*(1-$C$6/($G$10+273))</f>
        <v>0</v>
      </c>
    </row>
    <row r="475" spans="2:9" x14ac:dyDescent="0.2">
      <c r="B475" s="2">
        <v>452</v>
      </c>
      <c r="C475">
        <f>'Refrig Mass Flow &amp; Cond kW'!G466*$C$6*(($C$19-$C$18)/1000)</f>
        <v>0</v>
      </c>
      <c r="D475">
        <f>'Refrig Mass Flow &amp; Cond kW'!G466*Spring_autumn!$C$6*((Spring_autumn!$C$17-Spring_autumn!$C$16)/1000)</f>
        <v>0</v>
      </c>
      <c r="E475">
        <f>'Refrig Mass Flow &amp; Cond kW'!D466*(($C$13-$C$14)-$C$6*($C$17-$C$18)/1000)-'Refrig Mass Flow &amp; Cond kW'!C466*(1-$C$6/($C$10+273))</f>
        <v>0</v>
      </c>
      <c r="F475" s="13"/>
      <c r="G475" s="13">
        <f>'Refrig Mass Flow &amp; Cond kW'!F466*$C$6*($G$19-$G$18)/1000</f>
        <v>0</v>
      </c>
      <c r="H475">
        <f>'Refrig Mass Flow &amp; Cond kW'!F466*$C$6*($G$17-$G$16)/1000</f>
        <v>0</v>
      </c>
      <c r="I475">
        <f>'Refrig Mass Flow &amp; Cond kW'!F466*(($G$13-$G$14)-$C$6*($G$17-$G$18)/1000)-'Refrig Mass Flow &amp; Cond kW'!E466*(1-$C$6/($G$10+273))</f>
        <v>0</v>
      </c>
    </row>
    <row r="476" spans="2:9" x14ac:dyDescent="0.2">
      <c r="B476" s="2">
        <v>453</v>
      </c>
      <c r="C476">
        <f>'Refrig Mass Flow &amp; Cond kW'!G467*$C$6*(($C$19-$C$18)/1000)</f>
        <v>0</v>
      </c>
      <c r="D476">
        <f>'Refrig Mass Flow &amp; Cond kW'!G467*Spring_autumn!$C$6*((Spring_autumn!$C$17-Spring_autumn!$C$16)/1000)</f>
        <v>0</v>
      </c>
      <c r="E476">
        <f>'Refrig Mass Flow &amp; Cond kW'!D467*(($C$13-$C$14)-$C$6*($C$17-$C$18)/1000)-'Refrig Mass Flow &amp; Cond kW'!C467*(1-$C$6/($C$10+273))</f>
        <v>0</v>
      </c>
      <c r="F476" s="13"/>
      <c r="G476" s="13">
        <f>'Refrig Mass Flow &amp; Cond kW'!F467*$C$6*($G$19-$G$18)/1000</f>
        <v>0</v>
      </c>
      <c r="H476">
        <f>'Refrig Mass Flow &amp; Cond kW'!F467*$C$6*($G$17-$G$16)/1000</f>
        <v>0</v>
      </c>
      <c r="I476">
        <f>'Refrig Mass Flow &amp; Cond kW'!F467*(($G$13-$G$14)-$C$6*($G$17-$G$18)/1000)-'Refrig Mass Flow &amp; Cond kW'!E467*(1-$C$6/($G$10+273))</f>
        <v>0</v>
      </c>
    </row>
    <row r="477" spans="2:9" x14ac:dyDescent="0.2">
      <c r="B477" s="2">
        <v>454</v>
      </c>
      <c r="C477">
        <f>'Refrig Mass Flow &amp; Cond kW'!G468*$C$6*(($C$19-$C$18)/1000)</f>
        <v>0</v>
      </c>
      <c r="D477">
        <f>'Refrig Mass Flow &amp; Cond kW'!G468*Spring_autumn!$C$6*((Spring_autumn!$C$17-Spring_autumn!$C$16)/1000)</f>
        <v>0</v>
      </c>
      <c r="E477">
        <f>'Refrig Mass Flow &amp; Cond kW'!D468*(($C$13-$C$14)-$C$6*($C$17-$C$18)/1000)-'Refrig Mass Flow &amp; Cond kW'!C468*(1-$C$6/($C$10+273))</f>
        <v>-4.6943351396012134E-3</v>
      </c>
      <c r="F477" s="13"/>
      <c r="G477" s="13">
        <f>'Refrig Mass Flow &amp; Cond kW'!F468*$C$6*($G$19-$G$18)/1000</f>
        <v>0</v>
      </c>
      <c r="H477">
        <f>'Refrig Mass Flow &amp; Cond kW'!F468*$C$6*($G$17-$G$16)/1000</f>
        <v>0</v>
      </c>
      <c r="I477">
        <f>'Refrig Mass Flow &amp; Cond kW'!F468*(($G$13-$G$14)-$C$6*($G$17-$G$18)/1000)-'Refrig Mass Flow &amp; Cond kW'!E468*(1-$C$6/($G$10+273))</f>
        <v>0</v>
      </c>
    </row>
    <row r="478" spans="2:9" x14ac:dyDescent="0.2">
      <c r="B478" s="2">
        <v>455</v>
      </c>
      <c r="C478">
        <f>'Refrig Mass Flow &amp; Cond kW'!G469*$C$6*(($C$19-$C$18)/1000)</f>
        <v>0</v>
      </c>
      <c r="D478">
        <f>'Refrig Mass Flow &amp; Cond kW'!G469*Spring_autumn!$C$6*((Spring_autumn!$C$17-Spring_autumn!$C$16)/1000)</f>
        <v>0</v>
      </c>
      <c r="E478">
        <f>'Refrig Mass Flow &amp; Cond kW'!D469*(($C$13-$C$14)-$C$6*($C$17-$C$18)/1000)-'Refrig Mass Flow &amp; Cond kW'!C469*(1-$C$6/($C$10+273))</f>
        <v>-3.9732908936361833E-3</v>
      </c>
      <c r="F478" s="13"/>
      <c r="G478" s="13">
        <f>'Refrig Mass Flow &amp; Cond kW'!F469*$C$6*($G$19-$G$18)/1000</f>
        <v>0</v>
      </c>
      <c r="H478">
        <f>'Refrig Mass Flow &amp; Cond kW'!F469*$C$6*($G$17-$G$16)/1000</f>
        <v>0</v>
      </c>
      <c r="I478">
        <f>'Refrig Mass Flow &amp; Cond kW'!F469*(($G$13-$G$14)-$C$6*($G$17-$G$18)/1000)-'Refrig Mass Flow &amp; Cond kW'!E469*(1-$C$6/($G$10+273))</f>
        <v>0</v>
      </c>
    </row>
    <row r="479" spans="2:9" x14ac:dyDescent="0.2">
      <c r="B479" s="2">
        <v>456</v>
      </c>
      <c r="C479">
        <f>'Refrig Mass Flow &amp; Cond kW'!G470*$C$6*(($C$19-$C$18)/1000)</f>
        <v>0</v>
      </c>
      <c r="D479">
        <f>'Refrig Mass Flow &amp; Cond kW'!G470*Spring_autumn!$C$6*((Spring_autumn!$C$17-Spring_autumn!$C$16)/1000)</f>
        <v>0</v>
      </c>
      <c r="E479">
        <f>'Refrig Mass Flow &amp; Cond kW'!D470*(($C$13-$C$14)-$C$6*($C$17-$C$18)/1000)-'Refrig Mass Flow &amp; Cond kW'!C470*(1-$C$6/($C$10+273))</f>
        <v>0</v>
      </c>
      <c r="F479" s="13"/>
      <c r="G479" s="13">
        <f>'Refrig Mass Flow &amp; Cond kW'!F470*$C$6*($G$19-$G$18)/1000</f>
        <v>0</v>
      </c>
      <c r="H479">
        <f>'Refrig Mass Flow &amp; Cond kW'!F470*$C$6*($G$17-$G$16)/1000</f>
        <v>0</v>
      </c>
      <c r="I479">
        <f>'Refrig Mass Flow &amp; Cond kW'!F470*(($G$13-$G$14)-$C$6*($G$17-$G$18)/1000)-'Refrig Mass Flow &amp; Cond kW'!E470*(1-$C$6/($G$10+273))</f>
        <v>0</v>
      </c>
    </row>
    <row r="480" spans="2:9" x14ac:dyDescent="0.2">
      <c r="B480" s="2">
        <v>457</v>
      </c>
      <c r="C480">
        <f>'Refrig Mass Flow &amp; Cond kW'!G471*$C$6*(($C$19-$C$18)/1000)</f>
        <v>0</v>
      </c>
      <c r="D480">
        <f>'Refrig Mass Flow &amp; Cond kW'!G471*Spring_autumn!$C$6*((Spring_autumn!$C$17-Spring_autumn!$C$16)/1000)</f>
        <v>0</v>
      </c>
      <c r="E480">
        <f>'Refrig Mass Flow &amp; Cond kW'!D471*(($C$13-$C$14)-$C$6*($C$17-$C$18)/1000)-'Refrig Mass Flow &amp; Cond kW'!C471*(1-$C$6/($C$10+273))</f>
        <v>0</v>
      </c>
      <c r="F480" s="13"/>
      <c r="G480" s="13">
        <f>'Refrig Mass Flow &amp; Cond kW'!F471*$C$6*($G$19-$G$18)/1000</f>
        <v>0</v>
      </c>
      <c r="H480">
        <f>'Refrig Mass Flow &amp; Cond kW'!F471*$C$6*($G$17-$G$16)/1000</f>
        <v>0</v>
      </c>
      <c r="I480">
        <f>'Refrig Mass Flow &amp; Cond kW'!F471*(($G$13-$G$14)-$C$6*($G$17-$G$18)/1000)-'Refrig Mass Flow &amp; Cond kW'!E471*(1-$C$6/($G$10+273))</f>
        <v>0</v>
      </c>
    </row>
    <row r="481" spans="2:9" x14ac:dyDescent="0.2">
      <c r="B481" s="2">
        <v>458</v>
      </c>
      <c r="C481">
        <f>'Refrig Mass Flow &amp; Cond kW'!G472*$C$6*(($C$19-$C$18)/1000)</f>
        <v>0</v>
      </c>
      <c r="D481">
        <f>'Refrig Mass Flow &amp; Cond kW'!G472*Spring_autumn!$C$6*((Spring_autumn!$C$17-Spring_autumn!$C$16)/1000)</f>
        <v>0</v>
      </c>
      <c r="E481">
        <f>'Refrig Mass Flow &amp; Cond kW'!D472*(($C$13-$C$14)-$C$6*($C$17-$C$18)/1000)-'Refrig Mass Flow &amp; Cond kW'!C472*(1-$C$6/($C$10+273))</f>
        <v>0</v>
      </c>
      <c r="F481" s="13"/>
      <c r="G481" s="13">
        <f>'Refrig Mass Flow &amp; Cond kW'!F472*$C$6*($G$19-$G$18)/1000</f>
        <v>0</v>
      </c>
      <c r="H481">
        <f>'Refrig Mass Flow &amp; Cond kW'!F472*$C$6*($G$17-$G$16)/1000</f>
        <v>0</v>
      </c>
      <c r="I481">
        <f>'Refrig Mass Flow &amp; Cond kW'!F472*(($G$13-$G$14)-$C$6*($G$17-$G$18)/1000)-'Refrig Mass Flow &amp; Cond kW'!E472*(1-$C$6/($G$10+273))</f>
        <v>0</v>
      </c>
    </row>
    <row r="482" spans="2:9" x14ac:dyDescent="0.2">
      <c r="B482" s="2">
        <v>459</v>
      </c>
      <c r="C482">
        <f>'Refrig Mass Flow &amp; Cond kW'!G473*$C$6*(($C$19-$C$18)/1000)</f>
        <v>0</v>
      </c>
      <c r="D482">
        <f>'Refrig Mass Flow &amp; Cond kW'!G473*Spring_autumn!$C$6*((Spring_autumn!$C$17-Spring_autumn!$C$16)/1000)</f>
        <v>0</v>
      </c>
      <c r="E482">
        <f>'Refrig Mass Flow &amp; Cond kW'!D473*(($C$13-$C$14)-$C$6*($C$17-$C$18)/1000)-'Refrig Mass Flow &amp; Cond kW'!C473*(1-$C$6/($C$10+273))</f>
        <v>0</v>
      </c>
      <c r="F482" s="13"/>
      <c r="G482" s="13">
        <f>'Refrig Mass Flow &amp; Cond kW'!F473*$C$6*($G$19-$G$18)/1000</f>
        <v>0</v>
      </c>
      <c r="H482">
        <f>'Refrig Mass Flow &amp; Cond kW'!F473*$C$6*($G$17-$G$16)/1000</f>
        <v>0</v>
      </c>
      <c r="I482">
        <f>'Refrig Mass Flow &amp; Cond kW'!F473*(($G$13-$G$14)-$C$6*($G$17-$G$18)/1000)-'Refrig Mass Flow &amp; Cond kW'!E473*(1-$C$6/($G$10+273))</f>
        <v>0</v>
      </c>
    </row>
    <row r="483" spans="2:9" x14ac:dyDescent="0.2">
      <c r="B483" s="2">
        <v>460</v>
      </c>
      <c r="C483">
        <f>'Refrig Mass Flow &amp; Cond kW'!G474*$C$6*(($C$19-$C$18)/1000)</f>
        <v>0</v>
      </c>
      <c r="D483">
        <f>'Refrig Mass Flow &amp; Cond kW'!G474*Spring_autumn!$C$6*((Spring_autumn!$C$17-Spring_autumn!$C$16)/1000)</f>
        <v>0</v>
      </c>
      <c r="E483">
        <f>'Refrig Mass Flow &amp; Cond kW'!D474*(($C$13-$C$14)-$C$6*($C$17-$C$18)/1000)-'Refrig Mass Flow &amp; Cond kW'!C474*(1-$C$6/($C$10+273))</f>
        <v>0</v>
      </c>
      <c r="F483" s="13"/>
      <c r="G483" s="13">
        <f>'Refrig Mass Flow &amp; Cond kW'!F474*$C$6*($G$19-$G$18)/1000</f>
        <v>0</v>
      </c>
      <c r="H483">
        <f>'Refrig Mass Flow &amp; Cond kW'!F474*$C$6*($G$17-$G$16)/1000</f>
        <v>0</v>
      </c>
      <c r="I483">
        <f>'Refrig Mass Flow &amp; Cond kW'!F474*(($G$13-$G$14)-$C$6*($G$17-$G$18)/1000)-'Refrig Mass Flow &amp; Cond kW'!E474*(1-$C$6/($G$10+273))</f>
        <v>0</v>
      </c>
    </row>
    <row r="484" spans="2:9" x14ac:dyDescent="0.2">
      <c r="B484" s="2">
        <v>461</v>
      </c>
      <c r="C484">
        <f>'Refrig Mass Flow &amp; Cond kW'!G475*$C$6*(($C$19-$C$18)/1000)</f>
        <v>0</v>
      </c>
      <c r="D484">
        <f>'Refrig Mass Flow &amp; Cond kW'!G475*Spring_autumn!$C$6*((Spring_autumn!$C$17-Spring_autumn!$C$16)/1000)</f>
        <v>0</v>
      </c>
      <c r="E484">
        <f>'Refrig Mass Flow &amp; Cond kW'!D475*(($C$13-$C$14)-$C$6*($C$17-$C$18)/1000)-'Refrig Mass Flow &amp; Cond kW'!C475*(1-$C$6/($C$10+273))</f>
        <v>0</v>
      </c>
      <c r="F484" s="13"/>
      <c r="G484" s="13">
        <f>'Refrig Mass Flow &amp; Cond kW'!F475*$C$6*($G$19-$G$18)/1000</f>
        <v>0</v>
      </c>
      <c r="H484">
        <f>'Refrig Mass Flow &amp; Cond kW'!F475*$C$6*($G$17-$G$16)/1000</f>
        <v>0</v>
      </c>
      <c r="I484">
        <f>'Refrig Mass Flow &amp; Cond kW'!F475*(($G$13-$G$14)-$C$6*($G$17-$G$18)/1000)-'Refrig Mass Flow &amp; Cond kW'!E475*(1-$C$6/($G$10+273))</f>
        <v>0</v>
      </c>
    </row>
    <row r="485" spans="2:9" x14ac:dyDescent="0.2">
      <c r="B485" s="2">
        <v>462</v>
      </c>
      <c r="C485">
        <f>'Refrig Mass Flow &amp; Cond kW'!G476*$C$6*(($C$19-$C$18)/1000)</f>
        <v>0</v>
      </c>
      <c r="D485">
        <f>'Refrig Mass Flow &amp; Cond kW'!G476*Spring_autumn!$C$6*((Spring_autumn!$C$17-Spring_autumn!$C$16)/1000)</f>
        <v>0</v>
      </c>
      <c r="E485">
        <f>'Refrig Mass Flow &amp; Cond kW'!D476*(($C$13-$C$14)-$C$6*($C$17-$C$18)/1000)-'Refrig Mass Flow &amp; Cond kW'!C476*(1-$C$6/($C$10+273))</f>
        <v>0</v>
      </c>
      <c r="F485" s="13"/>
      <c r="G485" s="13">
        <f>'Refrig Mass Flow &amp; Cond kW'!F476*$C$6*($G$19-$G$18)/1000</f>
        <v>0</v>
      </c>
      <c r="H485">
        <f>'Refrig Mass Flow &amp; Cond kW'!F476*$C$6*($G$17-$G$16)/1000</f>
        <v>0</v>
      </c>
      <c r="I485">
        <f>'Refrig Mass Flow &amp; Cond kW'!F476*(($G$13-$G$14)-$C$6*($G$17-$G$18)/1000)-'Refrig Mass Flow &amp; Cond kW'!E476*(1-$C$6/($G$10+273))</f>
        <v>0</v>
      </c>
    </row>
    <row r="486" spans="2:9" x14ac:dyDescent="0.2">
      <c r="B486" s="2">
        <v>463</v>
      </c>
      <c r="C486">
        <f>'Refrig Mass Flow &amp; Cond kW'!G477*$C$6*(($C$19-$C$18)/1000)</f>
        <v>0</v>
      </c>
      <c r="D486">
        <f>'Refrig Mass Flow &amp; Cond kW'!G477*Spring_autumn!$C$6*((Spring_autumn!$C$17-Spring_autumn!$C$16)/1000)</f>
        <v>0</v>
      </c>
      <c r="E486">
        <f>'Refrig Mass Flow &amp; Cond kW'!D477*(($C$13-$C$14)-$C$6*($C$17-$C$18)/1000)-'Refrig Mass Flow &amp; Cond kW'!C477*(1-$C$6/($C$10+273))</f>
        <v>0</v>
      </c>
      <c r="F486" s="13"/>
      <c r="G486" s="13">
        <f>'Refrig Mass Flow &amp; Cond kW'!F477*$C$6*($G$19-$G$18)/1000</f>
        <v>0</v>
      </c>
      <c r="H486">
        <f>'Refrig Mass Flow &amp; Cond kW'!F477*$C$6*($G$17-$G$16)/1000</f>
        <v>0</v>
      </c>
      <c r="I486">
        <f>'Refrig Mass Flow &amp; Cond kW'!F477*(($G$13-$G$14)-$C$6*($G$17-$G$18)/1000)-'Refrig Mass Flow &amp; Cond kW'!E477*(1-$C$6/($G$10+273))</f>
        <v>0</v>
      </c>
    </row>
    <row r="487" spans="2:9" x14ac:dyDescent="0.2">
      <c r="B487" s="2">
        <v>464</v>
      </c>
      <c r="C487">
        <f>'Refrig Mass Flow &amp; Cond kW'!G478*$C$6*(($C$19-$C$18)/1000)</f>
        <v>0</v>
      </c>
      <c r="D487">
        <f>'Refrig Mass Flow &amp; Cond kW'!G478*Spring_autumn!$C$6*((Spring_autumn!$C$17-Spring_autumn!$C$16)/1000)</f>
        <v>0</v>
      </c>
      <c r="E487">
        <f>'Refrig Mass Flow &amp; Cond kW'!D478*(($C$13-$C$14)-$C$6*($C$17-$C$18)/1000)-'Refrig Mass Flow &amp; Cond kW'!C478*(1-$C$6/($C$10+273))</f>
        <v>0</v>
      </c>
      <c r="F487" s="13"/>
      <c r="G487" s="13">
        <f>'Refrig Mass Flow &amp; Cond kW'!F478*$C$6*($G$19-$G$18)/1000</f>
        <v>0</v>
      </c>
      <c r="H487">
        <f>'Refrig Mass Flow &amp; Cond kW'!F478*$C$6*($G$17-$G$16)/1000</f>
        <v>0</v>
      </c>
      <c r="I487">
        <f>'Refrig Mass Flow &amp; Cond kW'!F478*(($G$13-$G$14)-$C$6*($G$17-$G$18)/1000)-'Refrig Mass Flow &amp; Cond kW'!E478*(1-$C$6/($G$10+273))</f>
        <v>0</v>
      </c>
    </row>
    <row r="488" spans="2:9" x14ac:dyDescent="0.2">
      <c r="B488" s="2">
        <v>465</v>
      </c>
      <c r="C488">
        <f>'Refrig Mass Flow &amp; Cond kW'!G479*$C$6*(($C$19-$C$18)/1000)</f>
        <v>0</v>
      </c>
      <c r="D488">
        <f>'Refrig Mass Flow &amp; Cond kW'!G479*Spring_autumn!$C$6*((Spring_autumn!$C$17-Spring_autumn!$C$16)/1000)</f>
        <v>0</v>
      </c>
      <c r="E488">
        <f>'Refrig Mass Flow &amp; Cond kW'!D479*(($C$13-$C$14)-$C$6*($C$17-$C$18)/1000)-'Refrig Mass Flow &amp; Cond kW'!C479*(1-$C$6/($C$10+273))</f>
        <v>0</v>
      </c>
      <c r="F488" s="13"/>
      <c r="G488" s="13">
        <f>'Refrig Mass Flow &amp; Cond kW'!F479*$C$6*($G$19-$G$18)/1000</f>
        <v>0</v>
      </c>
      <c r="H488">
        <f>'Refrig Mass Flow &amp; Cond kW'!F479*$C$6*($G$17-$G$16)/1000</f>
        <v>0</v>
      </c>
      <c r="I488">
        <f>'Refrig Mass Flow &amp; Cond kW'!F479*(($G$13-$G$14)-$C$6*($G$17-$G$18)/1000)-'Refrig Mass Flow &amp; Cond kW'!E479*(1-$C$6/($G$10+273))</f>
        <v>0</v>
      </c>
    </row>
    <row r="489" spans="2:9" x14ac:dyDescent="0.2">
      <c r="B489" s="2">
        <v>466</v>
      </c>
      <c r="C489">
        <f>'Refrig Mass Flow &amp; Cond kW'!G480*$C$6*(($C$19-$C$18)/1000)</f>
        <v>0</v>
      </c>
      <c r="D489">
        <f>'Refrig Mass Flow &amp; Cond kW'!G480*Spring_autumn!$C$6*((Spring_autumn!$C$17-Spring_autumn!$C$16)/1000)</f>
        <v>0</v>
      </c>
      <c r="E489">
        <f>'Refrig Mass Flow &amp; Cond kW'!D480*(($C$13-$C$14)-$C$6*($C$17-$C$18)/1000)-'Refrig Mass Flow &amp; Cond kW'!C480*(1-$C$6/($C$10+273))</f>
        <v>0</v>
      </c>
      <c r="F489" s="13"/>
      <c r="G489" s="13">
        <f>'Refrig Mass Flow &amp; Cond kW'!F480*$C$6*($G$19-$G$18)/1000</f>
        <v>0</v>
      </c>
      <c r="H489">
        <f>'Refrig Mass Flow &amp; Cond kW'!F480*$C$6*($G$17-$G$16)/1000</f>
        <v>0</v>
      </c>
      <c r="I489">
        <f>'Refrig Mass Flow &amp; Cond kW'!F480*(($G$13-$G$14)-$C$6*($G$17-$G$18)/1000)-'Refrig Mass Flow &amp; Cond kW'!E480*(1-$C$6/($G$10+273))</f>
        <v>0</v>
      </c>
    </row>
    <row r="490" spans="2:9" x14ac:dyDescent="0.2">
      <c r="B490" s="2">
        <v>467</v>
      </c>
      <c r="C490">
        <f>'Refrig Mass Flow &amp; Cond kW'!G481*$C$6*(($C$19-$C$18)/1000)</f>
        <v>0</v>
      </c>
      <c r="D490">
        <f>'Refrig Mass Flow &amp; Cond kW'!G481*Spring_autumn!$C$6*((Spring_autumn!$C$17-Spring_autumn!$C$16)/1000)</f>
        <v>0</v>
      </c>
      <c r="E490">
        <f>'Refrig Mass Flow &amp; Cond kW'!D481*(($C$13-$C$14)-$C$6*($C$17-$C$18)/1000)-'Refrig Mass Flow &amp; Cond kW'!C481*(1-$C$6/($C$10+273))</f>
        <v>-0.28737134481923832</v>
      </c>
      <c r="F490" s="13"/>
      <c r="G490" s="13">
        <f>'Refrig Mass Flow &amp; Cond kW'!F481*$C$6*($G$19-$G$18)/1000</f>
        <v>0</v>
      </c>
      <c r="H490">
        <f>'Refrig Mass Flow &amp; Cond kW'!F481*$C$6*($G$17-$G$16)/1000</f>
        <v>0</v>
      </c>
      <c r="I490">
        <f>'Refrig Mass Flow &amp; Cond kW'!F481*(($G$13-$G$14)-$C$6*($G$17-$G$18)/1000)-'Refrig Mass Flow &amp; Cond kW'!E481*(1-$C$6/($G$10+273))</f>
        <v>0</v>
      </c>
    </row>
    <row r="491" spans="2:9" x14ac:dyDescent="0.2">
      <c r="B491" s="2">
        <v>468</v>
      </c>
      <c r="C491">
        <f>'Refrig Mass Flow &amp; Cond kW'!G482*$C$6*(($C$19-$C$18)/1000)</f>
        <v>0</v>
      </c>
      <c r="D491">
        <f>'Refrig Mass Flow &amp; Cond kW'!G482*Spring_autumn!$C$6*((Spring_autumn!$C$17-Spring_autumn!$C$16)/1000)</f>
        <v>0</v>
      </c>
      <c r="E491">
        <f>'Refrig Mass Flow &amp; Cond kW'!D482*(($C$13-$C$14)-$C$6*($C$17-$C$18)/1000)-'Refrig Mass Flow &amp; Cond kW'!C482*(1-$C$6/($C$10+273))</f>
        <v>-0.2812420345342197</v>
      </c>
      <c r="F491" s="13"/>
      <c r="G491" s="13">
        <f>'Refrig Mass Flow &amp; Cond kW'!F482*$C$6*($G$19-$G$18)/1000</f>
        <v>0</v>
      </c>
      <c r="H491">
        <f>'Refrig Mass Flow &amp; Cond kW'!F482*$C$6*($G$17-$G$16)/1000</f>
        <v>0</v>
      </c>
      <c r="I491">
        <f>'Refrig Mass Flow &amp; Cond kW'!F482*(($G$13-$G$14)-$C$6*($G$17-$G$18)/1000)-'Refrig Mass Flow &amp; Cond kW'!E482*(1-$C$6/($G$10+273))</f>
        <v>0</v>
      </c>
    </row>
    <row r="492" spans="2:9" x14ac:dyDescent="0.2">
      <c r="B492" s="2">
        <v>469</v>
      </c>
      <c r="C492">
        <f>'Refrig Mass Flow &amp; Cond kW'!G483*$C$6*(($C$19-$C$18)/1000)</f>
        <v>0</v>
      </c>
      <c r="D492">
        <f>'Refrig Mass Flow &amp; Cond kW'!G483*Spring_autumn!$C$6*((Spring_autumn!$C$17-Spring_autumn!$C$16)/1000)</f>
        <v>0</v>
      </c>
      <c r="E492">
        <f>'Refrig Mass Flow &amp; Cond kW'!D483*(($C$13-$C$14)-$C$6*($C$17-$C$18)/1000)-'Refrig Mass Flow &amp; Cond kW'!C483*(1-$C$6/($C$10+273))</f>
        <v>-0.27512355962213064</v>
      </c>
      <c r="F492" s="13"/>
      <c r="G492" s="13">
        <f>'Refrig Mass Flow &amp; Cond kW'!F483*$C$6*($G$19-$G$18)/1000</f>
        <v>0</v>
      </c>
      <c r="H492">
        <f>'Refrig Mass Flow &amp; Cond kW'!F483*$C$6*($G$17-$G$16)/1000</f>
        <v>0</v>
      </c>
      <c r="I492">
        <f>'Refrig Mass Flow &amp; Cond kW'!F483*(($G$13-$G$14)-$C$6*($G$17-$G$18)/1000)-'Refrig Mass Flow &amp; Cond kW'!E483*(1-$C$6/($G$10+273))</f>
        <v>0</v>
      </c>
    </row>
    <row r="493" spans="2:9" x14ac:dyDescent="0.2">
      <c r="B493" s="2">
        <v>470</v>
      </c>
      <c r="C493">
        <f>'Refrig Mass Flow &amp; Cond kW'!G484*$C$6*(($C$19-$C$18)/1000)</f>
        <v>0</v>
      </c>
      <c r="D493">
        <f>'Refrig Mass Flow &amp; Cond kW'!G484*Spring_autumn!$C$6*((Spring_autumn!$C$17-Spring_autumn!$C$16)/1000)</f>
        <v>0</v>
      </c>
      <c r="E493">
        <f>'Refrig Mass Flow &amp; Cond kW'!D484*(($C$13-$C$14)-$C$6*($C$17-$C$18)/1000)-'Refrig Mass Flow &amp; Cond kW'!C484*(1-$C$6/($C$10+273))</f>
        <v>-0.26901590907602824</v>
      </c>
      <c r="F493" s="13"/>
      <c r="G493" s="13">
        <f>'Refrig Mass Flow &amp; Cond kW'!F484*$C$6*($G$19-$G$18)/1000</f>
        <v>0</v>
      </c>
      <c r="H493">
        <f>'Refrig Mass Flow &amp; Cond kW'!F484*$C$6*($G$17-$G$16)/1000</f>
        <v>0</v>
      </c>
      <c r="I493">
        <f>'Refrig Mass Flow &amp; Cond kW'!F484*(($G$13-$G$14)-$C$6*($G$17-$G$18)/1000)-'Refrig Mass Flow &amp; Cond kW'!E484*(1-$C$6/($G$10+273))</f>
        <v>0</v>
      </c>
    </row>
    <row r="494" spans="2:9" x14ac:dyDescent="0.2">
      <c r="B494" s="2">
        <v>471</v>
      </c>
      <c r="C494">
        <f>'Refrig Mass Flow &amp; Cond kW'!G485*$C$6*(($C$19-$C$18)/1000)</f>
        <v>0</v>
      </c>
      <c r="D494">
        <f>'Refrig Mass Flow &amp; Cond kW'!G485*Spring_autumn!$C$6*((Spring_autumn!$C$17-Spring_autumn!$C$16)/1000)</f>
        <v>0</v>
      </c>
      <c r="E494">
        <f>'Refrig Mass Flow &amp; Cond kW'!D485*(($C$13-$C$14)-$C$6*($C$17-$C$18)/1000)-'Refrig Mass Flow &amp; Cond kW'!C485*(1-$C$6/($C$10+273))</f>
        <v>0</v>
      </c>
      <c r="F494" s="13"/>
      <c r="G494" s="13">
        <f>'Refrig Mass Flow &amp; Cond kW'!F485*$C$6*($G$19-$G$18)/1000</f>
        <v>0</v>
      </c>
      <c r="H494">
        <f>'Refrig Mass Flow &amp; Cond kW'!F485*$C$6*($G$17-$G$16)/1000</f>
        <v>0</v>
      </c>
      <c r="I494">
        <f>'Refrig Mass Flow &amp; Cond kW'!F485*(($G$13-$G$14)-$C$6*($G$17-$G$18)/1000)-'Refrig Mass Flow &amp; Cond kW'!E485*(1-$C$6/($G$10+273))</f>
        <v>0</v>
      </c>
    </row>
    <row r="495" spans="2:9" x14ac:dyDescent="0.2">
      <c r="B495" s="2">
        <v>472</v>
      </c>
      <c r="C495">
        <f>'Refrig Mass Flow &amp; Cond kW'!G486*$C$6*(($C$19-$C$18)/1000)</f>
        <v>0</v>
      </c>
      <c r="D495">
        <f>'Refrig Mass Flow &amp; Cond kW'!G486*Spring_autumn!$C$6*((Spring_autumn!$C$17-Spring_autumn!$C$16)/1000)</f>
        <v>0</v>
      </c>
      <c r="E495">
        <f>'Refrig Mass Flow &amp; Cond kW'!D486*(($C$13-$C$14)-$C$6*($C$17-$C$18)/1000)-'Refrig Mass Flow &amp; Cond kW'!C486*(1-$C$6/($C$10+273))</f>
        <v>0</v>
      </c>
      <c r="F495" s="13"/>
      <c r="G495" s="13">
        <f>'Refrig Mass Flow &amp; Cond kW'!F486*$C$6*($G$19-$G$18)/1000</f>
        <v>0</v>
      </c>
      <c r="H495">
        <f>'Refrig Mass Flow &amp; Cond kW'!F486*$C$6*($G$17-$G$16)/1000</f>
        <v>0</v>
      </c>
      <c r="I495">
        <f>'Refrig Mass Flow &amp; Cond kW'!F486*(($G$13-$G$14)-$C$6*($G$17-$G$18)/1000)-'Refrig Mass Flow &amp; Cond kW'!E486*(1-$C$6/($G$10+273))</f>
        <v>0</v>
      </c>
    </row>
    <row r="496" spans="2:9" x14ac:dyDescent="0.2">
      <c r="B496" s="2">
        <v>473</v>
      </c>
      <c r="C496">
        <f>'Refrig Mass Flow &amp; Cond kW'!G487*$C$6*(($C$19-$C$18)/1000)</f>
        <v>0</v>
      </c>
      <c r="D496">
        <f>'Refrig Mass Flow &amp; Cond kW'!G487*Spring_autumn!$C$6*((Spring_autumn!$C$17-Spring_autumn!$C$16)/1000)</f>
        <v>0</v>
      </c>
      <c r="E496">
        <f>'Refrig Mass Flow &amp; Cond kW'!D487*(($C$13-$C$14)-$C$6*($C$17-$C$18)/1000)-'Refrig Mass Flow &amp; Cond kW'!C487*(1-$C$6/($C$10+273))</f>
        <v>0</v>
      </c>
      <c r="F496" s="13"/>
      <c r="G496" s="13">
        <f>'Refrig Mass Flow &amp; Cond kW'!F487*$C$6*($G$19-$G$18)/1000</f>
        <v>0</v>
      </c>
      <c r="H496">
        <f>'Refrig Mass Flow &amp; Cond kW'!F487*$C$6*($G$17-$G$16)/1000</f>
        <v>0</v>
      </c>
      <c r="I496">
        <f>'Refrig Mass Flow &amp; Cond kW'!F487*(($G$13-$G$14)-$C$6*($G$17-$G$18)/1000)-'Refrig Mass Flow &amp; Cond kW'!E487*(1-$C$6/($G$10+273))</f>
        <v>0</v>
      </c>
    </row>
    <row r="497" spans="2:9" x14ac:dyDescent="0.2">
      <c r="B497" s="2">
        <v>474</v>
      </c>
      <c r="C497">
        <f>'Refrig Mass Flow &amp; Cond kW'!G488*$C$6*(($C$19-$C$18)/1000)</f>
        <v>0</v>
      </c>
      <c r="D497">
        <f>'Refrig Mass Flow &amp; Cond kW'!G488*Spring_autumn!$C$6*((Spring_autumn!$C$17-Spring_autumn!$C$16)/1000)</f>
        <v>0</v>
      </c>
      <c r="E497">
        <f>'Refrig Mass Flow &amp; Cond kW'!D488*(($C$13-$C$14)-$C$6*($C$17-$C$18)/1000)-'Refrig Mass Flow &amp; Cond kW'!C488*(1-$C$6/($C$10+273))</f>
        <v>0</v>
      </c>
      <c r="F497" s="13"/>
      <c r="G497" s="13">
        <f>'Refrig Mass Flow &amp; Cond kW'!F488*$C$6*($G$19-$G$18)/1000</f>
        <v>0</v>
      </c>
      <c r="H497">
        <f>'Refrig Mass Flow &amp; Cond kW'!F488*$C$6*($G$17-$G$16)/1000</f>
        <v>0</v>
      </c>
      <c r="I497">
        <f>'Refrig Mass Flow &amp; Cond kW'!F488*(($G$13-$G$14)-$C$6*($G$17-$G$18)/1000)-'Refrig Mass Flow &amp; Cond kW'!E488*(1-$C$6/($G$10+273))</f>
        <v>0</v>
      </c>
    </row>
    <row r="498" spans="2:9" x14ac:dyDescent="0.2">
      <c r="B498" s="2">
        <v>475</v>
      </c>
      <c r="C498">
        <f>'Refrig Mass Flow &amp; Cond kW'!G489*$C$6*(($C$19-$C$18)/1000)</f>
        <v>0</v>
      </c>
      <c r="D498">
        <f>'Refrig Mass Flow &amp; Cond kW'!G489*Spring_autumn!$C$6*((Spring_autumn!$C$17-Spring_autumn!$C$16)/1000)</f>
        <v>0</v>
      </c>
      <c r="E498">
        <f>'Refrig Mass Flow &amp; Cond kW'!D489*(($C$13-$C$14)-$C$6*($C$17-$C$18)/1000)-'Refrig Mass Flow &amp; Cond kW'!C489*(1-$C$6/($C$10+273))</f>
        <v>0</v>
      </c>
      <c r="F498" s="13"/>
      <c r="G498" s="13">
        <f>'Refrig Mass Flow &amp; Cond kW'!F489*$C$6*($G$19-$G$18)/1000</f>
        <v>0</v>
      </c>
      <c r="H498">
        <f>'Refrig Mass Flow &amp; Cond kW'!F489*$C$6*($G$17-$G$16)/1000</f>
        <v>0</v>
      </c>
      <c r="I498">
        <f>'Refrig Mass Flow &amp; Cond kW'!F489*(($G$13-$G$14)-$C$6*($G$17-$G$18)/1000)-'Refrig Mass Flow &amp; Cond kW'!E489*(1-$C$6/($G$10+273))</f>
        <v>0</v>
      </c>
    </row>
    <row r="499" spans="2:9" x14ac:dyDescent="0.2">
      <c r="B499" s="2">
        <v>476</v>
      </c>
      <c r="C499">
        <f>'Refrig Mass Flow &amp; Cond kW'!G490*$C$6*(($C$19-$C$18)/1000)</f>
        <v>0</v>
      </c>
      <c r="D499">
        <f>'Refrig Mass Flow &amp; Cond kW'!G490*Spring_autumn!$C$6*((Spring_autumn!$C$17-Spring_autumn!$C$16)/1000)</f>
        <v>0</v>
      </c>
      <c r="E499">
        <f>'Refrig Mass Flow &amp; Cond kW'!D490*(($C$13-$C$14)-$C$6*($C$17-$C$18)/1000)-'Refrig Mass Flow &amp; Cond kW'!C490*(1-$C$6/($C$10+273))</f>
        <v>0</v>
      </c>
      <c r="F499" s="13"/>
      <c r="G499" s="13">
        <f>'Refrig Mass Flow &amp; Cond kW'!F490*$C$6*($G$19-$G$18)/1000</f>
        <v>0</v>
      </c>
      <c r="H499">
        <f>'Refrig Mass Flow &amp; Cond kW'!F490*$C$6*($G$17-$G$16)/1000</f>
        <v>0</v>
      </c>
      <c r="I499">
        <f>'Refrig Mass Flow &amp; Cond kW'!F490*(($G$13-$G$14)-$C$6*($G$17-$G$18)/1000)-'Refrig Mass Flow &amp; Cond kW'!E490*(1-$C$6/($G$10+273))</f>
        <v>0</v>
      </c>
    </row>
    <row r="500" spans="2:9" x14ac:dyDescent="0.2">
      <c r="B500" s="2">
        <v>477</v>
      </c>
      <c r="C500">
        <f>'Refrig Mass Flow &amp; Cond kW'!G491*$C$6*(($C$19-$C$18)/1000)</f>
        <v>0</v>
      </c>
      <c r="D500">
        <f>'Refrig Mass Flow &amp; Cond kW'!G491*Spring_autumn!$C$6*((Spring_autumn!$C$17-Spring_autumn!$C$16)/1000)</f>
        <v>0</v>
      </c>
      <c r="E500">
        <f>'Refrig Mass Flow &amp; Cond kW'!D491*(($C$13-$C$14)-$C$6*($C$17-$C$18)/1000)-'Refrig Mass Flow &amp; Cond kW'!C491*(1-$C$6/($C$10+273))</f>
        <v>0</v>
      </c>
      <c r="F500" s="13"/>
      <c r="G500" s="13">
        <f>'Refrig Mass Flow &amp; Cond kW'!F491*$C$6*($G$19-$G$18)/1000</f>
        <v>0</v>
      </c>
      <c r="H500">
        <f>'Refrig Mass Flow &amp; Cond kW'!F491*$C$6*($G$17-$G$16)/1000</f>
        <v>0</v>
      </c>
      <c r="I500">
        <f>'Refrig Mass Flow &amp; Cond kW'!F491*(($G$13-$G$14)-$C$6*($G$17-$G$18)/1000)-'Refrig Mass Flow &amp; Cond kW'!E491*(1-$C$6/($G$10+273))</f>
        <v>0</v>
      </c>
    </row>
    <row r="501" spans="2:9" x14ac:dyDescent="0.2">
      <c r="B501" s="2">
        <v>478</v>
      </c>
      <c r="C501">
        <f>'Refrig Mass Flow &amp; Cond kW'!G492*$C$6*(($C$19-$C$18)/1000)</f>
        <v>0</v>
      </c>
      <c r="D501">
        <f>'Refrig Mass Flow &amp; Cond kW'!G492*Spring_autumn!$C$6*((Spring_autumn!$C$17-Spring_autumn!$C$16)/1000)</f>
        <v>0</v>
      </c>
      <c r="E501">
        <f>'Refrig Mass Flow &amp; Cond kW'!D492*(($C$13-$C$14)-$C$6*($C$17-$C$18)/1000)-'Refrig Mass Flow &amp; Cond kW'!C492*(1-$C$6/($C$10+273))</f>
        <v>0</v>
      </c>
      <c r="F501" s="13"/>
      <c r="G501" s="13">
        <f>'Refrig Mass Flow &amp; Cond kW'!F492*$C$6*($G$19-$G$18)/1000</f>
        <v>0</v>
      </c>
      <c r="H501">
        <f>'Refrig Mass Flow &amp; Cond kW'!F492*$C$6*($G$17-$G$16)/1000</f>
        <v>0</v>
      </c>
      <c r="I501">
        <f>'Refrig Mass Flow &amp; Cond kW'!F492*(($G$13-$G$14)-$C$6*($G$17-$G$18)/1000)-'Refrig Mass Flow &amp; Cond kW'!E492*(1-$C$6/($G$10+273))</f>
        <v>0</v>
      </c>
    </row>
    <row r="502" spans="2:9" x14ac:dyDescent="0.2">
      <c r="B502" s="2">
        <v>479</v>
      </c>
      <c r="C502">
        <f>'Refrig Mass Flow &amp; Cond kW'!G493*$C$6*(($C$19-$C$18)/1000)</f>
        <v>0</v>
      </c>
      <c r="D502">
        <f>'Refrig Mass Flow &amp; Cond kW'!G493*Spring_autumn!$C$6*((Spring_autumn!$C$17-Spring_autumn!$C$16)/1000)</f>
        <v>0</v>
      </c>
      <c r="E502">
        <f>'Refrig Mass Flow &amp; Cond kW'!D493*(($C$13-$C$14)-$C$6*($C$17-$C$18)/1000)-'Refrig Mass Flow &amp; Cond kW'!C493*(1-$C$6/($C$10+273))</f>
        <v>0</v>
      </c>
      <c r="F502" s="13"/>
      <c r="G502" s="13">
        <f>'Refrig Mass Flow &amp; Cond kW'!F493*$C$6*($G$19-$G$18)/1000</f>
        <v>0</v>
      </c>
      <c r="H502">
        <f>'Refrig Mass Flow &amp; Cond kW'!F493*$C$6*($G$17-$G$16)/1000</f>
        <v>0</v>
      </c>
      <c r="I502">
        <f>'Refrig Mass Flow &amp; Cond kW'!F493*(($G$13-$G$14)-$C$6*($G$17-$G$18)/1000)-'Refrig Mass Flow &amp; Cond kW'!E493*(1-$C$6/($G$10+273))</f>
        <v>0</v>
      </c>
    </row>
    <row r="503" spans="2:9" x14ac:dyDescent="0.2">
      <c r="B503" s="2">
        <v>480</v>
      </c>
      <c r="C503">
        <f>'Refrig Mass Flow &amp; Cond kW'!G494*$C$6*(($C$19-$C$18)/1000)</f>
        <v>0</v>
      </c>
      <c r="D503">
        <f>'Refrig Mass Flow &amp; Cond kW'!G494*Spring_autumn!$C$6*((Spring_autumn!$C$17-Spring_autumn!$C$16)/1000)</f>
        <v>0</v>
      </c>
      <c r="E503">
        <f>'Refrig Mass Flow &amp; Cond kW'!D494*(($C$13-$C$14)-$C$6*($C$17-$C$18)/1000)-'Refrig Mass Flow &amp; Cond kW'!C494*(1-$C$6/($C$10+273))</f>
        <v>0</v>
      </c>
      <c r="F503" s="13"/>
      <c r="G503" s="13">
        <f>'Refrig Mass Flow &amp; Cond kW'!F494*$C$6*($G$19-$G$18)/1000</f>
        <v>0</v>
      </c>
      <c r="H503">
        <f>'Refrig Mass Flow &amp; Cond kW'!F494*$C$6*($G$17-$G$16)/1000</f>
        <v>0</v>
      </c>
      <c r="I503">
        <f>'Refrig Mass Flow &amp; Cond kW'!F494*(($G$13-$G$14)-$C$6*($G$17-$G$18)/1000)-'Refrig Mass Flow &amp; Cond kW'!E494*(1-$C$6/($G$10+273))</f>
        <v>0</v>
      </c>
    </row>
    <row r="504" spans="2:9" x14ac:dyDescent="0.2">
      <c r="B504" s="2">
        <v>481</v>
      </c>
      <c r="C504">
        <f>'Refrig Mass Flow &amp; Cond kW'!G495*$C$6*(($C$19-$C$18)/1000)</f>
        <v>0</v>
      </c>
      <c r="D504">
        <f>'Refrig Mass Flow &amp; Cond kW'!G495*Spring_autumn!$C$6*((Spring_autumn!$C$17-Spring_autumn!$C$16)/1000)</f>
        <v>0</v>
      </c>
      <c r="E504">
        <f>'Refrig Mass Flow &amp; Cond kW'!D495*(($C$13-$C$14)-$C$6*($C$17-$C$18)/1000)-'Refrig Mass Flow &amp; Cond kW'!C495*(1-$C$6/($C$10+273))</f>
        <v>0</v>
      </c>
      <c r="F504" s="13"/>
      <c r="G504" s="13">
        <f>'Refrig Mass Flow &amp; Cond kW'!F495*$C$6*($G$19-$G$18)/1000</f>
        <v>0</v>
      </c>
      <c r="H504">
        <f>'Refrig Mass Flow &amp; Cond kW'!F495*$C$6*($G$17-$G$16)/1000</f>
        <v>0</v>
      </c>
      <c r="I504">
        <f>'Refrig Mass Flow &amp; Cond kW'!F495*(($G$13-$G$14)-$C$6*($G$17-$G$18)/1000)-'Refrig Mass Flow &amp; Cond kW'!E495*(1-$C$6/($G$10+273))</f>
        <v>0</v>
      </c>
    </row>
    <row r="505" spans="2:9" x14ac:dyDescent="0.2">
      <c r="B505" s="2">
        <v>482</v>
      </c>
      <c r="C505">
        <f>'Refrig Mass Flow &amp; Cond kW'!G496*$C$6*(($C$19-$C$18)/1000)</f>
        <v>0</v>
      </c>
      <c r="D505">
        <f>'Refrig Mass Flow &amp; Cond kW'!G496*Spring_autumn!$C$6*((Spring_autumn!$C$17-Spring_autumn!$C$16)/1000)</f>
        <v>0</v>
      </c>
      <c r="E505">
        <f>'Refrig Mass Flow &amp; Cond kW'!D496*(($C$13-$C$14)-$C$6*($C$17-$C$18)/1000)-'Refrig Mass Flow &amp; Cond kW'!C496*(1-$C$6/($C$10+273))</f>
        <v>0</v>
      </c>
      <c r="F505" s="13"/>
      <c r="G505" s="13">
        <f>'Refrig Mass Flow &amp; Cond kW'!F496*$C$6*($G$19-$G$18)/1000</f>
        <v>0</v>
      </c>
      <c r="H505">
        <f>'Refrig Mass Flow &amp; Cond kW'!F496*$C$6*($G$17-$G$16)/1000</f>
        <v>0</v>
      </c>
      <c r="I505">
        <f>'Refrig Mass Flow &amp; Cond kW'!F496*(($G$13-$G$14)-$C$6*($G$17-$G$18)/1000)-'Refrig Mass Flow &amp; Cond kW'!E496*(1-$C$6/($G$10+273))</f>
        <v>0</v>
      </c>
    </row>
    <row r="506" spans="2:9" x14ac:dyDescent="0.2">
      <c r="B506" s="2">
        <v>483</v>
      </c>
      <c r="C506">
        <f>'Refrig Mass Flow &amp; Cond kW'!G497*$C$6*(($C$19-$C$18)/1000)</f>
        <v>0</v>
      </c>
      <c r="D506">
        <f>'Refrig Mass Flow &amp; Cond kW'!G497*Spring_autumn!$C$6*((Spring_autumn!$C$17-Spring_autumn!$C$16)/1000)</f>
        <v>0</v>
      </c>
      <c r="E506">
        <f>'Refrig Mass Flow &amp; Cond kW'!D497*(($C$13-$C$14)-$C$6*($C$17-$C$18)/1000)-'Refrig Mass Flow &amp; Cond kW'!C497*(1-$C$6/($C$10+273))</f>
        <v>0</v>
      </c>
      <c r="F506" s="13"/>
      <c r="G506" s="13">
        <f>'Refrig Mass Flow &amp; Cond kW'!F497*$C$6*($G$19-$G$18)/1000</f>
        <v>0</v>
      </c>
      <c r="H506">
        <f>'Refrig Mass Flow &amp; Cond kW'!F497*$C$6*($G$17-$G$16)/1000</f>
        <v>0</v>
      </c>
      <c r="I506">
        <f>'Refrig Mass Flow &amp; Cond kW'!F497*(($G$13-$G$14)-$C$6*($G$17-$G$18)/1000)-'Refrig Mass Flow &amp; Cond kW'!E497*(1-$C$6/($G$10+273))</f>
        <v>0</v>
      </c>
    </row>
    <row r="507" spans="2:9" x14ac:dyDescent="0.2">
      <c r="B507" s="2">
        <v>484</v>
      </c>
      <c r="C507">
        <f>'Refrig Mass Flow &amp; Cond kW'!G498*$C$6*(($C$19-$C$18)/1000)</f>
        <v>0</v>
      </c>
      <c r="D507">
        <f>'Refrig Mass Flow &amp; Cond kW'!G498*Spring_autumn!$C$6*((Spring_autumn!$C$17-Spring_autumn!$C$16)/1000)</f>
        <v>0</v>
      </c>
      <c r="E507">
        <f>'Refrig Mass Flow &amp; Cond kW'!D498*(($C$13-$C$14)-$C$6*($C$17-$C$18)/1000)-'Refrig Mass Flow &amp; Cond kW'!C498*(1-$C$6/($C$10+273))</f>
        <v>0</v>
      </c>
      <c r="F507" s="13"/>
      <c r="G507" s="13">
        <f>'Refrig Mass Flow &amp; Cond kW'!F498*$C$6*($G$19-$G$18)/1000</f>
        <v>0</v>
      </c>
      <c r="H507">
        <f>'Refrig Mass Flow &amp; Cond kW'!F498*$C$6*($G$17-$G$16)/1000</f>
        <v>0</v>
      </c>
      <c r="I507">
        <f>'Refrig Mass Flow &amp; Cond kW'!F498*(($G$13-$G$14)-$C$6*($G$17-$G$18)/1000)-'Refrig Mass Flow &amp; Cond kW'!E498*(1-$C$6/($G$10+273))</f>
        <v>0</v>
      </c>
    </row>
    <row r="508" spans="2:9" x14ac:dyDescent="0.2">
      <c r="B508" s="2">
        <v>485</v>
      </c>
      <c r="C508">
        <f>'Refrig Mass Flow &amp; Cond kW'!G499*$C$6*(($C$19-$C$18)/1000)</f>
        <v>0</v>
      </c>
      <c r="D508">
        <f>'Refrig Mass Flow &amp; Cond kW'!G499*Spring_autumn!$C$6*((Spring_autumn!$C$17-Spring_autumn!$C$16)/1000)</f>
        <v>0</v>
      </c>
      <c r="E508">
        <f>'Refrig Mass Flow &amp; Cond kW'!D499*(($C$13-$C$14)-$C$6*($C$17-$C$18)/1000)-'Refrig Mass Flow &amp; Cond kW'!C499*(1-$C$6/($C$10+273))</f>
        <v>0</v>
      </c>
      <c r="F508" s="13"/>
      <c r="G508" s="13">
        <f>'Refrig Mass Flow &amp; Cond kW'!F499*$C$6*($G$19-$G$18)/1000</f>
        <v>0</v>
      </c>
      <c r="H508">
        <f>'Refrig Mass Flow &amp; Cond kW'!F499*$C$6*($G$17-$G$16)/1000</f>
        <v>0</v>
      </c>
      <c r="I508">
        <f>'Refrig Mass Flow &amp; Cond kW'!F499*(($G$13-$G$14)-$C$6*($G$17-$G$18)/1000)-'Refrig Mass Flow &amp; Cond kW'!E499*(1-$C$6/($G$10+273))</f>
        <v>0</v>
      </c>
    </row>
    <row r="509" spans="2:9" x14ac:dyDescent="0.2">
      <c r="B509" s="2">
        <v>486</v>
      </c>
      <c r="C509">
        <f>'Refrig Mass Flow &amp; Cond kW'!G500*$C$6*(($C$19-$C$18)/1000)</f>
        <v>0</v>
      </c>
      <c r="D509">
        <f>'Refrig Mass Flow &amp; Cond kW'!G500*Spring_autumn!$C$6*((Spring_autumn!$C$17-Spring_autumn!$C$16)/1000)</f>
        <v>0</v>
      </c>
      <c r="E509">
        <f>'Refrig Mass Flow &amp; Cond kW'!D500*(($C$13-$C$14)-$C$6*($C$17-$C$18)/1000)-'Refrig Mass Flow &amp; Cond kW'!C500*(1-$C$6/($C$10+273))</f>
        <v>0</v>
      </c>
      <c r="F509" s="13"/>
      <c r="G509" s="13">
        <f>'Refrig Mass Flow &amp; Cond kW'!F500*$C$6*($G$19-$G$18)/1000</f>
        <v>0</v>
      </c>
      <c r="H509">
        <f>'Refrig Mass Flow &amp; Cond kW'!F500*$C$6*($G$17-$G$16)/1000</f>
        <v>0</v>
      </c>
      <c r="I509">
        <f>'Refrig Mass Flow &amp; Cond kW'!F500*(($G$13-$G$14)-$C$6*($G$17-$G$18)/1000)-'Refrig Mass Flow &amp; Cond kW'!E500*(1-$C$6/($G$10+273))</f>
        <v>0</v>
      </c>
    </row>
    <row r="510" spans="2:9" x14ac:dyDescent="0.2">
      <c r="B510" s="2">
        <v>487</v>
      </c>
      <c r="C510">
        <f>'Refrig Mass Flow &amp; Cond kW'!G501*$C$6*(($C$19-$C$18)/1000)</f>
        <v>0</v>
      </c>
      <c r="D510">
        <f>'Refrig Mass Flow &amp; Cond kW'!G501*Spring_autumn!$C$6*((Spring_autumn!$C$17-Spring_autumn!$C$16)/1000)</f>
        <v>0</v>
      </c>
      <c r="E510">
        <f>'Refrig Mass Flow &amp; Cond kW'!D501*(($C$13-$C$14)-$C$6*($C$17-$C$18)/1000)-'Refrig Mass Flow &amp; Cond kW'!C501*(1-$C$6/($C$10+273))</f>
        <v>0</v>
      </c>
      <c r="F510" s="13"/>
      <c r="G510" s="13">
        <f>'Refrig Mass Flow &amp; Cond kW'!F501*$C$6*($G$19-$G$18)/1000</f>
        <v>0</v>
      </c>
      <c r="H510">
        <f>'Refrig Mass Flow &amp; Cond kW'!F501*$C$6*($G$17-$G$16)/1000</f>
        <v>0</v>
      </c>
      <c r="I510">
        <f>'Refrig Mass Flow &amp; Cond kW'!F501*(($G$13-$G$14)-$C$6*($G$17-$G$18)/1000)-'Refrig Mass Flow &amp; Cond kW'!E501*(1-$C$6/($G$10+273))</f>
        <v>0</v>
      </c>
    </row>
    <row r="511" spans="2:9" x14ac:dyDescent="0.2">
      <c r="B511" s="2">
        <v>488</v>
      </c>
      <c r="C511">
        <f>'Refrig Mass Flow &amp; Cond kW'!G502*$C$6*(($C$19-$C$18)/1000)</f>
        <v>0</v>
      </c>
      <c r="D511">
        <f>'Refrig Mass Flow &amp; Cond kW'!G502*Spring_autumn!$C$6*((Spring_autumn!$C$17-Spring_autumn!$C$16)/1000)</f>
        <v>0</v>
      </c>
      <c r="E511">
        <f>'Refrig Mass Flow &amp; Cond kW'!D502*(($C$13-$C$14)-$C$6*($C$17-$C$18)/1000)-'Refrig Mass Flow &amp; Cond kW'!C502*(1-$C$6/($C$10+273))</f>
        <v>0</v>
      </c>
      <c r="F511" s="13"/>
      <c r="G511" s="13">
        <f>'Refrig Mass Flow &amp; Cond kW'!F502*$C$6*($G$19-$G$18)/1000</f>
        <v>0</v>
      </c>
      <c r="H511">
        <f>'Refrig Mass Flow &amp; Cond kW'!F502*$C$6*($G$17-$G$16)/1000</f>
        <v>0</v>
      </c>
      <c r="I511">
        <f>'Refrig Mass Flow &amp; Cond kW'!F502*(($G$13-$G$14)-$C$6*($G$17-$G$18)/1000)-'Refrig Mass Flow &amp; Cond kW'!E502*(1-$C$6/($G$10+273))</f>
        <v>0</v>
      </c>
    </row>
    <row r="512" spans="2:9" x14ac:dyDescent="0.2">
      <c r="B512" s="2">
        <v>489</v>
      </c>
      <c r="C512">
        <f>'Refrig Mass Flow &amp; Cond kW'!G503*$C$6*(($C$19-$C$18)/1000)</f>
        <v>0</v>
      </c>
      <c r="D512">
        <f>'Refrig Mass Flow &amp; Cond kW'!G503*Spring_autumn!$C$6*((Spring_autumn!$C$17-Spring_autumn!$C$16)/1000)</f>
        <v>0</v>
      </c>
      <c r="E512">
        <f>'Refrig Mass Flow &amp; Cond kW'!D503*(($C$13-$C$14)-$C$6*($C$17-$C$18)/1000)-'Refrig Mass Flow &amp; Cond kW'!C503*(1-$C$6/($C$10+273))</f>
        <v>0</v>
      </c>
      <c r="F512" s="13"/>
      <c r="G512" s="13">
        <f>'Refrig Mass Flow &amp; Cond kW'!F503*$C$6*($G$19-$G$18)/1000</f>
        <v>0</v>
      </c>
      <c r="H512">
        <f>'Refrig Mass Flow &amp; Cond kW'!F503*$C$6*($G$17-$G$16)/1000</f>
        <v>0</v>
      </c>
      <c r="I512">
        <f>'Refrig Mass Flow &amp; Cond kW'!F503*(($G$13-$G$14)-$C$6*($G$17-$G$18)/1000)-'Refrig Mass Flow &amp; Cond kW'!E503*(1-$C$6/($G$10+273))</f>
        <v>0</v>
      </c>
    </row>
    <row r="513" spans="2:9" x14ac:dyDescent="0.2">
      <c r="B513" s="2">
        <v>490</v>
      </c>
      <c r="C513">
        <f>'Refrig Mass Flow &amp; Cond kW'!G504*$C$6*(($C$19-$C$18)/1000)</f>
        <v>0</v>
      </c>
      <c r="D513">
        <f>'Refrig Mass Flow &amp; Cond kW'!G504*Spring_autumn!$C$6*((Spring_autumn!$C$17-Spring_autumn!$C$16)/1000)</f>
        <v>0</v>
      </c>
      <c r="E513">
        <f>'Refrig Mass Flow &amp; Cond kW'!D504*(($C$13-$C$14)-$C$6*($C$17-$C$18)/1000)-'Refrig Mass Flow &amp; Cond kW'!C504*(1-$C$6/($C$10+273))</f>
        <v>0</v>
      </c>
      <c r="F513" s="13"/>
      <c r="G513" s="13">
        <f>'Refrig Mass Flow &amp; Cond kW'!F504*$C$6*($G$19-$G$18)/1000</f>
        <v>0</v>
      </c>
      <c r="H513">
        <f>'Refrig Mass Flow &amp; Cond kW'!F504*$C$6*($G$17-$G$16)/1000</f>
        <v>0</v>
      </c>
      <c r="I513">
        <f>'Refrig Mass Flow &amp; Cond kW'!F504*(($G$13-$G$14)-$C$6*($G$17-$G$18)/1000)-'Refrig Mass Flow &amp; Cond kW'!E504*(1-$C$6/($G$10+273))</f>
        <v>0</v>
      </c>
    </row>
    <row r="514" spans="2:9" x14ac:dyDescent="0.2">
      <c r="B514" s="2">
        <v>491</v>
      </c>
      <c r="C514">
        <f>'Refrig Mass Flow &amp; Cond kW'!G505*$C$6*(($C$19-$C$18)/1000)</f>
        <v>0</v>
      </c>
      <c r="D514">
        <f>'Refrig Mass Flow &amp; Cond kW'!G505*Spring_autumn!$C$6*((Spring_autumn!$C$17-Spring_autumn!$C$16)/1000)</f>
        <v>0</v>
      </c>
      <c r="E514">
        <f>'Refrig Mass Flow &amp; Cond kW'!D505*(($C$13-$C$14)-$C$6*($C$17-$C$18)/1000)-'Refrig Mass Flow &amp; Cond kW'!C505*(1-$C$6/($C$10+273))</f>
        <v>0</v>
      </c>
      <c r="F514" s="13"/>
      <c r="G514" s="13">
        <f>'Refrig Mass Flow &amp; Cond kW'!F505*$C$6*($G$19-$G$18)/1000</f>
        <v>0</v>
      </c>
      <c r="H514">
        <f>'Refrig Mass Flow &amp; Cond kW'!F505*$C$6*($G$17-$G$16)/1000</f>
        <v>0</v>
      </c>
      <c r="I514">
        <f>'Refrig Mass Flow &amp; Cond kW'!F505*(($G$13-$G$14)-$C$6*($G$17-$G$18)/1000)-'Refrig Mass Flow &amp; Cond kW'!E505*(1-$C$6/($G$10+273))</f>
        <v>0</v>
      </c>
    </row>
    <row r="515" spans="2:9" x14ac:dyDescent="0.2">
      <c r="B515" s="2">
        <v>492</v>
      </c>
      <c r="C515">
        <f>'Refrig Mass Flow &amp; Cond kW'!G506*$C$6*(($C$19-$C$18)/1000)</f>
        <v>0</v>
      </c>
      <c r="D515">
        <f>'Refrig Mass Flow &amp; Cond kW'!G506*Spring_autumn!$C$6*((Spring_autumn!$C$17-Spring_autumn!$C$16)/1000)</f>
        <v>0</v>
      </c>
      <c r="E515">
        <f>'Refrig Mass Flow &amp; Cond kW'!D506*(($C$13-$C$14)-$C$6*($C$17-$C$18)/1000)-'Refrig Mass Flow &amp; Cond kW'!C506*(1-$C$6/($C$10+273))</f>
        <v>0</v>
      </c>
      <c r="F515" s="13"/>
      <c r="G515" s="13">
        <f>'Refrig Mass Flow &amp; Cond kW'!F506*$C$6*($G$19-$G$18)/1000</f>
        <v>0</v>
      </c>
      <c r="H515">
        <f>'Refrig Mass Flow &amp; Cond kW'!F506*$C$6*($G$17-$G$16)/1000</f>
        <v>0</v>
      </c>
      <c r="I515">
        <f>'Refrig Mass Flow &amp; Cond kW'!F506*(($G$13-$G$14)-$C$6*($G$17-$G$18)/1000)-'Refrig Mass Flow &amp; Cond kW'!E506*(1-$C$6/($G$10+273))</f>
        <v>0</v>
      </c>
    </row>
    <row r="516" spans="2:9" x14ac:dyDescent="0.2">
      <c r="B516" s="2">
        <v>493</v>
      </c>
      <c r="C516">
        <f>'Refrig Mass Flow &amp; Cond kW'!G507*$C$6*(($C$19-$C$18)/1000)</f>
        <v>0</v>
      </c>
      <c r="D516">
        <f>'Refrig Mass Flow &amp; Cond kW'!G507*Spring_autumn!$C$6*((Spring_autumn!$C$17-Spring_autumn!$C$16)/1000)</f>
        <v>0</v>
      </c>
      <c r="E516">
        <f>'Refrig Mass Flow &amp; Cond kW'!D507*(($C$13-$C$14)-$C$6*($C$17-$C$18)/1000)-'Refrig Mass Flow &amp; Cond kW'!C507*(1-$C$6/($C$10+273))</f>
        <v>0</v>
      </c>
      <c r="F516" s="13"/>
      <c r="G516" s="13">
        <f>'Refrig Mass Flow &amp; Cond kW'!F507*$C$6*($G$19-$G$18)/1000</f>
        <v>0</v>
      </c>
      <c r="H516">
        <f>'Refrig Mass Flow &amp; Cond kW'!F507*$C$6*($G$17-$G$16)/1000</f>
        <v>0</v>
      </c>
      <c r="I516">
        <f>'Refrig Mass Flow &amp; Cond kW'!F507*(($G$13-$G$14)-$C$6*($G$17-$G$18)/1000)-'Refrig Mass Flow &amp; Cond kW'!E507*(1-$C$6/($G$10+273))</f>
        <v>0</v>
      </c>
    </row>
    <row r="517" spans="2:9" x14ac:dyDescent="0.2">
      <c r="B517" s="2">
        <v>494</v>
      </c>
      <c r="C517">
        <f>'Refrig Mass Flow &amp; Cond kW'!G508*$C$6*(($C$19-$C$18)/1000)</f>
        <v>0</v>
      </c>
      <c r="D517">
        <f>'Refrig Mass Flow &amp; Cond kW'!G508*Spring_autumn!$C$6*((Spring_autumn!$C$17-Spring_autumn!$C$16)/1000)</f>
        <v>0</v>
      </c>
      <c r="E517">
        <f>'Refrig Mass Flow &amp; Cond kW'!D508*(($C$13-$C$14)-$C$6*($C$17-$C$18)/1000)-'Refrig Mass Flow &amp; Cond kW'!C508*(1-$C$6/($C$10+273))</f>
        <v>0</v>
      </c>
      <c r="F517" s="13"/>
      <c r="G517" s="13">
        <f>'Refrig Mass Flow &amp; Cond kW'!F508*$C$6*($G$19-$G$18)/1000</f>
        <v>0</v>
      </c>
      <c r="H517">
        <f>'Refrig Mass Flow &amp; Cond kW'!F508*$C$6*($G$17-$G$16)/1000</f>
        <v>0</v>
      </c>
      <c r="I517">
        <f>'Refrig Mass Flow &amp; Cond kW'!F508*(($G$13-$G$14)-$C$6*($G$17-$G$18)/1000)-'Refrig Mass Flow &amp; Cond kW'!E508*(1-$C$6/($G$10+273))</f>
        <v>0</v>
      </c>
    </row>
    <row r="518" spans="2:9" x14ac:dyDescent="0.2">
      <c r="B518" s="2">
        <v>495</v>
      </c>
      <c r="C518">
        <f>'Refrig Mass Flow &amp; Cond kW'!G509*$C$6*(($C$19-$C$18)/1000)</f>
        <v>0</v>
      </c>
      <c r="D518">
        <f>'Refrig Mass Flow &amp; Cond kW'!G509*Spring_autumn!$C$6*((Spring_autumn!$C$17-Spring_autumn!$C$16)/1000)</f>
        <v>0</v>
      </c>
      <c r="E518">
        <f>'Refrig Mass Flow &amp; Cond kW'!D509*(($C$13-$C$14)-$C$6*($C$17-$C$18)/1000)-'Refrig Mass Flow &amp; Cond kW'!C509*(1-$C$6/($C$10+273))</f>
        <v>0</v>
      </c>
      <c r="F518" s="13"/>
      <c r="G518" s="13">
        <f>'Refrig Mass Flow &amp; Cond kW'!F509*$C$6*($G$19-$G$18)/1000</f>
        <v>0</v>
      </c>
      <c r="H518">
        <f>'Refrig Mass Flow &amp; Cond kW'!F509*$C$6*($G$17-$G$16)/1000</f>
        <v>0</v>
      </c>
      <c r="I518">
        <f>'Refrig Mass Flow &amp; Cond kW'!F509*(($G$13-$G$14)-$C$6*($G$17-$G$18)/1000)-'Refrig Mass Flow &amp; Cond kW'!E509*(1-$C$6/($G$10+273))</f>
        <v>0</v>
      </c>
    </row>
    <row r="519" spans="2:9" x14ac:dyDescent="0.2">
      <c r="B519" s="2">
        <v>496</v>
      </c>
      <c r="C519">
        <f>'Refrig Mass Flow &amp; Cond kW'!G510*$C$6*(($C$19-$C$18)/1000)</f>
        <v>0</v>
      </c>
      <c r="D519">
        <f>'Refrig Mass Flow &amp; Cond kW'!G510*Spring_autumn!$C$6*((Spring_autumn!$C$17-Spring_autumn!$C$16)/1000)</f>
        <v>0</v>
      </c>
      <c r="E519">
        <f>'Refrig Mass Flow &amp; Cond kW'!D510*(($C$13-$C$14)-$C$6*($C$17-$C$18)/1000)-'Refrig Mass Flow &amp; Cond kW'!C510*(1-$C$6/($C$10+273))</f>
        <v>0</v>
      </c>
      <c r="F519" s="13"/>
      <c r="G519" s="13">
        <f>'Refrig Mass Flow &amp; Cond kW'!F510*$C$6*($G$19-$G$18)/1000</f>
        <v>0</v>
      </c>
      <c r="H519">
        <f>'Refrig Mass Flow &amp; Cond kW'!F510*$C$6*($G$17-$G$16)/1000</f>
        <v>0</v>
      </c>
      <c r="I519">
        <f>'Refrig Mass Flow &amp; Cond kW'!F510*(($G$13-$G$14)-$C$6*($G$17-$G$18)/1000)-'Refrig Mass Flow &amp; Cond kW'!E510*(1-$C$6/($G$10+273))</f>
        <v>0</v>
      </c>
    </row>
    <row r="520" spans="2:9" x14ac:dyDescent="0.2">
      <c r="B520" s="2">
        <v>497</v>
      </c>
      <c r="C520">
        <f>'Refrig Mass Flow &amp; Cond kW'!G511*$C$6*(($C$19-$C$18)/1000)</f>
        <v>0</v>
      </c>
      <c r="D520">
        <f>'Refrig Mass Flow &amp; Cond kW'!G511*Spring_autumn!$C$6*((Spring_autumn!$C$17-Spring_autumn!$C$16)/1000)</f>
        <v>0</v>
      </c>
      <c r="E520">
        <f>'Refrig Mass Flow &amp; Cond kW'!D511*(($C$13-$C$14)-$C$6*($C$17-$C$18)/1000)-'Refrig Mass Flow &amp; Cond kW'!C511*(1-$C$6/($C$10+273))</f>
        <v>0</v>
      </c>
      <c r="F520" s="13"/>
      <c r="G520" s="13">
        <f>'Refrig Mass Flow &amp; Cond kW'!F511*$C$6*($G$19-$G$18)/1000</f>
        <v>0</v>
      </c>
      <c r="H520">
        <f>'Refrig Mass Flow &amp; Cond kW'!F511*$C$6*($G$17-$G$16)/1000</f>
        <v>0</v>
      </c>
      <c r="I520">
        <f>'Refrig Mass Flow &amp; Cond kW'!F511*(($G$13-$G$14)-$C$6*($G$17-$G$18)/1000)-'Refrig Mass Flow &amp; Cond kW'!E511*(1-$C$6/($G$10+273))</f>
        <v>0</v>
      </c>
    </row>
    <row r="521" spans="2:9" x14ac:dyDescent="0.2">
      <c r="B521" s="2">
        <v>498</v>
      </c>
      <c r="C521">
        <f>'Refrig Mass Flow &amp; Cond kW'!G512*$C$6*(($C$19-$C$18)/1000)</f>
        <v>0</v>
      </c>
      <c r="D521">
        <f>'Refrig Mass Flow &amp; Cond kW'!G512*Spring_autumn!$C$6*((Spring_autumn!$C$17-Spring_autumn!$C$16)/1000)</f>
        <v>0</v>
      </c>
      <c r="E521">
        <f>'Refrig Mass Flow &amp; Cond kW'!D512*(($C$13-$C$14)-$C$6*($C$17-$C$18)/1000)-'Refrig Mass Flow &amp; Cond kW'!C512*(1-$C$6/($C$10+273))</f>
        <v>0</v>
      </c>
      <c r="F521" s="13"/>
      <c r="G521" s="13">
        <f>'Refrig Mass Flow &amp; Cond kW'!F512*$C$6*($G$19-$G$18)/1000</f>
        <v>0</v>
      </c>
      <c r="H521">
        <f>'Refrig Mass Flow &amp; Cond kW'!F512*$C$6*($G$17-$G$16)/1000</f>
        <v>0</v>
      </c>
      <c r="I521">
        <f>'Refrig Mass Flow &amp; Cond kW'!F512*(($G$13-$G$14)-$C$6*($G$17-$G$18)/1000)-'Refrig Mass Flow &amp; Cond kW'!E512*(1-$C$6/($G$10+273))</f>
        <v>0</v>
      </c>
    </row>
    <row r="522" spans="2:9" x14ac:dyDescent="0.2">
      <c r="B522" s="2">
        <v>499</v>
      </c>
      <c r="C522">
        <f>'Refrig Mass Flow &amp; Cond kW'!G513*$C$6*(($C$19-$C$18)/1000)</f>
        <v>0</v>
      </c>
      <c r="D522">
        <f>'Refrig Mass Flow &amp; Cond kW'!G513*Spring_autumn!$C$6*((Spring_autumn!$C$17-Spring_autumn!$C$16)/1000)</f>
        <v>0</v>
      </c>
      <c r="E522">
        <f>'Refrig Mass Flow &amp; Cond kW'!D513*(($C$13-$C$14)-$C$6*($C$17-$C$18)/1000)-'Refrig Mass Flow &amp; Cond kW'!C513*(1-$C$6/($C$10+273))</f>
        <v>0</v>
      </c>
      <c r="F522" s="13"/>
      <c r="G522" s="13">
        <f>'Refrig Mass Flow &amp; Cond kW'!F513*$C$6*($G$19-$G$18)/1000</f>
        <v>0</v>
      </c>
      <c r="H522">
        <f>'Refrig Mass Flow &amp; Cond kW'!F513*$C$6*($G$17-$G$16)/1000</f>
        <v>0</v>
      </c>
      <c r="I522">
        <f>'Refrig Mass Flow &amp; Cond kW'!F513*(($G$13-$G$14)-$C$6*($G$17-$G$18)/1000)-'Refrig Mass Flow &amp; Cond kW'!E513*(1-$C$6/($G$10+273))</f>
        <v>0</v>
      </c>
    </row>
    <row r="523" spans="2:9" x14ac:dyDescent="0.2">
      <c r="B523" s="2">
        <v>500</v>
      </c>
      <c r="C523">
        <f>'Refrig Mass Flow &amp; Cond kW'!G514*$C$6*(($C$19-$C$18)/1000)</f>
        <v>0</v>
      </c>
      <c r="D523">
        <f>'Refrig Mass Flow &amp; Cond kW'!G514*Spring_autumn!$C$6*((Spring_autumn!$C$17-Spring_autumn!$C$16)/1000)</f>
        <v>0</v>
      </c>
      <c r="E523">
        <f>'Refrig Mass Flow &amp; Cond kW'!D514*(($C$13-$C$14)-$C$6*($C$17-$C$18)/1000)-'Refrig Mass Flow &amp; Cond kW'!C514*(1-$C$6/($C$10+273))</f>
        <v>0</v>
      </c>
      <c r="F523" s="13"/>
      <c r="G523" s="13">
        <f>'Refrig Mass Flow &amp; Cond kW'!F514*$C$6*($G$19-$G$18)/1000</f>
        <v>0</v>
      </c>
      <c r="H523">
        <f>'Refrig Mass Flow &amp; Cond kW'!F514*$C$6*($G$17-$G$16)/1000</f>
        <v>0</v>
      </c>
      <c r="I523">
        <f>'Refrig Mass Flow &amp; Cond kW'!F514*(($G$13-$G$14)-$C$6*($G$17-$G$18)/1000)-'Refrig Mass Flow &amp; Cond kW'!E514*(1-$C$6/($G$10+273))</f>
        <v>0</v>
      </c>
    </row>
    <row r="524" spans="2:9" x14ac:dyDescent="0.2">
      <c r="B524" s="2">
        <v>501</v>
      </c>
      <c r="C524">
        <f>'Refrig Mass Flow &amp; Cond kW'!G515*$C$6*(($C$19-$C$18)/1000)</f>
        <v>0</v>
      </c>
      <c r="D524">
        <f>'Refrig Mass Flow &amp; Cond kW'!G515*Spring_autumn!$C$6*((Spring_autumn!$C$17-Spring_autumn!$C$16)/1000)</f>
        <v>0</v>
      </c>
      <c r="E524">
        <f>'Refrig Mass Flow &amp; Cond kW'!D515*(($C$13-$C$14)-$C$6*($C$17-$C$18)/1000)-'Refrig Mass Flow &amp; Cond kW'!C515*(1-$C$6/($C$10+273))</f>
        <v>0</v>
      </c>
      <c r="F524" s="13"/>
      <c r="G524" s="13">
        <f>'Refrig Mass Flow &amp; Cond kW'!F515*$C$6*($G$19-$G$18)/1000</f>
        <v>0</v>
      </c>
      <c r="H524">
        <f>'Refrig Mass Flow &amp; Cond kW'!F515*$C$6*($G$17-$G$16)/1000</f>
        <v>0</v>
      </c>
      <c r="I524">
        <f>'Refrig Mass Flow &amp; Cond kW'!F515*(($G$13-$G$14)-$C$6*($G$17-$G$18)/1000)-'Refrig Mass Flow &amp; Cond kW'!E515*(1-$C$6/($G$10+273))</f>
        <v>0</v>
      </c>
    </row>
    <row r="525" spans="2:9" x14ac:dyDescent="0.2">
      <c r="B525" s="2">
        <v>502</v>
      </c>
      <c r="C525">
        <f>'Refrig Mass Flow &amp; Cond kW'!G516*$C$6*(($C$19-$C$18)/1000)</f>
        <v>0</v>
      </c>
      <c r="D525">
        <f>'Refrig Mass Flow &amp; Cond kW'!G516*Spring_autumn!$C$6*((Spring_autumn!$C$17-Spring_autumn!$C$16)/1000)</f>
        <v>0</v>
      </c>
      <c r="E525">
        <f>'Refrig Mass Flow &amp; Cond kW'!D516*(($C$13-$C$14)-$C$6*($C$17-$C$18)/1000)-'Refrig Mass Flow &amp; Cond kW'!C516*(1-$C$6/($C$10+273))</f>
        <v>0</v>
      </c>
      <c r="F525" s="13"/>
      <c r="G525" s="13">
        <f>'Refrig Mass Flow &amp; Cond kW'!F516*$C$6*($G$19-$G$18)/1000</f>
        <v>0</v>
      </c>
      <c r="H525">
        <f>'Refrig Mass Flow &amp; Cond kW'!F516*$C$6*($G$17-$G$16)/1000</f>
        <v>0</v>
      </c>
      <c r="I525">
        <f>'Refrig Mass Flow &amp; Cond kW'!F516*(($G$13-$G$14)-$C$6*($G$17-$G$18)/1000)-'Refrig Mass Flow &amp; Cond kW'!E516*(1-$C$6/($G$10+273))</f>
        <v>0</v>
      </c>
    </row>
    <row r="526" spans="2:9" x14ac:dyDescent="0.2">
      <c r="B526" s="2">
        <v>503</v>
      </c>
      <c r="C526">
        <f>'Refrig Mass Flow &amp; Cond kW'!G517*$C$6*(($C$19-$C$18)/1000)</f>
        <v>0</v>
      </c>
      <c r="D526">
        <f>'Refrig Mass Flow &amp; Cond kW'!G517*Spring_autumn!$C$6*((Spring_autumn!$C$17-Spring_autumn!$C$16)/1000)</f>
        <v>0</v>
      </c>
      <c r="E526">
        <f>'Refrig Mass Flow &amp; Cond kW'!D517*(($C$13-$C$14)-$C$6*($C$17-$C$18)/1000)-'Refrig Mass Flow &amp; Cond kW'!C517*(1-$C$6/($C$10+273))</f>
        <v>0</v>
      </c>
      <c r="F526" s="13"/>
      <c r="G526" s="13">
        <f>'Refrig Mass Flow &amp; Cond kW'!F517*$C$6*($G$19-$G$18)/1000</f>
        <v>0</v>
      </c>
      <c r="H526">
        <f>'Refrig Mass Flow &amp; Cond kW'!F517*$C$6*($G$17-$G$16)/1000</f>
        <v>0</v>
      </c>
      <c r="I526">
        <f>'Refrig Mass Flow &amp; Cond kW'!F517*(($G$13-$G$14)-$C$6*($G$17-$G$18)/1000)-'Refrig Mass Flow &amp; Cond kW'!E517*(1-$C$6/($G$10+273))</f>
        <v>0</v>
      </c>
    </row>
    <row r="527" spans="2:9" x14ac:dyDescent="0.2">
      <c r="B527" s="2">
        <v>504</v>
      </c>
      <c r="C527">
        <f>'Refrig Mass Flow &amp; Cond kW'!G518*$C$6*(($C$19-$C$18)/1000)</f>
        <v>0</v>
      </c>
      <c r="D527">
        <f>'Refrig Mass Flow &amp; Cond kW'!G518*Spring_autumn!$C$6*((Spring_autumn!$C$17-Spring_autumn!$C$16)/1000)</f>
        <v>0</v>
      </c>
      <c r="E527">
        <f>'Refrig Mass Flow &amp; Cond kW'!D518*(($C$13-$C$14)-$C$6*($C$17-$C$18)/1000)-'Refrig Mass Flow &amp; Cond kW'!C518*(1-$C$6/($C$10+273))</f>
        <v>0</v>
      </c>
      <c r="F527" s="13"/>
      <c r="G527" s="13">
        <f>'Refrig Mass Flow &amp; Cond kW'!F518*$C$6*($G$19-$G$18)/1000</f>
        <v>0</v>
      </c>
      <c r="H527">
        <f>'Refrig Mass Flow &amp; Cond kW'!F518*$C$6*($G$17-$G$16)/1000</f>
        <v>0</v>
      </c>
      <c r="I527">
        <f>'Refrig Mass Flow &amp; Cond kW'!F518*(($G$13-$G$14)-$C$6*($G$17-$G$18)/1000)-'Refrig Mass Flow &amp; Cond kW'!E518*(1-$C$6/($G$10+273))</f>
        <v>0</v>
      </c>
    </row>
    <row r="528" spans="2:9" x14ac:dyDescent="0.2">
      <c r="B528" s="2">
        <v>505</v>
      </c>
      <c r="C528">
        <f>'Refrig Mass Flow &amp; Cond kW'!G519*$C$6*(($C$19-$C$18)/1000)</f>
        <v>0</v>
      </c>
      <c r="D528">
        <f>'Refrig Mass Flow &amp; Cond kW'!G519*Spring_autumn!$C$6*((Spring_autumn!$C$17-Spring_autumn!$C$16)/1000)</f>
        <v>0</v>
      </c>
      <c r="E528">
        <f>'Refrig Mass Flow &amp; Cond kW'!D519*(($C$13-$C$14)-$C$6*($C$17-$C$18)/1000)-'Refrig Mass Flow &amp; Cond kW'!C519*(1-$C$6/($C$10+273))</f>
        <v>0</v>
      </c>
      <c r="F528" s="13"/>
      <c r="G528" s="13">
        <f>'Refrig Mass Flow &amp; Cond kW'!F519*$C$6*($G$19-$G$18)/1000</f>
        <v>0</v>
      </c>
      <c r="H528">
        <f>'Refrig Mass Flow &amp; Cond kW'!F519*$C$6*($G$17-$G$16)/1000</f>
        <v>0</v>
      </c>
      <c r="I528">
        <f>'Refrig Mass Flow &amp; Cond kW'!F519*(($G$13-$G$14)-$C$6*($G$17-$G$18)/1000)-'Refrig Mass Flow &amp; Cond kW'!E519*(1-$C$6/($G$10+273))</f>
        <v>0</v>
      </c>
    </row>
    <row r="529" spans="2:9" x14ac:dyDescent="0.2">
      <c r="B529" s="2">
        <v>506</v>
      </c>
      <c r="C529">
        <f>'Refrig Mass Flow &amp; Cond kW'!G520*$C$6*(($C$19-$C$18)/1000)</f>
        <v>0</v>
      </c>
      <c r="D529">
        <f>'Refrig Mass Flow &amp; Cond kW'!G520*Spring_autumn!$C$6*((Spring_autumn!$C$17-Spring_autumn!$C$16)/1000)</f>
        <v>0</v>
      </c>
      <c r="E529">
        <f>'Refrig Mass Flow &amp; Cond kW'!D520*(($C$13-$C$14)-$C$6*($C$17-$C$18)/1000)-'Refrig Mass Flow &amp; Cond kW'!C520*(1-$C$6/($C$10+273))</f>
        <v>0</v>
      </c>
      <c r="F529" s="13"/>
      <c r="G529" s="13">
        <f>'Refrig Mass Flow &amp; Cond kW'!F520*$C$6*($G$19-$G$18)/1000</f>
        <v>0</v>
      </c>
      <c r="H529">
        <f>'Refrig Mass Flow &amp; Cond kW'!F520*$C$6*($G$17-$G$16)/1000</f>
        <v>0</v>
      </c>
      <c r="I529">
        <f>'Refrig Mass Flow &amp; Cond kW'!F520*(($G$13-$G$14)-$C$6*($G$17-$G$18)/1000)-'Refrig Mass Flow &amp; Cond kW'!E520*(1-$C$6/($G$10+273))</f>
        <v>0</v>
      </c>
    </row>
    <row r="530" spans="2:9" x14ac:dyDescent="0.2">
      <c r="B530" s="2">
        <v>507</v>
      </c>
      <c r="C530">
        <f>'Refrig Mass Flow &amp; Cond kW'!G521*$C$6*(($C$19-$C$18)/1000)</f>
        <v>0</v>
      </c>
      <c r="D530">
        <f>'Refrig Mass Flow &amp; Cond kW'!G521*Spring_autumn!$C$6*((Spring_autumn!$C$17-Spring_autumn!$C$16)/1000)</f>
        <v>0</v>
      </c>
      <c r="E530">
        <f>'Refrig Mass Flow &amp; Cond kW'!D521*(($C$13-$C$14)-$C$6*($C$17-$C$18)/1000)-'Refrig Mass Flow &amp; Cond kW'!C521*(1-$C$6/($C$10+273))</f>
        <v>0</v>
      </c>
      <c r="F530" s="13"/>
      <c r="G530" s="13">
        <f>'Refrig Mass Flow &amp; Cond kW'!F521*$C$6*($G$19-$G$18)/1000</f>
        <v>0</v>
      </c>
      <c r="H530">
        <f>'Refrig Mass Flow &amp; Cond kW'!F521*$C$6*($G$17-$G$16)/1000</f>
        <v>0</v>
      </c>
      <c r="I530">
        <f>'Refrig Mass Flow &amp; Cond kW'!F521*(($G$13-$G$14)-$C$6*($G$17-$G$18)/1000)-'Refrig Mass Flow &amp; Cond kW'!E521*(1-$C$6/($G$10+273))</f>
        <v>0</v>
      </c>
    </row>
    <row r="531" spans="2:9" x14ac:dyDescent="0.2">
      <c r="B531" s="2">
        <v>508</v>
      </c>
      <c r="C531">
        <f>'Refrig Mass Flow &amp; Cond kW'!G522*$C$6*(($C$19-$C$18)/1000)</f>
        <v>0</v>
      </c>
      <c r="D531">
        <f>'Refrig Mass Flow &amp; Cond kW'!G522*Spring_autumn!$C$6*((Spring_autumn!$C$17-Spring_autumn!$C$16)/1000)</f>
        <v>0</v>
      </c>
      <c r="E531">
        <f>'Refrig Mass Flow &amp; Cond kW'!D522*(($C$13-$C$14)-$C$6*($C$17-$C$18)/1000)-'Refrig Mass Flow &amp; Cond kW'!C522*(1-$C$6/($C$10+273))</f>
        <v>0</v>
      </c>
      <c r="F531" s="13"/>
      <c r="G531" s="13">
        <f>'Refrig Mass Flow &amp; Cond kW'!F522*$C$6*($G$19-$G$18)/1000</f>
        <v>0</v>
      </c>
      <c r="H531">
        <f>'Refrig Mass Flow &amp; Cond kW'!F522*$C$6*($G$17-$G$16)/1000</f>
        <v>0</v>
      </c>
      <c r="I531">
        <f>'Refrig Mass Flow &amp; Cond kW'!F522*(($G$13-$G$14)-$C$6*($G$17-$G$18)/1000)-'Refrig Mass Flow &amp; Cond kW'!E522*(1-$C$6/($G$10+273))</f>
        <v>0</v>
      </c>
    </row>
    <row r="532" spans="2:9" x14ac:dyDescent="0.2">
      <c r="B532" s="2">
        <v>509</v>
      </c>
      <c r="C532">
        <f>'Refrig Mass Flow &amp; Cond kW'!G523*$C$6*(($C$19-$C$18)/1000)</f>
        <v>0</v>
      </c>
      <c r="D532">
        <f>'Refrig Mass Flow &amp; Cond kW'!G523*Spring_autumn!$C$6*((Spring_autumn!$C$17-Spring_autumn!$C$16)/1000)</f>
        <v>0</v>
      </c>
      <c r="E532">
        <f>'Refrig Mass Flow &amp; Cond kW'!D523*(($C$13-$C$14)-$C$6*($C$17-$C$18)/1000)-'Refrig Mass Flow &amp; Cond kW'!C523*(1-$C$6/($C$10+273))</f>
        <v>0</v>
      </c>
      <c r="F532" s="13"/>
      <c r="G532" s="13">
        <f>'Refrig Mass Flow &amp; Cond kW'!F523*$C$6*($G$19-$G$18)/1000</f>
        <v>0</v>
      </c>
      <c r="H532">
        <f>'Refrig Mass Flow &amp; Cond kW'!F523*$C$6*($G$17-$G$16)/1000</f>
        <v>0</v>
      </c>
      <c r="I532">
        <f>'Refrig Mass Flow &amp; Cond kW'!F523*(($G$13-$G$14)-$C$6*($G$17-$G$18)/1000)-'Refrig Mass Flow &amp; Cond kW'!E523*(1-$C$6/($G$10+273))</f>
        <v>0</v>
      </c>
    </row>
    <row r="533" spans="2:9" x14ac:dyDescent="0.2">
      <c r="B533" s="2">
        <v>510</v>
      </c>
      <c r="C533">
        <f>'Refrig Mass Flow &amp; Cond kW'!G524*$C$6*(($C$19-$C$18)/1000)</f>
        <v>0</v>
      </c>
      <c r="D533">
        <f>'Refrig Mass Flow &amp; Cond kW'!G524*Spring_autumn!$C$6*((Spring_autumn!$C$17-Spring_autumn!$C$16)/1000)</f>
        <v>0</v>
      </c>
      <c r="E533">
        <f>'Refrig Mass Flow &amp; Cond kW'!D524*(($C$13-$C$14)-$C$6*($C$17-$C$18)/1000)-'Refrig Mass Flow &amp; Cond kW'!C524*(1-$C$6/($C$10+273))</f>
        <v>0</v>
      </c>
      <c r="F533" s="13"/>
      <c r="G533" s="13">
        <f>'Refrig Mass Flow &amp; Cond kW'!F524*$C$6*($G$19-$G$18)/1000</f>
        <v>0</v>
      </c>
      <c r="H533">
        <f>'Refrig Mass Flow &amp; Cond kW'!F524*$C$6*($G$17-$G$16)/1000</f>
        <v>0</v>
      </c>
      <c r="I533">
        <f>'Refrig Mass Flow &amp; Cond kW'!F524*(($G$13-$G$14)-$C$6*($G$17-$G$18)/1000)-'Refrig Mass Flow &amp; Cond kW'!E524*(1-$C$6/($G$10+273))</f>
        <v>0</v>
      </c>
    </row>
    <row r="534" spans="2:9" x14ac:dyDescent="0.2">
      <c r="B534" s="2">
        <v>511</v>
      </c>
      <c r="C534">
        <f>'Refrig Mass Flow &amp; Cond kW'!G525*$C$6*(($C$19-$C$18)/1000)</f>
        <v>0</v>
      </c>
      <c r="D534">
        <f>'Refrig Mass Flow &amp; Cond kW'!G525*Spring_autumn!$C$6*((Spring_autumn!$C$17-Spring_autumn!$C$16)/1000)</f>
        <v>0</v>
      </c>
      <c r="E534">
        <f>'Refrig Mass Flow &amp; Cond kW'!D525*(($C$13-$C$14)-$C$6*($C$17-$C$18)/1000)-'Refrig Mass Flow &amp; Cond kW'!C525*(1-$C$6/($C$10+273))</f>
        <v>0</v>
      </c>
      <c r="F534" s="13"/>
      <c r="G534" s="13">
        <f>'Refrig Mass Flow &amp; Cond kW'!F525*$C$6*($G$19-$G$18)/1000</f>
        <v>0</v>
      </c>
      <c r="H534">
        <f>'Refrig Mass Flow &amp; Cond kW'!F525*$C$6*($G$17-$G$16)/1000</f>
        <v>0</v>
      </c>
      <c r="I534">
        <f>'Refrig Mass Flow &amp; Cond kW'!F525*(($G$13-$G$14)-$C$6*($G$17-$G$18)/1000)-'Refrig Mass Flow &amp; Cond kW'!E525*(1-$C$6/($G$10+273))</f>
        <v>0</v>
      </c>
    </row>
    <row r="535" spans="2:9" x14ac:dyDescent="0.2">
      <c r="B535" s="2">
        <v>512</v>
      </c>
      <c r="C535">
        <f>'Refrig Mass Flow &amp; Cond kW'!G526*$C$6*(($C$19-$C$18)/1000)</f>
        <v>0</v>
      </c>
      <c r="D535">
        <f>'Refrig Mass Flow &amp; Cond kW'!G526*Spring_autumn!$C$6*((Spring_autumn!$C$17-Spring_autumn!$C$16)/1000)</f>
        <v>0</v>
      </c>
      <c r="E535">
        <f>'Refrig Mass Flow &amp; Cond kW'!D526*(($C$13-$C$14)-$C$6*($C$17-$C$18)/1000)-'Refrig Mass Flow &amp; Cond kW'!C526*(1-$C$6/($C$10+273))</f>
        <v>0</v>
      </c>
      <c r="F535" s="13"/>
      <c r="G535" s="13">
        <f>'Refrig Mass Flow &amp; Cond kW'!F526*$C$6*($G$19-$G$18)/1000</f>
        <v>0</v>
      </c>
      <c r="H535">
        <f>'Refrig Mass Flow &amp; Cond kW'!F526*$C$6*($G$17-$G$16)/1000</f>
        <v>0</v>
      </c>
      <c r="I535">
        <f>'Refrig Mass Flow &amp; Cond kW'!F526*(($G$13-$G$14)-$C$6*($G$17-$G$18)/1000)-'Refrig Mass Flow &amp; Cond kW'!E526*(1-$C$6/($G$10+273))</f>
        <v>0</v>
      </c>
    </row>
    <row r="536" spans="2:9" x14ac:dyDescent="0.2">
      <c r="B536" s="2">
        <v>513</v>
      </c>
      <c r="C536">
        <f>'Refrig Mass Flow &amp; Cond kW'!G527*$C$6*(($C$19-$C$18)/1000)</f>
        <v>0</v>
      </c>
      <c r="D536">
        <f>'Refrig Mass Flow &amp; Cond kW'!G527*Spring_autumn!$C$6*((Spring_autumn!$C$17-Spring_autumn!$C$16)/1000)</f>
        <v>0</v>
      </c>
      <c r="E536">
        <f>'Refrig Mass Flow &amp; Cond kW'!D527*(($C$13-$C$14)-$C$6*($C$17-$C$18)/1000)-'Refrig Mass Flow &amp; Cond kW'!C527*(1-$C$6/($C$10+273))</f>
        <v>0</v>
      </c>
      <c r="F536" s="13"/>
      <c r="G536" s="13">
        <f>'Refrig Mass Flow &amp; Cond kW'!F527*$C$6*($G$19-$G$18)/1000</f>
        <v>0</v>
      </c>
      <c r="H536">
        <f>'Refrig Mass Flow &amp; Cond kW'!F527*$C$6*($G$17-$G$16)/1000</f>
        <v>0</v>
      </c>
      <c r="I536">
        <f>'Refrig Mass Flow &amp; Cond kW'!F527*(($G$13-$G$14)-$C$6*($G$17-$G$18)/1000)-'Refrig Mass Flow &amp; Cond kW'!E527*(1-$C$6/($G$10+273))</f>
        <v>0</v>
      </c>
    </row>
    <row r="537" spans="2:9" x14ac:dyDescent="0.2">
      <c r="B537" s="2">
        <v>514</v>
      </c>
      <c r="C537">
        <f>'Refrig Mass Flow &amp; Cond kW'!G528*$C$6*(($C$19-$C$18)/1000)</f>
        <v>0</v>
      </c>
      <c r="D537">
        <f>'Refrig Mass Flow &amp; Cond kW'!G528*Spring_autumn!$C$6*((Spring_autumn!$C$17-Spring_autumn!$C$16)/1000)</f>
        <v>0</v>
      </c>
      <c r="E537">
        <f>'Refrig Mass Flow &amp; Cond kW'!D528*(($C$13-$C$14)-$C$6*($C$17-$C$18)/1000)-'Refrig Mass Flow &amp; Cond kW'!C528*(1-$C$6/($C$10+273))</f>
        <v>0</v>
      </c>
      <c r="F537" s="13"/>
      <c r="G537" s="13">
        <f>'Refrig Mass Flow &amp; Cond kW'!F528*$C$6*($G$19-$G$18)/1000</f>
        <v>0</v>
      </c>
      <c r="H537">
        <f>'Refrig Mass Flow &amp; Cond kW'!F528*$C$6*($G$17-$G$16)/1000</f>
        <v>0</v>
      </c>
      <c r="I537">
        <f>'Refrig Mass Flow &amp; Cond kW'!F528*(($G$13-$G$14)-$C$6*($G$17-$G$18)/1000)-'Refrig Mass Flow &amp; Cond kW'!E528*(1-$C$6/($G$10+273))</f>
        <v>0</v>
      </c>
    </row>
    <row r="538" spans="2:9" x14ac:dyDescent="0.2">
      <c r="B538" s="2">
        <v>515</v>
      </c>
      <c r="C538">
        <f>'Refrig Mass Flow &amp; Cond kW'!G529*$C$6*(($C$19-$C$18)/1000)</f>
        <v>0</v>
      </c>
      <c r="D538">
        <f>'Refrig Mass Flow &amp; Cond kW'!G529*Spring_autumn!$C$6*((Spring_autumn!$C$17-Spring_autumn!$C$16)/1000)</f>
        <v>0</v>
      </c>
      <c r="E538">
        <f>'Refrig Mass Flow &amp; Cond kW'!D529*(($C$13-$C$14)-$C$6*($C$17-$C$18)/1000)-'Refrig Mass Flow &amp; Cond kW'!C529*(1-$C$6/($C$10+273))</f>
        <v>0</v>
      </c>
      <c r="F538" s="13"/>
      <c r="G538" s="13">
        <f>'Refrig Mass Flow &amp; Cond kW'!F529*$C$6*($G$19-$G$18)/1000</f>
        <v>0</v>
      </c>
      <c r="H538">
        <f>'Refrig Mass Flow &amp; Cond kW'!F529*$C$6*($G$17-$G$16)/1000</f>
        <v>0</v>
      </c>
      <c r="I538">
        <f>'Refrig Mass Flow &amp; Cond kW'!F529*(($G$13-$G$14)-$C$6*($G$17-$G$18)/1000)-'Refrig Mass Flow &amp; Cond kW'!E529*(1-$C$6/($G$10+273))</f>
        <v>0</v>
      </c>
    </row>
    <row r="539" spans="2:9" x14ac:dyDescent="0.2">
      <c r="B539" s="2">
        <v>516</v>
      </c>
      <c r="C539">
        <f>'Refrig Mass Flow &amp; Cond kW'!G530*$C$6*(($C$19-$C$18)/1000)</f>
        <v>0</v>
      </c>
      <c r="D539">
        <f>'Refrig Mass Flow &amp; Cond kW'!G530*Spring_autumn!$C$6*((Spring_autumn!$C$17-Spring_autumn!$C$16)/1000)</f>
        <v>0</v>
      </c>
      <c r="E539">
        <f>'Refrig Mass Flow &amp; Cond kW'!D530*(($C$13-$C$14)-$C$6*($C$17-$C$18)/1000)-'Refrig Mass Flow &amp; Cond kW'!C530*(1-$C$6/($C$10+273))</f>
        <v>0</v>
      </c>
      <c r="F539" s="13"/>
      <c r="G539" s="13">
        <f>'Refrig Mass Flow &amp; Cond kW'!F530*$C$6*($G$19-$G$18)/1000</f>
        <v>0</v>
      </c>
      <c r="H539">
        <f>'Refrig Mass Flow &amp; Cond kW'!F530*$C$6*($G$17-$G$16)/1000</f>
        <v>0</v>
      </c>
      <c r="I539">
        <f>'Refrig Mass Flow &amp; Cond kW'!F530*(($G$13-$G$14)-$C$6*($G$17-$G$18)/1000)-'Refrig Mass Flow &amp; Cond kW'!E530*(1-$C$6/($G$10+273))</f>
        <v>0</v>
      </c>
    </row>
    <row r="540" spans="2:9" x14ac:dyDescent="0.2">
      <c r="B540" s="2">
        <v>517</v>
      </c>
      <c r="C540">
        <f>'Refrig Mass Flow &amp; Cond kW'!G531*$C$6*(($C$19-$C$18)/1000)</f>
        <v>0</v>
      </c>
      <c r="D540">
        <f>'Refrig Mass Flow &amp; Cond kW'!G531*Spring_autumn!$C$6*((Spring_autumn!$C$17-Spring_autumn!$C$16)/1000)</f>
        <v>0</v>
      </c>
      <c r="E540">
        <f>'Refrig Mass Flow &amp; Cond kW'!D531*(($C$13-$C$14)-$C$6*($C$17-$C$18)/1000)-'Refrig Mass Flow &amp; Cond kW'!C531*(1-$C$6/($C$10+273))</f>
        <v>0</v>
      </c>
      <c r="F540" s="13"/>
      <c r="G540" s="13">
        <f>'Refrig Mass Flow &amp; Cond kW'!F531*$C$6*($G$19-$G$18)/1000</f>
        <v>0</v>
      </c>
      <c r="H540">
        <f>'Refrig Mass Flow &amp; Cond kW'!F531*$C$6*($G$17-$G$16)/1000</f>
        <v>0</v>
      </c>
      <c r="I540">
        <f>'Refrig Mass Flow &amp; Cond kW'!F531*(($G$13-$G$14)-$C$6*($G$17-$G$18)/1000)-'Refrig Mass Flow &amp; Cond kW'!E531*(1-$C$6/($G$10+273))</f>
        <v>0</v>
      </c>
    </row>
    <row r="541" spans="2:9" x14ac:dyDescent="0.2">
      <c r="B541" s="2">
        <v>518</v>
      </c>
      <c r="C541">
        <f>'Refrig Mass Flow &amp; Cond kW'!G532*$C$6*(($C$19-$C$18)/1000)</f>
        <v>0</v>
      </c>
      <c r="D541">
        <f>'Refrig Mass Flow &amp; Cond kW'!G532*Spring_autumn!$C$6*((Spring_autumn!$C$17-Spring_autumn!$C$16)/1000)</f>
        <v>0</v>
      </c>
      <c r="E541">
        <f>'Refrig Mass Flow &amp; Cond kW'!D532*(($C$13-$C$14)-$C$6*($C$17-$C$18)/1000)-'Refrig Mass Flow &amp; Cond kW'!C532*(1-$C$6/($C$10+273))</f>
        <v>0</v>
      </c>
      <c r="F541" s="13"/>
      <c r="G541" s="13">
        <f>'Refrig Mass Flow &amp; Cond kW'!F532*$C$6*($G$19-$G$18)/1000</f>
        <v>0</v>
      </c>
      <c r="H541">
        <f>'Refrig Mass Flow &amp; Cond kW'!F532*$C$6*($G$17-$G$16)/1000</f>
        <v>0</v>
      </c>
      <c r="I541">
        <f>'Refrig Mass Flow &amp; Cond kW'!F532*(($G$13-$G$14)-$C$6*($G$17-$G$18)/1000)-'Refrig Mass Flow &amp; Cond kW'!E532*(1-$C$6/($G$10+273))</f>
        <v>0</v>
      </c>
    </row>
    <row r="542" spans="2:9" x14ac:dyDescent="0.2">
      <c r="B542" s="2">
        <v>519</v>
      </c>
      <c r="C542">
        <f>'Refrig Mass Flow &amp; Cond kW'!G533*$C$6*(($C$19-$C$18)/1000)</f>
        <v>0</v>
      </c>
      <c r="D542">
        <f>'Refrig Mass Flow &amp; Cond kW'!G533*Spring_autumn!$C$6*((Spring_autumn!$C$17-Spring_autumn!$C$16)/1000)</f>
        <v>0</v>
      </c>
      <c r="E542">
        <f>'Refrig Mass Flow &amp; Cond kW'!D533*(($C$13-$C$14)-$C$6*($C$17-$C$18)/1000)-'Refrig Mass Flow &amp; Cond kW'!C533*(1-$C$6/($C$10+273))</f>
        <v>0</v>
      </c>
      <c r="F542" s="13"/>
      <c r="G542" s="13">
        <f>'Refrig Mass Flow &amp; Cond kW'!F533*$C$6*($G$19-$G$18)/1000</f>
        <v>0</v>
      </c>
      <c r="H542">
        <f>'Refrig Mass Flow &amp; Cond kW'!F533*$C$6*($G$17-$G$16)/1000</f>
        <v>0</v>
      </c>
      <c r="I542">
        <f>'Refrig Mass Flow &amp; Cond kW'!F533*(($G$13-$G$14)-$C$6*($G$17-$G$18)/1000)-'Refrig Mass Flow &amp; Cond kW'!E533*(1-$C$6/($G$10+273))</f>
        <v>0</v>
      </c>
    </row>
    <row r="543" spans="2:9" x14ac:dyDescent="0.2">
      <c r="B543" s="2">
        <v>520</v>
      </c>
      <c r="C543">
        <f>'Refrig Mass Flow &amp; Cond kW'!G534*$C$6*(($C$19-$C$18)/1000)</f>
        <v>0</v>
      </c>
      <c r="D543">
        <f>'Refrig Mass Flow &amp; Cond kW'!G534*Spring_autumn!$C$6*((Spring_autumn!$C$17-Spring_autumn!$C$16)/1000)</f>
        <v>0</v>
      </c>
      <c r="E543">
        <f>'Refrig Mass Flow &amp; Cond kW'!D534*(($C$13-$C$14)-$C$6*($C$17-$C$18)/1000)-'Refrig Mass Flow &amp; Cond kW'!C534*(1-$C$6/($C$10+273))</f>
        <v>0</v>
      </c>
      <c r="F543" s="13"/>
      <c r="G543" s="13">
        <f>'Refrig Mass Flow &amp; Cond kW'!F534*$C$6*($G$19-$G$18)/1000</f>
        <v>0</v>
      </c>
      <c r="H543">
        <f>'Refrig Mass Flow &amp; Cond kW'!F534*$C$6*($G$17-$G$16)/1000</f>
        <v>0</v>
      </c>
      <c r="I543">
        <f>'Refrig Mass Flow &amp; Cond kW'!F534*(($G$13-$G$14)-$C$6*($G$17-$G$18)/1000)-'Refrig Mass Flow &amp; Cond kW'!E534*(1-$C$6/($G$10+273))</f>
        <v>0</v>
      </c>
    </row>
    <row r="544" spans="2:9" x14ac:dyDescent="0.2">
      <c r="B544" s="2">
        <v>521</v>
      </c>
      <c r="C544">
        <f>'Refrig Mass Flow &amp; Cond kW'!G535*$C$6*(($C$19-$C$18)/1000)</f>
        <v>0</v>
      </c>
      <c r="D544">
        <f>'Refrig Mass Flow &amp; Cond kW'!G535*Spring_autumn!$C$6*((Spring_autumn!$C$17-Spring_autumn!$C$16)/1000)</f>
        <v>0</v>
      </c>
      <c r="E544">
        <f>'Refrig Mass Flow &amp; Cond kW'!D535*(($C$13-$C$14)-$C$6*($C$17-$C$18)/1000)-'Refrig Mass Flow &amp; Cond kW'!C535*(1-$C$6/($C$10+273))</f>
        <v>0</v>
      </c>
      <c r="F544" s="13"/>
      <c r="G544" s="13">
        <f>'Refrig Mass Flow &amp; Cond kW'!F535*$C$6*($G$19-$G$18)/1000</f>
        <v>0</v>
      </c>
      <c r="H544">
        <f>'Refrig Mass Flow &amp; Cond kW'!F535*$C$6*($G$17-$G$16)/1000</f>
        <v>0</v>
      </c>
      <c r="I544">
        <f>'Refrig Mass Flow &amp; Cond kW'!F535*(($G$13-$G$14)-$C$6*($G$17-$G$18)/1000)-'Refrig Mass Flow &amp; Cond kW'!E535*(1-$C$6/($G$10+273))</f>
        <v>0</v>
      </c>
    </row>
    <row r="545" spans="2:9" x14ac:dyDescent="0.2">
      <c r="B545" s="2">
        <v>522</v>
      </c>
      <c r="C545">
        <f>'Refrig Mass Flow &amp; Cond kW'!G536*$C$6*(($C$19-$C$18)/1000)</f>
        <v>0</v>
      </c>
      <c r="D545">
        <f>'Refrig Mass Flow &amp; Cond kW'!G536*Spring_autumn!$C$6*((Spring_autumn!$C$17-Spring_autumn!$C$16)/1000)</f>
        <v>0</v>
      </c>
      <c r="E545">
        <f>'Refrig Mass Flow &amp; Cond kW'!D536*(($C$13-$C$14)-$C$6*($C$17-$C$18)/1000)-'Refrig Mass Flow &amp; Cond kW'!C536*(1-$C$6/($C$10+273))</f>
        <v>0</v>
      </c>
      <c r="F545" s="13"/>
      <c r="G545" s="13">
        <f>'Refrig Mass Flow &amp; Cond kW'!F536*$C$6*($G$19-$G$18)/1000</f>
        <v>0</v>
      </c>
      <c r="H545">
        <f>'Refrig Mass Flow &amp; Cond kW'!F536*$C$6*($G$17-$G$16)/1000</f>
        <v>0</v>
      </c>
      <c r="I545">
        <f>'Refrig Mass Flow &amp; Cond kW'!F536*(($G$13-$G$14)-$C$6*($G$17-$G$18)/1000)-'Refrig Mass Flow &amp; Cond kW'!E536*(1-$C$6/($G$10+273))</f>
        <v>0</v>
      </c>
    </row>
    <row r="546" spans="2:9" x14ac:dyDescent="0.2">
      <c r="B546" s="2">
        <v>523</v>
      </c>
      <c r="C546">
        <f>'Refrig Mass Flow &amp; Cond kW'!G537*$C$6*(($C$19-$C$18)/1000)</f>
        <v>0</v>
      </c>
      <c r="D546">
        <f>'Refrig Mass Flow &amp; Cond kW'!G537*Spring_autumn!$C$6*((Spring_autumn!$C$17-Spring_autumn!$C$16)/1000)</f>
        <v>0</v>
      </c>
      <c r="E546">
        <f>'Refrig Mass Flow &amp; Cond kW'!D537*(($C$13-$C$14)-$C$6*($C$17-$C$18)/1000)-'Refrig Mass Flow &amp; Cond kW'!C537*(1-$C$6/($C$10+273))</f>
        <v>0</v>
      </c>
      <c r="F546" s="13"/>
      <c r="G546" s="13">
        <f>'Refrig Mass Flow &amp; Cond kW'!F537*$C$6*($G$19-$G$18)/1000</f>
        <v>0</v>
      </c>
      <c r="H546">
        <f>'Refrig Mass Flow &amp; Cond kW'!F537*$C$6*($G$17-$G$16)/1000</f>
        <v>0</v>
      </c>
      <c r="I546">
        <f>'Refrig Mass Flow &amp; Cond kW'!F537*(($G$13-$G$14)-$C$6*($G$17-$G$18)/1000)-'Refrig Mass Flow &amp; Cond kW'!E537*(1-$C$6/($G$10+273))</f>
        <v>0</v>
      </c>
    </row>
    <row r="547" spans="2:9" x14ac:dyDescent="0.2">
      <c r="B547" s="2">
        <v>524</v>
      </c>
      <c r="C547">
        <f>'Refrig Mass Flow &amp; Cond kW'!G538*$C$6*(($C$19-$C$18)/1000)</f>
        <v>0</v>
      </c>
      <c r="D547">
        <f>'Refrig Mass Flow &amp; Cond kW'!G538*Spring_autumn!$C$6*((Spring_autumn!$C$17-Spring_autumn!$C$16)/1000)</f>
        <v>0</v>
      </c>
      <c r="E547">
        <f>'Refrig Mass Flow &amp; Cond kW'!D538*(($C$13-$C$14)-$C$6*($C$17-$C$18)/1000)-'Refrig Mass Flow &amp; Cond kW'!C538*(1-$C$6/($C$10+273))</f>
        <v>0</v>
      </c>
      <c r="F547" s="13"/>
      <c r="G547" s="13">
        <f>'Refrig Mass Flow &amp; Cond kW'!F538*$C$6*($G$19-$G$18)/1000</f>
        <v>0</v>
      </c>
      <c r="H547">
        <f>'Refrig Mass Flow &amp; Cond kW'!F538*$C$6*($G$17-$G$16)/1000</f>
        <v>0</v>
      </c>
      <c r="I547">
        <f>'Refrig Mass Flow &amp; Cond kW'!F538*(($G$13-$G$14)-$C$6*($G$17-$G$18)/1000)-'Refrig Mass Flow &amp; Cond kW'!E538*(1-$C$6/($G$10+273))</f>
        <v>0</v>
      </c>
    </row>
    <row r="548" spans="2:9" x14ac:dyDescent="0.2">
      <c r="B548" s="2">
        <v>525</v>
      </c>
      <c r="C548">
        <f>'Refrig Mass Flow &amp; Cond kW'!G539*$C$6*(($C$19-$C$18)/1000)</f>
        <v>0</v>
      </c>
      <c r="D548">
        <f>'Refrig Mass Flow &amp; Cond kW'!G539*Spring_autumn!$C$6*((Spring_autumn!$C$17-Spring_autumn!$C$16)/1000)</f>
        <v>0</v>
      </c>
      <c r="E548">
        <f>'Refrig Mass Flow &amp; Cond kW'!D539*(($C$13-$C$14)-$C$6*($C$17-$C$18)/1000)-'Refrig Mass Flow &amp; Cond kW'!C539*(1-$C$6/($C$10+273))</f>
        <v>0</v>
      </c>
      <c r="F548" s="13"/>
      <c r="G548" s="13">
        <f>'Refrig Mass Flow &amp; Cond kW'!F539*$C$6*($G$19-$G$18)/1000</f>
        <v>0</v>
      </c>
      <c r="H548">
        <f>'Refrig Mass Flow &amp; Cond kW'!F539*$C$6*($G$17-$G$16)/1000</f>
        <v>0</v>
      </c>
      <c r="I548">
        <f>'Refrig Mass Flow &amp; Cond kW'!F539*(($G$13-$G$14)-$C$6*($G$17-$G$18)/1000)-'Refrig Mass Flow &amp; Cond kW'!E539*(1-$C$6/($G$10+273))</f>
        <v>0</v>
      </c>
    </row>
    <row r="549" spans="2:9" x14ac:dyDescent="0.2">
      <c r="B549" s="2">
        <v>526</v>
      </c>
      <c r="C549">
        <f>'Refrig Mass Flow &amp; Cond kW'!G540*$C$6*(($C$19-$C$18)/1000)</f>
        <v>0</v>
      </c>
      <c r="D549">
        <f>'Refrig Mass Flow &amp; Cond kW'!G540*Spring_autumn!$C$6*((Spring_autumn!$C$17-Spring_autumn!$C$16)/1000)</f>
        <v>0</v>
      </c>
      <c r="E549">
        <f>'Refrig Mass Flow &amp; Cond kW'!D540*(($C$13-$C$14)-$C$6*($C$17-$C$18)/1000)-'Refrig Mass Flow &amp; Cond kW'!C540*(1-$C$6/($C$10+273))</f>
        <v>0</v>
      </c>
      <c r="F549" s="13"/>
      <c r="G549" s="13">
        <f>'Refrig Mass Flow &amp; Cond kW'!F540*$C$6*($G$19-$G$18)/1000</f>
        <v>0</v>
      </c>
      <c r="H549">
        <f>'Refrig Mass Flow &amp; Cond kW'!F540*$C$6*($G$17-$G$16)/1000</f>
        <v>0</v>
      </c>
      <c r="I549">
        <f>'Refrig Mass Flow &amp; Cond kW'!F540*(($G$13-$G$14)-$C$6*($G$17-$G$18)/1000)-'Refrig Mass Flow &amp; Cond kW'!E540*(1-$C$6/($G$10+273))</f>
        <v>0</v>
      </c>
    </row>
    <row r="550" spans="2:9" x14ac:dyDescent="0.2">
      <c r="B550" s="2">
        <v>527</v>
      </c>
      <c r="C550">
        <f>'Refrig Mass Flow &amp; Cond kW'!G541*$C$6*(($C$19-$C$18)/1000)</f>
        <v>0</v>
      </c>
      <c r="D550">
        <f>'Refrig Mass Flow &amp; Cond kW'!G541*Spring_autumn!$C$6*((Spring_autumn!$C$17-Spring_autumn!$C$16)/1000)</f>
        <v>0</v>
      </c>
      <c r="E550">
        <f>'Refrig Mass Flow &amp; Cond kW'!D541*(($C$13-$C$14)-$C$6*($C$17-$C$18)/1000)-'Refrig Mass Flow &amp; Cond kW'!C541*(1-$C$6/($C$10+273))</f>
        <v>0</v>
      </c>
      <c r="F550" s="13"/>
      <c r="G550" s="13">
        <f>'Refrig Mass Flow &amp; Cond kW'!F541*$C$6*($G$19-$G$18)/1000</f>
        <v>0</v>
      </c>
      <c r="H550">
        <f>'Refrig Mass Flow &amp; Cond kW'!F541*$C$6*($G$17-$G$16)/1000</f>
        <v>0</v>
      </c>
      <c r="I550">
        <f>'Refrig Mass Flow &amp; Cond kW'!F541*(($G$13-$G$14)-$C$6*($G$17-$G$18)/1000)-'Refrig Mass Flow &amp; Cond kW'!E541*(1-$C$6/($G$10+273))</f>
        <v>0</v>
      </c>
    </row>
    <row r="551" spans="2:9" x14ac:dyDescent="0.2">
      <c r="B551" s="2">
        <v>528</v>
      </c>
      <c r="C551">
        <f>'Refrig Mass Flow &amp; Cond kW'!G542*$C$6*(($C$19-$C$18)/1000)</f>
        <v>0</v>
      </c>
      <c r="D551">
        <f>'Refrig Mass Flow &amp; Cond kW'!G542*Spring_autumn!$C$6*((Spring_autumn!$C$17-Spring_autumn!$C$16)/1000)</f>
        <v>0</v>
      </c>
      <c r="E551">
        <f>'Refrig Mass Flow &amp; Cond kW'!D542*(($C$13-$C$14)-$C$6*($C$17-$C$18)/1000)-'Refrig Mass Flow &amp; Cond kW'!C542*(1-$C$6/($C$10+273))</f>
        <v>0</v>
      </c>
      <c r="F551" s="13"/>
      <c r="G551" s="13">
        <f>'Refrig Mass Flow &amp; Cond kW'!F542*$C$6*($G$19-$G$18)/1000</f>
        <v>0</v>
      </c>
      <c r="H551">
        <f>'Refrig Mass Flow &amp; Cond kW'!F542*$C$6*($G$17-$G$16)/1000</f>
        <v>0</v>
      </c>
      <c r="I551">
        <f>'Refrig Mass Flow &amp; Cond kW'!F542*(($G$13-$G$14)-$C$6*($G$17-$G$18)/1000)-'Refrig Mass Flow &amp; Cond kW'!E542*(1-$C$6/($G$10+273))</f>
        <v>0</v>
      </c>
    </row>
    <row r="552" spans="2:9" x14ac:dyDescent="0.2">
      <c r="B552" s="2">
        <v>529</v>
      </c>
      <c r="C552">
        <f>'Refrig Mass Flow &amp; Cond kW'!G543*$C$6*(($C$19-$C$18)/1000)</f>
        <v>0</v>
      </c>
      <c r="D552">
        <f>'Refrig Mass Flow &amp; Cond kW'!G543*Spring_autumn!$C$6*((Spring_autumn!$C$17-Spring_autumn!$C$16)/1000)</f>
        <v>0</v>
      </c>
      <c r="E552">
        <f>'Refrig Mass Flow &amp; Cond kW'!D543*(($C$13-$C$14)-$C$6*($C$17-$C$18)/1000)-'Refrig Mass Flow &amp; Cond kW'!C543*(1-$C$6/($C$10+273))</f>
        <v>0</v>
      </c>
      <c r="F552" s="13"/>
      <c r="G552" s="13">
        <f>'Refrig Mass Flow &amp; Cond kW'!F543*$C$6*($G$19-$G$18)/1000</f>
        <v>6.7034733459157853E-3</v>
      </c>
      <c r="H552">
        <f>'Refrig Mass Flow &amp; Cond kW'!F543*$C$6*($G$17-$G$16)/1000</f>
        <v>4.1798127921591065E-2</v>
      </c>
      <c r="I552">
        <f>'Refrig Mass Flow &amp; Cond kW'!F543*(($G$13-$G$14)-$C$6*($G$17-$G$18)/1000)-'Refrig Mass Flow &amp; Cond kW'!E543*(1-$C$6/($G$10+273))</f>
        <v>1.8500272028188408E-2</v>
      </c>
    </row>
    <row r="553" spans="2:9" x14ac:dyDescent="0.2">
      <c r="B553" s="2">
        <v>530</v>
      </c>
      <c r="C553">
        <f>'Refrig Mass Flow &amp; Cond kW'!G544*$C$6*(($C$19-$C$18)/1000)</f>
        <v>0</v>
      </c>
      <c r="D553">
        <f>'Refrig Mass Flow &amp; Cond kW'!G544*Spring_autumn!$C$6*((Spring_autumn!$C$17-Spring_autumn!$C$16)/1000)</f>
        <v>0</v>
      </c>
      <c r="E553">
        <f>'Refrig Mass Flow &amp; Cond kW'!D544*(($C$13-$C$14)-$C$6*($C$17-$C$18)/1000)-'Refrig Mass Flow &amp; Cond kW'!C544*(1-$C$6/($C$10+273))</f>
        <v>0</v>
      </c>
      <c r="F553" s="13"/>
      <c r="G553" s="13">
        <f>'Refrig Mass Flow &amp; Cond kW'!F544*$C$6*($G$19-$G$18)/1000</f>
        <v>3.2966911726855445E-2</v>
      </c>
      <c r="H553">
        <f>'Refrig Mass Flow &amp; Cond kW'!F544*$C$6*($G$17-$G$16)/1000</f>
        <v>0.20555839076744431</v>
      </c>
      <c r="I553">
        <f>'Refrig Mass Flow &amp; Cond kW'!F544*(($G$13-$G$14)-$C$6*($G$17-$G$18)/1000)-'Refrig Mass Flow &amp; Cond kW'!E544*(1-$C$6/($G$10+273))</f>
        <v>9.098221226577885E-2</v>
      </c>
    </row>
    <row r="554" spans="2:9" x14ac:dyDescent="0.2">
      <c r="B554" s="2">
        <v>531</v>
      </c>
      <c r="C554">
        <f>'Refrig Mass Flow &amp; Cond kW'!G545*$C$6*(($C$19-$C$18)/1000)</f>
        <v>0</v>
      </c>
      <c r="D554">
        <f>'Refrig Mass Flow &amp; Cond kW'!G545*Spring_autumn!$C$6*((Spring_autumn!$C$17-Spring_autumn!$C$16)/1000)</f>
        <v>0</v>
      </c>
      <c r="E554">
        <f>'Refrig Mass Flow &amp; Cond kW'!D545*(($C$13-$C$14)-$C$6*($C$17-$C$18)/1000)-'Refrig Mass Flow &amp; Cond kW'!C545*(1-$C$6/($C$10+273))</f>
        <v>0</v>
      </c>
      <c r="F554" s="13"/>
      <c r="G554" s="13">
        <f>'Refrig Mass Flow &amp; Cond kW'!F545*$C$6*($G$19-$G$18)/1000</f>
        <v>5.9223159381260007E-2</v>
      </c>
      <c r="H554">
        <f>'Refrig Mass Flow &amp; Cond kW'!F545*$C$6*($G$17-$G$16)/1000</f>
        <v>0.36927381731843173</v>
      </c>
      <c r="I554">
        <f>'Refrig Mass Flow &amp; Cond kW'!F545*(($G$13-$G$14)-$C$6*($G$17-$G$18)/1000)-'Refrig Mass Flow &amp; Cond kW'!E545*(1-$C$6/($G$10+273))</f>
        <v>0.16344430750807826</v>
      </c>
    </row>
    <row r="555" spans="2:9" x14ac:dyDescent="0.2">
      <c r="B555" s="2">
        <v>532</v>
      </c>
      <c r="C555">
        <f>'Refrig Mass Flow &amp; Cond kW'!G546*$C$6*(($C$19-$C$18)/1000)</f>
        <v>0</v>
      </c>
      <c r="D555">
        <f>'Refrig Mass Flow &amp; Cond kW'!G546*Spring_autumn!$C$6*((Spring_autumn!$C$17-Spring_autumn!$C$16)/1000)</f>
        <v>0</v>
      </c>
      <c r="E555">
        <f>'Refrig Mass Flow &amp; Cond kW'!D546*(($C$13-$C$14)-$C$6*($C$17-$C$18)/1000)-'Refrig Mass Flow &amp; Cond kW'!C546*(1-$C$6/($C$10+273))</f>
        <v>0</v>
      </c>
      <c r="F555" s="13"/>
      <c r="G555" s="13">
        <f>'Refrig Mass Flow &amp; Cond kW'!F546*$C$6*($G$19-$G$18)/1000</f>
        <v>8.5469811013832248E-2</v>
      </c>
      <c r="H555">
        <f>'Refrig Mass Flow &amp; Cond kW'!F546*$C$6*($G$17-$G$16)/1000</f>
        <v>0.53292940985093518</v>
      </c>
      <c r="I555">
        <f>'Refrig Mass Flow &amp; Cond kW'!F546*(($G$13-$G$14)-$C$6*($G$17-$G$18)/1000)-'Refrig Mass Flow &amp; Cond kW'!E546*(1-$C$6/($G$10+273))</f>
        <v>0.23587991961169408</v>
      </c>
    </row>
    <row r="556" spans="2:9" x14ac:dyDescent="0.2">
      <c r="B556" s="2">
        <v>533</v>
      </c>
      <c r="C556">
        <f>'Refrig Mass Flow &amp; Cond kW'!G547*$C$6*(($C$19-$C$18)/1000)</f>
        <v>0</v>
      </c>
      <c r="D556">
        <f>'Refrig Mass Flow &amp; Cond kW'!G547*Spring_autumn!$C$6*((Spring_autumn!$C$17-Spring_autumn!$C$16)/1000)</f>
        <v>0</v>
      </c>
      <c r="E556">
        <f>'Refrig Mass Flow &amp; Cond kW'!D547*(($C$13-$C$14)-$C$6*($C$17-$C$18)/1000)-'Refrig Mass Flow &amp; Cond kW'!C547*(1-$C$6/($C$10+273))</f>
        <v>0</v>
      </c>
      <c r="F556" s="13"/>
      <c r="G556" s="13">
        <f>'Refrig Mass Flow &amp; Cond kW'!F547*$C$6*($G$19-$G$18)/1000</f>
        <v>0.11170446259060302</v>
      </c>
      <c r="H556">
        <f>'Refrig Mass Flow &amp; Cond kW'!F547*$C$6*($G$17-$G$16)/1000</f>
        <v>0.69651017850608832</v>
      </c>
      <c r="I556">
        <f>'Refrig Mass Flow &amp; Cond kW'!F547*(($G$13-$G$14)-$C$6*($G$17-$G$18)/1000)-'Refrig Mass Flow &amp; Cond kW'!E547*(1-$C$6/($G$10+273))</f>
        <v>0.30828241391424971</v>
      </c>
    </row>
    <row r="557" spans="2:9" x14ac:dyDescent="0.2">
      <c r="B557" s="2">
        <v>534</v>
      </c>
      <c r="C557">
        <f>'Refrig Mass Flow &amp; Cond kW'!G548*$C$6*(($C$19-$C$18)/1000)</f>
        <v>0</v>
      </c>
      <c r="D557">
        <f>'Refrig Mass Flow &amp; Cond kW'!G548*Spring_autumn!$C$6*((Spring_autumn!$C$17-Spring_autumn!$C$16)/1000)</f>
        <v>0</v>
      </c>
      <c r="E557">
        <f>'Refrig Mass Flow &amp; Cond kW'!D548*(($C$13-$C$14)-$C$6*($C$17-$C$18)/1000)-'Refrig Mass Flow &amp; Cond kW'!C548*(1-$C$6/($C$10+273))</f>
        <v>0</v>
      </c>
      <c r="F557" s="13"/>
      <c r="G557" s="13">
        <f>'Refrig Mass Flow &amp; Cond kW'!F548*$C$6*($G$19-$G$18)/1000</f>
        <v>0.1379247115590653</v>
      </c>
      <c r="H557">
        <f>'Refrig Mass Flow &amp; Cond kW'!F548*$C$6*($G$17-$G$16)/1000</f>
        <v>0.86000114266237682</v>
      </c>
      <c r="I557">
        <f>'Refrig Mass Flow &amp; Cond kW'!F548*(($G$13-$G$14)-$C$6*($G$17-$G$18)/1000)-'Refrig Mass Flow &amp; Cond kW'!E548*(1-$C$6/($G$10+273))</f>
        <v>0.38064515984191427</v>
      </c>
    </row>
    <row r="558" spans="2:9" x14ac:dyDescent="0.2">
      <c r="B558" s="2">
        <v>535</v>
      </c>
      <c r="C558">
        <f>'Refrig Mass Flow &amp; Cond kW'!G549*$C$6*(($C$19-$C$18)/1000)</f>
        <v>0</v>
      </c>
      <c r="D558">
        <f>'Refrig Mass Flow &amp; Cond kW'!G549*Spring_autumn!$C$6*((Spring_autumn!$C$17-Spring_autumn!$C$16)/1000)</f>
        <v>0</v>
      </c>
      <c r="E558">
        <f>'Refrig Mass Flow &amp; Cond kW'!D549*(($C$13-$C$14)-$C$6*($C$17-$C$18)/1000)-'Refrig Mass Flow &amp; Cond kW'!C549*(1-$C$6/($C$10+273))</f>
        <v>0</v>
      </c>
      <c r="F558" s="13"/>
      <c r="G558" s="13">
        <f>'Refrig Mass Flow &amp; Cond kW'!F549*$C$6*($G$19-$G$18)/1000</f>
        <v>0.16441894610594782</v>
      </c>
      <c r="H558">
        <f>'Refrig Mass Flow &amp; Cond kW'!F549*$C$6*($G$17-$G$16)/1000</f>
        <v>1.0252004874841092</v>
      </c>
      <c r="I558">
        <f>'Refrig Mass Flow &amp; Cond kW'!F549*(($G$13-$G$14)-$C$6*($G$17-$G$18)/1000)-'Refrig Mass Flow &amp; Cond kW'!E549*(1-$C$6/($G$10+273))</f>
        <v>0.45376405224335681</v>
      </c>
    </row>
    <row r="559" spans="2:9" x14ac:dyDescent="0.2">
      <c r="B559" s="2">
        <v>536</v>
      </c>
      <c r="C559">
        <f>'Refrig Mass Flow &amp; Cond kW'!G550*$C$6*(($C$19-$C$18)/1000)</f>
        <v>0</v>
      </c>
      <c r="D559">
        <f>'Refrig Mass Flow &amp; Cond kW'!G550*Spring_autumn!$C$6*((Spring_autumn!$C$17-Spring_autumn!$C$16)/1000)</f>
        <v>0</v>
      </c>
      <c r="E559">
        <f>'Refrig Mass Flow &amp; Cond kW'!D550*(($C$13-$C$14)-$C$6*($C$17-$C$18)/1000)-'Refrig Mass Flow &amp; Cond kW'!C550*(1-$C$6/($C$10+273))</f>
        <v>0</v>
      </c>
      <c r="F559" s="13"/>
      <c r="G559" s="13">
        <f>'Refrig Mass Flow &amp; Cond kW'!F550*$C$6*($G$19-$G$18)/1000</f>
        <v>0.19105467058475364</v>
      </c>
      <c r="H559">
        <f>'Refrig Mass Flow &amp; Cond kW'!F550*$C$6*($G$17-$G$16)/1000</f>
        <v>1.1912820636460688</v>
      </c>
      <c r="I559">
        <f>'Refrig Mass Flow &amp; Cond kW'!F550*(($G$13-$G$14)-$C$6*($G$17-$G$18)/1000)-'Refrig Mass Flow &amp; Cond kW'!E550*(1-$C$6/($G$10+273))</f>
        <v>0.52727342911378372</v>
      </c>
    </row>
    <row r="560" spans="2:9" x14ac:dyDescent="0.2">
      <c r="B560" s="2">
        <v>537</v>
      </c>
      <c r="C560">
        <f>'Refrig Mass Flow &amp; Cond kW'!G551*$C$6*(($C$19-$C$18)/1000)</f>
        <v>0</v>
      </c>
      <c r="D560">
        <f>'Refrig Mass Flow &amp; Cond kW'!G551*Spring_autumn!$C$6*((Spring_autumn!$C$17-Spring_autumn!$C$16)/1000)</f>
        <v>0</v>
      </c>
      <c r="E560">
        <f>'Refrig Mass Flow &amp; Cond kW'!D551*(($C$13-$C$14)-$C$6*($C$17-$C$18)/1000)-'Refrig Mass Flow &amp; Cond kW'!C551*(1-$C$6/($C$10+273))</f>
        <v>0</v>
      </c>
      <c r="F560" s="13"/>
      <c r="G560" s="13">
        <f>'Refrig Mass Flow &amp; Cond kW'!F551*$C$6*($G$19-$G$18)/1000</f>
        <v>0.2177922570607678</v>
      </c>
      <c r="H560">
        <f>'Refrig Mass Flow &amp; Cond kW'!F551*$C$6*($G$17-$G$16)/1000</f>
        <v>1.3579987793200337</v>
      </c>
      <c r="I560">
        <f>'Refrig Mass Flow &amp; Cond kW'!F551*(($G$13-$G$14)-$C$6*($G$17-$G$18)/1000)-'Refrig Mass Flow &amp; Cond kW'!E551*(1-$C$6/($G$10+273))</f>
        <v>0.60106392512356432</v>
      </c>
    </row>
    <row r="561" spans="2:9" x14ac:dyDescent="0.2">
      <c r="B561" s="2">
        <v>538</v>
      </c>
      <c r="C561">
        <f>'Refrig Mass Flow &amp; Cond kW'!G552*$C$6*(($C$19-$C$18)/1000)</f>
        <v>0</v>
      </c>
      <c r="D561">
        <f>'Refrig Mass Flow &amp; Cond kW'!G552*Spring_autumn!$C$6*((Spring_autumn!$C$17-Spring_autumn!$C$16)/1000)</f>
        <v>0</v>
      </c>
      <c r="E561">
        <f>'Refrig Mass Flow &amp; Cond kW'!D552*(($C$13-$C$14)-$C$6*($C$17-$C$18)/1000)-'Refrig Mass Flow &amp; Cond kW'!C552*(1-$C$6/($C$10+273))</f>
        <v>0</v>
      </c>
      <c r="F561" s="13"/>
      <c r="G561" s="13">
        <f>'Refrig Mass Flow &amp; Cond kW'!F552*$C$6*($G$19-$G$18)/1000</f>
        <v>0.24431563498051082</v>
      </c>
      <c r="H561">
        <f>'Refrig Mass Flow &amp; Cond kW'!F552*$C$6*($G$17-$G$16)/1000</f>
        <v>1.5233798416431314</v>
      </c>
      <c r="I561">
        <f>'Refrig Mass Flow &amp; Cond kW'!F552*(($G$13-$G$14)-$C$6*($G$17-$G$18)/1000)-'Refrig Mass Flow &amp; Cond kW'!E552*(1-$C$6/($G$10+273))</f>
        <v>0.67426324751971656</v>
      </c>
    </row>
    <row r="562" spans="2:9" x14ac:dyDescent="0.2">
      <c r="B562" s="2">
        <v>539</v>
      </c>
      <c r="C562">
        <f>'Refrig Mass Flow &amp; Cond kW'!G553*$C$6*(($C$19-$C$18)/1000)</f>
        <v>0</v>
      </c>
      <c r="D562">
        <f>'Refrig Mass Flow &amp; Cond kW'!G553*Spring_autumn!$C$6*((Spring_autumn!$C$17-Spring_autumn!$C$16)/1000)</f>
        <v>0</v>
      </c>
      <c r="E562">
        <f>'Refrig Mass Flow &amp; Cond kW'!D553*(($C$13-$C$14)-$C$6*($C$17-$C$18)/1000)-'Refrig Mass Flow &amp; Cond kW'!C553*(1-$C$6/($C$10+273))</f>
        <v>0</v>
      </c>
      <c r="F562" s="13"/>
      <c r="G562" s="13">
        <f>'Refrig Mass Flow &amp; Cond kW'!F553*$C$6*($G$19-$G$18)/1000</f>
        <v>0.27074359019434513</v>
      </c>
      <c r="H562">
        <f>'Refrig Mass Flow &amp; Cond kW'!F553*$C$6*($G$17-$G$16)/1000</f>
        <v>1.6881659153293864</v>
      </c>
      <c r="I562">
        <f>'Refrig Mass Flow &amp; Cond kW'!F553*(($G$13-$G$14)-$C$6*($G$17-$G$18)/1000)-'Refrig Mass Flow &amp; Cond kW'!E553*(1-$C$6/($G$10+273))</f>
        <v>0.74719922195789046</v>
      </c>
    </row>
    <row r="563" spans="2:9" x14ac:dyDescent="0.2">
      <c r="B563" s="2">
        <v>540</v>
      </c>
      <c r="C563">
        <f>'Refrig Mass Flow &amp; Cond kW'!G554*$C$6*(($C$19-$C$18)/1000)</f>
        <v>0</v>
      </c>
      <c r="D563">
        <f>'Refrig Mass Flow &amp; Cond kW'!G554*Spring_autumn!$C$6*((Spring_autumn!$C$17-Spring_autumn!$C$16)/1000)</f>
        <v>0</v>
      </c>
      <c r="E563">
        <f>'Refrig Mass Flow &amp; Cond kW'!D554*(($C$13-$C$14)-$C$6*($C$17-$C$18)/1000)-'Refrig Mass Flow &amp; Cond kW'!C554*(1-$C$6/($C$10+273))</f>
        <v>0</v>
      </c>
      <c r="F563" s="13"/>
      <c r="G563" s="13">
        <f>'Refrig Mass Flow &amp; Cond kW'!F554*$C$6*($G$19-$G$18)/1000</f>
        <v>0.2970475807341606</v>
      </c>
      <c r="H563">
        <f>'Refrig Mass Flow &amp; Cond kW'!F554*$C$6*($G$17-$G$16)/1000</f>
        <v>1.8521790328129359</v>
      </c>
      <c r="I563">
        <f>'Refrig Mass Flow &amp; Cond kW'!F554*(($G$13-$G$14)-$C$6*($G$17-$G$18)/1000)-'Refrig Mass Flow &amp; Cond kW'!E554*(1-$C$6/($G$10+273))</f>
        <v>0.81979307820257574</v>
      </c>
    </row>
    <row r="564" spans="2:9" x14ac:dyDescent="0.2">
      <c r="B564" s="2">
        <v>541</v>
      </c>
      <c r="C564">
        <f>'Refrig Mass Flow &amp; Cond kW'!G555*$C$6*(($C$19-$C$18)/1000)</f>
        <v>0</v>
      </c>
      <c r="D564">
        <f>'Refrig Mass Flow &amp; Cond kW'!G555*Spring_autumn!$C$6*((Spring_autumn!$C$17-Spring_autumn!$C$16)/1000)</f>
        <v>0</v>
      </c>
      <c r="E564">
        <f>'Refrig Mass Flow &amp; Cond kW'!D555*(($C$13-$C$14)-$C$6*($C$17-$C$18)/1000)-'Refrig Mass Flow &amp; Cond kW'!C555*(1-$C$6/($C$10+273))</f>
        <v>0</v>
      </c>
      <c r="F564" s="13"/>
      <c r="G564" s="13">
        <f>'Refrig Mass Flow &amp; Cond kW'!F555*$C$6*($G$19-$G$18)/1000</f>
        <v>0.32319922085879771</v>
      </c>
      <c r="H564">
        <f>'Refrig Mass Flow &amp; Cond kW'!F555*$C$6*($G$17-$G$16)/1000</f>
        <v>2.015242200648903</v>
      </c>
      <c r="I564">
        <f>'Refrig Mass Flow &amp; Cond kW'!F555*(($G$13-$G$14)-$C$6*($G$17-$G$18)/1000)-'Refrig Mass Flow &amp; Cond kW'!E555*(1-$C$6/($G$10+273))</f>
        <v>0.89196647717399813</v>
      </c>
    </row>
    <row r="565" spans="2:9" x14ac:dyDescent="0.2">
      <c r="B565" s="2">
        <v>542</v>
      </c>
      <c r="C565">
        <f>'Refrig Mass Flow &amp; Cond kW'!G556*$C$6*(($C$19-$C$18)/1000)</f>
        <v>0</v>
      </c>
      <c r="D565">
        <f>'Refrig Mass Flow &amp; Cond kW'!G556*Spring_autumn!$C$6*((Spring_autumn!$C$17-Spring_autumn!$C$16)/1000)</f>
        <v>0</v>
      </c>
      <c r="E565">
        <f>'Refrig Mass Flow &amp; Cond kW'!D556*(($C$13-$C$14)-$C$6*($C$17-$C$18)/1000)-'Refrig Mass Flow &amp; Cond kW'!C556*(1-$C$6/($C$10+273))</f>
        <v>0</v>
      </c>
      <c r="F565" s="13"/>
      <c r="G565" s="13">
        <f>'Refrig Mass Flow &amp; Cond kW'!F556*$C$6*($G$19-$G$18)/1000</f>
        <v>0.3491701473871725</v>
      </c>
      <c r="H565">
        <f>'Refrig Mass Flow &amp; Cond kW'!F556*$C$6*($G$17-$G$16)/1000</f>
        <v>2.1771785660611163</v>
      </c>
      <c r="I565">
        <f>'Refrig Mass Flow &amp; Cond kW'!F556*(($G$13-$G$14)-$C$6*($G$17-$G$18)/1000)-'Refrig Mass Flow &amp; Cond kW'!E556*(1-$C$6/($G$10+273))</f>
        <v>0.96364114205377405</v>
      </c>
    </row>
    <row r="566" spans="2:9" x14ac:dyDescent="0.2">
      <c r="B566" s="2">
        <v>543</v>
      </c>
      <c r="C566">
        <f>'Refrig Mass Flow &amp; Cond kW'!G557*$C$6*(($C$19-$C$18)/1000)</f>
        <v>0</v>
      </c>
      <c r="D566">
        <f>'Refrig Mass Flow &amp; Cond kW'!G557*Spring_autumn!$C$6*((Spring_autumn!$C$17-Spring_autumn!$C$16)/1000)</f>
        <v>0</v>
      </c>
      <c r="E566">
        <f>'Refrig Mass Flow &amp; Cond kW'!D557*(($C$13-$C$14)-$C$6*($C$17-$C$18)/1000)-'Refrig Mass Flow &amp; Cond kW'!C557*(1-$C$6/($C$10+273))</f>
        <v>0</v>
      </c>
      <c r="F566" s="13"/>
      <c r="G566" s="13">
        <f>'Refrig Mass Flow &amp; Cond kW'!F557*$C$6*($G$19-$G$18)/1000</f>
        <v>0.37493202228058997</v>
      </c>
      <c r="H566">
        <f>'Refrig Mass Flow &amp; Cond kW'!F557*$C$6*($G$17-$G$16)/1000</f>
        <v>2.337811433043596</v>
      </c>
      <c r="I566">
        <f>'Refrig Mass Flow &amp; Cond kW'!F557*(($G$13-$G$14)-$C$6*($G$17-$G$18)/1000)-'Refrig Mass Flow &amp; Cond kW'!E557*(1-$C$6/($G$10+273))</f>
        <v>1.034738865411585</v>
      </c>
    </row>
    <row r="567" spans="2:9" x14ac:dyDescent="0.2">
      <c r="B567" s="2">
        <v>544</v>
      </c>
      <c r="C567">
        <f>'Refrig Mass Flow &amp; Cond kW'!G558*$C$6*(($C$19-$C$18)/1000)</f>
        <v>0</v>
      </c>
      <c r="D567">
        <f>'Refrig Mass Flow &amp; Cond kW'!G558*Spring_autumn!$C$6*((Spring_autumn!$C$17-Spring_autumn!$C$16)/1000)</f>
        <v>0</v>
      </c>
      <c r="E567">
        <f>'Refrig Mass Flow &amp; Cond kW'!D558*(($C$13-$C$14)-$C$6*($C$17-$C$18)/1000)-'Refrig Mass Flow &amp; Cond kW'!C558*(1-$C$6/($C$10+273))</f>
        <v>0</v>
      </c>
      <c r="F567" s="13"/>
      <c r="G567" s="13">
        <f>'Refrig Mass Flow &amp; Cond kW'!F558*$C$6*($G$19-$G$18)/1000</f>
        <v>0.40074864740669808</v>
      </c>
      <c r="H567">
        <f>'Refrig Mass Flow &amp; Cond kW'!F558*$C$6*($G$17-$G$16)/1000</f>
        <v>2.4987856838299116</v>
      </c>
      <c r="I567">
        <f>'Refrig Mass Flow &amp; Cond kW'!F558*(($G$13-$G$14)-$C$6*($G$17-$G$18)/1000)-'Refrig Mass Flow &amp; Cond kW'!E558*(1-$C$6/($G$10+273))</f>
        <v>1.1059876886762829</v>
      </c>
    </row>
    <row r="568" spans="2:9" x14ac:dyDescent="0.2">
      <c r="B568" s="2">
        <v>545</v>
      </c>
      <c r="C568">
        <f>'Refrig Mass Flow &amp; Cond kW'!G559*$C$6*(($C$19-$C$18)/1000)</f>
        <v>0</v>
      </c>
      <c r="D568">
        <f>'Refrig Mass Flow &amp; Cond kW'!G559*Spring_autumn!$C$6*((Spring_autumn!$C$17-Spring_autumn!$C$16)/1000)</f>
        <v>0</v>
      </c>
      <c r="E568">
        <f>'Refrig Mass Flow &amp; Cond kW'!D559*(($C$13-$C$14)-$C$6*($C$17-$C$18)/1000)-'Refrig Mass Flow &amp; Cond kW'!C559*(1-$C$6/($C$10+273))</f>
        <v>0</v>
      </c>
      <c r="F568" s="13"/>
      <c r="G568" s="13">
        <f>'Refrig Mass Flow &amp; Cond kW'!F559*$C$6*($G$19-$G$18)/1000</f>
        <v>0.426511153702336</v>
      </c>
      <c r="H568">
        <f>'Refrig Mass Flow &amp; Cond kW'!F559*$C$6*($G$17-$G$16)/1000</f>
        <v>2.6594224877909425</v>
      </c>
      <c r="I568">
        <f>'Refrig Mass Flow &amp; Cond kW'!F559*(($G$13-$G$14)-$C$6*($G$17-$G$18)/1000)-'Refrig Mass Flow &amp; Cond kW'!E559*(1-$C$6/($G$10+273))</f>
        <v>1.1770871545804162</v>
      </c>
    </row>
    <row r="569" spans="2:9" x14ac:dyDescent="0.2">
      <c r="B569" s="2">
        <v>546</v>
      </c>
      <c r="C569">
        <f>'Refrig Mass Flow &amp; Cond kW'!G560*$C$6*(($C$19-$C$18)/1000)</f>
        <v>0</v>
      </c>
      <c r="D569">
        <f>'Refrig Mass Flow &amp; Cond kW'!G560*Spring_autumn!$C$6*((Spring_autumn!$C$17-Spring_autumn!$C$16)/1000)</f>
        <v>0</v>
      </c>
      <c r="E569">
        <f>'Refrig Mass Flow &amp; Cond kW'!D560*(($C$13-$C$14)-$C$6*($C$17-$C$18)/1000)-'Refrig Mass Flow &amp; Cond kW'!C560*(1-$C$6/($C$10+273))</f>
        <v>0</v>
      </c>
      <c r="F569" s="13"/>
      <c r="G569" s="13">
        <f>'Refrig Mass Flow &amp; Cond kW'!F560*$C$6*($G$19-$G$18)/1000</f>
        <v>0.45219095023135902</v>
      </c>
      <c r="H569">
        <f>'Refrig Mass Flow &amp; Cond kW'!F560*$C$6*($G$17-$G$16)/1000</f>
        <v>2.8195435720307271</v>
      </c>
      <c r="I569">
        <f>'Refrig Mass Flow &amp; Cond kW'!F560*(($G$13-$G$14)-$C$6*($G$17-$G$18)/1000)-'Refrig Mass Flow &amp; Cond kW'!E560*(1-$C$6/($G$10+273))</f>
        <v>1.2479583577462954</v>
      </c>
    </row>
    <row r="570" spans="2:9" x14ac:dyDescent="0.2">
      <c r="B570" s="2">
        <v>547</v>
      </c>
      <c r="C570">
        <f>'Refrig Mass Flow &amp; Cond kW'!G561*$C$6*(($C$19-$C$18)/1000)</f>
        <v>0</v>
      </c>
      <c r="D570">
        <f>'Refrig Mass Flow &amp; Cond kW'!G561*Spring_autumn!$C$6*((Spring_autumn!$C$17-Spring_autumn!$C$16)/1000)</f>
        <v>0</v>
      </c>
      <c r="E570">
        <f>'Refrig Mass Flow &amp; Cond kW'!D561*(($C$13-$C$14)-$C$6*($C$17-$C$18)/1000)-'Refrig Mass Flow &amp; Cond kW'!C561*(1-$C$6/($C$10+273))</f>
        <v>0</v>
      </c>
      <c r="F570" s="13"/>
      <c r="G570" s="13">
        <f>'Refrig Mass Flow &amp; Cond kW'!F561*$C$6*($G$19-$G$18)/1000</f>
        <v>0.47770663665550228</v>
      </c>
      <c r="H570">
        <f>'Refrig Mass Flow &amp; Cond kW'!F561*$C$6*($G$17-$G$16)/1000</f>
        <v>2.978641381498909</v>
      </c>
      <c r="I570">
        <f>'Refrig Mass Flow &amp; Cond kW'!F561*(($G$13-$G$14)-$C$6*($G$17-$G$18)/1000)-'Refrig Mass Flow &amp; Cond kW'!E561*(1-$C$6/($G$10+273))</f>
        <v>1.3183766492011593</v>
      </c>
    </row>
    <row r="571" spans="2:9" x14ac:dyDescent="0.2">
      <c r="B571" s="2">
        <v>548</v>
      </c>
      <c r="C571">
        <f>'Refrig Mass Flow &amp; Cond kW'!G562*$C$6*(($C$19-$C$18)/1000)</f>
        <v>0</v>
      </c>
      <c r="D571">
        <f>'Refrig Mass Flow &amp; Cond kW'!G562*Spring_autumn!$C$6*((Spring_autumn!$C$17-Spring_autumn!$C$16)/1000)</f>
        <v>0</v>
      </c>
      <c r="E571">
        <f>'Refrig Mass Flow &amp; Cond kW'!D562*(($C$13-$C$14)-$C$6*($C$17-$C$18)/1000)-'Refrig Mass Flow &amp; Cond kW'!C562*(1-$C$6/($C$10+273))</f>
        <v>0</v>
      </c>
      <c r="F571" s="13"/>
      <c r="G571" s="13">
        <f>'Refrig Mass Flow &amp; Cond kW'!F562*$C$6*($G$19-$G$18)/1000</f>
        <v>0.50303822038366697</v>
      </c>
      <c r="H571">
        <f>'Refrig Mass Flow &amp; Cond kW'!F562*$C$6*($G$17-$G$16)/1000</f>
        <v>3.1365912565098131</v>
      </c>
      <c r="I571">
        <f>'Refrig Mass Flow &amp; Cond kW'!F562*(($G$13-$G$14)-$C$6*($G$17-$G$18)/1000)-'Refrig Mass Flow &amp; Cond kW'!E562*(1-$C$6/($G$10+273))</f>
        <v>1.3882868533136872</v>
      </c>
    </row>
    <row r="572" spans="2:9" x14ac:dyDescent="0.2">
      <c r="B572" s="2">
        <v>549</v>
      </c>
      <c r="C572">
        <f>'Refrig Mass Flow &amp; Cond kW'!G563*$C$6*(($C$19-$C$18)/1000)</f>
        <v>0</v>
      </c>
      <c r="D572">
        <f>'Refrig Mass Flow &amp; Cond kW'!G563*Spring_autumn!$C$6*((Spring_autumn!$C$17-Spring_autumn!$C$16)/1000)</f>
        <v>0</v>
      </c>
      <c r="E572">
        <f>'Refrig Mass Flow &amp; Cond kW'!D563*(($C$13-$C$14)-$C$6*($C$17-$C$18)/1000)-'Refrig Mass Flow &amp; Cond kW'!C563*(1-$C$6/($C$10+273))</f>
        <v>0</v>
      </c>
      <c r="F572" s="13"/>
      <c r="G572" s="13">
        <f>'Refrig Mass Flow &amp; Cond kW'!F563*$C$6*($G$19-$G$18)/1000</f>
        <v>0.52813835428617051</v>
      </c>
      <c r="H572">
        <f>'Refrig Mass Flow &amp; Cond kW'!F563*$C$6*($G$17-$G$16)/1000</f>
        <v>3.2930979737842412</v>
      </c>
      <c r="I572">
        <f>'Refrig Mass Flow &amp; Cond kW'!F563*(($G$13-$G$14)-$C$6*($G$17-$G$18)/1000)-'Refrig Mass Flow &amp; Cond kW'!E563*(1-$C$6/($G$10+273))</f>
        <v>1.4575583012897155</v>
      </c>
    </row>
    <row r="573" spans="2:9" x14ac:dyDescent="0.2">
      <c r="B573" s="2">
        <v>550</v>
      </c>
      <c r="C573">
        <f>'Refrig Mass Flow &amp; Cond kW'!G564*$C$6*(($C$19-$C$18)/1000)</f>
        <v>0</v>
      </c>
      <c r="D573">
        <f>'Refrig Mass Flow &amp; Cond kW'!G564*Spring_autumn!$C$6*((Spring_autumn!$C$17-Spring_autumn!$C$16)/1000)</f>
        <v>0</v>
      </c>
      <c r="E573">
        <f>'Refrig Mass Flow &amp; Cond kW'!D564*(($C$13-$C$14)-$C$6*($C$17-$C$18)/1000)-'Refrig Mass Flow &amp; Cond kW'!C564*(1-$C$6/($C$10+273))</f>
        <v>0</v>
      </c>
      <c r="F573" s="13"/>
      <c r="G573" s="13">
        <f>'Refrig Mass Flow &amp; Cond kW'!F564*$C$6*($G$19-$G$18)/1000</f>
        <v>0.55308176001530274</v>
      </c>
      <c r="H573">
        <f>'Refrig Mass Flow &amp; Cond kW'!F564*$C$6*($G$17-$G$16)/1000</f>
        <v>3.4486274448011778</v>
      </c>
      <c r="I573">
        <f>'Refrig Mass Flow &amp; Cond kW'!F564*(($G$13-$G$14)-$C$6*($G$17-$G$18)/1000)-'Refrig Mass Flow &amp; Cond kW'!E564*(1-$C$6/($G$10+273))</f>
        <v>1.5263972102382475</v>
      </c>
    </row>
    <row r="574" spans="2:9" x14ac:dyDescent="0.2">
      <c r="B574" s="2">
        <v>551</v>
      </c>
      <c r="C574">
        <f>'Refrig Mass Flow &amp; Cond kW'!G565*$C$6*(($C$19-$C$18)/1000)</f>
        <v>0</v>
      </c>
      <c r="D574">
        <f>'Refrig Mass Flow &amp; Cond kW'!G565*Spring_autumn!$C$6*((Spring_autumn!$C$17-Spring_autumn!$C$16)/1000)</f>
        <v>0</v>
      </c>
      <c r="E574">
        <f>'Refrig Mass Flow &amp; Cond kW'!D565*(($C$13-$C$14)-$C$6*($C$17-$C$18)/1000)-'Refrig Mass Flow &amp; Cond kW'!C565*(1-$C$6/($C$10+273))</f>
        <v>0</v>
      </c>
      <c r="F574" s="13"/>
      <c r="G574" s="13">
        <f>'Refrig Mass Flow &amp; Cond kW'!F565*$C$6*($G$19-$G$18)/1000</f>
        <v>0.57805450975373673</v>
      </c>
      <c r="H574">
        <f>'Refrig Mass Flow &amp; Cond kW'!F565*$C$6*($G$17-$G$16)/1000</f>
        <v>3.604339884346702</v>
      </c>
      <c r="I574">
        <f>'Refrig Mass Flow &amp; Cond kW'!F565*(($G$13-$G$14)-$C$6*($G$17-$G$18)/1000)-'Refrig Mass Flow &amp; Cond kW'!E565*(1-$C$6/($G$10+273))</f>
        <v>1.5953171028987256</v>
      </c>
    </row>
    <row r="575" spans="2:9" x14ac:dyDescent="0.2">
      <c r="B575" s="2">
        <v>552</v>
      </c>
      <c r="C575">
        <f>'Refrig Mass Flow &amp; Cond kW'!G566*$C$6*(($C$19-$C$18)/1000)</f>
        <v>0</v>
      </c>
      <c r="D575">
        <f>'Refrig Mass Flow &amp; Cond kW'!G566*Spring_autumn!$C$6*((Spring_autumn!$C$17-Spring_autumn!$C$16)/1000)</f>
        <v>0</v>
      </c>
      <c r="E575">
        <f>'Refrig Mass Flow &amp; Cond kW'!D566*(($C$13-$C$14)-$C$6*($C$17-$C$18)/1000)-'Refrig Mass Flow &amp; Cond kW'!C566*(1-$C$6/($C$10+273))</f>
        <v>0</v>
      </c>
      <c r="F575" s="13"/>
      <c r="G575" s="13">
        <f>'Refrig Mass Flow &amp; Cond kW'!F566*$C$6*($G$19-$G$18)/1000</f>
        <v>0.60285491239727051</v>
      </c>
      <c r="H575">
        <f>'Refrig Mass Flow &amp; Cond kW'!F566*$C$6*($G$17-$G$16)/1000</f>
        <v>3.7589776890652007</v>
      </c>
      <c r="I575">
        <f>'Refrig Mass Flow &amp; Cond kW'!F566*(($G$13-$G$14)-$C$6*($G$17-$G$18)/1000)-'Refrig Mass Flow &amp; Cond kW'!E566*(1-$C$6/($G$10+273))</f>
        <v>1.6637613513708303</v>
      </c>
    </row>
    <row r="576" spans="2:9" x14ac:dyDescent="0.2">
      <c r="B576" s="2">
        <v>553</v>
      </c>
      <c r="C576">
        <f>'Refrig Mass Flow &amp; Cond kW'!G567*$C$6*(($C$19-$C$18)/1000)</f>
        <v>0</v>
      </c>
      <c r="D576">
        <f>'Refrig Mass Flow &amp; Cond kW'!G567*Spring_autumn!$C$6*((Spring_autumn!$C$17-Spring_autumn!$C$16)/1000)</f>
        <v>0</v>
      </c>
      <c r="E576">
        <f>'Refrig Mass Flow &amp; Cond kW'!D567*(($C$13-$C$14)-$C$6*($C$17-$C$18)/1000)-'Refrig Mass Flow &amp; Cond kW'!C567*(1-$C$6/($C$10+273))</f>
        <v>0</v>
      </c>
      <c r="F576" s="13"/>
      <c r="G576" s="13">
        <f>'Refrig Mass Flow &amp; Cond kW'!F567*$C$6*($G$19-$G$18)/1000</f>
        <v>0.62768283364759814</v>
      </c>
      <c r="H576">
        <f>'Refrig Mass Flow &amp; Cond kW'!F567*$C$6*($G$17-$G$16)/1000</f>
        <v>3.9137870803907679</v>
      </c>
      <c r="I576">
        <f>'Refrig Mass Flow &amp; Cond kW'!F567*(($G$13-$G$14)-$C$6*($G$17-$G$18)/1000)-'Refrig Mass Flow &amp; Cond kW'!E567*(1-$C$6/($G$10+273))</f>
        <v>1.7322815458018752</v>
      </c>
    </row>
    <row r="577" spans="2:9" x14ac:dyDescent="0.2">
      <c r="B577" s="2">
        <v>554</v>
      </c>
      <c r="C577">
        <f>'Refrig Mass Flow &amp; Cond kW'!G568*$C$6*(($C$19-$C$18)/1000)</f>
        <v>0</v>
      </c>
      <c r="D577">
        <f>'Refrig Mass Flow &amp; Cond kW'!G568*Spring_autumn!$C$6*((Spring_autumn!$C$17-Spring_autumn!$C$16)/1000)</f>
        <v>0</v>
      </c>
      <c r="E577">
        <f>'Refrig Mass Flow &amp; Cond kW'!D568*(($C$13-$C$14)-$C$6*($C$17-$C$18)/1000)-'Refrig Mass Flow &amp; Cond kW'!C568*(1-$C$6/($C$10+273))</f>
        <v>0</v>
      </c>
      <c r="F577" s="13"/>
      <c r="G577" s="13">
        <f>'Refrig Mass Flow &amp; Cond kW'!F568*$C$6*($G$19-$G$18)/1000</f>
        <v>0.65245070924684989</v>
      </c>
      <c r="H577">
        <f>'Refrig Mass Flow &amp; Cond kW'!F568*$C$6*($G$17-$G$16)/1000</f>
        <v>4.0682220694213909</v>
      </c>
      <c r="I577">
        <f>'Refrig Mass Flow &amp; Cond kW'!F568*(($G$13-$G$14)-$C$6*($G$17-$G$18)/1000)-'Refrig Mass Flow &amp; Cond kW'!E568*(1-$C$6/($G$10+273))</f>
        <v>1.8006360260096166</v>
      </c>
    </row>
    <row r="578" spans="2:9" x14ac:dyDescent="0.2">
      <c r="B578" s="2">
        <v>555</v>
      </c>
      <c r="C578">
        <f>'Refrig Mass Flow &amp; Cond kW'!G569*$C$6*(($C$19-$C$18)/1000)</f>
        <v>0</v>
      </c>
      <c r="D578">
        <f>'Refrig Mass Flow &amp; Cond kW'!G569*Spring_autumn!$C$6*((Spring_autumn!$C$17-Spring_autumn!$C$16)/1000)</f>
        <v>0</v>
      </c>
      <c r="E578">
        <f>'Refrig Mass Flow &amp; Cond kW'!D569*(($C$13-$C$14)-$C$6*($C$17-$C$18)/1000)-'Refrig Mass Flow &amp; Cond kW'!C569*(1-$C$6/($C$10+273))</f>
        <v>0</v>
      </c>
      <c r="F578" s="13"/>
      <c r="G578" s="13">
        <f>'Refrig Mass Flow &amp; Cond kW'!F569*$C$6*($G$19-$G$18)/1000</f>
        <v>0.67715485462579805</v>
      </c>
      <c r="H578">
        <f>'Refrig Mass Flow &amp; Cond kW'!F569*$C$6*($G$17-$G$16)/1000</f>
        <v>4.222259681784239</v>
      </c>
      <c r="I578">
        <f>'Refrig Mass Flow &amp; Cond kW'!F569*(($G$13-$G$14)-$C$6*($G$17-$G$18)/1000)-'Refrig Mass Flow &amp; Cond kW'!E569*(1-$C$6/($G$10+273))</f>
        <v>1.8688146233054326</v>
      </c>
    </row>
    <row r="579" spans="2:9" x14ac:dyDescent="0.2">
      <c r="B579" s="2">
        <v>556</v>
      </c>
      <c r="C579">
        <f>'Refrig Mass Flow &amp; Cond kW'!G570*$C$6*(($C$19-$C$18)/1000)</f>
        <v>0</v>
      </c>
      <c r="D579">
        <f>'Refrig Mass Flow &amp; Cond kW'!G570*Spring_autumn!$C$6*((Spring_autumn!$C$17-Spring_autumn!$C$16)/1000)</f>
        <v>0</v>
      </c>
      <c r="E579">
        <f>'Refrig Mass Flow &amp; Cond kW'!D570*(($C$13-$C$14)-$C$6*($C$17-$C$18)/1000)-'Refrig Mass Flow &amp; Cond kW'!C570*(1-$C$6/($C$10+273))</f>
        <v>0</v>
      </c>
      <c r="F579" s="13"/>
      <c r="G579" s="13">
        <f>'Refrig Mass Flow &amp; Cond kW'!F570*$C$6*($G$19-$G$18)/1000</f>
        <v>0.70179301571785813</v>
      </c>
      <c r="H579">
        <f>'Refrig Mass Flow &amp; Cond kW'!F570*$C$6*($G$17-$G$16)/1000</f>
        <v>4.3758858627111961</v>
      </c>
      <c r="I579">
        <f>'Refrig Mass Flow &amp; Cond kW'!F570*(($G$13-$G$14)-$C$6*($G$17-$G$18)/1000)-'Refrig Mass Flow &amp; Cond kW'!E570*(1-$C$6/($G$10+273))</f>
        <v>1.9368111169075348</v>
      </c>
    </row>
    <row r="580" spans="2:9" x14ac:dyDescent="0.2">
      <c r="B580" s="2">
        <v>557</v>
      </c>
      <c r="C580">
        <f>'Refrig Mass Flow &amp; Cond kW'!G571*$C$6*(($C$19-$C$18)/1000)</f>
        <v>0</v>
      </c>
      <c r="D580">
        <f>'Refrig Mass Flow &amp; Cond kW'!G571*Spring_autumn!$C$6*((Spring_autumn!$C$17-Spring_autumn!$C$16)/1000)</f>
        <v>0</v>
      </c>
      <c r="E580">
        <f>'Refrig Mass Flow &amp; Cond kW'!D571*(($C$13-$C$14)-$C$6*($C$17-$C$18)/1000)-'Refrig Mass Flow &amp; Cond kW'!C571*(1-$C$6/($C$10+273))</f>
        <v>0</v>
      </c>
      <c r="F580" s="13"/>
      <c r="G580" s="13">
        <f>'Refrig Mass Flow &amp; Cond kW'!F571*$C$6*($G$19-$G$18)/1000</f>
        <v>0.72636294486185593</v>
      </c>
      <c r="H580">
        <f>'Refrig Mass Flow &amp; Cond kW'!F571*$C$6*($G$17-$G$16)/1000</f>
        <v>4.5290865973737642</v>
      </c>
      <c r="I580">
        <f>'Refrig Mass Flow &amp; Cond kW'!F571*(($G$13-$G$14)-$C$6*($G$17-$G$18)/1000)-'Refrig Mass Flow &amp; Cond kW'!E571*(1-$C$6/($G$10+273))</f>
        <v>2.0046193037118059</v>
      </c>
    </row>
    <row r="581" spans="2:9" x14ac:dyDescent="0.2">
      <c r="B581" s="2">
        <v>558</v>
      </c>
      <c r="C581">
        <f>'Refrig Mass Flow &amp; Cond kW'!G572*$C$6*(($C$19-$C$18)/1000)</f>
        <v>0</v>
      </c>
      <c r="D581">
        <f>'Refrig Mass Flow &amp; Cond kW'!G572*Spring_autumn!$C$6*((Spring_autumn!$C$17-Spring_autumn!$C$16)/1000)</f>
        <v>0</v>
      </c>
      <c r="E581">
        <f>'Refrig Mass Flow &amp; Cond kW'!D572*(($C$13-$C$14)-$C$6*($C$17-$C$18)/1000)-'Refrig Mass Flow &amp; Cond kW'!C572*(1-$C$6/($C$10+273))</f>
        <v>0</v>
      </c>
      <c r="F581" s="13"/>
      <c r="G581" s="13">
        <f>'Refrig Mass Flow &amp; Cond kW'!F572*$C$6*($G$19-$G$18)/1000</f>
        <v>0.75086240100702539</v>
      </c>
      <c r="H581">
        <f>'Refrig Mass Flow &amp; Cond kW'!F572*$C$6*($G$17-$G$16)/1000</f>
        <v>4.6818479121612873</v>
      </c>
      <c r="I581">
        <f>'Refrig Mass Flow &amp; Cond kW'!F572*(($G$13-$G$14)-$C$6*($G$17-$G$18)/1000)-'Refrig Mass Flow &amp; Cond kW'!E572*(1-$C$6/($G$10+273))</f>
        <v>2.0722329988575368</v>
      </c>
    </row>
    <row r="582" spans="2:9" x14ac:dyDescent="0.2">
      <c r="B582" s="2">
        <v>559</v>
      </c>
      <c r="C582">
        <f>'Refrig Mass Flow &amp; Cond kW'!G573*$C$6*(($C$19-$C$18)/1000)</f>
        <v>0</v>
      </c>
      <c r="D582">
        <f>'Refrig Mass Flow &amp; Cond kW'!G573*Spring_autumn!$C$6*((Spring_autumn!$C$17-Spring_autumn!$C$16)/1000)</f>
        <v>0</v>
      </c>
      <c r="E582">
        <f>'Refrig Mass Flow &amp; Cond kW'!D573*(($C$13-$C$14)-$C$6*($C$17-$C$18)/1000)-'Refrig Mass Flow &amp; Cond kW'!C573*(1-$C$6/($C$10+273))</f>
        <v>0</v>
      </c>
      <c r="F582" s="13"/>
      <c r="G582" s="13">
        <f>'Refrig Mass Flow &amp; Cond kW'!F573*$C$6*($G$19-$G$18)/1000</f>
        <v>0.77558407661418083</v>
      </c>
      <c r="H582">
        <f>'Refrig Mass Flow &amp; Cond kW'!F573*$C$6*($G$17-$G$16)/1000</f>
        <v>4.8359948306529565</v>
      </c>
      <c r="I582">
        <f>'Refrig Mass Flow &amp; Cond kW'!F573*(($G$13-$G$14)-$C$6*($G$17-$G$18)/1000)-'Refrig Mass Flow &amp; Cond kW'!E573*(1-$C$6/($G$10+273))</f>
        <v>2.1404599761459124</v>
      </c>
    </row>
    <row r="583" spans="2:9" x14ac:dyDescent="0.2">
      <c r="B583" s="2">
        <v>560</v>
      </c>
      <c r="C583">
        <f>'Refrig Mass Flow &amp; Cond kW'!G574*$C$6*(($C$19-$C$18)/1000)</f>
        <v>0</v>
      </c>
      <c r="D583">
        <f>'Refrig Mass Flow &amp; Cond kW'!G574*Spring_autumn!$C$6*((Spring_autumn!$C$17-Spring_autumn!$C$16)/1000)</f>
        <v>0</v>
      </c>
      <c r="E583">
        <f>'Refrig Mass Flow &amp; Cond kW'!D574*(($C$13-$C$14)-$C$6*($C$17-$C$18)/1000)-'Refrig Mass Flow &amp; Cond kW'!C574*(1-$C$6/($C$10+273))</f>
        <v>0</v>
      </c>
      <c r="F583" s="13"/>
      <c r="G583" s="13">
        <f>'Refrig Mass Flow &amp; Cond kW'!F574*$C$6*($G$19-$G$18)/1000</f>
        <v>0.80039450709568816</v>
      </c>
      <c r="H583">
        <f>'Refrig Mass Flow &amp; Cond kW'!F574*$C$6*($G$17-$G$16)/1000</f>
        <v>4.990695161890585</v>
      </c>
      <c r="I583">
        <f>'Refrig Mass Flow &amp; Cond kW'!F574*(($G$13-$G$14)-$C$6*($G$17-$G$18)/1000)-'Refrig Mass Flow &amp; Cond kW'!E574*(1-$C$6/($G$10+273))</f>
        <v>2.208931899484579</v>
      </c>
    </row>
    <row r="584" spans="2:9" x14ac:dyDescent="0.2">
      <c r="B584" s="2">
        <v>561</v>
      </c>
      <c r="C584">
        <f>'Refrig Mass Flow &amp; Cond kW'!G575*$C$6*(($C$19-$C$18)/1000)</f>
        <v>0</v>
      </c>
      <c r="D584">
        <f>'Refrig Mass Flow &amp; Cond kW'!G575*Spring_autumn!$C$6*((Spring_autumn!$C$17-Spring_autumn!$C$16)/1000)</f>
        <v>0</v>
      </c>
      <c r="E584">
        <f>'Refrig Mass Flow &amp; Cond kW'!D575*(($C$13-$C$14)-$C$6*($C$17-$C$18)/1000)-'Refrig Mass Flow &amp; Cond kW'!C575*(1-$C$6/($C$10+273))</f>
        <v>0</v>
      </c>
      <c r="F584" s="13"/>
      <c r="G584" s="13">
        <f>'Refrig Mass Flow &amp; Cond kW'!F575*$C$6*($G$19-$G$18)/1000</f>
        <v>0.82524726478618449</v>
      </c>
      <c r="H584">
        <f>'Refrig Mass Flow &amp; Cond kW'!F575*$C$6*($G$17-$G$16)/1000</f>
        <v>5.1456594157254392</v>
      </c>
      <c r="I584">
        <f>'Refrig Mass Flow &amp; Cond kW'!F575*(($G$13-$G$14)-$C$6*($G$17-$G$18)/1000)-'Refrig Mass Flow &amp; Cond kW'!E575*(1-$C$6/($G$10+273))</f>
        <v>2.2775206376206043</v>
      </c>
    </row>
    <row r="585" spans="2:9" x14ac:dyDescent="0.2">
      <c r="B585" s="2">
        <v>562</v>
      </c>
      <c r="C585">
        <f>'Refrig Mass Flow &amp; Cond kW'!G576*$C$6*(($C$19-$C$18)/1000)</f>
        <v>0</v>
      </c>
      <c r="D585">
        <f>'Refrig Mass Flow &amp; Cond kW'!G576*Spring_autumn!$C$6*((Spring_autumn!$C$17-Spring_autumn!$C$16)/1000)</f>
        <v>0</v>
      </c>
      <c r="E585">
        <f>'Refrig Mass Flow &amp; Cond kW'!D576*(($C$13-$C$14)-$C$6*($C$17-$C$18)/1000)-'Refrig Mass Flow &amp; Cond kW'!C576*(1-$C$6/($C$10+273))</f>
        <v>0</v>
      </c>
      <c r="F585" s="13"/>
      <c r="G585" s="13">
        <f>'Refrig Mass Flow &amp; Cond kW'!F576*$C$6*($G$19-$G$18)/1000</f>
        <v>0.84979477558514782</v>
      </c>
      <c r="H585">
        <f>'Refrig Mass Flow &amp; Cond kW'!F576*$C$6*($G$17-$G$16)/1000</f>
        <v>5.2987203654130868</v>
      </c>
      <c r="I585">
        <f>'Refrig Mass Flow &amp; Cond kW'!F576*(($G$13-$G$14)-$C$6*($G$17-$G$18)/1000)-'Refrig Mass Flow &amp; Cond kW'!E576*(1-$C$6/($G$10+273))</f>
        <v>2.3452669541883289</v>
      </c>
    </row>
    <row r="586" spans="2:9" x14ac:dyDescent="0.2">
      <c r="B586" s="2">
        <v>563</v>
      </c>
      <c r="C586">
        <f>'Refrig Mass Flow &amp; Cond kW'!G577*$C$6*(($C$19-$C$18)/1000)</f>
        <v>0</v>
      </c>
      <c r="D586">
        <f>'Refrig Mass Flow &amp; Cond kW'!G577*Spring_autumn!$C$6*((Spring_autumn!$C$17-Spring_autumn!$C$16)/1000)</f>
        <v>0</v>
      </c>
      <c r="E586">
        <f>'Refrig Mass Flow &amp; Cond kW'!D577*(($C$13-$C$14)-$C$6*($C$17-$C$18)/1000)-'Refrig Mass Flow &amp; Cond kW'!C577*(1-$C$6/($C$10+273))</f>
        <v>0</v>
      </c>
      <c r="F586" s="13"/>
      <c r="G586" s="13">
        <f>'Refrig Mass Flow &amp; Cond kW'!F577*$C$6*($G$19-$G$18)/1000</f>
        <v>0.87417108303238111</v>
      </c>
      <c r="H586">
        <f>'Refrig Mass Flow &amp; Cond kW'!F577*$C$6*($G$17-$G$16)/1000</f>
        <v>5.4507138118487726</v>
      </c>
      <c r="I586">
        <f>'Refrig Mass Flow &amp; Cond kW'!F577*(($G$13-$G$14)-$C$6*($G$17-$G$18)/1000)-'Refrig Mass Flow &amp; Cond kW'!E577*(1-$C$6/($G$10+273))</f>
        <v>2.412540783074558</v>
      </c>
    </row>
    <row r="587" spans="2:9" x14ac:dyDescent="0.2">
      <c r="B587" s="2">
        <v>564</v>
      </c>
      <c r="C587">
        <f>'Refrig Mass Flow &amp; Cond kW'!G578*$C$6*(($C$19-$C$18)/1000)</f>
        <v>0</v>
      </c>
      <c r="D587">
        <f>'Refrig Mass Flow &amp; Cond kW'!G578*Spring_autumn!$C$6*((Spring_autumn!$C$17-Spring_autumn!$C$16)/1000)</f>
        <v>0</v>
      </c>
      <c r="E587">
        <f>'Refrig Mass Flow &amp; Cond kW'!D578*(($C$13-$C$14)-$C$6*($C$17-$C$18)/1000)-'Refrig Mass Flow &amp; Cond kW'!C578*(1-$C$6/($C$10+273))</f>
        <v>0</v>
      </c>
      <c r="F587" s="13"/>
      <c r="G587" s="13">
        <f>'Refrig Mass Flow &amp; Cond kW'!F578*$C$6*($G$19-$G$18)/1000</f>
        <v>0.8983460602549026</v>
      </c>
      <c r="H587">
        <f>'Refrig Mass Flow &amp; Cond kW'!F578*$C$6*($G$17-$G$16)/1000</f>
        <v>5.6014519051186058</v>
      </c>
      <c r="I587">
        <f>'Refrig Mass Flow &amp; Cond kW'!F578*(($G$13-$G$14)-$C$6*($G$17-$G$18)/1000)-'Refrig Mass Flow &amp; Cond kW'!E578*(1-$C$6/($G$10+273))</f>
        <v>2.4792589800171072</v>
      </c>
    </row>
    <row r="588" spans="2:9" x14ac:dyDescent="0.2">
      <c r="B588" s="2">
        <v>565</v>
      </c>
      <c r="C588">
        <f>'Refrig Mass Flow &amp; Cond kW'!G579*$C$6*(($C$19-$C$18)/1000)</f>
        <v>0</v>
      </c>
      <c r="D588">
        <f>'Refrig Mass Flow &amp; Cond kW'!G579*Spring_autumn!$C$6*((Spring_autumn!$C$17-Spring_autumn!$C$16)/1000)</f>
        <v>0</v>
      </c>
      <c r="E588">
        <f>'Refrig Mass Flow &amp; Cond kW'!D579*(($C$13-$C$14)-$C$6*($C$17-$C$18)/1000)-'Refrig Mass Flow &amp; Cond kW'!C579*(1-$C$6/($C$10+273))</f>
        <v>0</v>
      </c>
      <c r="F588" s="13"/>
      <c r="G588" s="13">
        <f>'Refrig Mass Flow &amp; Cond kW'!F579*$C$6*($G$19-$G$18)/1000</f>
        <v>0.92228960765619972</v>
      </c>
      <c r="H588">
        <f>'Refrig Mass Flow &amp; Cond kW'!F579*$C$6*($G$17-$G$16)/1000</f>
        <v>5.7507469653855123</v>
      </c>
      <c r="I588">
        <f>'Refrig Mass Flow &amp; Cond kW'!F579*(($G$13-$G$14)-$C$6*($G$17-$G$18)/1000)-'Refrig Mass Flow &amp; Cond kW'!E579*(1-$C$6/($G$10+273))</f>
        <v>2.5453384760314677</v>
      </c>
    </row>
    <row r="589" spans="2:9" x14ac:dyDescent="0.2">
      <c r="B589" s="2">
        <v>566</v>
      </c>
      <c r="C589">
        <f>'Refrig Mass Flow &amp; Cond kW'!G580*$C$6*(($C$19-$C$18)/1000)</f>
        <v>0</v>
      </c>
      <c r="D589">
        <f>'Refrig Mass Flow &amp; Cond kW'!G580*Spring_autumn!$C$6*((Spring_autumn!$C$17-Spring_autumn!$C$16)/1000)</f>
        <v>0</v>
      </c>
      <c r="E589">
        <f>'Refrig Mass Flow &amp; Cond kW'!D580*(($C$13-$C$14)-$C$6*($C$17-$C$18)/1000)-'Refrig Mass Flow &amp; Cond kW'!C580*(1-$C$6/($C$10+273))</f>
        <v>0</v>
      </c>
      <c r="F589" s="13"/>
      <c r="G589" s="13">
        <f>'Refrig Mass Flow &amp; Cond kW'!F580*$C$6*($G$19-$G$18)/1000</f>
        <v>0.94597165565710173</v>
      </c>
      <c r="H589">
        <f>'Refrig Mass Flow &amp; Cond kW'!F580*$C$6*($G$17-$G$16)/1000</f>
        <v>5.8984114999793675</v>
      </c>
      <c r="I589">
        <f>'Refrig Mass Flow &amp; Cond kW'!F580*(($G$13-$G$14)-$C$6*($G$17-$G$18)/1000)-'Refrig Mass Flow &amp; Cond kW'!E580*(1-$C$6/($G$10+273))</f>
        <v>2.610696284975127</v>
      </c>
    </row>
    <row r="590" spans="2:9" x14ac:dyDescent="0.2">
      <c r="B590" s="2">
        <v>567</v>
      </c>
      <c r="C590">
        <f>'Refrig Mass Flow &amp; Cond kW'!G581*$C$6*(($C$19-$C$18)/1000)</f>
        <v>0</v>
      </c>
      <c r="D590">
        <f>'Refrig Mass Flow &amp; Cond kW'!G581*Spring_autumn!$C$6*((Spring_autumn!$C$17-Spring_autumn!$C$16)/1000)</f>
        <v>0</v>
      </c>
      <c r="E590">
        <f>'Refrig Mass Flow &amp; Cond kW'!D581*(($C$13-$C$14)-$C$6*($C$17-$C$18)/1000)-'Refrig Mass Flow &amp; Cond kW'!C581*(1-$C$6/($C$10+273))</f>
        <v>0</v>
      </c>
      <c r="F590" s="13"/>
      <c r="G590" s="13">
        <f>'Refrig Mass Flow &amp; Cond kW'!F581*$C$6*($G$19-$G$18)/1000</f>
        <v>0.9693621674334808</v>
      </c>
      <c r="H590">
        <f>'Refrig Mass Flow &amp; Cond kW'!F581*$C$6*($G$17-$G$16)/1000</f>
        <v>6.0442582204673725</v>
      </c>
      <c r="I590">
        <f>'Refrig Mass Flow &amp; Cond kW'!F581*(($G$13-$G$14)-$C$6*($G$17-$G$18)/1000)-'Refrig Mass Flow &amp; Cond kW'!E581*(1-$C$6/($G$10+273))</f>
        <v>2.6752495111030754</v>
      </c>
    </row>
    <row r="591" spans="2:9" x14ac:dyDescent="0.2">
      <c r="B591" s="2">
        <v>568</v>
      </c>
      <c r="C591">
        <f>'Refrig Mass Flow &amp; Cond kW'!G582*$C$6*(($C$19-$C$18)/1000)</f>
        <v>0</v>
      </c>
      <c r="D591">
        <f>'Refrig Mass Flow &amp; Cond kW'!G582*Spring_autumn!$C$6*((Spring_autumn!$C$17-Spring_autumn!$C$16)/1000)</f>
        <v>0</v>
      </c>
      <c r="E591">
        <f>'Refrig Mass Flow &amp; Cond kW'!D582*(($C$13-$C$14)-$C$6*($C$17-$C$18)/1000)-'Refrig Mass Flow &amp; Cond kW'!C582*(1-$C$6/($C$10+273))</f>
        <v>0</v>
      </c>
      <c r="F591" s="13"/>
      <c r="G591" s="13">
        <f>'Refrig Mass Flow &amp; Cond kW'!F582*$C$6*($G$19-$G$18)/1000</f>
        <v>0.99277716165651553</v>
      </c>
      <c r="H591">
        <f>'Refrig Mass Flow &amp; Cond kW'!F582*$C$6*($G$17-$G$16)/1000</f>
        <v>6.190257596210996</v>
      </c>
      <c r="I591">
        <f>'Refrig Mass Flow &amp; Cond kW'!F582*(($G$13-$G$14)-$C$6*($G$17-$G$18)/1000)-'Refrig Mass Flow &amp; Cond kW'!E582*(1-$C$6/($G$10+273))</f>
        <v>2.7398703039833023</v>
      </c>
    </row>
    <row r="592" spans="2:9" x14ac:dyDescent="0.2">
      <c r="B592" s="2">
        <v>569</v>
      </c>
      <c r="C592">
        <f>'Refrig Mass Flow &amp; Cond kW'!G583*$C$6*(($C$19-$C$18)/1000)</f>
        <v>0</v>
      </c>
      <c r="D592">
        <f>'Refrig Mass Flow &amp; Cond kW'!G583*Spring_autumn!$C$6*((Spring_autumn!$C$17-Spring_autumn!$C$16)/1000)</f>
        <v>0</v>
      </c>
      <c r="E592">
        <f>'Refrig Mass Flow &amp; Cond kW'!D583*(($C$13-$C$14)-$C$6*($C$17-$C$18)/1000)-'Refrig Mass Flow &amp; Cond kW'!C583*(1-$C$6/($C$10+273))</f>
        <v>0</v>
      </c>
      <c r="F592" s="13"/>
      <c r="G592" s="13">
        <f>'Refrig Mass Flow &amp; Cond kW'!F583*$C$6*($G$19-$G$18)/1000</f>
        <v>1.0160809246098945</v>
      </c>
      <c r="H592">
        <f>'Refrig Mass Flow &amp; Cond kW'!F583*$C$6*($G$17-$G$16)/1000</f>
        <v>6.3355634122732374</v>
      </c>
      <c r="I592">
        <f>'Refrig Mass Flow &amp; Cond kW'!F583*(($G$13-$G$14)-$C$6*($G$17-$G$18)/1000)-'Refrig Mass Flow &amp; Cond kW'!E583*(1-$C$6/($G$10+273))</f>
        <v>2.8041841203693494</v>
      </c>
    </row>
    <row r="593" spans="2:9" x14ac:dyDescent="0.2">
      <c r="B593" s="2">
        <v>570</v>
      </c>
      <c r="C593">
        <f>'Refrig Mass Flow &amp; Cond kW'!G584*$C$6*(($C$19-$C$18)/1000)</f>
        <v>0</v>
      </c>
      <c r="D593">
        <f>'Refrig Mass Flow &amp; Cond kW'!G584*Spring_autumn!$C$6*((Spring_autumn!$C$17-Spring_autumn!$C$16)/1000)</f>
        <v>0</v>
      </c>
      <c r="E593">
        <f>'Refrig Mass Flow &amp; Cond kW'!D584*(($C$13-$C$14)-$C$6*($C$17-$C$18)/1000)-'Refrig Mass Flow &amp; Cond kW'!C584*(1-$C$6/($C$10+273))</f>
        <v>0</v>
      </c>
      <c r="F593" s="13"/>
      <c r="G593" s="13">
        <f>'Refrig Mass Flow &amp; Cond kW'!F584*$C$6*($G$19-$G$18)/1000</f>
        <v>1.0391806514802886</v>
      </c>
      <c r="H593">
        <f>'Refrig Mass Flow &amp; Cond kW'!F584*$C$6*($G$17-$G$16)/1000</f>
        <v>6.479597003347453</v>
      </c>
      <c r="I593">
        <f>'Refrig Mass Flow &amp; Cond kW'!F584*(($G$13-$G$14)-$C$6*($G$17-$G$18)/1000)-'Refrig Mass Flow &amp; Cond kW'!E584*(1-$C$6/($G$10+273))</f>
        <v>2.8679348371734221</v>
      </c>
    </row>
    <row r="594" spans="2:9" x14ac:dyDescent="0.2">
      <c r="B594" s="2">
        <v>571</v>
      </c>
      <c r="C594">
        <f>'Refrig Mass Flow &amp; Cond kW'!G585*$C$6*(($C$19-$C$18)/1000)</f>
        <v>0</v>
      </c>
      <c r="D594">
        <f>'Refrig Mass Flow &amp; Cond kW'!G585*Spring_autumn!$C$6*((Spring_autumn!$C$17-Spring_autumn!$C$16)/1000)</f>
        <v>0</v>
      </c>
      <c r="E594">
        <f>'Refrig Mass Flow &amp; Cond kW'!D585*(($C$13-$C$14)-$C$6*($C$17-$C$18)/1000)-'Refrig Mass Flow &amp; Cond kW'!C585*(1-$C$6/($C$10+273))</f>
        <v>0</v>
      </c>
      <c r="F594" s="13"/>
      <c r="G594" s="13">
        <f>'Refrig Mass Flow &amp; Cond kW'!F585*$C$6*($G$19-$G$18)/1000</f>
        <v>1.0620079906017712</v>
      </c>
      <c r="H594">
        <f>'Refrig Mass Flow &amp; Cond kW'!F585*$C$6*($G$17-$G$16)/1000</f>
        <v>6.6219321766931634</v>
      </c>
      <c r="I594">
        <f>'Refrig Mass Flow &amp; Cond kW'!F585*(($G$13-$G$14)-$C$6*($G$17-$G$18)/1000)-'Refrig Mass Flow &amp; Cond kW'!E585*(1-$C$6/($G$10+273))</f>
        <v>2.9309338171998647</v>
      </c>
    </row>
    <row r="595" spans="2:9" x14ac:dyDescent="0.2">
      <c r="B595" s="2">
        <v>572</v>
      </c>
      <c r="C595">
        <f>'Refrig Mass Flow &amp; Cond kW'!G586*$C$6*(($C$19-$C$18)/1000)</f>
        <v>0</v>
      </c>
      <c r="D595">
        <f>'Refrig Mass Flow &amp; Cond kW'!G586*Spring_autumn!$C$6*((Spring_autumn!$C$17-Spring_autumn!$C$16)/1000)</f>
        <v>0</v>
      </c>
      <c r="E595">
        <f>'Refrig Mass Flow &amp; Cond kW'!D586*(($C$13-$C$14)-$C$6*($C$17-$C$18)/1000)-'Refrig Mass Flow &amp; Cond kW'!C586*(1-$C$6/($C$10+273))</f>
        <v>0</v>
      </c>
      <c r="F595" s="13"/>
      <c r="G595" s="13">
        <f>'Refrig Mass Flow &amp; Cond kW'!F586*$C$6*($G$19-$G$18)/1000</f>
        <v>1.084542591361668</v>
      </c>
      <c r="H595">
        <f>'Refrig Mass Flow &amp; Cond kW'!F586*$C$6*($G$17-$G$16)/1000</f>
        <v>6.7624420402548671</v>
      </c>
      <c r="I595">
        <f>'Refrig Mass Flow &amp; Cond kW'!F586*(($G$13-$G$14)-$C$6*($G$17-$G$18)/1000)-'Refrig Mass Flow &amp; Cond kW'!E586*(1-$C$6/($G$10+273))</f>
        <v>2.9931248967480073</v>
      </c>
    </row>
    <row r="596" spans="2:9" x14ac:dyDescent="0.2">
      <c r="B596" s="2">
        <v>573</v>
      </c>
      <c r="C596">
        <f>'Refrig Mass Flow &amp; Cond kW'!G587*$C$6*(($C$19-$C$18)/1000)</f>
        <v>0</v>
      </c>
      <c r="D596">
        <f>'Refrig Mass Flow &amp; Cond kW'!G587*Spring_autumn!$C$6*((Spring_autumn!$C$17-Spring_autumn!$C$16)/1000)</f>
        <v>0</v>
      </c>
      <c r="E596">
        <f>'Refrig Mass Flow &amp; Cond kW'!D587*(($C$13-$C$14)-$C$6*($C$17-$C$18)/1000)-'Refrig Mass Flow &amp; Cond kW'!C587*(1-$C$6/($C$10+273))</f>
        <v>0</v>
      </c>
      <c r="F596" s="13"/>
      <c r="G596" s="13">
        <f>'Refrig Mass Flow &amp; Cond kW'!F587*$C$6*($G$19-$G$18)/1000</f>
        <v>1.1067899518143554</v>
      </c>
      <c r="H596">
        <f>'Refrig Mass Flow &amp; Cond kW'!F587*$C$6*($G$17-$G$16)/1000</f>
        <v>6.9011608760186789</v>
      </c>
      <c r="I596">
        <f>'Refrig Mass Flow &amp; Cond kW'!F587*(($G$13-$G$14)-$C$6*($G$17-$G$18)/1000)-'Refrig Mass Flow &amp; Cond kW'!E587*(1-$C$6/($G$10+273))</f>
        <v>3.0545232493698862</v>
      </c>
    </row>
    <row r="597" spans="2:9" x14ac:dyDescent="0.2">
      <c r="B597" s="2">
        <v>574</v>
      </c>
      <c r="C597">
        <f>'Refrig Mass Flow &amp; Cond kW'!G588*$C$6*(($C$19-$C$18)/1000)</f>
        <v>0</v>
      </c>
      <c r="D597">
        <f>'Refrig Mass Flow &amp; Cond kW'!G588*Spring_autumn!$C$6*((Spring_autumn!$C$17-Spring_autumn!$C$16)/1000)</f>
        <v>0</v>
      </c>
      <c r="E597">
        <f>'Refrig Mass Flow &amp; Cond kW'!D588*(($C$13-$C$14)-$C$6*($C$17-$C$18)/1000)-'Refrig Mass Flow &amp; Cond kW'!C588*(1-$C$6/($C$10+273))</f>
        <v>0</v>
      </c>
      <c r="F597" s="13"/>
      <c r="G597" s="13">
        <f>'Refrig Mass Flow &amp; Cond kW'!F588*$C$6*($G$19-$G$18)/1000</f>
        <v>1.128828548338316</v>
      </c>
      <c r="H597">
        <f>'Refrig Mass Flow &amp; Cond kW'!F588*$C$6*($G$17-$G$16)/1000</f>
        <v>7.0385780072857225</v>
      </c>
      <c r="I597">
        <f>'Refrig Mass Flow &amp; Cond kW'!F588*(($G$13-$G$14)-$C$6*($G$17-$G$18)/1000)-'Refrig Mass Flow &amp; Cond kW'!E588*(1-$C$6/($G$10+273))</f>
        <v>3.1153454544825792</v>
      </c>
    </row>
    <row r="598" spans="2:9" x14ac:dyDescent="0.2">
      <c r="B598" s="2">
        <v>575</v>
      </c>
      <c r="C598">
        <f>'Refrig Mass Flow &amp; Cond kW'!G589*$C$6*(($C$19-$C$18)/1000)</f>
        <v>0</v>
      </c>
      <c r="D598">
        <f>'Refrig Mass Flow &amp; Cond kW'!G589*Spring_autumn!$C$6*((Spring_autumn!$C$17-Spring_autumn!$C$16)/1000)</f>
        <v>0</v>
      </c>
      <c r="E598">
        <f>'Refrig Mass Flow &amp; Cond kW'!D589*(($C$13-$C$14)-$C$6*($C$17-$C$18)/1000)-'Refrig Mass Flow &amp; Cond kW'!C589*(1-$C$6/($C$10+273))</f>
        <v>0</v>
      </c>
      <c r="F598" s="13"/>
      <c r="G598" s="13">
        <f>'Refrig Mass Flow &amp; Cond kW'!F589*$C$6*($G$19-$G$18)/1000</f>
        <v>1.150836912726604</v>
      </c>
      <c r="H598">
        <f>'Refrig Mass Flow &amp; Cond kW'!F589*$C$6*($G$17-$G$16)/1000</f>
        <v>7.1758066322950418</v>
      </c>
      <c r="I598">
        <f>'Refrig Mass Flow &amp; Cond kW'!F589*(($G$13-$G$14)-$C$6*($G$17-$G$18)/1000)-'Refrig Mass Flow &amp; Cond kW'!E589*(1-$C$6/($G$10+273))</f>
        <v>3.1760842248286778</v>
      </c>
    </row>
    <row r="599" spans="2:9" x14ac:dyDescent="0.2">
      <c r="B599" s="2">
        <v>576</v>
      </c>
      <c r="C599">
        <f>'Refrig Mass Flow &amp; Cond kW'!G590*$C$6*(($C$19-$C$18)/1000)</f>
        <v>0</v>
      </c>
      <c r="D599">
        <f>'Refrig Mass Flow &amp; Cond kW'!G590*Spring_autumn!$C$6*((Spring_autumn!$C$17-Spring_autumn!$C$16)/1000)</f>
        <v>0</v>
      </c>
      <c r="E599">
        <f>'Refrig Mass Flow &amp; Cond kW'!D590*(($C$13-$C$14)-$C$6*($C$17-$C$18)/1000)-'Refrig Mass Flow &amp; Cond kW'!C590*(1-$C$6/($C$10+273))</f>
        <v>0</v>
      </c>
      <c r="F599" s="13"/>
      <c r="G599" s="13">
        <f>'Refrig Mass Flow &amp; Cond kW'!F590*$C$6*($G$19-$G$18)/1000</f>
        <v>1.1726105227426802</v>
      </c>
      <c r="H599">
        <f>'Refrig Mass Flow &amp; Cond kW'!F590*$C$6*($G$17-$G$16)/1000</f>
        <v>7.3115714947482173</v>
      </c>
      <c r="I599">
        <f>'Refrig Mass Flow &amp; Cond kW'!F590*(($G$13-$G$14)-$C$6*($G$17-$G$18)/1000)-'Refrig Mass Flow &amp; Cond kW'!E590*(1-$C$6/($G$10+273))</f>
        <v>3.236175119137755</v>
      </c>
    </row>
    <row r="600" spans="2:9" x14ac:dyDescent="0.2">
      <c r="B600" s="2">
        <v>577</v>
      </c>
      <c r="C600">
        <f>'Refrig Mass Flow &amp; Cond kW'!G591*$C$6*(($C$19-$C$18)/1000)</f>
        <v>0</v>
      </c>
      <c r="D600">
        <f>'Refrig Mass Flow &amp; Cond kW'!G591*Spring_autumn!$C$6*((Spring_autumn!$C$17-Spring_autumn!$C$16)/1000)</f>
        <v>0</v>
      </c>
      <c r="E600">
        <f>'Refrig Mass Flow &amp; Cond kW'!D591*(($C$13-$C$14)-$C$6*($C$17-$C$18)/1000)-'Refrig Mass Flow &amp; Cond kW'!C591*(1-$C$6/($C$10+273))</f>
        <v>0</v>
      </c>
      <c r="F600" s="13"/>
      <c r="G600" s="13">
        <f>'Refrig Mass Flow &amp; Cond kW'!F591*$C$6*($G$19-$G$18)/1000</f>
        <v>1.1943711407157078</v>
      </c>
      <c r="H600">
        <f>'Refrig Mass Flow &amp; Cond kW'!F591*$C$6*($G$17-$G$16)/1000</f>
        <v>7.4472553479917973</v>
      </c>
      <c r="I600">
        <f>'Refrig Mass Flow &amp; Cond kW'!F591*(($G$13-$G$14)-$C$6*($G$17-$G$18)/1000)-'Refrig Mass Flow &amp; Cond kW'!E591*(1-$C$6/($G$10+273))</f>
        <v>3.2962301579554705</v>
      </c>
    </row>
    <row r="601" spans="2:9" x14ac:dyDescent="0.2">
      <c r="B601" s="2">
        <v>578</v>
      </c>
      <c r="C601">
        <f>'Refrig Mass Flow &amp; Cond kW'!G592*$C$6*(($C$19-$C$18)/1000)</f>
        <v>0</v>
      </c>
      <c r="D601">
        <f>'Refrig Mass Flow &amp; Cond kW'!G592*Spring_autumn!$C$6*((Spring_autumn!$C$17-Spring_autumn!$C$16)/1000)</f>
        <v>0</v>
      </c>
      <c r="E601">
        <f>'Refrig Mass Flow &amp; Cond kW'!D592*(($C$13-$C$14)-$C$6*($C$17-$C$18)/1000)-'Refrig Mass Flow &amp; Cond kW'!C592*(1-$C$6/($C$10+273))</f>
        <v>0</v>
      </c>
      <c r="F601" s="13"/>
      <c r="G601" s="13">
        <f>'Refrig Mass Flow &amp; Cond kW'!F592*$C$6*($G$19-$G$18)/1000</f>
        <v>1.2160219923339017</v>
      </c>
      <c r="H601">
        <f>'Refrig Mass Flow &amp; Cond kW'!F592*$C$6*($G$17-$G$16)/1000</f>
        <v>7.5822547757287673</v>
      </c>
      <c r="I601">
        <f>'Refrig Mass Flow &amp; Cond kW'!F592*(($G$13-$G$14)-$C$6*($G$17-$G$18)/1000)-'Refrig Mass Flow &amp; Cond kW'!E592*(1-$C$6/($G$10+273))</f>
        <v>3.3559822631566547</v>
      </c>
    </row>
    <row r="602" spans="2:9" x14ac:dyDescent="0.2">
      <c r="B602" s="2">
        <v>579</v>
      </c>
      <c r="C602">
        <f>'Refrig Mass Flow &amp; Cond kW'!G593*$C$6*(($C$19-$C$18)/1000)</f>
        <v>0</v>
      </c>
      <c r="D602">
        <f>'Refrig Mass Flow &amp; Cond kW'!G593*Spring_autumn!$C$6*((Spring_autumn!$C$17-Spring_autumn!$C$16)/1000)</f>
        <v>0</v>
      </c>
      <c r="E602">
        <f>'Refrig Mass Flow &amp; Cond kW'!D593*(($C$13-$C$14)-$C$6*($C$17-$C$18)/1000)-'Refrig Mass Flow &amp; Cond kW'!C593*(1-$C$6/($C$10+273))</f>
        <v>0</v>
      </c>
      <c r="F602" s="13"/>
      <c r="G602" s="13">
        <f>'Refrig Mass Flow &amp; Cond kW'!F593*$C$6*($G$19-$G$18)/1000</f>
        <v>1.2375579561323138</v>
      </c>
      <c r="H602">
        <f>'Refrig Mass Flow &amp; Cond kW'!F593*$C$6*($G$17-$G$16)/1000</f>
        <v>7.7165378441188608</v>
      </c>
      <c r="I602">
        <f>'Refrig Mass Flow &amp; Cond kW'!F593*(($G$13-$G$14)-$C$6*($G$17-$G$18)/1000)-'Refrig Mass Flow &amp; Cond kW'!E593*(1-$C$6/($G$10+273))</f>
        <v>3.4154173005022699</v>
      </c>
    </row>
    <row r="603" spans="2:9" x14ac:dyDescent="0.2">
      <c r="B603" s="2">
        <v>580</v>
      </c>
      <c r="C603">
        <f>'Refrig Mass Flow &amp; Cond kW'!G594*$C$6*(($C$19-$C$18)/1000)</f>
        <v>0</v>
      </c>
      <c r="D603">
        <f>'Refrig Mass Flow &amp; Cond kW'!G594*Spring_autumn!$C$6*((Spring_autumn!$C$17-Spring_autumn!$C$16)/1000)</f>
        <v>0</v>
      </c>
      <c r="E603">
        <f>'Refrig Mass Flow &amp; Cond kW'!D594*(($C$13-$C$14)-$C$6*($C$17-$C$18)/1000)-'Refrig Mass Flow &amp; Cond kW'!C594*(1-$C$6/($C$10+273))</f>
        <v>0</v>
      </c>
      <c r="F603" s="13"/>
      <c r="G603" s="13">
        <f>'Refrig Mass Flow &amp; Cond kW'!F594*$C$6*($G$19-$G$18)/1000</f>
        <v>1.258977076535557</v>
      </c>
      <c r="H603">
        <f>'Refrig Mass Flow &amp; Cond kW'!F594*$C$6*($G$17-$G$16)/1000</f>
        <v>7.8500923595743712</v>
      </c>
      <c r="I603">
        <f>'Refrig Mass Flow &amp; Cond kW'!F594*(($G$13-$G$14)-$C$6*($G$17-$G$18)/1000)-'Refrig Mass Flow &amp; Cond kW'!E594*(1-$C$6/($G$10+273))</f>
        <v>3.474529872987695</v>
      </c>
    </row>
    <row r="604" spans="2:9" x14ac:dyDescent="0.2">
      <c r="B604" s="2">
        <v>581</v>
      </c>
      <c r="C604">
        <f>'Refrig Mass Flow &amp; Cond kW'!G595*$C$6*(($C$19-$C$18)/1000)</f>
        <v>0</v>
      </c>
      <c r="D604">
        <f>'Refrig Mass Flow &amp; Cond kW'!G595*Spring_autumn!$C$6*((Spring_autumn!$C$17-Spring_autumn!$C$16)/1000)</f>
        <v>0</v>
      </c>
      <c r="E604">
        <f>'Refrig Mass Flow &amp; Cond kW'!D595*(($C$13-$C$14)-$C$6*($C$17-$C$18)/1000)-'Refrig Mass Flow &amp; Cond kW'!C595*(1-$C$6/($C$10+273))</f>
        <v>0</v>
      </c>
      <c r="F604" s="13"/>
      <c r="G604" s="13">
        <f>'Refrig Mass Flow &amp; Cond kW'!F595*$C$6*($G$19-$G$18)/1000</f>
        <v>1.2802774089876132</v>
      </c>
      <c r="H604">
        <f>'Refrig Mass Flow &amp; Cond kW'!F595*$C$6*($G$17-$G$16)/1000</f>
        <v>7.9829061972166002</v>
      </c>
      <c r="I604">
        <f>'Refrig Mass Flow &amp; Cond kW'!F595*(($G$13-$G$14)-$C$6*($G$17-$G$18)/1000)-'Refrig Mass Flow &amp; Cond kW'!E595*(1-$C$6/($G$10+273))</f>
        <v>3.533314614019595</v>
      </c>
    </row>
    <row r="605" spans="2:9" x14ac:dyDescent="0.2">
      <c r="B605" s="2">
        <v>582</v>
      </c>
      <c r="C605">
        <f>'Refrig Mass Flow &amp; Cond kW'!G596*$C$6*(($C$19-$C$18)/1000)</f>
        <v>0</v>
      </c>
      <c r="D605">
        <f>'Refrig Mass Flow &amp; Cond kW'!G596*Spring_autumn!$C$6*((Spring_autumn!$C$17-Spring_autumn!$C$16)/1000)</f>
        <v>0</v>
      </c>
      <c r="E605">
        <f>'Refrig Mass Flow &amp; Cond kW'!D596*(($C$13-$C$14)-$C$6*($C$17-$C$18)/1000)-'Refrig Mass Flow &amp; Cond kW'!C596*(1-$C$6/($C$10+273))</f>
        <v>0</v>
      </c>
      <c r="F605" s="13"/>
      <c r="G605" s="13">
        <f>'Refrig Mass Flow &amp; Cond kW'!F596*$C$6*($G$19-$G$18)/1000</f>
        <v>1.3014570201283073</v>
      </c>
      <c r="H605">
        <f>'Refrig Mass Flow &amp; Cond kW'!F596*$C$6*($G$17-$G$16)/1000</f>
        <v>8.1149673019762183</v>
      </c>
      <c r="I605">
        <f>'Refrig Mass Flow &amp; Cond kW'!F596*(($G$13-$G$14)-$C$6*($G$17-$G$18)/1000)-'Refrig Mass Flow &amp; Cond kW'!E596*(1-$C$6/($G$10+273))</f>
        <v>3.5917661879029765</v>
      </c>
    </row>
    <row r="606" spans="2:9" x14ac:dyDescent="0.2">
      <c r="B606" s="2">
        <v>583</v>
      </c>
      <c r="C606">
        <f>'Refrig Mass Flow &amp; Cond kW'!G597*$C$6*(($C$19-$C$18)/1000)</f>
        <v>0</v>
      </c>
      <c r="D606">
        <f>'Refrig Mass Flow &amp; Cond kW'!G597*Spring_autumn!$C$6*((Spring_autumn!$C$17-Spring_autumn!$C$16)/1000)</f>
        <v>0</v>
      </c>
      <c r="E606">
        <f>'Refrig Mass Flow &amp; Cond kW'!D597*(($C$13-$C$14)-$C$6*($C$17-$C$18)/1000)-'Refrig Mass Flow &amp; Cond kW'!C597*(1-$C$6/($C$10+273))</f>
        <v>0</v>
      </c>
      <c r="F606" s="13"/>
      <c r="G606" s="13">
        <f>'Refrig Mass Flow &amp; Cond kW'!F597*$C$6*($G$19-$G$18)/1000</f>
        <v>1.3228169944807471</v>
      </c>
      <c r="H606">
        <f>'Refrig Mass Flow &amp; Cond kW'!F597*$C$6*($G$17-$G$16)/1000</f>
        <v>8.2481530244090742</v>
      </c>
      <c r="I606">
        <f>'Refrig Mass Flow &amp; Cond kW'!F597*(($G$13-$G$14)-$C$6*($G$17-$G$18)/1000)-'Refrig Mass Flow &amp; Cond kW'!E597*(1-$C$6/($G$10+273))</f>
        <v>3.650715528885442</v>
      </c>
    </row>
    <row r="607" spans="2:9" x14ac:dyDescent="0.2">
      <c r="B607" s="2">
        <v>584</v>
      </c>
      <c r="C607">
        <f>'Refrig Mass Flow &amp; Cond kW'!G598*$C$6*(($C$19-$C$18)/1000)</f>
        <v>0</v>
      </c>
      <c r="D607">
        <f>'Refrig Mass Flow &amp; Cond kW'!G598*Spring_autumn!$C$6*((Spring_autumn!$C$17-Spring_autumn!$C$16)/1000)</f>
        <v>0</v>
      </c>
      <c r="E607">
        <f>'Refrig Mass Flow &amp; Cond kW'!D598*(($C$13-$C$14)-$C$6*($C$17-$C$18)/1000)-'Refrig Mass Flow &amp; Cond kW'!C598*(1-$C$6/($C$10+273))</f>
        <v>0</v>
      </c>
      <c r="F607" s="13"/>
      <c r="G607" s="13">
        <f>'Refrig Mass Flow &amp; Cond kW'!F598*$C$6*($G$19-$G$18)/1000</f>
        <v>1.3442217920902504</v>
      </c>
      <c r="H607">
        <f>'Refrig Mass Flow &amp; Cond kW'!F598*$C$6*($G$17-$G$16)/1000</f>
        <v>8.3816182330330289</v>
      </c>
      <c r="I607">
        <f>'Refrig Mass Flow &amp; Cond kW'!F598*(($G$13-$G$14)-$C$6*($G$17-$G$18)/1000)-'Refrig Mass Flow &amp; Cond kW'!E598*(1-$C$6/($G$10+273))</f>
        <v>3.7097885732685327</v>
      </c>
    </row>
    <row r="608" spans="2:9" x14ac:dyDescent="0.2">
      <c r="B608" s="2">
        <v>585</v>
      </c>
      <c r="C608">
        <f>'Refrig Mass Flow &amp; Cond kW'!G599*$C$6*(($C$19-$C$18)/1000)</f>
        <v>0</v>
      </c>
      <c r="D608">
        <f>'Refrig Mass Flow &amp; Cond kW'!G599*Spring_autumn!$C$6*((Spring_autumn!$C$17-Spring_autumn!$C$16)/1000)</f>
        <v>0</v>
      </c>
      <c r="E608">
        <f>'Refrig Mass Flow &amp; Cond kW'!D599*(($C$13-$C$14)-$C$6*($C$17-$C$18)/1000)-'Refrig Mass Flow &amp; Cond kW'!C599*(1-$C$6/($C$10+273))</f>
        <v>0</v>
      </c>
      <c r="F608" s="13"/>
      <c r="G608" s="13">
        <f>'Refrig Mass Flow &amp; Cond kW'!F599*$C$6*($G$19-$G$18)/1000</f>
        <v>1.3656487739490624</v>
      </c>
      <c r="H608">
        <f>'Refrig Mass Flow &amp; Cond kW'!F599*$C$6*($G$17-$G$16)/1000</f>
        <v>8.5152217669762074</v>
      </c>
      <c r="I608">
        <f>'Refrig Mass Flow &amp; Cond kW'!F599*(($G$13-$G$14)-$C$6*($G$17-$G$18)/1000)-'Refrig Mass Flow &amp; Cond kW'!E599*(1-$C$6/($G$10+273))</f>
        <v>3.7689228418298555</v>
      </c>
    </row>
    <row r="609" spans="2:9" x14ac:dyDescent="0.2">
      <c r="B609" s="2">
        <v>586</v>
      </c>
      <c r="C609">
        <f>'Refrig Mass Flow &amp; Cond kW'!G600*$C$6*(($C$19-$C$18)/1000)</f>
        <v>0</v>
      </c>
      <c r="D609">
        <f>'Refrig Mass Flow &amp; Cond kW'!G600*Spring_autumn!$C$6*((Spring_autumn!$C$17-Spring_autumn!$C$16)/1000)</f>
        <v>0</v>
      </c>
      <c r="E609">
        <f>'Refrig Mass Flow &amp; Cond kW'!D600*(($C$13-$C$14)-$C$6*($C$17-$C$18)/1000)-'Refrig Mass Flow &amp; Cond kW'!C600*(1-$C$6/($C$10+273))</f>
        <v>0</v>
      </c>
      <c r="F609" s="13"/>
      <c r="G609" s="13">
        <f>'Refrig Mass Flow &amp; Cond kW'!F600*$C$6*($G$19-$G$18)/1000</f>
        <v>1.3870601765092563</v>
      </c>
      <c r="H609">
        <f>'Refrig Mass Flow &amp; Cond kW'!F600*$C$6*($G$17-$G$16)/1000</f>
        <v>8.6487281594103518</v>
      </c>
      <c r="I609">
        <f>'Refrig Mass Flow &amp; Cond kW'!F600*(($G$13-$G$14)-$C$6*($G$17-$G$18)/1000)-'Refrig Mass Flow &amp; Cond kW'!E600*(1-$C$6/($G$10+273))</f>
        <v>3.8280141145817552</v>
      </c>
    </row>
    <row r="610" spans="2:9" x14ac:dyDescent="0.2">
      <c r="B610" s="2">
        <v>587</v>
      </c>
      <c r="C610">
        <f>'Refrig Mass Flow &amp; Cond kW'!G601*$C$6*(($C$19-$C$18)/1000)</f>
        <v>0</v>
      </c>
      <c r="D610">
        <f>'Refrig Mass Flow &amp; Cond kW'!G601*Spring_autumn!$C$6*((Spring_autumn!$C$17-Spring_autumn!$C$16)/1000)</f>
        <v>0</v>
      </c>
      <c r="E610">
        <f>'Refrig Mass Flow &amp; Cond kW'!D601*(($C$13-$C$14)-$C$6*($C$17-$C$18)/1000)-'Refrig Mass Flow &amp; Cond kW'!C601*(1-$C$6/($C$10+273))</f>
        <v>0</v>
      </c>
      <c r="F610" s="13"/>
      <c r="G610" s="13">
        <f>'Refrig Mass Flow &amp; Cond kW'!F601*$C$6*($G$19-$G$18)/1000</f>
        <v>1.4084174996388712</v>
      </c>
      <c r="H610">
        <f>'Refrig Mass Flow &amp; Cond kW'!F601*$C$6*($G$17-$G$16)/1000</f>
        <v>8.7818973506891229</v>
      </c>
      <c r="I610">
        <f>'Refrig Mass Flow &amp; Cond kW'!F601*(($G$13-$G$14)-$C$6*($G$17-$G$18)/1000)-'Refrig Mass Flow &amp; Cond kW'!E601*(1-$C$6/($G$10+273))</f>
        <v>3.8869561387090741</v>
      </c>
    </row>
    <row r="611" spans="2:9" x14ac:dyDescent="0.2">
      <c r="B611" s="2">
        <v>588</v>
      </c>
      <c r="C611">
        <f>'Refrig Mass Flow &amp; Cond kW'!G602*$C$6*(($C$19-$C$18)/1000)</f>
        <v>0</v>
      </c>
      <c r="D611">
        <f>'Refrig Mass Flow &amp; Cond kW'!G602*Spring_autumn!$C$6*((Spring_autumn!$C$17-Spring_autumn!$C$16)/1000)</f>
        <v>0</v>
      </c>
      <c r="E611">
        <f>'Refrig Mass Flow &amp; Cond kW'!D602*(($C$13-$C$14)-$C$6*($C$17-$C$18)/1000)-'Refrig Mass Flow &amp; Cond kW'!C602*(1-$C$6/($C$10+273))</f>
        <v>0</v>
      </c>
      <c r="F611" s="13"/>
      <c r="G611" s="13">
        <f>'Refrig Mass Flow &amp; Cond kW'!F602*$C$6*($G$19-$G$18)/1000</f>
        <v>1.429693902032704</v>
      </c>
      <c r="H611">
        <f>'Refrig Mass Flow &amp; Cond kW'!F602*$C$6*($G$17-$G$16)/1000</f>
        <v>8.9145619773800746</v>
      </c>
      <c r="I611">
        <f>'Refrig Mass Flow &amp; Cond kW'!F602*(($G$13-$G$14)-$C$6*($G$17-$G$18)/1000)-'Refrig Mass Flow &amp; Cond kW'!E602*(1-$C$6/($G$10+273))</f>
        <v>3.9456748374724455</v>
      </c>
    </row>
    <row r="612" spans="2:9" x14ac:dyDescent="0.2">
      <c r="B612" s="2">
        <v>589</v>
      </c>
      <c r="C612">
        <f>'Refrig Mass Flow &amp; Cond kW'!G603*$C$6*(($C$19-$C$18)/1000)</f>
        <v>0</v>
      </c>
      <c r="D612">
        <f>'Refrig Mass Flow &amp; Cond kW'!G603*Spring_autumn!$C$6*((Spring_autumn!$C$17-Spring_autumn!$C$16)/1000)</f>
        <v>0</v>
      </c>
      <c r="E612">
        <f>'Refrig Mass Flow &amp; Cond kW'!D603*(($C$13-$C$14)-$C$6*($C$17-$C$18)/1000)-'Refrig Mass Flow &amp; Cond kW'!C603*(1-$C$6/($C$10+273))</f>
        <v>0</v>
      </c>
      <c r="F612" s="13"/>
      <c r="G612" s="13">
        <f>'Refrig Mass Flow &amp; Cond kW'!F603*$C$6*($G$19-$G$18)/1000</f>
        <v>1.4508625854670059</v>
      </c>
      <c r="H612">
        <f>'Refrig Mass Flow &amp; Cond kW'!F603*$C$6*($G$17-$G$16)/1000</f>
        <v>9.0465549446763056</v>
      </c>
      <c r="I612">
        <f>'Refrig Mass Flow &amp; Cond kW'!F603*(($G$13-$G$14)-$C$6*($G$17-$G$18)/1000)-'Refrig Mass Flow &amp; Cond kW'!E603*(1-$C$6/($G$10+273))</f>
        <v>4.0040962530288766</v>
      </c>
    </row>
    <row r="613" spans="2:9" x14ac:dyDescent="0.2">
      <c r="B613" s="2">
        <v>590</v>
      </c>
      <c r="C613">
        <f>'Refrig Mass Flow &amp; Cond kW'!G604*$C$6*(($C$19-$C$18)/1000)</f>
        <v>0</v>
      </c>
      <c r="D613">
        <f>'Refrig Mass Flow &amp; Cond kW'!G604*Spring_autumn!$C$6*((Spring_autumn!$C$17-Spring_autumn!$C$16)/1000)</f>
        <v>0</v>
      </c>
      <c r="E613">
        <f>'Refrig Mass Flow &amp; Cond kW'!D604*(($C$13-$C$14)-$C$6*($C$17-$C$18)/1000)-'Refrig Mass Flow &amp; Cond kW'!C604*(1-$C$6/($C$10+273))</f>
        <v>0</v>
      </c>
      <c r="F613" s="13"/>
      <c r="G613" s="13">
        <f>'Refrig Mass Flow &amp; Cond kW'!F604*$C$6*($G$19-$G$18)/1000</f>
        <v>1.4718967450410469</v>
      </c>
      <c r="H613">
        <f>'Refrig Mass Flow &amp; Cond kW'!F604*$C$6*($G$17-$G$16)/1000</f>
        <v>9.1777091161379687</v>
      </c>
      <c r="I613">
        <f>'Refrig Mass Flow &amp; Cond kW'!F604*(($G$13-$G$14)-$C$6*($G$17-$G$18)/1000)-'Refrig Mass Flow &amp; Cond kW'!E604*(1-$C$6/($G$10+273))</f>
        <v>4.062146409108216</v>
      </c>
    </row>
    <row r="614" spans="2:9" x14ac:dyDescent="0.2">
      <c r="B614" s="2">
        <v>591</v>
      </c>
      <c r="C614">
        <f>'Refrig Mass Flow &amp; Cond kW'!G605*$C$6*(($C$19-$C$18)/1000)</f>
        <v>0</v>
      </c>
      <c r="D614">
        <f>'Refrig Mass Flow &amp; Cond kW'!G605*Spring_autumn!$C$6*((Spring_autumn!$C$17-Spring_autumn!$C$16)/1000)</f>
        <v>0</v>
      </c>
      <c r="E614">
        <f>'Refrig Mass Flow &amp; Cond kW'!D605*(($C$13-$C$14)-$C$6*($C$17-$C$18)/1000)-'Refrig Mass Flow &amp; Cond kW'!C605*(1-$C$6/($C$10+273))</f>
        <v>0</v>
      </c>
      <c r="F614" s="13"/>
      <c r="G614" s="13">
        <f>'Refrig Mass Flow &amp; Cond kW'!F605*$C$6*($G$19-$G$18)/1000</f>
        <v>1.4928162568978762</v>
      </c>
      <c r="H614">
        <f>'Refrig Mass Flow &amp; Cond kW'!F605*$C$6*($G$17-$G$16)/1000</f>
        <v>9.3081484253628979</v>
      </c>
      <c r="I614">
        <f>'Refrig Mass Flow &amp; Cond kW'!F605*(($G$13-$G$14)-$C$6*($G$17-$G$18)/1000)-'Refrig Mass Flow &amp; Cond kW'!E605*(1-$C$6/($G$10+273))</f>
        <v>4.1198801599679911</v>
      </c>
    </row>
    <row r="615" spans="2:9" x14ac:dyDescent="0.2">
      <c r="B615" s="2">
        <v>592</v>
      </c>
      <c r="C615">
        <f>'Refrig Mass Flow &amp; Cond kW'!G606*$C$6*(($C$19-$C$18)/1000)</f>
        <v>0</v>
      </c>
      <c r="D615">
        <f>'Refrig Mass Flow &amp; Cond kW'!G606*Spring_autumn!$C$6*((Spring_autumn!$C$17-Spring_autumn!$C$16)/1000)</f>
        <v>0</v>
      </c>
      <c r="E615">
        <f>'Refrig Mass Flow &amp; Cond kW'!D606*(($C$13-$C$14)-$C$6*($C$17-$C$18)/1000)-'Refrig Mass Flow &amp; Cond kW'!C606*(1-$C$6/($C$10+273))</f>
        <v>0</v>
      </c>
      <c r="F615" s="13"/>
      <c r="G615" s="13">
        <f>'Refrig Mass Flow &amp; Cond kW'!F606*$C$6*($G$19-$G$18)/1000</f>
        <v>1.5136041569032628</v>
      </c>
      <c r="H615">
        <f>'Refrig Mass Flow &amp; Cond kW'!F606*$C$6*($G$17-$G$16)/1000</f>
        <v>9.4377670959847162</v>
      </c>
      <c r="I615">
        <f>'Refrig Mass Flow &amp; Cond kW'!F606*(($G$13-$G$14)-$C$6*($G$17-$G$18)/1000)-'Refrig Mass Flow &amp; Cond kW'!E606*(1-$C$6/($G$10+273))</f>
        <v>4.1772506879240296</v>
      </c>
    </row>
    <row r="616" spans="2:9" x14ac:dyDescent="0.2">
      <c r="B616" s="2">
        <v>593</v>
      </c>
      <c r="C616">
        <f>'Refrig Mass Flow &amp; Cond kW'!G607*$C$6*(($C$19-$C$18)/1000)</f>
        <v>0</v>
      </c>
      <c r="D616">
        <f>'Refrig Mass Flow &amp; Cond kW'!G607*Spring_autumn!$C$6*((Spring_autumn!$C$17-Spring_autumn!$C$16)/1000)</f>
        <v>0</v>
      </c>
      <c r="E616">
        <f>'Refrig Mass Flow &amp; Cond kW'!D607*(($C$13-$C$14)-$C$6*($C$17-$C$18)/1000)-'Refrig Mass Flow &amp; Cond kW'!C607*(1-$C$6/($C$10+273))</f>
        <v>0</v>
      </c>
      <c r="F616" s="13"/>
      <c r="G616" s="13">
        <f>'Refrig Mass Flow &amp; Cond kW'!F607*$C$6*($G$19-$G$18)/1000</f>
        <v>1.5341682106570032</v>
      </c>
      <c r="H616">
        <f>'Refrig Mass Flow &amp; Cond kW'!F607*$C$6*($G$17-$G$16)/1000</f>
        <v>9.5659900193903873</v>
      </c>
      <c r="I616">
        <f>'Refrig Mass Flow &amp; Cond kW'!F607*(($G$13-$G$14)-$C$6*($G$17-$G$18)/1000)-'Refrig Mass Flow &amp; Cond kW'!E607*(1-$C$6/($G$10+273))</f>
        <v>4.2340034441169436</v>
      </c>
    </row>
    <row r="617" spans="2:9" x14ac:dyDescent="0.2">
      <c r="B617" s="2">
        <v>594</v>
      </c>
      <c r="C617">
        <f>'Refrig Mass Flow &amp; Cond kW'!G608*$C$6*(($C$19-$C$18)/1000)</f>
        <v>0</v>
      </c>
      <c r="D617">
        <f>'Refrig Mass Flow &amp; Cond kW'!G608*Spring_autumn!$C$6*((Spring_autumn!$C$17-Spring_autumn!$C$16)/1000)</f>
        <v>0</v>
      </c>
      <c r="E617">
        <f>'Refrig Mass Flow &amp; Cond kW'!D608*(($C$13-$C$14)-$C$6*($C$17-$C$18)/1000)-'Refrig Mass Flow &amp; Cond kW'!C608*(1-$C$6/($C$10+273))</f>
        <v>0</v>
      </c>
      <c r="F617" s="13"/>
      <c r="G617" s="13">
        <f>'Refrig Mass Flow &amp; Cond kW'!F608*$C$6*($G$19-$G$18)/1000</f>
        <v>1.5544619571457281</v>
      </c>
      <c r="H617">
        <f>'Refrig Mass Flow &amp; Cond kW'!F608*$C$6*($G$17-$G$16)/1000</f>
        <v>9.6925274974965507</v>
      </c>
      <c r="I617">
        <f>'Refrig Mass Flow &amp; Cond kW'!F608*(($G$13-$G$14)-$C$6*($G$17-$G$18)/1000)-'Refrig Mass Flow &amp; Cond kW'!E608*(1-$C$6/($G$10+273))</f>
        <v>4.2900102052598399</v>
      </c>
    </row>
    <row r="618" spans="2:9" x14ac:dyDescent="0.2">
      <c r="B618" s="2">
        <v>595</v>
      </c>
      <c r="C618">
        <f>'Refrig Mass Flow &amp; Cond kW'!G609*$C$6*(($C$19-$C$18)/1000)</f>
        <v>0</v>
      </c>
      <c r="D618">
        <f>'Refrig Mass Flow &amp; Cond kW'!G609*Spring_autumn!$C$6*((Spring_autumn!$C$17-Spring_autumn!$C$16)/1000)</f>
        <v>0</v>
      </c>
      <c r="E618">
        <f>'Refrig Mass Flow &amp; Cond kW'!D609*(($C$13-$C$14)-$C$6*($C$17-$C$18)/1000)-'Refrig Mass Flow &amp; Cond kW'!C609*(1-$C$6/($C$10+273))</f>
        <v>0</v>
      </c>
      <c r="F618" s="13"/>
      <c r="G618" s="13">
        <f>'Refrig Mass Flow &amp; Cond kW'!F609*$C$6*($G$19-$G$18)/1000</f>
        <v>1.5745418022579165</v>
      </c>
      <c r="H618">
        <f>'Refrig Mass Flow &amp; Cond kW'!F609*$C$6*($G$17-$G$16)/1000</f>
        <v>9.8177312376078394</v>
      </c>
      <c r="I618">
        <f>'Refrig Mass Flow &amp; Cond kW'!F609*(($G$13-$G$14)-$C$6*($G$17-$G$18)/1000)-'Refrig Mass Flow &amp; Cond kW'!E609*(1-$C$6/($G$10+273))</f>
        <v>4.3454266405449502</v>
      </c>
    </row>
    <row r="619" spans="2:9" x14ac:dyDescent="0.2">
      <c r="B619" s="2">
        <v>596</v>
      </c>
      <c r="C619">
        <f>'Refrig Mass Flow &amp; Cond kW'!G610*$C$6*(($C$19-$C$18)/1000)</f>
        <v>0</v>
      </c>
      <c r="D619">
        <f>'Refrig Mass Flow &amp; Cond kW'!G610*Spring_autumn!$C$6*((Spring_autumn!$C$17-Spring_autumn!$C$16)/1000)</f>
        <v>0</v>
      </c>
      <c r="E619">
        <f>'Refrig Mass Flow &amp; Cond kW'!D610*(($C$13-$C$14)-$C$6*($C$17-$C$18)/1000)-'Refrig Mass Flow &amp; Cond kW'!C610*(1-$C$6/($C$10+273))</f>
        <v>0</v>
      </c>
      <c r="F619" s="13"/>
      <c r="G619" s="13">
        <f>'Refrig Mass Flow &amp; Cond kW'!F610*$C$6*($G$19-$G$18)/1000</f>
        <v>1.5945303692458077</v>
      </c>
      <c r="H619">
        <f>'Refrig Mass Flow &amp; Cond kW'!F610*$C$6*($G$17-$G$16)/1000</f>
        <v>9.942365831767626</v>
      </c>
      <c r="I619">
        <f>'Refrig Mass Flow &amp; Cond kW'!F610*(($G$13-$G$14)-$C$6*($G$17-$G$18)/1000)-'Refrig Mass Flow &amp; Cond kW'!E610*(1-$C$6/($G$10+273))</f>
        <v>4.4005911661046682</v>
      </c>
    </row>
    <row r="620" spans="2:9" x14ac:dyDescent="0.2">
      <c r="B620" s="2">
        <v>597</v>
      </c>
      <c r="C620">
        <f>'Refrig Mass Flow &amp; Cond kW'!G611*$C$6*(($C$19-$C$18)/1000)</f>
        <v>0</v>
      </c>
      <c r="D620">
        <f>'Refrig Mass Flow &amp; Cond kW'!G611*Spring_autumn!$C$6*((Spring_autumn!$C$17-Spring_autumn!$C$16)/1000)</f>
        <v>0</v>
      </c>
      <c r="E620">
        <f>'Refrig Mass Flow &amp; Cond kW'!D611*(($C$13-$C$14)-$C$6*($C$17-$C$18)/1000)-'Refrig Mass Flow &amp; Cond kW'!C611*(1-$C$6/($C$10+273))</f>
        <v>0</v>
      </c>
      <c r="F620" s="13"/>
      <c r="G620" s="13">
        <f>'Refrig Mass Flow &amp; Cond kW'!F611*$C$6*($G$19-$G$18)/1000</f>
        <v>1.6144805328590959</v>
      </c>
      <c r="H620">
        <f>'Refrig Mass Flow &amp; Cond kW'!F611*$C$6*($G$17-$G$16)/1000</f>
        <v>10.066760969591652</v>
      </c>
      <c r="I620">
        <f>'Refrig Mass Flow &amp; Cond kW'!F611*(($G$13-$G$14)-$C$6*($G$17-$G$18)/1000)-'Refrig Mass Flow &amp; Cond kW'!E611*(1-$C$6/($G$10+273))</f>
        <v>4.4556497058805533</v>
      </c>
    </row>
    <row r="621" spans="2:9" x14ac:dyDescent="0.2">
      <c r="B621" s="2">
        <v>598</v>
      </c>
      <c r="C621">
        <f>'Refrig Mass Flow &amp; Cond kW'!G612*$C$6*(($C$19-$C$18)/1000)</f>
        <v>0</v>
      </c>
      <c r="D621">
        <f>'Refrig Mass Flow &amp; Cond kW'!G612*Spring_autumn!$C$6*((Spring_autumn!$C$17-Spring_autumn!$C$16)/1000)</f>
        <v>0</v>
      </c>
      <c r="E621">
        <f>'Refrig Mass Flow &amp; Cond kW'!D612*(($C$13-$C$14)-$C$6*($C$17-$C$18)/1000)-'Refrig Mass Flow &amp; Cond kW'!C612*(1-$C$6/($C$10+273))</f>
        <v>0</v>
      </c>
      <c r="F621" s="13"/>
      <c r="G621" s="13">
        <f>'Refrig Mass Flow &amp; Cond kW'!F612*$C$6*($G$19-$G$18)/1000</f>
        <v>1.6344450877774035</v>
      </c>
      <c r="H621">
        <f>'Refrig Mass Flow &amp; Cond kW'!F612*$C$6*($G$17-$G$16)/1000</f>
        <v>10.191245841435213</v>
      </c>
      <c r="I621">
        <f>'Refrig Mass Flow &amp; Cond kW'!F612*(($G$13-$G$14)-$C$6*($G$17-$G$18)/1000)-'Refrig Mass Flow &amp; Cond kW'!E612*(1-$C$6/($G$10+273))</f>
        <v>4.5107479628364686</v>
      </c>
    </row>
    <row r="622" spans="2:9" x14ac:dyDescent="0.2">
      <c r="B622" s="2">
        <v>599</v>
      </c>
      <c r="C622">
        <f>'Refrig Mass Flow &amp; Cond kW'!G613*$C$6*(($C$19-$C$18)/1000)</f>
        <v>0</v>
      </c>
      <c r="D622">
        <f>'Refrig Mass Flow &amp; Cond kW'!G613*Spring_autumn!$C$6*((Spring_autumn!$C$17-Spring_autumn!$C$16)/1000)</f>
        <v>0</v>
      </c>
      <c r="E622">
        <f>'Refrig Mass Flow &amp; Cond kW'!D613*(($C$13-$C$14)-$C$6*($C$17-$C$18)/1000)-'Refrig Mass Flow &amp; Cond kW'!C613*(1-$C$6/($C$10+273))</f>
        <v>0</v>
      </c>
      <c r="F622" s="13"/>
      <c r="G622" s="13">
        <f>'Refrig Mass Flow &amp; Cond kW'!F613*$C$6*($G$19-$G$18)/1000</f>
        <v>1.6544412029702396</v>
      </c>
      <c r="H622">
        <f>'Refrig Mass Flow &amp; Cond kW'!F613*$C$6*($G$17-$G$16)/1000</f>
        <v>10.315927500872895</v>
      </c>
      <c r="I622">
        <f>'Refrig Mass Flow &amp; Cond kW'!F613*(($G$13-$G$14)-$C$6*($G$17-$G$18)/1000)-'Refrig Mass Flow &amp; Cond kW'!E613*(1-$C$6/($G$10+273))</f>
        <v>4.5659333199618004</v>
      </c>
    </row>
    <row r="623" spans="2:9" x14ac:dyDescent="0.2">
      <c r="B623" s="2">
        <v>600</v>
      </c>
      <c r="C623">
        <f>'Refrig Mass Flow &amp; Cond kW'!G614*$C$6*(($C$19-$C$18)/1000)</f>
        <v>0</v>
      </c>
      <c r="D623">
        <f>'Refrig Mass Flow &amp; Cond kW'!G614*Spring_autumn!$C$6*((Spring_autumn!$C$17-Spring_autumn!$C$16)/1000)</f>
        <v>0</v>
      </c>
      <c r="E623">
        <f>'Refrig Mass Flow &amp; Cond kW'!D614*(($C$13-$C$14)-$C$6*($C$17-$C$18)/1000)-'Refrig Mass Flow &amp; Cond kW'!C614*(1-$C$6/($C$10+273))</f>
        <v>0</v>
      </c>
      <c r="F623" s="13"/>
      <c r="G623" s="13">
        <f>'Refrig Mass Flow &amp; Cond kW'!F614*$C$6*($G$19-$G$18)/1000</f>
        <v>1.5595163297293726</v>
      </c>
      <c r="H623">
        <f>'Refrig Mass Flow &amp; Cond kW'!F614*$C$6*($G$17-$G$16)/1000</f>
        <v>9.7240429971357436</v>
      </c>
      <c r="I623">
        <f>'Refrig Mass Flow &amp; Cond kW'!F614*(($G$13-$G$14)-$C$6*($G$17-$G$18)/1000)-'Refrig Mass Flow &amp; Cond kW'!E614*(1-$C$6/($G$10+273))</f>
        <v>4.3039592825372566</v>
      </c>
    </row>
    <row r="624" spans="2:9" x14ac:dyDescent="0.2">
      <c r="B624" s="2">
        <v>601</v>
      </c>
      <c r="C624">
        <f>'Refrig Mass Flow &amp; Cond kW'!G615*$C$6*(($C$19-$C$18)/1000)</f>
        <v>0</v>
      </c>
      <c r="D624">
        <f>'Refrig Mass Flow &amp; Cond kW'!G615*Spring_autumn!$C$6*((Spring_autumn!$C$17-Spring_autumn!$C$16)/1000)</f>
        <v>0</v>
      </c>
      <c r="E624">
        <f>'Refrig Mass Flow &amp; Cond kW'!D615*(($C$13-$C$14)-$C$6*($C$17-$C$18)/1000)-'Refrig Mass Flow &amp; Cond kW'!C615*(1-$C$6/($C$10+273))</f>
        <v>0</v>
      </c>
      <c r="F624" s="13"/>
      <c r="G624" s="13">
        <f>'Refrig Mass Flow &amp; Cond kW'!F615*$C$6*($G$19-$G$18)/1000</f>
        <v>1.5128997026830011</v>
      </c>
      <c r="H624">
        <f>'Refrig Mass Flow &amp; Cond kW'!F615*$C$6*($G$17-$G$16)/1000</f>
        <v>9.4333746167289689</v>
      </c>
      <c r="I624">
        <f>'Refrig Mass Flow &amp; Cond kW'!F615*(($G$13-$G$14)-$C$6*($G$17-$G$18)/1000)-'Refrig Mass Flow &amp; Cond kW'!E615*(1-$C$6/($G$10+273))</f>
        <v>4.1753065324043845</v>
      </c>
    </row>
    <row r="625" spans="2:9" x14ac:dyDescent="0.2">
      <c r="B625" s="2">
        <v>602</v>
      </c>
      <c r="C625">
        <f>'Refrig Mass Flow &amp; Cond kW'!G616*$C$6*(($C$19-$C$18)/1000)</f>
        <v>0</v>
      </c>
      <c r="D625">
        <f>'Refrig Mass Flow &amp; Cond kW'!G616*Spring_autumn!$C$6*((Spring_autumn!$C$17-Spring_autumn!$C$16)/1000)</f>
        <v>0</v>
      </c>
      <c r="E625">
        <f>'Refrig Mass Flow &amp; Cond kW'!D616*(($C$13-$C$14)-$C$6*($C$17-$C$18)/1000)-'Refrig Mass Flow &amp; Cond kW'!C616*(1-$C$6/($C$10+273))</f>
        <v>0</v>
      </c>
      <c r="F625" s="13"/>
      <c r="G625" s="13">
        <f>'Refrig Mass Flow &amp; Cond kW'!F616*$C$6*($G$19-$G$18)/1000</f>
        <v>1.4661518156529552</v>
      </c>
      <c r="H625">
        <f>'Refrig Mass Flow &amp; Cond kW'!F616*$C$6*($G$17-$G$16)/1000</f>
        <v>9.1418877917181032</v>
      </c>
      <c r="I625">
        <f>'Refrig Mass Flow &amp; Cond kW'!F616*(($G$13-$G$14)-$C$6*($G$17-$G$18)/1000)-'Refrig Mass Flow &amp; Cond kW'!E616*(1-$C$6/($G$10+273))</f>
        <v>4.0462915304538143</v>
      </c>
    </row>
    <row r="626" spans="2:9" x14ac:dyDescent="0.2">
      <c r="B626" s="2">
        <v>603</v>
      </c>
      <c r="C626">
        <f>'Refrig Mass Flow &amp; Cond kW'!G617*$C$6*(($C$19-$C$18)/1000)</f>
        <v>0</v>
      </c>
      <c r="D626">
        <f>'Refrig Mass Flow &amp; Cond kW'!G617*Spring_autumn!$C$6*((Spring_autumn!$C$17-Spring_autumn!$C$16)/1000)</f>
        <v>0</v>
      </c>
      <c r="E626">
        <f>'Refrig Mass Flow &amp; Cond kW'!D617*(($C$13-$C$14)-$C$6*($C$17-$C$18)/1000)-'Refrig Mass Flow &amp; Cond kW'!C617*(1-$C$6/($C$10+273))</f>
        <v>0</v>
      </c>
      <c r="F626" s="13"/>
      <c r="G626" s="13">
        <f>'Refrig Mass Flow &amp; Cond kW'!F617*$C$6*($G$19-$G$18)/1000</f>
        <v>1.4192769740122835</v>
      </c>
      <c r="H626">
        <f>'Refrig Mass Flow &amp; Cond kW'!F617*$C$6*($G$17-$G$16)/1000</f>
        <v>8.8496093673703964</v>
      </c>
      <c r="I626">
        <f>'Refrig Mass Flow &amp; Cond kW'!F617*(($G$13-$G$14)-$C$6*($G$17-$G$18)/1000)-'Refrig Mass Flow &amp; Cond kW'!E617*(1-$C$6/($G$10+273))</f>
        <v>3.9169261586709894</v>
      </c>
    </row>
    <row r="627" spans="2:9" x14ac:dyDescent="0.2">
      <c r="B627" s="2">
        <v>604</v>
      </c>
      <c r="C627">
        <f>'Refrig Mass Flow &amp; Cond kW'!G618*$C$6*(($C$19-$C$18)/1000)</f>
        <v>0</v>
      </c>
      <c r="D627">
        <f>'Refrig Mass Flow &amp; Cond kW'!G618*Spring_autumn!$C$6*((Spring_autumn!$C$17-Spring_autumn!$C$16)/1000)</f>
        <v>0</v>
      </c>
      <c r="E627">
        <f>'Refrig Mass Flow &amp; Cond kW'!D618*(($C$13-$C$14)-$C$6*($C$17-$C$18)/1000)-'Refrig Mass Flow &amp; Cond kW'!C618*(1-$C$6/($C$10+273))</f>
        <v>0</v>
      </c>
      <c r="F627" s="13"/>
      <c r="G627" s="13">
        <f>'Refrig Mass Flow &amp; Cond kW'!F618*$C$6*($G$19-$G$18)/1000</f>
        <v>1.3722794940861929</v>
      </c>
      <c r="H627">
        <f>'Refrig Mass Flow &amp; Cond kW'!F618*$C$6*($G$17-$G$16)/1000</f>
        <v>8.5565662572430199</v>
      </c>
      <c r="I627">
        <f>'Refrig Mass Flow &amp; Cond kW'!F618*(($G$13-$G$14)-$C$6*($G$17-$G$18)/1000)-'Refrig Mass Flow &amp; Cond kW'!E618*(1-$C$6/($G$10+273))</f>
        <v>3.7872223292671308</v>
      </c>
    </row>
    <row r="628" spans="2:9" x14ac:dyDescent="0.2">
      <c r="B628" s="2">
        <v>605</v>
      </c>
      <c r="C628">
        <f>'Refrig Mass Flow &amp; Cond kW'!G619*$C$6*(($C$19-$C$18)/1000)</f>
        <v>0</v>
      </c>
      <c r="D628">
        <f>'Refrig Mass Flow &amp; Cond kW'!G619*Spring_autumn!$C$6*((Spring_autumn!$C$17-Spring_autumn!$C$16)/1000)</f>
        <v>0</v>
      </c>
      <c r="E628">
        <f>'Refrig Mass Flow &amp; Cond kW'!D619*(($C$13-$C$14)-$C$6*($C$17-$C$18)/1000)-'Refrig Mass Flow &amp; Cond kW'!C619*(1-$C$6/($C$10+273))</f>
        <v>0</v>
      </c>
      <c r="F628" s="13"/>
      <c r="G628" s="13">
        <f>'Refrig Mass Flow &amp; Cond kW'!F619*$C$6*($G$19-$G$18)/1000</f>
        <v>1.3251637027547474</v>
      </c>
      <c r="H628">
        <f>'Refrig Mass Flow &amp; Cond kW'!F619*$C$6*($G$17-$G$16)/1000</f>
        <v>8.2627854407057804</v>
      </c>
      <c r="I628">
        <f>'Refrig Mass Flow &amp; Cond kW'!F619*(($G$13-$G$14)-$C$6*($G$17-$G$18)/1000)-'Refrig Mass Flow &amp; Cond kW'!E619*(1-$C$6/($G$10+273))</f>
        <v>3.6571919835828055</v>
      </c>
    </row>
    <row r="629" spans="2:9" x14ac:dyDescent="0.2">
      <c r="B629" s="2">
        <v>606</v>
      </c>
      <c r="C629">
        <f>'Refrig Mass Flow &amp; Cond kW'!G620*$C$6*(($C$19-$C$18)/1000)</f>
        <v>0</v>
      </c>
      <c r="D629">
        <f>'Refrig Mass Flow &amp; Cond kW'!G620*Spring_autumn!$C$6*((Spring_autumn!$C$17-Spring_autumn!$C$16)/1000)</f>
        <v>0</v>
      </c>
      <c r="E629">
        <f>'Refrig Mass Flow &amp; Cond kW'!D620*(($C$13-$C$14)-$C$6*($C$17-$C$18)/1000)-'Refrig Mass Flow &amp; Cond kW'!C620*(1-$C$6/($C$10+273))</f>
        <v>0</v>
      </c>
      <c r="F629" s="13"/>
      <c r="G629" s="13">
        <f>'Refrig Mass Flow &amp; Cond kW'!F620*$C$6*($G$19-$G$18)/1000</f>
        <v>1.2779339370545963</v>
      </c>
      <c r="H629">
        <f>'Refrig Mass Flow &amp; Cond kW'!F620*$C$6*($G$17-$G$16)/1000</f>
        <v>7.9682939604577907</v>
      </c>
      <c r="I629">
        <f>'Refrig Mass Flow &amp; Cond kW'!F620*(($G$13-$G$14)-$C$6*($G$17-$G$18)/1000)-'Refrig Mass Flow &amp; Cond kW'!E620*(1-$C$6/($G$10+273))</f>
        <v>3.5268470909887668</v>
      </c>
    </row>
    <row r="630" spans="2:9" x14ac:dyDescent="0.2">
      <c r="B630" s="2">
        <v>607</v>
      </c>
      <c r="C630">
        <f>'Refrig Mass Flow &amp; Cond kW'!G621*$C$6*(($C$19-$C$18)/1000)</f>
        <v>0</v>
      </c>
      <c r="D630">
        <f>'Refrig Mass Flow &amp; Cond kW'!G621*Spring_autumn!$C$6*((Spring_autumn!$C$17-Spring_autumn!$C$16)/1000)</f>
        <v>0</v>
      </c>
      <c r="E630">
        <f>'Refrig Mass Flow &amp; Cond kW'!D621*(($C$13-$C$14)-$C$6*($C$17-$C$18)/1000)-'Refrig Mass Flow &amp; Cond kW'!C621*(1-$C$6/($C$10+273))</f>
        <v>0</v>
      </c>
      <c r="F630" s="13"/>
      <c r="G630" s="13">
        <f>'Refrig Mass Flow &amp; Cond kW'!F621*$C$6*($G$19-$G$18)/1000</f>
        <v>1.2309030639089225</v>
      </c>
      <c r="H630">
        <f>'Refrig Mass Flow &amp; Cond kW'!F621*$C$6*($G$17-$G$16)/1000</f>
        <v>7.6750426337847735</v>
      </c>
      <c r="I630">
        <f>'Refrig Mass Flow &amp; Cond kW'!F621*(($G$13-$G$14)-$C$6*($G$17-$G$18)/1000)-'Refrig Mass Flow &amp; Cond kW'!E621*(1-$C$6/($G$10+273))</f>
        <v>3.3970511028465395</v>
      </c>
    </row>
    <row r="631" spans="2:9" x14ac:dyDescent="0.2">
      <c r="B631" s="2">
        <v>608</v>
      </c>
      <c r="C631">
        <f>'Refrig Mass Flow &amp; Cond kW'!G622*$C$6*(($C$19-$C$18)/1000)</f>
        <v>0</v>
      </c>
      <c r="D631">
        <f>'Refrig Mass Flow &amp; Cond kW'!G622*Spring_autumn!$C$6*((Spring_autumn!$C$17-Spring_autumn!$C$16)/1000)</f>
        <v>0</v>
      </c>
      <c r="E631">
        <f>'Refrig Mass Flow &amp; Cond kW'!D622*(($C$13-$C$14)-$C$6*($C$17-$C$18)/1000)-'Refrig Mass Flow &amp; Cond kW'!C622*(1-$C$6/($C$10+273))</f>
        <v>0</v>
      </c>
      <c r="F631" s="13"/>
      <c r="G631" s="13">
        <f>'Refrig Mass Flow &amp; Cond kW'!F622*$C$6*($G$19-$G$18)/1000</f>
        <v>1.1839400587191871</v>
      </c>
      <c r="H631">
        <f>'Refrig Mass Flow &amp; Cond kW'!F622*$C$6*($G$17-$G$16)/1000</f>
        <v>7.3822144837782</v>
      </c>
      <c r="I631">
        <f>'Refrig Mass Flow &amp; Cond kW'!F622*(($G$13-$G$14)-$C$6*($G$17-$G$18)/1000)-'Refrig Mass Flow &amp; Cond kW'!E622*(1-$C$6/($G$10+273))</f>
        <v>3.2674424169552694</v>
      </c>
    </row>
    <row r="632" spans="2:9" x14ac:dyDescent="0.2">
      <c r="B632" s="2">
        <v>609</v>
      </c>
      <c r="C632">
        <f>'Refrig Mass Flow &amp; Cond kW'!G623*$C$6*(($C$19-$C$18)/1000)</f>
        <v>0</v>
      </c>
      <c r="D632">
        <f>'Refrig Mass Flow &amp; Cond kW'!G623*Spring_autumn!$C$6*((Spring_autumn!$C$17-Spring_autumn!$C$16)/1000)</f>
        <v>0</v>
      </c>
      <c r="E632">
        <f>'Refrig Mass Flow &amp; Cond kW'!D623*(($C$13-$C$14)-$C$6*($C$17-$C$18)/1000)-'Refrig Mass Flow &amp; Cond kW'!C623*(1-$C$6/($C$10+273))</f>
        <v>0</v>
      </c>
      <c r="F632" s="13"/>
      <c r="G632" s="13">
        <f>'Refrig Mass Flow &amp; Cond kW'!F623*$C$6*($G$19-$G$18)/1000</f>
        <v>1.1370286715623521</v>
      </c>
      <c r="H632">
        <f>'Refrig Mass Flow &amp; Cond kW'!F623*$C$6*($G$17-$G$16)/1000</f>
        <v>7.0897081873885339</v>
      </c>
      <c r="I632">
        <f>'Refrig Mass Flow &amp; Cond kW'!F623*(($G$13-$G$14)-$C$6*($G$17-$G$18)/1000)-'Refrig Mass Flow &amp; Cond kW'!E623*(1-$C$6/($G$10+273))</f>
        <v>3.1379761867136153</v>
      </c>
    </row>
    <row r="633" spans="2:9" x14ac:dyDescent="0.2">
      <c r="B633" s="2">
        <v>610</v>
      </c>
      <c r="C633">
        <f>'Refrig Mass Flow &amp; Cond kW'!G624*$C$6*(($C$19-$C$18)/1000)</f>
        <v>0</v>
      </c>
      <c r="D633">
        <f>'Refrig Mass Flow &amp; Cond kW'!G624*Spring_autumn!$C$6*((Spring_autumn!$C$17-Spring_autumn!$C$16)/1000)</f>
        <v>0</v>
      </c>
      <c r="E633">
        <f>'Refrig Mass Flow &amp; Cond kW'!D624*(($C$13-$C$14)-$C$6*($C$17-$C$18)/1000)-'Refrig Mass Flow &amp; Cond kW'!C624*(1-$C$6/($C$10+273))</f>
        <v>0</v>
      </c>
      <c r="F633" s="13"/>
      <c r="G633" s="13">
        <f>'Refrig Mass Flow &amp; Cond kW'!F624*$C$6*($G$19-$G$18)/1000</f>
        <v>1.0901658173755921</v>
      </c>
      <c r="H633">
        <f>'Refrig Mass Flow &amp; Cond kW'!F624*$C$6*($G$17-$G$16)/1000</f>
        <v>6.7975045083416861</v>
      </c>
      <c r="I633">
        <f>'Refrig Mass Flow &amp; Cond kW'!F624*(($G$13-$G$14)-$C$6*($G$17-$G$18)/1000)-'Refrig Mass Flow &amp; Cond kW'!E624*(1-$C$6/($G$10+273))</f>
        <v>3.0086438979531067</v>
      </c>
    </row>
    <row r="634" spans="2:9" x14ac:dyDescent="0.2">
      <c r="B634" s="2">
        <v>611</v>
      </c>
      <c r="C634">
        <f>'Refrig Mass Flow &amp; Cond kW'!G625*$C$6*(($C$19-$C$18)/1000)</f>
        <v>0</v>
      </c>
      <c r="D634">
        <f>'Refrig Mass Flow &amp; Cond kW'!G625*Spring_autumn!$C$6*((Spring_autumn!$C$17-Spring_autumn!$C$16)/1000)</f>
        <v>0</v>
      </c>
      <c r="E634">
        <f>'Refrig Mass Flow &amp; Cond kW'!D625*(($C$13-$C$14)-$C$6*($C$17-$C$18)/1000)-'Refrig Mass Flow &amp; Cond kW'!C625*(1-$C$6/($C$10+273))</f>
        <v>0</v>
      </c>
      <c r="F634" s="13"/>
      <c r="G634" s="13">
        <f>'Refrig Mass Flow &amp; Cond kW'!F625*$C$6*($G$19-$G$18)/1000</f>
        <v>1.0433112941847509</v>
      </c>
      <c r="H634">
        <f>'Refrig Mass Flow &amp; Cond kW'!F625*$C$6*($G$17-$G$16)/1000</f>
        <v>6.5053527755046883</v>
      </c>
      <c r="I634">
        <f>'Refrig Mass Flow &amp; Cond kW'!F625*(($G$13-$G$14)-$C$6*($G$17-$G$18)/1000)-'Refrig Mass Flow &amp; Cond kW'!E625*(1-$C$6/($G$10+273))</f>
        <v>2.8793346011078</v>
      </c>
    </row>
    <row r="635" spans="2:9" x14ac:dyDescent="0.2">
      <c r="B635" s="2">
        <v>612</v>
      </c>
      <c r="C635">
        <f>'Refrig Mass Flow &amp; Cond kW'!G626*$C$6*(($C$19-$C$18)/1000)</f>
        <v>0</v>
      </c>
      <c r="D635">
        <f>'Refrig Mass Flow &amp; Cond kW'!G626*Spring_autumn!$C$6*((Spring_autumn!$C$17-Spring_autumn!$C$16)/1000)</f>
        <v>0</v>
      </c>
      <c r="E635">
        <f>'Refrig Mass Flow &amp; Cond kW'!D626*(($C$13-$C$14)-$C$6*($C$17-$C$18)/1000)-'Refrig Mass Flow &amp; Cond kW'!C626*(1-$C$6/($C$10+273))</f>
        <v>0</v>
      </c>
      <c r="F635" s="13"/>
      <c r="G635" s="13">
        <f>'Refrig Mass Flow &amp; Cond kW'!F626*$C$6*($G$19-$G$18)/1000</f>
        <v>0.99644152353719606</v>
      </c>
      <c r="H635">
        <f>'Refrig Mass Flow &amp; Cond kW'!F626*$C$6*($G$17-$G$16)/1000</f>
        <v>6.2131059702905329</v>
      </c>
      <c r="I635">
        <f>'Refrig Mass Flow &amp; Cond kW'!F626*(($G$13-$G$14)-$C$6*($G$17-$G$18)/1000)-'Refrig Mass Flow &amp; Cond kW'!E626*(1-$C$6/($G$10+273))</f>
        <v>2.7499832242716593</v>
      </c>
    </row>
    <row r="636" spans="2:9" x14ac:dyDescent="0.2">
      <c r="B636" s="2">
        <v>613</v>
      </c>
      <c r="C636">
        <f>'Refrig Mass Flow &amp; Cond kW'!G627*$C$6*(($C$19-$C$18)/1000)</f>
        <v>0</v>
      </c>
      <c r="D636">
        <f>'Refrig Mass Flow &amp; Cond kW'!G627*Spring_autumn!$C$6*((Spring_autumn!$C$17-Spring_autumn!$C$16)/1000)</f>
        <v>0</v>
      </c>
      <c r="E636">
        <f>'Refrig Mass Flow &amp; Cond kW'!D627*(($C$13-$C$14)-$C$6*($C$17-$C$18)/1000)-'Refrig Mass Flow &amp; Cond kW'!C627*(1-$C$6/($C$10+273))</f>
        <v>0</v>
      </c>
      <c r="F636" s="13"/>
      <c r="G636" s="13">
        <f>'Refrig Mass Flow &amp; Cond kW'!F627*$C$6*($G$19-$G$18)/1000</f>
        <v>0.94953664705815588</v>
      </c>
      <c r="H636">
        <f>'Refrig Mass Flow &amp; Cond kW'!F627*$C$6*($G$17-$G$16)/1000</f>
        <v>5.9206402698918206</v>
      </c>
      <c r="I636">
        <f>'Refrig Mass Flow &amp; Cond kW'!F627*(($G$13-$G$14)-$C$6*($G$17-$G$18)/1000)-'Refrig Mass Flow &amp; Cond kW'!E627*(1-$C$6/($G$10+273))</f>
        <v>2.620534962224113</v>
      </c>
    </row>
    <row r="637" spans="2:9" x14ac:dyDescent="0.2">
      <c r="B637" s="2">
        <v>614</v>
      </c>
      <c r="C637">
        <f>'Refrig Mass Flow &amp; Cond kW'!G628*$C$6*(($C$19-$C$18)/1000)</f>
        <v>0</v>
      </c>
      <c r="D637">
        <f>'Refrig Mass Flow &amp; Cond kW'!G628*Spring_autumn!$C$6*((Spring_autumn!$C$17-Spring_autumn!$C$16)/1000)</f>
        <v>0</v>
      </c>
      <c r="E637">
        <f>'Refrig Mass Flow &amp; Cond kW'!D628*(($C$13-$C$14)-$C$6*($C$17-$C$18)/1000)-'Refrig Mass Flow &amp; Cond kW'!C628*(1-$C$6/($C$10+273))</f>
        <v>0</v>
      </c>
      <c r="F637" s="13"/>
      <c r="G637" s="13">
        <f>'Refrig Mass Flow &amp; Cond kW'!F628*$C$6*($G$19-$G$18)/1000</f>
        <v>0.90261412151901699</v>
      </c>
      <c r="H637">
        <f>'Refrig Mass Flow &amp; Cond kW'!F628*$C$6*($G$17-$G$16)/1000</f>
        <v>5.6280645224124948</v>
      </c>
      <c r="I637">
        <f>'Refrig Mass Flow &amp; Cond kW'!F628*(($G$13-$G$14)-$C$6*($G$17-$G$18)/1000)-'Refrig Mass Flow &amp; Cond kW'!E628*(1-$C$6/($G$10+273))</f>
        <v>2.4910379922312984</v>
      </c>
    </row>
    <row r="638" spans="2:9" x14ac:dyDescent="0.2">
      <c r="B638" s="2">
        <v>615</v>
      </c>
      <c r="C638">
        <f>'Refrig Mass Flow &amp; Cond kW'!G629*$C$6*(($C$19-$C$18)/1000)</f>
        <v>0</v>
      </c>
      <c r="D638">
        <f>'Refrig Mass Flow &amp; Cond kW'!G629*Spring_autumn!$C$6*((Spring_autumn!$C$17-Spring_autumn!$C$16)/1000)</f>
        <v>0</v>
      </c>
      <c r="E638">
        <f>'Refrig Mass Flow &amp; Cond kW'!D629*(($C$13-$C$14)-$C$6*($C$17-$C$18)/1000)-'Refrig Mass Flow &amp; Cond kW'!C629*(1-$C$6/($C$10+273))</f>
        <v>0</v>
      </c>
      <c r="F638" s="13"/>
      <c r="G638" s="13">
        <f>'Refrig Mass Flow &amp; Cond kW'!F629*$C$6*($G$19-$G$18)/1000</f>
        <v>0.85571542322199812</v>
      </c>
      <c r="H638">
        <f>'Refrig Mass Flow &amp; Cond kW'!F629*$C$6*($G$17-$G$16)/1000</f>
        <v>5.3356373447957992</v>
      </c>
      <c r="I638">
        <f>'Refrig Mass Flow &amp; Cond kW'!F629*(($G$13-$G$14)-$C$6*($G$17-$G$18)/1000)-'Refrig Mass Flow &amp; Cond kW'!E629*(1-$C$6/($G$10+273))</f>
        <v>2.3616067807547303</v>
      </c>
    </row>
    <row r="639" spans="2:9" x14ac:dyDescent="0.2">
      <c r="B639" s="2">
        <v>616</v>
      </c>
      <c r="C639">
        <f>'Refrig Mass Flow &amp; Cond kW'!G630*$C$6*(($C$19-$C$18)/1000)</f>
        <v>0</v>
      </c>
      <c r="D639">
        <f>'Refrig Mass Flow &amp; Cond kW'!G630*Spring_autumn!$C$6*((Spring_autumn!$C$17-Spring_autumn!$C$16)/1000)</f>
        <v>0</v>
      </c>
      <c r="E639">
        <f>'Refrig Mass Flow &amp; Cond kW'!D630*(($C$13-$C$14)-$C$6*($C$17-$C$18)/1000)-'Refrig Mass Flow &amp; Cond kW'!C630*(1-$C$6/($C$10+273))</f>
        <v>0</v>
      </c>
      <c r="F639" s="13"/>
      <c r="G639" s="13">
        <f>'Refrig Mass Flow &amp; Cond kW'!F630*$C$6*($G$19-$G$18)/1000</f>
        <v>0.80885672193470415</v>
      </c>
      <c r="H639">
        <f>'Refrig Mass Flow &amp; Cond kW'!F630*$C$6*($G$17-$G$16)/1000</f>
        <v>5.0434595602985652</v>
      </c>
      <c r="I639">
        <f>'Refrig Mass Flow &amp; Cond kW'!F630*(($G$13-$G$14)-$C$6*($G$17-$G$18)/1000)-'Refrig Mass Flow &amp; Cond kW'!E630*(1-$C$6/($G$10+273))</f>
        <v>2.2322859531824477</v>
      </c>
    </row>
    <row r="640" spans="2:9" x14ac:dyDescent="0.2">
      <c r="B640" s="2">
        <v>617</v>
      </c>
      <c r="C640">
        <f>'Refrig Mass Flow &amp; Cond kW'!G631*$C$6*(($C$19-$C$18)/1000)</f>
        <v>0</v>
      </c>
      <c r="D640">
        <f>'Refrig Mass Flow &amp; Cond kW'!G631*Spring_autumn!$C$6*((Spring_autumn!$C$17-Spring_autumn!$C$16)/1000)</f>
        <v>0</v>
      </c>
      <c r="E640">
        <f>'Refrig Mass Flow &amp; Cond kW'!D631*(($C$13-$C$14)-$C$6*($C$17-$C$18)/1000)-'Refrig Mass Flow &amp; Cond kW'!C631*(1-$C$6/($C$10+273))</f>
        <v>0</v>
      </c>
      <c r="F640" s="13"/>
      <c r="G640" s="13">
        <f>'Refrig Mass Flow &amp; Cond kW'!F631*$C$6*($G$19-$G$18)/1000</f>
        <v>0.76205415581349989</v>
      </c>
      <c r="H640">
        <f>'Refrig Mass Flow &amp; Cond kW'!F631*$C$6*($G$17-$G$16)/1000</f>
        <v>4.7516317950722433</v>
      </c>
      <c r="I640">
        <f>'Refrig Mass Flow &amp; Cond kW'!F631*(($G$13-$G$14)-$C$6*($G$17-$G$18)/1000)-'Refrig Mass Flow &amp; Cond kW'!E631*(1-$C$6/($G$10+273))</f>
        <v>2.1031200476616796</v>
      </c>
    </row>
    <row r="641" spans="2:9" x14ac:dyDescent="0.2">
      <c r="B641" s="2">
        <v>618</v>
      </c>
      <c r="C641">
        <f>'Refrig Mass Flow &amp; Cond kW'!G632*$C$6*(($C$19-$C$18)/1000)</f>
        <v>0</v>
      </c>
      <c r="D641">
        <f>'Refrig Mass Flow &amp; Cond kW'!G632*Spring_autumn!$C$6*((Spring_autumn!$C$17-Spring_autumn!$C$16)/1000)</f>
        <v>0</v>
      </c>
      <c r="E641">
        <f>'Refrig Mass Flow &amp; Cond kW'!D632*(($C$13-$C$14)-$C$6*($C$17-$C$18)/1000)-'Refrig Mass Flow &amp; Cond kW'!C632*(1-$C$6/($C$10+273))</f>
        <v>0</v>
      </c>
      <c r="F641" s="13"/>
      <c r="G641" s="13">
        <f>'Refrig Mass Flow &amp; Cond kW'!F632*$C$6*($G$19-$G$18)/1000</f>
        <v>0.71532383003375422</v>
      </c>
      <c r="H641">
        <f>'Refrig Mass Flow &amp; Cond kW'!F632*$C$6*($G$17-$G$16)/1000</f>
        <v>4.4602544696220745</v>
      </c>
      <c r="I641">
        <f>'Refrig Mass Flow &amp; Cond kW'!F632*(($G$13-$G$14)-$C$6*($G$17-$G$18)/1000)-'Refrig Mass Flow &amp; Cond kW'!E632*(1-$C$6/($G$10+273))</f>
        <v>1.9741535113185655</v>
      </c>
    </row>
    <row r="642" spans="2:9" x14ac:dyDescent="0.2">
      <c r="B642" s="2">
        <v>619</v>
      </c>
      <c r="C642">
        <f>'Refrig Mass Flow &amp; Cond kW'!G633*$C$6*(($C$19-$C$18)/1000)</f>
        <v>0</v>
      </c>
      <c r="D642">
        <f>'Refrig Mass Flow &amp; Cond kW'!G633*Spring_autumn!$C$6*((Spring_autumn!$C$17-Spring_autumn!$C$16)/1000)</f>
        <v>0</v>
      </c>
      <c r="E642">
        <f>'Refrig Mass Flow &amp; Cond kW'!D633*(($C$13-$C$14)-$C$6*($C$17-$C$18)/1000)-'Refrig Mass Flow &amp; Cond kW'!C633*(1-$C$6/($C$10+273))</f>
        <v>0</v>
      </c>
      <c r="F642" s="13"/>
      <c r="G642" s="13">
        <f>'Refrig Mass Flow &amp; Cond kW'!F633*$C$6*($G$19-$G$18)/1000</f>
        <v>0.66868181542479577</v>
      </c>
      <c r="H642">
        <f>'Refrig Mass Flow &amp; Cond kW'!F633*$C$6*($G$17-$G$16)/1000</f>
        <v>4.1694277902956385</v>
      </c>
      <c r="I642">
        <f>'Refrig Mass Flow &amp; Cond kW'!F633*(($G$13-$G$14)-$C$6*($G$17-$G$18)/1000)-'Refrig Mass Flow &amp; Cond kW'!E633*(1-$C$6/($G$10+273))</f>
        <v>1.8454306964909044</v>
      </c>
    </row>
    <row r="643" spans="2:9" x14ac:dyDescent="0.2">
      <c r="B643" s="2">
        <v>620</v>
      </c>
      <c r="C643">
        <f>'Refrig Mass Flow &amp; Cond kW'!G634*$C$6*(($C$19-$C$18)/1000)</f>
        <v>0</v>
      </c>
      <c r="D643">
        <f>'Refrig Mass Flow &amp; Cond kW'!G634*Spring_autumn!$C$6*((Spring_autumn!$C$17-Spring_autumn!$C$16)/1000)</f>
        <v>0</v>
      </c>
      <c r="E643">
        <f>'Refrig Mass Flow &amp; Cond kW'!D634*(($C$13-$C$14)-$C$6*($C$17-$C$18)/1000)-'Refrig Mass Flow &amp; Cond kW'!C634*(1-$C$6/($C$10+273))</f>
        <v>0</v>
      </c>
      <c r="F643" s="13"/>
      <c r="G643" s="13">
        <f>'Refrig Mass Flow &amp; Cond kW'!F634*$C$6*($G$19-$G$18)/1000</f>
        <v>0.6221441471097251</v>
      </c>
      <c r="H643">
        <f>'Refrig Mass Flow &amp; Cond kW'!F634*$C$6*($G$17-$G$16)/1000</f>
        <v>3.8792517408016782</v>
      </c>
      <c r="I643">
        <f>'Refrig Mass Flow &amp; Cond kW'!F634*(($G$13-$G$14)-$C$6*($G$17-$G$18)/1000)-'Refrig Mass Flow &amp; Cond kW'!E634*(1-$C$6/($G$10+273))</f>
        <v>1.7169958569743144</v>
      </c>
    </row>
    <row r="644" spans="2:9" x14ac:dyDescent="0.2">
      <c r="B644" s="2">
        <v>621</v>
      </c>
      <c r="C644">
        <f>'Refrig Mass Flow &amp; Cond kW'!G635*$C$6*(($C$19-$C$18)/1000)</f>
        <v>0</v>
      </c>
      <c r="D644">
        <f>'Refrig Mass Flow &amp; Cond kW'!G635*Spring_autumn!$C$6*((Spring_autumn!$C$17-Spring_autumn!$C$16)/1000)</f>
        <v>0</v>
      </c>
      <c r="E644">
        <f>'Refrig Mass Flow &amp; Cond kW'!D635*(($C$13-$C$14)-$C$6*($C$17-$C$18)/1000)-'Refrig Mass Flow &amp; Cond kW'!C635*(1-$C$6/($C$10+273))</f>
        <v>0</v>
      </c>
      <c r="F644" s="13"/>
      <c r="G644" s="13">
        <f>'Refrig Mass Flow &amp; Cond kW'!F635*$C$6*($G$19-$G$18)/1000</f>
        <v>0.5756748330533823</v>
      </c>
      <c r="H644">
        <f>'Refrig Mass Flow &amp; Cond kW'!F635*$C$6*($G$17-$G$16)/1000</f>
        <v>3.5895019002150796</v>
      </c>
      <c r="I644">
        <f>'Refrig Mass Flow &amp; Cond kW'!F635*(($G$13-$G$14)-$C$6*($G$17-$G$18)/1000)-'Refrig Mass Flow &amp; Cond kW'!E635*(1-$C$6/($G$10+273))</f>
        <v>1.5887496618090253</v>
      </c>
    </row>
    <row r="645" spans="2:9" x14ac:dyDescent="0.2">
      <c r="B645" s="2">
        <v>622</v>
      </c>
      <c r="C645">
        <f>'Refrig Mass Flow &amp; Cond kW'!G636*$C$6*(($C$19-$C$18)/1000)</f>
        <v>0</v>
      </c>
      <c r="D645">
        <f>'Refrig Mass Flow &amp; Cond kW'!G636*Spring_autumn!$C$6*((Spring_autumn!$C$17-Spring_autumn!$C$16)/1000)</f>
        <v>0</v>
      </c>
      <c r="E645">
        <f>'Refrig Mass Flow &amp; Cond kW'!D636*(($C$13-$C$14)-$C$6*($C$17-$C$18)/1000)-'Refrig Mass Flow &amp; Cond kW'!C636*(1-$C$6/($C$10+273))</f>
        <v>0</v>
      </c>
      <c r="F645" s="13"/>
      <c r="G645" s="13">
        <f>'Refrig Mass Flow &amp; Cond kW'!F636*$C$6*($G$19-$G$18)/1000</f>
        <v>0.52930030651489046</v>
      </c>
      <c r="H645">
        <f>'Refrig Mass Flow &amp; Cond kW'!F636*$C$6*($G$17-$G$16)/1000</f>
        <v>3.3003430876809658</v>
      </c>
      <c r="I645">
        <f>'Refrig Mass Flow &amp; Cond kW'!F636*(($G$13-$G$14)-$C$6*($G$17-$G$18)/1000)-'Refrig Mass Flow &amp; Cond kW'!E636*(1-$C$6/($G$10+273))</f>
        <v>1.4607650616072121</v>
      </c>
    </row>
    <row r="646" spans="2:9" x14ac:dyDescent="0.2">
      <c r="B646" s="2">
        <v>623</v>
      </c>
      <c r="C646">
        <f>'Refrig Mass Flow &amp; Cond kW'!G637*$C$6*(($C$19-$C$18)/1000)</f>
        <v>0</v>
      </c>
      <c r="D646">
        <f>'Refrig Mass Flow &amp; Cond kW'!G637*Spring_autumn!$C$6*((Spring_autumn!$C$17-Spring_autumn!$C$16)/1000)</f>
        <v>0</v>
      </c>
      <c r="E646">
        <f>'Refrig Mass Flow &amp; Cond kW'!D637*(($C$13-$C$14)-$C$6*($C$17-$C$18)/1000)-'Refrig Mass Flow &amp; Cond kW'!C637*(1-$C$6/($C$10+273))</f>
        <v>0</v>
      </c>
      <c r="F646" s="13"/>
      <c r="G646" s="13">
        <f>'Refrig Mass Flow &amp; Cond kW'!F637*$C$6*($G$19-$G$18)/1000</f>
        <v>0.48303642480345393</v>
      </c>
      <c r="H646">
        <f>'Refrig Mass Flow &amp; Cond kW'!F637*$C$6*($G$17-$G$16)/1000</f>
        <v>3.0118741781861358</v>
      </c>
      <c r="I646">
        <f>'Refrig Mass Flow &amp; Cond kW'!F637*(($G$13-$G$14)-$C$6*($G$17-$G$18)/1000)-'Refrig Mass Flow &amp; Cond kW'!E637*(1-$C$6/($G$10+273))</f>
        <v>1.3330858194330055</v>
      </c>
    </row>
    <row r="647" spans="2:9" x14ac:dyDescent="0.2">
      <c r="B647" s="2">
        <v>624</v>
      </c>
      <c r="C647">
        <f>'Refrig Mass Flow &amp; Cond kW'!G638*$C$6*(($C$19-$C$18)/1000)</f>
        <v>0</v>
      </c>
      <c r="D647">
        <f>'Refrig Mass Flow &amp; Cond kW'!G638*Spring_autumn!$C$6*((Spring_autumn!$C$17-Spring_autumn!$C$16)/1000)</f>
        <v>0</v>
      </c>
      <c r="E647">
        <f>'Refrig Mass Flow &amp; Cond kW'!D638*(($C$13-$C$14)-$C$6*($C$17-$C$18)/1000)-'Refrig Mass Flow &amp; Cond kW'!C638*(1-$C$6/($C$10+273))</f>
        <v>0</v>
      </c>
      <c r="F647" s="13"/>
      <c r="G647" s="13">
        <f>'Refrig Mass Flow &amp; Cond kW'!F638*$C$6*($G$19-$G$18)/1000</f>
        <v>0.43655776865948259</v>
      </c>
      <c r="H647">
        <f>'Refrig Mass Flow &amp; Cond kW'!F638*$C$6*($G$17-$G$16)/1000</f>
        <v>2.7220660869355009</v>
      </c>
      <c r="I647">
        <f>'Refrig Mass Flow &amp; Cond kW'!F638*(($G$13-$G$14)-$C$6*($G$17-$G$18)/1000)-'Refrig Mass Flow &amp; Cond kW'!E638*(1-$C$6/($G$10+273))</f>
        <v>1.2048138419376393</v>
      </c>
    </row>
    <row r="648" spans="2:9" x14ac:dyDescent="0.2">
      <c r="B648" s="2">
        <v>625</v>
      </c>
      <c r="C648">
        <f>'Refrig Mass Flow &amp; Cond kW'!G639*$C$6*(($C$19-$C$18)/1000)</f>
        <v>0</v>
      </c>
      <c r="D648">
        <f>'Refrig Mass Flow &amp; Cond kW'!G639*Spring_autumn!$C$6*((Spring_autumn!$C$17-Spring_autumn!$C$16)/1000)</f>
        <v>0</v>
      </c>
      <c r="E648">
        <f>'Refrig Mass Flow &amp; Cond kW'!D639*(($C$13-$C$14)-$C$6*($C$17-$C$18)/1000)-'Refrig Mass Flow &amp; Cond kW'!C639*(1-$C$6/($C$10+273))</f>
        <v>0</v>
      </c>
      <c r="F648" s="13"/>
      <c r="G648" s="13">
        <f>'Refrig Mass Flow &amp; Cond kW'!F639*$C$6*($G$19-$G$18)/1000</f>
        <v>0.39004647948724469</v>
      </c>
      <c r="H648">
        <f>'Refrig Mass Flow &amp; Cond kW'!F639*$C$6*($G$17-$G$16)/1000</f>
        <v>2.4320545191556753</v>
      </c>
      <c r="I648">
        <f>'Refrig Mass Flow &amp; Cond kW'!F639*(($G$13-$G$14)-$C$6*($G$17-$G$18)/1000)-'Refrig Mass Flow &amp; Cond kW'!E639*(1-$C$6/($G$10+273))</f>
        <v>1.0764518036828914</v>
      </c>
    </row>
    <row r="649" spans="2:9" x14ac:dyDescent="0.2">
      <c r="B649" s="2">
        <v>626</v>
      </c>
      <c r="C649">
        <f>'Refrig Mass Flow &amp; Cond kW'!G640*$C$6*(($C$19-$C$18)/1000)</f>
        <v>0</v>
      </c>
      <c r="D649">
        <f>'Refrig Mass Flow &amp; Cond kW'!G640*Spring_autumn!$C$6*((Spring_autumn!$C$17-Spring_autumn!$C$16)/1000)</f>
        <v>0</v>
      </c>
      <c r="E649">
        <f>'Refrig Mass Flow &amp; Cond kW'!D640*(($C$13-$C$14)-$C$6*($C$17-$C$18)/1000)-'Refrig Mass Flow &amp; Cond kW'!C640*(1-$C$6/($C$10+273))</f>
        <v>0</v>
      </c>
      <c r="F649" s="13"/>
      <c r="G649" s="13">
        <f>'Refrig Mass Flow &amp; Cond kW'!F640*$C$6*($G$19-$G$18)/1000</f>
        <v>0.34350682531838805</v>
      </c>
      <c r="H649">
        <f>'Refrig Mass Flow &amp; Cond kW'!F640*$C$6*($G$17-$G$16)/1000</f>
        <v>2.1418660872792854</v>
      </c>
      <c r="I649">
        <f>'Refrig Mass Flow &amp; Cond kW'!F640*(($G$13-$G$14)-$C$6*($G$17-$G$18)/1000)-'Refrig Mass Flow &amp; Cond kW'!E640*(1-$C$6/($G$10+273))</f>
        <v>0.94801148359923815</v>
      </c>
    </row>
    <row r="650" spans="2:9" x14ac:dyDescent="0.2">
      <c r="B650" s="2">
        <v>627</v>
      </c>
      <c r="C650">
        <f>'Refrig Mass Flow &amp; Cond kW'!G641*$C$6*(($C$19-$C$18)/1000)</f>
        <v>0</v>
      </c>
      <c r="D650">
        <f>'Refrig Mass Flow &amp; Cond kW'!G641*Spring_autumn!$C$6*((Spring_autumn!$C$17-Spring_autumn!$C$16)/1000)</f>
        <v>0</v>
      </c>
      <c r="E650">
        <f>'Refrig Mass Flow &amp; Cond kW'!D641*(($C$13-$C$14)-$C$6*($C$17-$C$18)/1000)-'Refrig Mass Flow &amp; Cond kW'!C641*(1-$C$6/($C$10+273))</f>
        <v>0</v>
      </c>
      <c r="F650" s="13"/>
      <c r="G650" s="13">
        <f>'Refrig Mass Flow &amp; Cond kW'!F641*$C$6*($G$19-$G$18)/1000</f>
        <v>0.29694307610672671</v>
      </c>
      <c r="H650">
        <f>'Refrig Mass Flow &amp; Cond kW'!F641*$C$6*($G$17-$G$16)/1000</f>
        <v>1.8515274157242307</v>
      </c>
      <c r="I650">
        <f>'Refrig Mass Flow &amp; Cond kW'!F641*(($G$13-$G$14)-$C$6*($G$17-$G$18)/1000)-'Refrig Mass Flow &amp; Cond kW'!E641*(1-$C$6/($G$10+273))</f>
        <v>0.81950466592196136</v>
      </c>
    </row>
    <row r="651" spans="2:9" x14ac:dyDescent="0.2">
      <c r="B651" s="2">
        <v>628</v>
      </c>
      <c r="C651">
        <f>'Refrig Mass Flow &amp; Cond kW'!G642*$C$6*(($C$19-$C$18)/1000)</f>
        <v>0</v>
      </c>
      <c r="D651">
        <f>'Refrig Mass Flow &amp; Cond kW'!G642*Spring_autumn!$C$6*((Spring_autumn!$C$17-Spring_autumn!$C$16)/1000)</f>
        <v>0</v>
      </c>
      <c r="E651">
        <f>'Refrig Mass Flow &amp; Cond kW'!D642*(($C$13-$C$14)-$C$6*($C$17-$C$18)/1000)-'Refrig Mass Flow &amp; Cond kW'!C642*(1-$C$6/($C$10+273))</f>
        <v>0</v>
      </c>
      <c r="F651" s="13"/>
      <c r="G651" s="13">
        <f>'Refrig Mass Flow &amp; Cond kW'!F642*$C$6*($G$19-$G$18)/1000</f>
        <v>0.25035950333659041</v>
      </c>
      <c r="H651">
        <f>'Refrig Mass Flow &amp; Cond kW'!F642*$C$6*($G$17-$G$16)/1000</f>
        <v>1.5610651384516263</v>
      </c>
      <c r="I651">
        <f>'Refrig Mass Flow &amp; Cond kW'!F642*(($G$13-$G$14)-$C$6*($G$17-$G$18)/1000)-'Refrig Mass Flow &amp; Cond kW'!E642*(1-$C$6/($G$10+273))</f>
        <v>0.69094313911026894</v>
      </c>
    </row>
    <row r="652" spans="2:9" x14ac:dyDescent="0.2">
      <c r="B652" s="2">
        <v>629</v>
      </c>
      <c r="C652">
        <f>'Refrig Mass Flow &amp; Cond kW'!G643*$C$6*(($C$19-$C$18)/1000)</f>
        <v>0</v>
      </c>
      <c r="D652">
        <f>'Refrig Mass Flow &amp; Cond kW'!G643*Spring_autumn!$C$6*((Spring_autumn!$C$17-Spring_autumn!$C$16)/1000)</f>
        <v>0</v>
      </c>
      <c r="E652">
        <f>'Refrig Mass Flow &amp; Cond kW'!D643*(($C$13-$C$14)-$C$6*($C$17-$C$18)/1000)-'Refrig Mass Flow &amp; Cond kW'!C643*(1-$C$6/($C$10+273))</f>
        <v>0</v>
      </c>
      <c r="F652" s="13"/>
      <c r="G652" s="13">
        <f>'Refrig Mass Flow &amp; Cond kW'!F643*$C$6*($G$19-$G$18)/1000</f>
        <v>0.20376037963109533</v>
      </c>
      <c r="H652">
        <f>'Refrig Mass Flow &amp; Cond kW'!F643*$C$6*($G$17-$G$16)/1000</f>
        <v>1.2705058965232554</v>
      </c>
      <c r="I652">
        <f>'Refrig Mass Flow &amp; Cond kW'!F643*(($G$13-$G$14)-$C$6*($G$17-$G$18)/1000)-'Refrig Mass Flow &amp; Cond kW'!E643*(1-$C$6/($G$10+273))</f>
        <v>0.56233869476618548</v>
      </c>
    </row>
    <row r="653" spans="2:9" x14ac:dyDescent="0.2">
      <c r="B653" s="2">
        <v>630</v>
      </c>
      <c r="C653">
        <f>'Refrig Mass Flow &amp; Cond kW'!G644*$C$6*(($C$19-$C$18)/1000)</f>
        <v>0</v>
      </c>
      <c r="D653">
        <f>'Refrig Mass Flow &amp; Cond kW'!G644*Spring_autumn!$C$6*((Spring_autumn!$C$17-Spring_autumn!$C$16)/1000)</f>
        <v>0</v>
      </c>
      <c r="E653">
        <f>'Refrig Mass Flow &amp; Cond kW'!D644*(($C$13-$C$14)-$C$6*($C$17-$C$18)/1000)-'Refrig Mass Flow &amp; Cond kW'!C644*(1-$C$6/($C$10+273))</f>
        <v>0</v>
      </c>
      <c r="F653" s="13"/>
      <c r="G653" s="13">
        <f>'Refrig Mass Flow &amp; Cond kW'!F644*$C$6*($G$19-$G$18)/1000</f>
        <v>0.15714997836035982</v>
      </c>
      <c r="H653">
        <f>'Refrig Mass Flow &amp; Cond kW'!F644*$C$6*($G$17-$G$16)/1000</f>
        <v>0.97987633565867949</v>
      </c>
      <c r="I653">
        <f>'Refrig Mass Flow &amp; Cond kW'!F644*(($G$13-$G$14)-$C$6*($G$17-$G$18)/1000)-'Refrig Mass Flow &amp; Cond kW'!E644*(1-$C$6/($G$10+273))</f>
        <v>0.43370312655332821</v>
      </c>
    </row>
    <row r="654" spans="2:9" x14ac:dyDescent="0.2">
      <c r="B654" s="2">
        <v>631</v>
      </c>
      <c r="C654">
        <f>'Refrig Mass Flow &amp; Cond kW'!G645*$C$6*(($C$19-$C$18)/1000)</f>
        <v>0</v>
      </c>
      <c r="D654">
        <f>'Refrig Mass Flow &amp; Cond kW'!G645*Spring_autumn!$C$6*((Spring_autumn!$C$17-Spring_autumn!$C$16)/1000)</f>
        <v>0</v>
      </c>
      <c r="E654">
        <f>'Refrig Mass Flow &amp; Cond kW'!D645*(($C$13-$C$14)-$C$6*($C$17-$C$18)/1000)-'Refrig Mass Flow &amp; Cond kW'!C645*(1-$C$6/($C$10+273))</f>
        <v>0</v>
      </c>
      <c r="F654" s="13"/>
      <c r="G654" s="13">
        <f>'Refrig Mass Flow &amp; Cond kW'!F645*$C$6*($G$19-$G$18)/1000</f>
        <v>0.11083974260767651</v>
      </c>
      <c r="H654">
        <f>'Refrig Mass Flow &amp; Cond kW'!F645*$C$6*($G$17-$G$16)/1000</f>
        <v>0.69111839508313511</v>
      </c>
      <c r="I654">
        <f>'Refrig Mass Flow &amp; Cond kW'!F645*(($G$13-$G$14)-$C$6*($G$17-$G$18)/1000)-'Refrig Mass Flow &amp; Cond kW'!E645*(1-$C$6/($G$10+273))</f>
        <v>0.30589595631431088</v>
      </c>
    </row>
    <row r="655" spans="2:9" x14ac:dyDescent="0.2">
      <c r="B655" s="2">
        <v>632</v>
      </c>
      <c r="C655">
        <f>'Refrig Mass Flow &amp; Cond kW'!G646*$C$6*(($C$19-$C$18)/1000)</f>
        <v>0</v>
      </c>
      <c r="D655">
        <f>'Refrig Mass Flow &amp; Cond kW'!G646*Spring_autumn!$C$6*((Spring_autumn!$C$17-Spring_autumn!$C$16)/1000)</f>
        <v>0</v>
      </c>
      <c r="E655">
        <f>'Refrig Mass Flow &amp; Cond kW'!D646*(($C$13-$C$14)-$C$6*($C$17-$C$18)/1000)-'Refrig Mass Flow &amp; Cond kW'!C646*(1-$C$6/($C$10+273))</f>
        <v>0</v>
      </c>
      <c r="F655" s="13"/>
      <c r="G655" s="13">
        <f>'Refrig Mass Flow &amp; Cond kW'!F646*$C$6*($G$19-$G$18)/1000</f>
        <v>6.469870302831085E-2</v>
      </c>
      <c r="H655">
        <f>'Refrig Mass Flow &amp; Cond kW'!F646*$C$6*($G$17-$G$16)/1000</f>
        <v>0.40341544241180632</v>
      </c>
      <c r="I655">
        <f>'Refrig Mass Flow &amp; Cond kW'!F646*(($G$13-$G$14)-$C$6*($G$17-$G$18)/1000)-'Refrig Mass Flow &amp; Cond kW'!E646*(1-$C$6/($G$10+273))</f>
        <v>0.17855573433792893</v>
      </c>
    </row>
    <row r="656" spans="2:9" x14ac:dyDescent="0.2">
      <c r="B656" s="2">
        <v>633</v>
      </c>
      <c r="C656">
        <f>'Refrig Mass Flow &amp; Cond kW'!G647*$C$6*(($C$19-$C$18)/1000)</f>
        <v>0</v>
      </c>
      <c r="D656">
        <f>'Refrig Mass Flow &amp; Cond kW'!G647*Spring_autumn!$C$6*((Spring_autumn!$C$17-Spring_autumn!$C$16)/1000)</f>
        <v>0</v>
      </c>
      <c r="E656">
        <f>'Refrig Mass Flow &amp; Cond kW'!D647*(($C$13-$C$14)-$C$6*($C$17-$C$18)/1000)-'Refrig Mass Flow &amp; Cond kW'!C647*(1-$C$6/($C$10+273))</f>
        <v>0</v>
      </c>
      <c r="F656" s="13"/>
      <c r="G656" s="13">
        <f>'Refrig Mass Flow &amp; Cond kW'!F647*$C$6*($G$19-$G$18)/1000</f>
        <v>1.8689214764863057E-2</v>
      </c>
      <c r="H656">
        <f>'Refrig Mass Flow &amp; Cond kW'!F647*$C$6*($G$17-$G$16)/1000</f>
        <v>0.11653275088678908</v>
      </c>
      <c r="I656">
        <f>'Refrig Mass Flow &amp; Cond kW'!F647*(($G$13-$G$14)-$C$6*($G$17-$G$18)/1000)-'Refrig Mass Flow &amp; Cond kW'!E647*(1-$C$6/($G$10+273))</f>
        <v>5.1578568199105113E-2</v>
      </c>
    </row>
    <row r="657" spans="2:9" x14ac:dyDescent="0.2">
      <c r="B657" s="2">
        <v>634</v>
      </c>
      <c r="C657">
        <f>'Refrig Mass Flow &amp; Cond kW'!G648*$C$6*(($C$19-$C$18)/1000)</f>
        <v>0</v>
      </c>
      <c r="D657">
        <f>'Refrig Mass Flow &amp; Cond kW'!G648*Spring_autumn!$C$6*((Spring_autumn!$C$17-Spring_autumn!$C$16)/1000)</f>
        <v>0</v>
      </c>
      <c r="E657">
        <f>'Refrig Mass Flow &amp; Cond kW'!D648*(($C$13-$C$14)-$C$6*($C$17-$C$18)/1000)-'Refrig Mass Flow &amp; Cond kW'!C648*(1-$C$6/($C$10+273))</f>
        <v>0</v>
      </c>
      <c r="F657" s="13"/>
      <c r="G657" s="13">
        <f>'Refrig Mass Flow &amp; Cond kW'!F648*$C$6*($G$19-$G$18)/1000</f>
        <v>0</v>
      </c>
      <c r="H657">
        <f>'Refrig Mass Flow &amp; Cond kW'!F648*$C$6*($G$17-$G$16)/1000</f>
        <v>0</v>
      </c>
      <c r="I657">
        <f>'Refrig Mass Flow &amp; Cond kW'!F648*(($G$13-$G$14)-$C$6*($G$17-$G$18)/1000)-'Refrig Mass Flow &amp; Cond kW'!E648*(1-$C$6/($G$10+273))</f>
        <v>0</v>
      </c>
    </row>
    <row r="658" spans="2:9" x14ac:dyDescent="0.2">
      <c r="B658" s="2">
        <v>635</v>
      </c>
      <c r="C658">
        <f>'Refrig Mass Flow &amp; Cond kW'!G649*$C$6*(($C$19-$C$18)/1000)</f>
        <v>0</v>
      </c>
      <c r="D658">
        <f>'Refrig Mass Flow &amp; Cond kW'!G649*Spring_autumn!$C$6*((Spring_autumn!$C$17-Spring_autumn!$C$16)/1000)</f>
        <v>0</v>
      </c>
      <c r="E658">
        <f>'Refrig Mass Flow &amp; Cond kW'!D649*(($C$13-$C$14)-$C$6*($C$17-$C$18)/1000)-'Refrig Mass Flow &amp; Cond kW'!C649*(1-$C$6/($C$10+273))</f>
        <v>-0.23505015862679457</v>
      </c>
      <c r="F658" s="13"/>
      <c r="G658" s="13">
        <f>'Refrig Mass Flow &amp; Cond kW'!F649*$C$6*($G$19-$G$18)/1000</f>
        <v>0</v>
      </c>
      <c r="H658">
        <f>'Refrig Mass Flow &amp; Cond kW'!F649*$C$6*($G$17-$G$16)/1000</f>
        <v>0</v>
      </c>
      <c r="I658">
        <f>'Refrig Mass Flow &amp; Cond kW'!F649*(($G$13-$G$14)-$C$6*($G$17-$G$18)/1000)-'Refrig Mass Flow &amp; Cond kW'!E649*(1-$C$6/($G$10+273))</f>
        <v>0</v>
      </c>
    </row>
    <row r="659" spans="2:9" x14ac:dyDescent="0.2">
      <c r="B659" s="2">
        <v>636</v>
      </c>
      <c r="C659">
        <f>'Refrig Mass Flow &amp; Cond kW'!G650*$C$6*(($C$19-$C$18)/1000)</f>
        <v>0</v>
      </c>
      <c r="D659">
        <f>'Refrig Mass Flow &amp; Cond kW'!G650*Spring_autumn!$C$6*((Spring_autumn!$C$17-Spring_autumn!$C$16)/1000)</f>
        <v>0</v>
      </c>
      <c r="E659">
        <f>'Refrig Mass Flow &amp; Cond kW'!D650*(($C$13-$C$14)-$C$6*($C$17-$C$18)/1000)-'Refrig Mass Flow &amp; Cond kW'!C650*(1-$C$6/($C$10+273))</f>
        <v>-0.22905724083551249</v>
      </c>
      <c r="F659" s="13"/>
      <c r="G659" s="13">
        <f>'Refrig Mass Flow &amp; Cond kW'!F650*$C$6*($G$19-$G$18)/1000</f>
        <v>0</v>
      </c>
      <c r="H659">
        <f>'Refrig Mass Flow &amp; Cond kW'!F650*$C$6*($G$17-$G$16)/1000</f>
        <v>0</v>
      </c>
      <c r="I659">
        <f>'Refrig Mass Flow &amp; Cond kW'!F650*(($G$13-$G$14)-$C$6*($G$17-$G$18)/1000)-'Refrig Mass Flow &amp; Cond kW'!E650*(1-$C$6/($G$10+273))</f>
        <v>0</v>
      </c>
    </row>
    <row r="660" spans="2:9" x14ac:dyDescent="0.2">
      <c r="B660" s="2">
        <v>637</v>
      </c>
      <c r="C660">
        <f>'Refrig Mass Flow &amp; Cond kW'!G651*$C$6*(($C$19-$C$18)/1000)</f>
        <v>0</v>
      </c>
      <c r="D660">
        <f>'Refrig Mass Flow &amp; Cond kW'!G651*Spring_autumn!$C$6*((Spring_autumn!$C$17-Spring_autumn!$C$16)/1000)</f>
        <v>0</v>
      </c>
      <c r="E660">
        <f>'Refrig Mass Flow &amp; Cond kW'!D651*(($C$13-$C$14)-$C$6*($C$17-$C$18)/1000)-'Refrig Mass Flow &amp; Cond kW'!C651*(1-$C$6/($C$10+273))</f>
        <v>-0.22307486290953094</v>
      </c>
      <c r="F660" s="13"/>
      <c r="G660" s="13">
        <f>'Refrig Mass Flow &amp; Cond kW'!F651*$C$6*($G$19-$G$18)/1000</f>
        <v>0</v>
      </c>
      <c r="H660">
        <f>'Refrig Mass Flow &amp; Cond kW'!F651*$C$6*($G$17-$G$16)/1000</f>
        <v>0</v>
      </c>
      <c r="I660">
        <f>'Refrig Mass Flow &amp; Cond kW'!F651*(($G$13-$G$14)-$C$6*($G$17-$G$18)/1000)-'Refrig Mass Flow &amp; Cond kW'!E651*(1-$C$6/($G$10+273))</f>
        <v>0</v>
      </c>
    </row>
    <row r="661" spans="2:9" x14ac:dyDescent="0.2">
      <c r="B661" s="2">
        <v>638</v>
      </c>
      <c r="C661">
        <f>'Refrig Mass Flow &amp; Cond kW'!G652*$C$6*(($C$19-$C$18)/1000)</f>
        <v>0</v>
      </c>
      <c r="D661">
        <f>'Refrig Mass Flow &amp; Cond kW'!G652*Spring_autumn!$C$6*((Spring_autumn!$C$17-Spring_autumn!$C$16)/1000)</f>
        <v>0</v>
      </c>
      <c r="E661">
        <f>'Refrig Mass Flow &amp; Cond kW'!D652*(($C$13-$C$14)-$C$6*($C$17-$C$18)/1000)-'Refrig Mass Flow &amp; Cond kW'!C652*(1-$C$6/($C$10+273))</f>
        <v>-0.21710301433658685</v>
      </c>
      <c r="F661" s="13"/>
      <c r="G661" s="13">
        <f>'Refrig Mass Flow &amp; Cond kW'!F652*$C$6*($G$19-$G$18)/1000</f>
        <v>0</v>
      </c>
      <c r="H661">
        <f>'Refrig Mass Flow &amp; Cond kW'!F652*$C$6*($G$17-$G$16)/1000</f>
        <v>0</v>
      </c>
      <c r="I661">
        <f>'Refrig Mass Flow &amp; Cond kW'!F652*(($G$13-$G$14)-$C$6*($G$17-$G$18)/1000)-'Refrig Mass Flow &amp; Cond kW'!E652*(1-$C$6/($G$10+273))</f>
        <v>0</v>
      </c>
    </row>
    <row r="662" spans="2:9" x14ac:dyDescent="0.2">
      <c r="B662" s="2">
        <v>639</v>
      </c>
      <c r="C662">
        <f>'Refrig Mass Flow &amp; Cond kW'!G653*$C$6*(($C$19-$C$18)/1000)</f>
        <v>0</v>
      </c>
      <c r="D662">
        <f>'Refrig Mass Flow &amp; Cond kW'!G653*Spring_autumn!$C$6*((Spring_autumn!$C$17-Spring_autumn!$C$16)/1000)</f>
        <v>0</v>
      </c>
      <c r="E662">
        <f>'Refrig Mass Flow &amp; Cond kW'!D653*(($C$13-$C$14)-$C$6*($C$17-$C$18)/1000)-'Refrig Mass Flow &amp; Cond kW'!C653*(1-$C$6/($C$10+273))</f>
        <v>-0.21114168458603899</v>
      </c>
      <c r="F662" s="13"/>
      <c r="G662" s="13">
        <f>'Refrig Mass Flow &amp; Cond kW'!F653*$C$6*($G$19-$G$18)/1000</f>
        <v>0</v>
      </c>
      <c r="H662">
        <f>'Refrig Mass Flow &amp; Cond kW'!F653*$C$6*($G$17-$G$16)/1000</f>
        <v>0</v>
      </c>
      <c r="I662">
        <f>'Refrig Mass Flow &amp; Cond kW'!F653*(($G$13-$G$14)-$C$6*($G$17-$G$18)/1000)-'Refrig Mass Flow &amp; Cond kW'!E653*(1-$C$6/($G$10+273))</f>
        <v>0</v>
      </c>
    </row>
    <row r="663" spans="2:9" x14ac:dyDescent="0.2">
      <c r="B663" s="2">
        <v>640</v>
      </c>
      <c r="C663">
        <f>'Refrig Mass Flow &amp; Cond kW'!G654*$C$6*(($C$19-$C$18)/1000)</f>
        <v>0</v>
      </c>
      <c r="D663">
        <f>'Refrig Mass Flow &amp; Cond kW'!G654*Spring_autumn!$C$6*((Spring_autumn!$C$17-Spring_autumn!$C$16)/1000)</f>
        <v>0</v>
      </c>
      <c r="E663">
        <f>'Refrig Mass Flow &amp; Cond kW'!D654*(($C$13-$C$14)-$C$6*($C$17-$C$18)/1000)-'Refrig Mass Flow &amp; Cond kW'!C654*(1-$C$6/($C$10+273))</f>
        <v>-0.21015647992052067</v>
      </c>
      <c r="F663" s="13"/>
      <c r="G663" s="13">
        <f>'Refrig Mass Flow &amp; Cond kW'!F654*$C$6*($G$19-$G$18)/1000</f>
        <v>0</v>
      </c>
      <c r="H663">
        <f>'Refrig Mass Flow &amp; Cond kW'!F654*$C$6*($G$17-$G$16)/1000</f>
        <v>0</v>
      </c>
      <c r="I663">
        <f>'Refrig Mass Flow &amp; Cond kW'!F654*(($G$13-$G$14)-$C$6*($G$17-$G$18)/1000)-'Refrig Mass Flow &amp; Cond kW'!E654*(1-$C$6/($G$10+273))</f>
        <v>0</v>
      </c>
    </row>
    <row r="664" spans="2:9" x14ac:dyDescent="0.2">
      <c r="B664" s="2">
        <v>641</v>
      </c>
      <c r="C664">
        <f>'Refrig Mass Flow &amp; Cond kW'!G655*$C$6*(($C$19-$C$18)/1000)</f>
        <v>0</v>
      </c>
      <c r="D664">
        <f>'Refrig Mass Flow &amp; Cond kW'!G655*Spring_autumn!$C$6*((Spring_autumn!$C$17-Spring_autumn!$C$16)/1000)</f>
        <v>0</v>
      </c>
      <c r="E664">
        <f>'Refrig Mass Flow &amp; Cond kW'!D655*(($C$13-$C$14)-$C$6*($C$17-$C$18)/1000)-'Refrig Mass Flow &amp; Cond kW'!C655*(1-$C$6/($C$10+273))</f>
        <v>-0.21598279857487412</v>
      </c>
      <c r="F664" s="13"/>
      <c r="G664" s="13">
        <f>'Refrig Mass Flow &amp; Cond kW'!F655*$C$6*($G$19-$G$18)/1000</f>
        <v>0</v>
      </c>
      <c r="H664">
        <f>'Refrig Mass Flow &amp; Cond kW'!F655*$C$6*($G$17-$G$16)/1000</f>
        <v>0</v>
      </c>
      <c r="I664">
        <f>'Refrig Mass Flow &amp; Cond kW'!F655*(($G$13-$G$14)-$C$6*($G$17-$G$18)/1000)-'Refrig Mass Flow &amp; Cond kW'!E655*(1-$C$6/($G$10+273))</f>
        <v>0</v>
      </c>
    </row>
    <row r="665" spans="2:9" x14ac:dyDescent="0.2">
      <c r="B665" s="2">
        <v>642</v>
      </c>
      <c r="C665">
        <f>'Refrig Mass Flow &amp; Cond kW'!G656*$C$6*(($C$19-$C$18)/1000)</f>
        <v>0</v>
      </c>
      <c r="D665">
        <f>'Refrig Mass Flow &amp; Cond kW'!G656*Spring_autumn!$C$6*((Spring_autumn!$C$17-Spring_autumn!$C$16)/1000)</f>
        <v>0</v>
      </c>
      <c r="E665">
        <f>'Refrig Mass Flow &amp; Cond kW'!D656*(($C$13-$C$14)-$C$6*($C$17-$C$18)/1000)-'Refrig Mass Flow &amp; Cond kW'!C656*(1-$C$6/($C$10+273))</f>
        <v>-0.22179896386987963</v>
      </c>
      <c r="F665" s="13"/>
      <c r="G665" s="13">
        <f>'Refrig Mass Flow &amp; Cond kW'!F656*$C$6*($G$19-$G$18)/1000</f>
        <v>0</v>
      </c>
      <c r="H665">
        <f>'Refrig Mass Flow &amp; Cond kW'!F656*$C$6*($G$17-$G$16)/1000</f>
        <v>0</v>
      </c>
      <c r="I665">
        <f>'Refrig Mass Flow &amp; Cond kW'!F656*(($G$13-$G$14)-$C$6*($G$17-$G$18)/1000)-'Refrig Mass Flow &amp; Cond kW'!E656*(1-$C$6/($G$10+273))</f>
        <v>0</v>
      </c>
    </row>
    <row r="666" spans="2:9" x14ac:dyDescent="0.2">
      <c r="B666" s="2">
        <v>643</v>
      </c>
      <c r="C666">
        <f>'Refrig Mass Flow &amp; Cond kW'!G657*$C$6*(($C$19-$C$18)/1000)</f>
        <v>0</v>
      </c>
      <c r="D666">
        <f>'Refrig Mass Flow &amp; Cond kW'!G657*Spring_autumn!$C$6*((Spring_autumn!$C$17-Spring_autumn!$C$16)/1000)</f>
        <v>0</v>
      </c>
      <c r="E666">
        <f>'Refrig Mass Flow &amp; Cond kW'!D657*(($C$13-$C$14)-$C$6*($C$17-$C$18)/1000)-'Refrig Mass Flow &amp; Cond kW'!C657*(1-$C$6/($C$10+273))</f>
        <v>-0.22760564305129805</v>
      </c>
      <c r="F666" s="13"/>
      <c r="G666" s="13">
        <f>'Refrig Mass Flow &amp; Cond kW'!F657*$C$6*($G$19-$G$18)/1000</f>
        <v>0</v>
      </c>
      <c r="H666">
        <f>'Refrig Mass Flow &amp; Cond kW'!F657*$C$6*($G$17-$G$16)/1000</f>
        <v>0</v>
      </c>
      <c r="I666">
        <f>'Refrig Mass Flow &amp; Cond kW'!F657*(($G$13-$G$14)-$C$6*($G$17-$G$18)/1000)-'Refrig Mass Flow &amp; Cond kW'!E657*(1-$C$6/($G$10+273))</f>
        <v>0</v>
      </c>
    </row>
    <row r="667" spans="2:9" x14ac:dyDescent="0.2">
      <c r="B667" s="2">
        <v>644</v>
      </c>
      <c r="C667">
        <f>'Refrig Mass Flow &amp; Cond kW'!G658*$C$6*(($C$19-$C$18)/1000)</f>
        <v>0</v>
      </c>
      <c r="D667">
        <f>'Refrig Mass Flow &amp; Cond kW'!G658*Spring_autumn!$C$6*((Spring_autumn!$C$17-Spring_autumn!$C$16)/1000)</f>
        <v>0</v>
      </c>
      <c r="E667">
        <f>'Refrig Mass Flow &amp; Cond kW'!D658*(($C$13-$C$14)-$C$6*($C$17-$C$18)/1000)-'Refrig Mass Flow &amp; Cond kW'!C658*(1-$C$6/($C$10+273))</f>
        <v>-0.23340339903388596</v>
      </c>
      <c r="F667" s="13"/>
      <c r="G667" s="13">
        <f>'Refrig Mass Flow &amp; Cond kW'!F658*$C$6*($G$19-$G$18)/1000</f>
        <v>0</v>
      </c>
      <c r="H667">
        <f>'Refrig Mass Flow &amp; Cond kW'!F658*$C$6*($G$17-$G$16)/1000</f>
        <v>0</v>
      </c>
      <c r="I667">
        <f>'Refrig Mass Flow &amp; Cond kW'!F658*(($G$13-$G$14)-$C$6*($G$17-$G$18)/1000)-'Refrig Mass Flow &amp; Cond kW'!E658*(1-$C$6/($G$10+273))</f>
        <v>0</v>
      </c>
    </row>
    <row r="668" spans="2:9" x14ac:dyDescent="0.2">
      <c r="B668" s="2">
        <v>645</v>
      </c>
      <c r="C668">
        <f>'Refrig Mass Flow &amp; Cond kW'!G659*$C$6*(($C$19-$C$18)/1000)</f>
        <v>0</v>
      </c>
      <c r="D668">
        <f>'Refrig Mass Flow &amp; Cond kW'!G659*Spring_autumn!$C$6*((Spring_autumn!$C$17-Spring_autumn!$C$16)/1000)</f>
        <v>0</v>
      </c>
      <c r="E668">
        <f>'Refrig Mass Flow &amp; Cond kW'!D659*(($C$13-$C$14)-$C$6*($C$17-$C$18)/1000)-'Refrig Mass Flow &amp; Cond kW'!C659*(1-$C$6/($C$10+273))</f>
        <v>-0.23937629533280358</v>
      </c>
      <c r="F668" s="13"/>
      <c r="G668" s="13">
        <f>'Refrig Mass Flow &amp; Cond kW'!F659*$C$6*($G$19-$G$18)/1000</f>
        <v>0</v>
      </c>
      <c r="H668">
        <f>'Refrig Mass Flow &amp; Cond kW'!F659*$C$6*($G$17-$G$16)/1000</f>
        <v>0</v>
      </c>
      <c r="I668">
        <f>'Refrig Mass Flow &amp; Cond kW'!F659*(($G$13-$G$14)-$C$6*($G$17-$G$18)/1000)-'Refrig Mass Flow &amp; Cond kW'!E659*(1-$C$6/($G$10+273))</f>
        <v>0</v>
      </c>
    </row>
    <row r="669" spans="2:9" x14ac:dyDescent="0.2">
      <c r="B669" s="2">
        <v>646</v>
      </c>
      <c r="C669">
        <f>'Refrig Mass Flow &amp; Cond kW'!G660*$C$6*(($C$19-$C$18)/1000)</f>
        <v>0</v>
      </c>
      <c r="D669">
        <f>'Refrig Mass Flow &amp; Cond kW'!G660*Spring_autumn!$C$6*((Spring_autumn!$C$17-Spring_autumn!$C$16)/1000)</f>
        <v>0</v>
      </c>
      <c r="E669">
        <f>'Refrig Mass Flow &amp; Cond kW'!D660*(($C$13-$C$14)-$C$6*($C$17-$C$18)/1000)-'Refrig Mass Flow &amp; Cond kW'!C660*(1-$C$6/($C$10+273))</f>
        <v>-0.24580146895311117</v>
      </c>
      <c r="F669" s="13"/>
      <c r="G669" s="13">
        <f>'Refrig Mass Flow &amp; Cond kW'!F660*$C$6*($G$19-$G$18)/1000</f>
        <v>0</v>
      </c>
      <c r="H669">
        <f>'Refrig Mass Flow &amp; Cond kW'!F660*$C$6*($G$17-$G$16)/1000</f>
        <v>0</v>
      </c>
      <c r="I669">
        <f>'Refrig Mass Flow &amp; Cond kW'!F660*(($G$13-$G$14)-$C$6*($G$17-$G$18)/1000)-'Refrig Mass Flow &amp; Cond kW'!E660*(1-$C$6/($G$10+273))</f>
        <v>0</v>
      </c>
    </row>
    <row r="670" spans="2:9" x14ac:dyDescent="0.2">
      <c r="B670" s="2">
        <v>647</v>
      </c>
      <c r="C670">
        <f>'Refrig Mass Flow &amp; Cond kW'!G661*$C$6*(($C$19-$C$18)/1000)</f>
        <v>0</v>
      </c>
      <c r="D670">
        <f>'Refrig Mass Flow &amp; Cond kW'!G661*Spring_autumn!$C$6*((Spring_autumn!$C$17-Spring_autumn!$C$16)/1000)</f>
        <v>0</v>
      </c>
      <c r="E670">
        <f>'Refrig Mass Flow &amp; Cond kW'!D661*(($C$13-$C$14)-$C$6*($C$17-$C$18)/1000)-'Refrig Mass Flow &amp; Cond kW'!C661*(1-$C$6/($C$10+273))</f>
        <v>-0.24625642079285726</v>
      </c>
      <c r="F670" s="13"/>
      <c r="G670" s="13">
        <f>'Refrig Mass Flow &amp; Cond kW'!F661*$C$6*($G$19-$G$18)/1000</f>
        <v>0</v>
      </c>
      <c r="H670">
        <f>'Refrig Mass Flow &amp; Cond kW'!F661*$C$6*($G$17-$G$16)/1000</f>
        <v>0</v>
      </c>
      <c r="I670">
        <f>'Refrig Mass Flow &amp; Cond kW'!F661*(($G$13-$G$14)-$C$6*($G$17-$G$18)/1000)-'Refrig Mass Flow &amp; Cond kW'!E661*(1-$C$6/($G$10+273))</f>
        <v>0</v>
      </c>
    </row>
    <row r="671" spans="2:9" x14ac:dyDescent="0.2">
      <c r="B671" s="2">
        <v>648</v>
      </c>
      <c r="C671">
        <f>'Refrig Mass Flow &amp; Cond kW'!G662*$C$6*(($C$19-$C$18)/1000)</f>
        <v>0</v>
      </c>
      <c r="D671">
        <f>'Refrig Mass Flow &amp; Cond kW'!G662*Spring_autumn!$C$6*((Spring_autumn!$C$17-Spring_autumn!$C$16)/1000)</f>
        <v>0</v>
      </c>
      <c r="E671">
        <f>'Refrig Mass Flow &amp; Cond kW'!D662*(($C$13-$C$14)-$C$6*($C$17-$C$18)/1000)-'Refrig Mass Flow &amp; Cond kW'!C662*(1-$C$6/($C$10+273))</f>
        <v>-0.24248762508062072</v>
      </c>
      <c r="F671" s="13"/>
      <c r="G671" s="13">
        <f>'Refrig Mass Flow &amp; Cond kW'!F662*$C$6*($G$19-$G$18)/1000</f>
        <v>0</v>
      </c>
      <c r="H671">
        <f>'Refrig Mass Flow &amp; Cond kW'!F662*$C$6*($G$17-$G$16)/1000</f>
        <v>0</v>
      </c>
      <c r="I671">
        <f>'Refrig Mass Flow &amp; Cond kW'!F662*(($G$13-$G$14)-$C$6*($G$17-$G$18)/1000)-'Refrig Mass Flow &amp; Cond kW'!E662*(1-$C$6/($G$10+273))</f>
        <v>0</v>
      </c>
    </row>
    <row r="672" spans="2:9" x14ac:dyDescent="0.2">
      <c r="B672" s="2">
        <v>649</v>
      </c>
      <c r="C672">
        <f>'Refrig Mass Flow &amp; Cond kW'!G663*$C$6*(($C$19-$C$18)/1000)</f>
        <v>0</v>
      </c>
      <c r="D672">
        <f>'Refrig Mass Flow &amp; Cond kW'!G663*Spring_autumn!$C$6*((Spring_autumn!$C$17-Spring_autumn!$C$16)/1000)</f>
        <v>0</v>
      </c>
      <c r="E672">
        <f>'Refrig Mass Flow &amp; Cond kW'!D663*(($C$13-$C$14)-$C$6*($C$17-$C$18)/1000)-'Refrig Mass Flow &amp; Cond kW'!C663*(1-$C$6/($C$10+273))</f>
        <v>-0.23899638818948432</v>
      </c>
      <c r="F672" s="13"/>
      <c r="G672" s="13">
        <f>'Refrig Mass Flow &amp; Cond kW'!F663*$C$6*($G$19-$G$18)/1000</f>
        <v>0</v>
      </c>
      <c r="H672">
        <f>'Refrig Mass Flow &amp; Cond kW'!F663*$C$6*($G$17-$G$16)/1000</f>
        <v>0</v>
      </c>
      <c r="I672">
        <f>'Refrig Mass Flow &amp; Cond kW'!F663*(($G$13-$G$14)-$C$6*($G$17-$G$18)/1000)-'Refrig Mass Flow &amp; Cond kW'!E663*(1-$C$6/($G$10+273))</f>
        <v>0</v>
      </c>
    </row>
    <row r="673" spans="2:9" x14ac:dyDescent="0.2">
      <c r="B673" s="2">
        <v>650</v>
      </c>
      <c r="C673">
        <f>'Refrig Mass Flow &amp; Cond kW'!G664*$C$6*(($C$19-$C$18)/1000)</f>
        <v>0</v>
      </c>
      <c r="D673">
        <f>'Refrig Mass Flow &amp; Cond kW'!G664*Spring_autumn!$C$6*((Spring_autumn!$C$17-Spring_autumn!$C$16)/1000)</f>
        <v>0</v>
      </c>
      <c r="E673">
        <f>'Refrig Mass Flow &amp; Cond kW'!D664*(($C$13-$C$14)-$C$6*($C$17-$C$18)/1000)-'Refrig Mass Flow &amp; Cond kW'!C664*(1-$C$6/($C$10+273))</f>
        <v>-0.23564102857142544</v>
      </c>
      <c r="F673" s="13"/>
      <c r="G673" s="13">
        <f>'Refrig Mass Flow &amp; Cond kW'!F664*$C$6*($G$19-$G$18)/1000</f>
        <v>0</v>
      </c>
      <c r="H673">
        <f>'Refrig Mass Flow &amp; Cond kW'!F664*$C$6*($G$17-$G$16)/1000</f>
        <v>0</v>
      </c>
      <c r="I673">
        <f>'Refrig Mass Flow &amp; Cond kW'!F664*(($G$13-$G$14)-$C$6*($G$17-$G$18)/1000)-'Refrig Mass Flow &amp; Cond kW'!E664*(1-$C$6/($G$10+273))</f>
        <v>0</v>
      </c>
    </row>
    <row r="674" spans="2:9" x14ac:dyDescent="0.2">
      <c r="B674" s="2">
        <v>651</v>
      </c>
      <c r="C674">
        <f>'Refrig Mass Flow &amp; Cond kW'!G665*$C$6*(($C$19-$C$18)/1000)</f>
        <v>0</v>
      </c>
      <c r="D674">
        <f>'Refrig Mass Flow &amp; Cond kW'!G665*Spring_autumn!$C$6*((Spring_autumn!$C$17-Spring_autumn!$C$16)/1000)</f>
        <v>0</v>
      </c>
      <c r="E674">
        <f>'Refrig Mass Flow &amp; Cond kW'!D665*(($C$13-$C$14)-$C$6*($C$17-$C$18)/1000)-'Refrig Mass Flow &amp; Cond kW'!C665*(1-$C$6/($C$10+273))</f>
        <v>-0.23213797784043066</v>
      </c>
      <c r="F674" s="13"/>
      <c r="G674" s="13">
        <f>'Refrig Mass Flow &amp; Cond kW'!F665*$C$6*($G$19-$G$18)/1000</f>
        <v>0</v>
      </c>
      <c r="H674">
        <f>'Refrig Mass Flow &amp; Cond kW'!F665*$C$6*($G$17-$G$16)/1000</f>
        <v>0</v>
      </c>
      <c r="I674">
        <f>'Refrig Mass Flow &amp; Cond kW'!F665*(($G$13-$G$14)-$C$6*($G$17-$G$18)/1000)-'Refrig Mass Flow &amp; Cond kW'!E665*(1-$C$6/($G$10+273))</f>
        <v>0</v>
      </c>
    </row>
    <row r="675" spans="2:9" x14ac:dyDescent="0.2">
      <c r="B675" s="2">
        <v>652</v>
      </c>
      <c r="C675">
        <f>'Refrig Mass Flow &amp; Cond kW'!G666*$C$6*(($C$19-$C$18)/1000)</f>
        <v>0</v>
      </c>
      <c r="D675">
        <f>'Refrig Mass Flow &amp; Cond kW'!G666*Spring_autumn!$C$6*((Spring_autumn!$C$17-Spring_autumn!$C$16)/1000)</f>
        <v>0</v>
      </c>
      <c r="E675">
        <f>'Refrig Mass Flow &amp; Cond kW'!D666*(($C$13-$C$14)-$C$6*($C$17-$C$18)/1000)-'Refrig Mass Flow &amp; Cond kW'!C666*(1-$C$6/($C$10+273))</f>
        <v>-0.22834538626261391</v>
      </c>
      <c r="F675" s="13"/>
      <c r="G675" s="13">
        <f>'Refrig Mass Flow &amp; Cond kW'!F666*$C$6*($G$19-$G$18)/1000</f>
        <v>0</v>
      </c>
      <c r="H675">
        <f>'Refrig Mass Flow &amp; Cond kW'!F666*$C$6*($G$17-$G$16)/1000</f>
        <v>0</v>
      </c>
      <c r="I675">
        <f>'Refrig Mass Flow &amp; Cond kW'!F666*(($G$13-$G$14)-$C$6*($G$17-$G$18)/1000)-'Refrig Mass Flow &amp; Cond kW'!E666*(1-$C$6/($G$10+273))</f>
        <v>0</v>
      </c>
    </row>
    <row r="676" spans="2:9" x14ac:dyDescent="0.2">
      <c r="B676" s="2">
        <v>653</v>
      </c>
      <c r="C676">
        <f>'Refrig Mass Flow &amp; Cond kW'!G667*$C$6*(($C$19-$C$18)/1000)</f>
        <v>0</v>
      </c>
      <c r="D676">
        <f>'Refrig Mass Flow &amp; Cond kW'!G667*Spring_autumn!$C$6*((Spring_autumn!$C$17-Spring_autumn!$C$16)/1000)</f>
        <v>0</v>
      </c>
      <c r="E676">
        <f>'Refrig Mass Flow &amp; Cond kW'!D667*(($C$13-$C$14)-$C$6*($C$17-$C$18)/1000)-'Refrig Mass Flow &amp; Cond kW'!C667*(1-$C$6/($C$10+273))</f>
        <v>-0.22426319100711467</v>
      </c>
      <c r="F676" s="13"/>
      <c r="G676" s="13">
        <f>'Refrig Mass Flow &amp; Cond kW'!F667*$C$6*($G$19-$G$18)/1000</f>
        <v>0</v>
      </c>
      <c r="H676">
        <f>'Refrig Mass Flow &amp; Cond kW'!F667*$C$6*($G$17-$G$16)/1000</f>
        <v>0</v>
      </c>
      <c r="I676">
        <f>'Refrig Mass Flow &amp; Cond kW'!F667*(($G$13-$G$14)-$C$6*($G$17-$G$18)/1000)-'Refrig Mass Flow &amp; Cond kW'!E667*(1-$C$6/($G$10+273))</f>
        <v>0</v>
      </c>
    </row>
    <row r="677" spans="2:9" x14ac:dyDescent="0.2">
      <c r="B677" s="2">
        <v>654</v>
      </c>
      <c r="C677">
        <f>'Refrig Mass Flow &amp; Cond kW'!G668*$C$6*(($C$19-$C$18)/1000)</f>
        <v>0</v>
      </c>
      <c r="D677">
        <f>'Refrig Mass Flow &amp; Cond kW'!G668*Spring_autumn!$C$6*((Spring_autumn!$C$17-Spring_autumn!$C$16)/1000)</f>
        <v>0</v>
      </c>
      <c r="E677">
        <f>'Refrig Mass Flow &amp; Cond kW'!D668*(($C$13-$C$14)-$C$6*($C$17-$C$18)/1000)-'Refrig Mass Flow &amp; Cond kW'!C668*(1-$C$6/($C$10+273))</f>
        <v>-0.21989133122275817</v>
      </c>
      <c r="F677" s="13"/>
      <c r="G677" s="13">
        <f>'Refrig Mass Flow &amp; Cond kW'!F668*$C$6*($G$19-$G$18)/1000</f>
        <v>0</v>
      </c>
      <c r="H677">
        <f>'Refrig Mass Flow &amp; Cond kW'!F668*$C$6*($G$17-$G$16)/1000</f>
        <v>0</v>
      </c>
      <c r="I677">
        <f>'Refrig Mass Flow &amp; Cond kW'!F668*(($G$13-$G$14)-$C$6*($G$17-$G$18)/1000)-'Refrig Mass Flow &amp; Cond kW'!E668*(1-$C$6/($G$10+273))</f>
        <v>0</v>
      </c>
    </row>
    <row r="678" spans="2:9" x14ac:dyDescent="0.2">
      <c r="B678" s="2">
        <v>655</v>
      </c>
      <c r="C678">
        <f>'Refrig Mass Flow &amp; Cond kW'!G669*$C$6*(($C$19-$C$18)/1000)</f>
        <v>0</v>
      </c>
      <c r="D678">
        <f>'Refrig Mass Flow &amp; Cond kW'!G669*Spring_autumn!$C$6*((Spring_autumn!$C$17-Spring_autumn!$C$16)/1000)</f>
        <v>0</v>
      </c>
      <c r="E678">
        <f>'Refrig Mass Flow &amp; Cond kW'!D669*(($C$13-$C$14)-$C$6*($C$17-$C$18)/1000)-'Refrig Mass Flow &amp; Cond kW'!C669*(1-$C$6/($C$10+273))</f>
        <v>-0.2202267601289094</v>
      </c>
      <c r="F678" s="13"/>
      <c r="G678" s="13">
        <f>'Refrig Mass Flow &amp; Cond kW'!F669*$C$6*($G$19-$G$18)/1000</f>
        <v>0</v>
      </c>
      <c r="H678">
        <f>'Refrig Mass Flow &amp; Cond kW'!F669*$C$6*($G$17-$G$16)/1000</f>
        <v>0</v>
      </c>
      <c r="I678">
        <f>'Refrig Mass Flow &amp; Cond kW'!F669*(($G$13-$G$14)-$C$6*($G$17-$G$18)/1000)-'Refrig Mass Flow &amp; Cond kW'!E669*(1-$C$6/($G$10+273))</f>
        <v>0</v>
      </c>
    </row>
    <row r="679" spans="2:9" x14ac:dyDescent="0.2">
      <c r="B679" s="2">
        <v>656</v>
      </c>
      <c r="C679">
        <f>'Refrig Mass Flow &amp; Cond kW'!G670*$C$6*(($C$19-$C$18)/1000)</f>
        <v>0</v>
      </c>
      <c r="D679">
        <f>'Refrig Mass Flow &amp; Cond kW'!G670*Spring_autumn!$C$6*((Spring_autumn!$C$17-Spring_autumn!$C$16)/1000)</f>
        <v>0</v>
      </c>
      <c r="E679">
        <f>'Refrig Mass Flow &amp; Cond kW'!D670*(($C$13-$C$14)-$C$6*($C$17-$C$18)/1000)-'Refrig Mass Flow &amp; Cond kW'!C670*(1-$C$6/($C$10+273))</f>
        <v>-0.22710312490857376</v>
      </c>
      <c r="F679" s="13"/>
      <c r="G679" s="13">
        <f>'Refrig Mass Flow &amp; Cond kW'!F670*$C$6*($G$19-$G$18)/1000</f>
        <v>0</v>
      </c>
      <c r="H679">
        <f>'Refrig Mass Flow &amp; Cond kW'!F670*$C$6*($G$17-$G$16)/1000</f>
        <v>0</v>
      </c>
      <c r="I679">
        <f>'Refrig Mass Flow &amp; Cond kW'!F670*(($G$13-$G$14)-$C$6*($G$17-$G$18)/1000)-'Refrig Mass Flow &amp; Cond kW'!E670*(1-$C$6/($G$10+273))</f>
        <v>0</v>
      </c>
    </row>
    <row r="680" spans="2:9" x14ac:dyDescent="0.2">
      <c r="B680" s="2">
        <v>657</v>
      </c>
      <c r="C680">
        <f>'Refrig Mass Flow &amp; Cond kW'!G671*$C$6*(($C$19-$C$18)/1000)</f>
        <v>0</v>
      </c>
      <c r="D680">
        <f>'Refrig Mass Flow &amp; Cond kW'!G671*Spring_autumn!$C$6*((Spring_autumn!$C$17-Spring_autumn!$C$16)/1000)</f>
        <v>0</v>
      </c>
      <c r="E680">
        <f>'Refrig Mass Flow &amp; Cond kW'!D671*(($C$13-$C$14)-$C$6*($C$17-$C$18)/1000)-'Refrig Mass Flow &amp; Cond kW'!C671*(1-$C$6/($C$10+273))</f>
        <v>-0.22687244586389355</v>
      </c>
      <c r="F680" s="13"/>
      <c r="G680" s="13">
        <f>'Refrig Mass Flow &amp; Cond kW'!F671*$C$6*($G$19-$G$18)/1000</f>
        <v>0</v>
      </c>
      <c r="H680">
        <f>'Refrig Mass Flow &amp; Cond kW'!F671*$C$6*($G$17-$G$16)/1000</f>
        <v>0</v>
      </c>
      <c r="I680">
        <f>'Refrig Mass Flow &amp; Cond kW'!F671*(($G$13-$G$14)-$C$6*($G$17-$G$18)/1000)-'Refrig Mass Flow &amp; Cond kW'!E671*(1-$C$6/($G$10+273))</f>
        <v>0</v>
      </c>
    </row>
    <row r="681" spans="2:9" x14ac:dyDescent="0.2">
      <c r="B681" s="2">
        <v>658</v>
      </c>
      <c r="C681">
        <f>'Refrig Mass Flow &amp; Cond kW'!G672*$C$6*(($C$19-$C$18)/1000)</f>
        <v>0</v>
      </c>
      <c r="D681">
        <f>'Refrig Mass Flow &amp; Cond kW'!G672*Spring_autumn!$C$6*((Spring_autumn!$C$17-Spring_autumn!$C$16)/1000)</f>
        <v>0</v>
      </c>
      <c r="E681">
        <f>'Refrig Mass Flow &amp; Cond kW'!D672*(($C$13-$C$14)-$C$6*($C$17-$C$18)/1000)-'Refrig Mass Flow &amp; Cond kW'!C672*(1-$C$6/($C$10+273))</f>
        <v>-0.22134880782187949</v>
      </c>
      <c r="F681" s="13"/>
      <c r="G681" s="13">
        <f>'Refrig Mass Flow &amp; Cond kW'!F672*$C$6*($G$19-$G$18)/1000</f>
        <v>0</v>
      </c>
      <c r="H681">
        <f>'Refrig Mass Flow &amp; Cond kW'!F672*$C$6*($G$17-$G$16)/1000</f>
        <v>0</v>
      </c>
      <c r="I681">
        <f>'Refrig Mass Flow &amp; Cond kW'!F672*(($G$13-$G$14)-$C$6*($G$17-$G$18)/1000)-'Refrig Mass Flow &amp; Cond kW'!E672*(1-$C$6/($G$10+273))</f>
        <v>0</v>
      </c>
    </row>
    <row r="682" spans="2:9" x14ac:dyDescent="0.2">
      <c r="B682" s="2">
        <v>659</v>
      </c>
      <c r="C682">
        <f>'Refrig Mass Flow &amp; Cond kW'!G673*$C$6*(($C$19-$C$18)/1000)</f>
        <v>0</v>
      </c>
      <c r="D682">
        <f>'Refrig Mass Flow &amp; Cond kW'!G673*Spring_autumn!$C$6*((Spring_autumn!$C$17-Spring_autumn!$C$16)/1000)</f>
        <v>0</v>
      </c>
      <c r="E682">
        <f>'Refrig Mass Flow &amp; Cond kW'!D673*(($C$13-$C$14)-$C$6*($C$17-$C$18)/1000)-'Refrig Mass Flow &amp; Cond kW'!C673*(1-$C$6/($C$10+273))</f>
        <v>0</v>
      </c>
      <c r="F682" s="13"/>
      <c r="G682" s="13">
        <f>'Refrig Mass Flow &amp; Cond kW'!F673*$C$6*($G$19-$G$18)/1000</f>
        <v>0</v>
      </c>
      <c r="H682">
        <f>'Refrig Mass Flow &amp; Cond kW'!F673*$C$6*($G$17-$G$16)/1000</f>
        <v>0</v>
      </c>
      <c r="I682">
        <f>'Refrig Mass Flow &amp; Cond kW'!F673*(($G$13-$G$14)-$C$6*($G$17-$G$18)/1000)-'Refrig Mass Flow &amp; Cond kW'!E673*(1-$C$6/($G$10+273))</f>
        <v>0</v>
      </c>
    </row>
    <row r="683" spans="2:9" x14ac:dyDescent="0.2">
      <c r="B683" s="2">
        <v>660</v>
      </c>
      <c r="C683">
        <f>'Refrig Mass Flow &amp; Cond kW'!G674*$C$6*(($C$19-$C$18)/1000)</f>
        <v>0</v>
      </c>
      <c r="D683">
        <f>'Refrig Mass Flow &amp; Cond kW'!G674*Spring_autumn!$C$6*((Spring_autumn!$C$17-Spring_autumn!$C$16)/1000)</f>
        <v>0</v>
      </c>
      <c r="E683">
        <f>'Refrig Mass Flow &amp; Cond kW'!D674*(($C$13-$C$14)-$C$6*($C$17-$C$18)/1000)-'Refrig Mass Flow &amp; Cond kW'!C674*(1-$C$6/($C$10+273))</f>
        <v>0</v>
      </c>
      <c r="F683" s="13"/>
      <c r="G683" s="13">
        <f>'Refrig Mass Flow &amp; Cond kW'!F674*$C$6*($G$19-$G$18)/1000</f>
        <v>0</v>
      </c>
      <c r="H683">
        <f>'Refrig Mass Flow &amp; Cond kW'!F674*$C$6*($G$17-$G$16)/1000</f>
        <v>0</v>
      </c>
      <c r="I683">
        <f>'Refrig Mass Flow &amp; Cond kW'!F674*(($G$13-$G$14)-$C$6*($G$17-$G$18)/1000)-'Refrig Mass Flow &amp; Cond kW'!E674*(1-$C$6/($G$10+273))</f>
        <v>0</v>
      </c>
    </row>
    <row r="684" spans="2:9" x14ac:dyDescent="0.2">
      <c r="B684" s="2">
        <v>661</v>
      </c>
      <c r="C684">
        <f>'Refrig Mass Flow &amp; Cond kW'!G675*$C$6*(($C$19-$C$18)/1000)</f>
        <v>0</v>
      </c>
      <c r="D684">
        <f>'Refrig Mass Flow &amp; Cond kW'!G675*Spring_autumn!$C$6*((Spring_autumn!$C$17-Spring_autumn!$C$16)/1000)</f>
        <v>0</v>
      </c>
      <c r="E684">
        <f>'Refrig Mass Flow &amp; Cond kW'!D675*(($C$13-$C$14)-$C$6*($C$17-$C$18)/1000)-'Refrig Mass Flow &amp; Cond kW'!C675*(1-$C$6/($C$10+273))</f>
        <v>0</v>
      </c>
      <c r="F684" s="13"/>
      <c r="G684" s="13">
        <f>'Refrig Mass Flow &amp; Cond kW'!F675*$C$6*($G$19-$G$18)/1000</f>
        <v>0</v>
      </c>
      <c r="H684">
        <f>'Refrig Mass Flow &amp; Cond kW'!F675*$C$6*($G$17-$G$16)/1000</f>
        <v>0</v>
      </c>
      <c r="I684">
        <f>'Refrig Mass Flow &amp; Cond kW'!F675*(($G$13-$G$14)-$C$6*($G$17-$G$18)/1000)-'Refrig Mass Flow &amp; Cond kW'!E675*(1-$C$6/($G$10+273))</f>
        <v>0</v>
      </c>
    </row>
    <row r="685" spans="2:9" x14ac:dyDescent="0.2">
      <c r="B685" s="2">
        <v>662</v>
      </c>
      <c r="C685">
        <f>'Refrig Mass Flow &amp; Cond kW'!G676*$C$6*(($C$19-$C$18)/1000)</f>
        <v>0</v>
      </c>
      <c r="D685">
        <f>'Refrig Mass Flow &amp; Cond kW'!G676*Spring_autumn!$C$6*((Spring_autumn!$C$17-Spring_autumn!$C$16)/1000)</f>
        <v>0</v>
      </c>
      <c r="E685">
        <f>'Refrig Mass Flow &amp; Cond kW'!D676*(($C$13-$C$14)-$C$6*($C$17-$C$18)/1000)-'Refrig Mass Flow &amp; Cond kW'!C676*(1-$C$6/($C$10+273))</f>
        <v>0</v>
      </c>
      <c r="F685" s="13"/>
      <c r="G685" s="13">
        <f>'Refrig Mass Flow &amp; Cond kW'!F676*$C$6*($G$19-$G$18)/1000</f>
        <v>0</v>
      </c>
      <c r="H685">
        <f>'Refrig Mass Flow &amp; Cond kW'!F676*$C$6*($G$17-$G$16)/1000</f>
        <v>0</v>
      </c>
      <c r="I685">
        <f>'Refrig Mass Flow &amp; Cond kW'!F676*(($G$13-$G$14)-$C$6*($G$17-$G$18)/1000)-'Refrig Mass Flow &amp; Cond kW'!E676*(1-$C$6/($G$10+273))</f>
        <v>0</v>
      </c>
    </row>
    <row r="686" spans="2:9" x14ac:dyDescent="0.2">
      <c r="B686" s="2">
        <v>663</v>
      </c>
      <c r="C686">
        <f>'Refrig Mass Flow &amp; Cond kW'!G677*$C$6*(($C$19-$C$18)/1000)</f>
        <v>0</v>
      </c>
      <c r="D686">
        <f>'Refrig Mass Flow &amp; Cond kW'!G677*Spring_autumn!$C$6*((Spring_autumn!$C$17-Spring_autumn!$C$16)/1000)</f>
        <v>0</v>
      </c>
      <c r="E686">
        <f>'Refrig Mass Flow &amp; Cond kW'!D677*(($C$13-$C$14)-$C$6*($C$17-$C$18)/1000)-'Refrig Mass Flow &amp; Cond kW'!C677*(1-$C$6/($C$10+273))</f>
        <v>0</v>
      </c>
      <c r="F686" s="13"/>
      <c r="G686" s="13">
        <f>'Refrig Mass Flow &amp; Cond kW'!F677*$C$6*($G$19-$G$18)/1000</f>
        <v>0</v>
      </c>
      <c r="H686">
        <f>'Refrig Mass Flow &amp; Cond kW'!F677*$C$6*($G$17-$G$16)/1000</f>
        <v>0</v>
      </c>
      <c r="I686">
        <f>'Refrig Mass Flow &amp; Cond kW'!F677*(($G$13-$G$14)-$C$6*($G$17-$G$18)/1000)-'Refrig Mass Flow &amp; Cond kW'!E677*(1-$C$6/($G$10+273))</f>
        <v>0</v>
      </c>
    </row>
    <row r="687" spans="2:9" x14ac:dyDescent="0.2">
      <c r="B687" s="2">
        <v>664</v>
      </c>
      <c r="C687">
        <f>'Refrig Mass Flow &amp; Cond kW'!G678*$C$6*(($C$19-$C$18)/1000)</f>
        <v>0</v>
      </c>
      <c r="D687">
        <f>'Refrig Mass Flow &amp; Cond kW'!G678*Spring_autumn!$C$6*((Spring_autumn!$C$17-Spring_autumn!$C$16)/1000)</f>
        <v>0</v>
      </c>
      <c r="E687">
        <f>'Refrig Mass Flow &amp; Cond kW'!D678*(($C$13-$C$14)-$C$6*($C$17-$C$18)/1000)-'Refrig Mass Flow &amp; Cond kW'!C678*(1-$C$6/($C$10+273))</f>
        <v>0</v>
      </c>
      <c r="F687" s="13"/>
      <c r="G687" s="13">
        <f>'Refrig Mass Flow &amp; Cond kW'!F678*$C$6*($G$19-$G$18)/1000</f>
        <v>0</v>
      </c>
      <c r="H687">
        <f>'Refrig Mass Flow &amp; Cond kW'!F678*$C$6*($G$17-$G$16)/1000</f>
        <v>0</v>
      </c>
      <c r="I687">
        <f>'Refrig Mass Flow &amp; Cond kW'!F678*(($G$13-$G$14)-$C$6*($G$17-$G$18)/1000)-'Refrig Mass Flow &amp; Cond kW'!E678*(1-$C$6/($G$10+273))</f>
        <v>0</v>
      </c>
    </row>
    <row r="688" spans="2:9" x14ac:dyDescent="0.2">
      <c r="B688" s="2">
        <v>665</v>
      </c>
      <c r="C688">
        <f>'Refrig Mass Flow &amp; Cond kW'!G679*$C$6*(($C$19-$C$18)/1000)</f>
        <v>0</v>
      </c>
      <c r="D688">
        <f>'Refrig Mass Flow &amp; Cond kW'!G679*Spring_autumn!$C$6*((Spring_autumn!$C$17-Spring_autumn!$C$16)/1000)</f>
        <v>0</v>
      </c>
      <c r="E688">
        <f>'Refrig Mass Flow &amp; Cond kW'!D679*(($C$13-$C$14)-$C$6*($C$17-$C$18)/1000)-'Refrig Mass Flow &amp; Cond kW'!C679*(1-$C$6/($C$10+273))</f>
        <v>0</v>
      </c>
      <c r="F688" s="13"/>
      <c r="G688" s="13">
        <f>'Refrig Mass Flow &amp; Cond kW'!F679*$C$6*($G$19-$G$18)/1000</f>
        <v>0</v>
      </c>
      <c r="H688">
        <f>'Refrig Mass Flow &amp; Cond kW'!F679*$C$6*($G$17-$G$16)/1000</f>
        <v>0</v>
      </c>
      <c r="I688">
        <f>'Refrig Mass Flow &amp; Cond kW'!F679*(($G$13-$G$14)-$C$6*($G$17-$G$18)/1000)-'Refrig Mass Flow &amp; Cond kW'!E679*(1-$C$6/($G$10+273))</f>
        <v>0</v>
      </c>
    </row>
    <row r="689" spans="2:17" x14ac:dyDescent="0.2">
      <c r="B689" s="2">
        <v>666</v>
      </c>
      <c r="C689">
        <f>'Refrig Mass Flow &amp; Cond kW'!G680*$C$6*(($C$19-$C$18)/1000)</f>
        <v>0</v>
      </c>
      <c r="D689">
        <f>'Refrig Mass Flow &amp; Cond kW'!G680*Spring_autumn!$C$6*((Spring_autumn!$C$17-Spring_autumn!$C$16)/1000)</f>
        <v>0</v>
      </c>
      <c r="E689">
        <f>'Refrig Mass Flow &amp; Cond kW'!D680*(($C$13-$C$14)-$C$6*($C$17-$C$18)/1000)-'Refrig Mass Flow &amp; Cond kW'!C680*(1-$C$6/($C$10+273))</f>
        <v>0</v>
      </c>
      <c r="F689" s="13"/>
      <c r="G689" s="13">
        <f>'Refrig Mass Flow &amp; Cond kW'!F680*$C$6*($G$19-$G$18)/1000</f>
        <v>0</v>
      </c>
      <c r="H689">
        <f>'Refrig Mass Flow &amp; Cond kW'!F680*$C$6*($G$17-$G$16)/1000</f>
        <v>0</v>
      </c>
      <c r="I689">
        <f>'Refrig Mass Flow &amp; Cond kW'!F680*(($G$13-$G$14)-$C$6*($G$17-$G$18)/1000)-'Refrig Mass Flow &amp; Cond kW'!E680*(1-$C$6/($G$10+273))</f>
        <v>0</v>
      </c>
    </row>
    <row r="690" spans="2:17" x14ac:dyDescent="0.2">
      <c r="B690" s="2">
        <v>667</v>
      </c>
      <c r="C690">
        <f>'Refrig Mass Flow &amp; Cond kW'!G681*$C$6*(($C$19-$C$18)/1000)</f>
        <v>0</v>
      </c>
      <c r="D690">
        <f>'Refrig Mass Flow &amp; Cond kW'!G681*Spring_autumn!$C$6*((Spring_autumn!$C$17-Spring_autumn!$C$16)/1000)</f>
        <v>0</v>
      </c>
      <c r="E690">
        <f>'Refrig Mass Flow &amp; Cond kW'!D681*(($C$13-$C$14)-$C$6*($C$17-$C$18)/1000)-'Refrig Mass Flow &amp; Cond kW'!C681*(1-$C$6/($C$10+273))</f>
        <v>0</v>
      </c>
      <c r="F690" s="13"/>
      <c r="G690" s="13">
        <f>'Refrig Mass Flow &amp; Cond kW'!F681*$C$6*($G$19-$G$18)/1000</f>
        <v>0</v>
      </c>
      <c r="H690">
        <f>'Refrig Mass Flow &amp; Cond kW'!F681*$C$6*($G$17-$G$16)/1000</f>
        <v>0</v>
      </c>
      <c r="I690">
        <f>'Refrig Mass Flow &amp; Cond kW'!F681*(($G$13-$G$14)-$C$6*($G$17-$G$18)/1000)-'Refrig Mass Flow &amp; Cond kW'!E681*(1-$C$6/($G$10+273))</f>
        <v>0</v>
      </c>
    </row>
    <row r="691" spans="2:17" x14ac:dyDescent="0.2">
      <c r="B691" s="2">
        <v>668</v>
      </c>
      <c r="C691">
        <f>'Refrig Mass Flow &amp; Cond kW'!G682*$C$6*(($C$19-$C$18)/1000)</f>
        <v>0</v>
      </c>
      <c r="D691">
        <f>'Refrig Mass Flow &amp; Cond kW'!G682*Spring_autumn!$C$6*((Spring_autumn!$C$17-Spring_autumn!$C$16)/1000)</f>
        <v>0</v>
      </c>
      <c r="E691">
        <f>'Refrig Mass Flow &amp; Cond kW'!D682*(($C$13-$C$14)-$C$6*($C$17-$C$18)/1000)-'Refrig Mass Flow &amp; Cond kW'!C682*(1-$C$6/($C$10+273))</f>
        <v>0</v>
      </c>
      <c r="F691" s="13"/>
      <c r="G691" s="13">
        <f>'Refrig Mass Flow &amp; Cond kW'!F682*$C$6*($G$19-$G$18)/1000</f>
        <v>0</v>
      </c>
      <c r="H691">
        <f>'Refrig Mass Flow &amp; Cond kW'!F682*$C$6*($G$17-$G$16)/1000</f>
        <v>0</v>
      </c>
      <c r="I691">
        <f>'Refrig Mass Flow &amp; Cond kW'!F682*(($G$13-$G$14)-$C$6*($G$17-$G$18)/1000)-'Refrig Mass Flow &amp; Cond kW'!E682*(1-$C$6/($G$10+273))</f>
        <v>0</v>
      </c>
    </row>
    <row r="692" spans="2:17" x14ac:dyDescent="0.2">
      <c r="B692" s="2">
        <v>669</v>
      </c>
      <c r="C692">
        <f>'Refrig Mass Flow &amp; Cond kW'!G683*$C$6*(($C$19-$C$18)/1000)</f>
        <v>0</v>
      </c>
      <c r="D692">
        <f>'Refrig Mass Flow &amp; Cond kW'!G683*Spring_autumn!$C$6*((Spring_autumn!$C$17-Spring_autumn!$C$16)/1000)</f>
        <v>0</v>
      </c>
      <c r="E692">
        <f>'Refrig Mass Flow &amp; Cond kW'!D683*(($C$13-$C$14)-$C$6*($C$17-$C$18)/1000)-'Refrig Mass Flow &amp; Cond kW'!C683*(1-$C$6/($C$10+273))</f>
        <v>0</v>
      </c>
      <c r="F692" s="13"/>
      <c r="G692" s="13">
        <f>'Refrig Mass Flow &amp; Cond kW'!F683*$C$6*($G$19-$G$18)/1000</f>
        <v>0</v>
      </c>
      <c r="H692">
        <f>'Refrig Mass Flow &amp; Cond kW'!F683*$C$6*($G$17-$G$16)/1000</f>
        <v>0</v>
      </c>
      <c r="I692">
        <f>'Refrig Mass Flow &amp; Cond kW'!F683*(($G$13-$G$14)-$C$6*($G$17-$G$18)/1000)-'Refrig Mass Flow &amp; Cond kW'!E683*(1-$C$6/($G$10+273))</f>
        <v>0</v>
      </c>
    </row>
    <row r="693" spans="2:17" x14ac:dyDescent="0.2">
      <c r="B693" s="2">
        <v>670</v>
      </c>
      <c r="C693">
        <f>'Refrig Mass Flow &amp; Cond kW'!G684*$C$6*(($C$19-$C$18)/1000)</f>
        <v>0</v>
      </c>
      <c r="D693">
        <f>'Refrig Mass Flow &amp; Cond kW'!G684*Spring_autumn!$C$6*((Spring_autumn!$C$17-Spring_autumn!$C$16)/1000)</f>
        <v>0</v>
      </c>
      <c r="E693">
        <f>'Refrig Mass Flow &amp; Cond kW'!D684*(($C$13-$C$14)-$C$6*($C$17-$C$18)/1000)-'Refrig Mass Flow &amp; Cond kW'!C684*(1-$C$6/($C$10+273))</f>
        <v>0</v>
      </c>
      <c r="F693" s="13"/>
      <c r="G693" s="13">
        <f>'Refrig Mass Flow &amp; Cond kW'!F684*$C$6*($G$19-$G$18)/1000</f>
        <v>0</v>
      </c>
      <c r="H693">
        <f>'Refrig Mass Flow &amp; Cond kW'!F684*$C$6*($G$17-$G$16)/1000</f>
        <v>0</v>
      </c>
      <c r="I693">
        <f>'Refrig Mass Flow &amp; Cond kW'!F684*(($G$13-$G$14)-$C$6*($G$17-$G$18)/1000)-'Refrig Mass Flow &amp; Cond kW'!E684*(1-$C$6/($G$10+273))</f>
        <v>0</v>
      </c>
    </row>
    <row r="694" spans="2:17" x14ac:dyDescent="0.2">
      <c r="B694" s="2">
        <v>671</v>
      </c>
      <c r="C694">
        <f>'Refrig Mass Flow &amp; Cond kW'!G685*$C$6*(($C$19-$C$18)/1000)</f>
        <v>0</v>
      </c>
      <c r="D694">
        <f>'Refrig Mass Flow &amp; Cond kW'!G685*Spring_autumn!$C$6*((Spring_autumn!$C$17-Spring_autumn!$C$16)/1000)</f>
        <v>0</v>
      </c>
      <c r="E694">
        <f>'Refrig Mass Flow &amp; Cond kW'!D685*(($C$13-$C$14)-$C$6*($C$17-$C$18)/1000)-'Refrig Mass Flow &amp; Cond kW'!C685*(1-$C$6/($C$10+273))</f>
        <v>0</v>
      </c>
      <c r="F694" s="13"/>
      <c r="G694" s="13">
        <f>'Refrig Mass Flow &amp; Cond kW'!F685*$C$6*($G$19-$G$18)/1000</f>
        <v>0</v>
      </c>
      <c r="H694">
        <f>'Refrig Mass Flow &amp; Cond kW'!F685*$C$6*($G$17-$G$16)/1000</f>
        <v>0</v>
      </c>
      <c r="I694">
        <f>'Refrig Mass Flow &amp; Cond kW'!F685*(($G$13-$G$14)-$C$6*($G$17-$G$18)/1000)-'Refrig Mass Flow &amp; Cond kW'!E685*(1-$C$6/($G$10+273))</f>
        <v>0</v>
      </c>
    </row>
    <row r="695" spans="2:17" x14ac:dyDescent="0.2">
      <c r="B695" s="2">
        <v>672</v>
      </c>
      <c r="C695">
        <f>'Refrig Mass Flow &amp; Cond kW'!G686*$C$6*(($C$19-$C$18)/1000)</f>
        <v>0</v>
      </c>
      <c r="D695">
        <f>'Refrig Mass Flow &amp; Cond kW'!G686*Spring_autumn!$C$6*((Spring_autumn!$C$17-Spring_autumn!$C$16)/1000)</f>
        <v>0</v>
      </c>
      <c r="E695">
        <f>'Refrig Mass Flow &amp; Cond kW'!D686*(($C$13-$C$14)-$C$6*($C$17-$C$18)/1000)-'Refrig Mass Flow &amp; Cond kW'!C686*(1-$C$6/($C$10+273))</f>
        <v>0</v>
      </c>
      <c r="F695" s="13"/>
      <c r="G695" s="13">
        <f>'Refrig Mass Flow &amp; Cond kW'!F686*$C$6*($G$19-$G$18)/1000</f>
        <v>0</v>
      </c>
      <c r="H695">
        <f>'Refrig Mass Flow &amp; Cond kW'!F686*$C$6*($G$17-$G$16)/1000</f>
        <v>0</v>
      </c>
      <c r="I695">
        <f>'Refrig Mass Flow &amp; Cond kW'!F686*(($G$13-$G$14)-$C$6*($G$17-$G$18)/1000)-'Refrig Mass Flow &amp; Cond kW'!E686*(1-$C$6/($G$10+273))</f>
        <v>0</v>
      </c>
    </row>
    <row r="696" spans="2:17" x14ac:dyDescent="0.2">
      <c r="B696" s="26" t="s">
        <v>29</v>
      </c>
      <c r="C696" s="27">
        <f>SUM(C24:C695)</f>
        <v>0</v>
      </c>
      <c r="D696" s="27">
        <f t="shared" ref="D696:J696" si="3">SUM(D24:D695)</f>
        <v>0</v>
      </c>
      <c r="E696" s="27">
        <f t="shared" si="3"/>
        <v>-17.751386034839118</v>
      </c>
      <c r="F696" s="27">
        <f t="shared" si="3"/>
        <v>0</v>
      </c>
      <c r="G696" s="27">
        <f t="shared" si="3"/>
        <v>274.78858873900384</v>
      </c>
      <c r="H696" s="27">
        <f t="shared" si="3"/>
        <v>1713.3876709607853</v>
      </c>
      <c r="I696" s="27">
        <f>SUM(I24:I695)</f>
        <v>758.36262480417906</v>
      </c>
      <c r="J696" s="27">
        <f t="shared" si="3"/>
        <v>0</v>
      </c>
      <c r="K696" s="27"/>
      <c r="L696" s="27"/>
      <c r="M696" s="27"/>
      <c r="N696" s="27"/>
      <c r="O696" s="27"/>
      <c r="P696" s="27"/>
      <c r="Q696" s="27"/>
    </row>
  </sheetData>
  <mergeCells count="5">
    <mergeCell ref="C7:J7"/>
    <mergeCell ref="C8:F8"/>
    <mergeCell ref="G8:J8"/>
    <mergeCell ref="C9:F9"/>
    <mergeCell ref="G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Large ASHP</vt:lpstr>
      <vt:lpstr>Refrig Mass Flow &amp; Cond kW</vt:lpstr>
      <vt:lpstr>Winter</vt:lpstr>
      <vt:lpstr>Spring_autumn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2026-07-27T11:01:52Z</dcterms:modified>
</cp:coreProperties>
</file>