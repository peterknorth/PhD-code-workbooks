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peterknorth/Documents/MATLAB/2601 Jan Files/"/>
    </mc:Choice>
  </mc:AlternateContent>
  <xr:revisionPtr revIDLastSave="0" documentId="13_ncr:1_{9E564FD9-F3D0-0C46-A041-9193BDF34DF2}" xr6:coauthVersionLast="47" xr6:coauthVersionMax="47" xr10:uidLastSave="{00000000-0000-0000-0000-000000000000}"/>
  <bookViews>
    <workbookView xWindow="0" yWindow="0" windowWidth="40960" windowHeight="23040" activeTab="11" xr2:uid="{4283239A-4DE1-8741-B82E-AAF477979468}"/>
  </bookViews>
  <sheets>
    <sheet name="1.1.9" sheetId="2" r:id="rId1"/>
    <sheet name="Degree-days" sheetId="1" r:id="rId2"/>
    <sheet name="Heat System Daily Operation" sheetId="3" r:id="rId3"/>
    <sheet name="Daily Heat Demand" sheetId="4" r:id="rId4"/>
    <sheet name="Daily Heat Demand Matrix (2)" sheetId="6" r:id="rId5"/>
    <sheet name="HomeHeatDemand" sheetId="7" r:id="rId6"/>
    <sheet name="HP_Power" sheetId="9" r:id="rId7"/>
    <sheet name="Four-Weekly Heat &amp; Power Demand" sheetId="12" r:id="rId8"/>
    <sheet name="No Homes Calcs for Report" sheetId="13" r:id="rId9"/>
    <sheet name="Side Calcs" sheetId="14" r:id="rId10"/>
    <sheet name="Simulink Lookup Tables" sheetId="15" r:id="rId11"/>
    <sheet name="Annual Heat Demand" sheetId="16" r:id="rId12"/>
    <sheet name="Sheet2" sheetId="17" r:id="rId13"/>
  </sheets>
  <externalReferences>
    <externalReference r:id="rId14"/>
  </externalReferences>
  <definedNames>
    <definedName name="solver_adj" localSheetId="8" hidden="1">'No Homes Calcs for Report'!$J$7:$J$14</definedName>
    <definedName name="solver_cvg" localSheetId="8" hidden="1">0.0001</definedName>
    <definedName name="solver_drv" localSheetId="8" hidden="1">1</definedName>
    <definedName name="solver_eng" localSheetId="8" hidden="1">1</definedName>
    <definedName name="solver_itr" localSheetId="8" hidden="1">2147483647</definedName>
    <definedName name="solver_lin" localSheetId="8" hidden="1">2</definedName>
    <definedName name="solver_mip" localSheetId="8" hidden="1">2147483647</definedName>
    <definedName name="solver_mni" localSheetId="8" hidden="1">30</definedName>
    <definedName name="solver_mrt" localSheetId="8" hidden="1">0.075</definedName>
    <definedName name="solver_msl" localSheetId="8" hidden="1">2</definedName>
    <definedName name="solver_neg" localSheetId="8" hidden="1">1</definedName>
    <definedName name="solver_nod" localSheetId="8" hidden="1">2147483647</definedName>
    <definedName name="solver_num" localSheetId="8" hidden="1">0</definedName>
    <definedName name="solver_opt" localSheetId="8" hidden="1">'No Homes Calcs for Report'!$J$9</definedName>
    <definedName name="solver_pre" localSheetId="8" hidden="1">0.000001</definedName>
    <definedName name="solver_rbv" localSheetId="8" hidden="1">1</definedName>
    <definedName name="solver_rlx" localSheetId="8" hidden="1">2</definedName>
    <definedName name="solver_rsd" localSheetId="8" hidden="1">0</definedName>
    <definedName name="solver_scl" localSheetId="8" hidden="1">1</definedName>
    <definedName name="solver_sho" localSheetId="8" hidden="1">2</definedName>
    <definedName name="solver_ssz" localSheetId="8" hidden="1">100</definedName>
    <definedName name="solver_tim" localSheetId="8" hidden="1">2147483647</definedName>
    <definedName name="solver_tol" localSheetId="8" hidden="1">0.01</definedName>
    <definedName name="solver_typ" localSheetId="8" hidden="1">2</definedName>
    <definedName name="solver_val" localSheetId="8" hidden="1">0</definedName>
    <definedName name="solver_ver" localSheetId="8" hidden="1">2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6" l="1"/>
  <c r="D6" i="16"/>
  <c r="C6" i="16"/>
  <c r="F2" i="16"/>
  <c r="AB11" i="12"/>
  <c r="D7" i="16"/>
  <c r="E7" i="16"/>
  <c r="C7" i="16"/>
  <c r="F7" i="16" s="1"/>
  <c r="AD12" i="12"/>
  <c r="AB12" i="12"/>
  <c r="AC12" i="12"/>
  <c r="AA12" i="12"/>
  <c r="AB9" i="12"/>
  <c r="AC9" i="12"/>
  <c r="AA9" i="12"/>
  <c r="F1" i="15" l="1"/>
  <c r="G1" i="15"/>
  <c r="E1" i="15"/>
  <c r="C1" i="15"/>
  <c r="D1" i="15"/>
  <c r="B1" i="15"/>
  <c r="P4" i="12"/>
  <c r="Q4" i="12"/>
  <c r="P5" i="12"/>
  <c r="Q5" i="12"/>
  <c r="O5" i="12"/>
  <c r="O4" i="12"/>
  <c r="N5" i="12"/>
  <c r="N4" i="12"/>
  <c r="O8" i="12"/>
  <c r="P8" i="12" s="1"/>
  <c r="Q8" i="12" s="1"/>
  <c r="D33" i="14"/>
  <c r="E33" i="14"/>
  <c r="D36" i="14"/>
  <c r="E36" i="14"/>
  <c r="D37" i="14"/>
  <c r="E37" i="14"/>
  <c r="C33" i="14"/>
  <c r="C36" i="14" s="1"/>
  <c r="L7" i="12"/>
  <c r="J13" i="9"/>
  <c r="K13" i="9"/>
  <c r="I13" i="9"/>
  <c r="I7" i="12"/>
  <c r="F33" i="1"/>
  <c r="E32" i="1"/>
  <c r="D32" i="1"/>
  <c r="C32" i="1"/>
  <c r="C37" i="14" l="1"/>
  <c r="S8" i="12" l="1"/>
  <c r="I6" i="12"/>
  <c r="G15" i="9"/>
  <c r="H15" i="9"/>
  <c r="I15" i="9" s="1"/>
  <c r="J15" i="9" s="1"/>
  <c r="K15" i="9" s="1"/>
  <c r="F15" i="9"/>
  <c r="G13" i="9"/>
  <c r="H13" i="9"/>
  <c r="F13" i="9"/>
  <c r="G11" i="9"/>
  <c r="H11" i="9"/>
  <c r="F11" i="9"/>
  <c r="B10" i="9"/>
  <c r="F7" i="12" s="1"/>
  <c r="K10" i="12" l="1"/>
  <c r="N10" i="12" s="1"/>
  <c r="Q10" i="12" s="1"/>
  <c r="K11" i="9"/>
  <c r="J10" i="12"/>
  <c r="M10" i="12" s="1"/>
  <c r="P10" i="12" s="1"/>
  <c r="J11" i="9"/>
  <c r="I10" i="12"/>
  <c r="L10" i="12" s="1"/>
  <c r="O10" i="12" s="1"/>
  <c r="I11" i="9"/>
  <c r="H9" i="7" l="1"/>
  <c r="C30" i="1"/>
  <c r="B13" i="9"/>
  <c r="D31" i="1"/>
  <c r="E31" i="1" s="1"/>
  <c r="B28" i="1"/>
  <c r="K19" i="14" l="1"/>
  <c r="K18" i="14"/>
  <c r="E19" i="14"/>
  <c r="E18" i="14"/>
  <c r="E21" i="14" s="1"/>
  <c r="D21" i="14"/>
  <c r="E20" i="14"/>
  <c r="K12" i="14"/>
  <c r="K11" i="14"/>
  <c r="E13" i="14"/>
  <c r="E12" i="14"/>
  <c r="E11" i="14"/>
  <c r="D14" i="14"/>
  <c r="G6" i="14"/>
  <c r="F6" i="14"/>
  <c r="D6" i="14"/>
  <c r="C6" i="13"/>
  <c r="D8" i="13"/>
  <c r="J8" i="13"/>
  <c r="J9" i="13"/>
  <c r="J10" i="13"/>
  <c r="J11" i="13"/>
  <c r="J12" i="13"/>
  <c r="N6" i="13" a="1"/>
  <c r="N6" i="13" s="1"/>
  <c r="J13" i="13"/>
  <c r="J14" i="13"/>
  <c r="J7" i="13"/>
  <c r="B11" i="12" a="1"/>
  <c r="B11" i="12" s="1"/>
  <c r="D10" i="12"/>
  <c r="D4" i="16" s="1"/>
  <c r="E10" i="12"/>
  <c r="E4" i="16" s="1"/>
  <c r="C10" i="12"/>
  <c r="C4" i="16" s="1"/>
  <c r="H13" i="14" l="1"/>
  <c r="G13" i="14"/>
  <c r="E14" i="14"/>
  <c r="G18" i="14"/>
  <c r="G10" i="12"/>
  <c r="W10" i="12" s="1"/>
  <c r="AB10" i="12" s="1"/>
  <c r="T10" i="12"/>
  <c r="F10" i="12"/>
  <c r="V10" i="12" s="1"/>
  <c r="AA10" i="12" s="1"/>
  <c r="S10" i="12"/>
  <c r="H10" i="12"/>
  <c r="X10" i="12" s="1"/>
  <c r="AC10" i="12" s="1"/>
  <c r="U10" i="12"/>
  <c r="H18" i="14"/>
  <c r="O11" i="9"/>
  <c r="S11" i="9" s="1"/>
  <c r="P11" i="9"/>
  <c r="T11" i="9" s="1"/>
  <c r="N11" i="9"/>
  <c r="R11" i="9" s="1"/>
  <c r="J2" i="7"/>
  <c r="K2" i="7"/>
  <c r="I2" i="7"/>
  <c r="C21" i="1" l="1"/>
  <c r="D21" i="1"/>
  <c r="C10" i="9" s="1"/>
  <c r="G7" i="12" s="1"/>
  <c r="E21" i="1"/>
  <c r="D10" i="9" s="1"/>
  <c r="H7" i="12" s="1"/>
  <c r="C155" i="7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31" i="7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07" i="7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83" i="7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59" i="7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35" i="7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11" i="7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G6" i="6" a="1"/>
  <c r="J29" i="6" s="1"/>
  <c r="H33" i="7" s="1"/>
  <c r="C6" i="6" a="1"/>
  <c r="E29" i="6" s="1"/>
  <c r="G105" i="7" s="1"/>
  <c r="F3" i="6"/>
  <c r="J3" i="6" s="1"/>
  <c r="E3" i="6"/>
  <c r="M3" i="6" s="1"/>
  <c r="D3" i="6"/>
  <c r="L3" i="6" s="1"/>
  <c r="B19" i="1"/>
  <c r="E17" i="1"/>
  <c r="D17" i="1"/>
  <c r="C17" i="1"/>
  <c r="B15" i="1"/>
  <c r="D7" i="1"/>
  <c r="E7" i="1"/>
  <c r="E9" i="1" s="1"/>
  <c r="F7" i="1"/>
  <c r="G7" i="1"/>
  <c r="G9" i="1" s="1"/>
  <c r="H7" i="1"/>
  <c r="I7" i="1"/>
  <c r="J7" i="1"/>
  <c r="K7" i="1"/>
  <c r="K9" i="1" s="1"/>
  <c r="L7" i="1"/>
  <c r="M7" i="1"/>
  <c r="M9" i="1" s="1"/>
  <c r="N7" i="1"/>
  <c r="C7" i="1"/>
  <c r="C9" i="1" s="1"/>
  <c r="E372" i="4"/>
  <c r="E371" i="4"/>
  <c r="E370" i="4"/>
  <c r="E369" i="4"/>
  <c r="E368" i="4"/>
  <c r="E367" i="4"/>
  <c r="E366" i="4"/>
  <c r="E365" i="4"/>
  <c r="E364" i="4"/>
  <c r="E363" i="4"/>
  <c r="E362" i="4"/>
  <c r="E361" i="4"/>
  <c r="E360" i="4"/>
  <c r="E359" i="4"/>
  <c r="E358" i="4"/>
  <c r="E357" i="4"/>
  <c r="E356" i="4"/>
  <c r="E355" i="4"/>
  <c r="E354" i="4"/>
  <c r="E353" i="4"/>
  <c r="E352" i="4"/>
  <c r="E351" i="4"/>
  <c r="E350" i="4"/>
  <c r="E349" i="4"/>
  <c r="E348" i="4"/>
  <c r="E347" i="4"/>
  <c r="E346" i="4"/>
  <c r="E345" i="4"/>
  <c r="E344" i="4"/>
  <c r="E343" i="4"/>
  <c r="E342" i="4"/>
  <c r="E341" i="4"/>
  <c r="E340" i="4"/>
  <c r="E339" i="4"/>
  <c r="E338" i="4"/>
  <c r="E337" i="4"/>
  <c r="E336" i="4"/>
  <c r="E335" i="4"/>
  <c r="E334" i="4"/>
  <c r="E333" i="4"/>
  <c r="E332" i="4"/>
  <c r="E331" i="4"/>
  <c r="E330" i="4"/>
  <c r="E329" i="4"/>
  <c r="E328" i="4"/>
  <c r="E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AB322" i="3" s="1"/>
  <c r="E323" i="3"/>
  <c r="P323" i="3" s="1"/>
  <c r="E324" i="3"/>
  <c r="L324" i="3" s="1"/>
  <c r="E325" i="3"/>
  <c r="P325" i="3" s="1"/>
  <c r="E326" i="3"/>
  <c r="T326" i="3" s="1"/>
  <c r="E327" i="3"/>
  <c r="P327" i="3" s="1"/>
  <c r="E328" i="3"/>
  <c r="L328" i="3" s="1"/>
  <c r="E329" i="3"/>
  <c r="T329" i="3" s="1"/>
  <c r="E330" i="3"/>
  <c r="T330" i="3" s="1"/>
  <c r="E331" i="3"/>
  <c r="P331" i="3" s="1"/>
  <c r="E332" i="3"/>
  <c r="L332" i="3" s="1"/>
  <c r="E333" i="3"/>
  <c r="E334" i="3"/>
  <c r="T334" i="3" s="1"/>
  <c r="E335" i="3"/>
  <c r="P335" i="3" s="1"/>
  <c r="E336" i="3"/>
  <c r="T336" i="3" s="1"/>
  <c r="E337" i="3"/>
  <c r="P337" i="3" s="1"/>
  <c r="E338" i="3"/>
  <c r="T338" i="3" s="1"/>
  <c r="E339" i="3"/>
  <c r="P339" i="3" s="1"/>
  <c r="E340" i="3"/>
  <c r="L340" i="3" s="1"/>
  <c r="E341" i="3"/>
  <c r="T341" i="3" s="1"/>
  <c r="E342" i="3"/>
  <c r="T342" i="3" s="1"/>
  <c r="E343" i="3"/>
  <c r="P343" i="3" s="1"/>
  <c r="E344" i="3"/>
  <c r="L344" i="3" s="1"/>
  <c r="E345" i="3"/>
  <c r="E346" i="3"/>
  <c r="T346" i="3" s="1"/>
  <c r="E347" i="3"/>
  <c r="P347" i="3" s="1"/>
  <c r="E348" i="3"/>
  <c r="H348" i="3" s="1"/>
  <c r="E349" i="3"/>
  <c r="P349" i="3" s="1"/>
  <c r="E350" i="3"/>
  <c r="T350" i="3" s="1"/>
  <c r="E351" i="3"/>
  <c r="P351" i="3" s="1"/>
  <c r="E352" i="3"/>
  <c r="L352" i="3" s="1"/>
  <c r="E353" i="3"/>
  <c r="L353" i="3" s="1"/>
  <c r="E354" i="3"/>
  <c r="H354" i="3" s="1"/>
  <c r="E355" i="3"/>
  <c r="K355" i="3" s="1"/>
  <c r="E356" i="3"/>
  <c r="H356" i="3" s="1"/>
  <c r="E357" i="3"/>
  <c r="K357" i="3" s="1"/>
  <c r="E358" i="3"/>
  <c r="H358" i="3" s="1"/>
  <c r="E359" i="3"/>
  <c r="G359" i="3" s="1"/>
  <c r="E360" i="3"/>
  <c r="F360" i="3" s="1"/>
  <c r="E361" i="3"/>
  <c r="H361" i="3" s="1"/>
  <c r="E362" i="3"/>
  <c r="H362" i="3" s="1"/>
  <c r="E363" i="3"/>
  <c r="I363" i="3" s="1"/>
  <c r="E364" i="3"/>
  <c r="I364" i="3" s="1"/>
  <c r="E365" i="3"/>
  <c r="I365" i="3" s="1"/>
  <c r="E366" i="3"/>
  <c r="I366" i="3" s="1"/>
  <c r="E367" i="3"/>
  <c r="I367" i="3" s="1"/>
  <c r="E368" i="3"/>
  <c r="I368" i="3" s="1"/>
  <c r="E369" i="3"/>
  <c r="I369" i="3" s="1"/>
  <c r="E370" i="3"/>
  <c r="I370" i="3" s="1"/>
  <c r="E371" i="3"/>
  <c r="I371" i="3" s="1"/>
  <c r="E372" i="3"/>
  <c r="I372" i="3" s="1"/>
  <c r="E373" i="3"/>
  <c r="I373" i="3" s="1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9" i="3"/>
  <c r="J9" i="3" s="1"/>
  <c r="O8" i="1"/>
  <c r="D9" i="1"/>
  <c r="F9" i="1"/>
  <c r="H9" i="1"/>
  <c r="I9" i="1"/>
  <c r="J9" i="1"/>
  <c r="L9" i="1"/>
  <c r="N9" i="1"/>
  <c r="D106" i="12" l="1"/>
  <c r="J111" i="9"/>
  <c r="M106" i="12" s="1"/>
  <c r="G111" i="9"/>
  <c r="J106" i="12" s="1"/>
  <c r="P106" i="12" s="1"/>
  <c r="F97" i="15" s="1"/>
  <c r="E34" i="12"/>
  <c r="K39" i="9"/>
  <c r="N34" i="12" s="1"/>
  <c r="H39" i="9"/>
  <c r="K34" i="12" s="1"/>
  <c r="D610" i="12"/>
  <c r="C601" i="15" s="1"/>
  <c r="E28" i="1"/>
  <c r="E29" i="1"/>
  <c r="D28" i="1"/>
  <c r="D29" i="1"/>
  <c r="N3" i="6"/>
  <c r="F17" i="1"/>
  <c r="H3" i="6"/>
  <c r="G129" i="7"/>
  <c r="H177" i="7"/>
  <c r="H57" i="7"/>
  <c r="H81" i="7"/>
  <c r="H153" i="7"/>
  <c r="I3" i="6"/>
  <c r="F7" i="6"/>
  <c r="H83" i="7" s="1"/>
  <c r="D8" i="6"/>
  <c r="F84" i="7" s="1"/>
  <c r="I8" i="6"/>
  <c r="G12" i="7" s="1"/>
  <c r="F9" i="6"/>
  <c r="H85" i="7" s="1"/>
  <c r="D10" i="6"/>
  <c r="F86" i="7" s="1"/>
  <c r="I10" i="6"/>
  <c r="G14" i="7" s="1"/>
  <c r="F11" i="6"/>
  <c r="H87" i="7" s="1"/>
  <c r="I14" i="6"/>
  <c r="G18" i="7" s="1"/>
  <c r="I16" i="6"/>
  <c r="G20" i="7" s="1"/>
  <c r="I18" i="6"/>
  <c r="G22" i="7" s="1"/>
  <c r="I20" i="6"/>
  <c r="G24" i="7" s="1"/>
  <c r="D28" i="6"/>
  <c r="F104" i="7" s="1"/>
  <c r="I28" i="6"/>
  <c r="G32" i="7" s="1"/>
  <c r="F29" i="6"/>
  <c r="H105" i="7" s="1"/>
  <c r="H7" i="6"/>
  <c r="F11" i="7" s="1"/>
  <c r="E8" i="6"/>
  <c r="G84" i="7" s="1"/>
  <c r="J8" i="6"/>
  <c r="H12" i="7" s="1"/>
  <c r="H9" i="6"/>
  <c r="F13" i="7" s="1"/>
  <c r="E10" i="6"/>
  <c r="G86" i="7" s="1"/>
  <c r="J10" i="6"/>
  <c r="H14" i="7" s="1"/>
  <c r="H11" i="6"/>
  <c r="F15" i="7" s="1"/>
  <c r="J14" i="6"/>
  <c r="H18" i="7" s="1"/>
  <c r="H15" i="6"/>
  <c r="F19" i="7" s="1"/>
  <c r="J16" i="6"/>
  <c r="H20" i="7" s="1"/>
  <c r="H17" i="6"/>
  <c r="F21" i="7" s="1"/>
  <c r="J18" i="6"/>
  <c r="H22" i="7" s="1"/>
  <c r="H19" i="6"/>
  <c r="F23" i="7" s="1"/>
  <c r="J20" i="6"/>
  <c r="H24" i="7" s="1"/>
  <c r="E28" i="6"/>
  <c r="G104" i="7" s="1"/>
  <c r="J28" i="6"/>
  <c r="H32" i="7" s="1"/>
  <c r="H29" i="6"/>
  <c r="F33" i="7" s="1"/>
  <c r="C6" i="6"/>
  <c r="G6" i="6"/>
  <c r="D7" i="6"/>
  <c r="F83" i="7" s="1"/>
  <c r="I7" i="6"/>
  <c r="G11" i="7" s="1"/>
  <c r="F8" i="6"/>
  <c r="H84" i="7" s="1"/>
  <c r="D9" i="6"/>
  <c r="F85" i="7" s="1"/>
  <c r="I9" i="6"/>
  <c r="G13" i="7" s="1"/>
  <c r="F10" i="6"/>
  <c r="H86" i="7" s="1"/>
  <c r="D11" i="6"/>
  <c r="F87" i="7" s="1"/>
  <c r="I11" i="6"/>
  <c r="G15" i="7" s="1"/>
  <c r="I15" i="6"/>
  <c r="G19" i="7" s="1"/>
  <c r="I17" i="6"/>
  <c r="G21" i="7" s="1"/>
  <c r="I19" i="6"/>
  <c r="G23" i="7" s="1"/>
  <c r="F28" i="6"/>
  <c r="H104" i="7" s="1"/>
  <c r="D29" i="6"/>
  <c r="F105" i="7" s="1"/>
  <c r="I29" i="6"/>
  <c r="G33" i="7" s="1"/>
  <c r="E7" i="6"/>
  <c r="G83" i="7" s="1"/>
  <c r="J7" i="6"/>
  <c r="H11" i="7" s="1"/>
  <c r="H8" i="6"/>
  <c r="F12" i="7" s="1"/>
  <c r="E9" i="6"/>
  <c r="G85" i="7" s="1"/>
  <c r="J9" i="6"/>
  <c r="H13" i="7" s="1"/>
  <c r="H10" i="6"/>
  <c r="F14" i="7" s="1"/>
  <c r="E11" i="6"/>
  <c r="G87" i="7" s="1"/>
  <c r="J11" i="6"/>
  <c r="H15" i="7" s="1"/>
  <c r="H14" i="6"/>
  <c r="F18" i="7" s="1"/>
  <c r="J15" i="6"/>
  <c r="H19" i="7" s="1"/>
  <c r="H16" i="6"/>
  <c r="F20" i="7" s="1"/>
  <c r="J17" i="6"/>
  <c r="H21" i="7" s="1"/>
  <c r="H18" i="6"/>
  <c r="F22" i="7" s="1"/>
  <c r="J19" i="6"/>
  <c r="H23" i="7" s="1"/>
  <c r="H20" i="6"/>
  <c r="F24" i="7" s="1"/>
  <c r="H28" i="6"/>
  <c r="F32" i="7" s="1"/>
  <c r="D15" i="1"/>
  <c r="E15" i="1"/>
  <c r="C15" i="1"/>
  <c r="G25" i="3"/>
  <c r="K25" i="3"/>
  <c r="O25" i="3"/>
  <c r="S25" i="3"/>
  <c r="W25" i="3"/>
  <c r="AA25" i="3"/>
  <c r="I25" i="3"/>
  <c r="M25" i="3"/>
  <c r="Q25" i="3"/>
  <c r="U25" i="3"/>
  <c r="Y25" i="3"/>
  <c r="AC25" i="3"/>
  <c r="F25" i="3"/>
  <c r="J25" i="3"/>
  <c r="N25" i="3"/>
  <c r="R25" i="3"/>
  <c r="V25" i="3"/>
  <c r="Z25" i="3"/>
  <c r="H25" i="3"/>
  <c r="X25" i="3"/>
  <c r="L25" i="3"/>
  <c r="AB25" i="3"/>
  <c r="P25" i="3"/>
  <c r="T25" i="3"/>
  <c r="G13" i="3"/>
  <c r="K13" i="3"/>
  <c r="O13" i="3"/>
  <c r="S13" i="3"/>
  <c r="W13" i="3"/>
  <c r="AA13" i="3"/>
  <c r="I13" i="3"/>
  <c r="M13" i="3"/>
  <c r="Q13" i="3"/>
  <c r="U13" i="3"/>
  <c r="Y13" i="3"/>
  <c r="AC13" i="3"/>
  <c r="F13" i="3"/>
  <c r="J13" i="3"/>
  <c r="N13" i="3"/>
  <c r="R13" i="3"/>
  <c r="V13" i="3"/>
  <c r="Z13" i="3"/>
  <c r="H13" i="3"/>
  <c r="X13" i="3"/>
  <c r="L13" i="3"/>
  <c r="AB13" i="3"/>
  <c r="P13" i="3"/>
  <c r="T13" i="3"/>
  <c r="I345" i="3"/>
  <c r="M345" i="3"/>
  <c r="Q345" i="3"/>
  <c r="U345" i="3"/>
  <c r="Y345" i="3"/>
  <c r="AC345" i="3"/>
  <c r="F345" i="3"/>
  <c r="J345" i="3"/>
  <c r="N345" i="3"/>
  <c r="R345" i="3"/>
  <c r="V345" i="3"/>
  <c r="Z345" i="3"/>
  <c r="G345" i="3"/>
  <c r="K345" i="3"/>
  <c r="O345" i="3"/>
  <c r="S345" i="3"/>
  <c r="W345" i="3"/>
  <c r="AA345" i="3"/>
  <c r="I333" i="3"/>
  <c r="M333" i="3"/>
  <c r="Q333" i="3"/>
  <c r="U333" i="3"/>
  <c r="Y333" i="3"/>
  <c r="AC333" i="3"/>
  <c r="F333" i="3"/>
  <c r="J333" i="3"/>
  <c r="N333" i="3"/>
  <c r="R333" i="3"/>
  <c r="V333" i="3"/>
  <c r="Z333" i="3"/>
  <c r="G333" i="3"/>
  <c r="K333" i="3"/>
  <c r="O333" i="3"/>
  <c r="S333" i="3"/>
  <c r="W333" i="3"/>
  <c r="AA333" i="3"/>
  <c r="I321" i="3"/>
  <c r="M321" i="3"/>
  <c r="Q321" i="3"/>
  <c r="U321" i="3"/>
  <c r="Y321" i="3"/>
  <c r="AC321" i="3"/>
  <c r="F321" i="3"/>
  <c r="J321" i="3"/>
  <c r="N321" i="3"/>
  <c r="R321" i="3"/>
  <c r="V321" i="3"/>
  <c r="Z321" i="3"/>
  <c r="G321" i="3"/>
  <c r="K321" i="3"/>
  <c r="O321" i="3"/>
  <c r="S321" i="3"/>
  <c r="W321" i="3"/>
  <c r="AA321" i="3"/>
  <c r="H321" i="3"/>
  <c r="L321" i="3"/>
  <c r="P321" i="3"/>
  <c r="T321" i="3"/>
  <c r="X321" i="3"/>
  <c r="AB321" i="3"/>
  <c r="I309" i="3"/>
  <c r="M309" i="3"/>
  <c r="Q309" i="3"/>
  <c r="U309" i="3"/>
  <c r="Y309" i="3"/>
  <c r="AC309" i="3"/>
  <c r="F309" i="3"/>
  <c r="J309" i="3"/>
  <c r="N309" i="3"/>
  <c r="R309" i="3"/>
  <c r="V309" i="3"/>
  <c r="Z309" i="3"/>
  <c r="G309" i="3"/>
  <c r="K309" i="3"/>
  <c r="O309" i="3"/>
  <c r="S309" i="3"/>
  <c r="W309" i="3"/>
  <c r="AA309" i="3"/>
  <c r="H309" i="3"/>
  <c r="L309" i="3"/>
  <c r="P309" i="3"/>
  <c r="T309" i="3"/>
  <c r="X309" i="3"/>
  <c r="AB309" i="3"/>
  <c r="I301" i="3"/>
  <c r="M301" i="3"/>
  <c r="Q301" i="3"/>
  <c r="U301" i="3"/>
  <c r="Y301" i="3"/>
  <c r="AC301" i="3"/>
  <c r="F301" i="3"/>
  <c r="J301" i="3"/>
  <c r="N301" i="3"/>
  <c r="R301" i="3"/>
  <c r="V301" i="3"/>
  <c r="Z301" i="3"/>
  <c r="G301" i="3"/>
  <c r="K301" i="3"/>
  <c r="O301" i="3"/>
  <c r="S301" i="3"/>
  <c r="W301" i="3"/>
  <c r="AA301" i="3"/>
  <c r="H301" i="3"/>
  <c r="L301" i="3"/>
  <c r="P301" i="3"/>
  <c r="T301" i="3"/>
  <c r="X301" i="3"/>
  <c r="AB301" i="3"/>
  <c r="I293" i="3"/>
  <c r="M293" i="3"/>
  <c r="Q293" i="3"/>
  <c r="U293" i="3"/>
  <c r="Y293" i="3"/>
  <c r="AC293" i="3"/>
  <c r="F293" i="3"/>
  <c r="J293" i="3"/>
  <c r="N293" i="3"/>
  <c r="R293" i="3"/>
  <c r="V293" i="3"/>
  <c r="Z293" i="3"/>
  <c r="G293" i="3"/>
  <c r="K293" i="3"/>
  <c r="O293" i="3"/>
  <c r="S293" i="3"/>
  <c r="W293" i="3"/>
  <c r="AA293" i="3"/>
  <c r="H293" i="3"/>
  <c r="L293" i="3"/>
  <c r="P293" i="3"/>
  <c r="T293" i="3"/>
  <c r="X293" i="3"/>
  <c r="AB293" i="3"/>
  <c r="I281" i="3"/>
  <c r="M281" i="3"/>
  <c r="Q281" i="3"/>
  <c r="U281" i="3"/>
  <c r="Y281" i="3"/>
  <c r="AC281" i="3"/>
  <c r="F281" i="3"/>
  <c r="J281" i="3"/>
  <c r="N281" i="3"/>
  <c r="R281" i="3"/>
  <c r="V281" i="3"/>
  <c r="Z281" i="3"/>
  <c r="G281" i="3"/>
  <c r="K281" i="3"/>
  <c r="O281" i="3"/>
  <c r="S281" i="3"/>
  <c r="W281" i="3"/>
  <c r="AA281" i="3"/>
  <c r="H281" i="3"/>
  <c r="L281" i="3"/>
  <c r="P281" i="3"/>
  <c r="T281" i="3"/>
  <c r="X281" i="3"/>
  <c r="AB281" i="3"/>
  <c r="I273" i="3"/>
  <c r="M273" i="3"/>
  <c r="Q273" i="3"/>
  <c r="U273" i="3"/>
  <c r="Y273" i="3"/>
  <c r="AC273" i="3"/>
  <c r="F273" i="3"/>
  <c r="J273" i="3"/>
  <c r="N273" i="3"/>
  <c r="R273" i="3"/>
  <c r="V273" i="3"/>
  <c r="Z273" i="3"/>
  <c r="G273" i="3"/>
  <c r="K273" i="3"/>
  <c r="O273" i="3"/>
  <c r="S273" i="3"/>
  <c r="W273" i="3"/>
  <c r="AA273" i="3"/>
  <c r="H273" i="3"/>
  <c r="L273" i="3"/>
  <c r="P273" i="3"/>
  <c r="T273" i="3"/>
  <c r="X273" i="3"/>
  <c r="AB273" i="3"/>
  <c r="I265" i="3"/>
  <c r="M265" i="3"/>
  <c r="Q265" i="3"/>
  <c r="U265" i="3"/>
  <c r="Y265" i="3"/>
  <c r="AC265" i="3"/>
  <c r="F265" i="3"/>
  <c r="J265" i="3"/>
  <c r="N265" i="3"/>
  <c r="R265" i="3"/>
  <c r="V265" i="3"/>
  <c r="Z265" i="3"/>
  <c r="G265" i="3"/>
  <c r="K265" i="3"/>
  <c r="O265" i="3"/>
  <c r="S265" i="3"/>
  <c r="W265" i="3"/>
  <c r="AA265" i="3"/>
  <c r="H265" i="3"/>
  <c r="L265" i="3"/>
  <c r="P265" i="3"/>
  <c r="T265" i="3"/>
  <c r="X265" i="3"/>
  <c r="AB265" i="3"/>
  <c r="I261" i="3"/>
  <c r="M261" i="3"/>
  <c r="Q261" i="3"/>
  <c r="U261" i="3"/>
  <c r="Y261" i="3"/>
  <c r="AC261" i="3"/>
  <c r="F261" i="3"/>
  <c r="J261" i="3"/>
  <c r="N261" i="3"/>
  <c r="R261" i="3"/>
  <c r="V261" i="3"/>
  <c r="Z261" i="3"/>
  <c r="G261" i="3"/>
  <c r="K261" i="3"/>
  <c r="O261" i="3"/>
  <c r="S261" i="3"/>
  <c r="W261" i="3"/>
  <c r="AA261" i="3"/>
  <c r="H261" i="3"/>
  <c r="L261" i="3"/>
  <c r="P261" i="3"/>
  <c r="T261" i="3"/>
  <c r="X261" i="3"/>
  <c r="AB261" i="3"/>
  <c r="I257" i="3"/>
  <c r="M257" i="3"/>
  <c r="Q257" i="3"/>
  <c r="U257" i="3"/>
  <c r="Y257" i="3"/>
  <c r="AC257" i="3"/>
  <c r="F257" i="3"/>
  <c r="J257" i="3"/>
  <c r="N257" i="3"/>
  <c r="R257" i="3"/>
  <c r="V257" i="3"/>
  <c r="Z257" i="3"/>
  <c r="G257" i="3"/>
  <c r="K257" i="3"/>
  <c r="O257" i="3"/>
  <c r="S257" i="3"/>
  <c r="W257" i="3"/>
  <c r="AA257" i="3"/>
  <c r="H257" i="3"/>
  <c r="L257" i="3"/>
  <c r="P257" i="3"/>
  <c r="T257" i="3"/>
  <c r="X257" i="3"/>
  <c r="AB257" i="3"/>
  <c r="I253" i="3"/>
  <c r="M253" i="3"/>
  <c r="Q253" i="3"/>
  <c r="U253" i="3"/>
  <c r="Y253" i="3"/>
  <c r="AC253" i="3"/>
  <c r="F253" i="3"/>
  <c r="J253" i="3"/>
  <c r="N253" i="3"/>
  <c r="R253" i="3"/>
  <c r="V253" i="3"/>
  <c r="Z253" i="3"/>
  <c r="G253" i="3"/>
  <c r="K253" i="3"/>
  <c r="O253" i="3"/>
  <c r="S253" i="3"/>
  <c r="W253" i="3"/>
  <c r="AA253" i="3"/>
  <c r="H253" i="3"/>
  <c r="L253" i="3"/>
  <c r="P253" i="3"/>
  <c r="T253" i="3"/>
  <c r="X253" i="3"/>
  <c r="AB253" i="3"/>
  <c r="I245" i="3"/>
  <c r="M245" i="3"/>
  <c r="Q245" i="3"/>
  <c r="U245" i="3"/>
  <c r="Y245" i="3"/>
  <c r="AC245" i="3"/>
  <c r="F245" i="3"/>
  <c r="J245" i="3"/>
  <c r="N245" i="3"/>
  <c r="R245" i="3"/>
  <c r="V245" i="3"/>
  <c r="Z245" i="3"/>
  <c r="G245" i="3"/>
  <c r="K245" i="3"/>
  <c r="O245" i="3"/>
  <c r="S245" i="3"/>
  <c r="W245" i="3"/>
  <c r="AA245" i="3"/>
  <c r="H245" i="3"/>
  <c r="L245" i="3"/>
  <c r="P245" i="3"/>
  <c r="T245" i="3"/>
  <c r="X245" i="3"/>
  <c r="AB245" i="3"/>
  <c r="I241" i="3"/>
  <c r="M241" i="3"/>
  <c r="Q241" i="3"/>
  <c r="U241" i="3"/>
  <c r="Y241" i="3"/>
  <c r="AC241" i="3"/>
  <c r="F241" i="3"/>
  <c r="J241" i="3"/>
  <c r="N241" i="3"/>
  <c r="R241" i="3"/>
  <c r="V241" i="3"/>
  <c r="Z241" i="3"/>
  <c r="G241" i="3"/>
  <c r="K241" i="3"/>
  <c r="O241" i="3"/>
  <c r="S241" i="3"/>
  <c r="W241" i="3"/>
  <c r="AA241" i="3"/>
  <c r="H241" i="3"/>
  <c r="L241" i="3"/>
  <c r="P241" i="3"/>
  <c r="T241" i="3"/>
  <c r="X241" i="3"/>
  <c r="AB241" i="3"/>
  <c r="I237" i="3"/>
  <c r="M237" i="3"/>
  <c r="Q237" i="3"/>
  <c r="U237" i="3"/>
  <c r="Y237" i="3"/>
  <c r="AC237" i="3"/>
  <c r="F237" i="3"/>
  <c r="J237" i="3"/>
  <c r="N237" i="3"/>
  <c r="R237" i="3"/>
  <c r="V237" i="3"/>
  <c r="Z237" i="3"/>
  <c r="G237" i="3"/>
  <c r="K237" i="3"/>
  <c r="O237" i="3"/>
  <c r="S237" i="3"/>
  <c r="W237" i="3"/>
  <c r="AA237" i="3"/>
  <c r="H237" i="3"/>
  <c r="L237" i="3"/>
  <c r="P237" i="3"/>
  <c r="T237" i="3"/>
  <c r="X237" i="3"/>
  <c r="AB237" i="3"/>
  <c r="F233" i="3"/>
  <c r="J233" i="3"/>
  <c r="N233" i="3"/>
  <c r="R233" i="3"/>
  <c r="V233" i="3"/>
  <c r="Z233" i="3"/>
  <c r="H233" i="3"/>
  <c r="M233" i="3"/>
  <c r="S233" i="3"/>
  <c r="X233" i="3"/>
  <c r="AC233" i="3"/>
  <c r="I233" i="3"/>
  <c r="O233" i="3"/>
  <c r="T233" i="3"/>
  <c r="Y233" i="3"/>
  <c r="K233" i="3"/>
  <c r="P233" i="3"/>
  <c r="U233" i="3"/>
  <c r="AA233" i="3"/>
  <c r="G233" i="3"/>
  <c r="L233" i="3"/>
  <c r="Q233" i="3"/>
  <c r="W233" i="3"/>
  <c r="AB233" i="3"/>
  <c r="F229" i="3"/>
  <c r="J229" i="3"/>
  <c r="N229" i="3"/>
  <c r="R229" i="3"/>
  <c r="V229" i="3"/>
  <c r="Z229" i="3"/>
  <c r="H229" i="3"/>
  <c r="M229" i="3"/>
  <c r="S229" i="3"/>
  <c r="X229" i="3"/>
  <c r="AC229" i="3"/>
  <c r="I229" i="3"/>
  <c r="O229" i="3"/>
  <c r="T229" i="3"/>
  <c r="Y229" i="3"/>
  <c r="K229" i="3"/>
  <c r="P229" i="3"/>
  <c r="U229" i="3"/>
  <c r="AA229" i="3"/>
  <c r="G229" i="3"/>
  <c r="L229" i="3"/>
  <c r="Q229" i="3"/>
  <c r="W229" i="3"/>
  <c r="AB229" i="3"/>
  <c r="F225" i="3"/>
  <c r="J225" i="3"/>
  <c r="N225" i="3"/>
  <c r="R225" i="3"/>
  <c r="V225" i="3"/>
  <c r="Z225" i="3"/>
  <c r="H225" i="3"/>
  <c r="M225" i="3"/>
  <c r="S225" i="3"/>
  <c r="X225" i="3"/>
  <c r="AC225" i="3"/>
  <c r="I225" i="3"/>
  <c r="O225" i="3"/>
  <c r="T225" i="3"/>
  <c r="Y225" i="3"/>
  <c r="K225" i="3"/>
  <c r="P225" i="3"/>
  <c r="U225" i="3"/>
  <c r="AA225" i="3"/>
  <c r="G225" i="3"/>
  <c r="L225" i="3"/>
  <c r="Q225" i="3"/>
  <c r="W225" i="3"/>
  <c r="AB225" i="3"/>
  <c r="F221" i="3"/>
  <c r="J221" i="3"/>
  <c r="N221" i="3"/>
  <c r="R221" i="3"/>
  <c r="V221" i="3"/>
  <c r="Z221" i="3"/>
  <c r="H221" i="3"/>
  <c r="M221" i="3"/>
  <c r="S221" i="3"/>
  <c r="X221" i="3"/>
  <c r="AC221" i="3"/>
  <c r="I221" i="3"/>
  <c r="O221" i="3"/>
  <c r="T221" i="3"/>
  <c r="Y221" i="3"/>
  <c r="K221" i="3"/>
  <c r="P221" i="3"/>
  <c r="U221" i="3"/>
  <c r="AA221" i="3"/>
  <c r="G221" i="3"/>
  <c r="L221" i="3"/>
  <c r="Q221" i="3"/>
  <c r="W221" i="3"/>
  <c r="AB221" i="3"/>
  <c r="F217" i="3"/>
  <c r="J217" i="3"/>
  <c r="N217" i="3"/>
  <c r="R217" i="3"/>
  <c r="V217" i="3"/>
  <c r="Z217" i="3"/>
  <c r="H217" i="3"/>
  <c r="M217" i="3"/>
  <c r="S217" i="3"/>
  <c r="X217" i="3"/>
  <c r="AC217" i="3"/>
  <c r="I217" i="3"/>
  <c r="O217" i="3"/>
  <c r="T217" i="3"/>
  <c r="Y217" i="3"/>
  <c r="K217" i="3"/>
  <c r="P217" i="3"/>
  <c r="U217" i="3"/>
  <c r="AA217" i="3"/>
  <c r="G217" i="3"/>
  <c r="L217" i="3"/>
  <c r="Q217" i="3"/>
  <c r="W217" i="3"/>
  <c r="AB217" i="3"/>
  <c r="F213" i="3"/>
  <c r="J213" i="3"/>
  <c r="N213" i="3"/>
  <c r="R213" i="3"/>
  <c r="V213" i="3"/>
  <c r="Z213" i="3"/>
  <c r="H213" i="3"/>
  <c r="M213" i="3"/>
  <c r="S213" i="3"/>
  <c r="X213" i="3"/>
  <c r="AC213" i="3"/>
  <c r="I213" i="3"/>
  <c r="O213" i="3"/>
  <c r="T213" i="3"/>
  <c r="Y213" i="3"/>
  <c r="K213" i="3"/>
  <c r="P213" i="3"/>
  <c r="U213" i="3"/>
  <c r="AA213" i="3"/>
  <c r="G213" i="3"/>
  <c r="L213" i="3"/>
  <c r="Q213" i="3"/>
  <c r="W213" i="3"/>
  <c r="AB213" i="3"/>
  <c r="F209" i="3"/>
  <c r="J209" i="3"/>
  <c r="N209" i="3"/>
  <c r="R209" i="3"/>
  <c r="V209" i="3"/>
  <c r="Z209" i="3"/>
  <c r="H209" i="3"/>
  <c r="M209" i="3"/>
  <c r="S209" i="3"/>
  <c r="X209" i="3"/>
  <c r="AC209" i="3"/>
  <c r="I209" i="3"/>
  <c r="O209" i="3"/>
  <c r="T209" i="3"/>
  <c r="Y209" i="3"/>
  <c r="K209" i="3"/>
  <c r="P209" i="3"/>
  <c r="U209" i="3"/>
  <c r="AA209" i="3"/>
  <c r="G209" i="3"/>
  <c r="L209" i="3"/>
  <c r="Q209" i="3"/>
  <c r="W209" i="3"/>
  <c r="AB209" i="3"/>
  <c r="I205" i="3"/>
  <c r="M205" i="3"/>
  <c r="Q205" i="3"/>
  <c r="U205" i="3"/>
  <c r="Y205" i="3"/>
  <c r="F205" i="3"/>
  <c r="J205" i="3"/>
  <c r="N205" i="3"/>
  <c r="R205" i="3"/>
  <c r="V205" i="3"/>
  <c r="Z205" i="3"/>
  <c r="G205" i="3"/>
  <c r="K205" i="3"/>
  <c r="O205" i="3"/>
  <c r="S205" i="3"/>
  <c r="W205" i="3"/>
  <c r="T205" i="3"/>
  <c r="AC205" i="3"/>
  <c r="H205" i="3"/>
  <c r="X205" i="3"/>
  <c r="L205" i="3"/>
  <c r="AA205" i="3"/>
  <c r="P205" i="3"/>
  <c r="AB205" i="3"/>
  <c r="I201" i="3"/>
  <c r="M201" i="3"/>
  <c r="Q201" i="3"/>
  <c r="U201" i="3"/>
  <c r="Y201" i="3"/>
  <c r="AC201" i="3"/>
  <c r="F201" i="3"/>
  <c r="J201" i="3"/>
  <c r="N201" i="3"/>
  <c r="R201" i="3"/>
  <c r="V201" i="3"/>
  <c r="Z201" i="3"/>
  <c r="G201" i="3"/>
  <c r="K201" i="3"/>
  <c r="O201" i="3"/>
  <c r="S201" i="3"/>
  <c r="W201" i="3"/>
  <c r="AA201" i="3"/>
  <c r="T201" i="3"/>
  <c r="H201" i="3"/>
  <c r="X201" i="3"/>
  <c r="L201" i="3"/>
  <c r="AB201" i="3"/>
  <c r="P201" i="3"/>
  <c r="I197" i="3"/>
  <c r="M197" i="3"/>
  <c r="Q197" i="3"/>
  <c r="U197" i="3"/>
  <c r="Y197" i="3"/>
  <c r="AC197" i="3"/>
  <c r="F197" i="3"/>
  <c r="J197" i="3"/>
  <c r="N197" i="3"/>
  <c r="R197" i="3"/>
  <c r="V197" i="3"/>
  <c r="Z197" i="3"/>
  <c r="G197" i="3"/>
  <c r="K197" i="3"/>
  <c r="O197" i="3"/>
  <c r="S197" i="3"/>
  <c r="W197" i="3"/>
  <c r="AA197" i="3"/>
  <c r="T197" i="3"/>
  <c r="H197" i="3"/>
  <c r="X197" i="3"/>
  <c r="L197" i="3"/>
  <c r="AB197" i="3"/>
  <c r="P197" i="3"/>
  <c r="I193" i="3"/>
  <c r="M193" i="3"/>
  <c r="Q193" i="3"/>
  <c r="U193" i="3"/>
  <c r="Y193" i="3"/>
  <c r="AC193" i="3"/>
  <c r="F193" i="3"/>
  <c r="J193" i="3"/>
  <c r="N193" i="3"/>
  <c r="R193" i="3"/>
  <c r="V193" i="3"/>
  <c r="Z193" i="3"/>
  <c r="G193" i="3"/>
  <c r="K193" i="3"/>
  <c r="O193" i="3"/>
  <c r="S193" i="3"/>
  <c r="W193" i="3"/>
  <c r="AA193" i="3"/>
  <c r="T193" i="3"/>
  <c r="H193" i="3"/>
  <c r="X193" i="3"/>
  <c r="L193" i="3"/>
  <c r="AB193" i="3"/>
  <c r="P193" i="3"/>
  <c r="I189" i="3"/>
  <c r="M189" i="3"/>
  <c r="Q189" i="3"/>
  <c r="U189" i="3"/>
  <c r="Y189" i="3"/>
  <c r="AC189" i="3"/>
  <c r="F189" i="3"/>
  <c r="J189" i="3"/>
  <c r="N189" i="3"/>
  <c r="R189" i="3"/>
  <c r="V189" i="3"/>
  <c r="Z189" i="3"/>
  <c r="G189" i="3"/>
  <c r="K189" i="3"/>
  <c r="O189" i="3"/>
  <c r="S189" i="3"/>
  <c r="W189" i="3"/>
  <c r="AA189" i="3"/>
  <c r="H189" i="3"/>
  <c r="L189" i="3"/>
  <c r="P189" i="3"/>
  <c r="T189" i="3"/>
  <c r="X189" i="3"/>
  <c r="AB189" i="3"/>
  <c r="I185" i="3"/>
  <c r="M185" i="3"/>
  <c r="Q185" i="3"/>
  <c r="U185" i="3"/>
  <c r="Y185" i="3"/>
  <c r="AC185" i="3"/>
  <c r="F185" i="3"/>
  <c r="J185" i="3"/>
  <c r="N185" i="3"/>
  <c r="R185" i="3"/>
  <c r="V185" i="3"/>
  <c r="Z185" i="3"/>
  <c r="G185" i="3"/>
  <c r="K185" i="3"/>
  <c r="O185" i="3"/>
  <c r="S185" i="3"/>
  <c r="W185" i="3"/>
  <c r="AA185" i="3"/>
  <c r="H185" i="3"/>
  <c r="L185" i="3"/>
  <c r="P185" i="3"/>
  <c r="T185" i="3"/>
  <c r="X185" i="3"/>
  <c r="AB185" i="3"/>
  <c r="I181" i="3"/>
  <c r="M181" i="3"/>
  <c r="Q181" i="3"/>
  <c r="U181" i="3"/>
  <c r="Y181" i="3"/>
  <c r="AC181" i="3"/>
  <c r="F181" i="3"/>
  <c r="J181" i="3"/>
  <c r="N181" i="3"/>
  <c r="R181" i="3"/>
  <c r="V181" i="3"/>
  <c r="Z181" i="3"/>
  <c r="G181" i="3"/>
  <c r="K181" i="3"/>
  <c r="O181" i="3"/>
  <c r="S181" i="3"/>
  <c r="W181" i="3"/>
  <c r="AA181" i="3"/>
  <c r="H181" i="3"/>
  <c r="L181" i="3"/>
  <c r="P181" i="3"/>
  <c r="T181" i="3"/>
  <c r="X181" i="3"/>
  <c r="AB181" i="3"/>
  <c r="I177" i="3"/>
  <c r="M177" i="3"/>
  <c r="Q177" i="3"/>
  <c r="U177" i="3"/>
  <c r="Y177" i="3"/>
  <c r="AC177" i="3"/>
  <c r="F177" i="3"/>
  <c r="J177" i="3"/>
  <c r="N177" i="3"/>
  <c r="R177" i="3"/>
  <c r="V177" i="3"/>
  <c r="Z177" i="3"/>
  <c r="G177" i="3"/>
  <c r="K177" i="3"/>
  <c r="O177" i="3"/>
  <c r="S177" i="3"/>
  <c r="W177" i="3"/>
  <c r="AA177" i="3"/>
  <c r="H177" i="3"/>
  <c r="L177" i="3"/>
  <c r="P177" i="3"/>
  <c r="T177" i="3"/>
  <c r="X177" i="3"/>
  <c r="AB177" i="3"/>
  <c r="I173" i="3"/>
  <c r="M173" i="3"/>
  <c r="Q173" i="3"/>
  <c r="U173" i="3"/>
  <c r="Y173" i="3"/>
  <c r="AC173" i="3"/>
  <c r="F173" i="3"/>
  <c r="J173" i="3"/>
  <c r="N173" i="3"/>
  <c r="R173" i="3"/>
  <c r="V173" i="3"/>
  <c r="Z173" i="3"/>
  <c r="G173" i="3"/>
  <c r="K173" i="3"/>
  <c r="O173" i="3"/>
  <c r="S173" i="3"/>
  <c r="W173" i="3"/>
  <c r="AA173" i="3"/>
  <c r="H173" i="3"/>
  <c r="L173" i="3"/>
  <c r="P173" i="3"/>
  <c r="T173" i="3"/>
  <c r="X173" i="3"/>
  <c r="AB173" i="3"/>
  <c r="I169" i="3"/>
  <c r="M169" i="3"/>
  <c r="Q169" i="3"/>
  <c r="U169" i="3"/>
  <c r="Y169" i="3"/>
  <c r="AC169" i="3"/>
  <c r="F169" i="3"/>
  <c r="J169" i="3"/>
  <c r="N169" i="3"/>
  <c r="R169" i="3"/>
  <c r="V169" i="3"/>
  <c r="Z169" i="3"/>
  <c r="G169" i="3"/>
  <c r="K169" i="3"/>
  <c r="O169" i="3"/>
  <c r="S169" i="3"/>
  <c r="W169" i="3"/>
  <c r="AA169" i="3"/>
  <c r="H169" i="3"/>
  <c r="L169" i="3"/>
  <c r="P169" i="3"/>
  <c r="T169" i="3"/>
  <c r="X169" i="3"/>
  <c r="AB169" i="3"/>
  <c r="I165" i="3"/>
  <c r="M165" i="3"/>
  <c r="Q165" i="3"/>
  <c r="U165" i="3"/>
  <c r="Y165" i="3"/>
  <c r="AC165" i="3"/>
  <c r="F165" i="3"/>
  <c r="J165" i="3"/>
  <c r="N165" i="3"/>
  <c r="R165" i="3"/>
  <c r="V165" i="3"/>
  <c r="Z165" i="3"/>
  <c r="G165" i="3"/>
  <c r="K165" i="3"/>
  <c r="O165" i="3"/>
  <c r="S165" i="3"/>
  <c r="W165" i="3"/>
  <c r="AA165" i="3"/>
  <c r="H165" i="3"/>
  <c r="L165" i="3"/>
  <c r="P165" i="3"/>
  <c r="T165" i="3"/>
  <c r="X165" i="3"/>
  <c r="AB165" i="3"/>
  <c r="I161" i="3"/>
  <c r="M161" i="3"/>
  <c r="Q161" i="3"/>
  <c r="F161" i="3"/>
  <c r="K161" i="3"/>
  <c r="P161" i="3"/>
  <c r="U161" i="3"/>
  <c r="Y161" i="3"/>
  <c r="AC161" i="3"/>
  <c r="G161" i="3"/>
  <c r="L161" i="3"/>
  <c r="R161" i="3"/>
  <c r="V161" i="3"/>
  <c r="Z161" i="3"/>
  <c r="H161" i="3"/>
  <c r="N161" i="3"/>
  <c r="S161" i="3"/>
  <c r="W161" i="3"/>
  <c r="AA161" i="3"/>
  <c r="J161" i="3"/>
  <c r="O161" i="3"/>
  <c r="T161" i="3"/>
  <c r="X161" i="3"/>
  <c r="AB161" i="3"/>
  <c r="I157" i="3"/>
  <c r="M157" i="3"/>
  <c r="Q157" i="3"/>
  <c r="U157" i="3"/>
  <c r="Y157" i="3"/>
  <c r="AC157" i="3"/>
  <c r="F157" i="3"/>
  <c r="K157" i="3"/>
  <c r="P157" i="3"/>
  <c r="V157" i="3"/>
  <c r="AA157" i="3"/>
  <c r="G157" i="3"/>
  <c r="L157" i="3"/>
  <c r="R157" i="3"/>
  <c r="W157" i="3"/>
  <c r="AB157" i="3"/>
  <c r="H157" i="3"/>
  <c r="N157" i="3"/>
  <c r="S157" i="3"/>
  <c r="X157" i="3"/>
  <c r="J157" i="3"/>
  <c r="O157" i="3"/>
  <c r="T157" i="3"/>
  <c r="Z157" i="3"/>
  <c r="I153" i="3"/>
  <c r="M153" i="3"/>
  <c r="Q153" i="3"/>
  <c r="U153" i="3"/>
  <c r="Y153" i="3"/>
  <c r="AC153" i="3"/>
  <c r="F153" i="3"/>
  <c r="K153" i="3"/>
  <c r="P153" i="3"/>
  <c r="V153" i="3"/>
  <c r="AA153" i="3"/>
  <c r="G153" i="3"/>
  <c r="L153" i="3"/>
  <c r="R153" i="3"/>
  <c r="W153" i="3"/>
  <c r="AB153" i="3"/>
  <c r="H153" i="3"/>
  <c r="N153" i="3"/>
  <c r="S153" i="3"/>
  <c r="X153" i="3"/>
  <c r="J153" i="3"/>
  <c r="O153" i="3"/>
  <c r="T153" i="3"/>
  <c r="Z153" i="3"/>
  <c r="I149" i="3"/>
  <c r="M149" i="3"/>
  <c r="Q149" i="3"/>
  <c r="U149" i="3"/>
  <c r="Y149" i="3"/>
  <c r="AC149" i="3"/>
  <c r="F149" i="3"/>
  <c r="K149" i="3"/>
  <c r="P149" i="3"/>
  <c r="V149" i="3"/>
  <c r="AA149" i="3"/>
  <c r="G149" i="3"/>
  <c r="L149" i="3"/>
  <c r="R149" i="3"/>
  <c r="W149" i="3"/>
  <c r="AB149" i="3"/>
  <c r="H149" i="3"/>
  <c r="N149" i="3"/>
  <c r="S149" i="3"/>
  <c r="X149" i="3"/>
  <c r="J149" i="3"/>
  <c r="O149" i="3"/>
  <c r="T149" i="3"/>
  <c r="Z149" i="3"/>
  <c r="I145" i="3"/>
  <c r="M145" i="3"/>
  <c r="Q145" i="3"/>
  <c r="U145" i="3"/>
  <c r="Y145" i="3"/>
  <c r="AC145" i="3"/>
  <c r="F145" i="3"/>
  <c r="K145" i="3"/>
  <c r="P145" i="3"/>
  <c r="V145" i="3"/>
  <c r="AA145" i="3"/>
  <c r="G145" i="3"/>
  <c r="L145" i="3"/>
  <c r="R145" i="3"/>
  <c r="W145" i="3"/>
  <c r="AB145" i="3"/>
  <c r="H145" i="3"/>
  <c r="N145" i="3"/>
  <c r="S145" i="3"/>
  <c r="X145" i="3"/>
  <c r="J145" i="3"/>
  <c r="O145" i="3"/>
  <c r="T145" i="3"/>
  <c r="Z145" i="3"/>
  <c r="I141" i="3"/>
  <c r="M141" i="3"/>
  <c r="Q141" i="3"/>
  <c r="U141" i="3"/>
  <c r="Y141" i="3"/>
  <c r="AC141" i="3"/>
  <c r="F141" i="3"/>
  <c r="K141" i="3"/>
  <c r="P141" i="3"/>
  <c r="V141" i="3"/>
  <c r="AA141" i="3"/>
  <c r="G141" i="3"/>
  <c r="L141" i="3"/>
  <c r="R141" i="3"/>
  <c r="W141" i="3"/>
  <c r="AB141" i="3"/>
  <c r="H141" i="3"/>
  <c r="N141" i="3"/>
  <c r="S141" i="3"/>
  <c r="X141" i="3"/>
  <c r="J141" i="3"/>
  <c r="O141" i="3"/>
  <c r="T141" i="3"/>
  <c r="Z141" i="3"/>
  <c r="I137" i="3"/>
  <c r="M137" i="3"/>
  <c r="Q137" i="3"/>
  <c r="U137" i="3"/>
  <c r="Y137" i="3"/>
  <c r="AC137" i="3"/>
  <c r="F137" i="3"/>
  <c r="J137" i="3"/>
  <c r="N137" i="3"/>
  <c r="R137" i="3"/>
  <c r="V137" i="3"/>
  <c r="Z137" i="3"/>
  <c r="K137" i="3"/>
  <c r="S137" i="3"/>
  <c r="AA137" i="3"/>
  <c r="L137" i="3"/>
  <c r="T137" i="3"/>
  <c r="AB137" i="3"/>
  <c r="G137" i="3"/>
  <c r="O137" i="3"/>
  <c r="W137" i="3"/>
  <c r="H137" i="3"/>
  <c r="P137" i="3"/>
  <c r="X137" i="3"/>
  <c r="I133" i="3"/>
  <c r="M133" i="3"/>
  <c r="Q133" i="3"/>
  <c r="U133" i="3"/>
  <c r="Y133" i="3"/>
  <c r="AC133" i="3"/>
  <c r="F133" i="3"/>
  <c r="J133" i="3"/>
  <c r="N133" i="3"/>
  <c r="R133" i="3"/>
  <c r="V133" i="3"/>
  <c r="Z133" i="3"/>
  <c r="K133" i="3"/>
  <c r="S133" i="3"/>
  <c r="AA133" i="3"/>
  <c r="L133" i="3"/>
  <c r="T133" i="3"/>
  <c r="AB133" i="3"/>
  <c r="G133" i="3"/>
  <c r="O133" i="3"/>
  <c r="W133" i="3"/>
  <c r="H133" i="3"/>
  <c r="P133" i="3"/>
  <c r="X133" i="3"/>
  <c r="I129" i="3"/>
  <c r="M129" i="3"/>
  <c r="Q129" i="3"/>
  <c r="U129" i="3"/>
  <c r="Y129" i="3"/>
  <c r="AC129" i="3"/>
  <c r="F129" i="3"/>
  <c r="J129" i="3"/>
  <c r="N129" i="3"/>
  <c r="R129" i="3"/>
  <c r="V129" i="3"/>
  <c r="Z129" i="3"/>
  <c r="G129" i="3"/>
  <c r="K129" i="3"/>
  <c r="O129" i="3"/>
  <c r="S129" i="3"/>
  <c r="W129" i="3"/>
  <c r="AA129" i="3"/>
  <c r="P129" i="3"/>
  <c r="T129" i="3"/>
  <c r="H129" i="3"/>
  <c r="X129" i="3"/>
  <c r="L129" i="3"/>
  <c r="AB129" i="3"/>
  <c r="I125" i="3"/>
  <c r="M125" i="3"/>
  <c r="Q125" i="3"/>
  <c r="U125" i="3"/>
  <c r="Y125" i="3"/>
  <c r="AC125" i="3"/>
  <c r="F125" i="3"/>
  <c r="J125" i="3"/>
  <c r="N125" i="3"/>
  <c r="R125" i="3"/>
  <c r="V125" i="3"/>
  <c r="Z125" i="3"/>
  <c r="G125" i="3"/>
  <c r="K125" i="3"/>
  <c r="O125" i="3"/>
  <c r="S125" i="3"/>
  <c r="W125" i="3"/>
  <c r="AA125" i="3"/>
  <c r="P125" i="3"/>
  <c r="T125" i="3"/>
  <c r="H125" i="3"/>
  <c r="X125" i="3"/>
  <c r="L125" i="3"/>
  <c r="AB125" i="3"/>
  <c r="I121" i="3"/>
  <c r="M121" i="3"/>
  <c r="Q121" i="3"/>
  <c r="U121" i="3"/>
  <c r="Y121" i="3"/>
  <c r="AC121" i="3"/>
  <c r="F121" i="3"/>
  <c r="J121" i="3"/>
  <c r="N121" i="3"/>
  <c r="R121" i="3"/>
  <c r="V121" i="3"/>
  <c r="Z121" i="3"/>
  <c r="G121" i="3"/>
  <c r="K121" i="3"/>
  <c r="O121" i="3"/>
  <c r="S121" i="3"/>
  <c r="W121" i="3"/>
  <c r="AA121" i="3"/>
  <c r="P121" i="3"/>
  <c r="T121" i="3"/>
  <c r="H121" i="3"/>
  <c r="X121" i="3"/>
  <c r="L121" i="3"/>
  <c r="AB121" i="3"/>
  <c r="I117" i="3"/>
  <c r="M117" i="3"/>
  <c r="Q117" i="3"/>
  <c r="U117" i="3"/>
  <c r="Y117" i="3"/>
  <c r="AC117" i="3"/>
  <c r="F117" i="3"/>
  <c r="J117" i="3"/>
  <c r="N117" i="3"/>
  <c r="R117" i="3"/>
  <c r="V117" i="3"/>
  <c r="Z117" i="3"/>
  <c r="G117" i="3"/>
  <c r="K117" i="3"/>
  <c r="O117" i="3"/>
  <c r="S117" i="3"/>
  <c r="W117" i="3"/>
  <c r="AA117" i="3"/>
  <c r="P117" i="3"/>
  <c r="T117" i="3"/>
  <c r="H117" i="3"/>
  <c r="X117" i="3"/>
  <c r="L117" i="3"/>
  <c r="AB117" i="3"/>
  <c r="I113" i="3"/>
  <c r="M113" i="3"/>
  <c r="Q113" i="3"/>
  <c r="U113" i="3"/>
  <c r="Y113" i="3"/>
  <c r="AC113" i="3"/>
  <c r="F113" i="3"/>
  <c r="J113" i="3"/>
  <c r="N113" i="3"/>
  <c r="R113" i="3"/>
  <c r="V113" i="3"/>
  <c r="Z113" i="3"/>
  <c r="G113" i="3"/>
  <c r="K113" i="3"/>
  <c r="O113" i="3"/>
  <c r="S113" i="3"/>
  <c r="W113" i="3"/>
  <c r="AA113" i="3"/>
  <c r="P113" i="3"/>
  <c r="T113" i="3"/>
  <c r="H113" i="3"/>
  <c r="X113" i="3"/>
  <c r="L113" i="3"/>
  <c r="AB113" i="3"/>
  <c r="I109" i="3"/>
  <c r="M109" i="3"/>
  <c r="Q109" i="3"/>
  <c r="U109" i="3"/>
  <c r="Y109" i="3"/>
  <c r="AC109" i="3"/>
  <c r="F109" i="3"/>
  <c r="J109" i="3"/>
  <c r="N109" i="3"/>
  <c r="R109" i="3"/>
  <c r="V109" i="3"/>
  <c r="Z109" i="3"/>
  <c r="G109" i="3"/>
  <c r="K109" i="3"/>
  <c r="O109" i="3"/>
  <c r="S109" i="3"/>
  <c r="W109" i="3"/>
  <c r="AA109" i="3"/>
  <c r="P109" i="3"/>
  <c r="T109" i="3"/>
  <c r="H109" i="3"/>
  <c r="X109" i="3"/>
  <c r="L109" i="3"/>
  <c r="AB109" i="3"/>
  <c r="I105" i="3"/>
  <c r="M105" i="3"/>
  <c r="Q105" i="3"/>
  <c r="U105" i="3"/>
  <c r="Y105" i="3"/>
  <c r="AC105" i="3"/>
  <c r="F105" i="3"/>
  <c r="J105" i="3"/>
  <c r="N105" i="3"/>
  <c r="R105" i="3"/>
  <c r="V105" i="3"/>
  <c r="Z105" i="3"/>
  <c r="G105" i="3"/>
  <c r="K105" i="3"/>
  <c r="O105" i="3"/>
  <c r="S105" i="3"/>
  <c r="W105" i="3"/>
  <c r="AA105" i="3"/>
  <c r="P105" i="3"/>
  <c r="T105" i="3"/>
  <c r="H105" i="3"/>
  <c r="X105" i="3"/>
  <c r="L105" i="3"/>
  <c r="AB105" i="3"/>
  <c r="I101" i="3"/>
  <c r="M101" i="3"/>
  <c r="Q101" i="3"/>
  <c r="U101" i="3"/>
  <c r="Y101" i="3"/>
  <c r="AC101" i="3"/>
  <c r="F101" i="3"/>
  <c r="J101" i="3"/>
  <c r="N101" i="3"/>
  <c r="R101" i="3"/>
  <c r="V101" i="3"/>
  <c r="Z101" i="3"/>
  <c r="G101" i="3"/>
  <c r="K101" i="3"/>
  <c r="O101" i="3"/>
  <c r="S101" i="3"/>
  <c r="W101" i="3"/>
  <c r="AA101" i="3"/>
  <c r="P101" i="3"/>
  <c r="T101" i="3"/>
  <c r="H101" i="3"/>
  <c r="X101" i="3"/>
  <c r="L101" i="3"/>
  <c r="AB101" i="3"/>
  <c r="I97" i="3"/>
  <c r="M97" i="3"/>
  <c r="Q97" i="3"/>
  <c r="U97" i="3"/>
  <c r="Y97" i="3"/>
  <c r="AC97" i="3"/>
  <c r="F97" i="3"/>
  <c r="J97" i="3"/>
  <c r="N97" i="3"/>
  <c r="R97" i="3"/>
  <c r="V97" i="3"/>
  <c r="Z97" i="3"/>
  <c r="G97" i="3"/>
  <c r="K97" i="3"/>
  <c r="O97" i="3"/>
  <c r="S97" i="3"/>
  <c r="W97" i="3"/>
  <c r="AA97" i="3"/>
  <c r="P97" i="3"/>
  <c r="T97" i="3"/>
  <c r="H97" i="3"/>
  <c r="X97" i="3"/>
  <c r="L97" i="3"/>
  <c r="AB97" i="3"/>
  <c r="I93" i="3"/>
  <c r="M93" i="3"/>
  <c r="Q93" i="3"/>
  <c r="U93" i="3"/>
  <c r="Y93" i="3"/>
  <c r="AC93" i="3"/>
  <c r="F93" i="3"/>
  <c r="J93" i="3"/>
  <c r="N93" i="3"/>
  <c r="R93" i="3"/>
  <c r="V93" i="3"/>
  <c r="Z93" i="3"/>
  <c r="G93" i="3"/>
  <c r="K93" i="3"/>
  <c r="O93" i="3"/>
  <c r="S93" i="3"/>
  <c r="W93" i="3"/>
  <c r="AA93" i="3"/>
  <c r="P93" i="3"/>
  <c r="T93" i="3"/>
  <c r="H93" i="3"/>
  <c r="X93" i="3"/>
  <c r="L93" i="3"/>
  <c r="AB93" i="3"/>
  <c r="I89" i="3"/>
  <c r="M89" i="3"/>
  <c r="Q89" i="3"/>
  <c r="U89" i="3"/>
  <c r="Y89" i="3"/>
  <c r="AC89" i="3"/>
  <c r="F89" i="3"/>
  <c r="J89" i="3"/>
  <c r="N89" i="3"/>
  <c r="R89" i="3"/>
  <c r="V89" i="3"/>
  <c r="Z89" i="3"/>
  <c r="G89" i="3"/>
  <c r="K89" i="3"/>
  <c r="O89" i="3"/>
  <c r="S89" i="3"/>
  <c r="W89" i="3"/>
  <c r="AA89" i="3"/>
  <c r="P89" i="3"/>
  <c r="T89" i="3"/>
  <c r="H89" i="3"/>
  <c r="X89" i="3"/>
  <c r="L89" i="3"/>
  <c r="AB89" i="3"/>
  <c r="I85" i="3"/>
  <c r="M85" i="3"/>
  <c r="Q85" i="3"/>
  <c r="U85" i="3"/>
  <c r="Y85" i="3"/>
  <c r="AC85" i="3"/>
  <c r="F85" i="3"/>
  <c r="K85" i="3"/>
  <c r="P85" i="3"/>
  <c r="V85" i="3"/>
  <c r="AA85" i="3"/>
  <c r="G85" i="3"/>
  <c r="L85" i="3"/>
  <c r="R85" i="3"/>
  <c r="W85" i="3"/>
  <c r="AB85" i="3"/>
  <c r="H85" i="3"/>
  <c r="N85" i="3"/>
  <c r="S85" i="3"/>
  <c r="X85" i="3"/>
  <c r="Z85" i="3"/>
  <c r="J85" i="3"/>
  <c r="O85" i="3"/>
  <c r="T85" i="3"/>
  <c r="I81" i="3"/>
  <c r="M81" i="3"/>
  <c r="Q81" i="3"/>
  <c r="U81" i="3"/>
  <c r="Y81" i="3"/>
  <c r="AC81" i="3"/>
  <c r="F81" i="3"/>
  <c r="K81" i="3"/>
  <c r="P81" i="3"/>
  <c r="V81" i="3"/>
  <c r="AA81" i="3"/>
  <c r="G81" i="3"/>
  <c r="L81" i="3"/>
  <c r="R81" i="3"/>
  <c r="W81" i="3"/>
  <c r="AB81" i="3"/>
  <c r="H81" i="3"/>
  <c r="N81" i="3"/>
  <c r="S81" i="3"/>
  <c r="X81" i="3"/>
  <c r="O81" i="3"/>
  <c r="T81" i="3"/>
  <c r="Z81" i="3"/>
  <c r="J81" i="3"/>
  <c r="I77" i="3"/>
  <c r="M77" i="3"/>
  <c r="Q77" i="3"/>
  <c r="U77" i="3"/>
  <c r="Y77" i="3"/>
  <c r="AC77" i="3"/>
  <c r="F77" i="3"/>
  <c r="K77" i="3"/>
  <c r="P77" i="3"/>
  <c r="V77" i="3"/>
  <c r="AA77" i="3"/>
  <c r="G77" i="3"/>
  <c r="L77" i="3"/>
  <c r="R77" i="3"/>
  <c r="W77" i="3"/>
  <c r="AB77" i="3"/>
  <c r="H77" i="3"/>
  <c r="N77" i="3"/>
  <c r="S77" i="3"/>
  <c r="X77" i="3"/>
  <c r="Z77" i="3"/>
  <c r="J77" i="3"/>
  <c r="O77" i="3"/>
  <c r="T77" i="3"/>
  <c r="I73" i="3"/>
  <c r="M73" i="3"/>
  <c r="Q73" i="3"/>
  <c r="U73" i="3"/>
  <c r="Y73" i="3"/>
  <c r="AC73" i="3"/>
  <c r="F73" i="3"/>
  <c r="K73" i="3"/>
  <c r="P73" i="3"/>
  <c r="V73" i="3"/>
  <c r="AA73" i="3"/>
  <c r="G73" i="3"/>
  <c r="L73" i="3"/>
  <c r="R73" i="3"/>
  <c r="W73" i="3"/>
  <c r="AB73" i="3"/>
  <c r="H73" i="3"/>
  <c r="N73" i="3"/>
  <c r="S73" i="3"/>
  <c r="X73" i="3"/>
  <c r="O73" i="3"/>
  <c r="T73" i="3"/>
  <c r="Z73" i="3"/>
  <c r="J73" i="3"/>
  <c r="I69" i="3"/>
  <c r="M69" i="3"/>
  <c r="Q69" i="3"/>
  <c r="U69" i="3"/>
  <c r="Y69" i="3"/>
  <c r="AC69" i="3"/>
  <c r="F69" i="3"/>
  <c r="K69" i="3"/>
  <c r="P69" i="3"/>
  <c r="V69" i="3"/>
  <c r="AA69" i="3"/>
  <c r="G69" i="3"/>
  <c r="L69" i="3"/>
  <c r="R69" i="3"/>
  <c r="W69" i="3"/>
  <c r="AB69" i="3"/>
  <c r="H69" i="3"/>
  <c r="N69" i="3"/>
  <c r="S69" i="3"/>
  <c r="X69" i="3"/>
  <c r="Z69" i="3"/>
  <c r="J69" i="3"/>
  <c r="O69" i="3"/>
  <c r="T69" i="3"/>
  <c r="I65" i="3"/>
  <c r="M65" i="3"/>
  <c r="Q65" i="3"/>
  <c r="U65" i="3"/>
  <c r="Y65" i="3"/>
  <c r="AC65" i="3"/>
  <c r="F65" i="3"/>
  <c r="K65" i="3"/>
  <c r="P65" i="3"/>
  <c r="V65" i="3"/>
  <c r="AA65" i="3"/>
  <c r="G65" i="3"/>
  <c r="L65" i="3"/>
  <c r="R65" i="3"/>
  <c r="W65" i="3"/>
  <c r="AB65" i="3"/>
  <c r="H65" i="3"/>
  <c r="N65" i="3"/>
  <c r="S65" i="3"/>
  <c r="X65" i="3"/>
  <c r="O65" i="3"/>
  <c r="T65" i="3"/>
  <c r="Z65" i="3"/>
  <c r="J65" i="3"/>
  <c r="I61" i="3"/>
  <c r="M61" i="3"/>
  <c r="Q61" i="3"/>
  <c r="U61" i="3"/>
  <c r="Y61" i="3"/>
  <c r="AC61" i="3"/>
  <c r="F61" i="3"/>
  <c r="K61" i="3"/>
  <c r="P61" i="3"/>
  <c r="V61" i="3"/>
  <c r="AA61" i="3"/>
  <c r="G61" i="3"/>
  <c r="L61" i="3"/>
  <c r="R61" i="3"/>
  <c r="W61" i="3"/>
  <c r="AB61" i="3"/>
  <c r="H61" i="3"/>
  <c r="N61" i="3"/>
  <c r="S61" i="3"/>
  <c r="X61" i="3"/>
  <c r="Z61" i="3"/>
  <c r="J61" i="3"/>
  <c r="O61" i="3"/>
  <c r="T61" i="3"/>
  <c r="I57" i="3"/>
  <c r="M57" i="3"/>
  <c r="Q57" i="3"/>
  <c r="U57" i="3"/>
  <c r="Y57" i="3"/>
  <c r="AC57" i="3"/>
  <c r="F57" i="3"/>
  <c r="K57" i="3"/>
  <c r="P57" i="3"/>
  <c r="V57" i="3"/>
  <c r="AA57" i="3"/>
  <c r="G57" i="3"/>
  <c r="L57" i="3"/>
  <c r="R57" i="3"/>
  <c r="W57" i="3"/>
  <c r="AB57" i="3"/>
  <c r="H57" i="3"/>
  <c r="N57" i="3"/>
  <c r="S57" i="3"/>
  <c r="X57" i="3"/>
  <c r="O57" i="3"/>
  <c r="T57" i="3"/>
  <c r="Z57" i="3"/>
  <c r="J57" i="3"/>
  <c r="G53" i="3"/>
  <c r="K53" i="3"/>
  <c r="O53" i="3"/>
  <c r="S53" i="3"/>
  <c r="W53" i="3"/>
  <c r="AA53" i="3"/>
  <c r="I53" i="3"/>
  <c r="M53" i="3"/>
  <c r="Q53" i="3"/>
  <c r="U53" i="3"/>
  <c r="Y53" i="3"/>
  <c r="AC53" i="3"/>
  <c r="F53" i="3"/>
  <c r="J53" i="3"/>
  <c r="N53" i="3"/>
  <c r="R53" i="3"/>
  <c r="V53" i="3"/>
  <c r="Z53" i="3"/>
  <c r="H53" i="3"/>
  <c r="X53" i="3"/>
  <c r="L53" i="3"/>
  <c r="AB53" i="3"/>
  <c r="P53" i="3"/>
  <c r="T53" i="3"/>
  <c r="G49" i="3"/>
  <c r="K49" i="3"/>
  <c r="O49" i="3"/>
  <c r="S49" i="3"/>
  <c r="W49" i="3"/>
  <c r="AA49" i="3"/>
  <c r="I49" i="3"/>
  <c r="M49" i="3"/>
  <c r="Q49" i="3"/>
  <c r="U49" i="3"/>
  <c r="Y49" i="3"/>
  <c r="AC49" i="3"/>
  <c r="F49" i="3"/>
  <c r="J49" i="3"/>
  <c r="N49" i="3"/>
  <c r="R49" i="3"/>
  <c r="V49" i="3"/>
  <c r="Z49" i="3"/>
  <c r="H49" i="3"/>
  <c r="X49" i="3"/>
  <c r="L49" i="3"/>
  <c r="AB49" i="3"/>
  <c r="P49" i="3"/>
  <c r="T49" i="3"/>
  <c r="G45" i="3"/>
  <c r="K45" i="3"/>
  <c r="O45" i="3"/>
  <c r="S45" i="3"/>
  <c r="W45" i="3"/>
  <c r="AA45" i="3"/>
  <c r="I45" i="3"/>
  <c r="M45" i="3"/>
  <c r="Q45" i="3"/>
  <c r="U45" i="3"/>
  <c r="Y45" i="3"/>
  <c r="AC45" i="3"/>
  <c r="F45" i="3"/>
  <c r="J45" i="3"/>
  <c r="N45" i="3"/>
  <c r="R45" i="3"/>
  <c r="V45" i="3"/>
  <c r="Z45" i="3"/>
  <c r="H45" i="3"/>
  <c r="X45" i="3"/>
  <c r="L45" i="3"/>
  <c r="AB45" i="3"/>
  <c r="P45" i="3"/>
  <c r="T45" i="3"/>
  <c r="G41" i="3"/>
  <c r="K41" i="3"/>
  <c r="O41" i="3"/>
  <c r="S41" i="3"/>
  <c r="W41" i="3"/>
  <c r="AA41" i="3"/>
  <c r="I41" i="3"/>
  <c r="M41" i="3"/>
  <c r="Q41" i="3"/>
  <c r="U41" i="3"/>
  <c r="Y41" i="3"/>
  <c r="AC41" i="3"/>
  <c r="F41" i="3"/>
  <c r="J41" i="3"/>
  <c r="N41" i="3"/>
  <c r="R41" i="3"/>
  <c r="V41" i="3"/>
  <c r="Z41" i="3"/>
  <c r="H41" i="3"/>
  <c r="X41" i="3"/>
  <c r="L41" i="3"/>
  <c r="AB41" i="3"/>
  <c r="P41" i="3"/>
  <c r="T41" i="3"/>
  <c r="G37" i="3"/>
  <c r="K37" i="3"/>
  <c r="O37" i="3"/>
  <c r="S37" i="3"/>
  <c r="W37" i="3"/>
  <c r="AA37" i="3"/>
  <c r="I37" i="3"/>
  <c r="M37" i="3"/>
  <c r="Q37" i="3"/>
  <c r="U37" i="3"/>
  <c r="Y37" i="3"/>
  <c r="AC37" i="3"/>
  <c r="F37" i="3"/>
  <c r="J37" i="3"/>
  <c r="N37" i="3"/>
  <c r="R37" i="3"/>
  <c r="V37" i="3"/>
  <c r="Z37" i="3"/>
  <c r="H37" i="3"/>
  <c r="X37" i="3"/>
  <c r="L37" i="3"/>
  <c r="AB37" i="3"/>
  <c r="P37" i="3"/>
  <c r="T37" i="3"/>
  <c r="G33" i="3"/>
  <c r="K33" i="3"/>
  <c r="O33" i="3"/>
  <c r="S33" i="3"/>
  <c r="W33" i="3"/>
  <c r="AA33" i="3"/>
  <c r="I33" i="3"/>
  <c r="M33" i="3"/>
  <c r="Q33" i="3"/>
  <c r="U33" i="3"/>
  <c r="Y33" i="3"/>
  <c r="AC33" i="3"/>
  <c r="F33" i="3"/>
  <c r="J33" i="3"/>
  <c r="N33" i="3"/>
  <c r="R33" i="3"/>
  <c r="V33" i="3"/>
  <c r="Z33" i="3"/>
  <c r="H33" i="3"/>
  <c r="X33" i="3"/>
  <c r="L33" i="3"/>
  <c r="AB33" i="3"/>
  <c r="P33" i="3"/>
  <c r="T33" i="3"/>
  <c r="AC9" i="3"/>
  <c r="Y9" i="3"/>
  <c r="U9" i="3"/>
  <c r="Q9" i="3"/>
  <c r="M9" i="3"/>
  <c r="I9" i="3"/>
  <c r="AB373" i="3"/>
  <c r="X373" i="3"/>
  <c r="T373" i="3"/>
  <c r="P373" i="3"/>
  <c r="L373" i="3"/>
  <c r="H373" i="3"/>
  <c r="AB372" i="3"/>
  <c r="X372" i="3"/>
  <c r="T372" i="3"/>
  <c r="P372" i="3"/>
  <c r="L372" i="3"/>
  <c r="H372" i="3"/>
  <c r="AB371" i="3"/>
  <c r="X371" i="3"/>
  <c r="T371" i="3"/>
  <c r="P371" i="3"/>
  <c r="L371" i="3"/>
  <c r="H371" i="3"/>
  <c r="AB370" i="3"/>
  <c r="X370" i="3"/>
  <c r="T370" i="3"/>
  <c r="P370" i="3"/>
  <c r="L370" i="3"/>
  <c r="H370" i="3"/>
  <c r="AB369" i="3"/>
  <c r="X369" i="3"/>
  <c r="T369" i="3"/>
  <c r="P369" i="3"/>
  <c r="L369" i="3"/>
  <c r="H369" i="3"/>
  <c r="AB368" i="3"/>
  <c r="X368" i="3"/>
  <c r="T368" i="3"/>
  <c r="P368" i="3"/>
  <c r="L368" i="3"/>
  <c r="H368" i="3"/>
  <c r="AB367" i="3"/>
  <c r="X367" i="3"/>
  <c r="T367" i="3"/>
  <c r="P367" i="3"/>
  <c r="L367" i="3"/>
  <c r="H367" i="3"/>
  <c r="AB366" i="3"/>
  <c r="X366" i="3"/>
  <c r="T366" i="3"/>
  <c r="P366" i="3"/>
  <c r="L366" i="3"/>
  <c r="H366" i="3"/>
  <c r="AB365" i="3"/>
  <c r="X365" i="3"/>
  <c r="T365" i="3"/>
  <c r="P365" i="3"/>
  <c r="L365" i="3"/>
  <c r="H365" i="3"/>
  <c r="AB364" i="3"/>
  <c r="X364" i="3"/>
  <c r="T364" i="3"/>
  <c r="P364" i="3"/>
  <c r="L364" i="3"/>
  <c r="H364" i="3"/>
  <c r="AB363" i="3"/>
  <c r="X363" i="3"/>
  <c r="T363" i="3"/>
  <c r="P363" i="3"/>
  <c r="L363" i="3"/>
  <c r="H363" i="3"/>
  <c r="AB362" i="3"/>
  <c r="X362" i="3"/>
  <c r="T362" i="3"/>
  <c r="P362" i="3"/>
  <c r="K362" i="3"/>
  <c r="F362" i="3"/>
  <c r="X361" i="3"/>
  <c r="S361" i="3"/>
  <c r="N361" i="3"/>
  <c r="AA360" i="3"/>
  <c r="V360" i="3"/>
  <c r="P360" i="3"/>
  <c r="K360" i="3"/>
  <c r="X359" i="3"/>
  <c r="S359" i="3"/>
  <c r="N359" i="3"/>
  <c r="H359" i="3"/>
  <c r="AA358" i="3"/>
  <c r="V358" i="3"/>
  <c r="P358" i="3"/>
  <c r="K358" i="3"/>
  <c r="AB357" i="3"/>
  <c r="T357" i="3"/>
  <c r="L357" i="3"/>
  <c r="AB356" i="3"/>
  <c r="T356" i="3"/>
  <c r="L356" i="3"/>
  <c r="AB355" i="3"/>
  <c r="T355" i="3"/>
  <c r="L355" i="3"/>
  <c r="AB354" i="3"/>
  <c r="T354" i="3"/>
  <c r="L354" i="3"/>
  <c r="AB353" i="3"/>
  <c r="T353" i="3"/>
  <c r="AB352" i="3"/>
  <c r="T352" i="3"/>
  <c r="AB351" i="3"/>
  <c r="T351" i="3"/>
  <c r="AB350" i="3"/>
  <c r="L350" i="3"/>
  <c r="T349" i="3"/>
  <c r="AB348" i="3"/>
  <c r="L348" i="3"/>
  <c r="T347" i="3"/>
  <c r="AB346" i="3"/>
  <c r="L346" i="3"/>
  <c r="T345" i="3"/>
  <c r="AB344" i="3"/>
  <c r="T343" i="3"/>
  <c r="AB342" i="3"/>
  <c r="L342" i="3"/>
  <c r="AB340" i="3"/>
  <c r="T339" i="3"/>
  <c r="AB338" i="3"/>
  <c r="L338" i="3"/>
  <c r="T337" i="3"/>
  <c r="AB336" i="3"/>
  <c r="L336" i="3"/>
  <c r="T335" i="3"/>
  <c r="AB334" i="3"/>
  <c r="L334" i="3"/>
  <c r="T333" i="3"/>
  <c r="AB332" i="3"/>
  <c r="T331" i="3"/>
  <c r="AB330" i="3"/>
  <c r="L330" i="3"/>
  <c r="AB328" i="3"/>
  <c r="T327" i="3"/>
  <c r="AB326" i="3"/>
  <c r="L326" i="3"/>
  <c r="T325" i="3"/>
  <c r="AB324" i="3"/>
  <c r="T323" i="3"/>
  <c r="G21" i="3"/>
  <c r="K21" i="3"/>
  <c r="O21" i="3"/>
  <c r="S21" i="3"/>
  <c r="W21" i="3"/>
  <c r="AA21" i="3"/>
  <c r="I21" i="3"/>
  <c r="M21" i="3"/>
  <c r="Q21" i="3"/>
  <c r="U21" i="3"/>
  <c r="Y21" i="3"/>
  <c r="AC21" i="3"/>
  <c r="F21" i="3"/>
  <c r="J21" i="3"/>
  <c r="N21" i="3"/>
  <c r="R21" i="3"/>
  <c r="V21" i="3"/>
  <c r="Z21" i="3"/>
  <c r="H21" i="3"/>
  <c r="X21" i="3"/>
  <c r="L21" i="3"/>
  <c r="AB21" i="3"/>
  <c r="P21" i="3"/>
  <c r="T21" i="3"/>
  <c r="I361" i="3"/>
  <c r="M361" i="3"/>
  <c r="Q361" i="3"/>
  <c r="U361" i="3"/>
  <c r="Y361" i="3"/>
  <c r="AC361" i="3"/>
  <c r="I353" i="3"/>
  <c r="M353" i="3"/>
  <c r="Q353" i="3"/>
  <c r="U353" i="3"/>
  <c r="Y353" i="3"/>
  <c r="AC353" i="3"/>
  <c r="F353" i="3"/>
  <c r="J353" i="3"/>
  <c r="N353" i="3"/>
  <c r="R353" i="3"/>
  <c r="V353" i="3"/>
  <c r="Z353" i="3"/>
  <c r="I341" i="3"/>
  <c r="M341" i="3"/>
  <c r="Q341" i="3"/>
  <c r="U341" i="3"/>
  <c r="Y341" i="3"/>
  <c r="AC341" i="3"/>
  <c r="F341" i="3"/>
  <c r="J341" i="3"/>
  <c r="N341" i="3"/>
  <c r="R341" i="3"/>
  <c r="V341" i="3"/>
  <c r="Z341" i="3"/>
  <c r="G341" i="3"/>
  <c r="K341" i="3"/>
  <c r="O341" i="3"/>
  <c r="S341" i="3"/>
  <c r="W341" i="3"/>
  <c r="AA341" i="3"/>
  <c r="I329" i="3"/>
  <c r="M329" i="3"/>
  <c r="Q329" i="3"/>
  <c r="U329" i="3"/>
  <c r="Y329" i="3"/>
  <c r="AC329" i="3"/>
  <c r="F329" i="3"/>
  <c r="J329" i="3"/>
  <c r="N329" i="3"/>
  <c r="R329" i="3"/>
  <c r="V329" i="3"/>
  <c r="Z329" i="3"/>
  <c r="G329" i="3"/>
  <c r="K329" i="3"/>
  <c r="O329" i="3"/>
  <c r="S329" i="3"/>
  <c r="W329" i="3"/>
  <c r="AA329" i="3"/>
  <c r="I313" i="3"/>
  <c r="M313" i="3"/>
  <c r="Q313" i="3"/>
  <c r="U313" i="3"/>
  <c r="Y313" i="3"/>
  <c r="AC313" i="3"/>
  <c r="F313" i="3"/>
  <c r="J313" i="3"/>
  <c r="N313" i="3"/>
  <c r="R313" i="3"/>
  <c r="V313" i="3"/>
  <c r="Z313" i="3"/>
  <c r="G313" i="3"/>
  <c r="K313" i="3"/>
  <c r="O313" i="3"/>
  <c r="S313" i="3"/>
  <c r="W313" i="3"/>
  <c r="AA313" i="3"/>
  <c r="H313" i="3"/>
  <c r="L313" i="3"/>
  <c r="P313" i="3"/>
  <c r="T313" i="3"/>
  <c r="X313" i="3"/>
  <c r="AB313" i="3"/>
  <c r="I285" i="3"/>
  <c r="M285" i="3"/>
  <c r="Q285" i="3"/>
  <c r="U285" i="3"/>
  <c r="Y285" i="3"/>
  <c r="AC285" i="3"/>
  <c r="F285" i="3"/>
  <c r="J285" i="3"/>
  <c r="N285" i="3"/>
  <c r="R285" i="3"/>
  <c r="V285" i="3"/>
  <c r="Z285" i="3"/>
  <c r="G285" i="3"/>
  <c r="K285" i="3"/>
  <c r="O285" i="3"/>
  <c r="S285" i="3"/>
  <c r="W285" i="3"/>
  <c r="AA285" i="3"/>
  <c r="H285" i="3"/>
  <c r="L285" i="3"/>
  <c r="P285" i="3"/>
  <c r="T285" i="3"/>
  <c r="X285" i="3"/>
  <c r="AB285" i="3"/>
  <c r="G28" i="3"/>
  <c r="K28" i="3"/>
  <c r="O28" i="3"/>
  <c r="S28" i="3"/>
  <c r="W28" i="3"/>
  <c r="AA28" i="3"/>
  <c r="I28" i="3"/>
  <c r="M28" i="3"/>
  <c r="Q28" i="3"/>
  <c r="U28" i="3"/>
  <c r="Y28" i="3"/>
  <c r="AC28" i="3"/>
  <c r="F28" i="3"/>
  <c r="J28" i="3"/>
  <c r="N28" i="3"/>
  <c r="R28" i="3"/>
  <c r="V28" i="3"/>
  <c r="Z28" i="3"/>
  <c r="P28" i="3"/>
  <c r="T28" i="3"/>
  <c r="H28" i="3"/>
  <c r="X28" i="3"/>
  <c r="L28" i="3"/>
  <c r="AB28" i="3"/>
  <c r="G16" i="3"/>
  <c r="K16" i="3"/>
  <c r="O16" i="3"/>
  <c r="S16" i="3"/>
  <c r="W16" i="3"/>
  <c r="AA16" i="3"/>
  <c r="I16" i="3"/>
  <c r="M16" i="3"/>
  <c r="Q16" i="3"/>
  <c r="U16" i="3"/>
  <c r="Y16" i="3"/>
  <c r="AC16" i="3"/>
  <c r="F16" i="3"/>
  <c r="J16" i="3"/>
  <c r="N16" i="3"/>
  <c r="R16" i="3"/>
  <c r="V16" i="3"/>
  <c r="Z16" i="3"/>
  <c r="P16" i="3"/>
  <c r="T16" i="3"/>
  <c r="H16" i="3"/>
  <c r="X16" i="3"/>
  <c r="L16" i="3"/>
  <c r="AB16" i="3"/>
  <c r="I360" i="3"/>
  <c r="M360" i="3"/>
  <c r="Q360" i="3"/>
  <c r="U360" i="3"/>
  <c r="Y360" i="3"/>
  <c r="AC360" i="3"/>
  <c r="I352" i="3"/>
  <c r="M352" i="3"/>
  <c r="Q352" i="3"/>
  <c r="U352" i="3"/>
  <c r="Y352" i="3"/>
  <c r="AC352" i="3"/>
  <c r="F352" i="3"/>
  <c r="J352" i="3"/>
  <c r="N352" i="3"/>
  <c r="R352" i="3"/>
  <c r="V352" i="3"/>
  <c r="Z352" i="3"/>
  <c r="I344" i="3"/>
  <c r="M344" i="3"/>
  <c r="Q344" i="3"/>
  <c r="U344" i="3"/>
  <c r="Y344" i="3"/>
  <c r="AC344" i="3"/>
  <c r="F344" i="3"/>
  <c r="J344" i="3"/>
  <c r="N344" i="3"/>
  <c r="R344" i="3"/>
  <c r="V344" i="3"/>
  <c r="Z344" i="3"/>
  <c r="G344" i="3"/>
  <c r="K344" i="3"/>
  <c r="O344" i="3"/>
  <c r="S344" i="3"/>
  <c r="W344" i="3"/>
  <c r="AA344" i="3"/>
  <c r="I340" i="3"/>
  <c r="M340" i="3"/>
  <c r="Q340" i="3"/>
  <c r="U340" i="3"/>
  <c r="Y340" i="3"/>
  <c r="AC340" i="3"/>
  <c r="F340" i="3"/>
  <c r="J340" i="3"/>
  <c r="N340" i="3"/>
  <c r="R340" i="3"/>
  <c r="V340" i="3"/>
  <c r="Z340" i="3"/>
  <c r="G340" i="3"/>
  <c r="K340" i="3"/>
  <c r="O340" i="3"/>
  <c r="S340" i="3"/>
  <c r="W340" i="3"/>
  <c r="AA340" i="3"/>
  <c r="I332" i="3"/>
  <c r="M332" i="3"/>
  <c r="Q332" i="3"/>
  <c r="U332" i="3"/>
  <c r="Y332" i="3"/>
  <c r="AC332" i="3"/>
  <c r="F332" i="3"/>
  <c r="J332" i="3"/>
  <c r="N332" i="3"/>
  <c r="R332" i="3"/>
  <c r="V332" i="3"/>
  <c r="Z332" i="3"/>
  <c r="G332" i="3"/>
  <c r="K332" i="3"/>
  <c r="O332" i="3"/>
  <c r="S332" i="3"/>
  <c r="W332" i="3"/>
  <c r="AA332" i="3"/>
  <c r="I328" i="3"/>
  <c r="M328" i="3"/>
  <c r="Q328" i="3"/>
  <c r="U328" i="3"/>
  <c r="Y328" i="3"/>
  <c r="AC328" i="3"/>
  <c r="F328" i="3"/>
  <c r="J328" i="3"/>
  <c r="N328" i="3"/>
  <c r="R328" i="3"/>
  <c r="V328" i="3"/>
  <c r="Z328" i="3"/>
  <c r="G328" i="3"/>
  <c r="K328" i="3"/>
  <c r="O328" i="3"/>
  <c r="S328" i="3"/>
  <c r="W328" i="3"/>
  <c r="AA328" i="3"/>
  <c r="I324" i="3"/>
  <c r="M324" i="3"/>
  <c r="Q324" i="3"/>
  <c r="U324" i="3"/>
  <c r="Y324" i="3"/>
  <c r="AC324" i="3"/>
  <c r="F324" i="3"/>
  <c r="J324" i="3"/>
  <c r="N324" i="3"/>
  <c r="R324" i="3"/>
  <c r="V324" i="3"/>
  <c r="Z324" i="3"/>
  <c r="G324" i="3"/>
  <c r="K324" i="3"/>
  <c r="O324" i="3"/>
  <c r="S324" i="3"/>
  <c r="W324" i="3"/>
  <c r="AA324" i="3"/>
  <c r="I320" i="3"/>
  <c r="M320" i="3"/>
  <c r="Q320" i="3"/>
  <c r="U320" i="3"/>
  <c r="Y320" i="3"/>
  <c r="AC320" i="3"/>
  <c r="F320" i="3"/>
  <c r="J320" i="3"/>
  <c r="N320" i="3"/>
  <c r="R320" i="3"/>
  <c r="V320" i="3"/>
  <c r="Z320" i="3"/>
  <c r="G320" i="3"/>
  <c r="K320" i="3"/>
  <c r="O320" i="3"/>
  <c r="S320" i="3"/>
  <c r="W320" i="3"/>
  <c r="AA320" i="3"/>
  <c r="H320" i="3"/>
  <c r="L320" i="3"/>
  <c r="P320" i="3"/>
  <c r="T320" i="3"/>
  <c r="X320" i="3"/>
  <c r="AB320" i="3"/>
  <c r="I316" i="3"/>
  <c r="M316" i="3"/>
  <c r="Q316" i="3"/>
  <c r="U316" i="3"/>
  <c r="Y316" i="3"/>
  <c r="AC316" i="3"/>
  <c r="F316" i="3"/>
  <c r="J316" i="3"/>
  <c r="N316" i="3"/>
  <c r="R316" i="3"/>
  <c r="V316" i="3"/>
  <c r="Z316" i="3"/>
  <c r="G316" i="3"/>
  <c r="K316" i="3"/>
  <c r="O316" i="3"/>
  <c r="S316" i="3"/>
  <c r="W316" i="3"/>
  <c r="AA316" i="3"/>
  <c r="H316" i="3"/>
  <c r="L316" i="3"/>
  <c r="P316" i="3"/>
  <c r="T316" i="3"/>
  <c r="X316" i="3"/>
  <c r="AB316" i="3"/>
  <c r="I312" i="3"/>
  <c r="M312" i="3"/>
  <c r="Q312" i="3"/>
  <c r="U312" i="3"/>
  <c r="Y312" i="3"/>
  <c r="AC312" i="3"/>
  <c r="F312" i="3"/>
  <c r="J312" i="3"/>
  <c r="N312" i="3"/>
  <c r="R312" i="3"/>
  <c r="V312" i="3"/>
  <c r="Z312" i="3"/>
  <c r="G312" i="3"/>
  <c r="K312" i="3"/>
  <c r="O312" i="3"/>
  <c r="S312" i="3"/>
  <c r="W312" i="3"/>
  <c r="AA312" i="3"/>
  <c r="H312" i="3"/>
  <c r="L312" i="3"/>
  <c r="P312" i="3"/>
  <c r="T312" i="3"/>
  <c r="X312" i="3"/>
  <c r="AB312" i="3"/>
  <c r="I308" i="3"/>
  <c r="M308" i="3"/>
  <c r="Q308" i="3"/>
  <c r="U308" i="3"/>
  <c r="Y308" i="3"/>
  <c r="AC308" i="3"/>
  <c r="F308" i="3"/>
  <c r="J308" i="3"/>
  <c r="N308" i="3"/>
  <c r="R308" i="3"/>
  <c r="V308" i="3"/>
  <c r="Z308" i="3"/>
  <c r="G308" i="3"/>
  <c r="K308" i="3"/>
  <c r="O308" i="3"/>
  <c r="S308" i="3"/>
  <c r="W308" i="3"/>
  <c r="AA308" i="3"/>
  <c r="H308" i="3"/>
  <c r="L308" i="3"/>
  <c r="P308" i="3"/>
  <c r="T308" i="3"/>
  <c r="X308" i="3"/>
  <c r="AB308" i="3"/>
  <c r="I304" i="3"/>
  <c r="M304" i="3"/>
  <c r="Q304" i="3"/>
  <c r="U304" i="3"/>
  <c r="Y304" i="3"/>
  <c r="AC304" i="3"/>
  <c r="F304" i="3"/>
  <c r="J304" i="3"/>
  <c r="N304" i="3"/>
  <c r="R304" i="3"/>
  <c r="V304" i="3"/>
  <c r="Z304" i="3"/>
  <c r="G304" i="3"/>
  <c r="K304" i="3"/>
  <c r="O304" i="3"/>
  <c r="S304" i="3"/>
  <c r="W304" i="3"/>
  <c r="AA304" i="3"/>
  <c r="H304" i="3"/>
  <c r="L304" i="3"/>
  <c r="P304" i="3"/>
  <c r="T304" i="3"/>
  <c r="X304" i="3"/>
  <c r="AB304" i="3"/>
  <c r="I300" i="3"/>
  <c r="M300" i="3"/>
  <c r="Q300" i="3"/>
  <c r="U300" i="3"/>
  <c r="Y300" i="3"/>
  <c r="AC300" i="3"/>
  <c r="F300" i="3"/>
  <c r="J300" i="3"/>
  <c r="N300" i="3"/>
  <c r="R300" i="3"/>
  <c r="V300" i="3"/>
  <c r="Z300" i="3"/>
  <c r="G300" i="3"/>
  <c r="K300" i="3"/>
  <c r="O300" i="3"/>
  <c r="S300" i="3"/>
  <c r="W300" i="3"/>
  <c r="AA300" i="3"/>
  <c r="H300" i="3"/>
  <c r="L300" i="3"/>
  <c r="P300" i="3"/>
  <c r="T300" i="3"/>
  <c r="X300" i="3"/>
  <c r="AB300" i="3"/>
  <c r="I296" i="3"/>
  <c r="M296" i="3"/>
  <c r="Q296" i="3"/>
  <c r="U296" i="3"/>
  <c r="Y296" i="3"/>
  <c r="AC296" i="3"/>
  <c r="F296" i="3"/>
  <c r="J296" i="3"/>
  <c r="N296" i="3"/>
  <c r="R296" i="3"/>
  <c r="V296" i="3"/>
  <c r="Z296" i="3"/>
  <c r="G296" i="3"/>
  <c r="K296" i="3"/>
  <c r="O296" i="3"/>
  <c r="S296" i="3"/>
  <c r="W296" i="3"/>
  <c r="AA296" i="3"/>
  <c r="H296" i="3"/>
  <c r="L296" i="3"/>
  <c r="P296" i="3"/>
  <c r="T296" i="3"/>
  <c r="X296" i="3"/>
  <c r="AB296" i="3"/>
  <c r="I292" i="3"/>
  <c r="M292" i="3"/>
  <c r="Q292" i="3"/>
  <c r="U292" i="3"/>
  <c r="Y292" i="3"/>
  <c r="AC292" i="3"/>
  <c r="F292" i="3"/>
  <c r="J292" i="3"/>
  <c r="N292" i="3"/>
  <c r="R292" i="3"/>
  <c r="V292" i="3"/>
  <c r="Z292" i="3"/>
  <c r="G292" i="3"/>
  <c r="K292" i="3"/>
  <c r="O292" i="3"/>
  <c r="S292" i="3"/>
  <c r="W292" i="3"/>
  <c r="AA292" i="3"/>
  <c r="H292" i="3"/>
  <c r="L292" i="3"/>
  <c r="P292" i="3"/>
  <c r="T292" i="3"/>
  <c r="X292" i="3"/>
  <c r="AB292" i="3"/>
  <c r="I288" i="3"/>
  <c r="M288" i="3"/>
  <c r="Q288" i="3"/>
  <c r="U288" i="3"/>
  <c r="Y288" i="3"/>
  <c r="AC288" i="3"/>
  <c r="F288" i="3"/>
  <c r="J288" i="3"/>
  <c r="N288" i="3"/>
  <c r="R288" i="3"/>
  <c r="V288" i="3"/>
  <c r="Z288" i="3"/>
  <c r="G288" i="3"/>
  <c r="K288" i="3"/>
  <c r="O288" i="3"/>
  <c r="S288" i="3"/>
  <c r="W288" i="3"/>
  <c r="AA288" i="3"/>
  <c r="H288" i="3"/>
  <c r="L288" i="3"/>
  <c r="P288" i="3"/>
  <c r="T288" i="3"/>
  <c r="X288" i="3"/>
  <c r="AB288" i="3"/>
  <c r="I284" i="3"/>
  <c r="M284" i="3"/>
  <c r="Q284" i="3"/>
  <c r="U284" i="3"/>
  <c r="Y284" i="3"/>
  <c r="AC284" i="3"/>
  <c r="F284" i="3"/>
  <c r="J284" i="3"/>
  <c r="N284" i="3"/>
  <c r="R284" i="3"/>
  <c r="V284" i="3"/>
  <c r="Z284" i="3"/>
  <c r="G284" i="3"/>
  <c r="K284" i="3"/>
  <c r="O284" i="3"/>
  <c r="S284" i="3"/>
  <c r="W284" i="3"/>
  <c r="AA284" i="3"/>
  <c r="H284" i="3"/>
  <c r="L284" i="3"/>
  <c r="P284" i="3"/>
  <c r="T284" i="3"/>
  <c r="X284" i="3"/>
  <c r="AB284" i="3"/>
  <c r="I280" i="3"/>
  <c r="M280" i="3"/>
  <c r="Q280" i="3"/>
  <c r="U280" i="3"/>
  <c r="Y280" i="3"/>
  <c r="AC280" i="3"/>
  <c r="F280" i="3"/>
  <c r="J280" i="3"/>
  <c r="N280" i="3"/>
  <c r="R280" i="3"/>
  <c r="V280" i="3"/>
  <c r="Z280" i="3"/>
  <c r="G280" i="3"/>
  <c r="K280" i="3"/>
  <c r="O280" i="3"/>
  <c r="S280" i="3"/>
  <c r="W280" i="3"/>
  <c r="AA280" i="3"/>
  <c r="H280" i="3"/>
  <c r="L280" i="3"/>
  <c r="P280" i="3"/>
  <c r="T280" i="3"/>
  <c r="X280" i="3"/>
  <c r="AB280" i="3"/>
  <c r="I276" i="3"/>
  <c r="M276" i="3"/>
  <c r="Q276" i="3"/>
  <c r="U276" i="3"/>
  <c r="Y276" i="3"/>
  <c r="AC276" i="3"/>
  <c r="F276" i="3"/>
  <c r="J276" i="3"/>
  <c r="N276" i="3"/>
  <c r="R276" i="3"/>
  <c r="V276" i="3"/>
  <c r="Z276" i="3"/>
  <c r="G276" i="3"/>
  <c r="K276" i="3"/>
  <c r="O276" i="3"/>
  <c r="S276" i="3"/>
  <c r="W276" i="3"/>
  <c r="AA276" i="3"/>
  <c r="H276" i="3"/>
  <c r="L276" i="3"/>
  <c r="P276" i="3"/>
  <c r="T276" i="3"/>
  <c r="X276" i="3"/>
  <c r="AB276" i="3"/>
  <c r="I272" i="3"/>
  <c r="M272" i="3"/>
  <c r="Q272" i="3"/>
  <c r="U272" i="3"/>
  <c r="Y272" i="3"/>
  <c r="AC272" i="3"/>
  <c r="F272" i="3"/>
  <c r="J272" i="3"/>
  <c r="N272" i="3"/>
  <c r="R272" i="3"/>
  <c r="V272" i="3"/>
  <c r="Z272" i="3"/>
  <c r="G272" i="3"/>
  <c r="K272" i="3"/>
  <c r="O272" i="3"/>
  <c r="S272" i="3"/>
  <c r="W272" i="3"/>
  <c r="AA272" i="3"/>
  <c r="H272" i="3"/>
  <c r="L272" i="3"/>
  <c r="P272" i="3"/>
  <c r="T272" i="3"/>
  <c r="X272" i="3"/>
  <c r="AB272" i="3"/>
  <c r="I268" i="3"/>
  <c r="M268" i="3"/>
  <c r="Q268" i="3"/>
  <c r="U268" i="3"/>
  <c r="Y268" i="3"/>
  <c r="AC268" i="3"/>
  <c r="F268" i="3"/>
  <c r="J268" i="3"/>
  <c r="N268" i="3"/>
  <c r="R268" i="3"/>
  <c r="V268" i="3"/>
  <c r="Z268" i="3"/>
  <c r="G268" i="3"/>
  <c r="K268" i="3"/>
  <c r="O268" i="3"/>
  <c r="S268" i="3"/>
  <c r="W268" i="3"/>
  <c r="AA268" i="3"/>
  <c r="H268" i="3"/>
  <c r="L268" i="3"/>
  <c r="P268" i="3"/>
  <c r="T268" i="3"/>
  <c r="X268" i="3"/>
  <c r="AB268" i="3"/>
  <c r="I264" i="3"/>
  <c r="M264" i="3"/>
  <c r="Q264" i="3"/>
  <c r="U264" i="3"/>
  <c r="Y264" i="3"/>
  <c r="AC264" i="3"/>
  <c r="F264" i="3"/>
  <c r="J264" i="3"/>
  <c r="N264" i="3"/>
  <c r="R264" i="3"/>
  <c r="V264" i="3"/>
  <c r="Z264" i="3"/>
  <c r="G264" i="3"/>
  <c r="K264" i="3"/>
  <c r="O264" i="3"/>
  <c r="S264" i="3"/>
  <c r="W264" i="3"/>
  <c r="AA264" i="3"/>
  <c r="H264" i="3"/>
  <c r="L264" i="3"/>
  <c r="P264" i="3"/>
  <c r="T264" i="3"/>
  <c r="X264" i="3"/>
  <c r="AB264" i="3"/>
  <c r="I260" i="3"/>
  <c r="M260" i="3"/>
  <c r="Q260" i="3"/>
  <c r="U260" i="3"/>
  <c r="Y260" i="3"/>
  <c r="AC260" i="3"/>
  <c r="F260" i="3"/>
  <c r="J260" i="3"/>
  <c r="N260" i="3"/>
  <c r="R260" i="3"/>
  <c r="V260" i="3"/>
  <c r="Z260" i="3"/>
  <c r="G260" i="3"/>
  <c r="K260" i="3"/>
  <c r="O260" i="3"/>
  <c r="S260" i="3"/>
  <c r="W260" i="3"/>
  <c r="AA260" i="3"/>
  <c r="H260" i="3"/>
  <c r="L260" i="3"/>
  <c r="P260" i="3"/>
  <c r="T260" i="3"/>
  <c r="X260" i="3"/>
  <c r="AB260" i="3"/>
  <c r="I256" i="3"/>
  <c r="M256" i="3"/>
  <c r="Q256" i="3"/>
  <c r="U256" i="3"/>
  <c r="Y256" i="3"/>
  <c r="AC256" i="3"/>
  <c r="F256" i="3"/>
  <c r="J256" i="3"/>
  <c r="N256" i="3"/>
  <c r="R256" i="3"/>
  <c r="V256" i="3"/>
  <c r="Z256" i="3"/>
  <c r="G256" i="3"/>
  <c r="K256" i="3"/>
  <c r="O256" i="3"/>
  <c r="S256" i="3"/>
  <c r="W256" i="3"/>
  <c r="AA256" i="3"/>
  <c r="H256" i="3"/>
  <c r="L256" i="3"/>
  <c r="P256" i="3"/>
  <c r="T256" i="3"/>
  <c r="X256" i="3"/>
  <c r="AB256" i="3"/>
  <c r="I252" i="3"/>
  <c r="M252" i="3"/>
  <c r="Q252" i="3"/>
  <c r="U252" i="3"/>
  <c r="Y252" i="3"/>
  <c r="AC252" i="3"/>
  <c r="F252" i="3"/>
  <c r="J252" i="3"/>
  <c r="N252" i="3"/>
  <c r="R252" i="3"/>
  <c r="V252" i="3"/>
  <c r="Z252" i="3"/>
  <c r="G252" i="3"/>
  <c r="K252" i="3"/>
  <c r="O252" i="3"/>
  <c r="S252" i="3"/>
  <c r="W252" i="3"/>
  <c r="AA252" i="3"/>
  <c r="H252" i="3"/>
  <c r="L252" i="3"/>
  <c r="P252" i="3"/>
  <c r="T252" i="3"/>
  <c r="X252" i="3"/>
  <c r="AB252" i="3"/>
  <c r="I248" i="3"/>
  <c r="M248" i="3"/>
  <c r="Q248" i="3"/>
  <c r="U248" i="3"/>
  <c r="Y248" i="3"/>
  <c r="AC248" i="3"/>
  <c r="F248" i="3"/>
  <c r="J248" i="3"/>
  <c r="N248" i="3"/>
  <c r="R248" i="3"/>
  <c r="V248" i="3"/>
  <c r="Z248" i="3"/>
  <c r="G248" i="3"/>
  <c r="K248" i="3"/>
  <c r="O248" i="3"/>
  <c r="S248" i="3"/>
  <c r="W248" i="3"/>
  <c r="AA248" i="3"/>
  <c r="H248" i="3"/>
  <c r="L248" i="3"/>
  <c r="P248" i="3"/>
  <c r="T248" i="3"/>
  <c r="X248" i="3"/>
  <c r="AB248" i="3"/>
  <c r="I244" i="3"/>
  <c r="M244" i="3"/>
  <c r="Q244" i="3"/>
  <c r="U244" i="3"/>
  <c r="Y244" i="3"/>
  <c r="AC244" i="3"/>
  <c r="F244" i="3"/>
  <c r="J244" i="3"/>
  <c r="N244" i="3"/>
  <c r="R244" i="3"/>
  <c r="V244" i="3"/>
  <c r="Z244" i="3"/>
  <c r="G244" i="3"/>
  <c r="K244" i="3"/>
  <c r="O244" i="3"/>
  <c r="S244" i="3"/>
  <c r="W244" i="3"/>
  <c r="AA244" i="3"/>
  <c r="H244" i="3"/>
  <c r="L244" i="3"/>
  <c r="P244" i="3"/>
  <c r="T244" i="3"/>
  <c r="X244" i="3"/>
  <c r="AB244" i="3"/>
  <c r="I240" i="3"/>
  <c r="M240" i="3"/>
  <c r="Q240" i="3"/>
  <c r="U240" i="3"/>
  <c r="Y240" i="3"/>
  <c r="AC240" i="3"/>
  <c r="F240" i="3"/>
  <c r="J240" i="3"/>
  <c r="N240" i="3"/>
  <c r="R240" i="3"/>
  <c r="V240" i="3"/>
  <c r="Z240" i="3"/>
  <c r="G240" i="3"/>
  <c r="K240" i="3"/>
  <c r="O240" i="3"/>
  <c r="S240" i="3"/>
  <c r="W240" i="3"/>
  <c r="AA240" i="3"/>
  <c r="H240" i="3"/>
  <c r="L240" i="3"/>
  <c r="P240" i="3"/>
  <c r="T240" i="3"/>
  <c r="X240" i="3"/>
  <c r="AB240" i="3"/>
  <c r="I236" i="3"/>
  <c r="M236" i="3"/>
  <c r="Q236" i="3"/>
  <c r="U236" i="3"/>
  <c r="Y236" i="3"/>
  <c r="AC236" i="3"/>
  <c r="F236" i="3"/>
  <c r="J236" i="3"/>
  <c r="N236" i="3"/>
  <c r="R236" i="3"/>
  <c r="V236" i="3"/>
  <c r="Z236" i="3"/>
  <c r="G236" i="3"/>
  <c r="K236" i="3"/>
  <c r="O236" i="3"/>
  <c r="S236" i="3"/>
  <c r="W236" i="3"/>
  <c r="AA236" i="3"/>
  <c r="H236" i="3"/>
  <c r="L236" i="3"/>
  <c r="P236" i="3"/>
  <c r="T236" i="3"/>
  <c r="X236" i="3"/>
  <c r="AB236" i="3"/>
  <c r="F232" i="3"/>
  <c r="J232" i="3"/>
  <c r="N232" i="3"/>
  <c r="R232" i="3"/>
  <c r="V232" i="3"/>
  <c r="Z232" i="3"/>
  <c r="K232" i="3"/>
  <c r="P232" i="3"/>
  <c r="U232" i="3"/>
  <c r="AA232" i="3"/>
  <c r="G232" i="3"/>
  <c r="L232" i="3"/>
  <c r="Q232" i="3"/>
  <c r="W232" i="3"/>
  <c r="AB232" i="3"/>
  <c r="H232" i="3"/>
  <c r="M232" i="3"/>
  <c r="S232" i="3"/>
  <c r="X232" i="3"/>
  <c r="AC232" i="3"/>
  <c r="I232" i="3"/>
  <c r="O232" i="3"/>
  <c r="T232" i="3"/>
  <c r="Y232" i="3"/>
  <c r="F228" i="3"/>
  <c r="J228" i="3"/>
  <c r="N228" i="3"/>
  <c r="R228" i="3"/>
  <c r="V228" i="3"/>
  <c r="Z228" i="3"/>
  <c r="K228" i="3"/>
  <c r="P228" i="3"/>
  <c r="U228" i="3"/>
  <c r="AA228" i="3"/>
  <c r="G228" i="3"/>
  <c r="L228" i="3"/>
  <c r="Q228" i="3"/>
  <c r="W228" i="3"/>
  <c r="AB228" i="3"/>
  <c r="H228" i="3"/>
  <c r="M228" i="3"/>
  <c r="S228" i="3"/>
  <c r="X228" i="3"/>
  <c r="AC228" i="3"/>
  <c r="I228" i="3"/>
  <c r="O228" i="3"/>
  <c r="T228" i="3"/>
  <c r="Y228" i="3"/>
  <c r="F224" i="3"/>
  <c r="J224" i="3"/>
  <c r="N224" i="3"/>
  <c r="R224" i="3"/>
  <c r="V224" i="3"/>
  <c r="Z224" i="3"/>
  <c r="K224" i="3"/>
  <c r="P224" i="3"/>
  <c r="U224" i="3"/>
  <c r="AA224" i="3"/>
  <c r="G224" i="3"/>
  <c r="L224" i="3"/>
  <c r="Q224" i="3"/>
  <c r="W224" i="3"/>
  <c r="AB224" i="3"/>
  <c r="H224" i="3"/>
  <c r="M224" i="3"/>
  <c r="S224" i="3"/>
  <c r="X224" i="3"/>
  <c r="AC224" i="3"/>
  <c r="I224" i="3"/>
  <c r="O224" i="3"/>
  <c r="T224" i="3"/>
  <c r="Y224" i="3"/>
  <c r="F220" i="3"/>
  <c r="J220" i="3"/>
  <c r="N220" i="3"/>
  <c r="R220" i="3"/>
  <c r="V220" i="3"/>
  <c r="Z220" i="3"/>
  <c r="K220" i="3"/>
  <c r="P220" i="3"/>
  <c r="U220" i="3"/>
  <c r="AA220" i="3"/>
  <c r="G220" i="3"/>
  <c r="L220" i="3"/>
  <c r="Q220" i="3"/>
  <c r="W220" i="3"/>
  <c r="AB220" i="3"/>
  <c r="H220" i="3"/>
  <c r="M220" i="3"/>
  <c r="S220" i="3"/>
  <c r="X220" i="3"/>
  <c r="AC220" i="3"/>
  <c r="I220" i="3"/>
  <c r="O220" i="3"/>
  <c r="T220" i="3"/>
  <c r="Y220" i="3"/>
  <c r="F216" i="3"/>
  <c r="J216" i="3"/>
  <c r="N216" i="3"/>
  <c r="R216" i="3"/>
  <c r="V216" i="3"/>
  <c r="Z216" i="3"/>
  <c r="K216" i="3"/>
  <c r="P216" i="3"/>
  <c r="U216" i="3"/>
  <c r="AA216" i="3"/>
  <c r="G216" i="3"/>
  <c r="L216" i="3"/>
  <c r="Q216" i="3"/>
  <c r="W216" i="3"/>
  <c r="AB216" i="3"/>
  <c r="H216" i="3"/>
  <c r="M216" i="3"/>
  <c r="S216" i="3"/>
  <c r="X216" i="3"/>
  <c r="AC216" i="3"/>
  <c r="I216" i="3"/>
  <c r="O216" i="3"/>
  <c r="T216" i="3"/>
  <c r="Y216" i="3"/>
  <c r="F212" i="3"/>
  <c r="J212" i="3"/>
  <c r="N212" i="3"/>
  <c r="R212" i="3"/>
  <c r="V212" i="3"/>
  <c r="Z212" i="3"/>
  <c r="K212" i="3"/>
  <c r="P212" i="3"/>
  <c r="U212" i="3"/>
  <c r="AA212" i="3"/>
  <c r="G212" i="3"/>
  <c r="L212" i="3"/>
  <c r="Q212" i="3"/>
  <c r="W212" i="3"/>
  <c r="AB212" i="3"/>
  <c r="H212" i="3"/>
  <c r="M212" i="3"/>
  <c r="S212" i="3"/>
  <c r="X212" i="3"/>
  <c r="AC212" i="3"/>
  <c r="I212" i="3"/>
  <c r="O212" i="3"/>
  <c r="T212" i="3"/>
  <c r="Y212" i="3"/>
  <c r="F208" i="3"/>
  <c r="J208" i="3"/>
  <c r="N208" i="3"/>
  <c r="R208" i="3"/>
  <c r="V208" i="3"/>
  <c r="Z208" i="3"/>
  <c r="K208" i="3"/>
  <c r="P208" i="3"/>
  <c r="U208" i="3"/>
  <c r="AA208" i="3"/>
  <c r="G208" i="3"/>
  <c r="L208" i="3"/>
  <c r="Q208" i="3"/>
  <c r="W208" i="3"/>
  <c r="AB208" i="3"/>
  <c r="H208" i="3"/>
  <c r="M208" i="3"/>
  <c r="S208" i="3"/>
  <c r="X208" i="3"/>
  <c r="AC208" i="3"/>
  <c r="I208" i="3"/>
  <c r="O208" i="3"/>
  <c r="T208" i="3"/>
  <c r="Y208" i="3"/>
  <c r="I204" i="3"/>
  <c r="M204" i="3"/>
  <c r="Q204" i="3"/>
  <c r="U204" i="3"/>
  <c r="Y204" i="3"/>
  <c r="AC204" i="3"/>
  <c r="F204" i="3"/>
  <c r="J204" i="3"/>
  <c r="N204" i="3"/>
  <c r="R204" i="3"/>
  <c r="V204" i="3"/>
  <c r="Z204" i="3"/>
  <c r="G204" i="3"/>
  <c r="K204" i="3"/>
  <c r="O204" i="3"/>
  <c r="S204" i="3"/>
  <c r="W204" i="3"/>
  <c r="AA204" i="3"/>
  <c r="L204" i="3"/>
  <c r="AB204" i="3"/>
  <c r="P204" i="3"/>
  <c r="T204" i="3"/>
  <c r="H204" i="3"/>
  <c r="X204" i="3"/>
  <c r="I200" i="3"/>
  <c r="M200" i="3"/>
  <c r="Q200" i="3"/>
  <c r="U200" i="3"/>
  <c r="Y200" i="3"/>
  <c r="AC200" i="3"/>
  <c r="F200" i="3"/>
  <c r="J200" i="3"/>
  <c r="N200" i="3"/>
  <c r="R200" i="3"/>
  <c r="V200" i="3"/>
  <c r="Z200" i="3"/>
  <c r="G200" i="3"/>
  <c r="K200" i="3"/>
  <c r="O200" i="3"/>
  <c r="S200" i="3"/>
  <c r="W200" i="3"/>
  <c r="AA200" i="3"/>
  <c r="L200" i="3"/>
  <c r="AB200" i="3"/>
  <c r="P200" i="3"/>
  <c r="T200" i="3"/>
  <c r="H200" i="3"/>
  <c r="X200" i="3"/>
  <c r="I196" i="3"/>
  <c r="M196" i="3"/>
  <c r="Q196" i="3"/>
  <c r="U196" i="3"/>
  <c r="Y196" i="3"/>
  <c r="AC196" i="3"/>
  <c r="F196" i="3"/>
  <c r="J196" i="3"/>
  <c r="N196" i="3"/>
  <c r="R196" i="3"/>
  <c r="V196" i="3"/>
  <c r="Z196" i="3"/>
  <c r="G196" i="3"/>
  <c r="K196" i="3"/>
  <c r="O196" i="3"/>
  <c r="S196" i="3"/>
  <c r="W196" i="3"/>
  <c r="AA196" i="3"/>
  <c r="L196" i="3"/>
  <c r="AB196" i="3"/>
  <c r="P196" i="3"/>
  <c r="T196" i="3"/>
  <c r="H196" i="3"/>
  <c r="X196" i="3"/>
  <c r="I192" i="3"/>
  <c r="M192" i="3"/>
  <c r="Q192" i="3"/>
  <c r="U192" i="3"/>
  <c r="Y192" i="3"/>
  <c r="AC192" i="3"/>
  <c r="F192" i="3"/>
  <c r="J192" i="3"/>
  <c r="N192" i="3"/>
  <c r="R192" i="3"/>
  <c r="V192" i="3"/>
  <c r="Z192" i="3"/>
  <c r="G192" i="3"/>
  <c r="K192" i="3"/>
  <c r="O192" i="3"/>
  <c r="S192" i="3"/>
  <c r="W192" i="3"/>
  <c r="AA192" i="3"/>
  <c r="L192" i="3"/>
  <c r="AB192" i="3"/>
  <c r="P192" i="3"/>
  <c r="T192" i="3"/>
  <c r="H192" i="3"/>
  <c r="X192" i="3"/>
  <c r="I188" i="3"/>
  <c r="M188" i="3"/>
  <c r="Q188" i="3"/>
  <c r="U188" i="3"/>
  <c r="Y188" i="3"/>
  <c r="AC188" i="3"/>
  <c r="F188" i="3"/>
  <c r="J188" i="3"/>
  <c r="N188" i="3"/>
  <c r="R188" i="3"/>
  <c r="V188" i="3"/>
  <c r="Z188" i="3"/>
  <c r="G188" i="3"/>
  <c r="K188" i="3"/>
  <c r="O188" i="3"/>
  <c r="S188" i="3"/>
  <c r="W188" i="3"/>
  <c r="AA188" i="3"/>
  <c r="H188" i="3"/>
  <c r="L188" i="3"/>
  <c r="P188" i="3"/>
  <c r="T188" i="3"/>
  <c r="X188" i="3"/>
  <c r="AB188" i="3"/>
  <c r="I184" i="3"/>
  <c r="M184" i="3"/>
  <c r="Q184" i="3"/>
  <c r="U184" i="3"/>
  <c r="Y184" i="3"/>
  <c r="AC184" i="3"/>
  <c r="F184" i="3"/>
  <c r="J184" i="3"/>
  <c r="N184" i="3"/>
  <c r="R184" i="3"/>
  <c r="V184" i="3"/>
  <c r="Z184" i="3"/>
  <c r="G184" i="3"/>
  <c r="K184" i="3"/>
  <c r="O184" i="3"/>
  <c r="S184" i="3"/>
  <c r="W184" i="3"/>
  <c r="AA184" i="3"/>
  <c r="H184" i="3"/>
  <c r="L184" i="3"/>
  <c r="P184" i="3"/>
  <c r="T184" i="3"/>
  <c r="X184" i="3"/>
  <c r="AB184" i="3"/>
  <c r="I180" i="3"/>
  <c r="M180" i="3"/>
  <c r="Q180" i="3"/>
  <c r="U180" i="3"/>
  <c r="Y180" i="3"/>
  <c r="AC180" i="3"/>
  <c r="F180" i="3"/>
  <c r="J180" i="3"/>
  <c r="N180" i="3"/>
  <c r="R180" i="3"/>
  <c r="V180" i="3"/>
  <c r="Z180" i="3"/>
  <c r="G180" i="3"/>
  <c r="K180" i="3"/>
  <c r="O180" i="3"/>
  <c r="S180" i="3"/>
  <c r="W180" i="3"/>
  <c r="AA180" i="3"/>
  <c r="H180" i="3"/>
  <c r="L180" i="3"/>
  <c r="P180" i="3"/>
  <c r="T180" i="3"/>
  <c r="X180" i="3"/>
  <c r="AB180" i="3"/>
  <c r="I176" i="3"/>
  <c r="M176" i="3"/>
  <c r="Q176" i="3"/>
  <c r="U176" i="3"/>
  <c r="Y176" i="3"/>
  <c r="AC176" i="3"/>
  <c r="F176" i="3"/>
  <c r="J176" i="3"/>
  <c r="N176" i="3"/>
  <c r="R176" i="3"/>
  <c r="V176" i="3"/>
  <c r="Z176" i="3"/>
  <c r="G176" i="3"/>
  <c r="K176" i="3"/>
  <c r="O176" i="3"/>
  <c r="S176" i="3"/>
  <c r="W176" i="3"/>
  <c r="AA176" i="3"/>
  <c r="H176" i="3"/>
  <c r="L176" i="3"/>
  <c r="P176" i="3"/>
  <c r="T176" i="3"/>
  <c r="X176" i="3"/>
  <c r="AB176" i="3"/>
  <c r="I172" i="3"/>
  <c r="M172" i="3"/>
  <c r="Q172" i="3"/>
  <c r="U172" i="3"/>
  <c r="Y172" i="3"/>
  <c r="AC172" i="3"/>
  <c r="F172" i="3"/>
  <c r="J172" i="3"/>
  <c r="N172" i="3"/>
  <c r="R172" i="3"/>
  <c r="V172" i="3"/>
  <c r="Z172" i="3"/>
  <c r="G172" i="3"/>
  <c r="K172" i="3"/>
  <c r="O172" i="3"/>
  <c r="S172" i="3"/>
  <c r="W172" i="3"/>
  <c r="AA172" i="3"/>
  <c r="H172" i="3"/>
  <c r="L172" i="3"/>
  <c r="P172" i="3"/>
  <c r="T172" i="3"/>
  <c r="X172" i="3"/>
  <c r="AB172" i="3"/>
  <c r="I168" i="3"/>
  <c r="M168" i="3"/>
  <c r="Q168" i="3"/>
  <c r="U168" i="3"/>
  <c r="Y168" i="3"/>
  <c r="AC168" i="3"/>
  <c r="F168" i="3"/>
  <c r="J168" i="3"/>
  <c r="N168" i="3"/>
  <c r="R168" i="3"/>
  <c r="V168" i="3"/>
  <c r="Z168" i="3"/>
  <c r="G168" i="3"/>
  <c r="K168" i="3"/>
  <c r="O168" i="3"/>
  <c r="S168" i="3"/>
  <c r="W168" i="3"/>
  <c r="AA168" i="3"/>
  <c r="H168" i="3"/>
  <c r="L168" i="3"/>
  <c r="P168" i="3"/>
  <c r="T168" i="3"/>
  <c r="X168" i="3"/>
  <c r="AB168" i="3"/>
  <c r="I164" i="3"/>
  <c r="M164" i="3"/>
  <c r="Q164" i="3"/>
  <c r="U164" i="3"/>
  <c r="Y164" i="3"/>
  <c r="AC164" i="3"/>
  <c r="F164" i="3"/>
  <c r="J164" i="3"/>
  <c r="N164" i="3"/>
  <c r="R164" i="3"/>
  <c r="V164" i="3"/>
  <c r="Z164" i="3"/>
  <c r="G164" i="3"/>
  <c r="K164" i="3"/>
  <c r="O164" i="3"/>
  <c r="S164" i="3"/>
  <c r="W164" i="3"/>
  <c r="AA164" i="3"/>
  <c r="H164" i="3"/>
  <c r="L164" i="3"/>
  <c r="P164" i="3"/>
  <c r="T164" i="3"/>
  <c r="X164" i="3"/>
  <c r="AB164" i="3"/>
  <c r="I160" i="3"/>
  <c r="M160" i="3"/>
  <c r="Q160" i="3"/>
  <c r="U160" i="3"/>
  <c r="Y160" i="3"/>
  <c r="AC160" i="3"/>
  <c r="H160" i="3"/>
  <c r="N160" i="3"/>
  <c r="S160" i="3"/>
  <c r="X160" i="3"/>
  <c r="J160" i="3"/>
  <c r="O160" i="3"/>
  <c r="T160" i="3"/>
  <c r="Z160" i="3"/>
  <c r="F160" i="3"/>
  <c r="K160" i="3"/>
  <c r="P160" i="3"/>
  <c r="V160" i="3"/>
  <c r="AA160" i="3"/>
  <c r="G160" i="3"/>
  <c r="L160" i="3"/>
  <c r="R160" i="3"/>
  <c r="W160" i="3"/>
  <c r="AB160" i="3"/>
  <c r="I156" i="3"/>
  <c r="M156" i="3"/>
  <c r="Q156" i="3"/>
  <c r="U156" i="3"/>
  <c r="Y156" i="3"/>
  <c r="AC156" i="3"/>
  <c r="H156" i="3"/>
  <c r="N156" i="3"/>
  <c r="S156" i="3"/>
  <c r="X156" i="3"/>
  <c r="J156" i="3"/>
  <c r="O156" i="3"/>
  <c r="T156" i="3"/>
  <c r="Z156" i="3"/>
  <c r="F156" i="3"/>
  <c r="K156" i="3"/>
  <c r="P156" i="3"/>
  <c r="V156" i="3"/>
  <c r="AA156" i="3"/>
  <c r="G156" i="3"/>
  <c r="L156" i="3"/>
  <c r="R156" i="3"/>
  <c r="W156" i="3"/>
  <c r="AB156" i="3"/>
  <c r="I152" i="3"/>
  <c r="M152" i="3"/>
  <c r="Q152" i="3"/>
  <c r="U152" i="3"/>
  <c r="Y152" i="3"/>
  <c r="AC152" i="3"/>
  <c r="H152" i="3"/>
  <c r="N152" i="3"/>
  <c r="S152" i="3"/>
  <c r="X152" i="3"/>
  <c r="J152" i="3"/>
  <c r="O152" i="3"/>
  <c r="T152" i="3"/>
  <c r="Z152" i="3"/>
  <c r="F152" i="3"/>
  <c r="K152" i="3"/>
  <c r="P152" i="3"/>
  <c r="V152" i="3"/>
  <c r="AA152" i="3"/>
  <c r="G152" i="3"/>
  <c r="L152" i="3"/>
  <c r="R152" i="3"/>
  <c r="W152" i="3"/>
  <c r="AB152" i="3"/>
  <c r="I148" i="3"/>
  <c r="M148" i="3"/>
  <c r="Q148" i="3"/>
  <c r="U148" i="3"/>
  <c r="Y148" i="3"/>
  <c r="AC148" i="3"/>
  <c r="H148" i="3"/>
  <c r="N148" i="3"/>
  <c r="S148" i="3"/>
  <c r="X148" i="3"/>
  <c r="J148" i="3"/>
  <c r="O148" i="3"/>
  <c r="T148" i="3"/>
  <c r="Z148" i="3"/>
  <c r="F148" i="3"/>
  <c r="K148" i="3"/>
  <c r="P148" i="3"/>
  <c r="V148" i="3"/>
  <c r="AA148" i="3"/>
  <c r="G148" i="3"/>
  <c r="L148" i="3"/>
  <c r="R148" i="3"/>
  <c r="W148" i="3"/>
  <c r="AB148" i="3"/>
  <c r="I144" i="3"/>
  <c r="M144" i="3"/>
  <c r="Q144" i="3"/>
  <c r="U144" i="3"/>
  <c r="Y144" i="3"/>
  <c r="AC144" i="3"/>
  <c r="H144" i="3"/>
  <c r="N144" i="3"/>
  <c r="S144" i="3"/>
  <c r="X144" i="3"/>
  <c r="J144" i="3"/>
  <c r="O144" i="3"/>
  <c r="T144" i="3"/>
  <c r="Z144" i="3"/>
  <c r="F144" i="3"/>
  <c r="K144" i="3"/>
  <c r="P144" i="3"/>
  <c r="V144" i="3"/>
  <c r="AA144" i="3"/>
  <c r="G144" i="3"/>
  <c r="L144" i="3"/>
  <c r="R144" i="3"/>
  <c r="W144" i="3"/>
  <c r="AB144" i="3"/>
  <c r="I140" i="3"/>
  <c r="M140" i="3"/>
  <c r="Q140" i="3"/>
  <c r="U140" i="3"/>
  <c r="Y140" i="3"/>
  <c r="AC140" i="3"/>
  <c r="H140" i="3"/>
  <c r="N140" i="3"/>
  <c r="S140" i="3"/>
  <c r="X140" i="3"/>
  <c r="J140" i="3"/>
  <c r="O140" i="3"/>
  <c r="T140" i="3"/>
  <c r="Z140" i="3"/>
  <c r="F140" i="3"/>
  <c r="K140" i="3"/>
  <c r="P140" i="3"/>
  <c r="V140" i="3"/>
  <c r="AA140" i="3"/>
  <c r="G140" i="3"/>
  <c r="L140" i="3"/>
  <c r="R140" i="3"/>
  <c r="W140" i="3"/>
  <c r="AB140" i="3"/>
  <c r="I136" i="3"/>
  <c r="M136" i="3"/>
  <c r="Q136" i="3"/>
  <c r="U136" i="3"/>
  <c r="Y136" i="3"/>
  <c r="AC136" i="3"/>
  <c r="F136" i="3"/>
  <c r="J136" i="3"/>
  <c r="N136" i="3"/>
  <c r="R136" i="3"/>
  <c r="V136" i="3"/>
  <c r="Z136" i="3"/>
  <c r="K136" i="3"/>
  <c r="S136" i="3"/>
  <c r="AA136" i="3"/>
  <c r="L136" i="3"/>
  <c r="T136" i="3"/>
  <c r="AB136" i="3"/>
  <c r="G136" i="3"/>
  <c r="O136" i="3"/>
  <c r="W136" i="3"/>
  <c r="H136" i="3"/>
  <c r="P136" i="3"/>
  <c r="X136" i="3"/>
  <c r="I132" i="3"/>
  <c r="M132" i="3"/>
  <c r="Q132" i="3"/>
  <c r="U132" i="3"/>
  <c r="Y132" i="3"/>
  <c r="AC132" i="3"/>
  <c r="F132" i="3"/>
  <c r="J132" i="3"/>
  <c r="N132" i="3"/>
  <c r="R132" i="3"/>
  <c r="V132" i="3"/>
  <c r="Z132" i="3"/>
  <c r="G132" i="3"/>
  <c r="K132" i="3"/>
  <c r="H132" i="3"/>
  <c r="S132" i="3"/>
  <c r="AA132" i="3"/>
  <c r="L132" i="3"/>
  <c r="T132" i="3"/>
  <c r="AB132" i="3"/>
  <c r="O132" i="3"/>
  <c r="W132" i="3"/>
  <c r="P132" i="3"/>
  <c r="X132" i="3"/>
  <c r="I128" i="3"/>
  <c r="M128" i="3"/>
  <c r="Q128" i="3"/>
  <c r="U128" i="3"/>
  <c r="Y128" i="3"/>
  <c r="AC128" i="3"/>
  <c r="F128" i="3"/>
  <c r="J128" i="3"/>
  <c r="N128" i="3"/>
  <c r="R128" i="3"/>
  <c r="V128" i="3"/>
  <c r="Z128" i="3"/>
  <c r="G128" i="3"/>
  <c r="K128" i="3"/>
  <c r="O128" i="3"/>
  <c r="S128" i="3"/>
  <c r="W128" i="3"/>
  <c r="AA128" i="3"/>
  <c r="H128" i="3"/>
  <c r="X128" i="3"/>
  <c r="L128" i="3"/>
  <c r="AB128" i="3"/>
  <c r="P128" i="3"/>
  <c r="T128" i="3"/>
  <c r="I124" i="3"/>
  <c r="M124" i="3"/>
  <c r="Q124" i="3"/>
  <c r="U124" i="3"/>
  <c r="Y124" i="3"/>
  <c r="AC124" i="3"/>
  <c r="F124" i="3"/>
  <c r="J124" i="3"/>
  <c r="N124" i="3"/>
  <c r="R124" i="3"/>
  <c r="V124" i="3"/>
  <c r="Z124" i="3"/>
  <c r="G124" i="3"/>
  <c r="K124" i="3"/>
  <c r="O124" i="3"/>
  <c r="S124" i="3"/>
  <c r="W124" i="3"/>
  <c r="AA124" i="3"/>
  <c r="H124" i="3"/>
  <c r="X124" i="3"/>
  <c r="L124" i="3"/>
  <c r="AB124" i="3"/>
  <c r="P124" i="3"/>
  <c r="T124" i="3"/>
  <c r="I120" i="3"/>
  <c r="M120" i="3"/>
  <c r="Q120" i="3"/>
  <c r="U120" i="3"/>
  <c r="Y120" i="3"/>
  <c r="AC120" i="3"/>
  <c r="F120" i="3"/>
  <c r="J120" i="3"/>
  <c r="N120" i="3"/>
  <c r="R120" i="3"/>
  <c r="V120" i="3"/>
  <c r="Z120" i="3"/>
  <c r="G120" i="3"/>
  <c r="K120" i="3"/>
  <c r="O120" i="3"/>
  <c r="S120" i="3"/>
  <c r="W120" i="3"/>
  <c r="AA120" i="3"/>
  <c r="H120" i="3"/>
  <c r="X120" i="3"/>
  <c r="L120" i="3"/>
  <c r="AB120" i="3"/>
  <c r="P120" i="3"/>
  <c r="T120" i="3"/>
  <c r="I116" i="3"/>
  <c r="M116" i="3"/>
  <c r="Q116" i="3"/>
  <c r="U116" i="3"/>
  <c r="Y116" i="3"/>
  <c r="AC116" i="3"/>
  <c r="F116" i="3"/>
  <c r="J116" i="3"/>
  <c r="N116" i="3"/>
  <c r="R116" i="3"/>
  <c r="V116" i="3"/>
  <c r="Z116" i="3"/>
  <c r="G116" i="3"/>
  <c r="K116" i="3"/>
  <c r="O116" i="3"/>
  <c r="S116" i="3"/>
  <c r="W116" i="3"/>
  <c r="AA116" i="3"/>
  <c r="H116" i="3"/>
  <c r="X116" i="3"/>
  <c r="L116" i="3"/>
  <c r="AB116" i="3"/>
  <c r="P116" i="3"/>
  <c r="T116" i="3"/>
  <c r="I112" i="3"/>
  <c r="M112" i="3"/>
  <c r="Q112" i="3"/>
  <c r="U112" i="3"/>
  <c r="Y112" i="3"/>
  <c r="AC112" i="3"/>
  <c r="F112" i="3"/>
  <c r="J112" i="3"/>
  <c r="N112" i="3"/>
  <c r="R112" i="3"/>
  <c r="V112" i="3"/>
  <c r="Z112" i="3"/>
  <c r="G112" i="3"/>
  <c r="K112" i="3"/>
  <c r="O112" i="3"/>
  <c r="S112" i="3"/>
  <c r="W112" i="3"/>
  <c r="AA112" i="3"/>
  <c r="H112" i="3"/>
  <c r="X112" i="3"/>
  <c r="L112" i="3"/>
  <c r="AB112" i="3"/>
  <c r="P112" i="3"/>
  <c r="T112" i="3"/>
  <c r="I108" i="3"/>
  <c r="M108" i="3"/>
  <c r="Q108" i="3"/>
  <c r="U108" i="3"/>
  <c r="Y108" i="3"/>
  <c r="AC108" i="3"/>
  <c r="F108" i="3"/>
  <c r="J108" i="3"/>
  <c r="N108" i="3"/>
  <c r="R108" i="3"/>
  <c r="V108" i="3"/>
  <c r="Z108" i="3"/>
  <c r="G108" i="3"/>
  <c r="K108" i="3"/>
  <c r="O108" i="3"/>
  <c r="S108" i="3"/>
  <c r="W108" i="3"/>
  <c r="AA108" i="3"/>
  <c r="H108" i="3"/>
  <c r="X108" i="3"/>
  <c r="L108" i="3"/>
  <c r="AB108" i="3"/>
  <c r="P108" i="3"/>
  <c r="T108" i="3"/>
  <c r="I104" i="3"/>
  <c r="M104" i="3"/>
  <c r="Q104" i="3"/>
  <c r="U104" i="3"/>
  <c r="Y104" i="3"/>
  <c r="AC104" i="3"/>
  <c r="F104" i="3"/>
  <c r="J104" i="3"/>
  <c r="N104" i="3"/>
  <c r="R104" i="3"/>
  <c r="V104" i="3"/>
  <c r="Z104" i="3"/>
  <c r="G104" i="3"/>
  <c r="K104" i="3"/>
  <c r="O104" i="3"/>
  <c r="S104" i="3"/>
  <c r="W104" i="3"/>
  <c r="AA104" i="3"/>
  <c r="H104" i="3"/>
  <c r="X104" i="3"/>
  <c r="L104" i="3"/>
  <c r="AB104" i="3"/>
  <c r="P104" i="3"/>
  <c r="T104" i="3"/>
  <c r="I100" i="3"/>
  <c r="M100" i="3"/>
  <c r="Q100" i="3"/>
  <c r="U100" i="3"/>
  <c r="Y100" i="3"/>
  <c r="AC100" i="3"/>
  <c r="F100" i="3"/>
  <c r="J100" i="3"/>
  <c r="N100" i="3"/>
  <c r="R100" i="3"/>
  <c r="V100" i="3"/>
  <c r="Z100" i="3"/>
  <c r="G100" i="3"/>
  <c r="K100" i="3"/>
  <c r="O100" i="3"/>
  <c r="S100" i="3"/>
  <c r="W100" i="3"/>
  <c r="AA100" i="3"/>
  <c r="H100" i="3"/>
  <c r="X100" i="3"/>
  <c r="L100" i="3"/>
  <c r="AB100" i="3"/>
  <c r="P100" i="3"/>
  <c r="T100" i="3"/>
  <c r="I96" i="3"/>
  <c r="M96" i="3"/>
  <c r="Q96" i="3"/>
  <c r="U96" i="3"/>
  <c r="Y96" i="3"/>
  <c r="AC96" i="3"/>
  <c r="F96" i="3"/>
  <c r="J96" i="3"/>
  <c r="N96" i="3"/>
  <c r="R96" i="3"/>
  <c r="V96" i="3"/>
  <c r="Z96" i="3"/>
  <c r="G96" i="3"/>
  <c r="K96" i="3"/>
  <c r="O96" i="3"/>
  <c r="S96" i="3"/>
  <c r="W96" i="3"/>
  <c r="AA96" i="3"/>
  <c r="H96" i="3"/>
  <c r="X96" i="3"/>
  <c r="L96" i="3"/>
  <c r="AB96" i="3"/>
  <c r="P96" i="3"/>
  <c r="T96" i="3"/>
  <c r="I92" i="3"/>
  <c r="M92" i="3"/>
  <c r="Q92" i="3"/>
  <c r="U92" i="3"/>
  <c r="Y92" i="3"/>
  <c r="AC92" i="3"/>
  <c r="F92" i="3"/>
  <c r="J92" i="3"/>
  <c r="N92" i="3"/>
  <c r="R92" i="3"/>
  <c r="V92" i="3"/>
  <c r="Z92" i="3"/>
  <c r="G92" i="3"/>
  <c r="K92" i="3"/>
  <c r="O92" i="3"/>
  <c r="S92" i="3"/>
  <c r="W92" i="3"/>
  <c r="AA92" i="3"/>
  <c r="H92" i="3"/>
  <c r="X92" i="3"/>
  <c r="L92" i="3"/>
  <c r="AB92" i="3"/>
  <c r="P92" i="3"/>
  <c r="T92" i="3"/>
  <c r="I88" i="3"/>
  <c r="M88" i="3"/>
  <c r="Q88" i="3"/>
  <c r="U88" i="3"/>
  <c r="Y88" i="3"/>
  <c r="AC88" i="3"/>
  <c r="F88" i="3"/>
  <c r="J88" i="3"/>
  <c r="N88" i="3"/>
  <c r="R88" i="3"/>
  <c r="V88" i="3"/>
  <c r="Z88" i="3"/>
  <c r="G88" i="3"/>
  <c r="K88" i="3"/>
  <c r="O88" i="3"/>
  <c r="S88" i="3"/>
  <c r="W88" i="3"/>
  <c r="AA88" i="3"/>
  <c r="H88" i="3"/>
  <c r="X88" i="3"/>
  <c r="L88" i="3"/>
  <c r="AB88" i="3"/>
  <c r="P88" i="3"/>
  <c r="T88" i="3"/>
  <c r="I84" i="3"/>
  <c r="M84" i="3"/>
  <c r="Q84" i="3"/>
  <c r="U84" i="3"/>
  <c r="Y84" i="3"/>
  <c r="AC84" i="3"/>
  <c r="H84" i="3"/>
  <c r="N84" i="3"/>
  <c r="S84" i="3"/>
  <c r="X84" i="3"/>
  <c r="J84" i="3"/>
  <c r="O84" i="3"/>
  <c r="T84" i="3"/>
  <c r="Z84" i="3"/>
  <c r="F84" i="3"/>
  <c r="K84" i="3"/>
  <c r="P84" i="3"/>
  <c r="V84" i="3"/>
  <c r="AA84" i="3"/>
  <c r="G84" i="3"/>
  <c r="AB84" i="3"/>
  <c r="L84" i="3"/>
  <c r="R84" i="3"/>
  <c r="W84" i="3"/>
  <c r="I80" i="3"/>
  <c r="M80" i="3"/>
  <c r="Q80" i="3"/>
  <c r="U80" i="3"/>
  <c r="Y80" i="3"/>
  <c r="AC80" i="3"/>
  <c r="H80" i="3"/>
  <c r="N80" i="3"/>
  <c r="S80" i="3"/>
  <c r="X80" i="3"/>
  <c r="J80" i="3"/>
  <c r="O80" i="3"/>
  <c r="T80" i="3"/>
  <c r="Z80" i="3"/>
  <c r="F80" i="3"/>
  <c r="K80" i="3"/>
  <c r="P80" i="3"/>
  <c r="V80" i="3"/>
  <c r="AA80" i="3"/>
  <c r="R80" i="3"/>
  <c r="W80" i="3"/>
  <c r="G80" i="3"/>
  <c r="AB80" i="3"/>
  <c r="L80" i="3"/>
  <c r="I76" i="3"/>
  <c r="M76" i="3"/>
  <c r="Q76" i="3"/>
  <c r="U76" i="3"/>
  <c r="Y76" i="3"/>
  <c r="AC76" i="3"/>
  <c r="H76" i="3"/>
  <c r="N76" i="3"/>
  <c r="S76" i="3"/>
  <c r="X76" i="3"/>
  <c r="J76" i="3"/>
  <c r="O76" i="3"/>
  <c r="T76" i="3"/>
  <c r="Z76" i="3"/>
  <c r="F76" i="3"/>
  <c r="K76" i="3"/>
  <c r="P76" i="3"/>
  <c r="V76" i="3"/>
  <c r="AA76" i="3"/>
  <c r="G76" i="3"/>
  <c r="AB76" i="3"/>
  <c r="L76" i="3"/>
  <c r="R76" i="3"/>
  <c r="W76" i="3"/>
  <c r="I72" i="3"/>
  <c r="M72" i="3"/>
  <c r="Q72" i="3"/>
  <c r="U72" i="3"/>
  <c r="Y72" i="3"/>
  <c r="AC72" i="3"/>
  <c r="H72" i="3"/>
  <c r="N72" i="3"/>
  <c r="S72" i="3"/>
  <c r="X72" i="3"/>
  <c r="J72" i="3"/>
  <c r="O72" i="3"/>
  <c r="T72" i="3"/>
  <c r="Z72" i="3"/>
  <c r="F72" i="3"/>
  <c r="K72" i="3"/>
  <c r="P72" i="3"/>
  <c r="V72" i="3"/>
  <c r="AA72" i="3"/>
  <c r="R72" i="3"/>
  <c r="W72" i="3"/>
  <c r="G72" i="3"/>
  <c r="AB72" i="3"/>
  <c r="L72" i="3"/>
  <c r="I68" i="3"/>
  <c r="M68" i="3"/>
  <c r="Q68" i="3"/>
  <c r="U68" i="3"/>
  <c r="Y68" i="3"/>
  <c r="AC68" i="3"/>
  <c r="H68" i="3"/>
  <c r="N68" i="3"/>
  <c r="S68" i="3"/>
  <c r="X68" i="3"/>
  <c r="J68" i="3"/>
  <c r="O68" i="3"/>
  <c r="T68" i="3"/>
  <c r="Z68" i="3"/>
  <c r="F68" i="3"/>
  <c r="K68" i="3"/>
  <c r="P68" i="3"/>
  <c r="V68" i="3"/>
  <c r="AA68" i="3"/>
  <c r="G68" i="3"/>
  <c r="AB68" i="3"/>
  <c r="L68" i="3"/>
  <c r="R68" i="3"/>
  <c r="W68" i="3"/>
  <c r="I64" i="3"/>
  <c r="M64" i="3"/>
  <c r="Q64" i="3"/>
  <c r="U64" i="3"/>
  <c r="Y64" i="3"/>
  <c r="AC64" i="3"/>
  <c r="H64" i="3"/>
  <c r="N64" i="3"/>
  <c r="S64" i="3"/>
  <c r="X64" i="3"/>
  <c r="J64" i="3"/>
  <c r="O64" i="3"/>
  <c r="T64" i="3"/>
  <c r="Z64" i="3"/>
  <c r="F64" i="3"/>
  <c r="K64" i="3"/>
  <c r="P64" i="3"/>
  <c r="V64" i="3"/>
  <c r="AA64" i="3"/>
  <c r="R64" i="3"/>
  <c r="W64" i="3"/>
  <c r="G64" i="3"/>
  <c r="AB64" i="3"/>
  <c r="L64" i="3"/>
  <c r="I60" i="3"/>
  <c r="M60" i="3"/>
  <c r="Q60" i="3"/>
  <c r="U60" i="3"/>
  <c r="Y60" i="3"/>
  <c r="AC60" i="3"/>
  <c r="H60" i="3"/>
  <c r="N60" i="3"/>
  <c r="S60" i="3"/>
  <c r="X60" i="3"/>
  <c r="J60" i="3"/>
  <c r="O60" i="3"/>
  <c r="T60" i="3"/>
  <c r="Z60" i="3"/>
  <c r="F60" i="3"/>
  <c r="K60" i="3"/>
  <c r="P60" i="3"/>
  <c r="V60" i="3"/>
  <c r="AA60" i="3"/>
  <c r="G60" i="3"/>
  <c r="AB60" i="3"/>
  <c r="L60" i="3"/>
  <c r="R60" i="3"/>
  <c r="W60" i="3"/>
  <c r="I56" i="3"/>
  <c r="M56" i="3"/>
  <c r="Q56" i="3"/>
  <c r="U56" i="3"/>
  <c r="Y56" i="3"/>
  <c r="AC56" i="3"/>
  <c r="H56" i="3"/>
  <c r="N56" i="3"/>
  <c r="S56" i="3"/>
  <c r="X56" i="3"/>
  <c r="J56" i="3"/>
  <c r="O56" i="3"/>
  <c r="T56" i="3"/>
  <c r="Z56" i="3"/>
  <c r="F56" i="3"/>
  <c r="K56" i="3"/>
  <c r="P56" i="3"/>
  <c r="V56" i="3"/>
  <c r="AA56" i="3"/>
  <c r="R56" i="3"/>
  <c r="W56" i="3"/>
  <c r="G56" i="3"/>
  <c r="AB56" i="3"/>
  <c r="L56" i="3"/>
  <c r="G52" i="3"/>
  <c r="K52" i="3"/>
  <c r="O52" i="3"/>
  <c r="S52" i="3"/>
  <c r="W52" i="3"/>
  <c r="AA52" i="3"/>
  <c r="I52" i="3"/>
  <c r="M52" i="3"/>
  <c r="Q52" i="3"/>
  <c r="U52" i="3"/>
  <c r="Y52" i="3"/>
  <c r="AC52" i="3"/>
  <c r="F52" i="3"/>
  <c r="J52" i="3"/>
  <c r="N52" i="3"/>
  <c r="R52" i="3"/>
  <c r="V52" i="3"/>
  <c r="Z52" i="3"/>
  <c r="P52" i="3"/>
  <c r="T52" i="3"/>
  <c r="H52" i="3"/>
  <c r="X52" i="3"/>
  <c r="L52" i="3"/>
  <c r="AB52" i="3"/>
  <c r="G48" i="3"/>
  <c r="K48" i="3"/>
  <c r="O48" i="3"/>
  <c r="S48" i="3"/>
  <c r="W48" i="3"/>
  <c r="AA48" i="3"/>
  <c r="I48" i="3"/>
  <c r="M48" i="3"/>
  <c r="Q48" i="3"/>
  <c r="U48" i="3"/>
  <c r="Y48" i="3"/>
  <c r="AC48" i="3"/>
  <c r="F48" i="3"/>
  <c r="J48" i="3"/>
  <c r="N48" i="3"/>
  <c r="R48" i="3"/>
  <c r="V48" i="3"/>
  <c r="Z48" i="3"/>
  <c r="P48" i="3"/>
  <c r="T48" i="3"/>
  <c r="H48" i="3"/>
  <c r="X48" i="3"/>
  <c r="L48" i="3"/>
  <c r="AB48" i="3"/>
  <c r="G44" i="3"/>
  <c r="K44" i="3"/>
  <c r="O44" i="3"/>
  <c r="S44" i="3"/>
  <c r="W44" i="3"/>
  <c r="AA44" i="3"/>
  <c r="I44" i="3"/>
  <c r="M44" i="3"/>
  <c r="Q44" i="3"/>
  <c r="U44" i="3"/>
  <c r="Y44" i="3"/>
  <c r="AC44" i="3"/>
  <c r="F44" i="3"/>
  <c r="J44" i="3"/>
  <c r="N44" i="3"/>
  <c r="R44" i="3"/>
  <c r="V44" i="3"/>
  <c r="Z44" i="3"/>
  <c r="P44" i="3"/>
  <c r="T44" i="3"/>
  <c r="H44" i="3"/>
  <c r="X44" i="3"/>
  <c r="L44" i="3"/>
  <c r="AB44" i="3"/>
  <c r="G40" i="3"/>
  <c r="K40" i="3"/>
  <c r="O40" i="3"/>
  <c r="S40" i="3"/>
  <c r="W40" i="3"/>
  <c r="AA40" i="3"/>
  <c r="I40" i="3"/>
  <c r="M40" i="3"/>
  <c r="Q40" i="3"/>
  <c r="U40" i="3"/>
  <c r="Y40" i="3"/>
  <c r="AC40" i="3"/>
  <c r="F40" i="3"/>
  <c r="J40" i="3"/>
  <c r="N40" i="3"/>
  <c r="R40" i="3"/>
  <c r="V40" i="3"/>
  <c r="Z40" i="3"/>
  <c r="P40" i="3"/>
  <c r="T40" i="3"/>
  <c r="H40" i="3"/>
  <c r="X40" i="3"/>
  <c r="L40" i="3"/>
  <c r="AB40" i="3"/>
  <c r="G36" i="3"/>
  <c r="K36" i="3"/>
  <c r="O36" i="3"/>
  <c r="S36" i="3"/>
  <c r="W36" i="3"/>
  <c r="AA36" i="3"/>
  <c r="I36" i="3"/>
  <c r="M36" i="3"/>
  <c r="Q36" i="3"/>
  <c r="U36" i="3"/>
  <c r="Y36" i="3"/>
  <c r="AC36" i="3"/>
  <c r="F36" i="3"/>
  <c r="J36" i="3"/>
  <c r="N36" i="3"/>
  <c r="R36" i="3"/>
  <c r="V36" i="3"/>
  <c r="Z36" i="3"/>
  <c r="P36" i="3"/>
  <c r="T36" i="3"/>
  <c r="H36" i="3"/>
  <c r="X36" i="3"/>
  <c r="L36" i="3"/>
  <c r="AB36" i="3"/>
  <c r="G32" i="3"/>
  <c r="K32" i="3"/>
  <c r="O32" i="3"/>
  <c r="S32" i="3"/>
  <c r="W32" i="3"/>
  <c r="AA32" i="3"/>
  <c r="I32" i="3"/>
  <c r="M32" i="3"/>
  <c r="Q32" i="3"/>
  <c r="U32" i="3"/>
  <c r="Y32" i="3"/>
  <c r="AC32" i="3"/>
  <c r="F32" i="3"/>
  <c r="J32" i="3"/>
  <c r="N32" i="3"/>
  <c r="R32" i="3"/>
  <c r="V32" i="3"/>
  <c r="Z32" i="3"/>
  <c r="P32" i="3"/>
  <c r="T32" i="3"/>
  <c r="H32" i="3"/>
  <c r="X32" i="3"/>
  <c r="L32" i="3"/>
  <c r="AB32" i="3"/>
  <c r="AB9" i="3"/>
  <c r="X9" i="3"/>
  <c r="T9" i="3"/>
  <c r="P9" i="3"/>
  <c r="L9" i="3"/>
  <c r="H9" i="3"/>
  <c r="AA373" i="3"/>
  <c r="W373" i="3"/>
  <c r="S373" i="3"/>
  <c r="O373" i="3"/>
  <c r="K373" i="3"/>
  <c r="G373" i="3"/>
  <c r="AA372" i="3"/>
  <c r="W372" i="3"/>
  <c r="S372" i="3"/>
  <c r="O372" i="3"/>
  <c r="K372" i="3"/>
  <c r="G372" i="3"/>
  <c r="AA371" i="3"/>
  <c r="W371" i="3"/>
  <c r="S371" i="3"/>
  <c r="O371" i="3"/>
  <c r="K371" i="3"/>
  <c r="G371" i="3"/>
  <c r="AA370" i="3"/>
  <c r="W370" i="3"/>
  <c r="S370" i="3"/>
  <c r="O370" i="3"/>
  <c r="K370" i="3"/>
  <c r="G370" i="3"/>
  <c r="AA369" i="3"/>
  <c r="W369" i="3"/>
  <c r="S369" i="3"/>
  <c r="O369" i="3"/>
  <c r="K369" i="3"/>
  <c r="G369" i="3"/>
  <c r="AA368" i="3"/>
  <c r="W368" i="3"/>
  <c r="S368" i="3"/>
  <c r="O368" i="3"/>
  <c r="K368" i="3"/>
  <c r="G368" i="3"/>
  <c r="AA367" i="3"/>
  <c r="W367" i="3"/>
  <c r="S367" i="3"/>
  <c r="O367" i="3"/>
  <c r="K367" i="3"/>
  <c r="G367" i="3"/>
  <c r="AA366" i="3"/>
  <c r="W366" i="3"/>
  <c r="S366" i="3"/>
  <c r="O366" i="3"/>
  <c r="K366" i="3"/>
  <c r="G366" i="3"/>
  <c r="AA365" i="3"/>
  <c r="W365" i="3"/>
  <c r="S365" i="3"/>
  <c r="O365" i="3"/>
  <c r="K365" i="3"/>
  <c r="G365" i="3"/>
  <c r="AA364" i="3"/>
  <c r="W364" i="3"/>
  <c r="S364" i="3"/>
  <c r="O364" i="3"/>
  <c r="K364" i="3"/>
  <c r="G364" i="3"/>
  <c r="AA363" i="3"/>
  <c r="W363" i="3"/>
  <c r="S363" i="3"/>
  <c r="O363" i="3"/>
  <c r="K363" i="3"/>
  <c r="G363" i="3"/>
  <c r="AA362" i="3"/>
  <c r="W362" i="3"/>
  <c r="S362" i="3"/>
  <c r="O362" i="3"/>
  <c r="J362" i="3"/>
  <c r="AB361" i="3"/>
  <c r="W361" i="3"/>
  <c r="R361" i="3"/>
  <c r="L361" i="3"/>
  <c r="G361" i="3"/>
  <c r="Z360" i="3"/>
  <c r="T360" i="3"/>
  <c r="O360" i="3"/>
  <c r="J360" i="3"/>
  <c r="AB359" i="3"/>
  <c r="W359" i="3"/>
  <c r="R359" i="3"/>
  <c r="L359" i="3"/>
  <c r="Z358" i="3"/>
  <c r="T358" i="3"/>
  <c r="O358" i="3"/>
  <c r="J358" i="3"/>
  <c r="AA357" i="3"/>
  <c r="S357" i="3"/>
  <c r="AA356" i="3"/>
  <c r="S356" i="3"/>
  <c r="K356" i="3"/>
  <c r="AA355" i="3"/>
  <c r="S355" i="3"/>
  <c r="AA354" i="3"/>
  <c r="S354" i="3"/>
  <c r="K354" i="3"/>
  <c r="AA353" i="3"/>
  <c r="S353" i="3"/>
  <c r="K353" i="3"/>
  <c r="AA352" i="3"/>
  <c r="S352" i="3"/>
  <c r="K352" i="3"/>
  <c r="AA351" i="3"/>
  <c r="X350" i="3"/>
  <c r="H350" i="3"/>
  <c r="X348" i="3"/>
  <c r="X346" i="3"/>
  <c r="H346" i="3"/>
  <c r="P345" i="3"/>
  <c r="X344" i="3"/>
  <c r="H344" i="3"/>
  <c r="X342" i="3"/>
  <c r="H342" i="3"/>
  <c r="P341" i="3"/>
  <c r="X340" i="3"/>
  <c r="H340" i="3"/>
  <c r="X338" i="3"/>
  <c r="H338" i="3"/>
  <c r="X336" i="3"/>
  <c r="H336" i="3"/>
  <c r="X334" i="3"/>
  <c r="H334" i="3"/>
  <c r="P333" i="3"/>
  <c r="X332" i="3"/>
  <c r="H332" i="3"/>
  <c r="X330" i="3"/>
  <c r="H330" i="3"/>
  <c r="P329" i="3"/>
  <c r="X328" i="3"/>
  <c r="H328" i="3"/>
  <c r="X326" i="3"/>
  <c r="H326" i="3"/>
  <c r="X324" i="3"/>
  <c r="H324" i="3"/>
  <c r="G29" i="3"/>
  <c r="K29" i="3"/>
  <c r="O29" i="3"/>
  <c r="S29" i="3"/>
  <c r="W29" i="3"/>
  <c r="AA29" i="3"/>
  <c r="I29" i="3"/>
  <c r="M29" i="3"/>
  <c r="Q29" i="3"/>
  <c r="U29" i="3"/>
  <c r="Y29" i="3"/>
  <c r="AC29" i="3"/>
  <c r="F29" i="3"/>
  <c r="J29" i="3"/>
  <c r="N29" i="3"/>
  <c r="R29" i="3"/>
  <c r="V29" i="3"/>
  <c r="Z29" i="3"/>
  <c r="H29" i="3"/>
  <c r="X29" i="3"/>
  <c r="L29" i="3"/>
  <c r="AB29" i="3"/>
  <c r="P29" i="3"/>
  <c r="T29" i="3"/>
  <c r="G17" i="3"/>
  <c r="K17" i="3"/>
  <c r="O17" i="3"/>
  <c r="S17" i="3"/>
  <c r="W17" i="3"/>
  <c r="AA17" i="3"/>
  <c r="I17" i="3"/>
  <c r="M17" i="3"/>
  <c r="Q17" i="3"/>
  <c r="U17" i="3"/>
  <c r="Y17" i="3"/>
  <c r="AC17" i="3"/>
  <c r="F17" i="3"/>
  <c r="J17" i="3"/>
  <c r="N17" i="3"/>
  <c r="R17" i="3"/>
  <c r="V17" i="3"/>
  <c r="Z17" i="3"/>
  <c r="H17" i="3"/>
  <c r="X17" i="3"/>
  <c r="L17" i="3"/>
  <c r="AB17" i="3"/>
  <c r="P17" i="3"/>
  <c r="T17" i="3"/>
  <c r="I357" i="3"/>
  <c r="M357" i="3"/>
  <c r="Q357" i="3"/>
  <c r="U357" i="3"/>
  <c r="Y357" i="3"/>
  <c r="AC357" i="3"/>
  <c r="F357" i="3"/>
  <c r="J357" i="3"/>
  <c r="N357" i="3"/>
  <c r="R357" i="3"/>
  <c r="V357" i="3"/>
  <c r="Z357" i="3"/>
  <c r="I349" i="3"/>
  <c r="M349" i="3"/>
  <c r="Q349" i="3"/>
  <c r="U349" i="3"/>
  <c r="Y349" i="3"/>
  <c r="AC349" i="3"/>
  <c r="F349" i="3"/>
  <c r="J349" i="3"/>
  <c r="N349" i="3"/>
  <c r="R349" i="3"/>
  <c r="V349" i="3"/>
  <c r="Z349" i="3"/>
  <c r="G349" i="3"/>
  <c r="K349" i="3"/>
  <c r="O349" i="3"/>
  <c r="S349" i="3"/>
  <c r="W349" i="3"/>
  <c r="AA349" i="3"/>
  <c r="I337" i="3"/>
  <c r="M337" i="3"/>
  <c r="Q337" i="3"/>
  <c r="U337" i="3"/>
  <c r="Y337" i="3"/>
  <c r="AC337" i="3"/>
  <c r="F337" i="3"/>
  <c r="J337" i="3"/>
  <c r="N337" i="3"/>
  <c r="R337" i="3"/>
  <c r="V337" i="3"/>
  <c r="Z337" i="3"/>
  <c r="G337" i="3"/>
  <c r="K337" i="3"/>
  <c r="O337" i="3"/>
  <c r="S337" i="3"/>
  <c r="W337" i="3"/>
  <c r="AA337" i="3"/>
  <c r="I325" i="3"/>
  <c r="M325" i="3"/>
  <c r="Q325" i="3"/>
  <c r="U325" i="3"/>
  <c r="Y325" i="3"/>
  <c r="AC325" i="3"/>
  <c r="F325" i="3"/>
  <c r="J325" i="3"/>
  <c r="N325" i="3"/>
  <c r="R325" i="3"/>
  <c r="V325" i="3"/>
  <c r="Z325" i="3"/>
  <c r="G325" i="3"/>
  <c r="K325" i="3"/>
  <c r="O325" i="3"/>
  <c r="S325" i="3"/>
  <c r="W325" i="3"/>
  <c r="AA325" i="3"/>
  <c r="I317" i="3"/>
  <c r="M317" i="3"/>
  <c r="Q317" i="3"/>
  <c r="U317" i="3"/>
  <c r="Y317" i="3"/>
  <c r="AC317" i="3"/>
  <c r="F317" i="3"/>
  <c r="J317" i="3"/>
  <c r="N317" i="3"/>
  <c r="R317" i="3"/>
  <c r="V317" i="3"/>
  <c r="Z317" i="3"/>
  <c r="G317" i="3"/>
  <c r="K317" i="3"/>
  <c r="O317" i="3"/>
  <c r="S317" i="3"/>
  <c r="W317" i="3"/>
  <c r="AA317" i="3"/>
  <c r="H317" i="3"/>
  <c r="L317" i="3"/>
  <c r="P317" i="3"/>
  <c r="T317" i="3"/>
  <c r="X317" i="3"/>
  <c r="AB317" i="3"/>
  <c r="I305" i="3"/>
  <c r="M305" i="3"/>
  <c r="Q305" i="3"/>
  <c r="U305" i="3"/>
  <c r="Y305" i="3"/>
  <c r="AC305" i="3"/>
  <c r="F305" i="3"/>
  <c r="J305" i="3"/>
  <c r="N305" i="3"/>
  <c r="R305" i="3"/>
  <c r="V305" i="3"/>
  <c r="Z305" i="3"/>
  <c r="G305" i="3"/>
  <c r="K305" i="3"/>
  <c r="O305" i="3"/>
  <c r="S305" i="3"/>
  <c r="W305" i="3"/>
  <c r="AA305" i="3"/>
  <c r="H305" i="3"/>
  <c r="L305" i="3"/>
  <c r="P305" i="3"/>
  <c r="T305" i="3"/>
  <c r="X305" i="3"/>
  <c r="AB305" i="3"/>
  <c r="I297" i="3"/>
  <c r="M297" i="3"/>
  <c r="Q297" i="3"/>
  <c r="U297" i="3"/>
  <c r="Y297" i="3"/>
  <c r="AC297" i="3"/>
  <c r="F297" i="3"/>
  <c r="J297" i="3"/>
  <c r="N297" i="3"/>
  <c r="R297" i="3"/>
  <c r="V297" i="3"/>
  <c r="Z297" i="3"/>
  <c r="G297" i="3"/>
  <c r="K297" i="3"/>
  <c r="O297" i="3"/>
  <c r="S297" i="3"/>
  <c r="W297" i="3"/>
  <c r="AA297" i="3"/>
  <c r="H297" i="3"/>
  <c r="L297" i="3"/>
  <c r="P297" i="3"/>
  <c r="T297" i="3"/>
  <c r="X297" i="3"/>
  <c r="AB297" i="3"/>
  <c r="I289" i="3"/>
  <c r="M289" i="3"/>
  <c r="Q289" i="3"/>
  <c r="U289" i="3"/>
  <c r="Y289" i="3"/>
  <c r="AC289" i="3"/>
  <c r="F289" i="3"/>
  <c r="J289" i="3"/>
  <c r="N289" i="3"/>
  <c r="R289" i="3"/>
  <c r="V289" i="3"/>
  <c r="Z289" i="3"/>
  <c r="G289" i="3"/>
  <c r="K289" i="3"/>
  <c r="O289" i="3"/>
  <c r="S289" i="3"/>
  <c r="W289" i="3"/>
  <c r="AA289" i="3"/>
  <c r="H289" i="3"/>
  <c r="L289" i="3"/>
  <c r="P289" i="3"/>
  <c r="T289" i="3"/>
  <c r="X289" i="3"/>
  <c r="AB289" i="3"/>
  <c r="I277" i="3"/>
  <c r="M277" i="3"/>
  <c r="Q277" i="3"/>
  <c r="U277" i="3"/>
  <c r="Y277" i="3"/>
  <c r="AC277" i="3"/>
  <c r="F277" i="3"/>
  <c r="J277" i="3"/>
  <c r="N277" i="3"/>
  <c r="R277" i="3"/>
  <c r="V277" i="3"/>
  <c r="Z277" i="3"/>
  <c r="G277" i="3"/>
  <c r="K277" i="3"/>
  <c r="O277" i="3"/>
  <c r="S277" i="3"/>
  <c r="W277" i="3"/>
  <c r="AA277" i="3"/>
  <c r="H277" i="3"/>
  <c r="L277" i="3"/>
  <c r="P277" i="3"/>
  <c r="T277" i="3"/>
  <c r="X277" i="3"/>
  <c r="AB277" i="3"/>
  <c r="I269" i="3"/>
  <c r="M269" i="3"/>
  <c r="Q269" i="3"/>
  <c r="U269" i="3"/>
  <c r="Y269" i="3"/>
  <c r="AC269" i="3"/>
  <c r="F269" i="3"/>
  <c r="J269" i="3"/>
  <c r="N269" i="3"/>
  <c r="R269" i="3"/>
  <c r="V269" i="3"/>
  <c r="Z269" i="3"/>
  <c r="G269" i="3"/>
  <c r="K269" i="3"/>
  <c r="O269" i="3"/>
  <c r="S269" i="3"/>
  <c r="W269" i="3"/>
  <c r="AA269" i="3"/>
  <c r="H269" i="3"/>
  <c r="L269" i="3"/>
  <c r="P269" i="3"/>
  <c r="T269" i="3"/>
  <c r="X269" i="3"/>
  <c r="AB269" i="3"/>
  <c r="I249" i="3"/>
  <c r="M249" i="3"/>
  <c r="Q249" i="3"/>
  <c r="U249" i="3"/>
  <c r="Y249" i="3"/>
  <c r="AC249" i="3"/>
  <c r="F249" i="3"/>
  <c r="J249" i="3"/>
  <c r="N249" i="3"/>
  <c r="R249" i="3"/>
  <c r="V249" i="3"/>
  <c r="Z249" i="3"/>
  <c r="G249" i="3"/>
  <c r="K249" i="3"/>
  <c r="O249" i="3"/>
  <c r="S249" i="3"/>
  <c r="W249" i="3"/>
  <c r="AA249" i="3"/>
  <c r="H249" i="3"/>
  <c r="L249" i="3"/>
  <c r="P249" i="3"/>
  <c r="T249" i="3"/>
  <c r="X249" i="3"/>
  <c r="AB249" i="3"/>
  <c r="G20" i="3"/>
  <c r="K20" i="3"/>
  <c r="O20" i="3"/>
  <c r="S20" i="3"/>
  <c r="W20" i="3"/>
  <c r="AA20" i="3"/>
  <c r="I20" i="3"/>
  <c r="M20" i="3"/>
  <c r="Q20" i="3"/>
  <c r="U20" i="3"/>
  <c r="Y20" i="3"/>
  <c r="AC20" i="3"/>
  <c r="F20" i="3"/>
  <c r="J20" i="3"/>
  <c r="N20" i="3"/>
  <c r="R20" i="3"/>
  <c r="V20" i="3"/>
  <c r="Z20" i="3"/>
  <c r="P20" i="3"/>
  <c r="T20" i="3"/>
  <c r="H20" i="3"/>
  <c r="X20" i="3"/>
  <c r="L20" i="3"/>
  <c r="AB20" i="3"/>
  <c r="I348" i="3"/>
  <c r="M348" i="3"/>
  <c r="Q348" i="3"/>
  <c r="U348" i="3"/>
  <c r="Y348" i="3"/>
  <c r="AC348" i="3"/>
  <c r="F348" i="3"/>
  <c r="J348" i="3"/>
  <c r="N348" i="3"/>
  <c r="R348" i="3"/>
  <c r="V348" i="3"/>
  <c r="Z348" i="3"/>
  <c r="G348" i="3"/>
  <c r="K348" i="3"/>
  <c r="O348" i="3"/>
  <c r="S348" i="3"/>
  <c r="W348" i="3"/>
  <c r="AA348" i="3"/>
  <c r="G27" i="3"/>
  <c r="K27" i="3"/>
  <c r="O27" i="3"/>
  <c r="S27" i="3"/>
  <c r="W27" i="3"/>
  <c r="AA27" i="3"/>
  <c r="I27" i="3"/>
  <c r="M27" i="3"/>
  <c r="Q27" i="3"/>
  <c r="U27" i="3"/>
  <c r="Y27" i="3"/>
  <c r="AC27" i="3"/>
  <c r="F27" i="3"/>
  <c r="J27" i="3"/>
  <c r="N27" i="3"/>
  <c r="R27" i="3"/>
  <c r="V27" i="3"/>
  <c r="Z27" i="3"/>
  <c r="H27" i="3"/>
  <c r="X27" i="3"/>
  <c r="L27" i="3"/>
  <c r="AB27" i="3"/>
  <c r="P27" i="3"/>
  <c r="T27" i="3"/>
  <c r="G23" i="3"/>
  <c r="K23" i="3"/>
  <c r="O23" i="3"/>
  <c r="S23" i="3"/>
  <c r="W23" i="3"/>
  <c r="AA23" i="3"/>
  <c r="I23" i="3"/>
  <c r="M23" i="3"/>
  <c r="Q23" i="3"/>
  <c r="U23" i="3"/>
  <c r="Y23" i="3"/>
  <c r="AC23" i="3"/>
  <c r="F23" i="3"/>
  <c r="J23" i="3"/>
  <c r="N23" i="3"/>
  <c r="R23" i="3"/>
  <c r="V23" i="3"/>
  <c r="Z23" i="3"/>
  <c r="H23" i="3"/>
  <c r="X23" i="3"/>
  <c r="L23" i="3"/>
  <c r="AB23" i="3"/>
  <c r="P23" i="3"/>
  <c r="T23" i="3"/>
  <c r="G19" i="3"/>
  <c r="K19" i="3"/>
  <c r="O19" i="3"/>
  <c r="S19" i="3"/>
  <c r="W19" i="3"/>
  <c r="AA19" i="3"/>
  <c r="I19" i="3"/>
  <c r="M19" i="3"/>
  <c r="Q19" i="3"/>
  <c r="U19" i="3"/>
  <c r="Y19" i="3"/>
  <c r="AC19" i="3"/>
  <c r="F19" i="3"/>
  <c r="J19" i="3"/>
  <c r="N19" i="3"/>
  <c r="R19" i="3"/>
  <c r="V19" i="3"/>
  <c r="Z19" i="3"/>
  <c r="H19" i="3"/>
  <c r="X19" i="3"/>
  <c r="L19" i="3"/>
  <c r="AB19" i="3"/>
  <c r="P19" i="3"/>
  <c r="T19" i="3"/>
  <c r="G15" i="3"/>
  <c r="K15" i="3"/>
  <c r="O15" i="3"/>
  <c r="S15" i="3"/>
  <c r="W15" i="3"/>
  <c r="AA15" i="3"/>
  <c r="I15" i="3"/>
  <c r="M15" i="3"/>
  <c r="Q15" i="3"/>
  <c r="U15" i="3"/>
  <c r="Y15" i="3"/>
  <c r="AC15" i="3"/>
  <c r="F15" i="3"/>
  <c r="J15" i="3"/>
  <c r="N15" i="3"/>
  <c r="R15" i="3"/>
  <c r="V15" i="3"/>
  <c r="Z15" i="3"/>
  <c r="H15" i="3"/>
  <c r="X15" i="3"/>
  <c r="L15" i="3"/>
  <c r="AB15" i="3"/>
  <c r="P15" i="3"/>
  <c r="T15" i="3"/>
  <c r="G11" i="3"/>
  <c r="K11" i="3"/>
  <c r="O11" i="3"/>
  <c r="S11" i="3"/>
  <c r="W11" i="3"/>
  <c r="AA11" i="3"/>
  <c r="I11" i="3"/>
  <c r="M11" i="3"/>
  <c r="Q11" i="3"/>
  <c r="U11" i="3"/>
  <c r="Y11" i="3"/>
  <c r="AC11" i="3"/>
  <c r="F11" i="3"/>
  <c r="J11" i="3"/>
  <c r="N11" i="3"/>
  <c r="R11" i="3"/>
  <c r="V11" i="3"/>
  <c r="Z11" i="3"/>
  <c r="H11" i="3"/>
  <c r="X11" i="3"/>
  <c r="L11" i="3"/>
  <c r="AB11" i="3"/>
  <c r="P11" i="3"/>
  <c r="T11" i="3"/>
  <c r="I359" i="3"/>
  <c r="M359" i="3"/>
  <c r="Q359" i="3"/>
  <c r="U359" i="3"/>
  <c r="Y359" i="3"/>
  <c r="AC359" i="3"/>
  <c r="I355" i="3"/>
  <c r="M355" i="3"/>
  <c r="Q355" i="3"/>
  <c r="U355" i="3"/>
  <c r="Y355" i="3"/>
  <c r="AC355" i="3"/>
  <c r="F355" i="3"/>
  <c r="J355" i="3"/>
  <c r="N355" i="3"/>
  <c r="R355" i="3"/>
  <c r="V355" i="3"/>
  <c r="Z355" i="3"/>
  <c r="I351" i="3"/>
  <c r="M351" i="3"/>
  <c r="Q351" i="3"/>
  <c r="U351" i="3"/>
  <c r="Y351" i="3"/>
  <c r="AC351" i="3"/>
  <c r="F351" i="3"/>
  <c r="J351" i="3"/>
  <c r="N351" i="3"/>
  <c r="R351" i="3"/>
  <c r="V351" i="3"/>
  <c r="Z351" i="3"/>
  <c r="G351" i="3"/>
  <c r="K351" i="3"/>
  <c r="O351" i="3"/>
  <c r="S351" i="3"/>
  <c r="I347" i="3"/>
  <c r="M347" i="3"/>
  <c r="Q347" i="3"/>
  <c r="U347" i="3"/>
  <c r="Y347" i="3"/>
  <c r="AC347" i="3"/>
  <c r="F347" i="3"/>
  <c r="J347" i="3"/>
  <c r="N347" i="3"/>
  <c r="R347" i="3"/>
  <c r="V347" i="3"/>
  <c r="Z347" i="3"/>
  <c r="G347" i="3"/>
  <c r="K347" i="3"/>
  <c r="O347" i="3"/>
  <c r="S347" i="3"/>
  <c r="W347" i="3"/>
  <c r="AA347" i="3"/>
  <c r="I343" i="3"/>
  <c r="M343" i="3"/>
  <c r="Q343" i="3"/>
  <c r="U343" i="3"/>
  <c r="Y343" i="3"/>
  <c r="AC343" i="3"/>
  <c r="F343" i="3"/>
  <c r="J343" i="3"/>
  <c r="N343" i="3"/>
  <c r="R343" i="3"/>
  <c r="V343" i="3"/>
  <c r="Z343" i="3"/>
  <c r="G343" i="3"/>
  <c r="K343" i="3"/>
  <c r="O343" i="3"/>
  <c r="S343" i="3"/>
  <c r="W343" i="3"/>
  <c r="AA343" i="3"/>
  <c r="I339" i="3"/>
  <c r="M339" i="3"/>
  <c r="Q339" i="3"/>
  <c r="U339" i="3"/>
  <c r="Y339" i="3"/>
  <c r="AC339" i="3"/>
  <c r="F339" i="3"/>
  <c r="J339" i="3"/>
  <c r="N339" i="3"/>
  <c r="R339" i="3"/>
  <c r="V339" i="3"/>
  <c r="Z339" i="3"/>
  <c r="G339" i="3"/>
  <c r="K339" i="3"/>
  <c r="O339" i="3"/>
  <c r="S339" i="3"/>
  <c r="W339" i="3"/>
  <c r="AA339" i="3"/>
  <c r="I335" i="3"/>
  <c r="M335" i="3"/>
  <c r="Q335" i="3"/>
  <c r="U335" i="3"/>
  <c r="Y335" i="3"/>
  <c r="AC335" i="3"/>
  <c r="F335" i="3"/>
  <c r="J335" i="3"/>
  <c r="N335" i="3"/>
  <c r="R335" i="3"/>
  <c r="V335" i="3"/>
  <c r="Z335" i="3"/>
  <c r="G335" i="3"/>
  <c r="K335" i="3"/>
  <c r="O335" i="3"/>
  <c r="S335" i="3"/>
  <c r="W335" i="3"/>
  <c r="AA335" i="3"/>
  <c r="I331" i="3"/>
  <c r="M331" i="3"/>
  <c r="Q331" i="3"/>
  <c r="U331" i="3"/>
  <c r="Y331" i="3"/>
  <c r="AC331" i="3"/>
  <c r="F331" i="3"/>
  <c r="J331" i="3"/>
  <c r="N331" i="3"/>
  <c r="R331" i="3"/>
  <c r="V331" i="3"/>
  <c r="Z331" i="3"/>
  <c r="G331" i="3"/>
  <c r="K331" i="3"/>
  <c r="O331" i="3"/>
  <c r="S331" i="3"/>
  <c r="W331" i="3"/>
  <c r="AA331" i="3"/>
  <c r="I327" i="3"/>
  <c r="M327" i="3"/>
  <c r="Q327" i="3"/>
  <c r="U327" i="3"/>
  <c r="Y327" i="3"/>
  <c r="AC327" i="3"/>
  <c r="F327" i="3"/>
  <c r="J327" i="3"/>
  <c r="N327" i="3"/>
  <c r="R327" i="3"/>
  <c r="V327" i="3"/>
  <c r="Z327" i="3"/>
  <c r="G327" i="3"/>
  <c r="K327" i="3"/>
  <c r="O327" i="3"/>
  <c r="S327" i="3"/>
  <c r="W327" i="3"/>
  <c r="AA327" i="3"/>
  <c r="I323" i="3"/>
  <c r="M323" i="3"/>
  <c r="Q323" i="3"/>
  <c r="U323" i="3"/>
  <c r="Y323" i="3"/>
  <c r="AC323" i="3"/>
  <c r="F323" i="3"/>
  <c r="J323" i="3"/>
  <c r="N323" i="3"/>
  <c r="R323" i="3"/>
  <c r="V323" i="3"/>
  <c r="Z323" i="3"/>
  <c r="G323" i="3"/>
  <c r="K323" i="3"/>
  <c r="O323" i="3"/>
  <c r="S323" i="3"/>
  <c r="W323" i="3"/>
  <c r="AA323" i="3"/>
  <c r="I319" i="3"/>
  <c r="M319" i="3"/>
  <c r="Q319" i="3"/>
  <c r="U319" i="3"/>
  <c r="Y319" i="3"/>
  <c r="AC319" i="3"/>
  <c r="F319" i="3"/>
  <c r="J319" i="3"/>
  <c r="N319" i="3"/>
  <c r="R319" i="3"/>
  <c r="V319" i="3"/>
  <c r="Z319" i="3"/>
  <c r="G319" i="3"/>
  <c r="K319" i="3"/>
  <c r="O319" i="3"/>
  <c r="S319" i="3"/>
  <c r="W319" i="3"/>
  <c r="AA319" i="3"/>
  <c r="H319" i="3"/>
  <c r="L319" i="3"/>
  <c r="P319" i="3"/>
  <c r="T319" i="3"/>
  <c r="X319" i="3"/>
  <c r="AB319" i="3"/>
  <c r="I315" i="3"/>
  <c r="M315" i="3"/>
  <c r="Q315" i="3"/>
  <c r="U315" i="3"/>
  <c r="Y315" i="3"/>
  <c r="AC315" i="3"/>
  <c r="F315" i="3"/>
  <c r="J315" i="3"/>
  <c r="N315" i="3"/>
  <c r="R315" i="3"/>
  <c r="V315" i="3"/>
  <c r="Z315" i="3"/>
  <c r="G315" i="3"/>
  <c r="K315" i="3"/>
  <c r="O315" i="3"/>
  <c r="S315" i="3"/>
  <c r="W315" i="3"/>
  <c r="AA315" i="3"/>
  <c r="H315" i="3"/>
  <c r="L315" i="3"/>
  <c r="P315" i="3"/>
  <c r="T315" i="3"/>
  <c r="X315" i="3"/>
  <c r="AB315" i="3"/>
  <c r="I311" i="3"/>
  <c r="M311" i="3"/>
  <c r="Q311" i="3"/>
  <c r="U311" i="3"/>
  <c r="Y311" i="3"/>
  <c r="AC311" i="3"/>
  <c r="F311" i="3"/>
  <c r="J311" i="3"/>
  <c r="N311" i="3"/>
  <c r="R311" i="3"/>
  <c r="V311" i="3"/>
  <c r="Z311" i="3"/>
  <c r="G311" i="3"/>
  <c r="K311" i="3"/>
  <c r="O311" i="3"/>
  <c r="S311" i="3"/>
  <c r="W311" i="3"/>
  <c r="AA311" i="3"/>
  <c r="H311" i="3"/>
  <c r="L311" i="3"/>
  <c r="P311" i="3"/>
  <c r="T311" i="3"/>
  <c r="X311" i="3"/>
  <c r="AB311" i="3"/>
  <c r="I307" i="3"/>
  <c r="M307" i="3"/>
  <c r="Q307" i="3"/>
  <c r="U307" i="3"/>
  <c r="Y307" i="3"/>
  <c r="AC307" i="3"/>
  <c r="F307" i="3"/>
  <c r="J307" i="3"/>
  <c r="N307" i="3"/>
  <c r="R307" i="3"/>
  <c r="V307" i="3"/>
  <c r="Z307" i="3"/>
  <c r="G307" i="3"/>
  <c r="K307" i="3"/>
  <c r="O307" i="3"/>
  <c r="S307" i="3"/>
  <c r="W307" i="3"/>
  <c r="AA307" i="3"/>
  <c r="H307" i="3"/>
  <c r="L307" i="3"/>
  <c r="P307" i="3"/>
  <c r="T307" i="3"/>
  <c r="X307" i="3"/>
  <c r="AB307" i="3"/>
  <c r="I303" i="3"/>
  <c r="M303" i="3"/>
  <c r="Q303" i="3"/>
  <c r="U303" i="3"/>
  <c r="Y303" i="3"/>
  <c r="AC303" i="3"/>
  <c r="F303" i="3"/>
  <c r="J303" i="3"/>
  <c r="N303" i="3"/>
  <c r="R303" i="3"/>
  <c r="V303" i="3"/>
  <c r="Z303" i="3"/>
  <c r="G303" i="3"/>
  <c r="K303" i="3"/>
  <c r="O303" i="3"/>
  <c r="S303" i="3"/>
  <c r="W303" i="3"/>
  <c r="AA303" i="3"/>
  <c r="H303" i="3"/>
  <c r="L303" i="3"/>
  <c r="P303" i="3"/>
  <c r="T303" i="3"/>
  <c r="X303" i="3"/>
  <c r="AB303" i="3"/>
  <c r="I299" i="3"/>
  <c r="M299" i="3"/>
  <c r="Q299" i="3"/>
  <c r="U299" i="3"/>
  <c r="Y299" i="3"/>
  <c r="AC299" i="3"/>
  <c r="F299" i="3"/>
  <c r="J299" i="3"/>
  <c r="N299" i="3"/>
  <c r="R299" i="3"/>
  <c r="V299" i="3"/>
  <c r="Z299" i="3"/>
  <c r="G299" i="3"/>
  <c r="K299" i="3"/>
  <c r="O299" i="3"/>
  <c r="S299" i="3"/>
  <c r="W299" i="3"/>
  <c r="AA299" i="3"/>
  <c r="H299" i="3"/>
  <c r="L299" i="3"/>
  <c r="P299" i="3"/>
  <c r="T299" i="3"/>
  <c r="X299" i="3"/>
  <c r="AB299" i="3"/>
  <c r="I295" i="3"/>
  <c r="M295" i="3"/>
  <c r="Q295" i="3"/>
  <c r="U295" i="3"/>
  <c r="Y295" i="3"/>
  <c r="AC295" i="3"/>
  <c r="F295" i="3"/>
  <c r="J295" i="3"/>
  <c r="N295" i="3"/>
  <c r="R295" i="3"/>
  <c r="V295" i="3"/>
  <c r="Z295" i="3"/>
  <c r="G295" i="3"/>
  <c r="K295" i="3"/>
  <c r="O295" i="3"/>
  <c r="S295" i="3"/>
  <c r="W295" i="3"/>
  <c r="AA295" i="3"/>
  <c r="H295" i="3"/>
  <c r="L295" i="3"/>
  <c r="P295" i="3"/>
  <c r="T295" i="3"/>
  <c r="X295" i="3"/>
  <c r="AB295" i="3"/>
  <c r="I291" i="3"/>
  <c r="M291" i="3"/>
  <c r="Q291" i="3"/>
  <c r="U291" i="3"/>
  <c r="Y291" i="3"/>
  <c r="AC291" i="3"/>
  <c r="F291" i="3"/>
  <c r="J291" i="3"/>
  <c r="N291" i="3"/>
  <c r="R291" i="3"/>
  <c r="V291" i="3"/>
  <c r="Z291" i="3"/>
  <c r="G291" i="3"/>
  <c r="K291" i="3"/>
  <c r="O291" i="3"/>
  <c r="S291" i="3"/>
  <c r="W291" i="3"/>
  <c r="AA291" i="3"/>
  <c r="H291" i="3"/>
  <c r="L291" i="3"/>
  <c r="P291" i="3"/>
  <c r="T291" i="3"/>
  <c r="X291" i="3"/>
  <c r="AB291" i="3"/>
  <c r="I287" i="3"/>
  <c r="M287" i="3"/>
  <c r="Q287" i="3"/>
  <c r="U287" i="3"/>
  <c r="Y287" i="3"/>
  <c r="AC287" i="3"/>
  <c r="F287" i="3"/>
  <c r="J287" i="3"/>
  <c r="N287" i="3"/>
  <c r="R287" i="3"/>
  <c r="V287" i="3"/>
  <c r="Z287" i="3"/>
  <c r="G287" i="3"/>
  <c r="K287" i="3"/>
  <c r="O287" i="3"/>
  <c r="S287" i="3"/>
  <c r="W287" i="3"/>
  <c r="AA287" i="3"/>
  <c r="H287" i="3"/>
  <c r="L287" i="3"/>
  <c r="P287" i="3"/>
  <c r="T287" i="3"/>
  <c r="X287" i="3"/>
  <c r="AB287" i="3"/>
  <c r="I283" i="3"/>
  <c r="M283" i="3"/>
  <c r="Q283" i="3"/>
  <c r="U283" i="3"/>
  <c r="Y283" i="3"/>
  <c r="AC283" i="3"/>
  <c r="F283" i="3"/>
  <c r="J283" i="3"/>
  <c r="N283" i="3"/>
  <c r="R283" i="3"/>
  <c r="V283" i="3"/>
  <c r="Z283" i="3"/>
  <c r="G283" i="3"/>
  <c r="K283" i="3"/>
  <c r="O283" i="3"/>
  <c r="S283" i="3"/>
  <c r="W283" i="3"/>
  <c r="AA283" i="3"/>
  <c r="H283" i="3"/>
  <c r="L283" i="3"/>
  <c r="P283" i="3"/>
  <c r="T283" i="3"/>
  <c r="X283" i="3"/>
  <c r="AB283" i="3"/>
  <c r="I279" i="3"/>
  <c r="M279" i="3"/>
  <c r="Q279" i="3"/>
  <c r="U279" i="3"/>
  <c r="Y279" i="3"/>
  <c r="AC279" i="3"/>
  <c r="F279" i="3"/>
  <c r="J279" i="3"/>
  <c r="N279" i="3"/>
  <c r="R279" i="3"/>
  <c r="V279" i="3"/>
  <c r="Z279" i="3"/>
  <c r="G279" i="3"/>
  <c r="K279" i="3"/>
  <c r="O279" i="3"/>
  <c r="S279" i="3"/>
  <c r="W279" i="3"/>
  <c r="AA279" i="3"/>
  <c r="H279" i="3"/>
  <c r="L279" i="3"/>
  <c r="P279" i="3"/>
  <c r="T279" i="3"/>
  <c r="X279" i="3"/>
  <c r="AB279" i="3"/>
  <c r="I275" i="3"/>
  <c r="M275" i="3"/>
  <c r="Q275" i="3"/>
  <c r="U275" i="3"/>
  <c r="Y275" i="3"/>
  <c r="AC275" i="3"/>
  <c r="F275" i="3"/>
  <c r="J275" i="3"/>
  <c r="N275" i="3"/>
  <c r="R275" i="3"/>
  <c r="V275" i="3"/>
  <c r="Z275" i="3"/>
  <c r="G275" i="3"/>
  <c r="K275" i="3"/>
  <c r="O275" i="3"/>
  <c r="S275" i="3"/>
  <c r="W275" i="3"/>
  <c r="AA275" i="3"/>
  <c r="H275" i="3"/>
  <c r="L275" i="3"/>
  <c r="P275" i="3"/>
  <c r="T275" i="3"/>
  <c r="X275" i="3"/>
  <c r="AB275" i="3"/>
  <c r="I271" i="3"/>
  <c r="M271" i="3"/>
  <c r="Q271" i="3"/>
  <c r="U271" i="3"/>
  <c r="Y271" i="3"/>
  <c r="AC271" i="3"/>
  <c r="F271" i="3"/>
  <c r="J271" i="3"/>
  <c r="N271" i="3"/>
  <c r="R271" i="3"/>
  <c r="V271" i="3"/>
  <c r="Z271" i="3"/>
  <c r="G271" i="3"/>
  <c r="K271" i="3"/>
  <c r="O271" i="3"/>
  <c r="S271" i="3"/>
  <c r="W271" i="3"/>
  <c r="AA271" i="3"/>
  <c r="H271" i="3"/>
  <c r="L271" i="3"/>
  <c r="P271" i="3"/>
  <c r="T271" i="3"/>
  <c r="X271" i="3"/>
  <c r="AB271" i="3"/>
  <c r="I267" i="3"/>
  <c r="M267" i="3"/>
  <c r="Q267" i="3"/>
  <c r="U267" i="3"/>
  <c r="Y267" i="3"/>
  <c r="AC267" i="3"/>
  <c r="F267" i="3"/>
  <c r="J267" i="3"/>
  <c r="N267" i="3"/>
  <c r="R267" i="3"/>
  <c r="V267" i="3"/>
  <c r="Z267" i="3"/>
  <c r="G267" i="3"/>
  <c r="K267" i="3"/>
  <c r="O267" i="3"/>
  <c r="S267" i="3"/>
  <c r="W267" i="3"/>
  <c r="AA267" i="3"/>
  <c r="H267" i="3"/>
  <c r="L267" i="3"/>
  <c r="P267" i="3"/>
  <c r="T267" i="3"/>
  <c r="X267" i="3"/>
  <c r="AB267" i="3"/>
  <c r="I263" i="3"/>
  <c r="M263" i="3"/>
  <c r="Q263" i="3"/>
  <c r="U263" i="3"/>
  <c r="Y263" i="3"/>
  <c r="AC263" i="3"/>
  <c r="F263" i="3"/>
  <c r="J263" i="3"/>
  <c r="N263" i="3"/>
  <c r="R263" i="3"/>
  <c r="V263" i="3"/>
  <c r="Z263" i="3"/>
  <c r="G263" i="3"/>
  <c r="K263" i="3"/>
  <c r="O263" i="3"/>
  <c r="S263" i="3"/>
  <c r="W263" i="3"/>
  <c r="AA263" i="3"/>
  <c r="H263" i="3"/>
  <c r="L263" i="3"/>
  <c r="P263" i="3"/>
  <c r="T263" i="3"/>
  <c r="X263" i="3"/>
  <c r="AB263" i="3"/>
  <c r="I259" i="3"/>
  <c r="M259" i="3"/>
  <c r="Q259" i="3"/>
  <c r="U259" i="3"/>
  <c r="Y259" i="3"/>
  <c r="AC259" i="3"/>
  <c r="F259" i="3"/>
  <c r="J259" i="3"/>
  <c r="N259" i="3"/>
  <c r="R259" i="3"/>
  <c r="V259" i="3"/>
  <c r="Z259" i="3"/>
  <c r="G259" i="3"/>
  <c r="K259" i="3"/>
  <c r="O259" i="3"/>
  <c r="S259" i="3"/>
  <c r="W259" i="3"/>
  <c r="AA259" i="3"/>
  <c r="H259" i="3"/>
  <c r="L259" i="3"/>
  <c r="P259" i="3"/>
  <c r="T259" i="3"/>
  <c r="X259" i="3"/>
  <c r="AB259" i="3"/>
  <c r="I255" i="3"/>
  <c r="M255" i="3"/>
  <c r="Q255" i="3"/>
  <c r="U255" i="3"/>
  <c r="Y255" i="3"/>
  <c r="AC255" i="3"/>
  <c r="F255" i="3"/>
  <c r="J255" i="3"/>
  <c r="N255" i="3"/>
  <c r="R255" i="3"/>
  <c r="V255" i="3"/>
  <c r="Z255" i="3"/>
  <c r="G255" i="3"/>
  <c r="K255" i="3"/>
  <c r="O255" i="3"/>
  <c r="S255" i="3"/>
  <c r="W255" i="3"/>
  <c r="AA255" i="3"/>
  <c r="H255" i="3"/>
  <c r="L255" i="3"/>
  <c r="P255" i="3"/>
  <c r="T255" i="3"/>
  <c r="X255" i="3"/>
  <c r="AB255" i="3"/>
  <c r="I251" i="3"/>
  <c r="M251" i="3"/>
  <c r="Q251" i="3"/>
  <c r="U251" i="3"/>
  <c r="Y251" i="3"/>
  <c r="AC251" i="3"/>
  <c r="F251" i="3"/>
  <c r="J251" i="3"/>
  <c r="N251" i="3"/>
  <c r="R251" i="3"/>
  <c r="V251" i="3"/>
  <c r="Z251" i="3"/>
  <c r="G251" i="3"/>
  <c r="K251" i="3"/>
  <c r="O251" i="3"/>
  <c r="S251" i="3"/>
  <c r="W251" i="3"/>
  <c r="AA251" i="3"/>
  <c r="H251" i="3"/>
  <c r="L251" i="3"/>
  <c r="P251" i="3"/>
  <c r="T251" i="3"/>
  <c r="X251" i="3"/>
  <c r="AB251" i="3"/>
  <c r="I247" i="3"/>
  <c r="M247" i="3"/>
  <c r="Q247" i="3"/>
  <c r="U247" i="3"/>
  <c r="Y247" i="3"/>
  <c r="AC247" i="3"/>
  <c r="F247" i="3"/>
  <c r="J247" i="3"/>
  <c r="N247" i="3"/>
  <c r="R247" i="3"/>
  <c r="V247" i="3"/>
  <c r="Z247" i="3"/>
  <c r="G247" i="3"/>
  <c r="K247" i="3"/>
  <c r="O247" i="3"/>
  <c r="S247" i="3"/>
  <c r="W247" i="3"/>
  <c r="AA247" i="3"/>
  <c r="H247" i="3"/>
  <c r="L247" i="3"/>
  <c r="P247" i="3"/>
  <c r="T247" i="3"/>
  <c r="X247" i="3"/>
  <c r="AB247" i="3"/>
  <c r="I243" i="3"/>
  <c r="M243" i="3"/>
  <c r="Q243" i="3"/>
  <c r="U243" i="3"/>
  <c r="Y243" i="3"/>
  <c r="AC243" i="3"/>
  <c r="F243" i="3"/>
  <c r="J243" i="3"/>
  <c r="N243" i="3"/>
  <c r="R243" i="3"/>
  <c r="V243" i="3"/>
  <c r="Z243" i="3"/>
  <c r="G243" i="3"/>
  <c r="K243" i="3"/>
  <c r="O243" i="3"/>
  <c r="S243" i="3"/>
  <c r="W243" i="3"/>
  <c r="AA243" i="3"/>
  <c r="H243" i="3"/>
  <c r="L243" i="3"/>
  <c r="P243" i="3"/>
  <c r="T243" i="3"/>
  <c r="X243" i="3"/>
  <c r="AB243" i="3"/>
  <c r="I239" i="3"/>
  <c r="M239" i="3"/>
  <c r="Q239" i="3"/>
  <c r="U239" i="3"/>
  <c r="Y239" i="3"/>
  <c r="AC239" i="3"/>
  <c r="F239" i="3"/>
  <c r="J239" i="3"/>
  <c r="N239" i="3"/>
  <c r="R239" i="3"/>
  <c r="V239" i="3"/>
  <c r="Z239" i="3"/>
  <c r="G239" i="3"/>
  <c r="K239" i="3"/>
  <c r="O239" i="3"/>
  <c r="S239" i="3"/>
  <c r="W239" i="3"/>
  <c r="AA239" i="3"/>
  <c r="H239" i="3"/>
  <c r="L239" i="3"/>
  <c r="P239" i="3"/>
  <c r="T239" i="3"/>
  <c r="X239" i="3"/>
  <c r="AB239" i="3"/>
  <c r="I235" i="3"/>
  <c r="M235" i="3"/>
  <c r="Q235" i="3"/>
  <c r="U235" i="3"/>
  <c r="Y235" i="3"/>
  <c r="AC235" i="3"/>
  <c r="F235" i="3"/>
  <c r="J235" i="3"/>
  <c r="N235" i="3"/>
  <c r="R235" i="3"/>
  <c r="V235" i="3"/>
  <c r="Z235" i="3"/>
  <c r="G235" i="3"/>
  <c r="K235" i="3"/>
  <c r="O235" i="3"/>
  <c r="S235" i="3"/>
  <c r="W235" i="3"/>
  <c r="AA235" i="3"/>
  <c r="H235" i="3"/>
  <c r="L235" i="3"/>
  <c r="P235" i="3"/>
  <c r="T235" i="3"/>
  <c r="X235" i="3"/>
  <c r="AB235" i="3"/>
  <c r="F231" i="3"/>
  <c r="J231" i="3"/>
  <c r="N231" i="3"/>
  <c r="R231" i="3"/>
  <c r="V231" i="3"/>
  <c r="Z231" i="3"/>
  <c r="H231" i="3"/>
  <c r="M231" i="3"/>
  <c r="S231" i="3"/>
  <c r="X231" i="3"/>
  <c r="AC231" i="3"/>
  <c r="I231" i="3"/>
  <c r="O231" i="3"/>
  <c r="T231" i="3"/>
  <c r="Y231" i="3"/>
  <c r="K231" i="3"/>
  <c r="P231" i="3"/>
  <c r="U231" i="3"/>
  <c r="AA231" i="3"/>
  <c r="G231" i="3"/>
  <c r="L231" i="3"/>
  <c r="Q231" i="3"/>
  <c r="W231" i="3"/>
  <c r="AB231" i="3"/>
  <c r="F227" i="3"/>
  <c r="J227" i="3"/>
  <c r="N227" i="3"/>
  <c r="R227" i="3"/>
  <c r="V227" i="3"/>
  <c r="Z227" i="3"/>
  <c r="H227" i="3"/>
  <c r="M227" i="3"/>
  <c r="S227" i="3"/>
  <c r="X227" i="3"/>
  <c r="AC227" i="3"/>
  <c r="I227" i="3"/>
  <c r="O227" i="3"/>
  <c r="T227" i="3"/>
  <c r="Y227" i="3"/>
  <c r="K227" i="3"/>
  <c r="P227" i="3"/>
  <c r="U227" i="3"/>
  <c r="AA227" i="3"/>
  <c r="G227" i="3"/>
  <c r="L227" i="3"/>
  <c r="Q227" i="3"/>
  <c r="W227" i="3"/>
  <c r="AB227" i="3"/>
  <c r="F223" i="3"/>
  <c r="J223" i="3"/>
  <c r="N223" i="3"/>
  <c r="R223" i="3"/>
  <c r="V223" i="3"/>
  <c r="Z223" i="3"/>
  <c r="H223" i="3"/>
  <c r="M223" i="3"/>
  <c r="S223" i="3"/>
  <c r="X223" i="3"/>
  <c r="AC223" i="3"/>
  <c r="I223" i="3"/>
  <c r="O223" i="3"/>
  <c r="T223" i="3"/>
  <c r="Y223" i="3"/>
  <c r="K223" i="3"/>
  <c r="P223" i="3"/>
  <c r="U223" i="3"/>
  <c r="AA223" i="3"/>
  <c r="G223" i="3"/>
  <c r="L223" i="3"/>
  <c r="Q223" i="3"/>
  <c r="W223" i="3"/>
  <c r="AB223" i="3"/>
  <c r="F219" i="3"/>
  <c r="J219" i="3"/>
  <c r="N219" i="3"/>
  <c r="R219" i="3"/>
  <c r="V219" i="3"/>
  <c r="Z219" i="3"/>
  <c r="H219" i="3"/>
  <c r="M219" i="3"/>
  <c r="S219" i="3"/>
  <c r="X219" i="3"/>
  <c r="AC219" i="3"/>
  <c r="I219" i="3"/>
  <c r="O219" i="3"/>
  <c r="T219" i="3"/>
  <c r="Y219" i="3"/>
  <c r="K219" i="3"/>
  <c r="P219" i="3"/>
  <c r="U219" i="3"/>
  <c r="AA219" i="3"/>
  <c r="G219" i="3"/>
  <c r="L219" i="3"/>
  <c r="Q219" i="3"/>
  <c r="W219" i="3"/>
  <c r="AB219" i="3"/>
  <c r="F215" i="3"/>
  <c r="J215" i="3"/>
  <c r="N215" i="3"/>
  <c r="R215" i="3"/>
  <c r="V215" i="3"/>
  <c r="Z215" i="3"/>
  <c r="H215" i="3"/>
  <c r="M215" i="3"/>
  <c r="S215" i="3"/>
  <c r="X215" i="3"/>
  <c r="AC215" i="3"/>
  <c r="I215" i="3"/>
  <c r="O215" i="3"/>
  <c r="T215" i="3"/>
  <c r="Y215" i="3"/>
  <c r="K215" i="3"/>
  <c r="P215" i="3"/>
  <c r="U215" i="3"/>
  <c r="AA215" i="3"/>
  <c r="G215" i="3"/>
  <c r="L215" i="3"/>
  <c r="Q215" i="3"/>
  <c r="W215" i="3"/>
  <c r="AB215" i="3"/>
  <c r="F211" i="3"/>
  <c r="J211" i="3"/>
  <c r="N211" i="3"/>
  <c r="R211" i="3"/>
  <c r="V211" i="3"/>
  <c r="Z211" i="3"/>
  <c r="H211" i="3"/>
  <c r="M211" i="3"/>
  <c r="S211" i="3"/>
  <c r="X211" i="3"/>
  <c r="AC211" i="3"/>
  <c r="I211" i="3"/>
  <c r="O211" i="3"/>
  <c r="T211" i="3"/>
  <c r="Y211" i="3"/>
  <c r="K211" i="3"/>
  <c r="P211" i="3"/>
  <c r="U211" i="3"/>
  <c r="AA211" i="3"/>
  <c r="G211" i="3"/>
  <c r="L211" i="3"/>
  <c r="Q211" i="3"/>
  <c r="W211" i="3"/>
  <c r="AB211" i="3"/>
  <c r="F207" i="3"/>
  <c r="J207" i="3"/>
  <c r="N207" i="3"/>
  <c r="R207" i="3"/>
  <c r="V207" i="3"/>
  <c r="Z207" i="3"/>
  <c r="H207" i="3"/>
  <c r="M207" i="3"/>
  <c r="S207" i="3"/>
  <c r="X207" i="3"/>
  <c r="AC207" i="3"/>
  <c r="I207" i="3"/>
  <c r="O207" i="3"/>
  <c r="T207" i="3"/>
  <c r="Y207" i="3"/>
  <c r="K207" i="3"/>
  <c r="P207" i="3"/>
  <c r="U207" i="3"/>
  <c r="AA207" i="3"/>
  <c r="G207" i="3"/>
  <c r="L207" i="3"/>
  <c r="Q207" i="3"/>
  <c r="W207" i="3"/>
  <c r="AB207" i="3"/>
  <c r="I203" i="3"/>
  <c r="M203" i="3"/>
  <c r="Q203" i="3"/>
  <c r="U203" i="3"/>
  <c r="Y203" i="3"/>
  <c r="AC203" i="3"/>
  <c r="F203" i="3"/>
  <c r="J203" i="3"/>
  <c r="N203" i="3"/>
  <c r="R203" i="3"/>
  <c r="V203" i="3"/>
  <c r="Z203" i="3"/>
  <c r="G203" i="3"/>
  <c r="K203" i="3"/>
  <c r="O203" i="3"/>
  <c r="S203" i="3"/>
  <c r="W203" i="3"/>
  <c r="AA203" i="3"/>
  <c r="T203" i="3"/>
  <c r="H203" i="3"/>
  <c r="X203" i="3"/>
  <c r="L203" i="3"/>
  <c r="AB203" i="3"/>
  <c r="P203" i="3"/>
  <c r="I199" i="3"/>
  <c r="M199" i="3"/>
  <c r="Q199" i="3"/>
  <c r="U199" i="3"/>
  <c r="Y199" i="3"/>
  <c r="AC199" i="3"/>
  <c r="F199" i="3"/>
  <c r="J199" i="3"/>
  <c r="N199" i="3"/>
  <c r="R199" i="3"/>
  <c r="V199" i="3"/>
  <c r="Z199" i="3"/>
  <c r="G199" i="3"/>
  <c r="K199" i="3"/>
  <c r="O199" i="3"/>
  <c r="S199" i="3"/>
  <c r="W199" i="3"/>
  <c r="AA199" i="3"/>
  <c r="T199" i="3"/>
  <c r="H199" i="3"/>
  <c r="X199" i="3"/>
  <c r="L199" i="3"/>
  <c r="AB199" i="3"/>
  <c r="P199" i="3"/>
  <c r="I195" i="3"/>
  <c r="M195" i="3"/>
  <c r="Q195" i="3"/>
  <c r="U195" i="3"/>
  <c r="Y195" i="3"/>
  <c r="AC195" i="3"/>
  <c r="F195" i="3"/>
  <c r="J195" i="3"/>
  <c r="N195" i="3"/>
  <c r="R195" i="3"/>
  <c r="V195" i="3"/>
  <c r="Z195" i="3"/>
  <c r="G195" i="3"/>
  <c r="K195" i="3"/>
  <c r="O195" i="3"/>
  <c r="S195" i="3"/>
  <c r="W195" i="3"/>
  <c r="AA195" i="3"/>
  <c r="T195" i="3"/>
  <c r="H195" i="3"/>
  <c r="X195" i="3"/>
  <c r="L195" i="3"/>
  <c r="AB195" i="3"/>
  <c r="P195" i="3"/>
  <c r="I191" i="3"/>
  <c r="M191" i="3"/>
  <c r="Q191" i="3"/>
  <c r="U191" i="3"/>
  <c r="Y191" i="3"/>
  <c r="AC191" i="3"/>
  <c r="F191" i="3"/>
  <c r="J191" i="3"/>
  <c r="N191" i="3"/>
  <c r="R191" i="3"/>
  <c r="V191" i="3"/>
  <c r="Z191" i="3"/>
  <c r="G191" i="3"/>
  <c r="K191" i="3"/>
  <c r="O191" i="3"/>
  <c r="S191" i="3"/>
  <c r="W191" i="3"/>
  <c r="AA191" i="3"/>
  <c r="H191" i="3"/>
  <c r="L191" i="3"/>
  <c r="T191" i="3"/>
  <c r="X191" i="3"/>
  <c r="AB191" i="3"/>
  <c r="P191" i="3"/>
  <c r="I187" i="3"/>
  <c r="M187" i="3"/>
  <c r="Q187" i="3"/>
  <c r="U187" i="3"/>
  <c r="Y187" i="3"/>
  <c r="AC187" i="3"/>
  <c r="F187" i="3"/>
  <c r="J187" i="3"/>
  <c r="N187" i="3"/>
  <c r="R187" i="3"/>
  <c r="V187" i="3"/>
  <c r="Z187" i="3"/>
  <c r="G187" i="3"/>
  <c r="K187" i="3"/>
  <c r="O187" i="3"/>
  <c r="S187" i="3"/>
  <c r="W187" i="3"/>
  <c r="AA187" i="3"/>
  <c r="H187" i="3"/>
  <c r="L187" i="3"/>
  <c r="P187" i="3"/>
  <c r="T187" i="3"/>
  <c r="X187" i="3"/>
  <c r="AB187" i="3"/>
  <c r="I183" i="3"/>
  <c r="M183" i="3"/>
  <c r="Q183" i="3"/>
  <c r="U183" i="3"/>
  <c r="Y183" i="3"/>
  <c r="AC183" i="3"/>
  <c r="F183" i="3"/>
  <c r="J183" i="3"/>
  <c r="N183" i="3"/>
  <c r="R183" i="3"/>
  <c r="V183" i="3"/>
  <c r="Z183" i="3"/>
  <c r="G183" i="3"/>
  <c r="K183" i="3"/>
  <c r="O183" i="3"/>
  <c r="S183" i="3"/>
  <c r="W183" i="3"/>
  <c r="AA183" i="3"/>
  <c r="H183" i="3"/>
  <c r="L183" i="3"/>
  <c r="P183" i="3"/>
  <c r="T183" i="3"/>
  <c r="X183" i="3"/>
  <c r="AB183" i="3"/>
  <c r="I179" i="3"/>
  <c r="M179" i="3"/>
  <c r="Q179" i="3"/>
  <c r="U179" i="3"/>
  <c r="Y179" i="3"/>
  <c r="AC179" i="3"/>
  <c r="F179" i="3"/>
  <c r="J179" i="3"/>
  <c r="N179" i="3"/>
  <c r="R179" i="3"/>
  <c r="V179" i="3"/>
  <c r="Z179" i="3"/>
  <c r="G179" i="3"/>
  <c r="K179" i="3"/>
  <c r="O179" i="3"/>
  <c r="S179" i="3"/>
  <c r="W179" i="3"/>
  <c r="AA179" i="3"/>
  <c r="H179" i="3"/>
  <c r="L179" i="3"/>
  <c r="P179" i="3"/>
  <c r="T179" i="3"/>
  <c r="X179" i="3"/>
  <c r="AB179" i="3"/>
  <c r="I175" i="3"/>
  <c r="M175" i="3"/>
  <c r="Q175" i="3"/>
  <c r="U175" i="3"/>
  <c r="Y175" i="3"/>
  <c r="AC175" i="3"/>
  <c r="F175" i="3"/>
  <c r="J175" i="3"/>
  <c r="N175" i="3"/>
  <c r="R175" i="3"/>
  <c r="V175" i="3"/>
  <c r="Z175" i="3"/>
  <c r="G175" i="3"/>
  <c r="K175" i="3"/>
  <c r="O175" i="3"/>
  <c r="S175" i="3"/>
  <c r="W175" i="3"/>
  <c r="AA175" i="3"/>
  <c r="H175" i="3"/>
  <c r="L175" i="3"/>
  <c r="P175" i="3"/>
  <c r="T175" i="3"/>
  <c r="X175" i="3"/>
  <c r="AB175" i="3"/>
  <c r="I171" i="3"/>
  <c r="M171" i="3"/>
  <c r="Q171" i="3"/>
  <c r="U171" i="3"/>
  <c r="Y171" i="3"/>
  <c r="AC171" i="3"/>
  <c r="F171" i="3"/>
  <c r="J171" i="3"/>
  <c r="N171" i="3"/>
  <c r="R171" i="3"/>
  <c r="V171" i="3"/>
  <c r="Z171" i="3"/>
  <c r="G171" i="3"/>
  <c r="K171" i="3"/>
  <c r="O171" i="3"/>
  <c r="S171" i="3"/>
  <c r="W171" i="3"/>
  <c r="AA171" i="3"/>
  <c r="H171" i="3"/>
  <c r="L171" i="3"/>
  <c r="P171" i="3"/>
  <c r="T171" i="3"/>
  <c r="X171" i="3"/>
  <c r="AB171" i="3"/>
  <c r="I167" i="3"/>
  <c r="M167" i="3"/>
  <c r="Q167" i="3"/>
  <c r="U167" i="3"/>
  <c r="Y167" i="3"/>
  <c r="AC167" i="3"/>
  <c r="F167" i="3"/>
  <c r="J167" i="3"/>
  <c r="N167" i="3"/>
  <c r="R167" i="3"/>
  <c r="V167" i="3"/>
  <c r="Z167" i="3"/>
  <c r="G167" i="3"/>
  <c r="K167" i="3"/>
  <c r="O167" i="3"/>
  <c r="S167" i="3"/>
  <c r="W167" i="3"/>
  <c r="AA167" i="3"/>
  <c r="H167" i="3"/>
  <c r="L167" i="3"/>
  <c r="P167" i="3"/>
  <c r="T167" i="3"/>
  <c r="X167" i="3"/>
  <c r="AB167" i="3"/>
  <c r="I163" i="3"/>
  <c r="M163" i="3"/>
  <c r="Q163" i="3"/>
  <c r="U163" i="3"/>
  <c r="Y163" i="3"/>
  <c r="AC163" i="3"/>
  <c r="F163" i="3"/>
  <c r="J163" i="3"/>
  <c r="N163" i="3"/>
  <c r="R163" i="3"/>
  <c r="V163" i="3"/>
  <c r="Z163" i="3"/>
  <c r="G163" i="3"/>
  <c r="K163" i="3"/>
  <c r="O163" i="3"/>
  <c r="S163" i="3"/>
  <c r="W163" i="3"/>
  <c r="AA163" i="3"/>
  <c r="H163" i="3"/>
  <c r="L163" i="3"/>
  <c r="P163" i="3"/>
  <c r="T163" i="3"/>
  <c r="X163" i="3"/>
  <c r="AB163" i="3"/>
  <c r="I159" i="3"/>
  <c r="M159" i="3"/>
  <c r="Q159" i="3"/>
  <c r="U159" i="3"/>
  <c r="Y159" i="3"/>
  <c r="AC159" i="3"/>
  <c r="F159" i="3"/>
  <c r="K159" i="3"/>
  <c r="P159" i="3"/>
  <c r="V159" i="3"/>
  <c r="AA159" i="3"/>
  <c r="G159" i="3"/>
  <c r="L159" i="3"/>
  <c r="R159" i="3"/>
  <c r="W159" i="3"/>
  <c r="AB159" i="3"/>
  <c r="H159" i="3"/>
  <c r="N159" i="3"/>
  <c r="S159" i="3"/>
  <c r="X159" i="3"/>
  <c r="J159" i="3"/>
  <c r="O159" i="3"/>
  <c r="T159" i="3"/>
  <c r="Z159" i="3"/>
  <c r="I155" i="3"/>
  <c r="M155" i="3"/>
  <c r="Q155" i="3"/>
  <c r="U155" i="3"/>
  <c r="Y155" i="3"/>
  <c r="AC155" i="3"/>
  <c r="F155" i="3"/>
  <c r="K155" i="3"/>
  <c r="P155" i="3"/>
  <c r="V155" i="3"/>
  <c r="AA155" i="3"/>
  <c r="G155" i="3"/>
  <c r="L155" i="3"/>
  <c r="R155" i="3"/>
  <c r="W155" i="3"/>
  <c r="AB155" i="3"/>
  <c r="H155" i="3"/>
  <c r="N155" i="3"/>
  <c r="S155" i="3"/>
  <c r="X155" i="3"/>
  <c r="J155" i="3"/>
  <c r="O155" i="3"/>
  <c r="T155" i="3"/>
  <c r="Z155" i="3"/>
  <c r="I151" i="3"/>
  <c r="M151" i="3"/>
  <c r="Q151" i="3"/>
  <c r="U151" i="3"/>
  <c r="Y151" i="3"/>
  <c r="AC151" i="3"/>
  <c r="F151" i="3"/>
  <c r="K151" i="3"/>
  <c r="P151" i="3"/>
  <c r="V151" i="3"/>
  <c r="AA151" i="3"/>
  <c r="G151" i="3"/>
  <c r="L151" i="3"/>
  <c r="R151" i="3"/>
  <c r="W151" i="3"/>
  <c r="AB151" i="3"/>
  <c r="H151" i="3"/>
  <c r="N151" i="3"/>
  <c r="S151" i="3"/>
  <c r="X151" i="3"/>
  <c r="J151" i="3"/>
  <c r="O151" i="3"/>
  <c r="T151" i="3"/>
  <c r="Z151" i="3"/>
  <c r="I147" i="3"/>
  <c r="M147" i="3"/>
  <c r="Q147" i="3"/>
  <c r="U147" i="3"/>
  <c r="Y147" i="3"/>
  <c r="AC147" i="3"/>
  <c r="F147" i="3"/>
  <c r="K147" i="3"/>
  <c r="P147" i="3"/>
  <c r="V147" i="3"/>
  <c r="AA147" i="3"/>
  <c r="G147" i="3"/>
  <c r="L147" i="3"/>
  <c r="R147" i="3"/>
  <c r="W147" i="3"/>
  <c r="AB147" i="3"/>
  <c r="H147" i="3"/>
  <c r="N147" i="3"/>
  <c r="S147" i="3"/>
  <c r="X147" i="3"/>
  <c r="J147" i="3"/>
  <c r="O147" i="3"/>
  <c r="T147" i="3"/>
  <c r="Z147" i="3"/>
  <c r="I143" i="3"/>
  <c r="M143" i="3"/>
  <c r="Q143" i="3"/>
  <c r="U143" i="3"/>
  <c r="Y143" i="3"/>
  <c r="AC143" i="3"/>
  <c r="F143" i="3"/>
  <c r="K143" i="3"/>
  <c r="P143" i="3"/>
  <c r="V143" i="3"/>
  <c r="AA143" i="3"/>
  <c r="G143" i="3"/>
  <c r="L143" i="3"/>
  <c r="R143" i="3"/>
  <c r="W143" i="3"/>
  <c r="AB143" i="3"/>
  <c r="H143" i="3"/>
  <c r="N143" i="3"/>
  <c r="S143" i="3"/>
  <c r="X143" i="3"/>
  <c r="J143" i="3"/>
  <c r="O143" i="3"/>
  <c r="T143" i="3"/>
  <c r="Z143" i="3"/>
  <c r="I139" i="3"/>
  <c r="M139" i="3"/>
  <c r="Q139" i="3"/>
  <c r="U139" i="3"/>
  <c r="Y139" i="3"/>
  <c r="AC139" i="3"/>
  <c r="F139" i="3"/>
  <c r="J139" i="3"/>
  <c r="K139" i="3"/>
  <c r="P139" i="3"/>
  <c r="V139" i="3"/>
  <c r="AA139" i="3"/>
  <c r="L139" i="3"/>
  <c r="R139" i="3"/>
  <c r="W139" i="3"/>
  <c r="AB139" i="3"/>
  <c r="G139" i="3"/>
  <c r="N139" i="3"/>
  <c r="S139" i="3"/>
  <c r="X139" i="3"/>
  <c r="H139" i="3"/>
  <c r="O139" i="3"/>
  <c r="T139" i="3"/>
  <c r="Z139" i="3"/>
  <c r="I135" i="3"/>
  <c r="M135" i="3"/>
  <c r="Q135" i="3"/>
  <c r="U135" i="3"/>
  <c r="Y135" i="3"/>
  <c r="AC135" i="3"/>
  <c r="F135" i="3"/>
  <c r="J135" i="3"/>
  <c r="N135" i="3"/>
  <c r="R135" i="3"/>
  <c r="V135" i="3"/>
  <c r="Z135" i="3"/>
  <c r="K135" i="3"/>
  <c r="S135" i="3"/>
  <c r="AA135" i="3"/>
  <c r="L135" i="3"/>
  <c r="T135" i="3"/>
  <c r="AB135" i="3"/>
  <c r="G135" i="3"/>
  <c r="O135" i="3"/>
  <c r="W135" i="3"/>
  <c r="H135" i="3"/>
  <c r="P135" i="3"/>
  <c r="X135" i="3"/>
  <c r="I131" i="3"/>
  <c r="M131" i="3"/>
  <c r="Q131" i="3"/>
  <c r="U131" i="3"/>
  <c r="Y131" i="3"/>
  <c r="AC131" i="3"/>
  <c r="F131" i="3"/>
  <c r="J131" i="3"/>
  <c r="N131" i="3"/>
  <c r="R131" i="3"/>
  <c r="V131" i="3"/>
  <c r="Z131" i="3"/>
  <c r="G131" i="3"/>
  <c r="K131" i="3"/>
  <c r="O131" i="3"/>
  <c r="S131" i="3"/>
  <c r="W131" i="3"/>
  <c r="AA131" i="3"/>
  <c r="P131" i="3"/>
  <c r="T131" i="3"/>
  <c r="H131" i="3"/>
  <c r="X131" i="3"/>
  <c r="L131" i="3"/>
  <c r="AB131" i="3"/>
  <c r="I127" i="3"/>
  <c r="M127" i="3"/>
  <c r="Q127" i="3"/>
  <c r="U127" i="3"/>
  <c r="Y127" i="3"/>
  <c r="AC127" i="3"/>
  <c r="F127" i="3"/>
  <c r="J127" i="3"/>
  <c r="N127" i="3"/>
  <c r="R127" i="3"/>
  <c r="V127" i="3"/>
  <c r="Z127" i="3"/>
  <c r="G127" i="3"/>
  <c r="K127" i="3"/>
  <c r="O127" i="3"/>
  <c r="S127" i="3"/>
  <c r="W127" i="3"/>
  <c r="AA127" i="3"/>
  <c r="P127" i="3"/>
  <c r="T127" i="3"/>
  <c r="H127" i="3"/>
  <c r="X127" i="3"/>
  <c r="L127" i="3"/>
  <c r="AB127" i="3"/>
  <c r="I123" i="3"/>
  <c r="M123" i="3"/>
  <c r="Q123" i="3"/>
  <c r="U123" i="3"/>
  <c r="Y123" i="3"/>
  <c r="AC123" i="3"/>
  <c r="F123" i="3"/>
  <c r="J123" i="3"/>
  <c r="N123" i="3"/>
  <c r="R123" i="3"/>
  <c r="V123" i="3"/>
  <c r="Z123" i="3"/>
  <c r="G123" i="3"/>
  <c r="K123" i="3"/>
  <c r="O123" i="3"/>
  <c r="S123" i="3"/>
  <c r="W123" i="3"/>
  <c r="AA123" i="3"/>
  <c r="P123" i="3"/>
  <c r="T123" i="3"/>
  <c r="H123" i="3"/>
  <c r="X123" i="3"/>
  <c r="L123" i="3"/>
  <c r="AB123" i="3"/>
  <c r="I119" i="3"/>
  <c r="M119" i="3"/>
  <c r="Q119" i="3"/>
  <c r="U119" i="3"/>
  <c r="Y119" i="3"/>
  <c r="AC119" i="3"/>
  <c r="F119" i="3"/>
  <c r="J119" i="3"/>
  <c r="N119" i="3"/>
  <c r="R119" i="3"/>
  <c r="V119" i="3"/>
  <c r="Z119" i="3"/>
  <c r="G119" i="3"/>
  <c r="K119" i="3"/>
  <c r="O119" i="3"/>
  <c r="S119" i="3"/>
  <c r="W119" i="3"/>
  <c r="AA119" i="3"/>
  <c r="P119" i="3"/>
  <c r="T119" i="3"/>
  <c r="H119" i="3"/>
  <c r="X119" i="3"/>
  <c r="L119" i="3"/>
  <c r="AB119" i="3"/>
  <c r="I115" i="3"/>
  <c r="M115" i="3"/>
  <c r="Q115" i="3"/>
  <c r="U115" i="3"/>
  <c r="Y115" i="3"/>
  <c r="AC115" i="3"/>
  <c r="F115" i="3"/>
  <c r="J115" i="3"/>
  <c r="N115" i="3"/>
  <c r="R115" i="3"/>
  <c r="V115" i="3"/>
  <c r="Z115" i="3"/>
  <c r="G115" i="3"/>
  <c r="K115" i="3"/>
  <c r="O115" i="3"/>
  <c r="S115" i="3"/>
  <c r="W115" i="3"/>
  <c r="AA115" i="3"/>
  <c r="P115" i="3"/>
  <c r="T115" i="3"/>
  <c r="H115" i="3"/>
  <c r="X115" i="3"/>
  <c r="L115" i="3"/>
  <c r="AB115" i="3"/>
  <c r="I111" i="3"/>
  <c r="M111" i="3"/>
  <c r="Q111" i="3"/>
  <c r="U111" i="3"/>
  <c r="Y111" i="3"/>
  <c r="AC111" i="3"/>
  <c r="F111" i="3"/>
  <c r="J111" i="3"/>
  <c r="N111" i="3"/>
  <c r="R111" i="3"/>
  <c r="V111" i="3"/>
  <c r="Z111" i="3"/>
  <c r="G111" i="3"/>
  <c r="K111" i="3"/>
  <c r="O111" i="3"/>
  <c r="S111" i="3"/>
  <c r="W111" i="3"/>
  <c r="AA111" i="3"/>
  <c r="P111" i="3"/>
  <c r="T111" i="3"/>
  <c r="H111" i="3"/>
  <c r="X111" i="3"/>
  <c r="L111" i="3"/>
  <c r="AB111" i="3"/>
  <c r="I107" i="3"/>
  <c r="M107" i="3"/>
  <c r="Q107" i="3"/>
  <c r="U107" i="3"/>
  <c r="Y107" i="3"/>
  <c r="AC107" i="3"/>
  <c r="F107" i="3"/>
  <c r="J107" i="3"/>
  <c r="N107" i="3"/>
  <c r="R107" i="3"/>
  <c r="V107" i="3"/>
  <c r="Z107" i="3"/>
  <c r="G107" i="3"/>
  <c r="K107" i="3"/>
  <c r="O107" i="3"/>
  <c r="S107" i="3"/>
  <c r="W107" i="3"/>
  <c r="AA107" i="3"/>
  <c r="P107" i="3"/>
  <c r="T107" i="3"/>
  <c r="H107" i="3"/>
  <c r="X107" i="3"/>
  <c r="L107" i="3"/>
  <c r="AB107" i="3"/>
  <c r="I103" i="3"/>
  <c r="M103" i="3"/>
  <c r="Q103" i="3"/>
  <c r="U103" i="3"/>
  <c r="Y103" i="3"/>
  <c r="AC103" i="3"/>
  <c r="F103" i="3"/>
  <c r="J103" i="3"/>
  <c r="N103" i="3"/>
  <c r="R103" i="3"/>
  <c r="V103" i="3"/>
  <c r="Z103" i="3"/>
  <c r="G103" i="3"/>
  <c r="K103" i="3"/>
  <c r="O103" i="3"/>
  <c r="S103" i="3"/>
  <c r="W103" i="3"/>
  <c r="AA103" i="3"/>
  <c r="P103" i="3"/>
  <c r="T103" i="3"/>
  <c r="H103" i="3"/>
  <c r="X103" i="3"/>
  <c r="L103" i="3"/>
  <c r="AB103" i="3"/>
  <c r="I99" i="3"/>
  <c r="M99" i="3"/>
  <c r="Q99" i="3"/>
  <c r="U99" i="3"/>
  <c r="Y99" i="3"/>
  <c r="AC99" i="3"/>
  <c r="F99" i="3"/>
  <c r="J99" i="3"/>
  <c r="N99" i="3"/>
  <c r="R99" i="3"/>
  <c r="V99" i="3"/>
  <c r="Z99" i="3"/>
  <c r="G99" i="3"/>
  <c r="K99" i="3"/>
  <c r="O99" i="3"/>
  <c r="S99" i="3"/>
  <c r="W99" i="3"/>
  <c r="AA99" i="3"/>
  <c r="P99" i="3"/>
  <c r="T99" i="3"/>
  <c r="H99" i="3"/>
  <c r="X99" i="3"/>
  <c r="L99" i="3"/>
  <c r="AB99" i="3"/>
  <c r="I95" i="3"/>
  <c r="M95" i="3"/>
  <c r="Q95" i="3"/>
  <c r="U95" i="3"/>
  <c r="Y95" i="3"/>
  <c r="AC95" i="3"/>
  <c r="F95" i="3"/>
  <c r="J95" i="3"/>
  <c r="N95" i="3"/>
  <c r="R95" i="3"/>
  <c r="V95" i="3"/>
  <c r="Z95" i="3"/>
  <c r="G95" i="3"/>
  <c r="K95" i="3"/>
  <c r="O95" i="3"/>
  <c r="S95" i="3"/>
  <c r="W95" i="3"/>
  <c r="AA95" i="3"/>
  <c r="P95" i="3"/>
  <c r="T95" i="3"/>
  <c r="H95" i="3"/>
  <c r="X95" i="3"/>
  <c r="L95" i="3"/>
  <c r="AB95" i="3"/>
  <c r="I91" i="3"/>
  <c r="M91" i="3"/>
  <c r="Q91" i="3"/>
  <c r="U91" i="3"/>
  <c r="Y91" i="3"/>
  <c r="AC91" i="3"/>
  <c r="F91" i="3"/>
  <c r="J91" i="3"/>
  <c r="N91" i="3"/>
  <c r="R91" i="3"/>
  <c r="V91" i="3"/>
  <c r="Z91" i="3"/>
  <c r="G91" i="3"/>
  <c r="K91" i="3"/>
  <c r="O91" i="3"/>
  <c r="S91" i="3"/>
  <c r="W91" i="3"/>
  <c r="AA91" i="3"/>
  <c r="P91" i="3"/>
  <c r="T91" i="3"/>
  <c r="H91" i="3"/>
  <c r="X91" i="3"/>
  <c r="L91" i="3"/>
  <c r="AB91" i="3"/>
  <c r="I87" i="3"/>
  <c r="M87" i="3"/>
  <c r="Q87" i="3"/>
  <c r="U87" i="3"/>
  <c r="Y87" i="3"/>
  <c r="AC87" i="3"/>
  <c r="F87" i="3"/>
  <c r="J87" i="3"/>
  <c r="N87" i="3"/>
  <c r="R87" i="3"/>
  <c r="V87" i="3"/>
  <c r="Z87" i="3"/>
  <c r="G87" i="3"/>
  <c r="K87" i="3"/>
  <c r="O87" i="3"/>
  <c r="S87" i="3"/>
  <c r="W87" i="3"/>
  <c r="AA87" i="3"/>
  <c r="P87" i="3"/>
  <c r="T87" i="3"/>
  <c r="H87" i="3"/>
  <c r="X87" i="3"/>
  <c r="L87" i="3"/>
  <c r="AB87" i="3"/>
  <c r="I83" i="3"/>
  <c r="M83" i="3"/>
  <c r="Q83" i="3"/>
  <c r="U83" i="3"/>
  <c r="Y83" i="3"/>
  <c r="AC83" i="3"/>
  <c r="F83" i="3"/>
  <c r="K83" i="3"/>
  <c r="P83" i="3"/>
  <c r="V83" i="3"/>
  <c r="AA83" i="3"/>
  <c r="G83" i="3"/>
  <c r="L83" i="3"/>
  <c r="R83" i="3"/>
  <c r="W83" i="3"/>
  <c r="AB83" i="3"/>
  <c r="H83" i="3"/>
  <c r="N83" i="3"/>
  <c r="S83" i="3"/>
  <c r="X83" i="3"/>
  <c r="J83" i="3"/>
  <c r="O83" i="3"/>
  <c r="T83" i="3"/>
  <c r="Z83" i="3"/>
  <c r="I79" i="3"/>
  <c r="M79" i="3"/>
  <c r="Q79" i="3"/>
  <c r="U79" i="3"/>
  <c r="Y79" i="3"/>
  <c r="AC79" i="3"/>
  <c r="F79" i="3"/>
  <c r="K79" i="3"/>
  <c r="P79" i="3"/>
  <c r="V79" i="3"/>
  <c r="AA79" i="3"/>
  <c r="G79" i="3"/>
  <c r="L79" i="3"/>
  <c r="R79" i="3"/>
  <c r="W79" i="3"/>
  <c r="AB79" i="3"/>
  <c r="H79" i="3"/>
  <c r="N79" i="3"/>
  <c r="S79" i="3"/>
  <c r="X79" i="3"/>
  <c r="T79" i="3"/>
  <c r="Z79" i="3"/>
  <c r="J79" i="3"/>
  <c r="O79" i="3"/>
  <c r="I75" i="3"/>
  <c r="M75" i="3"/>
  <c r="Q75" i="3"/>
  <c r="U75" i="3"/>
  <c r="Y75" i="3"/>
  <c r="AC75" i="3"/>
  <c r="F75" i="3"/>
  <c r="K75" i="3"/>
  <c r="P75" i="3"/>
  <c r="V75" i="3"/>
  <c r="AA75" i="3"/>
  <c r="G75" i="3"/>
  <c r="L75" i="3"/>
  <c r="R75" i="3"/>
  <c r="W75" i="3"/>
  <c r="AB75" i="3"/>
  <c r="H75" i="3"/>
  <c r="N75" i="3"/>
  <c r="S75" i="3"/>
  <c r="X75" i="3"/>
  <c r="J75" i="3"/>
  <c r="O75" i="3"/>
  <c r="T75" i="3"/>
  <c r="Z75" i="3"/>
  <c r="I71" i="3"/>
  <c r="M71" i="3"/>
  <c r="Q71" i="3"/>
  <c r="U71" i="3"/>
  <c r="Y71" i="3"/>
  <c r="AC71" i="3"/>
  <c r="F71" i="3"/>
  <c r="K71" i="3"/>
  <c r="P71" i="3"/>
  <c r="V71" i="3"/>
  <c r="AA71" i="3"/>
  <c r="G71" i="3"/>
  <c r="L71" i="3"/>
  <c r="R71" i="3"/>
  <c r="W71" i="3"/>
  <c r="AB71" i="3"/>
  <c r="H71" i="3"/>
  <c r="N71" i="3"/>
  <c r="S71" i="3"/>
  <c r="X71" i="3"/>
  <c r="T71" i="3"/>
  <c r="Z71" i="3"/>
  <c r="J71" i="3"/>
  <c r="O71" i="3"/>
  <c r="I67" i="3"/>
  <c r="M67" i="3"/>
  <c r="Q67" i="3"/>
  <c r="U67" i="3"/>
  <c r="Y67" i="3"/>
  <c r="AC67" i="3"/>
  <c r="F67" i="3"/>
  <c r="K67" i="3"/>
  <c r="P67" i="3"/>
  <c r="V67" i="3"/>
  <c r="AA67" i="3"/>
  <c r="G67" i="3"/>
  <c r="L67" i="3"/>
  <c r="R67" i="3"/>
  <c r="W67" i="3"/>
  <c r="AB67" i="3"/>
  <c r="H67" i="3"/>
  <c r="N67" i="3"/>
  <c r="S67" i="3"/>
  <c r="X67" i="3"/>
  <c r="J67" i="3"/>
  <c r="O67" i="3"/>
  <c r="T67" i="3"/>
  <c r="Z67" i="3"/>
  <c r="I63" i="3"/>
  <c r="M63" i="3"/>
  <c r="Q63" i="3"/>
  <c r="U63" i="3"/>
  <c r="Y63" i="3"/>
  <c r="AC63" i="3"/>
  <c r="F63" i="3"/>
  <c r="K63" i="3"/>
  <c r="P63" i="3"/>
  <c r="V63" i="3"/>
  <c r="AA63" i="3"/>
  <c r="G63" i="3"/>
  <c r="L63" i="3"/>
  <c r="R63" i="3"/>
  <c r="W63" i="3"/>
  <c r="AB63" i="3"/>
  <c r="H63" i="3"/>
  <c r="N63" i="3"/>
  <c r="S63" i="3"/>
  <c r="X63" i="3"/>
  <c r="T63" i="3"/>
  <c r="Z63" i="3"/>
  <c r="J63" i="3"/>
  <c r="O63" i="3"/>
  <c r="I59" i="3"/>
  <c r="M59" i="3"/>
  <c r="Q59" i="3"/>
  <c r="U59" i="3"/>
  <c r="Y59" i="3"/>
  <c r="AC59" i="3"/>
  <c r="F59" i="3"/>
  <c r="K59" i="3"/>
  <c r="P59" i="3"/>
  <c r="V59" i="3"/>
  <c r="AA59" i="3"/>
  <c r="G59" i="3"/>
  <c r="L59" i="3"/>
  <c r="R59" i="3"/>
  <c r="W59" i="3"/>
  <c r="AB59" i="3"/>
  <c r="H59" i="3"/>
  <c r="N59" i="3"/>
  <c r="S59" i="3"/>
  <c r="X59" i="3"/>
  <c r="J59" i="3"/>
  <c r="O59" i="3"/>
  <c r="T59" i="3"/>
  <c r="Z59" i="3"/>
  <c r="G55" i="3"/>
  <c r="K55" i="3"/>
  <c r="I55" i="3"/>
  <c r="M55" i="3"/>
  <c r="Q55" i="3"/>
  <c r="U55" i="3"/>
  <c r="Y55" i="3"/>
  <c r="AC55" i="3"/>
  <c r="F55" i="3"/>
  <c r="J55" i="3"/>
  <c r="H55" i="3"/>
  <c r="P55" i="3"/>
  <c r="V55" i="3"/>
  <c r="AA55" i="3"/>
  <c r="L55" i="3"/>
  <c r="R55" i="3"/>
  <c r="W55" i="3"/>
  <c r="AB55" i="3"/>
  <c r="N55" i="3"/>
  <c r="S55" i="3"/>
  <c r="X55" i="3"/>
  <c r="T55" i="3"/>
  <c r="Z55" i="3"/>
  <c r="O55" i="3"/>
  <c r="G51" i="3"/>
  <c r="K51" i="3"/>
  <c r="O51" i="3"/>
  <c r="S51" i="3"/>
  <c r="W51" i="3"/>
  <c r="AA51" i="3"/>
  <c r="I51" i="3"/>
  <c r="M51" i="3"/>
  <c r="Q51" i="3"/>
  <c r="U51" i="3"/>
  <c r="Y51" i="3"/>
  <c r="AC51" i="3"/>
  <c r="F51" i="3"/>
  <c r="J51" i="3"/>
  <c r="N51" i="3"/>
  <c r="R51" i="3"/>
  <c r="V51" i="3"/>
  <c r="Z51" i="3"/>
  <c r="H51" i="3"/>
  <c r="X51" i="3"/>
  <c r="L51" i="3"/>
  <c r="AB51" i="3"/>
  <c r="P51" i="3"/>
  <c r="T51" i="3"/>
  <c r="G47" i="3"/>
  <c r="K47" i="3"/>
  <c r="O47" i="3"/>
  <c r="S47" i="3"/>
  <c r="W47" i="3"/>
  <c r="AA47" i="3"/>
  <c r="I47" i="3"/>
  <c r="M47" i="3"/>
  <c r="Q47" i="3"/>
  <c r="U47" i="3"/>
  <c r="Y47" i="3"/>
  <c r="AC47" i="3"/>
  <c r="F47" i="3"/>
  <c r="J47" i="3"/>
  <c r="N47" i="3"/>
  <c r="R47" i="3"/>
  <c r="V47" i="3"/>
  <c r="Z47" i="3"/>
  <c r="H47" i="3"/>
  <c r="X47" i="3"/>
  <c r="L47" i="3"/>
  <c r="AB47" i="3"/>
  <c r="P47" i="3"/>
  <c r="T47" i="3"/>
  <c r="G43" i="3"/>
  <c r="K43" i="3"/>
  <c r="O43" i="3"/>
  <c r="S43" i="3"/>
  <c r="W43" i="3"/>
  <c r="AA43" i="3"/>
  <c r="I43" i="3"/>
  <c r="M43" i="3"/>
  <c r="Q43" i="3"/>
  <c r="U43" i="3"/>
  <c r="Y43" i="3"/>
  <c r="AC43" i="3"/>
  <c r="F43" i="3"/>
  <c r="J43" i="3"/>
  <c r="N43" i="3"/>
  <c r="R43" i="3"/>
  <c r="V43" i="3"/>
  <c r="Z43" i="3"/>
  <c r="H43" i="3"/>
  <c r="X43" i="3"/>
  <c r="L43" i="3"/>
  <c r="AB43" i="3"/>
  <c r="P43" i="3"/>
  <c r="T43" i="3"/>
  <c r="G39" i="3"/>
  <c r="K39" i="3"/>
  <c r="O39" i="3"/>
  <c r="S39" i="3"/>
  <c r="W39" i="3"/>
  <c r="AA39" i="3"/>
  <c r="I39" i="3"/>
  <c r="M39" i="3"/>
  <c r="Q39" i="3"/>
  <c r="U39" i="3"/>
  <c r="Y39" i="3"/>
  <c r="AC39" i="3"/>
  <c r="F39" i="3"/>
  <c r="J39" i="3"/>
  <c r="N39" i="3"/>
  <c r="R39" i="3"/>
  <c r="V39" i="3"/>
  <c r="Z39" i="3"/>
  <c r="H39" i="3"/>
  <c r="X39" i="3"/>
  <c r="L39" i="3"/>
  <c r="AB39" i="3"/>
  <c r="P39" i="3"/>
  <c r="T39" i="3"/>
  <c r="G35" i="3"/>
  <c r="K35" i="3"/>
  <c r="O35" i="3"/>
  <c r="S35" i="3"/>
  <c r="W35" i="3"/>
  <c r="AA35" i="3"/>
  <c r="I35" i="3"/>
  <c r="M35" i="3"/>
  <c r="Q35" i="3"/>
  <c r="U35" i="3"/>
  <c r="Y35" i="3"/>
  <c r="AC35" i="3"/>
  <c r="F35" i="3"/>
  <c r="J35" i="3"/>
  <c r="N35" i="3"/>
  <c r="R35" i="3"/>
  <c r="V35" i="3"/>
  <c r="Z35" i="3"/>
  <c r="H35" i="3"/>
  <c r="X35" i="3"/>
  <c r="L35" i="3"/>
  <c r="AB35" i="3"/>
  <c r="P35" i="3"/>
  <c r="T35" i="3"/>
  <c r="G31" i="3"/>
  <c r="K31" i="3"/>
  <c r="O31" i="3"/>
  <c r="S31" i="3"/>
  <c r="W31" i="3"/>
  <c r="AA31" i="3"/>
  <c r="I31" i="3"/>
  <c r="M31" i="3"/>
  <c r="Q31" i="3"/>
  <c r="U31" i="3"/>
  <c r="Y31" i="3"/>
  <c r="AC31" i="3"/>
  <c r="F31" i="3"/>
  <c r="J31" i="3"/>
  <c r="N31" i="3"/>
  <c r="R31" i="3"/>
  <c r="V31" i="3"/>
  <c r="Z31" i="3"/>
  <c r="H31" i="3"/>
  <c r="X31" i="3"/>
  <c r="L31" i="3"/>
  <c r="AB31" i="3"/>
  <c r="P31" i="3"/>
  <c r="T31" i="3"/>
  <c r="AA9" i="3"/>
  <c r="W9" i="3"/>
  <c r="S9" i="3"/>
  <c r="O9" i="3"/>
  <c r="K9" i="3"/>
  <c r="G9" i="3"/>
  <c r="Z373" i="3"/>
  <c r="V373" i="3"/>
  <c r="R373" i="3"/>
  <c r="N373" i="3"/>
  <c r="J373" i="3"/>
  <c r="F373" i="3"/>
  <c r="Z372" i="3"/>
  <c r="V372" i="3"/>
  <c r="R372" i="3"/>
  <c r="N372" i="3"/>
  <c r="J372" i="3"/>
  <c r="F372" i="3"/>
  <c r="Z371" i="3"/>
  <c r="V371" i="3"/>
  <c r="R371" i="3"/>
  <c r="N371" i="3"/>
  <c r="J371" i="3"/>
  <c r="F371" i="3"/>
  <c r="Z370" i="3"/>
  <c r="V370" i="3"/>
  <c r="R370" i="3"/>
  <c r="N370" i="3"/>
  <c r="J370" i="3"/>
  <c r="F370" i="3"/>
  <c r="Z369" i="3"/>
  <c r="V369" i="3"/>
  <c r="R369" i="3"/>
  <c r="N369" i="3"/>
  <c r="J369" i="3"/>
  <c r="F369" i="3"/>
  <c r="Z368" i="3"/>
  <c r="V368" i="3"/>
  <c r="R368" i="3"/>
  <c r="N368" i="3"/>
  <c r="J368" i="3"/>
  <c r="F368" i="3"/>
  <c r="Z367" i="3"/>
  <c r="V367" i="3"/>
  <c r="R367" i="3"/>
  <c r="N367" i="3"/>
  <c r="J367" i="3"/>
  <c r="F367" i="3"/>
  <c r="Z366" i="3"/>
  <c r="V366" i="3"/>
  <c r="R366" i="3"/>
  <c r="N366" i="3"/>
  <c r="J366" i="3"/>
  <c r="F366" i="3"/>
  <c r="Z365" i="3"/>
  <c r="V365" i="3"/>
  <c r="R365" i="3"/>
  <c r="N365" i="3"/>
  <c r="J365" i="3"/>
  <c r="F365" i="3"/>
  <c r="Z364" i="3"/>
  <c r="V364" i="3"/>
  <c r="R364" i="3"/>
  <c r="N364" i="3"/>
  <c r="J364" i="3"/>
  <c r="F364" i="3"/>
  <c r="Z363" i="3"/>
  <c r="V363" i="3"/>
  <c r="R363" i="3"/>
  <c r="N363" i="3"/>
  <c r="J363" i="3"/>
  <c r="F363" i="3"/>
  <c r="Z362" i="3"/>
  <c r="V362" i="3"/>
  <c r="R362" i="3"/>
  <c r="N362" i="3"/>
  <c r="AA361" i="3"/>
  <c r="V361" i="3"/>
  <c r="P361" i="3"/>
  <c r="K361" i="3"/>
  <c r="F361" i="3"/>
  <c r="X360" i="3"/>
  <c r="S360" i="3"/>
  <c r="N360" i="3"/>
  <c r="H360" i="3"/>
  <c r="AA359" i="3"/>
  <c r="V359" i="3"/>
  <c r="P359" i="3"/>
  <c r="K359" i="3"/>
  <c r="F359" i="3"/>
  <c r="X358" i="3"/>
  <c r="S358" i="3"/>
  <c r="N358" i="3"/>
  <c r="X357" i="3"/>
  <c r="P357" i="3"/>
  <c r="H357" i="3"/>
  <c r="X356" i="3"/>
  <c r="P356" i="3"/>
  <c r="X355" i="3"/>
  <c r="P355" i="3"/>
  <c r="H355" i="3"/>
  <c r="X354" i="3"/>
  <c r="P354" i="3"/>
  <c r="X353" i="3"/>
  <c r="P353" i="3"/>
  <c r="H353" i="3"/>
  <c r="X352" i="3"/>
  <c r="P352" i="3"/>
  <c r="H352" i="3"/>
  <c r="X351" i="3"/>
  <c r="L351" i="3"/>
  <c r="AB349" i="3"/>
  <c r="L349" i="3"/>
  <c r="T348" i="3"/>
  <c r="AB347" i="3"/>
  <c r="L347" i="3"/>
  <c r="AB345" i="3"/>
  <c r="L345" i="3"/>
  <c r="T344" i="3"/>
  <c r="AB343" i="3"/>
  <c r="L343" i="3"/>
  <c r="AB341" i="3"/>
  <c r="L341" i="3"/>
  <c r="T340" i="3"/>
  <c r="AB339" i="3"/>
  <c r="L339" i="3"/>
  <c r="AB337" i="3"/>
  <c r="L337" i="3"/>
  <c r="AB335" i="3"/>
  <c r="L335" i="3"/>
  <c r="AB333" i="3"/>
  <c r="L333" i="3"/>
  <c r="T332" i="3"/>
  <c r="AB331" i="3"/>
  <c r="L331" i="3"/>
  <c r="AB329" i="3"/>
  <c r="L329" i="3"/>
  <c r="T328" i="3"/>
  <c r="AB327" i="3"/>
  <c r="L327" i="3"/>
  <c r="AB325" i="3"/>
  <c r="L325" i="3"/>
  <c r="T324" i="3"/>
  <c r="AB323" i="3"/>
  <c r="L323" i="3"/>
  <c r="G24" i="3"/>
  <c r="K24" i="3"/>
  <c r="O24" i="3"/>
  <c r="S24" i="3"/>
  <c r="W24" i="3"/>
  <c r="AA24" i="3"/>
  <c r="I24" i="3"/>
  <c r="M24" i="3"/>
  <c r="Q24" i="3"/>
  <c r="U24" i="3"/>
  <c r="Y24" i="3"/>
  <c r="AC24" i="3"/>
  <c r="F24" i="3"/>
  <c r="J24" i="3"/>
  <c r="N24" i="3"/>
  <c r="R24" i="3"/>
  <c r="V24" i="3"/>
  <c r="Z24" i="3"/>
  <c r="P24" i="3"/>
  <c r="T24" i="3"/>
  <c r="H24" i="3"/>
  <c r="X24" i="3"/>
  <c r="L24" i="3"/>
  <c r="AB24" i="3"/>
  <c r="G12" i="3"/>
  <c r="K12" i="3"/>
  <c r="O12" i="3"/>
  <c r="S12" i="3"/>
  <c r="W12" i="3"/>
  <c r="AA12" i="3"/>
  <c r="I12" i="3"/>
  <c r="M12" i="3"/>
  <c r="Q12" i="3"/>
  <c r="U12" i="3"/>
  <c r="Y12" i="3"/>
  <c r="AC12" i="3"/>
  <c r="F12" i="3"/>
  <c r="J12" i="3"/>
  <c r="N12" i="3"/>
  <c r="R12" i="3"/>
  <c r="V12" i="3"/>
  <c r="Z12" i="3"/>
  <c r="P12" i="3"/>
  <c r="T12" i="3"/>
  <c r="H12" i="3"/>
  <c r="X12" i="3"/>
  <c r="L12" i="3"/>
  <c r="AB12" i="3"/>
  <c r="I356" i="3"/>
  <c r="M356" i="3"/>
  <c r="Q356" i="3"/>
  <c r="U356" i="3"/>
  <c r="Y356" i="3"/>
  <c r="AC356" i="3"/>
  <c r="F356" i="3"/>
  <c r="J356" i="3"/>
  <c r="N356" i="3"/>
  <c r="R356" i="3"/>
  <c r="V356" i="3"/>
  <c r="Z356" i="3"/>
  <c r="I336" i="3"/>
  <c r="M336" i="3"/>
  <c r="Q336" i="3"/>
  <c r="U336" i="3"/>
  <c r="Y336" i="3"/>
  <c r="AC336" i="3"/>
  <c r="F336" i="3"/>
  <c r="J336" i="3"/>
  <c r="N336" i="3"/>
  <c r="R336" i="3"/>
  <c r="V336" i="3"/>
  <c r="Z336" i="3"/>
  <c r="G336" i="3"/>
  <c r="K336" i="3"/>
  <c r="O336" i="3"/>
  <c r="S336" i="3"/>
  <c r="W336" i="3"/>
  <c r="AA336" i="3"/>
  <c r="G30" i="3"/>
  <c r="K30" i="3"/>
  <c r="O30" i="3"/>
  <c r="S30" i="3"/>
  <c r="W30" i="3"/>
  <c r="AA30" i="3"/>
  <c r="I30" i="3"/>
  <c r="M30" i="3"/>
  <c r="Q30" i="3"/>
  <c r="U30" i="3"/>
  <c r="Y30" i="3"/>
  <c r="AC30" i="3"/>
  <c r="F30" i="3"/>
  <c r="J30" i="3"/>
  <c r="N30" i="3"/>
  <c r="R30" i="3"/>
  <c r="V30" i="3"/>
  <c r="Z30" i="3"/>
  <c r="P30" i="3"/>
  <c r="T30" i="3"/>
  <c r="H30" i="3"/>
  <c r="X30" i="3"/>
  <c r="L30" i="3"/>
  <c r="AB30" i="3"/>
  <c r="G26" i="3"/>
  <c r="K26" i="3"/>
  <c r="O26" i="3"/>
  <c r="S26" i="3"/>
  <c r="W26" i="3"/>
  <c r="AA26" i="3"/>
  <c r="I26" i="3"/>
  <c r="M26" i="3"/>
  <c r="Q26" i="3"/>
  <c r="U26" i="3"/>
  <c r="Y26" i="3"/>
  <c r="AC26" i="3"/>
  <c r="F26" i="3"/>
  <c r="J26" i="3"/>
  <c r="N26" i="3"/>
  <c r="R26" i="3"/>
  <c r="V26" i="3"/>
  <c r="Z26" i="3"/>
  <c r="P26" i="3"/>
  <c r="T26" i="3"/>
  <c r="H26" i="3"/>
  <c r="X26" i="3"/>
  <c r="AB26" i="3"/>
  <c r="L26" i="3"/>
  <c r="G22" i="3"/>
  <c r="K22" i="3"/>
  <c r="O22" i="3"/>
  <c r="S22" i="3"/>
  <c r="W22" i="3"/>
  <c r="AA22" i="3"/>
  <c r="I22" i="3"/>
  <c r="M22" i="3"/>
  <c r="Q22" i="3"/>
  <c r="U22" i="3"/>
  <c r="Y22" i="3"/>
  <c r="AC22" i="3"/>
  <c r="F22" i="3"/>
  <c r="J22" i="3"/>
  <c r="N22" i="3"/>
  <c r="R22" i="3"/>
  <c r="V22" i="3"/>
  <c r="Z22" i="3"/>
  <c r="P22" i="3"/>
  <c r="T22" i="3"/>
  <c r="H22" i="3"/>
  <c r="X22" i="3"/>
  <c r="L22" i="3"/>
  <c r="AB22" i="3"/>
  <c r="G18" i="3"/>
  <c r="K18" i="3"/>
  <c r="O18" i="3"/>
  <c r="S18" i="3"/>
  <c r="W18" i="3"/>
  <c r="AA18" i="3"/>
  <c r="I18" i="3"/>
  <c r="M18" i="3"/>
  <c r="Q18" i="3"/>
  <c r="U18" i="3"/>
  <c r="Y18" i="3"/>
  <c r="AC18" i="3"/>
  <c r="F18" i="3"/>
  <c r="J18" i="3"/>
  <c r="N18" i="3"/>
  <c r="R18" i="3"/>
  <c r="V18" i="3"/>
  <c r="Z18" i="3"/>
  <c r="P18" i="3"/>
  <c r="T18" i="3"/>
  <c r="H18" i="3"/>
  <c r="X18" i="3"/>
  <c r="AB18" i="3"/>
  <c r="L18" i="3"/>
  <c r="G14" i="3"/>
  <c r="K14" i="3"/>
  <c r="O14" i="3"/>
  <c r="S14" i="3"/>
  <c r="W14" i="3"/>
  <c r="AA14" i="3"/>
  <c r="I14" i="3"/>
  <c r="M14" i="3"/>
  <c r="Q14" i="3"/>
  <c r="U14" i="3"/>
  <c r="Y14" i="3"/>
  <c r="AC14" i="3"/>
  <c r="F14" i="3"/>
  <c r="J14" i="3"/>
  <c r="N14" i="3"/>
  <c r="R14" i="3"/>
  <c r="V14" i="3"/>
  <c r="Z14" i="3"/>
  <c r="P14" i="3"/>
  <c r="T14" i="3"/>
  <c r="H14" i="3"/>
  <c r="X14" i="3"/>
  <c r="L14" i="3"/>
  <c r="AB14" i="3"/>
  <c r="G10" i="3"/>
  <c r="K10" i="3"/>
  <c r="O10" i="3"/>
  <c r="S10" i="3"/>
  <c r="W10" i="3"/>
  <c r="AA10" i="3"/>
  <c r="I10" i="3"/>
  <c r="M10" i="3"/>
  <c r="Q10" i="3"/>
  <c r="U10" i="3"/>
  <c r="Y10" i="3"/>
  <c r="AC10" i="3"/>
  <c r="F10" i="3"/>
  <c r="J10" i="3"/>
  <c r="N10" i="3"/>
  <c r="R10" i="3"/>
  <c r="V10" i="3"/>
  <c r="Z10" i="3"/>
  <c r="P10" i="3"/>
  <c r="T10" i="3"/>
  <c r="H10" i="3"/>
  <c r="X10" i="3"/>
  <c r="AB10" i="3"/>
  <c r="L10" i="3"/>
  <c r="I362" i="3"/>
  <c r="M362" i="3"/>
  <c r="I358" i="3"/>
  <c r="M358" i="3"/>
  <c r="Q358" i="3"/>
  <c r="U358" i="3"/>
  <c r="Y358" i="3"/>
  <c r="AC358" i="3"/>
  <c r="F358" i="3"/>
  <c r="I354" i="3"/>
  <c r="M354" i="3"/>
  <c r="Q354" i="3"/>
  <c r="U354" i="3"/>
  <c r="Y354" i="3"/>
  <c r="AC354" i="3"/>
  <c r="F354" i="3"/>
  <c r="J354" i="3"/>
  <c r="N354" i="3"/>
  <c r="R354" i="3"/>
  <c r="V354" i="3"/>
  <c r="Z354" i="3"/>
  <c r="I350" i="3"/>
  <c r="M350" i="3"/>
  <c r="Q350" i="3"/>
  <c r="U350" i="3"/>
  <c r="Y350" i="3"/>
  <c r="AC350" i="3"/>
  <c r="F350" i="3"/>
  <c r="J350" i="3"/>
  <c r="N350" i="3"/>
  <c r="R350" i="3"/>
  <c r="V350" i="3"/>
  <c r="Z350" i="3"/>
  <c r="G350" i="3"/>
  <c r="K350" i="3"/>
  <c r="O350" i="3"/>
  <c r="S350" i="3"/>
  <c r="W350" i="3"/>
  <c r="AA350" i="3"/>
  <c r="I346" i="3"/>
  <c r="M346" i="3"/>
  <c r="Q346" i="3"/>
  <c r="U346" i="3"/>
  <c r="Y346" i="3"/>
  <c r="AC346" i="3"/>
  <c r="F346" i="3"/>
  <c r="J346" i="3"/>
  <c r="N346" i="3"/>
  <c r="R346" i="3"/>
  <c r="V346" i="3"/>
  <c r="Z346" i="3"/>
  <c r="G346" i="3"/>
  <c r="K346" i="3"/>
  <c r="O346" i="3"/>
  <c r="S346" i="3"/>
  <c r="W346" i="3"/>
  <c r="AA346" i="3"/>
  <c r="I342" i="3"/>
  <c r="M342" i="3"/>
  <c r="Q342" i="3"/>
  <c r="U342" i="3"/>
  <c r="Y342" i="3"/>
  <c r="AC342" i="3"/>
  <c r="F342" i="3"/>
  <c r="J342" i="3"/>
  <c r="N342" i="3"/>
  <c r="R342" i="3"/>
  <c r="V342" i="3"/>
  <c r="Z342" i="3"/>
  <c r="G342" i="3"/>
  <c r="K342" i="3"/>
  <c r="O342" i="3"/>
  <c r="S342" i="3"/>
  <c r="W342" i="3"/>
  <c r="AA342" i="3"/>
  <c r="I338" i="3"/>
  <c r="M338" i="3"/>
  <c r="Q338" i="3"/>
  <c r="U338" i="3"/>
  <c r="Y338" i="3"/>
  <c r="AC338" i="3"/>
  <c r="F338" i="3"/>
  <c r="J338" i="3"/>
  <c r="N338" i="3"/>
  <c r="R338" i="3"/>
  <c r="V338" i="3"/>
  <c r="Z338" i="3"/>
  <c r="G338" i="3"/>
  <c r="K338" i="3"/>
  <c r="O338" i="3"/>
  <c r="S338" i="3"/>
  <c r="W338" i="3"/>
  <c r="AA338" i="3"/>
  <c r="I334" i="3"/>
  <c r="M334" i="3"/>
  <c r="Q334" i="3"/>
  <c r="U334" i="3"/>
  <c r="Y334" i="3"/>
  <c r="AC334" i="3"/>
  <c r="F334" i="3"/>
  <c r="J334" i="3"/>
  <c r="N334" i="3"/>
  <c r="R334" i="3"/>
  <c r="V334" i="3"/>
  <c r="Z334" i="3"/>
  <c r="G334" i="3"/>
  <c r="K334" i="3"/>
  <c r="O334" i="3"/>
  <c r="S334" i="3"/>
  <c r="W334" i="3"/>
  <c r="AA334" i="3"/>
  <c r="I330" i="3"/>
  <c r="M330" i="3"/>
  <c r="Q330" i="3"/>
  <c r="U330" i="3"/>
  <c r="Y330" i="3"/>
  <c r="AC330" i="3"/>
  <c r="F330" i="3"/>
  <c r="J330" i="3"/>
  <c r="N330" i="3"/>
  <c r="R330" i="3"/>
  <c r="V330" i="3"/>
  <c r="Z330" i="3"/>
  <c r="G330" i="3"/>
  <c r="K330" i="3"/>
  <c r="O330" i="3"/>
  <c r="S330" i="3"/>
  <c r="W330" i="3"/>
  <c r="AA330" i="3"/>
  <c r="I326" i="3"/>
  <c r="M326" i="3"/>
  <c r="Q326" i="3"/>
  <c r="U326" i="3"/>
  <c r="Y326" i="3"/>
  <c r="AC326" i="3"/>
  <c r="F326" i="3"/>
  <c r="J326" i="3"/>
  <c r="N326" i="3"/>
  <c r="R326" i="3"/>
  <c r="V326" i="3"/>
  <c r="Z326" i="3"/>
  <c r="G326" i="3"/>
  <c r="K326" i="3"/>
  <c r="O326" i="3"/>
  <c r="S326" i="3"/>
  <c r="W326" i="3"/>
  <c r="AA326" i="3"/>
  <c r="I322" i="3"/>
  <c r="M322" i="3"/>
  <c r="Q322" i="3"/>
  <c r="U322" i="3"/>
  <c r="Y322" i="3"/>
  <c r="AC322" i="3"/>
  <c r="F322" i="3"/>
  <c r="J322" i="3"/>
  <c r="N322" i="3"/>
  <c r="R322" i="3"/>
  <c r="V322" i="3"/>
  <c r="Z322" i="3"/>
  <c r="G322" i="3"/>
  <c r="K322" i="3"/>
  <c r="O322" i="3"/>
  <c r="S322" i="3"/>
  <c r="W322" i="3"/>
  <c r="AA322" i="3"/>
  <c r="H322" i="3"/>
  <c r="L322" i="3"/>
  <c r="P322" i="3"/>
  <c r="T322" i="3"/>
  <c r="X322" i="3"/>
  <c r="I318" i="3"/>
  <c r="M318" i="3"/>
  <c r="Q318" i="3"/>
  <c r="U318" i="3"/>
  <c r="Y318" i="3"/>
  <c r="AC318" i="3"/>
  <c r="F318" i="3"/>
  <c r="J318" i="3"/>
  <c r="N318" i="3"/>
  <c r="R318" i="3"/>
  <c r="V318" i="3"/>
  <c r="Z318" i="3"/>
  <c r="G318" i="3"/>
  <c r="K318" i="3"/>
  <c r="O318" i="3"/>
  <c r="S318" i="3"/>
  <c r="W318" i="3"/>
  <c r="AA318" i="3"/>
  <c r="H318" i="3"/>
  <c r="L318" i="3"/>
  <c r="P318" i="3"/>
  <c r="T318" i="3"/>
  <c r="X318" i="3"/>
  <c r="AB318" i="3"/>
  <c r="I314" i="3"/>
  <c r="M314" i="3"/>
  <c r="Q314" i="3"/>
  <c r="U314" i="3"/>
  <c r="Y314" i="3"/>
  <c r="AC314" i="3"/>
  <c r="F314" i="3"/>
  <c r="J314" i="3"/>
  <c r="N314" i="3"/>
  <c r="R314" i="3"/>
  <c r="V314" i="3"/>
  <c r="Z314" i="3"/>
  <c r="G314" i="3"/>
  <c r="K314" i="3"/>
  <c r="O314" i="3"/>
  <c r="S314" i="3"/>
  <c r="W314" i="3"/>
  <c r="AA314" i="3"/>
  <c r="H314" i="3"/>
  <c r="L314" i="3"/>
  <c r="P314" i="3"/>
  <c r="T314" i="3"/>
  <c r="X314" i="3"/>
  <c r="AB314" i="3"/>
  <c r="I310" i="3"/>
  <c r="M310" i="3"/>
  <c r="Q310" i="3"/>
  <c r="U310" i="3"/>
  <c r="Y310" i="3"/>
  <c r="AC310" i="3"/>
  <c r="F310" i="3"/>
  <c r="J310" i="3"/>
  <c r="N310" i="3"/>
  <c r="R310" i="3"/>
  <c r="V310" i="3"/>
  <c r="Z310" i="3"/>
  <c r="G310" i="3"/>
  <c r="K310" i="3"/>
  <c r="O310" i="3"/>
  <c r="S310" i="3"/>
  <c r="W310" i="3"/>
  <c r="AA310" i="3"/>
  <c r="H310" i="3"/>
  <c r="L310" i="3"/>
  <c r="P310" i="3"/>
  <c r="T310" i="3"/>
  <c r="X310" i="3"/>
  <c r="AB310" i="3"/>
  <c r="I306" i="3"/>
  <c r="M306" i="3"/>
  <c r="Q306" i="3"/>
  <c r="U306" i="3"/>
  <c r="Y306" i="3"/>
  <c r="AC306" i="3"/>
  <c r="F306" i="3"/>
  <c r="J306" i="3"/>
  <c r="N306" i="3"/>
  <c r="R306" i="3"/>
  <c r="V306" i="3"/>
  <c r="Z306" i="3"/>
  <c r="G306" i="3"/>
  <c r="K306" i="3"/>
  <c r="O306" i="3"/>
  <c r="S306" i="3"/>
  <c r="W306" i="3"/>
  <c r="AA306" i="3"/>
  <c r="H306" i="3"/>
  <c r="L306" i="3"/>
  <c r="P306" i="3"/>
  <c r="T306" i="3"/>
  <c r="X306" i="3"/>
  <c r="AB306" i="3"/>
  <c r="I302" i="3"/>
  <c r="M302" i="3"/>
  <c r="Q302" i="3"/>
  <c r="U302" i="3"/>
  <c r="Y302" i="3"/>
  <c r="AC302" i="3"/>
  <c r="F302" i="3"/>
  <c r="J302" i="3"/>
  <c r="N302" i="3"/>
  <c r="R302" i="3"/>
  <c r="V302" i="3"/>
  <c r="Z302" i="3"/>
  <c r="G302" i="3"/>
  <c r="K302" i="3"/>
  <c r="O302" i="3"/>
  <c r="S302" i="3"/>
  <c r="W302" i="3"/>
  <c r="AA302" i="3"/>
  <c r="H302" i="3"/>
  <c r="L302" i="3"/>
  <c r="P302" i="3"/>
  <c r="T302" i="3"/>
  <c r="X302" i="3"/>
  <c r="AB302" i="3"/>
  <c r="I298" i="3"/>
  <c r="M298" i="3"/>
  <c r="Q298" i="3"/>
  <c r="U298" i="3"/>
  <c r="Y298" i="3"/>
  <c r="AC298" i="3"/>
  <c r="F298" i="3"/>
  <c r="J298" i="3"/>
  <c r="N298" i="3"/>
  <c r="R298" i="3"/>
  <c r="V298" i="3"/>
  <c r="Z298" i="3"/>
  <c r="G298" i="3"/>
  <c r="K298" i="3"/>
  <c r="O298" i="3"/>
  <c r="S298" i="3"/>
  <c r="W298" i="3"/>
  <c r="AA298" i="3"/>
  <c r="H298" i="3"/>
  <c r="L298" i="3"/>
  <c r="P298" i="3"/>
  <c r="T298" i="3"/>
  <c r="X298" i="3"/>
  <c r="AB298" i="3"/>
  <c r="I294" i="3"/>
  <c r="M294" i="3"/>
  <c r="Q294" i="3"/>
  <c r="U294" i="3"/>
  <c r="Y294" i="3"/>
  <c r="AC294" i="3"/>
  <c r="F294" i="3"/>
  <c r="J294" i="3"/>
  <c r="N294" i="3"/>
  <c r="R294" i="3"/>
  <c r="V294" i="3"/>
  <c r="Z294" i="3"/>
  <c r="G294" i="3"/>
  <c r="K294" i="3"/>
  <c r="O294" i="3"/>
  <c r="S294" i="3"/>
  <c r="W294" i="3"/>
  <c r="AA294" i="3"/>
  <c r="H294" i="3"/>
  <c r="L294" i="3"/>
  <c r="P294" i="3"/>
  <c r="T294" i="3"/>
  <c r="X294" i="3"/>
  <c r="AB294" i="3"/>
  <c r="I290" i="3"/>
  <c r="M290" i="3"/>
  <c r="Q290" i="3"/>
  <c r="U290" i="3"/>
  <c r="Y290" i="3"/>
  <c r="AC290" i="3"/>
  <c r="F290" i="3"/>
  <c r="J290" i="3"/>
  <c r="N290" i="3"/>
  <c r="R290" i="3"/>
  <c r="V290" i="3"/>
  <c r="Z290" i="3"/>
  <c r="G290" i="3"/>
  <c r="K290" i="3"/>
  <c r="O290" i="3"/>
  <c r="S290" i="3"/>
  <c r="W290" i="3"/>
  <c r="AA290" i="3"/>
  <c r="H290" i="3"/>
  <c r="L290" i="3"/>
  <c r="P290" i="3"/>
  <c r="T290" i="3"/>
  <c r="X290" i="3"/>
  <c r="AB290" i="3"/>
  <c r="I286" i="3"/>
  <c r="M286" i="3"/>
  <c r="Q286" i="3"/>
  <c r="U286" i="3"/>
  <c r="Y286" i="3"/>
  <c r="AC286" i="3"/>
  <c r="F286" i="3"/>
  <c r="J286" i="3"/>
  <c r="N286" i="3"/>
  <c r="R286" i="3"/>
  <c r="V286" i="3"/>
  <c r="Z286" i="3"/>
  <c r="G286" i="3"/>
  <c r="K286" i="3"/>
  <c r="O286" i="3"/>
  <c r="S286" i="3"/>
  <c r="W286" i="3"/>
  <c r="AA286" i="3"/>
  <c r="H286" i="3"/>
  <c r="L286" i="3"/>
  <c r="P286" i="3"/>
  <c r="T286" i="3"/>
  <c r="X286" i="3"/>
  <c r="AB286" i="3"/>
  <c r="I282" i="3"/>
  <c r="M282" i="3"/>
  <c r="Q282" i="3"/>
  <c r="U282" i="3"/>
  <c r="Y282" i="3"/>
  <c r="AC282" i="3"/>
  <c r="F282" i="3"/>
  <c r="J282" i="3"/>
  <c r="N282" i="3"/>
  <c r="R282" i="3"/>
  <c r="V282" i="3"/>
  <c r="Z282" i="3"/>
  <c r="G282" i="3"/>
  <c r="K282" i="3"/>
  <c r="O282" i="3"/>
  <c r="S282" i="3"/>
  <c r="W282" i="3"/>
  <c r="AA282" i="3"/>
  <c r="H282" i="3"/>
  <c r="L282" i="3"/>
  <c r="P282" i="3"/>
  <c r="T282" i="3"/>
  <c r="X282" i="3"/>
  <c r="AB282" i="3"/>
  <c r="I278" i="3"/>
  <c r="M278" i="3"/>
  <c r="Q278" i="3"/>
  <c r="U278" i="3"/>
  <c r="Y278" i="3"/>
  <c r="AC278" i="3"/>
  <c r="F278" i="3"/>
  <c r="J278" i="3"/>
  <c r="N278" i="3"/>
  <c r="R278" i="3"/>
  <c r="V278" i="3"/>
  <c r="Z278" i="3"/>
  <c r="G278" i="3"/>
  <c r="K278" i="3"/>
  <c r="O278" i="3"/>
  <c r="S278" i="3"/>
  <c r="W278" i="3"/>
  <c r="AA278" i="3"/>
  <c r="H278" i="3"/>
  <c r="L278" i="3"/>
  <c r="P278" i="3"/>
  <c r="T278" i="3"/>
  <c r="X278" i="3"/>
  <c r="AB278" i="3"/>
  <c r="I274" i="3"/>
  <c r="M274" i="3"/>
  <c r="Q274" i="3"/>
  <c r="U274" i="3"/>
  <c r="Y274" i="3"/>
  <c r="AC274" i="3"/>
  <c r="F274" i="3"/>
  <c r="J274" i="3"/>
  <c r="N274" i="3"/>
  <c r="R274" i="3"/>
  <c r="V274" i="3"/>
  <c r="Z274" i="3"/>
  <c r="G274" i="3"/>
  <c r="K274" i="3"/>
  <c r="O274" i="3"/>
  <c r="S274" i="3"/>
  <c r="W274" i="3"/>
  <c r="AA274" i="3"/>
  <c r="H274" i="3"/>
  <c r="L274" i="3"/>
  <c r="P274" i="3"/>
  <c r="T274" i="3"/>
  <c r="X274" i="3"/>
  <c r="AB274" i="3"/>
  <c r="I270" i="3"/>
  <c r="M270" i="3"/>
  <c r="Q270" i="3"/>
  <c r="U270" i="3"/>
  <c r="Y270" i="3"/>
  <c r="AC270" i="3"/>
  <c r="F270" i="3"/>
  <c r="J270" i="3"/>
  <c r="N270" i="3"/>
  <c r="R270" i="3"/>
  <c r="V270" i="3"/>
  <c r="Z270" i="3"/>
  <c r="G270" i="3"/>
  <c r="K270" i="3"/>
  <c r="O270" i="3"/>
  <c r="S270" i="3"/>
  <c r="W270" i="3"/>
  <c r="AA270" i="3"/>
  <c r="H270" i="3"/>
  <c r="L270" i="3"/>
  <c r="P270" i="3"/>
  <c r="T270" i="3"/>
  <c r="X270" i="3"/>
  <c r="AB270" i="3"/>
  <c r="I266" i="3"/>
  <c r="M266" i="3"/>
  <c r="Q266" i="3"/>
  <c r="U266" i="3"/>
  <c r="Y266" i="3"/>
  <c r="AC266" i="3"/>
  <c r="F266" i="3"/>
  <c r="J266" i="3"/>
  <c r="N266" i="3"/>
  <c r="R266" i="3"/>
  <c r="V266" i="3"/>
  <c r="Z266" i="3"/>
  <c r="G266" i="3"/>
  <c r="K266" i="3"/>
  <c r="O266" i="3"/>
  <c r="S266" i="3"/>
  <c r="W266" i="3"/>
  <c r="AA266" i="3"/>
  <c r="H266" i="3"/>
  <c r="L266" i="3"/>
  <c r="P266" i="3"/>
  <c r="T266" i="3"/>
  <c r="X266" i="3"/>
  <c r="AB266" i="3"/>
  <c r="I262" i="3"/>
  <c r="M262" i="3"/>
  <c r="Q262" i="3"/>
  <c r="U262" i="3"/>
  <c r="Y262" i="3"/>
  <c r="AC262" i="3"/>
  <c r="F262" i="3"/>
  <c r="J262" i="3"/>
  <c r="N262" i="3"/>
  <c r="R262" i="3"/>
  <c r="V262" i="3"/>
  <c r="Z262" i="3"/>
  <c r="G262" i="3"/>
  <c r="K262" i="3"/>
  <c r="O262" i="3"/>
  <c r="S262" i="3"/>
  <c r="W262" i="3"/>
  <c r="AA262" i="3"/>
  <c r="H262" i="3"/>
  <c r="L262" i="3"/>
  <c r="P262" i="3"/>
  <c r="T262" i="3"/>
  <c r="X262" i="3"/>
  <c r="AB262" i="3"/>
  <c r="I258" i="3"/>
  <c r="M258" i="3"/>
  <c r="Q258" i="3"/>
  <c r="U258" i="3"/>
  <c r="Y258" i="3"/>
  <c r="AC258" i="3"/>
  <c r="F258" i="3"/>
  <c r="J258" i="3"/>
  <c r="N258" i="3"/>
  <c r="R258" i="3"/>
  <c r="V258" i="3"/>
  <c r="Z258" i="3"/>
  <c r="G258" i="3"/>
  <c r="K258" i="3"/>
  <c r="O258" i="3"/>
  <c r="S258" i="3"/>
  <c r="W258" i="3"/>
  <c r="AA258" i="3"/>
  <c r="H258" i="3"/>
  <c r="L258" i="3"/>
  <c r="P258" i="3"/>
  <c r="T258" i="3"/>
  <c r="X258" i="3"/>
  <c r="AB258" i="3"/>
  <c r="I254" i="3"/>
  <c r="M254" i="3"/>
  <c r="Q254" i="3"/>
  <c r="U254" i="3"/>
  <c r="Y254" i="3"/>
  <c r="AC254" i="3"/>
  <c r="F254" i="3"/>
  <c r="J254" i="3"/>
  <c r="N254" i="3"/>
  <c r="R254" i="3"/>
  <c r="V254" i="3"/>
  <c r="Z254" i="3"/>
  <c r="G254" i="3"/>
  <c r="K254" i="3"/>
  <c r="O254" i="3"/>
  <c r="S254" i="3"/>
  <c r="W254" i="3"/>
  <c r="AA254" i="3"/>
  <c r="H254" i="3"/>
  <c r="L254" i="3"/>
  <c r="P254" i="3"/>
  <c r="T254" i="3"/>
  <c r="X254" i="3"/>
  <c r="AB254" i="3"/>
  <c r="I250" i="3"/>
  <c r="M250" i="3"/>
  <c r="Q250" i="3"/>
  <c r="U250" i="3"/>
  <c r="Y250" i="3"/>
  <c r="AC250" i="3"/>
  <c r="F250" i="3"/>
  <c r="J250" i="3"/>
  <c r="N250" i="3"/>
  <c r="R250" i="3"/>
  <c r="V250" i="3"/>
  <c r="Z250" i="3"/>
  <c r="G250" i="3"/>
  <c r="K250" i="3"/>
  <c r="O250" i="3"/>
  <c r="S250" i="3"/>
  <c r="W250" i="3"/>
  <c r="AA250" i="3"/>
  <c r="H250" i="3"/>
  <c r="L250" i="3"/>
  <c r="P250" i="3"/>
  <c r="T250" i="3"/>
  <c r="X250" i="3"/>
  <c r="AB250" i="3"/>
  <c r="I246" i="3"/>
  <c r="M246" i="3"/>
  <c r="Q246" i="3"/>
  <c r="U246" i="3"/>
  <c r="Y246" i="3"/>
  <c r="AC246" i="3"/>
  <c r="F246" i="3"/>
  <c r="J246" i="3"/>
  <c r="N246" i="3"/>
  <c r="R246" i="3"/>
  <c r="V246" i="3"/>
  <c r="Z246" i="3"/>
  <c r="G246" i="3"/>
  <c r="K246" i="3"/>
  <c r="O246" i="3"/>
  <c r="S246" i="3"/>
  <c r="W246" i="3"/>
  <c r="AA246" i="3"/>
  <c r="H246" i="3"/>
  <c r="L246" i="3"/>
  <c r="P246" i="3"/>
  <c r="T246" i="3"/>
  <c r="X246" i="3"/>
  <c r="AB246" i="3"/>
  <c r="I242" i="3"/>
  <c r="M242" i="3"/>
  <c r="Q242" i="3"/>
  <c r="U242" i="3"/>
  <c r="Y242" i="3"/>
  <c r="AC242" i="3"/>
  <c r="F242" i="3"/>
  <c r="J242" i="3"/>
  <c r="N242" i="3"/>
  <c r="R242" i="3"/>
  <c r="V242" i="3"/>
  <c r="Z242" i="3"/>
  <c r="G242" i="3"/>
  <c r="K242" i="3"/>
  <c r="O242" i="3"/>
  <c r="S242" i="3"/>
  <c r="W242" i="3"/>
  <c r="AA242" i="3"/>
  <c r="H242" i="3"/>
  <c r="L242" i="3"/>
  <c r="P242" i="3"/>
  <c r="T242" i="3"/>
  <c r="X242" i="3"/>
  <c r="AB242" i="3"/>
  <c r="I238" i="3"/>
  <c r="M238" i="3"/>
  <c r="Q238" i="3"/>
  <c r="U238" i="3"/>
  <c r="Y238" i="3"/>
  <c r="AC238" i="3"/>
  <c r="F238" i="3"/>
  <c r="J238" i="3"/>
  <c r="N238" i="3"/>
  <c r="R238" i="3"/>
  <c r="V238" i="3"/>
  <c r="Z238" i="3"/>
  <c r="G238" i="3"/>
  <c r="K238" i="3"/>
  <c r="O238" i="3"/>
  <c r="S238" i="3"/>
  <c r="W238" i="3"/>
  <c r="AA238" i="3"/>
  <c r="H238" i="3"/>
  <c r="L238" i="3"/>
  <c r="P238" i="3"/>
  <c r="T238" i="3"/>
  <c r="X238" i="3"/>
  <c r="AB238" i="3"/>
  <c r="I234" i="3"/>
  <c r="M234" i="3"/>
  <c r="Q234" i="3"/>
  <c r="U234" i="3"/>
  <c r="Y234" i="3"/>
  <c r="AC234" i="3"/>
  <c r="F234" i="3"/>
  <c r="J234" i="3"/>
  <c r="N234" i="3"/>
  <c r="R234" i="3"/>
  <c r="V234" i="3"/>
  <c r="Z234" i="3"/>
  <c r="G234" i="3"/>
  <c r="K234" i="3"/>
  <c r="O234" i="3"/>
  <c r="S234" i="3"/>
  <c r="W234" i="3"/>
  <c r="AA234" i="3"/>
  <c r="H234" i="3"/>
  <c r="L234" i="3"/>
  <c r="P234" i="3"/>
  <c r="T234" i="3"/>
  <c r="X234" i="3"/>
  <c r="AB234" i="3"/>
  <c r="F230" i="3"/>
  <c r="J230" i="3"/>
  <c r="N230" i="3"/>
  <c r="R230" i="3"/>
  <c r="V230" i="3"/>
  <c r="Z230" i="3"/>
  <c r="K230" i="3"/>
  <c r="P230" i="3"/>
  <c r="U230" i="3"/>
  <c r="AA230" i="3"/>
  <c r="G230" i="3"/>
  <c r="L230" i="3"/>
  <c r="Q230" i="3"/>
  <c r="W230" i="3"/>
  <c r="AB230" i="3"/>
  <c r="H230" i="3"/>
  <c r="M230" i="3"/>
  <c r="S230" i="3"/>
  <c r="X230" i="3"/>
  <c r="AC230" i="3"/>
  <c r="I230" i="3"/>
  <c r="O230" i="3"/>
  <c r="T230" i="3"/>
  <c r="Y230" i="3"/>
  <c r="F226" i="3"/>
  <c r="J226" i="3"/>
  <c r="N226" i="3"/>
  <c r="R226" i="3"/>
  <c r="V226" i="3"/>
  <c r="Z226" i="3"/>
  <c r="K226" i="3"/>
  <c r="P226" i="3"/>
  <c r="U226" i="3"/>
  <c r="AA226" i="3"/>
  <c r="G226" i="3"/>
  <c r="L226" i="3"/>
  <c r="Q226" i="3"/>
  <c r="W226" i="3"/>
  <c r="AB226" i="3"/>
  <c r="H226" i="3"/>
  <c r="M226" i="3"/>
  <c r="S226" i="3"/>
  <c r="X226" i="3"/>
  <c r="AC226" i="3"/>
  <c r="I226" i="3"/>
  <c r="O226" i="3"/>
  <c r="T226" i="3"/>
  <c r="Y226" i="3"/>
  <c r="F222" i="3"/>
  <c r="J222" i="3"/>
  <c r="N222" i="3"/>
  <c r="R222" i="3"/>
  <c r="V222" i="3"/>
  <c r="Z222" i="3"/>
  <c r="K222" i="3"/>
  <c r="P222" i="3"/>
  <c r="U222" i="3"/>
  <c r="AA222" i="3"/>
  <c r="G222" i="3"/>
  <c r="L222" i="3"/>
  <c r="Q222" i="3"/>
  <c r="W222" i="3"/>
  <c r="AB222" i="3"/>
  <c r="H222" i="3"/>
  <c r="M222" i="3"/>
  <c r="S222" i="3"/>
  <c r="X222" i="3"/>
  <c r="AC222" i="3"/>
  <c r="I222" i="3"/>
  <c r="O222" i="3"/>
  <c r="T222" i="3"/>
  <c r="Y222" i="3"/>
  <c r="F218" i="3"/>
  <c r="J218" i="3"/>
  <c r="N218" i="3"/>
  <c r="R218" i="3"/>
  <c r="V218" i="3"/>
  <c r="Z218" i="3"/>
  <c r="K218" i="3"/>
  <c r="P218" i="3"/>
  <c r="U218" i="3"/>
  <c r="AA218" i="3"/>
  <c r="G218" i="3"/>
  <c r="L218" i="3"/>
  <c r="Q218" i="3"/>
  <c r="W218" i="3"/>
  <c r="AB218" i="3"/>
  <c r="H218" i="3"/>
  <c r="M218" i="3"/>
  <c r="S218" i="3"/>
  <c r="X218" i="3"/>
  <c r="AC218" i="3"/>
  <c r="I218" i="3"/>
  <c r="O218" i="3"/>
  <c r="T218" i="3"/>
  <c r="Y218" i="3"/>
  <c r="F214" i="3"/>
  <c r="J214" i="3"/>
  <c r="N214" i="3"/>
  <c r="R214" i="3"/>
  <c r="V214" i="3"/>
  <c r="Z214" i="3"/>
  <c r="K214" i="3"/>
  <c r="P214" i="3"/>
  <c r="U214" i="3"/>
  <c r="AA214" i="3"/>
  <c r="G214" i="3"/>
  <c r="L214" i="3"/>
  <c r="Q214" i="3"/>
  <c r="W214" i="3"/>
  <c r="AB214" i="3"/>
  <c r="H214" i="3"/>
  <c r="M214" i="3"/>
  <c r="S214" i="3"/>
  <c r="X214" i="3"/>
  <c r="AC214" i="3"/>
  <c r="I214" i="3"/>
  <c r="O214" i="3"/>
  <c r="T214" i="3"/>
  <c r="Y214" i="3"/>
  <c r="F210" i="3"/>
  <c r="J210" i="3"/>
  <c r="N210" i="3"/>
  <c r="R210" i="3"/>
  <c r="V210" i="3"/>
  <c r="Z210" i="3"/>
  <c r="K210" i="3"/>
  <c r="P210" i="3"/>
  <c r="U210" i="3"/>
  <c r="AA210" i="3"/>
  <c r="G210" i="3"/>
  <c r="L210" i="3"/>
  <c r="Q210" i="3"/>
  <c r="W210" i="3"/>
  <c r="AB210" i="3"/>
  <c r="H210" i="3"/>
  <c r="M210" i="3"/>
  <c r="S210" i="3"/>
  <c r="X210" i="3"/>
  <c r="AC210" i="3"/>
  <c r="I210" i="3"/>
  <c r="O210" i="3"/>
  <c r="T210" i="3"/>
  <c r="Y210" i="3"/>
  <c r="F206" i="3"/>
  <c r="J206" i="3"/>
  <c r="N206" i="3"/>
  <c r="R206" i="3"/>
  <c r="V206" i="3"/>
  <c r="Z206" i="3"/>
  <c r="K206" i="3"/>
  <c r="P206" i="3"/>
  <c r="U206" i="3"/>
  <c r="AA206" i="3"/>
  <c r="G206" i="3"/>
  <c r="L206" i="3"/>
  <c r="Q206" i="3"/>
  <c r="W206" i="3"/>
  <c r="AB206" i="3"/>
  <c r="H206" i="3"/>
  <c r="M206" i="3"/>
  <c r="S206" i="3"/>
  <c r="X206" i="3"/>
  <c r="AC206" i="3"/>
  <c r="I206" i="3"/>
  <c r="O206" i="3"/>
  <c r="T206" i="3"/>
  <c r="Y206" i="3"/>
  <c r="I202" i="3"/>
  <c r="M202" i="3"/>
  <c r="Q202" i="3"/>
  <c r="U202" i="3"/>
  <c r="Y202" i="3"/>
  <c r="AC202" i="3"/>
  <c r="F202" i="3"/>
  <c r="J202" i="3"/>
  <c r="N202" i="3"/>
  <c r="R202" i="3"/>
  <c r="V202" i="3"/>
  <c r="Z202" i="3"/>
  <c r="G202" i="3"/>
  <c r="K202" i="3"/>
  <c r="O202" i="3"/>
  <c r="S202" i="3"/>
  <c r="W202" i="3"/>
  <c r="AA202" i="3"/>
  <c r="L202" i="3"/>
  <c r="AB202" i="3"/>
  <c r="P202" i="3"/>
  <c r="T202" i="3"/>
  <c r="H202" i="3"/>
  <c r="X202" i="3"/>
  <c r="I198" i="3"/>
  <c r="M198" i="3"/>
  <c r="Q198" i="3"/>
  <c r="U198" i="3"/>
  <c r="Y198" i="3"/>
  <c r="AC198" i="3"/>
  <c r="F198" i="3"/>
  <c r="J198" i="3"/>
  <c r="N198" i="3"/>
  <c r="R198" i="3"/>
  <c r="V198" i="3"/>
  <c r="Z198" i="3"/>
  <c r="G198" i="3"/>
  <c r="K198" i="3"/>
  <c r="O198" i="3"/>
  <c r="S198" i="3"/>
  <c r="W198" i="3"/>
  <c r="AA198" i="3"/>
  <c r="L198" i="3"/>
  <c r="AB198" i="3"/>
  <c r="P198" i="3"/>
  <c r="T198" i="3"/>
  <c r="H198" i="3"/>
  <c r="X198" i="3"/>
  <c r="I194" i="3"/>
  <c r="M194" i="3"/>
  <c r="Q194" i="3"/>
  <c r="U194" i="3"/>
  <c r="Y194" i="3"/>
  <c r="AC194" i="3"/>
  <c r="F194" i="3"/>
  <c r="J194" i="3"/>
  <c r="N194" i="3"/>
  <c r="R194" i="3"/>
  <c r="V194" i="3"/>
  <c r="Z194" i="3"/>
  <c r="G194" i="3"/>
  <c r="K194" i="3"/>
  <c r="O194" i="3"/>
  <c r="S194" i="3"/>
  <c r="W194" i="3"/>
  <c r="AA194" i="3"/>
  <c r="L194" i="3"/>
  <c r="AB194" i="3"/>
  <c r="P194" i="3"/>
  <c r="T194" i="3"/>
  <c r="H194" i="3"/>
  <c r="X194" i="3"/>
  <c r="I190" i="3"/>
  <c r="M190" i="3"/>
  <c r="Q190" i="3"/>
  <c r="U190" i="3"/>
  <c r="Y190" i="3"/>
  <c r="AC190" i="3"/>
  <c r="F190" i="3"/>
  <c r="J190" i="3"/>
  <c r="N190" i="3"/>
  <c r="R190" i="3"/>
  <c r="V190" i="3"/>
  <c r="Z190" i="3"/>
  <c r="G190" i="3"/>
  <c r="K190" i="3"/>
  <c r="O190" i="3"/>
  <c r="S190" i="3"/>
  <c r="W190" i="3"/>
  <c r="AA190" i="3"/>
  <c r="H190" i="3"/>
  <c r="L190" i="3"/>
  <c r="P190" i="3"/>
  <c r="T190" i="3"/>
  <c r="X190" i="3"/>
  <c r="AB190" i="3"/>
  <c r="I186" i="3"/>
  <c r="M186" i="3"/>
  <c r="Q186" i="3"/>
  <c r="U186" i="3"/>
  <c r="Y186" i="3"/>
  <c r="AC186" i="3"/>
  <c r="F186" i="3"/>
  <c r="J186" i="3"/>
  <c r="N186" i="3"/>
  <c r="R186" i="3"/>
  <c r="V186" i="3"/>
  <c r="Z186" i="3"/>
  <c r="G186" i="3"/>
  <c r="K186" i="3"/>
  <c r="O186" i="3"/>
  <c r="S186" i="3"/>
  <c r="W186" i="3"/>
  <c r="AA186" i="3"/>
  <c r="H186" i="3"/>
  <c r="L186" i="3"/>
  <c r="P186" i="3"/>
  <c r="T186" i="3"/>
  <c r="X186" i="3"/>
  <c r="AB186" i="3"/>
  <c r="I182" i="3"/>
  <c r="M182" i="3"/>
  <c r="Q182" i="3"/>
  <c r="U182" i="3"/>
  <c r="Y182" i="3"/>
  <c r="AC182" i="3"/>
  <c r="F182" i="3"/>
  <c r="J182" i="3"/>
  <c r="N182" i="3"/>
  <c r="R182" i="3"/>
  <c r="V182" i="3"/>
  <c r="Z182" i="3"/>
  <c r="G182" i="3"/>
  <c r="K182" i="3"/>
  <c r="O182" i="3"/>
  <c r="S182" i="3"/>
  <c r="W182" i="3"/>
  <c r="AA182" i="3"/>
  <c r="H182" i="3"/>
  <c r="L182" i="3"/>
  <c r="P182" i="3"/>
  <c r="T182" i="3"/>
  <c r="X182" i="3"/>
  <c r="AB182" i="3"/>
  <c r="I178" i="3"/>
  <c r="M178" i="3"/>
  <c r="Q178" i="3"/>
  <c r="U178" i="3"/>
  <c r="Y178" i="3"/>
  <c r="AC178" i="3"/>
  <c r="F178" i="3"/>
  <c r="J178" i="3"/>
  <c r="N178" i="3"/>
  <c r="R178" i="3"/>
  <c r="V178" i="3"/>
  <c r="Z178" i="3"/>
  <c r="G178" i="3"/>
  <c r="K178" i="3"/>
  <c r="O178" i="3"/>
  <c r="S178" i="3"/>
  <c r="W178" i="3"/>
  <c r="AA178" i="3"/>
  <c r="H178" i="3"/>
  <c r="L178" i="3"/>
  <c r="P178" i="3"/>
  <c r="T178" i="3"/>
  <c r="X178" i="3"/>
  <c r="AB178" i="3"/>
  <c r="I174" i="3"/>
  <c r="M174" i="3"/>
  <c r="Q174" i="3"/>
  <c r="U174" i="3"/>
  <c r="Y174" i="3"/>
  <c r="AC174" i="3"/>
  <c r="F174" i="3"/>
  <c r="J174" i="3"/>
  <c r="N174" i="3"/>
  <c r="R174" i="3"/>
  <c r="V174" i="3"/>
  <c r="Z174" i="3"/>
  <c r="G174" i="3"/>
  <c r="K174" i="3"/>
  <c r="O174" i="3"/>
  <c r="S174" i="3"/>
  <c r="W174" i="3"/>
  <c r="AA174" i="3"/>
  <c r="H174" i="3"/>
  <c r="L174" i="3"/>
  <c r="P174" i="3"/>
  <c r="T174" i="3"/>
  <c r="X174" i="3"/>
  <c r="AB174" i="3"/>
  <c r="I170" i="3"/>
  <c r="M170" i="3"/>
  <c r="Q170" i="3"/>
  <c r="U170" i="3"/>
  <c r="Y170" i="3"/>
  <c r="AC170" i="3"/>
  <c r="F170" i="3"/>
  <c r="J170" i="3"/>
  <c r="N170" i="3"/>
  <c r="R170" i="3"/>
  <c r="V170" i="3"/>
  <c r="Z170" i="3"/>
  <c r="G170" i="3"/>
  <c r="K170" i="3"/>
  <c r="O170" i="3"/>
  <c r="S170" i="3"/>
  <c r="W170" i="3"/>
  <c r="AA170" i="3"/>
  <c r="H170" i="3"/>
  <c r="L170" i="3"/>
  <c r="P170" i="3"/>
  <c r="T170" i="3"/>
  <c r="X170" i="3"/>
  <c r="AB170" i="3"/>
  <c r="I166" i="3"/>
  <c r="M166" i="3"/>
  <c r="Q166" i="3"/>
  <c r="U166" i="3"/>
  <c r="Y166" i="3"/>
  <c r="AC166" i="3"/>
  <c r="F166" i="3"/>
  <c r="J166" i="3"/>
  <c r="N166" i="3"/>
  <c r="R166" i="3"/>
  <c r="V166" i="3"/>
  <c r="Z166" i="3"/>
  <c r="G166" i="3"/>
  <c r="K166" i="3"/>
  <c r="O166" i="3"/>
  <c r="S166" i="3"/>
  <c r="W166" i="3"/>
  <c r="AA166" i="3"/>
  <c r="H166" i="3"/>
  <c r="L166" i="3"/>
  <c r="P166" i="3"/>
  <c r="T166" i="3"/>
  <c r="X166" i="3"/>
  <c r="AB166" i="3"/>
  <c r="I162" i="3"/>
  <c r="M162" i="3"/>
  <c r="Q162" i="3"/>
  <c r="U162" i="3"/>
  <c r="Y162" i="3"/>
  <c r="AC162" i="3"/>
  <c r="F162" i="3"/>
  <c r="J162" i="3"/>
  <c r="N162" i="3"/>
  <c r="R162" i="3"/>
  <c r="V162" i="3"/>
  <c r="Z162" i="3"/>
  <c r="G162" i="3"/>
  <c r="K162" i="3"/>
  <c r="O162" i="3"/>
  <c r="S162" i="3"/>
  <c r="W162" i="3"/>
  <c r="AA162" i="3"/>
  <c r="H162" i="3"/>
  <c r="L162" i="3"/>
  <c r="P162" i="3"/>
  <c r="T162" i="3"/>
  <c r="X162" i="3"/>
  <c r="AB162" i="3"/>
  <c r="I158" i="3"/>
  <c r="M158" i="3"/>
  <c r="Q158" i="3"/>
  <c r="U158" i="3"/>
  <c r="Y158" i="3"/>
  <c r="AC158" i="3"/>
  <c r="H158" i="3"/>
  <c r="N158" i="3"/>
  <c r="S158" i="3"/>
  <c r="X158" i="3"/>
  <c r="J158" i="3"/>
  <c r="O158" i="3"/>
  <c r="T158" i="3"/>
  <c r="Z158" i="3"/>
  <c r="F158" i="3"/>
  <c r="K158" i="3"/>
  <c r="P158" i="3"/>
  <c r="V158" i="3"/>
  <c r="AA158" i="3"/>
  <c r="G158" i="3"/>
  <c r="L158" i="3"/>
  <c r="R158" i="3"/>
  <c r="W158" i="3"/>
  <c r="AB158" i="3"/>
  <c r="I154" i="3"/>
  <c r="M154" i="3"/>
  <c r="Q154" i="3"/>
  <c r="U154" i="3"/>
  <c r="Y154" i="3"/>
  <c r="AC154" i="3"/>
  <c r="H154" i="3"/>
  <c r="N154" i="3"/>
  <c r="S154" i="3"/>
  <c r="X154" i="3"/>
  <c r="J154" i="3"/>
  <c r="O154" i="3"/>
  <c r="T154" i="3"/>
  <c r="Z154" i="3"/>
  <c r="F154" i="3"/>
  <c r="K154" i="3"/>
  <c r="P154" i="3"/>
  <c r="V154" i="3"/>
  <c r="AA154" i="3"/>
  <c r="G154" i="3"/>
  <c r="L154" i="3"/>
  <c r="R154" i="3"/>
  <c r="W154" i="3"/>
  <c r="AB154" i="3"/>
  <c r="I150" i="3"/>
  <c r="M150" i="3"/>
  <c r="Q150" i="3"/>
  <c r="U150" i="3"/>
  <c r="Y150" i="3"/>
  <c r="AC150" i="3"/>
  <c r="H150" i="3"/>
  <c r="N150" i="3"/>
  <c r="S150" i="3"/>
  <c r="X150" i="3"/>
  <c r="J150" i="3"/>
  <c r="O150" i="3"/>
  <c r="T150" i="3"/>
  <c r="Z150" i="3"/>
  <c r="F150" i="3"/>
  <c r="K150" i="3"/>
  <c r="P150" i="3"/>
  <c r="V150" i="3"/>
  <c r="AA150" i="3"/>
  <c r="G150" i="3"/>
  <c r="L150" i="3"/>
  <c r="R150" i="3"/>
  <c r="W150" i="3"/>
  <c r="AB150" i="3"/>
  <c r="I146" i="3"/>
  <c r="M146" i="3"/>
  <c r="Q146" i="3"/>
  <c r="U146" i="3"/>
  <c r="Y146" i="3"/>
  <c r="AC146" i="3"/>
  <c r="H146" i="3"/>
  <c r="N146" i="3"/>
  <c r="S146" i="3"/>
  <c r="X146" i="3"/>
  <c r="J146" i="3"/>
  <c r="O146" i="3"/>
  <c r="T146" i="3"/>
  <c r="Z146" i="3"/>
  <c r="F146" i="3"/>
  <c r="K146" i="3"/>
  <c r="P146" i="3"/>
  <c r="V146" i="3"/>
  <c r="AA146" i="3"/>
  <c r="G146" i="3"/>
  <c r="L146" i="3"/>
  <c r="R146" i="3"/>
  <c r="W146" i="3"/>
  <c r="AB146" i="3"/>
  <c r="I142" i="3"/>
  <c r="M142" i="3"/>
  <c r="Q142" i="3"/>
  <c r="U142" i="3"/>
  <c r="Y142" i="3"/>
  <c r="AC142" i="3"/>
  <c r="H142" i="3"/>
  <c r="N142" i="3"/>
  <c r="S142" i="3"/>
  <c r="X142" i="3"/>
  <c r="J142" i="3"/>
  <c r="O142" i="3"/>
  <c r="T142" i="3"/>
  <c r="Z142" i="3"/>
  <c r="F142" i="3"/>
  <c r="K142" i="3"/>
  <c r="P142" i="3"/>
  <c r="V142" i="3"/>
  <c r="AA142" i="3"/>
  <c r="G142" i="3"/>
  <c r="L142" i="3"/>
  <c r="R142" i="3"/>
  <c r="W142" i="3"/>
  <c r="AB142" i="3"/>
  <c r="I138" i="3"/>
  <c r="M138" i="3"/>
  <c r="Q138" i="3"/>
  <c r="U138" i="3"/>
  <c r="Y138" i="3"/>
  <c r="AC138" i="3"/>
  <c r="F138" i="3"/>
  <c r="J138" i="3"/>
  <c r="N138" i="3"/>
  <c r="R138" i="3"/>
  <c r="V138" i="3"/>
  <c r="Z138" i="3"/>
  <c r="K138" i="3"/>
  <c r="S138" i="3"/>
  <c r="AA138" i="3"/>
  <c r="L138" i="3"/>
  <c r="T138" i="3"/>
  <c r="AB138" i="3"/>
  <c r="G138" i="3"/>
  <c r="O138" i="3"/>
  <c r="W138" i="3"/>
  <c r="H138" i="3"/>
  <c r="P138" i="3"/>
  <c r="X138" i="3"/>
  <c r="I134" i="3"/>
  <c r="M134" i="3"/>
  <c r="Q134" i="3"/>
  <c r="U134" i="3"/>
  <c r="Y134" i="3"/>
  <c r="AC134" i="3"/>
  <c r="F134" i="3"/>
  <c r="J134" i="3"/>
  <c r="N134" i="3"/>
  <c r="R134" i="3"/>
  <c r="V134" i="3"/>
  <c r="Z134" i="3"/>
  <c r="K134" i="3"/>
  <c r="S134" i="3"/>
  <c r="AA134" i="3"/>
  <c r="L134" i="3"/>
  <c r="T134" i="3"/>
  <c r="AB134" i="3"/>
  <c r="G134" i="3"/>
  <c r="O134" i="3"/>
  <c r="W134" i="3"/>
  <c r="H134" i="3"/>
  <c r="P134" i="3"/>
  <c r="X134" i="3"/>
  <c r="I130" i="3"/>
  <c r="M130" i="3"/>
  <c r="Q130" i="3"/>
  <c r="U130" i="3"/>
  <c r="Y130" i="3"/>
  <c r="AC130" i="3"/>
  <c r="F130" i="3"/>
  <c r="J130" i="3"/>
  <c r="N130" i="3"/>
  <c r="R130" i="3"/>
  <c r="V130" i="3"/>
  <c r="Z130" i="3"/>
  <c r="G130" i="3"/>
  <c r="K130" i="3"/>
  <c r="O130" i="3"/>
  <c r="S130" i="3"/>
  <c r="W130" i="3"/>
  <c r="AA130" i="3"/>
  <c r="H130" i="3"/>
  <c r="X130" i="3"/>
  <c r="L130" i="3"/>
  <c r="AB130" i="3"/>
  <c r="P130" i="3"/>
  <c r="T130" i="3"/>
  <c r="I126" i="3"/>
  <c r="M126" i="3"/>
  <c r="Q126" i="3"/>
  <c r="U126" i="3"/>
  <c r="Y126" i="3"/>
  <c r="AC126" i="3"/>
  <c r="F126" i="3"/>
  <c r="J126" i="3"/>
  <c r="N126" i="3"/>
  <c r="R126" i="3"/>
  <c r="V126" i="3"/>
  <c r="Z126" i="3"/>
  <c r="G126" i="3"/>
  <c r="K126" i="3"/>
  <c r="O126" i="3"/>
  <c r="S126" i="3"/>
  <c r="W126" i="3"/>
  <c r="AA126" i="3"/>
  <c r="H126" i="3"/>
  <c r="X126" i="3"/>
  <c r="L126" i="3"/>
  <c r="AB126" i="3"/>
  <c r="P126" i="3"/>
  <c r="T126" i="3"/>
  <c r="I122" i="3"/>
  <c r="M122" i="3"/>
  <c r="Q122" i="3"/>
  <c r="U122" i="3"/>
  <c r="Y122" i="3"/>
  <c r="AC122" i="3"/>
  <c r="F122" i="3"/>
  <c r="J122" i="3"/>
  <c r="N122" i="3"/>
  <c r="R122" i="3"/>
  <c r="V122" i="3"/>
  <c r="Z122" i="3"/>
  <c r="G122" i="3"/>
  <c r="K122" i="3"/>
  <c r="O122" i="3"/>
  <c r="S122" i="3"/>
  <c r="W122" i="3"/>
  <c r="AA122" i="3"/>
  <c r="H122" i="3"/>
  <c r="X122" i="3"/>
  <c r="L122" i="3"/>
  <c r="AB122" i="3"/>
  <c r="P122" i="3"/>
  <c r="T122" i="3"/>
  <c r="I118" i="3"/>
  <c r="M118" i="3"/>
  <c r="Q118" i="3"/>
  <c r="U118" i="3"/>
  <c r="Y118" i="3"/>
  <c r="AC118" i="3"/>
  <c r="F118" i="3"/>
  <c r="J118" i="3"/>
  <c r="N118" i="3"/>
  <c r="R118" i="3"/>
  <c r="V118" i="3"/>
  <c r="Z118" i="3"/>
  <c r="G118" i="3"/>
  <c r="K118" i="3"/>
  <c r="O118" i="3"/>
  <c r="S118" i="3"/>
  <c r="W118" i="3"/>
  <c r="AA118" i="3"/>
  <c r="H118" i="3"/>
  <c r="X118" i="3"/>
  <c r="L118" i="3"/>
  <c r="AB118" i="3"/>
  <c r="P118" i="3"/>
  <c r="T118" i="3"/>
  <c r="I114" i="3"/>
  <c r="M114" i="3"/>
  <c r="Q114" i="3"/>
  <c r="U114" i="3"/>
  <c r="Y114" i="3"/>
  <c r="AC114" i="3"/>
  <c r="F114" i="3"/>
  <c r="J114" i="3"/>
  <c r="N114" i="3"/>
  <c r="R114" i="3"/>
  <c r="V114" i="3"/>
  <c r="Z114" i="3"/>
  <c r="G114" i="3"/>
  <c r="K114" i="3"/>
  <c r="O114" i="3"/>
  <c r="S114" i="3"/>
  <c r="W114" i="3"/>
  <c r="AA114" i="3"/>
  <c r="H114" i="3"/>
  <c r="X114" i="3"/>
  <c r="L114" i="3"/>
  <c r="AB114" i="3"/>
  <c r="P114" i="3"/>
  <c r="T114" i="3"/>
  <c r="I110" i="3"/>
  <c r="M110" i="3"/>
  <c r="Q110" i="3"/>
  <c r="U110" i="3"/>
  <c r="Y110" i="3"/>
  <c r="AC110" i="3"/>
  <c r="F110" i="3"/>
  <c r="J110" i="3"/>
  <c r="N110" i="3"/>
  <c r="R110" i="3"/>
  <c r="V110" i="3"/>
  <c r="Z110" i="3"/>
  <c r="G110" i="3"/>
  <c r="K110" i="3"/>
  <c r="O110" i="3"/>
  <c r="S110" i="3"/>
  <c r="W110" i="3"/>
  <c r="AA110" i="3"/>
  <c r="H110" i="3"/>
  <c r="X110" i="3"/>
  <c r="L110" i="3"/>
  <c r="AB110" i="3"/>
  <c r="P110" i="3"/>
  <c r="T110" i="3"/>
  <c r="I106" i="3"/>
  <c r="M106" i="3"/>
  <c r="Q106" i="3"/>
  <c r="U106" i="3"/>
  <c r="Y106" i="3"/>
  <c r="AC106" i="3"/>
  <c r="F106" i="3"/>
  <c r="J106" i="3"/>
  <c r="N106" i="3"/>
  <c r="R106" i="3"/>
  <c r="V106" i="3"/>
  <c r="Z106" i="3"/>
  <c r="G106" i="3"/>
  <c r="K106" i="3"/>
  <c r="O106" i="3"/>
  <c r="S106" i="3"/>
  <c r="W106" i="3"/>
  <c r="AA106" i="3"/>
  <c r="H106" i="3"/>
  <c r="X106" i="3"/>
  <c r="L106" i="3"/>
  <c r="AB106" i="3"/>
  <c r="P106" i="3"/>
  <c r="T106" i="3"/>
  <c r="I102" i="3"/>
  <c r="M102" i="3"/>
  <c r="Q102" i="3"/>
  <c r="U102" i="3"/>
  <c r="Y102" i="3"/>
  <c r="AC102" i="3"/>
  <c r="F102" i="3"/>
  <c r="J102" i="3"/>
  <c r="N102" i="3"/>
  <c r="R102" i="3"/>
  <c r="V102" i="3"/>
  <c r="Z102" i="3"/>
  <c r="G102" i="3"/>
  <c r="K102" i="3"/>
  <c r="O102" i="3"/>
  <c r="S102" i="3"/>
  <c r="W102" i="3"/>
  <c r="AA102" i="3"/>
  <c r="H102" i="3"/>
  <c r="X102" i="3"/>
  <c r="L102" i="3"/>
  <c r="AB102" i="3"/>
  <c r="P102" i="3"/>
  <c r="T102" i="3"/>
  <c r="I98" i="3"/>
  <c r="M98" i="3"/>
  <c r="Q98" i="3"/>
  <c r="U98" i="3"/>
  <c r="Y98" i="3"/>
  <c r="AC98" i="3"/>
  <c r="F98" i="3"/>
  <c r="J98" i="3"/>
  <c r="N98" i="3"/>
  <c r="R98" i="3"/>
  <c r="V98" i="3"/>
  <c r="Z98" i="3"/>
  <c r="G98" i="3"/>
  <c r="K98" i="3"/>
  <c r="O98" i="3"/>
  <c r="S98" i="3"/>
  <c r="W98" i="3"/>
  <c r="AA98" i="3"/>
  <c r="H98" i="3"/>
  <c r="X98" i="3"/>
  <c r="L98" i="3"/>
  <c r="AB98" i="3"/>
  <c r="P98" i="3"/>
  <c r="T98" i="3"/>
  <c r="I94" i="3"/>
  <c r="M94" i="3"/>
  <c r="Q94" i="3"/>
  <c r="U94" i="3"/>
  <c r="Y94" i="3"/>
  <c r="AC94" i="3"/>
  <c r="F94" i="3"/>
  <c r="J94" i="3"/>
  <c r="N94" i="3"/>
  <c r="R94" i="3"/>
  <c r="V94" i="3"/>
  <c r="Z94" i="3"/>
  <c r="G94" i="3"/>
  <c r="K94" i="3"/>
  <c r="O94" i="3"/>
  <c r="S94" i="3"/>
  <c r="W94" i="3"/>
  <c r="AA94" i="3"/>
  <c r="H94" i="3"/>
  <c r="X94" i="3"/>
  <c r="L94" i="3"/>
  <c r="AB94" i="3"/>
  <c r="P94" i="3"/>
  <c r="T94" i="3"/>
  <c r="I90" i="3"/>
  <c r="M90" i="3"/>
  <c r="Q90" i="3"/>
  <c r="U90" i="3"/>
  <c r="Y90" i="3"/>
  <c r="AC90" i="3"/>
  <c r="F90" i="3"/>
  <c r="J90" i="3"/>
  <c r="N90" i="3"/>
  <c r="R90" i="3"/>
  <c r="V90" i="3"/>
  <c r="Z90" i="3"/>
  <c r="G90" i="3"/>
  <c r="K90" i="3"/>
  <c r="O90" i="3"/>
  <c r="S90" i="3"/>
  <c r="W90" i="3"/>
  <c r="AA90" i="3"/>
  <c r="H90" i="3"/>
  <c r="X90" i="3"/>
  <c r="L90" i="3"/>
  <c r="AB90" i="3"/>
  <c r="P90" i="3"/>
  <c r="T90" i="3"/>
  <c r="I86" i="3"/>
  <c r="M86" i="3"/>
  <c r="Q86" i="3"/>
  <c r="U86" i="3"/>
  <c r="Y86" i="3"/>
  <c r="H86" i="3"/>
  <c r="N86" i="3"/>
  <c r="S86" i="3"/>
  <c r="X86" i="3"/>
  <c r="AC86" i="3"/>
  <c r="J86" i="3"/>
  <c r="O86" i="3"/>
  <c r="T86" i="3"/>
  <c r="Z86" i="3"/>
  <c r="F86" i="3"/>
  <c r="K86" i="3"/>
  <c r="P86" i="3"/>
  <c r="V86" i="3"/>
  <c r="AA86" i="3"/>
  <c r="W86" i="3"/>
  <c r="G86" i="3"/>
  <c r="AB86" i="3"/>
  <c r="L86" i="3"/>
  <c r="R86" i="3"/>
  <c r="I82" i="3"/>
  <c r="M82" i="3"/>
  <c r="Q82" i="3"/>
  <c r="U82" i="3"/>
  <c r="Y82" i="3"/>
  <c r="AC82" i="3"/>
  <c r="H82" i="3"/>
  <c r="N82" i="3"/>
  <c r="S82" i="3"/>
  <c r="X82" i="3"/>
  <c r="J82" i="3"/>
  <c r="O82" i="3"/>
  <c r="T82" i="3"/>
  <c r="Z82" i="3"/>
  <c r="F82" i="3"/>
  <c r="K82" i="3"/>
  <c r="P82" i="3"/>
  <c r="V82" i="3"/>
  <c r="AA82" i="3"/>
  <c r="L82" i="3"/>
  <c r="R82" i="3"/>
  <c r="W82" i="3"/>
  <c r="G82" i="3"/>
  <c r="AB82" i="3"/>
  <c r="I78" i="3"/>
  <c r="M78" i="3"/>
  <c r="Q78" i="3"/>
  <c r="U78" i="3"/>
  <c r="Y78" i="3"/>
  <c r="AC78" i="3"/>
  <c r="H78" i="3"/>
  <c r="N78" i="3"/>
  <c r="S78" i="3"/>
  <c r="X78" i="3"/>
  <c r="J78" i="3"/>
  <c r="O78" i="3"/>
  <c r="T78" i="3"/>
  <c r="Z78" i="3"/>
  <c r="F78" i="3"/>
  <c r="K78" i="3"/>
  <c r="P78" i="3"/>
  <c r="V78" i="3"/>
  <c r="AA78" i="3"/>
  <c r="W78" i="3"/>
  <c r="G78" i="3"/>
  <c r="AB78" i="3"/>
  <c r="L78" i="3"/>
  <c r="R78" i="3"/>
  <c r="I74" i="3"/>
  <c r="M74" i="3"/>
  <c r="Q74" i="3"/>
  <c r="U74" i="3"/>
  <c r="Y74" i="3"/>
  <c r="AC74" i="3"/>
  <c r="H74" i="3"/>
  <c r="N74" i="3"/>
  <c r="S74" i="3"/>
  <c r="X74" i="3"/>
  <c r="J74" i="3"/>
  <c r="O74" i="3"/>
  <c r="T74" i="3"/>
  <c r="Z74" i="3"/>
  <c r="F74" i="3"/>
  <c r="K74" i="3"/>
  <c r="P74" i="3"/>
  <c r="V74" i="3"/>
  <c r="AA74" i="3"/>
  <c r="L74" i="3"/>
  <c r="R74" i="3"/>
  <c r="W74" i="3"/>
  <c r="G74" i="3"/>
  <c r="AB74" i="3"/>
  <c r="I70" i="3"/>
  <c r="M70" i="3"/>
  <c r="Q70" i="3"/>
  <c r="U70" i="3"/>
  <c r="Y70" i="3"/>
  <c r="AC70" i="3"/>
  <c r="H70" i="3"/>
  <c r="N70" i="3"/>
  <c r="S70" i="3"/>
  <c r="X70" i="3"/>
  <c r="J70" i="3"/>
  <c r="O70" i="3"/>
  <c r="T70" i="3"/>
  <c r="Z70" i="3"/>
  <c r="F70" i="3"/>
  <c r="K70" i="3"/>
  <c r="P70" i="3"/>
  <c r="V70" i="3"/>
  <c r="AA70" i="3"/>
  <c r="W70" i="3"/>
  <c r="G70" i="3"/>
  <c r="AB70" i="3"/>
  <c r="L70" i="3"/>
  <c r="R70" i="3"/>
  <c r="I66" i="3"/>
  <c r="M66" i="3"/>
  <c r="Q66" i="3"/>
  <c r="U66" i="3"/>
  <c r="Y66" i="3"/>
  <c r="AC66" i="3"/>
  <c r="H66" i="3"/>
  <c r="N66" i="3"/>
  <c r="S66" i="3"/>
  <c r="X66" i="3"/>
  <c r="J66" i="3"/>
  <c r="O66" i="3"/>
  <c r="T66" i="3"/>
  <c r="Z66" i="3"/>
  <c r="F66" i="3"/>
  <c r="K66" i="3"/>
  <c r="P66" i="3"/>
  <c r="V66" i="3"/>
  <c r="AA66" i="3"/>
  <c r="L66" i="3"/>
  <c r="R66" i="3"/>
  <c r="W66" i="3"/>
  <c r="G66" i="3"/>
  <c r="AB66" i="3"/>
  <c r="I62" i="3"/>
  <c r="M62" i="3"/>
  <c r="Q62" i="3"/>
  <c r="U62" i="3"/>
  <c r="Y62" i="3"/>
  <c r="AC62" i="3"/>
  <c r="H62" i="3"/>
  <c r="N62" i="3"/>
  <c r="S62" i="3"/>
  <c r="X62" i="3"/>
  <c r="J62" i="3"/>
  <c r="O62" i="3"/>
  <c r="T62" i="3"/>
  <c r="Z62" i="3"/>
  <c r="F62" i="3"/>
  <c r="K62" i="3"/>
  <c r="P62" i="3"/>
  <c r="V62" i="3"/>
  <c r="AA62" i="3"/>
  <c r="W62" i="3"/>
  <c r="G62" i="3"/>
  <c r="AB62" i="3"/>
  <c r="L62" i="3"/>
  <c r="R62" i="3"/>
  <c r="I58" i="3"/>
  <c r="M58" i="3"/>
  <c r="Q58" i="3"/>
  <c r="U58" i="3"/>
  <c r="Y58" i="3"/>
  <c r="AC58" i="3"/>
  <c r="H58" i="3"/>
  <c r="N58" i="3"/>
  <c r="S58" i="3"/>
  <c r="X58" i="3"/>
  <c r="J58" i="3"/>
  <c r="O58" i="3"/>
  <c r="T58" i="3"/>
  <c r="Z58" i="3"/>
  <c r="F58" i="3"/>
  <c r="K58" i="3"/>
  <c r="P58" i="3"/>
  <c r="V58" i="3"/>
  <c r="AA58" i="3"/>
  <c r="L58" i="3"/>
  <c r="R58" i="3"/>
  <c r="W58" i="3"/>
  <c r="G58" i="3"/>
  <c r="AB58" i="3"/>
  <c r="G54" i="3"/>
  <c r="K54" i="3"/>
  <c r="O54" i="3"/>
  <c r="S54" i="3"/>
  <c r="W54" i="3"/>
  <c r="AA54" i="3"/>
  <c r="I54" i="3"/>
  <c r="M54" i="3"/>
  <c r="Q54" i="3"/>
  <c r="U54" i="3"/>
  <c r="Y54" i="3"/>
  <c r="AC54" i="3"/>
  <c r="F54" i="3"/>
  <c r="J54" i="3"/>
  <c r="N54" i="3"/>
  <c r="R54" i="3"/>
  <c r="V54" i="3"/>
  <c r="Z54" i="3"/>
  <c r="P54" i="3"/>
  <c r="T54" i="3"/>
  <c r="H54" i="3"/>
  <c r="X54" i="3"/>
  <c r="L54" i="3"/>
  <c r="AB54" i="3"/>
  <c r="G50" i="3"/>
  <c r="K50" i="3"/>
  <c r="O50" i="3"/>
  <c r="S50" i="3"/>
  <c r="W50" i="3"/>
  <c r="AA50" i="3"/>
  <c r="I50" i="3"/>
  <c r="M50" i="3"/>
  <c r="Q50" i="3"/>
  <c r="U50" i="3"/>
  <c r="Y50" i="3"/>
  <c r="AC50" i="3"/>
  <c r="F50" i="3"/>
  <c r="J50" i="3"/>
  <c r="N50" i="3"/>
  <c r="R50" i="3"/>
  <c r="V50" i="3"/>
  <c r="Z50" i="3"/>
  <c r="P50" i="3"/>
  <c r="T50" i="3"/>
  <c r="H50" i="3"/>
  <c r="X50" i="3"/>
  <c r="AB50" i="3"/>
  <c r="L50" i="3"/>
  <c r="G46" i="3"/>
  <c r="K46" i="3"/>
  <c r="O46" i="3"/>
  <c r="S46" i="3"/>
  <c r="W46" i="3"/>
  <c r="AA46" i="3"/>
  <c r="I46" i="3"/>
  <c r="M46" i="3"/>
  <c r="Q46" i="3"/>
  <c r="U46" i="3"/>
  <c r="Y46" i="3"/>
  <c r="AC46" i="3"/>
  <c r="F46" i="3"/>
  <c r="J46" i="3"/>
  <c r="N46" i="3"/>
  <c r="R46" i="3"/>
  <c r="V46" i="3"/>
  <c r="Z46" i="3"/>
  <c r="P46" i="3"/>
  <c r="T46" i="3"/>
  <c r="H46" i="3"/>
  <c r="X46" i="3"/>
  <c r="L46" i="3"/>
  <c r="AB46" i="3"/>
  <c r="G42" i="3"/>
  <c r="K42" i="3"/>
  <c r="O42" i="3"/>
  <c r="S42" i="3"/>
  <c r="W42" i="3"/>
  <c r="AA42" i="3"/>
  <c r="I42" i="3"/>
  <c r="M42" i="3"/>
  <c r="Q42" i="3"/>
  <c r="U42" i="3"/>
  <c r="Y42" i="3"/>
  <c r="AC42" i="3"/>
  <c r="F42" i="3"/>
  <c r="J42" i="3"/>
  <c r="N42" i="3"/>
  <c r="R42" i="3"/>
  <c r="V42" i="3"/>
  <c r="Z42" i="3"/>
  <c r="P42" i="3"/>
  <c r="T42" i="3"/>
  <c r="H42" i="3"/>
  <c r="X42" i="3"/>
  <c r="AB42" i="3"/>
  <c r="L42" i="3"/>
  <c r="G38" i="3"/>
  <c r="K38" i="3"/>
  <c r="O38" i="3"/>
  <c r="S38" i="3"/>
  <c r="W38" i="3"/>
  <c r="AA38" i="3"/>
  <c r="I38" i="3"/>
  <c r="M38" i="3"/>
  <c r="Q38" i="3"/>
  <c r="U38" i="3"/>
  <c r="Y38" i="3"/>
  <c r="AC38" i="3"/>
  <c r="F38" i="3"/>
  <c r="J38" i="3"/>
  <c r="N38" i="3"/>
  <c r="R38" i="3"/>
  <c r="V38" i="3"/>
  <c r="Z38" i="3"/>
  <c r="P38" i="3"/>
  <c r="T38" i="3"/>
  <c r="H38" i="3"/>
  <c r="X38" i="3"/>
  <c r="L38" i="3"/>
  <c r="AB38" i="3"/>
  <c r="G34" i="3"/>
  <c r="K34" i="3"/>
  <c r="O34" i="3"/>
  <c r="S34" i="3"/>
  <c r="W34" i="3"/>
  <c r="AA34" i="3"/>
  <c r="I34" i="3"/>
  <c r="M34" i="3"/>
  <c r="Q34" i="3"/>
  <c r="U34" i="3"/>
  <c r="Y34" i="3"/>
  <c r="AC34" i="3"/>
  <c r="F34" i="3"/>
  <c r="J34" i="3"/>
  <c r="N34" i="3"/>
  <c r="R34" i="3"/>
  <c r="V34" i="3"/>
  <c r="Z34" i="3"/>
  <c r="P34" i="3"/>
  <c r="T34" i="3"/>
  <c r="H34" i="3"/>
  <c r="X34" i="3"/>
  <c r="AB34" i="3"/>
  <c r="L34" i="3"/>
  <c r="F9" i="3"/>
  <c r="Z9" i="3"/>
  <c r="V9" i="3"/>
  <c r="R9" i="3"/>
  <c r="N9" i="3"/>
  <c r="AC373" i="3"/>
  <c r="Y373" i="3"/>
  <c r="U373" i="3"/>
  <c r="Q373" i="3"/>
  <c r="M373" i="3"/>
  <c r="AC372" i="3"/>
  <c r="Y372" i="3"/>
  <c r="U372" i="3"/>
  <c r="Q372" i="3"/>
  <c r="M372" i="3"/>
  <c r="AC371" i="3"/>
  <c r="Y371" i="3"/>
  <c r="U371" i="3"/>
  <c r="Q371" i="3"/>
  <c r="M371" i="3"/>
  <c r="AC370" i="3"/>
  <c r="Y370" i="3"/>
  <c r="U370" i="3"/>
  <c r="Q370" i="3"/>
  <c r="M370" i="3"/>
  <c r="AC369" i="3"/>
  <c r="Y369" i="3"/>
  <c r="U369" i="3"/>
  <c r="Q369" i="3"/>
  <c r="M369" i="3"/>
  <c r="AC368" i="3"/>
  <c r="Y368" i="3"/>
  <c r="U368" i="3"/>
  <c r="Q368" i="3"/>
  <c r="M368" i="3"/>
  <c r="AC367" i="3"/>
  <c r="Y367" i="3"/>
  <c r="U367" i="3"/>
  <c r="Q367" i="3"/>
  <c r="M367" i="3"/>
  <c r="AC366" i="3"/>
  <c r="Y366" i="3"/>
  <c r="U366" i="3"/>
  <c r="Q366" i="3"/>
  <c r="M366" i="3"/>
  <c r="AC365" i="3"/>
  <c r="Y365" i="3"/>
  <c r="U365" i="3"/>
  <c r="Q365" i="3"/>
  <c r="M365" i="3"/>
  <c r="AC364" i="3"/>
  <c r="Y364" i="3"/>
  <c r="U364" i="3"/>
  <c r="Q364" i="3"/>
  <c r="M364" i="3"/>
  <c r="AC363" i="3"/>
  <c r="Y363" i="3"/>
  <c r="U363" i="3"/>
  <c r="Q363" i="3"/>
  <c r="M363" i="3"/>
  <c r="AC362" i="3"/>
  <c r="Y362" i="3"/>
  <c r="U362" i="3"/>
  <c r="Q362" i="3"/>
  <c r="L362" i="3"/>
  <c r="G362" i="3"/>
  <c r="Z361" i="3"/>
  <c r="T361" i="3"/>
  <c r="O361" i="3"/>
  <c r="J361" i="3"/>
  <c r="AB360" i="3"/>
  <c r="W360" i="3"/>
  <c r="R360" i="3"/>
  <c r="L360" i="3"/>
  <c r="G360" i="3"/>
  <c r="Z359" i="3"/>
  <c r="T359" i="3"/>
  <c r="O359" i="3"/>
  <c r="J359" i="3"/>
  <c r="AB358" i="3"/>
  <c r="W358" i="3"/>
  <c r="R358" i="3"/>
  <c r="L358" i="3"/>
  <c r="G358" i="3"/>
  <c r="W357" i="3"/>
  <c r="O357" i="3"/>
  <c r="G357" i="3"/>
  <c r="W356" i="3"/>
  <c r="O356" i="3"/>
  <c r="G356" i="3"/>
  <c r="W355" i="3"/>
  <c r="O355" i="3"/>
  <c r="G355" i="3"/>
  <c r="W354" i="3"/>
  <c r="O354" i="3"/>
  <c r="G354" i="3"/>
  <c r="W353" i="3"/>
  <c r="O353" i="3"/>
  <c r="G353" i="3"/>
  <c r="W352" i="3"/>
  <c r="O352" i="3"/>
  <c r="G352" i="3"/>
  <c r="W351" i="3"/>
  <c r="H351" i="3"/>
  <c r="P350" i="3"/>
  <c r="X349" i="3"/>
  <c r="H349" i="3"/>
  <c r="P348" i="3"/>
  <c r="X347" i="3"/>
  <c r="H347" i="3"/>
  <c r="P346" i="3"/>
  <c r="X345" i="3"/>
  <c r="H345" i="3"/>
  <c r="P344" i="3"/>
  <c r="X343" i="3"/>
  <c r="H343" i="3"/>
  <c r="P342" i="3"/>
  <c r="X341" i="3"/>
  <c r="H341" i="3"/>
  <c r="P340" i="3"/>
  <c r="X339" i="3"/>
  <c r="H339" i="3"/>
  <c r="P338" i="3"/>
  <c r="X337" i="3"/>
  <c r="H337" i="3"/>
  <c r="P336" i="3"/>
  <c r="X335" i="3"/>
  <c r="H335" i="3"/>
  <c r="P334" i="3"/>
  <c r="X333" i="3"/>
  <c r="H333" i="3"/>
  <c r="P332" i="3"/>
  <c r="X331" i="3"/>
  <c r="H331" i="3"/>
  <c r="P330" i="3"/>
  <c r="X329" i="3"/>
  <c r="H329" i="3"/>
  <c r="P328" i="3"/>
  <c r="X327" i="3"/>
  <c r="H327" i="3"/>
  <c r="P326" i="3"/>
  <c r="X325" i="3"/>
  <c r="H325" i="3"/>
  <c r="P324" i="3"/>
  <c r="X323" i="3"/>
  <c r="H323" i="3"/>
  <c r="O9" i="1"/>
  <c r="D10" i="1" s="1"/>
  <c r="D11" i="1" s="1"/>
  <c r="E202" i="12" l="1"/>
  <c r="D193" i="15" s="1"/>
  <c r="D25" i="15"/>
  <c r="D442" i="12"/>
  <c r="C433" i="15" s="1"/>
  <c r="C97" i="15"/>
  <c r="Q34" i="12"/>
  <c r="G25" i="15" s="1"/>
  <c r="D274" i="12"/>
  <c r="C265" i="15" s="1"/>
  <c r="P610" i="12"/>
  <c r="F601" i="15" s="1"/>
  <c r="P442" i="12"/>
  <c r="F433" i="15" s="1"/>
  <c r="P274" i="12"/>
  <c r="F265" i="15" s="1"/>
  <c r="Q538" i="12"/>
  <c r="G529" i="15" s="1"/>
  <c r="Q202" i="12"/>
  <c r="G193" i="15" s="1"/>
  <c r="Q370" i="12"/>
  <c r="G361" i="15" s="1"/>
  <c r="E370" i="12"/>
  <c r="D361" i="15" s="1"/>
  <c r="E538" i="12"/>
  <c r="D529" i="15" s="1"/>
  <c r="M610" i="12"/>
  <c r="M442" i="12"/>
  <c r="M274" i="12"/>
  <c r="N370" i="12"/>
  <c r="N538" i="12"/>
  <c r="N202" i="12"/>
  <c r="I38" i="9"/>
  <c r="L33" i="12" s="1"/>
  <c r="F38" i="9"/>
  <c r="I33" i="12" s="1"/>
  <c r="K27" i="9"/>
  <c r="N22" i="12" s="1"/>
  <c r="H27" i="9"/>
  <c r="K22" i="12" s="1"/>
  <c r="Q22" i="12" s="1"/>
  <c r="G13" i="15" s="1"/>
  <c r="E16" i="12"/>
  <c r="K21" i="9"/>
  <c r="N16" i="12" s="1"/>
  <c r="H21" i="9"/>
  <c r="K16" i="12" s="1"/>
  <c r="D86" i="12"/>
  <c r="J91" i="9"/>
  <c r="M86" i="12" s="1"/>
  <c r="G91" i="9"/>
  <c r="J86" i="12" s="1"/>
  <c r="J39" i="9"/>
  <c r="M34" i="12" s="1"/>
  <c r="G39" i="9"/>
  <c r="J34" i="12" s="1"/>
  <c r="D22" i="12"/>
  <c r="J27" i="9"/>
  <c r="M22" i="12" s="1"/>
  <c r="G27" i="9"/>
  <c r="J22" i="12" s="1"/>
  <c r="E87" i="12"/>
  <c r="K92" i="9"/>
  <c r="N87" i="12" s="1"/>
  <c r="H92" i="9"/>
  <c r="K87" i="12" s="1"/>
  <c r="J17" i="9"/>
  <c r="M12" i="12" s="1"/>
  <c r="G17" i="9"/>
  <c r="J12" i="12" s="1"/>
  <c r="I39" i="9"/>
  <c r="L34" i="12" s="1"/>
  <c r="F39" i="9"/>
  <c r="I34" i="12" s="1"/>
  <c r="F47" i="7"/>
  <c r="I29" i="9"/>
  <c r="L24" i="12" s="1"/>
  <c r="F29" i="9"/>
  <c r="I24" i="12" s="1"/>
  <c r="I25" i="9"/>
  <c r="L20" i="12" s="1"/>
  <c r="F25" i="9"/>
  <c r="I20" i="12" s="1"/>
  <c r="D87" i="12"/>
  <c r="J92" i="9"/>
  <c r="M87" i="12" s="1"/>
  <c r="G92" i="9"/>
  <c r="J87" i="12" s="1"/>
  <c r="I17" i="9"/>
  <c r="L12" i="12" s="1"/>
  <c r="F17" i="9"/>
  <c r="I12" i="12" s="1"/>
  <c r="J30" i="9"/>
  <c r="M25" i="12" s="1"/>
  <c r="G30" i="9"/>
  <c r="J25" i="12" s="1"/>
  <c r="E88" i="12"/>
  <c r="K93" i="9"/>
  <c r="N88" i="12" s="1"/>
  <c r="H93" i="9"/>
  <c r="K88" i="12" s="1"/>
  <c r="J18" i="9"/>
  <c r="M13" i="12" s="1"/>
  <c r="G18" i="9"/>
  <c r="J13" i="12" s="1"/>
  <c r="E154" i="12"/>
  <c r="K159" i="9"/>
  <c r="N154" i="12" s="1"/>
  <c r="H159" i="9"/>
  <c r="K154" i="12" s="1"/>
  <c r="D130" i="12"/>
  <c r="J135" i="9"/>
  <c r="M130" i="12" s="1"/>
  <c r="G135" i="9"/>
  <c r="J130" i="12" s="1"/>
  <c r="I30" i="9"/>
  <c r="L25" i="12" s="1"/>
  <c r="F30" i="9"/>
  <c r="I25" i="12" s="1"/>
  <c r="I26" i="9"/>
  <c r="L21" i="12" s="1"/>
  <c r="F26" i="9"/>
  <c r="I21" i="12" s="1"/>
  <c r="J93" i="9"/>
  <c r="M88" i="12" s="1"/>
  <c r="G93" i="9"/>
  <c r="J88" i="12" s="1"/>
  <c r="I18" i="9"/>
  <c r="L13" i="12" s="1"/>
  <c r="F18" i="9"/>
  <c r="I13" i="12" s="1"/>
  <c r="I111" i="9"/>
  <c r="L106" i="12" s="1"/>
  <c r="F111" i="9"/>
  <c r="I106" i="12" s="1"/>
  <c r="J25" i="9"/>
  <c r="M20" i="12" s="1"/>
  <c r="G25" i="9"/>
  <c r="J20" i="12" s="1"/>
  <c r="D14" i="12"/>
  <c r="J19" i="9"/>
  <c r="M14" i="12" s="1"/>
  <c r="G19" i="9"/>
  <c r="J14" i="12" s="1"/>
  <c r="P14" i="12" s="1"/>
  <c r="F5" i="15" s="1"/>
  <c r="I89" i="9"/>
  <c r="L84" i="12" s="1"/>
  <c r="F89" i="9"/>
  <c r="I84" i="12" s="1"/>
  <c r="E33" i="12"/>
  <c r="K38" i="9"/>
  <c r="N33" i="12" s="1"/>
  <c r="H38" i="9"/>
  <c r="K33" i="12" s="1"/>
  <c r="E23" i="12"/>
  <c r="K28" i="9"/>
  <c r="N23" i="12" s="1"/>
  <c r="H28" i="9"/>
  <c r="K23" i="12" s="1"/>
  <c r="Q23" i="12" s="1"/>
  <c r="G14" i="15" s="1"/>
  <c r="E19" i="12"/>
  <c r="K24" i="9"/>
  <c r="N19" i="12" s="1"/>
  <c r="H24" i="9"/>
  <c r="K19" i="12" s="1"/>
  <c r="F133" i="7"/>
  <c r="I19" i="9"/>
  <c r="L14" i="12" s="1"/>
  <c r="F19" i="9"/>
  <c r="I14" i="12" s="1"/>
  <c r="E106" i="12"/>
  <c r="K111" i="9"/>
  <c r="N106" i="12" s="1"/>
  <c r="H111" i="9"/>
  <c r="K106" i="12" s="1"/>
  <c r="D23" i="12"/>
  <c r="J28" i="9"/>
  <c r="M23" i="12" s="1"/>
  <c r="G28" i="9"/>
  <c r="J23" i="12" s="1"/>
  <c r="P23" i="12" s="1"/>
  <c r="F14" i="15" s="1"/>
  <c r="J20" i="9"/>
  <c r="M15" i="12" s="1"/>
  <c r="G20" i="9"/>
  <c r="J15" i="12" s="1"/>
  <c r="I90" i="9"/>
  <c r="L85" i="12" s="1"/>
  <c r="F90" i="9"/>
  <c r="I85" i="12" s="1"/>
  <c r="O85" i="12" s="1"/>
  <c r="E76" i="15" s="1"/>
  <c r="E82" i="12"/>
  <c r="K87" i="9"/>
  <c r="N82" i="12" s="1"/>
  <c r="H87" i="9"/>
  <c r="K82" i="12" s="1"/>
  <c r="J610" i="12"/>
  <c r="J274" i="12"/>
  <c r="J442" i="12"/>
  <c r="K29" i="9"/>
  <c r="N24" i="12" s="1"/>
  <c r="H29" i="9"/>
  <c r="K24" i="12" s="1"/>
  <c r="Q24" i="12" s="1"/>
  <c r="G15" i="15" s="1"/>
  <c r="K25" i="9"/>
  <c r="N20" i="12" s="1"/>
  <c r="H25" i="9"/>
  <c r="K20" i="12" s="1"/>
  <c r="F134" i="7"/>
  <c r="I20" i="9"/>
  <c r="L15" i="12" s="1"/>
  <c r="F20" i="9"/>
  <c r="I15" i="12" s="1"/>
  <c r="K17" i="9"/>
  <c r="N12" i="12" s="1"/>
  <c r="H17" i="9"/>
  <c r="K12" i="12" s="1"/>
  <c r="K110" i="9"/>
  <c r="N105" i="12" s="1"/>
  <c r="H110" i="9"/>
  <c r="K105" i="12" s="1"/>
  <c r="D16" i="12"/>
  <c r="J21" i="9"/>
  <c r="M16" i="12" s="1"/>
  <c r="G21" i="9"/>
  <c r="J16" i="12" s="1"/>
  <c r="P16" i="12" s="1"/>
  <c r="F7" i="15" s="1"/>
  <c r="I91" i="9"/>
  <c r="L86" i="12" s="1"/>
  <c r="F91" i="9"/>
  <c r="I86" i="12" s="1"/>
  <c r="D105" i="12"/>
  <c r="J110" i="9"/>
  <c r="M105" i="12" s="1"/>
  <c r="G110" i="9"/>
  <c r="J105" i="12" s="1"/>
  <c r="I27" i="9"/>
  <c r="L22" i="12" s="1"/>
  <c r="F27" i="9"/>
  <c r="I22" i="12" s="1"/>
  <c r="I21" i="9"/>
  <c r="L16" i="12" s="1"/>
  <c r="F21" i="9"/>
  <c r="I16" i="12" s="1"/>
  <c r="K18" i="9"/>
  <c r="N13" i="12" s="1"/>
  <c r="H18" i="9"/>
  <c r="K13" i="12" s="1"/>
  <c r="J38" i="9"/>
  <c r="M33" i="12" s="1"/>
  <c r="G38" i="9"/>
  <c r="J33" i="12" s="1"/>
  <c r="D21" i="12"/>
  <c r="J26" i="9"/>
  <c r="M21" i="12" s="1"/>
  <c r="G26" i="9"/>
  <c r="J21" i="12" s="1"/>
  <c r="P21" i="12" s="1"/>
  <c r="F12" i="15" s="1"/>
  <c r="I92" i="9"/>
  <c r="L87" i="12" s="1"/>
  <c r="F92" i="9"/>
  <c r="I87" i="12" s="1"/>
  <c r="E84" i="12"/>
  <c r="K89" i="9"/>
  <c r="N84" i="12" s="1"/>
  <c r="H89" i="9"/>
  <c r="K84" i="12" s="1"/>
  <c r="E58" i="12"/>
  <c r="K63" i="9"/>
  <c r="N58" i="12" s="1"/>
  <c r="H63" i="9"/>
  <c r="K58" i="12" s="1"/>
  <c r="Q58" i="12" s="1"/>
  <c r="G49" i="15" s="1"/>
  <c r="K202" i="12"/>
  <c r="K538" i="12"/>
  <c r="K370" i="12"/>
  <c r="F46" i="7"/>
  <c r="I28" i="9"/>
  <c r="L23" i="12" s="1"/>
  <c r="F28" i="9"/>
  <c r="I23" i="12" s="1"/>
  <c r="I24" i="9"/>
  <c r="L19" i="12" s="1"/>
  <c r="F24" i="9"/>
  <c r="I19" i="12" s="1"/>
  <c r="O19" i="12" s="1"/>
  <c r="E10" i="15" s="1"/>
  <c r="K19" i="9"/>
  <c r="N14" i="12" s="1"/>
  <c r="H19" i="9"/>
  <c r="K14" i="12" s="1"/>
  <c r="J89" i="9"/>
  <c r="M84" i="12" s="1"/>
  <c r="G89" i="9"/>
  <c r="J84" i="12" s="1"/>
  <c r="P84" i="12" s="1"/>
  <c r="F75" i="15" s="1"/>
  <c r="J29" i="9"/>
  <c r="M24" i="12" s="1"/>
  <c r="G29" i="9"/>
  <c r="J24" i="12" s="1"/>
  <c r="I93" i="9"/>
  <c r="L88" i="12" s="1"/>
  <c r="F93" i="9"/>
  <c r="I88" i="12" s="1"/>
  <c r="O88" i="12" s="1"/>
  <c r="E79" i="15" s="1"/>
  <c r="K90" i="9"/>
  <c r="N85" i="12" s="1"/>
  <c r="H90" i="9"/>
  <c r="K85" i="12" s="1"/>
  <c r="K30" i="9"/>
  <c r="N25" i="12" s="1"/>
  <c r="H30" i="9"/>
  <c r="K25" i="12" s="1"/>
  <c r="Q25" i="12" s="1"/>
  <c r="G16" i="15" s="1"/>
  <c r="K26" i="9"/>
  <c r="N21" i="12" s="1"/>
  <c r="H26" i="9"/>
  <c r="K21" i="12" s="1"/>
  <c r="E15" i="12"/>
  <c r="K20" i="9"/>
  <c r="N15" i="12" s="1"/>
  <c r="H20" i="9"/>
  <c r="K15" i="12" s="1"/>
  <c r="D85" i="12"/>
  <c r="J90" i="9"/>
  <c r="M85" i="12" s="1"/>
  <c r="G90" i="9"/>
  <c r="J85" i="12" s="1"/>
  <c r="P85" i="12" s="1"/>
  <c r="F76" i="15" s="1"/>
  <c r="I110" i="9"/>
  <c r="L105" i="12" s="1"/>
  <c r="F110" i="9"/>
  <c r="I105" i="12" s="1"/>
  <c r="D19" i="12"/>
  <c r="J24" i="9"/>
  <c r="M19" i="12" s="1"/>
  <c r="G24" i="9"/>
  <c r="J19" i="12" s="1"/>
  <c r="E86" i="12"/>
  <c r="K91" i="9"/>
  <c r="N86" i="12" s="1"/>
  <c r="H91" i="9"/>
  <c r="K86" i="12" s="1"/>
  <c r="Q86" i="12" s="1"/>
  <c r="G77" i="15" s="1"/>
  <c r="E178" i="12"/>
  <c r="K183" i="9"/>
  <c r="N178" i="12" s="1"/>
  <c r="H183" i="9"/>
  <c r="K178" i="12" s="1"/>
  <c r="E423" i="12"/>
  <c r="D414" i="15" s="1"/>
  <c r="D12" i="12"/>
  <c r="C3" i="15" s="1"/>
  <c r="G72" i="7"/>
  <c r="D25" i="12"/>
  <c r="C16" i="15" s="1"/>
  <c r="G36" i="7"/>
  <c r="D13" i="12"/>
  <c r="C4" i="15" s="1"/>
  <c r="D13" i="9"/>
  <c r="D39" i="9" s="1"/>
  <c r="H34" i="12" s="1"/>
  <c r="H370" i="12" s="1"/>
  <c r="E30" i="1"/>
  <c r="D421" i="12"/>
  <c r="C412" i="15" s="1"/>
  <c r="G57" i="7"/>
  <c r="D34" i="12"/>
  <c r="C25" i="15" s="1"/>
  <c r="G111" i="7"/>
  <c r="D88" i="12"/>
  <c r="C79" i="15" s="1"/>
  <c r="G67" i="7"/>
  <c r="D20" i="12"/>
  <c r="C11" i="15" s="1"/>
  <c r="E442" i="12"/>
  <c r="D433" i="15" s="1"/>
  <c r="G158" i="7"/>
  <c r="D15" i="12"/>
  <c r="C6" i="15" s="1"/>
  <c r="G107" i="7"/>
  <c r="D84" i="12"/>
  <c r="C75" i="15" s="1"/>
  <c r="H48" i="7"/>
  <c r="E25" i="12"/>
  <c r="D16" i="15" s="1"/>
  <c r="H68" i="7"/>
  <c r="E21" i="12"/>
  <c r="D12" i="15" s="1"/>
  <c r="E183" i="12"/>
  <c r="D174" i="15" s="1"/>
  <c r="H69" i="7"/>
  <c r="E22" i="12"/>
  <c r="D13" i="15" s="1"/>
  <c r="H167" i="7"/>
  <c r="E24" i="12"/>
  <c r="D15" i="15" s="1"/>
  <c r="H163" i="7"/>
  <c r="E20" i="12"/>
  <c r="D11" i="15" s="1"/>
  <c r="E12" i="12"/>
  <c r="D3" i="15" s="1"/>
  <c r="H128" i="7"/>
  <c r="E105" i="12"/>
  <c r="D96" i="15" s="1"/>
  <c r="H36" i="7"/>
  <c r="E13" i="12"/>
  <c r="D4" i="15" s="1"/>
  <c r="G80" i="7"/>
  <c r="D33" i="12"/>
  <c r="C24" i="15" s="1"/>
  <c r="E588" i="12"/>
  <c r="D579" i="15" s="1"/>
  <c r="C13" i="9"/>
  <c r="C111" i="9" s="1"/>
  <c r="G106" i="12" s="1"/>
  <c r="G274" i="12" s="1"/>
  <c r="D30" i="1"/>
  <c r="H37" i="7"/>
  <c r="E14" i="12"/>
  <c r="D5" i="15" s="1"/>
  <c r="G143" i="7"/>
  <c r="D24" i="12"/>
  <c r="C15" i="15" s="1"/>
  <c r="H108" i="7"/>
  <c r="E85" i="12"/>
  <c r="D76" i="15" s="1"/>
  <c r="C21" i="12"/>
  <c r="F44" i="7"/>
  <c r="B26" i="9"/>
  <c r="F21" i="12" s="1"/>
  <c r="F140" i="7"/>
  <c r="C33" i="12"/>
  <c r="B38" i="9"/>
  <c r="F33" i="12" s="1"/>
  <c r="F152" i="7"/>
  <c r="F56" i="7"/>
  <c r="C13" i="12"/>
  <c r="F132" i="7"/>
  <c r="B18" i="9"/>
  <c r="F13" i="12" s="1"/>
  <c r="C106" i="12"/>
  <c r="B111" i="9"/>
  <c r="F106" i="12" s="1"/>
  <c r="F129" i="7"/>
  <c r="C34" i="12"/>
  <c r="F153" i="7"/>
  <c r="B39" i="9"/>
  <c r="F34" i="12" s="1"/>
  <c r="G108" i="7"/>
  <c r="C105" i="12"/>
  <c r="B110" i="9"/>
  <c r="F105" i="12" s="1"/>
  <c r="G138" i="7"/>
  <c r="H109" i="7"/>
  <c r="G81" i="7"/>
  <c r="G162" i="7"/>
  <c r="G59" i="7"/>
  <c r="H38" i="7"/>
  <c r="H46" i="7"/>
  <c r="G60" i="7"/>
  <c r="G48" i="7"/>
  <c r="G56" i="7"/>
  <c r="H139" i="7"/>
  <c r="G159" i="7"/>
  <c r="H47" i="7"/>
  <c r="H156" i="7"/>
  <c r="F128" i="7"/>
  <c r="H159" i="7"/>
  <c r="G135" i="7"/>
  <c r="C23" i="12"/>
  <c r="F142" i="7"/>
  <c r="C15" i="12"/>
  <c r="F38" i="7"/>
  <c r="B20" i="9"/>
  <c r="F15" i="12" s="1"/>
  <c r="G165" i="7"/>
  <c r="G157" i="7"/>
  <c r="C84" i="12"/>
  <c r="F107" i="7"/>
  <c r="B89" i="9"/>
  <c r="F84" i="12" s="1"/>
  <c r="H56" i="7"/>
  <c r="H152" i="7"/>
  <c r="H168" i="7"/>
  <c r="C20" i="12"/>
  <c r="F43" i="7"/>
  <c r="B25" i="9"/>
  <c r="F20" i="12" s="1"/>
  <c r="G110" i="7"/>
  <c r="C12" i="12"/>
  <c r="F131" i="7"/>
  <c r="B17" i="9"/>
  <c r="F12" i="12" s="1"/>
  <c r="H111" i="7"/>
  <c r="H133" i="7"/>
  <c r="G69" i="7"/>
  <c r="G37" i="7"/>
  <c r="G155" i="7"/>
  <c r="G35" i="7"/>
  <c r="H60" i="7"/>
  <c r="G42" i="7"/>
  <c r="H158" i="7"/>
  <c r="H166" i="7"/>
  <c r="F36" i="7"/>
  <c r="G164" i="7"/>
  <c r="G156" i="7"/>
  <c r="G168" i="7"/>
  <c r="G176" i="7"/>
  <c r="H67" i="7"/>
  <c r="G133" i="7"/>
  <c r="F139" i="7"/>
  <c r="H155" i="7"/>
  <c r="H35" i="7"/>
  <c r="G66" i="7"/>
  <c r="G139" i="7"/>
  <c r="H135" i="7"/>
  <c r="H71" i="7"/>
  <c r="F35" i="7"/>
  <c r="F138" i="7"/>
  <c r="F57" i="7"/>
  <c r="H131" i="7"/>
  <c r="G131" i="7"/>
  <c r="H110" i="7"/>
  <c r="C25" i="12"/>
  <c r="F144" i="7"/>
  <c r="B30" i="9"/>
  <c r="F25" i="12" s="1"/>
  <c r="H165" i="7"/>
  <c r="H157" i="7"/>
  <c r="C86" i="12"/>
  <c r="F109" i="7"/>
  <c r="B91" i="9"/>
  <c r="F86" i="12" s="1"/>
  <c r="G128" i="7"/>
  <c r="C22" i="12"/>
  <c r="B27" i="9"/>
  <c r="F22" i="12" s="1"/>
  <c r="F141" i="7"/>
  <c r="H162" i="7"/>
  <c r="C14" i="12"/>
  <c r="B19" i="9"/>
  <c r="F14" i="12" s="1"/>
  <c r="H129" i="7"/>
  <c r="D111" i="9"/>
  <c r="H106" i="12" s="1"/>
  <c r="G142" i="7"/>
  <c r="G134" i="7"/>
  <c r="C85" i="12"/>
  <c r="F108" i="7"/>
  <c r="B90" i="9"/>
  <c r="F85" i="12" s="1"/>
  <c r="H80" i="7"/>
  <c r="G166" i="7"/>
  <c r="G46" i="7"/>
  <c r="G63" i="7"/>
  <c r="G47" i="7"/>
  <c r="G163" i="7"/>
  <c r="G43" i="7"/>
  <c r="H62" i="7"/>
  <c r="H66" i="7"/>
  <c r="H70" i="7"/>
  <c r="F45" i="7"/>
  <c r="G44" i="7"/>
  <c r="G144" i="7"/>
  <c r="G68" i="7"/>
  <c r="H42" i="7"/>
  <c r="G38" i="7"/>
  <c r="G39" i="7"/>
  <c r="H63" i="7"/>
  <c r="F48" i="7"/>
  <c r="G141" i="7"/>
  <c r="H72" i="7"/>
  <c r="H176" i="7"/>
  <c r="G71" i="7"/>
  <c r="H143" i="7"/>
  <c r="G167" i="7"/>
  <c r="B28" i="9"/>
  <c r="F23" i="12" s="1"/>
  <c r="C19" i="12"/>
  <c r="F42" i="7"/>
  <c r="B24" i="9"/>
  <c r="F19" i="12" s="1"/>
  <c r="G109" i="7"/>
  <c r="C115" i="9" s="1"/>
  <c r="G110" i="12" s="1"/>
  <c r="G177" i="7"/>
  <c r="C88" i="12"/>
  <c r="B93" i="9"/>
  <c r="F88" i="12" s="1"/>
  <c r="F111" i="7"/>
  <c r="C24" i="12"/>
  <c r="B29" i="9"/>
  <c r="F24" i="12" s="1"/>
  <c r="F143" i="7"/>
  <c r="H164" i="7"/>
  <c r="D26" i="9"/>
  <c r="H21" i="12" s="1"/>
  <c r="C16" i="12"/>
  <c r="F39" i="7"/>
  <c r="B21" i="9"/>
  <c r="F16" i="12" s="1"/>
  <c r="D18" i="9"/>
  <c r="H13" i="12" s="1"/>
  <c r="H132" i="7"/>
  <c r="C87" i="12"/>
  <c r="F110" i="7"/>
  <c r="B116" i="9" s="1"/>
  <c r="F111" i="12" s="1"/>
  <c r="H107" i="7"/>
  <c r="H141" i="7"/>
  <c r="H61" i="7"/>
  <c r="H45" i="7"/>
  <c r="G61" i="7"/>
  <c r="G45" i="7"/>
  <c r="H59" i="7"/>
  <c r="H43" i="7"/>
  <c r="G62" i="7"/>
  <c r="H44" i="7"/>
  <c r="H134" i="7"/>
  <c r="H138" i="7"/>
  <c r="H142" i="7"/>
  <c r="F37" i="7"/>
  <c r="G132" i="7"/>
  <c r="G140" i="7"/>
  <c r="G152" i="7"/>
  <c r="H140" i="7"/>
  <c r="F135" i="7"/>
  <c r="H39" i="7"/>
  <c r="H144" i="7"/>
  <c r="G153" i="7"/>
  <c r="G70" i="7"/>
  <c r="B92" i="9"/>
  <c r="F87" i="12" s="1"/>
  <c r="D43" i="9"/>
  <c r="H38" i="12" s="1"/>
  <c r="B42" i="9"/>
  <c r="F37" i="12" s="1"/>
  <c r="B145" i="9"/>
  <c r="F140" i="12" s="1"/>
  <c r="B146" i="9"/>
  <c r="F141" i="12" s="1"/>
  <c r="D42" i="9"/>
  <c r="H37" i="12" s="1"/>
  <c r="C87" i="9"/>
  <c r="G82" i="12" s="1"/>
  <c r="D54" i="9"/>
  <c r="H49" i="12" s="1"/>
  <c r="B52" i="9"/>
  <c r="F47" i="12" s="1"/>
  <c r="B53" i="9"/>
  <c r="F48" i="12" s="1"/>
  <c r="C65" i="9"/>
  <c r="G60" i="12" s="1"/>
  <c r="B139" i="9"/>
  <c r="F134" i="12" s="1"/>
  <c r="D145" i="9"/>
  <c r="H140" i="12" s="1"/>
  <c r="B62" i="9"/>
  <c r="F57" i="12" s="1"/>
  <c r="B140" i="9"/>
  <c r="F135" i="12" s="1"/>
  <c r="B134" i="9"/>
  <c r="F129" i="12" s="1"/>
  <c r="D165" i="9"/>
  <c r="H160" i="12" s="1"/>
  <c r="B148" i="9"/>
  <c r="F143" i="12" s="1"/>
  <c r="F68" i="7"/>
  <c r="B50" i="9"/>
  <c r="F45" i="12" s="1"/>
  <c r="B113" i="9"/>
  <c r="F108" i="12" s="1"/>
  <c r="F67" i="7"/>
  <c r="B49" i="9"/>
  <c r="F44" i="12" s="1"/>
  <c r="B114" i="9"/>
  <c r="F109" i="12" s="1"/>
  <c r="D75" i="9"/>
  <c r="H70" i="12" s="1"/>
  <c r="D73" i="9"/>
  <c r="H68" i="12" s="1"/>
  <c r="C164" i="9"/>
  <c r="G159" i="12" s="1"/>
  <c r="B63" i="9"/>
  <c r="F58" i="12" s="1"/>
  <c r="F168" i="7"/>
  <c r="B150" i="9"/>
  <c r="F145" i="12" s="1"/>
  <c r="B135" i="9"/>
  <c r="F130" i="12" s="1"/>
  <c r="F165" i="7"/>
  <c r="B147" i="9"/>
  <c r="F142" i="12" s="1"/>
  <c r="D164" i="9"/>
  <c r="H159" i="12" s="1"/>
  <c r="C139" i="9"/>
  <c r="G134" i="12" s="1"/>
  <c r="D161" i="9"/>
  <c r="H156" i="12" s="1"/>
  <c r="B41" i="9"/>
  <c r="F36" i="12" s="1"/>
  <c r="B144" i="9"/>
  <c r="F139" i="12" s="1"/>
  <c r="D174" i="9"/>
  <c r="H169" i="12" s="1"/>
  <c r="D159" i="9"/>
  <c r="H154" i="12" s="1"/>
  <c r="C53" i="9"/>
  <c r="G48" i="12" s="1"/>
  <c r="D72" i="9"/>
  <c r="H67" i="12" s="1"/>
  <c r="B51" i="9"/>
  <c r="F46" i="12" s="1"/>
  <c r="D48" i="9"/>
  <c r="H43" i="12" s="1"/>
  <c r="B54" i="9"/>
  <c r="F49" i="12" s="1"/>
  <c r="C147" i="9"/>
  <c r="G142" i="12" s="1"/>
  <c r="F62" i="7"/>
  <c r="B44" i="9"/>
  <c r="F39" i="12" s="1"/>
  <c r="D115" i="9"/>
  <c r="H110" i="12" s="1"/>
  <c r="F155" i="7"/>
  <c r="B137" i="9"/>
  <c r="F132" i="12" s="1"/>
  <c r="D163" i="9"/>
  <c r="H158" i="12" s="1"/>
  <c r="F156" i="7"/>
  <c r="B138" i="9"/>
  <c r="F133" i="12" s="1"/>
  <c r="B115" i="9"/>
  <c r="F110" i="12" s="1"/>
  <c r="B159" i="9"/>
  <c r="F154" i="12" s="1"/>
  <c r="D67" i="9"/>
  <c r="H62" i="12" s="1"/>
  <c r="D49" i="9"/>
  <c r="H44" i="12" s="1"/>
  <c r="D140" i="9"/>
  <c r="H135" i="12" s="1"/>
  <c r="B43" i="9"/>
  <c r="F38" i="12" s="1"/>
  <c r="C146" i="9"/>
  <c r="G141" i="12" s="1"/>
  <c r="D173" i="9"/>
  <c r="H168" i="12" s="1"/>
  <c r="D114" i="9"/>
  <c r="H109" i="12" s="1"/>
  <c r="C73" i="9"/>
  <c r="G68" i="12" s="1"/>
  <c r="D116" i="9"/>
  <c r="H111" i="12" s="1"/>
  <c r="F176" i="7"/>
  <c r="B158" i="9"/>
  <c r="F153" i="12" s="1"/>
  <c r="D158" i="9"/>
  <c r="H153" i="12" s="1"/>
  <c r="B117" i="9"/>
  <c r="F112" i="12" s="1"/>
  <c r="F167" i="7"/>
  <c r="B149" i="9"/>
  <c r="F144" i="12" s="1"/>
  <c r="C140" i="9"/>
  <c r="G135" i="12" s="1"/>
  <c r="F157" i="7"/>
  <c r="F158" i="7"/>
  <c r="F60" i="7"/>
  <c r="F163" i="7"/>
  <c r="F164" i="7"/>
  <c r="F59" i="7"/>
  <c r="F69" i="7"/>
  <c r="F72" i="7"/>
  <c r="F81" i="7"/>
  <c r="F70" i="7"/>
  <c r="F71" i="7"/>
  <c r="F80" i="7"/>
  <c r="F162" i="7"/>
  <c r="F61" i="7"/>
  <c r="H6" i="6"/>
  <c r="F10" i="7" s="1"/>
  <c r="J6" i="6"/>
  <c r="H10" i="7" s="1"/>
  <c r="I6" i="6"/>
  <c r="G10" i="7" s="1"/>
  <c r="E6" i="6"/>
  <c r="G82" i="7" s="1"/>
  <c r="D6" i="6"/>
  <c r="F82" i="7" s="1"/>
  <c r="F6" i="6"/>
  <c r="H82" i="7" s="1"/>
  <c r="AD360" i="3"/>
  <c r="AD322" i="3"/>
  <c r="AD330" i="3"/>
  <c r="AD338" i="3"/>
  <c r="AD346" i="3"/>
  <c r="AD361" i="3"/>
  <c r="AD31" i="3"/>
  <c r="AD35" i="3"/>
  <c r="AD39" i="3"/>
  <c r="AD43" i="3"/>
  <c r="AD47" i="3"/>
  <c r="AD51" i="3"/>
  <c r="AD55" i="3"/>
  <c r="AD207" i="3"/>
  <c r="AD211" i="3"/>
  <c r="AD215" i="3"/>
  <c r="AD219" i="3"/>
  <c r="AD223" i="3"/>
  <c r="AD227" i="3"/>
  <c r="AD231" i="3"/>
  <c r="AD323" i="3"/>
  <c r="AD331" i="3"/>
  <c r="AD339" i="3"/>
  <c r="AD347" i="3"/>
  <c r="AD351" i="3"/>
  <c r="AD355" i="3"/>
  <c r="AD11" i="3"/>
  <c r="AD15" i="3"/>
  <c r="AD19" i="3"/>
  <c r="AD23" i="3"/>
  <c r="AD27" i="3"/>
  <c r="AD348" i="3"/>
  <c r="AD249" i="3"/>
  <c r="AD269" i="3"/>
  <c r="AD277" i="3"/>
  <c r="AD289" i="3"/>
  <c r="AD297" i="3"/>
  <c r="AD305" i="3"/>
  <c r="AD317" i="3"/>
  <c r="AD337" i="3"/>
  <c r="AD17" i="3"/>
  <c r="AD29" i="3"/>
  <c r="AD56" i="3"/>
  <c r="AD60" i="3"/>
  <c r="AD64" i="3"/>
  <c r="AD68" i="3"/>
  <c r="AD72" i="3"/>
  <c r="AD76" i="3"/>
  <c r="AD80" i="3"/>
  <c r="AD84" i="3"/>
  <c r="AD88" i="3"/>
  <c r="AD92" i="3"/>
  <c r="AD96" i="3"/>
  <c r="AD100" i="3"/>
  <c r="AD104" i="3"/>
  <c r="AD108" i="3"/>
  <c r="AD112" i="3"/>
  <c r="AD116" i="3"/>
  <c r="AD120" i="3"/>
  <c r="AD124" i="3"/>
  <c r="AD128" i="3"/>
  <c r="AD132" i="3"/>
  <c r="AD136" i="3"/>
  <c r="AD140" i="3"/>
  <c r="AD144" i="3"/>
  <c r="AD148" i="3"/>
  <c r="AD152" i="3"/>
  <c r="AD156" i="3"/>
  <c r="AD160" i="3"/>
  <c r="AD164" i="3"/>
  <c r="AD168" i="3"/>
  <c r="AD172" i="3"/>
  <c r="AD176" i="3"/>
  <c r="AD180" i="3"/>
  <c r="AD184" i="3"/>
  <c r="AD188" i="3"/>
  <c r="AD192" i="3"/>
  <c r="AD196" i="3"/>
  <c r="AD200" i="3"/>
  <c r="AD204" i="3"/>
  <c r="AD236" i="3"/>
  <c r="AD240" i="3"/>
  <c r="AD244" i="3"/>
  <c r="AD248" i="3"/>
  <c r="AD252" i="3"/>
  <c r="AD256" i="3"/>
  <c r="AD260" i="3"/>
  <c r="AD264" i="3"/>
  <c r="AD268" i="3"/>
  <c r="AD272" i="3"/>
  <c r="AD276" i="3"/>
  <c r="AD280" i="3"/>
  <c r="AD284" i="3"/>
  <c r="AD288" i="3"/>
  <c r="AD292" i="3"/>
  <c r="AD296" i="3"/>
  <c r="AD300" i="3"/>
  <c r="AD304" i="3"/>
  <c r="AD308" i="3"/>
  <c r="AD312" i="3"/>
  <c r="AD316" i="3"/>
  <c r="AD320" i="3"/>
  <c r="AD328" i="3"/>
  <c r="AD340" i="3"/>
  <c r="AD285" i="3"/>
  <c r="AD313" i="3"/>
  <c r="AD341" i="3"/>
  <c r="AD353" i="3"/>
  <c r="AD21" i="3"/>
  <c r="AD57" i="3"/>
  <c r="AD61" i="3"/>
  <c r="AD65" i="3"/>
  <c r="AD69" i="3"/>
  <c r="AD73" i="3"/>
  <c r="AD77" i="3"/>
  <c r="AD81" i="3"/>
  <c r="AD85" i="3"/>
  <c r="AD89" i="3"/>
  <c r="AD93" i="3"/>
  <c r="AD97" i="3"/>
  <c r="AD101" i="3"/>
  <c r="AD105" i="3"/>
  <c r="AD109" i="3"/>
  <c r="AD113" i="3"/>
  <c r="AD117" i="3"/>
  <c r="AD121" i="3"/>
  <c r="AD125" i="3"/>
  <c r="AD129" i="3"/>
  <c r="AD133" i="3"/>
  <c r="AD137" i="3"/>
  <c r="AD141" i="3"/>
  <c r="AD145" i="3"/>
  <c r="AD149" i="3"/>
  <c r="AD153" i="3"/>
  <c r="AD157" i="3"/>
  <c r="AD165" i="3"/>
  <c r="AD169" i="3"/>
  <c r="AD173" i="3"/>
  <c r="AD177" i="3"/>
  <c r="AD181" i="3"/>
  <c r="AD185" i="3"/>
  <c r="AD189" i="3"/>
  <c r="AD193" i="3"/>
  <c r="AD197" i="3"/>
  <c r="AD201" i="3"/>
  <c r="AD237" i="3"/>
  <c r="AD241" i="3"/>
  <c r="AD245" i="3"/>
  <c r="AD253" i="3"/>
  <c r="AD257" i="3"/>
  <c r="AD261" i="3"/>
  <c r="AD265" i="3"/>
  <c r="AD273" i="3"/>
  <c r="AD281" i="3"/>
  <c r="AD293" i="3"/>
  <c r="AD301" i="3"/>
  <c r="AD309" i="3"/>
  <c r="AD321" i="3"/>
  <c r="AD345" i="3"/>
  <c r="AF66" i="4"/>
  <c r="AD58" i="3"/>
  <c r="AD62" i="3"/>
  <c r="AD66" i="3"/>
  <c r="AD70" i="3"/>
  <c r="AD74" i="3"/>
  <c r="AD78" i="3"/>
  <c r="AD82" i="3"/>
  <c r="AD86" i="3"/>
  <c r="AD90" i="3"/>
  <c r="AD94" i="3"/>
  <c r="AD98" i="3"/>
  <c r="AD102" i="3"/>
  <c r="AD106" i="3"/>
  <c r="AD110" i="3"/>
  <c r="AD114" i="3"/>
  <c r="AD118" i="3"/>
  <c r="AD122" i="3"/>
  <c r="AD126" i="3"/>
  <c r="AD130" i="3"/>
  <c r="AD134" i="3"/>
  <c r="AD138" i="3"/>
  <c r="AD142" i="3"/>
  <c r="AD146" i="3"/>
  <c r="AD150" i="3"/>
  <c r="AD154" i="3"/>
  <c r="AD158" i="3"/>
  <c r="AD162" i="3"/>
  <c r="AD166" i="3"/>
  <c r="AD170" i="3"/>
  <c r="AD174" i="3"/>
  <c r="AD178" i="3"/>
  <c r="AD182" i="3"/>
  <c r="AD186" i="3"/>
  <c r="AD190" i="3"/>
  <c r="AD194" i="3"/>
  <c r="AD198" i="3"/>
  <c r="AD202" i="3"/>
  <c r="AD234" i="3"/>
  <c r="AD238" i="3"/>
  <c r="AD242" i="3"/>
  <c r="AD246" i="3"/>
  <c r="AD250" i="3"/>
  <c r="AD254" i="3"/>
  <c r="AD258" i="3"/>
  <c r="AD262" i="3"/>
  <c r="AD266" i="3"/>
  <c r="AD270" i="3"/>
  <c r="AD274" i="3"/>
  <c r="AD278" i="3"/>
  <c r="AD282" i="3"/>
  <c r="AD286" i="3"/>
  <c r="AD290" i="3"/>
  <c r="AD294" i="3"/>
  <c r="AD298" i="3"/>
  <c r="AD302" i="3"/>
  <c r="AD306" i="3"/>
  <c r="AD310" i="3"/>
  <c r="AD314" i="3"/>
  <c r="AD318" i="3"/>
  <c r="AD358" i="3"/>
  <c r="AD10" i="3"/>
  <c r="AD14" i="3"/>
  <c r="AD18" i="3"/>
  <c r="AD22" i="3"/>
  <c r="AD26" i="3"/>
  <c r="AD30" i="3"/>
  <c r="AD336" i="3"/>
  <c r="AD356" i="3"/>
  <c r="AD363" i="3"/>
  <c r="AD365" i="3"/>
  <c r="AD367" i="3"/>
  <c r="AD369" i="3"/>
  <c r="AD371" i="3"/>
  <c r="AD373" i="3"/>
  <c r="AD362" i="3"/>
  <c r="AD205" i="3"/>
  <c r="AD326" i="3"/>
  <c r="AD334" i="3"/>
  <c r="AD342" i="3"/>
  <c r="AD350" i="3"/>
  <c r="AD354" i="3"/>
  <c r="AD59" i="3"/>
  <c r="AD63" i="3"/>
  <c r="AD67" i="3"/>
  <c r="AD71" i="3"/>
  <c r="AD75" i="3"/>
  <c r="AD79" i="3"/>
  <c r="AD83" i="3"/>
  <c r="AD87" i="3"/>
  <c r="AD91" i="3"/>
  <c r="AD95" i="3"/>
  <c r="AD99" i="3"/>
  <c r="AD103" i="3"/>
  <c r="AD107" i="3"/>
  <c r="AD111" i="3"/>
  <c r="AD115" i="3"/>
  <c r="AD119" i="3"/>
  <c r="AD123" i="3"/>
  <c r="AD127" i="3"/>
  <c r="AD131" i="3"/>
  <c r="AD135" i="3"/>
  <c r="AD139" i="3"/>
  <c r="AD143" i="3"/>
  <c r="AD147" i="3"/>
  <c r="AD151" i="3"/>
  <c r="AD155" i="3"/>
  <c r="AD159" i="3"/>
  <c r="AD163" i="3"/>
  <c r="AD167" i="3"/>
  <c r="AD171" i="3"/>
  <c r="AD175" i="3"/>
  <c r="AD179" i="3"/>
  <c r="AD183" i="3"/>
  <c r="AD187" i="3"/>
  <c r="AD191" i="3"/>
  <c r="AD195" i="3"/>
  <c r="AD199" i="3"/>
  <c r="AD203" i="3"/>
  <c r="AD235" i="3"/>
  <c r="AD239" i="3"/>
  <c r="AD243" i="3"/>
  <c r="AD247" i="3"/>
  <c r="AD251" i="3"/>
  <c r="AD255" i="3"/>
  <c r="AD259" i="3"/>
  <c r="AD263" i="3"/>
  <c r="AD267" i="3"/>
  <c r="AD271" i="3"/>
  <c r="AD275" i="3"/>
  <c r="AD279" i="3"/>
  <c r="AD283" i="3"/>
  <c r="AD287" i="3"/>
  <c r="AD291" i="3"/>
  <c r="AD295" i="3"/>
  <c r="AD299" i="3"/>
  <c r="AD303" i="3"/>
  <c r="AD307" i="3"/>
  <c r="AD311" i="3"/>
  <c r="AD315" i="3"/>
  <c r="AD319" i="3"/>
  <c r="AD327" i="3"/>
  <c r="AD335" i="3"/>
  <c r="AD343" i="3"/>
  <c r="AD20" i="3"/>
  <c r="AD325" i="3"/>
  <c r="AD349" i="3"/>
  <c r="AD357" i="3"/>
  <c r="AD32" i="3"/>
  <c r="AD36" i="3"/>
  <c r="AD40" i="3"/>
  <c r="AD44" i="3"/>
  <c r="AD48" i="3"/>
  <c r="AD52" i="3"/>
  <c r="AD208" i="3"/>
  <c r="AD212" i="3"/>
  <c r="AD216" i="3"/>
  <c r="AD220" i="3"/>
  <c r="AD224" i="3"/>
  <c r="AD228" i="3"/>
  <c r="AD232" i="3"/>
  <c r="AD324" i="3"/>
  <c r="AD332" i="3"/>
  <c r="AD344" i="3"/>
  <c r="AD352" i="3"/>
  <c r="AD16" i="3"/>
  <c r="AD28" i="3"/>
  <c r="AD329" i="3"/>
  <c r="AD33" i="3"/>
  <c r="AD37" i="3"/>
  <c r="AD41" i="3"/>
  <c r="AD45" i="3"/>
  <c r="AD49" i="3"/>
  <c r="AD53" i="3"/>
  <c r="AD209" i="3"/>
  <c r="AD213" i="3"/>
  <c r="AD217" i="3"/>
  <c r="AD221" i="3"/>
  <c r="AD225" i="3"/>
  <c r="AD229" i="3"/>
  <c r="AD233" i="3"/>
  <c r="AD333" i="3"/>
  <c r="AD13" i="3"/>
  <c r="AD25" i="3"/>
  <c r="AF22" i="3"/>
  <c r="AD9" i="3"/>
  <c r="AD34" i="3"/>
  <c r="AD38" i="3"/>
  <c r="AD42" i="3"/>
  <c r="AD46" i="3"/>
  <c r="AD50" i="3"/>
  <c r="AD54" i="3"/>
  <c r="AD206" i="3"/>
  <c r="AD210" i="3"/>
  <c r="AD214" i="3"/>
  <c r="AD218" i="3"/>
  <c r="AD222" i="3"/>
  <c r="AD226" i="3"/>
  <c r="AD230" i="3"/>
  <c r="AD12" i="3"/>
  <c r="AD24" i="3"/>
  <c r="AD359" i="3"/>
  <c r="AD364" i="3"/>
  <c r="AD366" i="3"/>
  <c r="AD368" i="3"/>
  <c r="AD370" i="3"/>
  <c r="AD372" i="3"/>
  <c r="AD161" i="3"/>
  <c r="C10" i="1"/>
  <c r="K10" i="1"/>
  <c r="K11" i="1" s="1"/>
  <c r="F10" i="1"/>
  <c r="F11" i="1" s="1"/>
  <c r="J10" i="1"/>
  <c r="J11" i="1" s="1"/>
  <c r="E10" i="1"/>
  <c r="N10" i="1"/>
  <c r="N11" i="1" s="1"/>
  <c r="H10" i="1"/>
  <c r="M10" i="1"/>
  <c r="M11" i="1" s="1"/>
  <c r="I10" i="1"/>
  <c r="I11" i="1" s="1"/>
  <c r="G10" i="1"/>
  <c r="G11" i="1" s="1"/>
  <c r="L10" i="1"/>
  <c r="L11" i="1" s="1"/>
  <c r="E658" i="12" l="1"/>
  <c r="D649" i="15" s="1"/>
  <c r="D145" i="15"/>
  <c r="D255" i="12"/>
  <c r="C246" i="15" s="1"/>
  <c r="C78" i="15"/>
  <c r="E255" i="12"/>
  <c r="D246" i="15" s="1"/>
  <c r="D78" i="15"/>
  <c r="D590" i="12"/>
  <c r="C581" i="15" s="1"/>
  <c r="C77" i="15"/>
  <c r="C255" i="12"/>
  <c r="B246" i="15" s="1"/>
  <c r="B78" i="15"/>
  <c r="C191" i="12"/>
  <c r="B182" i="15" s="1"/>
  <c r="B14" i="15"/>
  <c r="C184" i="12"/>
  <c r="B175" i="15" s="1"/>
  <c r="B7" i="15"/>
  <c r="C256" i="12"/>
  <c r="B247" i="15" s="1"/>
  <c r="B79" i="15"/>
  <c r="C182" i="12"/>
  <c r="B173" i="15" s="1"/>
  <c r="B5" i="15"/>
  <c r="C190" i="12"/>
  <c r="B181" i="15" s="1"/>
  <c r="B13" i="15"/>
  <c r="C254" i="12"/>
  <c r="B245" i="15" s="1"/>
  <c r="B77" i="15"/>
  <c r="C252" i="12"/>
  <c r="B243" i="15" s="1"/>
  <c r="B75" i="15"/>
  <c r="C181" i="12"/>
  <c r="B172" i="15" s="1"/>
  <c r="B4" i="15"/>
  <c r="C201" i="12"/>
  <c r="B192" i="15" s="1"/>
  <c r="B24" i="15"/>
  <c r="C189" i="12"/>
  <c r="B180" i="15" s="1"/>
  <c r="B12" i="15"/>
  <c r="D355" i="12"/>
  <c r="C346" i="15" s="1"/>
  <c r="C10" i="15"/>
  <c r="E519" i="12"/>
  <c r="D510" i="15" s="1"/>
  <c r="D6" i="15"/>
  <c r="E252" i="12"/>
  <c r="D243" i="15" s="1"/>
  <c r="D75" i="15"/>
  <c r="D609" i="12"/>
  <c r="C600" i="15" s="1"/>
  <c r="C96" i="15"/>
  <c r="E274" i="12"/>
  <c r="D265" i="15" s="1"/>
  <c r="D97" i="15"/>
  <c r="E537" i="12"/>
  <c r="D528" i="15" s="1"/>
  <c r="D24" i="15"/>
  <c r="D634" i="12"/>
  <c r="C625" i="15" s="1"/>
  <c r="C121" i="15"/>
  <c r="E424" i="12"/>
  <c r="D415" i="15" s="1"/>
  <c r="D79" i="15"/>
  <c r="C274" i="12"/>
  <c r="B265" i="15" s="1"/>
  <c r="B97" i="15"/>
  <c r="E422" i="12"/>
  <c r="D413" i="15" s="1"/>
  <c r="D77" i="15"/>
  <c r="D589" i="12"/>
  <c r="C580" i="15" s="1"/>
  <c r="C76" i="15"/>
  <c r="E226" i="12"/>
  <c r="D217" i="15" s="1"/>
  <c r="D49" i="15"/>
  <c r="D189" i="12"/>
  <c r="C180" i="15" s="1"/>
  <c r="C12" i="15"/>
  <c r="D520" i="12"/>
  <c r="C511" i="15" s="1"/>
  <c r="C7" i="15"/>
  <c r="D527" i="12"/>
  <c r="C518" i="15" s="1"/>
  <c r="C14" i="15"/>
  <c r="E359" i="12"/>
  <c r="D350" i="15" s="1"/>
  <c r="D14" i="15"/>
  <c r="D518" i="12"/>
  <c r="C509" i="15" s="1"/>
  <c r="C5" i="15"/>
  <c r="C192" i="12"/>
  <c r="B183" i="15" s="1"/>
  <c r="B15" i="15"/>
  <c r="C187" i="12"/>
  <c r="B178" i="15" s="1"/>
  <c r="B10" i="15"/>
  <c r="C193" i="12"/>
  <c r="B184" i="15" s="1"/>
  <c r="B16" i="15"/>
  <c r="C183" i="12"/>
  <c r="B174" i="15" s="1"/>
  <c r="B6" i="15"/>
  <c r="C253" i="12"/>
  <c r="B244" i="15" s="1"/>
  <c r="B76" i="15"/>
  <c r="C180" i="12"/>
  <c r="B171" i="15" s="1"/>
  <c r="B3" i="15"/>
  <c r="C188" i="12"/>
  <c r="B179" i="15" s="1"/>
  <c r="B11" i="15"/>
  <c r="C273" i="12"/>
  <c r="B264" i="15" s="1"/>
  <c r="B96" i="15"/>
  <c r="C202" i="12"/>
  <c r="B193" i="15" s="1"/>
  <c r="B25" i="15"/>
  <c r="E346" i="12"/>
  <c r="D337" i="15" s="1"/>
  <c r="D169" i="15"/>
  <c r="E250" i="12"/>
  <c r="D241" i="15" s="1"/>
  <c r="D73" i="15"/>
  <c r="E187" i="12"/>
  <c r="D178" i="15" s="1"/>
  <c r="D10" i="15"/>
  <c r="D526" i="12"/>
  <c r="C517" i="15" s="1"/>
  <c r="C13" i="15"/>
  <c r="E352" i="12"/>
  <c r="D343" i="15" s="1"/>
  <c r="D7" i="15"/>
  <c r="O12" i="12"/>
  <c r="E3" i="15" s="1"/>
  <c r="P12" i="12"/>
  <c r="F3" i="15" s="1"/>
  <c r="P34" i="12"/>
  <c r="F25" i="15" s="1"/>
  <c r="D144" i="9"/>
  <c r="H139" i="12" s="1"/>
  <c r="D51" i="9"/>
  <c r="H46" i="12" s="1"/>
  <c r="D170" i="9"/>
  <c r="H165" i="12" s="1"/>
  <c r="C74" i="9"/>
  <c r="G69" i="12" s="1"/>
  <c r="C169" i="9"/>
  <c r="G164" i="12" s="1"/>
  <c r="C174" i="9"/>
  <c r="G169" i="12" s="1"/>
  <c r="C41" i="9"/>
  <c r="G36" i="12" s="1"/>
  <c r="Q84" i="12"/>
  <c r="G75" i="15" s="1"/>
  <c r="P33" i="12"/>
  <c r="F24" i="15" s="1"/>
  <c r="O16" i="12"/>
  <c r="E7" i="15" s="1"/>
  <c r="P105" i="12"/>
  <c r="F96" i="15" s="1"/>
  <c r="Q105" i="12"/>
  <c r="G96" i="15" s="1"/>
  <c r="Q106" i="12"/>
  <c r="G97" i="15" s="1"/>
  <c r="E254" i="12"/>
  <c r="D245" i="15" s="1"/>
  <c r="E514" i="12"/>
  <c r="D505" i="15" s="1"/>
  <c r="E586" i="12"/>
  <c r="D577" i="15" s="1"/>
  <c r="E523" i="12"/>
  <c r="D514" i="15" s="1"/>
  <c r="D423" i="12"/>
  <c r="C414" i="15" s="1"/>
  <c r="E418" i="12"/>
  <c r="D409" i="15" s="1"/>
  <c r="E682" i="12"/>
  <c r="D673" i="15" s="1"/>
  <c r="D190" i="12"/>
  <c r="C181" i="15" s="1"/>
  <c r="D523" i="12"/>
  <c r="C514" i="15" s="1"/>
  <c r="O105" i="12"/>
  <c r="Q21" i="12"/>
  <c r="Q357" i="12" s="1"/>
  <c r="G348" i="15" s="1"/>
  <c r="Q85" i="12"/>
  <c r="P24" i="12"/>
  <c r="P360" i="12" s="1"/>
  <c r="F351" i="15" s="1"/>
  <c r="Q14" i="12"/>
  <c r="O23" i="12"/>
  <c r="O359" i="12" s="1"/>
  <c r="E350" i="15" s="1"/>
  <c r="O87" i="12"/>
  <c r="O86" i="12"/>
  <c r="Q20" i="12"/>
  <c r="P15" i="12"/>
  <c r="O14" i="12"/>
  <c r="E5" i="15" s="1"/>
  <c r="O84" i="12"/>
  <c r="O252" i="12" s="1"/>
  <c r="E243" i="15" s="1"/>
  <c r="Q154" i="12"/>
  <c r="P25" i="12"/>
  <c r="P529" i="12" s="1"/>
  <c r="F520" i="15" s="1"/>
  <c r="P87" i="12"/>
  <c r="F78" i="15" s="1"/>
  <c r="O34" i="12"/>
  <c r="O538" i="12" s="1"/>
  <c r="E529" i="15" s="1"/>
  <c r="Q87" i="12"/>
  <c r="P86" i="12"/>
  <c r="F77" i="15" s="1"/>
  <c r="O33" i="12"/>
  <c r="E24" i="15" s="1"/>
  <c r="D525" i="12"/>
  <c r="C516" i="15" s="1"/>
  <c r="D191" i="12"/>
  <c r="C182" i="15" s="1"/>
  <c r="D253" i="12"/>
  <c r="C244" i="15" s="1"/>
  <c r="E394" i="12"/>
  <c r="D385" i="15" s="1"/>
  <c r="D184" i="12"/>
  <c r="C175" i="15" s="1"/>
  <c r="D182" i="12"/>
  <c r="C173" i="15" s="1"/>
  <c r="E184" i="12"/>
  <c r="D175" i="15" s="1"/>
  <c r="D358" i="12"/>
  <c r="C349" i="15" s="1"/>
  <c r="E527" i="12"/>
  <c r="D518" i="15" s="1"/>
  <c r="E562" i="12"/>
  <c r="D553" i="15" s="1"/>
  <c r="D352" i="12"/>
  <c r="C343" i="15" s="1"/>
  <c r="E355" i="12"/>
  <c r="D346" i="15" s="1"/>
  <c r="D350" i="12"/>
  <c r="C341" i="15" s="1"/>
  <c r="E520" i="12"/>
  <c r="D511" i="15" s="1"/>
  <c r="Q525" i="12"/>
  <c r="G516" i="15" s="1"/>
  <c r="O422" i="12"/>
  <c r="E413" i="15" s="1"/>
  <c r="P193" i="12"/>
  <c r="F184" i="15" s="1"/>
  <c r="P19" i="12"/>
  <c r="F10" i="15" s="1"/>
  <c r="Q15" i="12"/>
  <c r="G6" i="15" s="1"/>
  <c r="P537" i="12"/>
  <c r="F528" i="15" s="1"/>
  <c r="O520" i="12"/>
  <c r="E511" i="15" s="1"/>
  <c r="O352" i="12"/>
  <c r="E343" i="15" s="1"/>
  <c r="P609" i="12"/>
  <c r="F600" i="15" s="1"/>
  <c r="O15" i="12"/>
  <c r="E6" i="15" s="1"/>
  <c r="Q33" i="12"/>
  <c r="G24" i="15" s="1"/>
  <c r="P20" i="12"/>
  <c r="F11" i="15" s="1"/>
  <c r="O13" i="12"/>
  <c r="E4" i="15" s="1"/>
  <c r="O21" i="12"/>
  <c r="E12" i="15" s="1"/>
  <c r="P130" i="12"/>
  <c r="F121" i="15" s="1"/>
  <c r="Q88" i="12"/>
  <c r="G79" i="15" s="1"/>
  <c r="O24" i="12"/>
  <c r="E15" i="15" s="1"/>
  <c r="Q590" i="12"/>
  <c r="G581" i="15" s="1"/>
  <c r="Q254" i="12"/>
  <c r="G245" i="15" s="1"/>
  <c r="Q422" i="12"/>
  <c r="G413" i="15" s="1"/>
  <c r="P589" i="12"/>
  <c r="F580" i="15" s="1"/>
  <c r="P421" i="12"/>
  <c r="F412" i="15" s="1"/>
  <c r="P253" i="12"/>
  <c r="F244" i="15" s="1"/>
  <c r="Q529" i="12"/>
  <c r="G520" i="15" s="1"/>
  <c r="Q361" i="12"/>
  <c r="G352" i="15" s="1"/>
  <c r="Q193" i="12"/>
  <c r="G184" i="15" s="1"/>
  <c r="O592" i="12"/>
  <c r="E583" i="15" s="1"/>
  <c r="O256" i="12"/>
  <c r="E247" i="15" s="1"/>
  <c r="O424" i="12"/>
  <c r="E415" i="15" s="1"/>
  <c r="P588" i="12"/>
  <c r="F579" i="15" s="1"/>
  <c r="P420" i="12"/>
  <c r="F411" i="15" s="1"/>
  <c r="P252" i="12"/>
  <c r="F243" i="15" s="1"/>
  <c r="O523" i="12"/>
  <c r="E514" i="15" s="1"/>
  <c r="O355" i="12"/>
  <c r="E346" i="15" s="1"/>
  <c r="O187" i="12"/>
  <c r="E178" i="15" s="1"/>
  <c r="Q562" i="12"/>
  <c r="G553" i="15" s="1"/>
  <c r="Q394" i="12"/>
  <c r="G385" i="15" s="1"/>
  <c r="Q226" i="12"/>
  <c r="G217" i="15" s="1"/>
  <c r="P525" i="12"/>
  <c r="F516" i="15" s="1"/>
  <c r="P357" i="12"/>
  <c r="F348" i="15" s="1"/>
  <c r="P189" i="12"/>
  <c r="F180" i="15" s="1"/>
  <c r="P520" i="12"/>
  <c r="F511" i="15" s="1"/>
  <c r="P352" i="12"/>
  <c r="F343" i="15" s="1"/>
  <c r="P184" i="12"/>
  <c r="F175" i="15" s="1"/>
  <c r="Q528" i="12"/>
  <c r="G519" i="15" s="1"/>
  <c r="Q360" i="12"/>
  <c r="G351" i="15" s="1"/>
  <c r="Q192" i="12"/>
  <c r="G183" i="15" s="1"/>
  <c r="O589" i="12"/>
  <c r="E580" i="15" s="1"/>
  <c r="O421" i="12"/>
  <c r="E412" i="15" s="1"/>
  <c r="O253" i="12"/>
  <c r="E244" i="15" s="1"/>
  <c r="P359" i="12"/>
  <c r="F350" i="15" s="1"/>
  <c r="P527" i="12"/>
  <c r="F518" i="15" s="1"/>
  <c r="P191" i="12"/>
  <c r="F182" i="15" s="1"/>
  <c r="Q527" i="12"/>
  <c r="G518" i="15" s="1"/>
  <c r="Q191" i="12"/>
  <c r="G182" i="15" s="1"/>
  <c r="Q359" i="12"/>
  <c r="G350" i="15" s="1"/>
  <c r="P518" i="12"/>
  <c r="F509" i="15" s="1"/>
  <c r="P350" i="12"/>
  <c r="F341" i="15" s="1"/>
  <c r="P182" i="12"/>
  <c r="F173" i="15" s="1"/>
  <c r="O516" i="12"/>
  <c r="E507" i="15" s="1"/>
  <c r="O180" i="12"/>
  <c r="E171" i="15" s="1"/>
  <c r="O348" i="12"/>
  <c r="E339" i="15" s="1"/>
  <c r="P516" i="12"/>
  <c r="F507" i="15" s="1"/>
  <c r="P348" i="12"/>
  <c r="F339" i="15" s="1"/>
  <c r="P180" i="12"/>
  <c r="F171" i="15" s="1"/>
  <c r="P202" i="12"/>
  <c r="F193" i="15" s="1"/>
  <c r="Q526" i="12"/>
  <c r="G517" i="15" s="1"/>
  <c r="Q190" i="12"/>
  <c r="G181" i="15" s="1"/>
  <c r="Q358" i="12"/>
  <c r="G349" i="15" s="1"/>
  <c r="E590" i="12"/>
  <c r="D581" i="15" s="1"/>
  <c r="Q178" i="12"/>
  <c r="G169" i="15" s="1"/>
  <c r="Q13" i="12"/>
  <c r="G4" i="15" s="1"/>
  <c r="O22" i="12"/>
  <c r="E13" i="15" s="1"/>
  <c r="Q12" i="12"/>
  <c r="G3" i="15" s="1"/>
  <c r="Q82" i="12"/>
  <c r="G73" i="15" s="1"/>
  <c r="Q19" i="12"/>
  <c r="G10" i="15" s="1"/>
  <c r="O106" i="12"/>
  <c r="E97" i="15" s="1"/>
  <c r="P88" i="12"/>
  <c r="F79" i="15" s="1"/>
  <c r="O25" i="12"/>
  <c r="E16" i="15" s="1"/>
  <c r="P13" i="12"/>
  <c r="F4" i="15" s="1"/>
  <c r="O20" i="12"/>
  <c r="E11" i="15" s="1"/>
  <c r="P22" i="12"/>
  <c r="F13" i="15" s="1"/>
  <c r="Q16" i="12"/>
  <c r="G7" i="15" s="1"/>
  <c r="D298" i="12"/>
  <c r="C289" i="15" s="1"/>
  <c r="E420" i="12"/>
  <c r="D411" i="15" s="1"/>
  <c r="D441" i="12"/>
  <c r="C432" i="15" s="1"/>
  <c r="E351" i="12"/>
  <c r="D342" i="15" s="1"/>
  <c r="E610" i="12"/>
  <c r="D601" i="15" s="1"/>
  <c r="E201" i="12"/>
  <c r="D192" i="15" s="1"/>
  <c r="E256" i="12"/>
  <c r="D247" i="15" s="1"/>
  <c r="D187" i="12"/>
  <c r="C178" i="15" s="1"/>
  <c r="D466" i="12"/>
  <c r="C457" i="15" s="1"/>
  <c r="D357" i="12"/>
  <c r="C348" i="15" s="1"/>
  <c r="D273" i="12"/>
  <c r="C264" i="15" s="1"/>
  <c r="D359" i="12"/>
  <c r="C350" i="15" s="1"/>
  <c r="E191" i="12"/>
  <c r="D182" i="15" s="1"/>
  <c r="E369" i="12"/>
  <c r="D360" i="15" s="1"/>
  <c r="E592" i="12"/>
  <c r="D583" i="15" s="1"/>
  <c r="D254" i="12"/>
  <c r="C245" i="15" s="1"/>
  <c r="E322" i="12"/>
  <c r="D313" i="15" s="1"/>
  <c r="D591" i="12"/>
  <c r="C582" i="15" s="1"/>
  <c r="E591" i="12"/>
  <c r="D582" i="15" s="1"/>
  <c r="D422" i="12"/>
  <c r="C413" i="15" s="1"/>
  <c r="E490" i="12"/>
  <c r="D481" i="15" s="1"/>
  <c r="C77" i="9"/>
  <c r="G72" i="12" s="1"/>
  <c r="G576" i="12" s="1"/>
  <c r="C66" i="9"/>
  <c r="G61" i="12" s="1"/>
  <c r="G229" i="12" s="1"/>
  <c r="N682" i="12"/>
  <c r="N346" i="12"/>
  <c r="N514" i="12"/>
  <c r="N517" i="12"/>
  <c r="N349" i="12"/>
  <c r="N181" i="12"/>
  <c r="L526" i="12"/>
  <c r="L358" i="12"/>
  <c r="L190" i="12"/>
  <c r="N516" i="12"/>
  <c r="N180" i="12"/>
  <c r="N348" i="12"/>
  <c r="N586" i="12"/>
  <c r="N418" i="12"/>
  <c r="N250" i="12"/>
  <c r="N523" i="12"/>
  <c r="N355" i="12"/>
  <c r="N187" i="12"/>
  <c r="L610" i="12"/>
  <c r="L442" i="12"/>
  <c r="L274" i="12"/>
  <c r="M592" i="12"/>
  <c r="M256" i="12"/>
  <c r="M424" i="12"/>
  <c r="L529" i="12"/>
  <c r="L361" i="12"/>
  <c r="L193" i="12"/>
  <c r="M517" i="12"/>
  <c r="M349" i="12"/>
  <c r="M181" i="12"/>
  <c r="L356" i="12"/>
  <c r="L524" i="12"/>
  <c r="L188" i="12"/>
  <c r="M526" i="12"/>
  <c r="M358" i="12"/>
  <c r="M190" i="12"/>
  <c r="N520" i="12"/>
  <c r="N352" i="12"/>
  <c r="N184" i="12"/>
  <c r="L609" i="12"/>
  <c r="L441" i="12"/>
  <c r="L273" i="12"/>
  <c r="N525" i="12"/>
  <c r="N357" i="12"/>
  <c r="N189" i="12"/>
  <c r="N589" i="12"/>
  <c r="N253" i="12"/>
  <c r="N421" i="12"/>
  <c r="M528" i="12"/>
  <c r="M360" i="12"/>
  <c r="M192" i="12"/>
  <c r="N350" i="12"/>
  <c r="N518" i="12"/>
  <c r="N182" i="12"/>
  <c r="L527" i="12"/>
  <c r="L359" i="12"/>
  <c r="L191" i="12"/>
  <c r="L591" i="12"/>
  <c r="L255" i="12"/>
  <c r="L423" i="12"/>
  <c r="L422" i="12"/>
  <c r="L590" i="12"/>
  <c r="L254" i="12"/>
  <c r="N524" i="12"/>
  <c r="N188" i="12"/>
  <c r="N356" i="12"/>
  <c r="M519" i="12"/>
  <c r="M183" i="12"/>
  <c r="M351" i="12"/>
  <c r="L518" i="12"/>
  <c r="L350" i="12"/>
  <c r="L182" i="12"/>
  <c r="L420" i="12"/>
  <c r="L588" i="12"/>
  <c r="L252" i="12"/>
  <c r="N658" i="12"/>
  <c r="N490" i="12"/>
  <c r="N322" i="12"/>
  <c r="M361" i="12"/>
  <c r="M529" i="12"/>
  <c r="M193" i="12"/>
  <c r="M591" i="12"/>
  <c r="M423" i="12"/>
  <c r="M255" i="12"/>
  <c r="L538" i="12"/>
  <c r="L370" i="12"/>
  <c r="L202" i="12"/>
  <c r="N591" i="12"/>
  <c r="N423" i="12"/>
  <c r="N255" i="12"/>
  <c r="M590" i="12"/>
  <c r="M422" i="12"/>
  <c r="M254" i="12"/>
  <c r="L537" i="12"/>
  <c r="L369" i="12"/>
  <c r="L201" i="12"/>
  <c r="C138" i="9"/>
  <c r="G133" i="12" s="1"/>
  <c r="G301" i="12" s="1"/>
  <c r="C144" i="9"/>
  <c r="G139" i="12" s="1"/>
  <c r="G475" i="12" s="1"/>
  <c r="C62" i="9"/>
  <c r="G57" i="12" s="1"/>
  <c r="G561" i="12" s="1"/>
  <c r="M523" i="12"/>
  <c r="M355" i="12"/>
  <c r="M187" i="12"/>
  <c r="N519" i="12"/>
  <c r="N351" i="12"/>
  <c r="N183" i="12"/>
  <c r="N588" i="12"/>
  <c r="N420" i="12"/>
  <c r="N252" i="12"/>
  <c r="M537" i="12"/>
  <c r="M369" i="12"/>
  <c r="M201" i="12"/>
  <c r="L520" i="12"/>
  <c r="L352" i="12"/>
  <c r="L184" i="12"/>
  <c r="M441" i="12"/>
  <c r="M609" i="12"/>
  <c r="M273" i="12"/>
  <c r="N609" i="12"/>
  <c r="N441" i="12"/>
  <c r="N273" i="12"/>
  <c r="L519" i="12"/>
  <c r="L351" i="12"/>
  <c r="L183" i="12"/>
  <c r="N610" i="12"/>
  <c r="N442" i="12"/>
  <c r="N274" i="12"/>
  <c r="N537" i="12"/>
  <c r="N369" i="12"/>
  <c r="N201" i="12"/>
  <c r="M524" i="12"/>
  <c r="M356" i="12"/>
  <c r="M188" i="12"/>
  <c r="L517" i="12"/>
  <c r="L181" i="12"/>
  <c r="L349" i="12"/>
  <c r="L525" i="12"/>
  <c r="L189" i="12"/>
  <c r="L357" i="12"/>
  <c r="M634" i="12"/>
  <c r="M466" i="12"/>
  <c r="M298" i="12"/>
  <c r="N592" i="12"/>
  <c r="N424" i="12"/>
  <c r="N256" i="12"/>
  <c r="L528" i="12"/>
  <c r="L360" i="12"/>
  <c r="L192" i="12"/>
  <c r="C172" i="9"/>
  <c r="G167" i="12" s="1"/>
  <c r="C76" i="9"/>
  <c r="G71" i="12" s="1"/>
  <c r="G575" i="12" s="1"/>
  <c r="C137" i="9"/>
  <c r="G132" i="12" s="1"/>
  <c r="G468" i="12" s="1"/>
  <c r="D134" i="9"/>
  <c r="H129" i="12" s="1"/>
  <c r="H297" i="12" s="1"/>
  <c r="C44" i="9"/>
  <c r="G39" i="12" s="1"/>
  <c r="G207" i="12" s="1"/>
  <c r="D76" i="9"/>
  <c r="H71" i="12" s="1"/>
  <c r="H575" i="12" s="1"/>
  <c r="D86" i="9"/>
  <c r="H81" i="12" s="1"/>
  <c r="H417" i="12" s="1"/>
  <c r="C75" i="9"/>
  <c r="G70" i="12" s="1"/>
  <c r="G574" i="12" s="1"/>
  <c r="D139" i="9"/>
  <c r="H134" i="12" s="1"/>
  <c r="H470" i="12" s="1"/>
  <c r="D53" i="9"/>
  <c r="H48" i="12" s="1"/>
  <c r="H384" i="12" s="1"/>
  <c r="N590" i="12"/>
  <c r="N422" i="12"/>
  <c r="N254" i="12"/>
  <c r="M589" i="12"/>
  <c r="M421" i="12"/>
  <c r="M253" i="12"/>
  <c r="N529" i="12"/>
  <c r="N361" i="12"/>
  <c r="N193" i="12"/>
  <c r="L424" i="12"/>
  <c r="L592" i="12"/>
  <c r="L256" i="12"/>
  <c r="M588" i="12"/>
  <c r="M420" i="12"/>
  <c r="M252" i="12"/>
  <c r="L523" i="12"/>
  <c r="L355" i="12"/>
  <c r="L187" i="12"/>
  <c r="N562" i="12"/>
  <c r="N394" i="12"/>
  <c r="N226" i="12"/>
  <c r="M525" i="12"/>
  <c r="M357" i="12"/>
  <c r="M189" i="12"/>
  <c r="M520" i="12"/>
  <c r="M352" i="12"/>
  <c r="M184" i="12"/>
  <c r="N528" i="12"/>
  <c r="N360" i="12"/>
  <c r="N192" i="12"/>
  <c r="L589" i="12"/>
  <c r="L421" i="12"/>
  <c r="L253" i="12"/>
  <c r="M527" i="12"/>
  <c r="M191" i="12"/>
  <c r="M359" i="12"/>
  <c r="N527" i="12"/>
  <c r="N191" i="12"/>
  <c r="N359" i="12"/>
  <c r="M518" i="12"/>
  <c r="M350" i="12"/>
  <c r="M182" i="12"/>
  <c r="L516" i="12"/>
  <c r="L348" i="12"/>
  <c r="L180" i="12"/>
  <c r="M516" i="12"/>
  <c r="M348" i="12"/>
  <c r="M180" i="12"/>
  <c r="M538" i="12"/>
  <c r="M202" i="12"/>
  <c r="M370" i="12"/>
  <c r="N526" i="12"/>
  <c r="N358" i="12"/>
  <c r="N190" i="12"/>
  <c r="E11" i="12"/>
  <c r="K16" i="9"/>
  <c r="N11" i="12" s="1"/>
  <c r="H16" i="9"/>
  <c r="C163" i="12"/>
  <c r="I168" i="9"/>
  <c r="L163" i="12" s="1"/>
  <c r="F168" i="9"/>
  <c r="I163" i="12" s="1"/>
  <c r="C82" i="12"/>
  <c r="I87" i="9"/>
  <c r="L82" i="12" s="1"/>
  <c r="F87" i="9"/>
  <c r="I82" i="12" s="1"/>
  <c r="C165" i="12"/>
  <c r="I170" i="9"/>
  <c r="L165" i="12" s="1"/>
  <c r="F170" i="9"/>
  <c r="I165" i="12" s="1"/>
  <c r="C158" i="12"/>
  <c r="I163" i="9"/>
  <c r="L158" i="12" s="1"/>
  <c r="F163" i="9"/>
  <c r="I158" i="12" s="1"/>
  <c r="C168" i="12"/>
  <c r="B159" i="15" s="1"/>
  <c r="I173" i="9"/>
  <c r="L168" i="12" s="1"/>
  <c r="F173" i="9"/>
  <c r="I168" i="12" s="1"/>
  <c r="C177" i="12"/>
  <c r="I182" i="9"/>
  <c r="L177" i="12" s="1"/>
  <c r="F182" i="9"/>
  <c r="I177" i="12" s="1"/>
  <c r="C166" i="12"/>
  <c r="I171" i="9"/>
  <c r="L166" i="12" s="1"/>
  <c r="F171" i="9"/>
  <c r="I166" i="12" s="1"/>
  <c r="D71" i="12"/>
  <c r="J76" i="9"/>
  <c r="M71" i="12" s="1"/>
  <c r="G76" i="9"/>
  <c r="J71" i="12" s="1"/>
  <c r="C136" i="12"/>
  <c r="I141" i="9"/>
  <c r="L136" i="12" s="1"/>
  <c r="F141" i="9"/>
  <c r="I136" i="12" s="1"/>
  <c r="D133" i="12"/>
  <c r="J138" i="9"/>
  <c r="M133" i="12" s="1"/>
  <c r="G138" i="9"/>
  <c r="J133" i="12" s="1"/>
  <c r="E135" i="12"/>
  <c r="K140" i="9"/>
  <c r="N135" i="12" s="1"/>
  <c r="H140" i="9"/>
  <c r="K135" i="12" s="1"/>
  <c r="E60" i="12"/>
  <c r="K65" i="9"/>
  <c r="N60" i="12" s="1"/>
  <c r="H65" i="9"/>
  <c r="K60" i="12" s="1"/>
  <c r="E62" i="12"/>
  <c r="K67" i="9"/>
  <c r="N62" i="12" s="1"/>
  <c r="H67" i="9"/>
  <c r="K62" i="12" s="1"/>
  <c r="C40" i="12"/>
  <c r="I45" i="9"/>
  <c r="L40" i="12" s="1"/>
  <c r="F45" i="9"/>
  <c r="I40" i="12" s="1"/>
  <c r="C144" i="12"/>
  <c r="I149" i="9"/>
  <c r="L144" i="12" s="1"/>
  <c r="F149" i="9"/>
  <c r="I144" i="12" s="1"/>
  <c r="D168" i="12"/>
  <c r="J173" i="9"/>
  <c r="M168" i="12" s="1"/>
  <c r="G173" i="9"/>
  <c r="J168" i="12" s="1"/>
  <c r="E73" i="12"/>
  <c r="K78" i="9"/>
  <c r="N73" i="12" s="1"/>
  <c r="H78" i="9"/>
  <c r="K73" i="12" s="1"/>
  <c r="D40" i="12"/>
  <c r="J45" i="9"/>
  <c r="M40" i="12" s="1"/>
  <c r="G45" i="9"/>
  <c r="J40" i="12" s="1"/>
  <c r="D145" i="12"/>
  <c r="J150" i="9"/>
  <c r="M145" i="12" s="1"/>
  <c r="G150" i="9"/>
  <c r="J145" i="12" s="1"/>
  <c r="E67" i="12"/>
  <c r="K72" i="9"/>
  <c r="N67" i="12" s="1"/>
  <c r="H72" i="9"/>
  <c r="K67" i="12" s="1"/>
  <c r="D48" i="12"/>
  <c r="J53" i="9"/>
  <c r="M48" i="12" s="1"/>
  <c r="G53" i="9"/>
  <c r="J48" i="12" s="1"/>
  <c r="E81" i="12"/>
  <c r="K86" i="9"/>
  <c r="N81" i="12" s="1"/>
  <c r="H86" i="9"/>
  <c r="K81" i="12" s="1"/>
  <c r="D135" i="12"/>
  <c r="J140" i="9"/>
  <c r="M135" i="12" s="1"/>
  <c r="G140" i="9"/>
  <c r="J135" i="12" s="1"/>
  <c r="C110" i="12"/>
  <c r="I115" i="9"/>
  <c r="L110" i="12" s="1"/>
  <c r="F115" i="9"/>
  <c r="I110" i="12" s="1"/>
  <c r="D132" i="12"/>
  <c r="J137" i="9"/>
  <c r="M132" i="12" s="1"/>
  <c r="G137" i="9"/>
  <c r="J132" i="12" s="1"/>
  <c r="C36" i="12"/>
  <c r="I41" i="9"/>
  <c r="L36" i="12" s="1"/>
  <c r="F41" i="9"/>
  <c r="I36" i="12" s="1"/>
  <c r="D67" i="12"/>
  <c r="J72" i="9"/>
  <c r="M67" i="12" s="1"/>
  <c r="G72" i="9"/>
  <c r="J67" i="12" s="1"/>
  <c r="D134" i="12"/>
  <c r="J139" i="9"/>
  <c r="M134" i="12" s="1"/>
  <c r="G139" i="9"/>
  <c r="J134" i="12" s="1"/>
  <c r="D157" i="12"/>
  <c r="C148" i="15" s="1"/>
  <c r="J162" i="9"/>
  <c r="M157" i="12" s="1"/>
  <c r="G162" i="9"/>
  <c r="J157" i="12" s="1"/>
  <c r="E159" i="12"/>
  <c r="K164" i="9"/>
  <c r="N159" i="12" s="1"/>
  <c r="H164" i="9"/>
  <c r="K159" i="12" s="1"/>
  <c r="D156" i="12"/>
  <c r="J161" i="9"/>
  <c r="M156" i="12" s="1"/>
  <c r="G161" i="9"/>
  <c r="J156" i="12" s="1"/>
  <c r="E112" i="12"/>
  <c r="K117" i="9"/>
  <c r="N112" i="12" s="1"/>
  <c r="H117" i="9"/>
  <c r="K112" i="12" s="1"/>
  <c r="D111" i="12"/>
  <c r="J116" i="9"/>
  <c r="M111" i="12" s="1"/>
  <c r="G116" i="9"/>
  <c r="J111" i="12" s="1"/>
  <c r="E169" i="12"/>
  <c r="K174" i="9"/>
  <c r="N169" i="12" s="1"/>
  <c r="H174" i="9"/>
  <c r="K169" i="12" s="1"/>
  <c r="C108" i="12"/>
  <c r="I113" i="9"/>
  <c r="L108" i="12" s="1"/>
  <c r="F113" i="9"/>
  <c r="I108" i="12" s="1"/>
  <c r="D166" i="12"/>
  <c r="J171" i="9"/>
  <c r="M166" i="12" s="1"/>
  <c r="G171" i="9"/>
  <c r="J166" i="12" s="1"/>
  <c r="C143" i="12"/>
  <c r="B134" i="15" s="1"/>
  <c r="I148" i="9"/>
  <c r="L143" i="12" s="1"/>
  <c r="F148" i="9"/>
  <c r="I143" i="12" s="1"/>
  <c r="E160" i="12"/>
  <c r="K165" i="9"/>
  <c r="N160" i="12" s="1"/>
  <c r="H165" i="9"/>
  <c r="K160" i="12" s="1"/>
  <c r="D160" i="12"/>
  <c r="J165" i="9"/>
  <c r="M160" i="12" s="1"/>
  <c r="G165" i="9"/>
  <c r="J160" i="12" s="1"/>
  <c r="D61" i="12"/>
  <c r="J66" i="9"/>
  <c r="M61" i="12" s="1"/>
  <c r="G66" i="9"/>
  <c r="J61" i="12" s="1"/>
  <c r="D163" i="12"/>
  <c r="J168" i="9"/>
  <c r="M163" i="12" s="1"/>
  <c r="G168" i="9"/>
  <c r="J163" i="12" s="1"/>
  <c r="C154" i="12"/>
  <c r="I159" i="9"/>
  <c r="L154" i="12" s="1"/>
  <c r="F159" i="9"/>
  <c r="I154" i="12" s="1"/>
  <c r="C141" i="12"/>
  <c r="I146" i="9"/>
  <c r="L141" i="12" s="1"/>
  <c r="F146" i="9"/>
  <c r="I141" i="12" s="1"/>
  <c r="E164" i="12"/>
  <c r="D155" i="15" s="1"/>
  <c r="K169" i="9"/>
  <c r="N164" i="12" s="1"/>
  <c r="H169" i="9"/>
  <c r="K164" i="12" s="1"/>
  <c r="E69" i="12"/>
  <c r="K74" i="9"/>
  <c r="N69" i="12" s="1"/>
  <c r="H74" i="9"/>
  <c r="K69" i="12" s="1"/>
  <c r="D108" i="12"/>
  <c r="J113" i="9"/>
  <c r="M108" i="12" s="1"/>
  <c r="G113" i="9"/>
  <c r="J108" i="12" s="1"/>
  <c r="K590" i="12"/>
  <c r="K422" i="12"/>
  <c r="K254" i="12"/>
  <c r="J253" i="12"/>
  <c r="J421" i="12"/>
  <c r="J589" i="12"/>
  <c r="K361" i="12"/>
  <c r="K193" i="12"/>
  <c r="K529" i="12"/>
  <c r="I256" i="12"/>
  <c r="I592" i="12"/>
  <c r="I424" i="12"/>
  <c r="J252" i="12"/>
  <c r="J588" i="12"/>
  <c r="J420" i="12"/>
  <c r="I187" i="12"/>
  <c r="I523" i="12"/>
  <c r="I355" i="12"/>
  <c r="C47" i="12"/>
  <c r="B38" i="15" s="1"/>
  <c r="I52" i="9"/>
  <c r="L47" i="12" s="1"/>
  <c r="F52" i="9"/>
  <c r="I47" i="12" s="1"/>
  <c r="K562" i="12"/>
  <c r="K394" i="12"/>
  <c r="K226" i="12"/>
  <c r="J525" i="12"/>
  <c r="J189" i="12"/>
  <c r="J357" i="12"/>
  <c r="J520" i="12"/>
  <c r="J352" i="12"/>
  <c r="J184" i="12"/>
  <c r="K360" i="12"/>
  <c r="K192" i="12"/>
  <c r="K528" i="12"/>
  <c r="I589" i="12"/>
  <c r="I421" i="12"/>
  <c r="I253" i="12"/>
  <c r="J527" i="12"/>
  <c r="J191" i="12"/>
  <c r="J359" i="12"/>
  <c r="C134" i="12"/>
  <c r="B125" i="15" s="1"/>
  <c r="I139" i="9"/>
  <c r="L134" i="12" s="1"/>
  <c r="F139" i="9"/>
  <c r="I134" i="12" s="1"/>
  <c r="K191" i="12"/>
  <c r="K359" i="12"/>
  <c r="K527" i="12"/>
  <c r="J350" i="12"/>
  <c r="J518" i="12"/>
  <c r="J182" i="12"/>
  <c r="I516" i="12"/>
  <c r="I180" i="12"/>
  <c r="I348" i="12"/>
  <c r="J516" i="12"/>
  <c r="J180" i="12"/>
  <c r="J348" i="12"/>
  <c r="J202" i="12"/>
  <c r="J538" i="12"/>
  <c r="J370" i="12"/>
  <c r="K526" i="12"/>
  <c r="K358" i="12"/>
  <c r="K190" i="12"/>
  <c r="D11" i="12"/>
  <c r="G16" i="9"/>
  <c r="J16" i="9"/>
  <c r="M11" i="12" s="1"/>
  <c r="C62" i="12"/>
  <c r="I67" i="9"/>
  <c r="L62" i="12" s="1"/>
  <c r="F67" i="9"/>
  <c r="I62" i="12" s="1"/>
  <c r="C71" i="12"/>
  <c r="B62" i="15" s="1"/>
  <c r="I76" i="9"/>
  <c r="L71" i="12" s="1"/>
  <c r="F76" i="9"/>
  <c r="I71" i="12" s="1"/>
  <c r="C60" i="12"/>
  <c r="I65" i="9"/>
  <c r="L60" i="12" s="1"/>
  <c r="F65" i="9"/>
  <c r="I60" i="12" s="1"/>
  <c r="E83" i="12"/>
  <c r="K88" i="9"/>
  <c r="N83" i="12" s="1"/>
  <c r="H88" i="9"/>
  <c r="K83" i="12" s="1"/>
  <c r="C169" i="12"/>
  <c r="I174" i="9"/>
  <c r="L169" i="12" s="1"/>
  <c r="F174" i="9"/>
  <c r="I169" i="12" s="1"/>
  <c r="C68" i="12"/>
  <c r="B59" i="15" s="1"/>
  <c r="I73" i="9"/>
  <c r="L68" i="12" s="1"/>
  <c r="F73" i="9"/>
  <c r="I68" i="12" s="1"/>
  <c r="B141" i="9"/>
  <c r="F136" i="12" s="1"/>
  <c r="F640" i="12" s="1"/>
  <c r="D65" i="9"/>
  <c r="H60" i="12" s="1"/>
  <c r="H564" i="12" s="1"/>
  <c r="C156" i="12"/>
  <c r="I161" i="9"/>
  <c r="L156" i="12" s="1"/>
  <c r="F161" i="9"/>
  <c r="I156" i="12" s="1"/>
  <c r="C63" i="12"/>
  <c r="I68" i="9"/>
  <c r="L63" i="12" s="1"/>
  <c r="F68" i="9"/>
  <c r="I63" i="12" s="1"/>
  <c r="B45" i="9"/>
  <c r="F40" i="12" s="1"/>
  <c r="F208" i="12" s="1"/>
  <c r="D154" i="12"/>
  <c r="J159" i="9"/>
  <c r="M154" i="12" s="1"/>
  <c r="G159" i="9"/>
  <c r="J154" i="12" s="1"/>
  <c r="E141" i="12"/>
  <c r="K146" i="9"/>
  <c r="N141" i="12" s="1"/>
  <c r="H146" i="9"/>
  <c r="K141" i="12" s="1"/>
  <c r="C38" i="12"/>
  <c r="I43" i="9"/>
  <c r="L38" i="12" s="1"/>
  <c r="F43" i="9"/>
  <c r="I38" i="12" s="1"/>
  <c r="E45" i="12"/>
  <c r="K50" i="9"/>
  <c r="N45" i="12" s="1"/>
  <c r="H50" i="9"/>
  <c r="K45" i="12" s="1"/>
  <c r="D46" i="12"/>
  <c r="J51" i="9"/>
  <c r="M46" i="12" s="1"/>
  <c r="G51" i="9"/>
  <c r="J46" i="12" s="1"/>
  <c r="E142" i="12"/>
  <c r="D133" i="15" s="1"/>
  <c r="K147" i="9"/>
  <c r="N142" i="12" s="1"/>
  <c r="H147" i="9"/>
  <c r="K142" i="12" s="1"/>
  <c r="E133" i="12"/>
  <c r="K138" i="9"/>
  <c r="N133" i="12" s="1"/>
  <c r="H138" i="9"/>
  <c r="K133" i="12" s="1"/>
  <c r="C43" i="12"/>
  <c r="I48" i="9"/>
  <c r="L43" i="12" s="1"/>
  <c r="F48" i="9"/>
  <c r="I43" i="12" s="1"/>
  <c r="E144" i="12"/>
  <c r="D135" i="15" s="1"/>
  <c r="K149" i="9"/>
  <c r="N144" i="12" s="1"/>
  <c r="H149" i="9"/>
  <c r="K144" i="12" s="1"/>
  <c r="D142" i="12"/>
  <c r="J147" i="9"/>
  <c r="M142" i="12" s="1"/>
  <c r="G147" i="9"/>
  <c r="J142" i="12" s="1"/>
  <c r="D39" i="12"/>
  <c r="J44" i="9"/>
  <c r="M39" i="12" s="1"/>
  <c r="G44" i="9"/>
  <c r="J39" i="12" s="1"/>
  <c r="D45" i="12"/>
  <c r="J50" i="9"/>
  <c r="M45" i="12" s="1"/>
  <c r="G50" i="9"/>
  <c r="J45" i="12" s="1"/>
  <c r="E63" i="12"/>
  <c r="K68" i="9"/>
  <c r="N63" i="12" s="1"/>
  <c r="H68" i="9"/>
  <c r="K63" i="12" s="1"/>
  <c r="D64" i="12"/>
  <c r="J69" i="9"/>
  <c r="M64" i="12" s="1"/>
  <c r="G69" i="9"/>
  <c r="J64" i="12" s="1"/>
  <c r="D143" i="12"/>
  <c r="J148" i="9"/>
  <c r="M143" i="12" s="1"/>
  <c r="G148" i="9"/>
  <c r="J143" i="12" s="1"/>
  <c r="C145" i="12"/>
  <c r="I150" i="9"/>
  <c r="L145" i="12" s="1"/>
  <c r="F150" i="9"/>
  <c r="I145" i="12" s="1"/>
  <c r="E132" i="12"/>
  <c r="D123" i="15" s="1"/>
  <c r="K137" i="9"/>
  <c r="N132" i="12" s="1"/>
  <c r="H137" i="9"/>
  <c r="K132" i="12" s="1"/>
  <c r="E72" i="12"/>
  <c r="D63" i="15" s="1"/>
  <c r="K77" i="9"/>
  <c r="N72" i="12" s="1"/>
  <c r="H77" i="9"/>
  <c r="K72" i="12" s="1"/>
  <c r="E36" i="12"/>
  <c r="K41" i="9"/>
  <c r="N36" i="12" s="1"/>
  <c r="H41" i="9"/>
  <c r="K36" i="12" s="1"/>
  <c r="E68" i="12"/>
  <c r="K73" i="9"/>
  <c r="N68" i="12" s="1"/>
  <c r="H73" i="9"/>
  <c r="K68" i="12" s="1"/>
  <c r="D165" i="12"/>
  <c r="C156" i="15" s="1"/>
  <c r="J170" i="9"/>
  <c r="M165" i="12" s="1"/>
  <c r="G170" i="9"/>
  <c r="J165" i="12" s="1"/>
  <c r="D43" i="12"/>
  <c r="J48" i="9"/>
  <c r="M43" i="12" s="1"/>
  <c r="G48" i="9"/>
  <c r="J43" i="12" s="1"/>
  <c r="D38" i="12"/>
  <c r="J43" i="9"/>
  <c r="M38" i="12" s="1"/>
  <c r="G43" i="9"/>
  <c r="J38" i="12" s="1"/>
  <c r="E153" i="12"/>
  <c r="K158" i="9"/>
  <c r="N153" i="12" s="1"/>
  <c r="H158" i="9"/>
  <c r="K153" i="12" s="1"/>
  <c r="C129" i="12"/>
  <c r="I134" i="9"/>
  <c r="L129" i="12" s="1"/>
  <c r="F134" i="9"/>
  <c r="I129" i="12" s="1"/>
  <c r="E140" i="12"/>
  <c r="K145" i="9"/>
  <c r="N140" i="12" s="1"/>
  <c r="H145" i="9"/>
  <c r="K140" i="12" s="1"/>
  <c r="E47" i="12"/>
  <c r="K52" i="9"/>
  <c r="N47" i="12" s="1"/>
  <c r="H52" i="9"/>
  <c r="K47" i="12" s="1"/>
  <c r="D82" i="12"/>
  <c r="J87" i="9"/>
  <c r="M82" i="12" s="1"/>
  <c r="G87" i="9"/>
  <c r="J82" i="12" s="1"/>
  <c r="D144" i="12"/>
  <c r="C135" i="15" s="1"/>
  <c r="J149" i="9"/>
  <c r="M144" i="12" s="1"/>
  <c r="G149" i="9"/>
  <c r="J144" i="12" s="1"/>
  <c r="E37" i="12"/>
  <c r="K42" i="9"/>
  <c r="N37" i="12" s="1"/>
  <c r="H42" i="9"/>
  <c r="K37" i="12" s="1"/>
  <c r="E129" i="12"/>
  <c r="K134" i="9"/>
  <c r="N129" i="12" s="1"/>
  <c r="H134" i="9"/>
  <c r="K129" i="12" s="1"/>
  <c r="D159" i="12"/>
  <c r="J164" i="9"/>
  <c r="M159" i="12" s="1"/>
  <c r="G164" i="9"/>
  <c r="J159" i="12" s="1"/>
  <c r="D68" i="12"/>
  <c r="J73" i="9"/>
  <c r="M68" i="12" s="1"/>
  <c r="G73" i="9"/>
  <c r="J68" i="12" s="1"/>
  <c r="D58" i="12"/>
  <c r="J63" i="9"/>
  <c r="M58" i="12" s="1"/>
  <c r="G63" i="9"/>
  <c r="J58" i="12" s="1"/>
  <c r="D37" i="12"/>
  <c r="J42" i="9"/>
  <c r="M37" i="12" s="1"/>
  <c r="G42" i="9"/>
  <c r="J37" i="12" s="1"/>
  <c r="K682" i="12"/>
  <c r="K514" i="12"/>
  <c r="K346" i="12"/>
  <c r="K517" i="12"/>
  <c r="K349" i="12"/>
  <c r="K181" i="12"/>
  <c r="I358" i="12"/>
  <c r="I526" i="12"/>
  <c r="I190" i="12"/>
  <c r="K348" i="12"/>
  <c r="K180" i="12"/>
  <c r="K516" i="12"/>
  <c r="C135" i="12"/>
  <c r="B126" i="15" s="1"/>
  <c r="I140" i="9"/>
  <c r="L135" i="12" s="1"/>
  <c r="F140" i="9"/>
  <c r="I135" i="12" s="1"/>
  <c r="K250" i="12"/>
  <c r="K586" i="12"/>
  <c r="K418" i="12"/>
  <c r="K355" i="12"/>
  <c r="K187" i="12"/>
  <c r="K523" i="12"/>
  <c r="I274" i="12"/>
  <c r="I442" i="12"/>
  <c r="I610" i="12"/>
  <c r="J592" i="12"/>
  <c r="J424" i="12"/>
  <c r="J256" i="12"/>
  <c r="I529" i="12"/>
  <c r="I361" i="12"/>
  <c r="I193" i="12"/>
  <c r="J181" i="12"/>
  <c r="J517" i="12"/>
  <c r="J349" i="12"/>
  <c r="I188" i="12"/>
  <c r="I356" i="12"/>
  <c r="I524" i="12"/>
  <c r="C48" i="12"/>
  <c r="B39" i="15" s="1"/>
  <c r="I53" i="9"/>
  <c r="L48" i="12" s="1"/>
  <c r="F53" i="9"/>
  <c r="I48" i="12" s="1"/>
  <c r="J526" i="12"/>
  <c r="J358" i="12"/>
  <c r="J190" i="12"/>
  <c r="K352" i="12"/>
  <c r="K520" i="12"/>
  <c r="K184" i="12"/>
  <c r="C69" i="12"/>
  <c r="I74" i="9"/>
  <c r="L69" i="12" s="1"/>
  <c r="F74" i="9"/>
  <c r="I69" i="12" s="1"/>
  <c r="I88" i="9"/>
  <c r="L83" i="12" s="1"/>
  <c r="F88" i="9"/>
  <c r="I83" i="12" s="1"/>
  <c r="F16" i="9"/>
  <c r="I16" i="9"/>
  <c r="L11" i="12" s="1"/>
  <c r="C81" i="12"/>
  <c r="I86" i="9"/>
  <c r="L81" i="12" s="1"/>
  <c r="F86" i="9"/>
  <c r="I81" i="12" s="1"/>
  <c r="C73" i="12"/>
  <c r="I78" i="9"/>
  <c r="L73" i="12" s="1"/>
  <c r="F78" i="9"/>
  <c r="I73" i="12" s="1"/>
  <c r="C164" i="12"/>
  <c r="I169" i="9"/>
  <c r="L164" i="12" s="1"/>
  <c r="F169" i="9"/>
  <c r="I164" i="12" s="1"/>
  <c r="D83" i="12"/>
  <c r="D587" i="12" s="1"/>
  <c r="C578" i="15" s="1"/>
  <c r="J88" i="9"/>
  <c r="M83" i="12" s="1"/>
  <c r="G88" i="9"/>
  <c r="J83" i="12" s="1"/>
  <c r="F159" i="7"/>
  <c r="C72" i="12"/>
  <c r="I77" i="9"/>
  <c r="L72" i="12" s="1"/>
  <c r="F77" i="9"/>
  <c r="I72" i="12" s="1"/>
  <c r="C70" i="12"/>
  <c r="I75" i="9"/>
  <c r="L70" i="12" s="1"/>
  <c r="F75" i="9"/>
  <c r="I70" i="12" s="1"/>
  <c r="C61" i="12"/>
  <c r="I66" i="9"/>
  <c r="L61" i="12" s="1"/>
  <c r="F66" i="9"/>
  <c r="I61" i="12" s="1"/>
  <c r="D117" i="9"/>
  <c r="H112" i="12" s="1"/>
  <c r="H616" i="12" s="1"/>
  <c r="F177" i="7"/>
  <c r="C157" i="12"/>
  <c r="I162" i="9"/>
  <c r="L157" i="12" s="1"/>
  <c r="F162" i="9"/>
  <c r="I157" i="12" s="1"/>
  <c r="C173" i="9"/>
  <c r="G168" i="12" s="1"/>
  <c r="G336" i="12" s="1"/>
  <c r="C150" i="9"/>
  <c r="G145" i="12" s="1"/>
  <c r="D77" i="9"/>
  <c r="H72" i="12" s="1"/>
  <c r="H240" i="12" s="1"/>
  <c r="C148" i="9"/>
  <c r="G143" i="12" s="1"/>
  <c r="G479" i="12" s="1"/>
  <c r="F63" i="7"/>
  <c r="D138" i="9"/>
  <c r="H133" i="12" s="1"/>
  <c r="F166" i="7"/>
  <c r="C171" i="9"/>
  <c r="G166" i="12" s="1"/>
  <c r="G334" i="12" s="1"/>
  <c r="C162" i="9"/>
  <c r="G157" i="12" s="1"/>
  <c r="E145" i="12"/>
  <c r="D136" i="15" s="1"/>
  <c r="K150" i="9"/>
  <c r="N145" i="12" s="1"/>
  <c r="H150" i="9"/>
  <c r="K145" i="12" s="1"/>
  <c r="D153" i="12"/>
  <c r="D489" i="12" s="1"/>
  <c r="C480" i="15" s="1"/>
  <c r="J158" i="9"/>
  <c r="M153" i="12" s="1"/>
  <c r="G158" i="9"/>
  <c r="J153" i="12" s="1"/>
  <c r="E143" i="12"/>
  <c r="D134" i="15" s="1"/>
  <c r="K148" i="9"/>
  <c r="N143" i="12" s="1"/>
  <c r="H148" i="9"/>
  <c r="K143" i="12" s="1"/>
  <c r="D63" i="12"/>
  <c r="J68" i="9"/>
  <c r="M63" i="12" s="1"/>
  <c r="G68" i="9"/>
  <c r="J63" i="12" s="1"/>
  <c r="D62" i="12"/>
  <c r="J67" i="9"/>
  <c r="M62" i="12" s="1"/>
  <c r="G67" i="9"/>
  <c r="J62" i="12" s="1"/>
  <c r="K113" i="9"/>
  <c r="N108" i="12" s="1"/>
  <c r="H113" i="9"/>
  <c r="K108" i="12" s="1"/>
  <c r="J183" i="9"/>
  <c r="M178" i="12" s="1"/>
  <c r="G183" i="9"/>
  <c r="J178" i="12" s="1"/>
  <c r="D72" i="12"/>
  <c r="C63" i="15" s="1"/>
  <c r="J77" i="9"/>
  <c r="M72" i="12" s="1"/>
  <c r="G77" i="9"/>
  <c r="J72" i="12" s="1"/>
  <c r="C49" i="12"/>
  <c r="I54" i="9"/>
  <c r="L49" i="12" s="1"/>
  <c r="F54" i="9"/>
  <c r="I49" i="12" s="1"/>
  <c r="E43" i="12"/>
  <c r="E211" i="12" s="1"/>
  <c r="D202" i="15" s="1"/>
  <c r="K48" i="9"/>
  <c r="N43" i="12" s="1"/>
  <c r="H48" i="9"/>
  <c r="K43" i="12" s="1"/>
  <c r="C46" i="12"/>
  <c r="I51" i="9"/>
  <c r="L46" i="12" s="1"/>
  <c r="F51" i="9"/>
  <c r="I46" i="12" s="1"/>
  <c r="D44" i="12"/>
  <c r="J49" i="9"/>
  <c r="M44" i="12" s="1"/>
  <c r="G49" i="9"/>
  <c r="J44" i="12" s="1"/>
  <c r="D47" i="12"/>
  <c r="J52" i="9"/>
  <c r="M47" i="12" s="1"/>
  <c r="G52" i="9"/>
  <c r="J47" i="12" s="1"/>
  <c r="C109" i="12"/>
  <c r="I114" i="9"/>
  <c r="L109" i="12" s="1"/>
  <c r="F114" i="9"/>
  <c r="I109" i="12" s="1"/>
  <c r="E163" i="12"/>
  <c r="K168" i="9"/>
  <c r="N163" i="12" s="1"/>
  <c r="H168" i="9"/>
  <c r="K163" i="12" s="1"/>
  <c r="D129" i="12"/>
  <c r="D297" i="12" s="1"/>
  <c r="C288" i="15" s="1"/>
  <c r="J134" i="9"/>
  <c r="M129" i="12" s="1"/>
  <c r="G134" i="9"/>
  <c r="J129" i="12" s="1"/>
  <c r="E158" i="12"/>
  <c r="D149" i="15" s="1"/>
  <c r="K163" i="9"/>
  <c r="N158" i="12" s="1"/>
  <c r="H163" i="9"/>
  <c r="K158" i="12" s="1"/>
  <c r="C58" i="12"/>
  <c r="I63" i="9"/>
  <c r="L58" i="12" s="1"/>
  <c r="F63" i="9"/>
  <c r="I58" i="12" s="1"/>
  <c r="E136" i="12"/>
  <c r="D127" i="15" s="1"/>
  <c r="K141" i="9"/>
  <c r="N136" i="12" s="1"/>
  <c r="H141" i="9"/>
  <c r="K136" i="12" s="1"/>
  <c r="E156" i="12"/>
  <c r="K161" i="9"/>
  <c r="N156" i="12" s="1"/>
  <c r="H161" i="9"/>
  <c r="K156" i="12" s="1"/>
  <c r="D177" i="12"/>
  <c r="J182" i="9"/>
  <c r="M177" i="12" s="1"/>
  <c r="G182" i="9"/>
  <c r="J177" i="12" s="1"/>
  <c r="C37" i="12"/>
  <c r="I42" i="9"/>
  <c r="L37" i="12" s="1"/>
  <c r="F42" i="9"/>
  <c r="I37" i="12" s="1"/>
  <c r="E61" i="12"/>
  <c r="K66" i="9"/>
  <c r="N61" i="12" s="1"/>
  <c r="H66" i="9"/>
  <c r="K61" i="12" s="1"/>
  <c r="D70" i="12"/>
  <c r="J75" i="9"/>
  <c r="M70" i="12" s="1"/>
  <c r="G75" i="9"/>
  <c r="J70" i="12" s="1"/>
  <c r="C132" i="12"/>
  <c r="I137" i="9"/>
  <c r="L132" i="12" s="1"/>
  <c r="F137" i="9"/>
  <c r="I132" i="12" s="1"/>
  <c r="C44" i="12"/>
  <c r="I49" i="9"/>
  <c r="L44" i="12" s="1"/>
  <c r="F49" i="9"/>
  <c r="I44" i="12" s="1"/>
  <c r="E57" i="12"/>
  <c r="K62" i="9"/>
  <c r="N57" i="12" s="1"/>
  <c r="H62" i="9"/>
  <c r="K57" i="12" s="1"/>
  <c r="C19" i="9"/>
  <c r="G14" i="12" s="1"/>
  <c r="G182" i="12" s="1"/>
  <c r="C39" i="12"/>
  <c r="I44" i="9"/>
  <c r="L39" i="12" s="1"/>
  <c r="F44" i="9"/>
  <c r="I39" i="12" s="1"/>
  <c r="C29" i="9"/>
  <c r="G24" i="12" s="1"/>
  <c r="G360" i="12" s="1"/>
  <c r="E157" i="12"/>
  <c r="K162" i="9"/>
  <c r="N157" i="12" s="1"/>
  <c r="H162" i="9"/>
  <c r="K157" i="12" s="1"/>
  <c r="D57" i="12"/>
  <c r="C48" i="15" s="1"/>
  <c r="J62" i="9"/>
  <c r="M57" i="12" s="1"/>
  <c r="G62" i="9"/>
  <c r="J57" i="12" s="1"/>
  <c r="E39" i="12"/>
  <c r="K44" i="9"/>
  <c r="N39" i="12" s="1"/>
  <c r="H44" i="9"/>
  <c r="K39" i="12" s="1"/>
  <c r="E110" i="12"/>
  <c r="K115" i="9"/>
  <c r="N110" i="12" s="1"/>
  <c r="H115" i="9"/>
  <c r="K110" i="12" s="1"/>
  <c r="D109" i="12"/>
  <c r="J114" i="9"/>
  <c r="M109" i="12" s="1"/>
  <c r="G114" i="9"/>
  <c r="J109" i="12" s="1"/>
  <c r="C130" i="12"/>
  <c r="I135" i="9"/>
  <c r="L130" i="12" s="1"/>
  <c r="F135" i="9"/>
  <c r="I130" i="12" s="1"/>
  <c r="C133" i="12"/>
  <c r="I138" i="9"/>
  <c r="L133" i="12" s="1"/>
  <c r="F138" i="9"/>
  <c r="I133" i="12" s="1"/>
  <c r="C57" i="12"/>
  <c r="I62" i="9"/>
  <c r="L57" i="12" s="1"/>
  <c r="F62" i="9"/>
  <c r="I57" i="12" s="1"/>
  <c r="C45" i="12"/>
  <c r="I50" i="9"/>
  <c r="L45" i="12" s="1"/>
  <c r="F50" i="9"/>
  <c r="I45" i="12" s="1"/>
  <c r="E168" i="12"/>
  <c r="K173" i="9"/>
  <c r="N168" i="12" s="1"/>
  <c r="H173" i="9"/>
  <c r="K168" i="12" s="1"/>
  <c r="E49" i="12"/>
  <c r="K54" i="9"/>
  <c r="N49" i="12" s="1"/>
  <c r="H54" i="9"/>
  <c r="K49" i="12" s="1"/>
  <c r="D73" i="12"/>
  <c r="J78" i="9"/>
  <c r="M73" i="12" s="1"/>
  <c r="G78" i="9"/>
  <c r="J73" i="12" s="1"/>
  <c r="I273" i="12"/>
  <c r="I609" i="12"/>
  <c r="I441" i="12"/>
  <c r="K357" i="12"/>
  <c r="K189" i="12"/>
  <c r="K525" i="12"/>
  <c r="K253" i="12"/>
  <c r="K589" i="12"/>
  <c r="K421" i="12"/>
  <c r="J528" i="12"/>
  <c r="J360" i="12"/>
  <c r="J192" i="12"/>
  <c r="K182" i="12"/>
  <c r="K518" i="12"/>
  <c r="K350" i="12"/>
  <c r="I359" i="12"/>
  <c r="I191" i="12"/>
  <c r="I527" i="12"/>
  <c r="I423" i="12"/>
  <c r="I255" i="12"/>
  <c r="I591" i="12"/>
  <c r="I254" i="12"/>
  <c r="I590" i="12"/>
  <c r="I422" i="12"/>
  <c r="K188" i="12"/>
  <c r="K524" i="12"/>
  <c r="K356" i="12"/>
  <c r="J183" i="12"/>
  <c r="J519" i="12"/>
  <c r="J351" i="12"/>
  <c r="I350" i="12"/>
  <c r="I518" i="12"/>
  <c r="I182" i="12"/>
  <c r="I588" i="12"/>
  <c r="I420" i="12"/>
  <c r="I252" i="12"/>
  <c r="K490" i="12"/>
  <c r="K658" i="12"/>
  <c r="K322" i="12"/>
  <c r="J193" i="12"/>
  <c r="J529" i="12"/>
  <c r="J361" i="12"/>
  <c r="J591" i="12"/>
  <c r="J255" i="12"/>
  <c r="J423" i="12"/>
  <c r="I202" i="12"/>
  <c r="I538" i="12"/>
  <c r="I370" i="12"/>
  <c r="K255" i="12"/>
  <c r="K423" i="12"/>
  <c r="K591" i="12"/>
  <c r="J590" i="12"/>
  <c r="J254" i="12"/>
  <c r="J422" i="12"/>
  <c r="I537" i="12"/>
  <c r="I369" i="12"/>
  <c r="I201" i="12"/>
  <c r="C159" i="12"/>
  <c r="I164" i="9"/>
  <c r="L159" i="12" s="1"/>
  <c r="F164" i="9"/>
  <c r="I159" i="12" s="1"/>
  <c r="E40" i="12"/>
  <c r="K45" i="9"/>
  <c r="N40" i="12" s="1"/>
  <c r="H45" i="9"/>
  <c r="K40" i="12" s="1"/>
  <c r="D141" i="12"/>
  <c r="C132" i="15" s="1"/>
  <c r="J146" i="9"/>
  <c r="M141" i="12" s="1"/>
  <c r="G146" i="9"/>
  <c r="J141" i="12" s="1"/>
  <c r="E139" i="12"/>
  <c r="K144" i="9"/>
  <c r="N139" i="12" s="1"/>
  <c r="H144" i="9"/>
  <c r="K139" i="12" s="1"/>
  <c r="E44" i="12"/>
  <c r="K49" i="9"/>
  <c r="N44" i="12" s="1"/>
  <c r="H49" i="9"/>
  <c r="K44" i="12" s="1"/>
  <c r="E46" i="12"/>
  <c r="D37" i="15" s="1"/>
  <c r="K51" i="9"/>
  <c r="N46" i="12" s="1"/>
  <c r="H51" i="9"/>
  <c r="K46" i="12" s="1"/>
  <c r="C111" i="12"/>
  <c r="I116" i="9"/>
  <c r="L111" i="12" s="1"/>
  <c r="F116" i="9"/>
  <c r="I111" i="12" s="1"/>
  <c r="E165" i="12"/>
  <c r="K170" i="9"/>
  <c r="N165" i="12" s="1"/>
  <c r="H170" i="9"/>
  <c r="K165" i="12" s="1"/>
  <c r="C112" i="12"/>
  <c r="I117" i="9"/>
  <c r="L112" i="12" s="1"/>
  <c r="F117" i="9"/>
  <c r="I112" i="12" s="1"/>
  <c r="D110" i="12"/>
  <c r="J115" i="9"/>
  <c r="M110" i="12" s="1"/>
  <c r="G115" i="9"/>
  <c r="J110" i="12" s="1"/>
  <c r="E177" i="12"/>
  <c r="K182" i="9"/>
  <c r="N177" i="12" s="1"/>
  <c r="H182" i="9"/>
  <c r="K177" i="12" s="1"/>
  <c r="E64" i="12"/>
  <c r="K69" i="9"/>
  <c r="N64" i="12" s="1"/>
  <c r="H69" i="9"/>
  <c r="K64" i="12" s="1"/>
  <c r="D69" i="12"/>
  <c r="J74" i="9"/>
  <c r="M69" i="12" s="1"/>
  <c r="G74" i="9"/>
  <c r="J69" i="12" s="1"/>
  <c r="E71" i="12"/>
  <c r="K76" i="9"/>
  <c r="N71" i="12" s="1"/>
  <c r="H76" i="9"/>
  <c r="K71" i="12" s="1"/>
  <c r="D164" i="12"/>
  <c r="C155" i="15" s="1"/>
  <c r="J169" i="9"/>
  <c r="M164" i="12" s="1"/>
  <c r="G169" i="9"/>
  <c r="J164" i="12" s="1"/>
  <c r="D167" i="12"/>
  <c r="J172" i="9"/>
  <c r="M167" i="12" s="1"/>
  <c r="G172" i="9"/>
  <c r="J167" i="12" s="1"/>
  <c r="E130" i="12"/>
  <c r="K135" i="9"/>
  <c r="N130" i="12" s="1"/>
  <c r="H135" i="9"/>
  <c r="K130" i="12" s="1"/>
  <c r="C142" i="12"/>
  <c r="I147" i="9"/>
  <c r="L142" i="12" s="1"/>
  <c r="F147" i="9"/>
  <c r="I142" i="12" s="1"/>
  <c r="E166" i="12"/>
  <c r="K171" i="9"/>
  <c r="N166" i="12" s="1"/>
  <c r="H171" i="9"/>
  <c r="K166" i="12" s="1"/>
  <c r="E111" i="12"/>
  <c r="K116" i="9"/>
  <c r="N111" i="12" s="1"/>
  <c r="H116" i="9"/>
  <c r="K111" i="12" s="1"/>
  <c r="C139" i="12"/>
  <c r="I144" i="9"/>
  <c r="L139" i="12" s="1"/>
  <c r="F144" i="9"/>
  <c r="I139" i="12" s="1"/>
  <c r="D140" i="12"/>
  <c r="J145" i="9"/>
  <c r="M140" i="12" s="1"/>
  <c r="G145" i="9"/>
  <c r="J140" i="12" s="1"/>
  <c r="C140" i="12"/>
  <c r="B131" i="15" s="1"/>
  <c r="I145" i="9"/>
  <c r="L140" i="12" s="1"/>
  <c r="F145" i="9"/>
  <c r="I140" i="12" s="1"/>
  <c r="D169" i="12"/>
  <c r="J174" i="9"/>
  <c r="M169" i="12" s="1"/>
  <c r="G174" i="9"/>
  <c r="J169" i="12" s="1"/>
  <c r="E167" i="12"/>
  <c r="K172" i="9"/>
  <c r="N167" i="12" s="1"/>
  <c r="H172" i="9"/>
  <c r="K167" i="12" s="1"/>
  <c r="D36" i="12"/>
  <c r="J41" i="9"/>
  <c r="M36" i="12" s="1"/>
  <c r="G41" i="9"/>
  <c r="J36" i="12" s="1"/>
  <c r="E134" i="12"/>
  <c r="D125" i="15" s="1"/>
  <c r="K139" i="9"/>
  <c r="N134" i="12" s="1"/>
  <c r="H139" i="9"/>
  <c r="K134" i="12" s="1"/>
  <c r="D158" i="12"/>
  <c r="J163" i="9"/>
  <c r="M158" i="12" s="1"/>
  <c r="G163" i="9"/>
  <c r="J158" i="12" s="1"/>
  <c r="D136" i="12"/>
  <c r="J141" i="9"/>
  <c r="M136" i="12" s="1"/>
  <c r="G141" i="9"/>
  <c r="J136" i="12" s="1"/>
  <c r="E48" i="12"/>
  <c r="K53" i="9"/>
  <c r="N48" i="12" s="1"/>
  <c r="H53" i="9"/>
  <c r="K48" i="12" s="1"/>
  <c r="D49" i="12"/>
  <c r="J54" i="9"/>
  <c r="M49" i="12" s="1"/>
  <c r="G54" i="9"/>
  <c r="J49" i="12" s="1"/>
  <c r="D60" i="12"/>
  <c r="J65" i="9"/>
  <c r="M60" i="12" s="1"/>
  <c r="G65" i="9"/>
  <c r="J60" i="12" s="1"/>
  <c r="D139" i="12"/>
  <c r="J144" i="9"/>
  <c r="M139" i="12" s="1"/>
  <c r="G144" i="9"/>
  <c r="J139" i="12" s="1"/>
  <c r="C153" i="12"/>
  <c r="I158" i="9"/>
  <c r="L153" i="12" s="1"/>
  <c r="F158" i="9"/>
  <c r="I153" i="12" s="1"/>
  <c r="E109" i="12"/>
  <c r="K114" i="9"/>
  <c r="N109" i="12" s="1"/>
  <c r="H114" i="9"/>
  <c r="K109" i="12" s="1"/>
  <c r="E38" i="12"/>
  <c r="K43" i="9"/>
  <c r="N38" i="12" s="1"/>
  <c r="H43" i="9"/>
  <c r="K38" i="12" s="1"/>
  <c r="D81" i="12"/>
  <c r="J86" i="9"/>
  <c r="M81" i="12" s="1"/>
  <c r="G86" i="9"/>
  <c r="J81" i="12" s="1"/>
  <c r="E70" i="12"/>
  <c r="K75" i="9"/>
  <c r="N70" i="12" s="1"/>
  <c r="H75" i="9"/>
  <c r="K70" i="12" s="1"/>
  <c r="D112" i="12"/>
  <c r="C103" i="15" s="1"/>
  <c r="J117" i="9"/>
  <c r="M112" i="12" s="1"/>
  <c r="G117" i="9"/>
  <c r="J112" i="12" s="1"/>
  <c r="J355" i="12"/>
  <c r="J187" i="12"/>
  <c r="J523" i="12"/>
  <c r="K519" i="12"/>
  <c r="K183" i="12"/>
  <c r="K351" i="12"/>
  <c r="K588" i="12"/>
  <c r="K420" i="12"/>
  <c r="K252" i="12"/>
  <c r="J537" i="12"/>
  <c r="J201" i="12"/>
  <c r="J369" i="12"/>
  <c r="I184" i="12"/>
  <c r="I520" i="12"/>
  <c r="I352" i="12"/>
  <c r="J609" i="12"/>
  <c r="J273" i="12"/>
  <c r="J441" i="12"/>
  <c r="K609" i="12"/>
  <c r="K441" i="12"/>
  <c r="K273" i="12"/>
  <c r="I519" i="12"/>
  <c r="I351" i="12"/>
  <c r="I183" i="12"/>
  <c r="K274" i="12"/>
  <c r="K610" i="12"/>
  <c r="K442" i="12"/>
  <c r="K537" i="12"/>
  <c r="K369" i="12"/>
  <c r="K201" i="12"/>
  <c r="J356" i="12"/>
  <c r="J188" i="12"/>
  <c r="J524" i="12"/>
  <c r="I517" i="12"/>
  <c r="I349" i="12"/>
  <c r="I181" i="12"/>
  <c r="I357" i="12"/>
  <c r="I189" i="12"/>
  <c r="I525" i="12"/>
  <c r="J298" i="12"/>
  <c r="J634" i="12"/>
  <c r="J466" i="12"/>
  <c r="K592" i="12"/>
  <c r="K256" i="12"/>
  <c r="K424" i="12"/>
  <c r="I528" i="12"/>
  <c r="I360" i="12"/>
  <c r="I192" i="12"/>
  <c r="C113" i="9"/>
  <c r="G108" i="12" s="1"/>
  <c r="G444" i="12" s="1"/>
  <c r="C159" i="9"/>
  <c r="G154" i="12" s="1"/>
  <c r="G490" i="12" s="1"/>
  <c r="D146" i="9"/>
  <c r="H141" i="12" s="1"/>
  <c r="H309" i="12" s="1"/>
  <c r="C51" i="9"/>
  <c r="G46" i="12" s="1"/>
  <c r="G382" i="12" s="1"/>
  <c r="C135" i="9"/>
  <c r="G130" i="12" s="1"/>
  <c r="D69" i="9"/>
  <c r="H64" i="12" s="1"/>
  <c r="C63" i="9"/>
  <c r="G58" i="12" s="1"/>
  <c r="G226" i="12" s="1"/>
  <c r="C116" i="9"/>
  <c r="G111" i="12" s="1"/>
  <c r="G279" i="12" s="1"/>
  <c r="C48" i="9"/>
  <c r="G43" i="12" s="1"/>
  <c r="G547" i="12" s="1"/>
  <c r="D168" i="9"/>
  <c r="H163" i="12" s="1"/>
  <c r="D162" i="9"/>
  <c r="H157" i="12" s="1"/>
  <c r="H661" i="12" s="1"/>
  <c r="C54" i="9"/>
  <c r="G49" i="12" s="1"/>
  <c r="G217" i="12" s="1"/>
  <c r="D52" i="9"/>
  <c r="H47" i="12" s="1"/>
  <c r="H383" i="12" s="1"/>
  <c r="D87" i="9"/>
  <c r="H82" i="12" s="1"/>
  <c r="H418" i="12" s="1"/>
  <c r="D172" i="9"/>
  <c r="H167" i="12" s="1"/>
  <c r="H671" i="12" s="1"/>
  <c r="C30" i="9"/>
  <c r="G25" i="12" s="1"/>
  <c r="G361" i="12" s="1"/>
  <c r="C39" i="9"/>
  <c r="G34" i="12" s="1"/>
  <c r="G202" i="12" s="1"/>
  <c r="C21" i="9"/>
  <c r="G16" i="12" s="1"/>
  <c r="D24" i="9"/>
  <c r="H19" i="12" s="1"/>
  <c r="H523" i="12" s="1"/>
  <c r="D19" i="9"/>
  <c r="H14" i="12" s="1"/>
  <c r="H182" i="12" s="1"/>
  <c r="C25" i="9"/>
  <c r="G20" i="12" s="1"/>
  <c r="G524" i="12" s="1"/>
  <c r="C92" i="9"/>
  <c r="G87" i="12" s="1"/>
  <c r="G255" i="12" s="1"/>
  <c r="D30" i="9"/>
  <c r="H25" i="12" s="1"/>
  <c r="C149" i="9"/>
  <c r="G144" i="12" s="1"/>
  <c r="G648" i="12" s="1"/>
  <c r="D147" i="9"/>
  <c r="H142" i="12" s="1"/>
  <c r="H646" i="12" s="1"/>
  <c r="C117" i="9"/>
  <c r="G112" i="12" s="1"/>
  <c r="G280" i="12" s="1"/>
  <c r="D182" i="9"/>
  <c r="H177" i="12" s="1"/>
  <c r="H513" i="12" s="1"/>
  <c r="C86" i="9"/>
  <c r="G81" i="12" s="1"/>
  <c r="G249" i="12" s="1"/>
  <c r="C50" i="9"/>
  <c r="G45" i="12" s="1"/>
  <c r="G381" i="12" s="1"/>
  <c r="D68" i="9"/>
  <c r="H63" i="12" s="1"/>
  <c r="C69" i="9"/>
  <c r="G64" i="12" s="1"/>
  <c r="G568" i="12" s="1"/>
  <c r="D171" i="9"/>
  <c r="H166" i="12" s="1"/>
  <c r="H334" i="12" s="1"/>
  <c r="C145" i="9"/>
  <c r="G140" i="12" s="1"/>
  <c r="G476" i="12" s="1"/>
  <c r="C182" i="9"/>
  <c r="G177" i="12" s="1"/>
  <c r="G513" i="12" s="1"/>
  <c r="D141" i="9"/>
  <c r="H136" i="12" s="1"/>
  <c r="C168" i="9"/>
  <c r="G163" i="12" s="1"/>
  <c r="G499" i="12" s="1"/>
  <c r="D169" i="9"/>
  <c r="H164" i="12" s="1"/>
  <c r="H332" i="12" s="1"/>
  <c r="D45" i="9"/>
  <c r="H40" i="12" s="1"/>
  <c r="H376" i="12" s="1"/>
  <c r="C158" i="9"/>
  <c r="G153" i="12" s="1"/>
  <c r="G657" i="12" s="1"/>
  <c r="D148" i="9"/>
  <c r="H143" i="12" s="1"/>
  <c r="H311" i="12" s="1"/>
  <c r="D50" i="9"/>
  <c r="H45" i="12" s="1"/>
  <c r="H213" i="12" s="1"/>
  <c r="C67" i="9"/>
  <c r="G62" i="12" s="1"/>
  <c r="G230" i="12" s="1"/>
  <c r="D135" i="9"/>
  <c r="H130" i="12" s="1"/>
  <c r="H298" i="12" s="1"/>
  <c r="C163" i="9"/>
  <c r="G158" i="12" s="1"/>
  <c r="G326" i="12" s="1"/>
  <c r="C114" i="9"/>
  <c r="G109" i="12" s="1"/>
  <c r="G445" i="12" s="1"/>
  <c r="D149" i="9"/>
  <c r="H144" i="12" s="1"/>
  <c r="H648" i="12" s="1"/>
  <c r="D78" i="9"/>
  <c r="H73" i="12" s="1"/>
  <c r="H409" i="12" s="1"/>
  <c r="C45" i="9"/>
  <c r="G40" i="12" s="1"/>
  <c r="G208" i="12" s="1"/>
  <c r="C78" i="9"/>
  <c r="G73" i="12" s="1"/>
  <c r="G241" i="12" s="1"/>
  <c r="C49" i="9"/>
  <c r="G44" i="12" s="1"/>
  <c r="G380" i="12" s="1"/>
  <c r="C52" i="9"/>
  <c r="G47" i="12" s="1"/>
  <c r="G215" i="12" s="1"/>
  <c r="D63" i="9"/>
  <c r="H58" i="12" s="1"/>
  <c r="H226" i="12" s="1"/>
  <c r="C72" i="9"/>
  <c r="G67" i="12" s="1"/>
  <c r="G403" i="12" s="1"/>
  <c r="C170" i="9"/>
  <c r="G165" i="12" s="1"/>
  <c r="G501" i="12" s="1"/>
  <c r="D137" i="9"/>
  <c r="H132" i="12" s="1"/>
  <c r="H468" i="12" s="1"/>
  <c r="D41" i="9"/>
  <c r="H36" i="12" s="1"/>
  <c r="H372" i="12" s="1"/>
  <c r="D66" i="9"/>
  <c r="H61" i="12" s="1"/>
  <c r="D183" i="9"/>
  <c r="H178" i="12" s="1"/>
  <c r="H346" i="12" s="1"/>
  <c r="C141" i="9"/>
  <c r="G136" i="12" s="1"/>
  <c r="G640" i="12" s="1"/>
  <c r="D74" i="9"/>
  <c r="H69" i="12" s="1"/>
  <c r="H237" i="12" s="1"/>
  <c r="C165" i="9"/>
  <c r="G160" i="12" s="1"/>
  <c r="C42" i="9"/>
  <c r="G37" i="12" s="1"/>
  <c r="G541" i="12" s="1"/>
  <c r="D44" i="9"/>
  <c r="H39" i="12" s="1"/>
  <c r="H543" i="12" s="1"/>
  <c r="C134" i="9"/>
  <c r="G129" i="12" s="1"/>
  <c r="G297" i="12" s="1"/>
  <c r="C161" i="9"/>
  <c r="G156" i="12" s="1"/>
  <c r="D89" i="9"/>
  <c r="H84" i="12" s="1"/>
  <c r="C38" i="9"/>
  <c r="G33" i="12" s="1"/>
  <c r="G369" i="12" s="1"/>
  <c r="D20" i="9"/>
  <c r="H15" i="12" s="1"/>
  <c r="H351" i="12" s="1"/>
  <c r="H202" i="12"/>
  <c r="C91" i="9"/>
  <c r="G86" i="12" s="1"/>
  <c r="G590" i="12" s="1"/>
  <c r="C28" i="9"/>
  <c r="G23" i="12" s="1"/>
  <c r="G527" i="12" s="1"/>
  <c r="D27" i="9"/>
  <c r="H22" i="12" s="1"/>
  <c r="H190" i="12" s="1"/>
  <c r="D25" i="9"/>
  <c r="H20" i="12" s="1"/>
  <c r="H188" i="12" s="1"/>
  <c r="C18" i="9"/>
  <c r="G13" i="12" s="1"/>
  <c r="G517" i="12" s="1"/>
  <c r="D110" i="9"/>
  <c r="H105" i="12" s="1"/>
  <c r="H273" i="12" s="1"/>
  <c r="D28" i="9"/>
  <c r="H23" i="12" s="1"/>
  <c r="H359" i="12" s="1"/>
  <c r="D92" i="9"/>
  <c r="H87" i="12" s="1"/>
  <c r="D17" i="9"/>
  <c r="H12" i="12" s="1"/>
  <c r="H516" i="12" s="1"/>
  <c r="D90" i="9"/>
  <c r="H85" i="12" s="1"/>
  <c r="H253" i="12" s="1"/>
  <c r="D29" i="9"/>
  <c r="H24" i="12" s="1"/>
  <c r="H192" i="12" s="1"/>
  <c r="D91" i="9"/>
  <c r="H86" i="12" s="1"/>
  <c r="H590" i="12" s="1"/>
  <c r="D21" i="9"/>
  <c r="H16" i="12" s="1"/>
  <c r="H520" i="12" s="1"/>
  <c r="D93" i="9"/>
  <c r="H88" i="12" s="1"/>
  <c r="H424" i="12" s="1"/>
  <c r="D38" i="9"/>
  <c r="H33" i="12" s="1"/>
  <c r="H369" i="12" s="1"/>
  <c r="G442" i="12"/>
  <c r="H538" i="12"/>
  <c r="C68" i="9"/>
  <c r="G63" i="12" s="1"/>
  <c r="G567" i="12" s="1"/>
  <c r="D150" i="9"/>
  <c r="H145" i="12" s="1"/>
  <c r="H481" i="12" s="1"/>
  <c r="D550" i="12"/>
  <c r="C541" i="15" s="1"/>
  <c r="C183" i="9"/>
  <c r="G178" i="12" s="1"/>
  <c r="G514" i="12" s="1"/>
  <c r="D178" i="12"/>
  <c r="C169" i="15" s="1"/>
  <c r="D311" i="12"/>
  <c r="C302" i="15" s="1"/>
  <c r="D403" i="12"/>
  <c r="C394" i="15" s="1"/>
  <c r="D235" i="12"/>
  <c r="C226" i="15" s="1"/>
  <c r="D661" i="12"/>
  <c r="C652" i="15" s="1"/>
  <c r="D492" i="12"/>
  <c r="C483" i="15" s="1"/>
  <c r="D324" i="12"/>
  <c r="C315" i="15" s="1"/>
  <c r="G610" i="12"/>
  <c r="D528" i="12"/>
  <c r="C519" i="15" s="1"/>
  <c r="D360" i="12"/>
  <c r="C351" i="15" s="1"/>
  <c r="D192" i="12"/>
  <c r="C183" i="15" s="1"/>
  <c r="E517" i="12"/>
  <c r="D508" i="15" s="1"/>
  <c r="E349" i="12"/>
  <c r="D340" i="15" s="1"/>
  <c r="E181" i="12"/>
  <c r="D172" i="15" s="1"/>
  <c r="E609" i="12"/>
  <c r="D600" i="15" s="1"/>
  <c r="E441" i="12"/>
  <c r="D432" i="15" s="1"/>
  <c r="E273" i="12"/>
  <c r="D264" i="15" s="1"/>
  <c r="E356" i="12"/>
  <c r="D347" i="15" s="1"/>
  <c r="E524" i="12"/>
  <c r="D515" i="15" s="1"/>
  <c r="E188" i="12"/>
  <c r="D179" i="15" s="1"/>
  <c r="E406" i="12"/>
  <c r="D397" i="15" s="1"/>
  <c r="E525" i="12"/>
  <c r="D516" i="15" s="1"/>
  <c r="E357" i="12"/>
  <c r="D348" i="15" s="1"/>
  <c r="E189" i="12"/>
  <c r="D180" i="15" s="1"/>
  <c r="D588" i="12"/>
  <c r="C579" i="15" s="1"/>
  <c r="D420" i="12"/>
  <c r="C411" i="15" s="1"/>
  <c r="D252" i="12"/>
  <c r="C243" i="15" s="1"/>
  <c r="D280" i="12"/>
  <c r="C271" i="15" s="1"/>
  <c r="D577" i="12"/>
  <c r="C568" i="15" s="1"/>
  <c r="D516" i="12"/>
  <c r="C507" i="15" s="1"/>
  <c r="D348" i="12"/>
  <c r="C339" i="15" s="1"/>
  <c r="D180" i="12"/>
  <c r="C171" i="15" s="1"/>
  <c r="D567" i="12"/>
  <c r="C558" i="15" s="1"/>
  <c r="D113" i="9"/>
  <c r="H108" i="12" s="1"/>
  <c r="E108" i="12"/>
  <c r="D99" i="15" s="1"/>
  <c r="E575" i="12"/>
  <c r="D566" i="15" s="1"/>
  <c r="E204" i="12"/>
  <c r="D195" i="15" s="1"/>
  <c r="D206" i="12"/>
  <c r="C197" i="15" s="1"/>
  <c r="E446" i="12"/>
  <c r="D437" i="15" s="1"/>
  <c r="E614" i="12"/>
  <c r="D605" i="15" s="1"/>
  <c r="E633" i="12"/>
  <c r="D624" i="15" s="1"/>
  <c r="E465" i="12"/>
  <c r="D456" i="15" s="1"/>
  <c r="E405" i="12"/>
  <c r="D396" i="15" s="1"/>
  <c r="D519" i="12"/>
  <c r="C510" i="15" s="1"/>
  <c r="D351" i="12"/>
  <c r="C342" i="15" s="1"/>
  <c r="D183" i="12"/>
  <c r="C174" i="15" s="1"/>
  <c r="D524" i="12"/>
  <c r="C515" i="15" s="1"/>
  <c r="D356" i="12"/>
  <c r="C347" i="15" s="1"/>
  <c r="D188" i="12"/>
  <c r="C179" i="15" s="1"/>
  <c r="D538" i="12"/>
  <c r="C529" i="15" s="1"/>
  <c r="D370" i="12"/>
  <c r="C361" i="15" s="1"/>
  <c r="D202" i="12"/>
  <c r="C193" i="15" s="1"/>
  <c r="C17" i="9"/>
  <c r="G12" i="12" s="1"/>
  <c r="D347" i="12"/>
  <c r="C338" i="15" s="1"/>
  <c r="D515" i="12"/>
  <c r="C506" i="15" s="1"/>
  <c r="E419" i="12"/>
  <c r="D410" i="15" s="1"/>
  <c r="E251" i="12"/>
  <c r="D242" i="15" s="1"/>
  <c r="F66" i="7"/>
  <c r="C43" i="9"/>
  <c r="G38" i="12" s="1"/>
  <c r="G374" i="12" s="1"/>
  <c r="E380" i="12"/>
  <c r="D371" i="15" s="1"/>
  <c r="E548" i="12"/>
  <c r="D539" i="15" s="1"/>
  <c r="E577" i="12"/>
  <c r="D568" i="15" s="1"/>
  <c r="E409" i="12"/>
  <c r="D400" i="15" s="1"/>
  <c r="D481" i="12"/>
  <c r="C472" i="15" s="1"/>
  <c r="D313" i="12"/>
  <c r="C304" i="15" s="1"/>
  <c r="D552" i="12"/>
  <c r="C543" i="15" s="1"/>
  <c r="C20" i="9"/>
  <c r="G15" i="12" s="1"/>
  <c r="G351" i="12" s="1"/>
  <c r="C89" i="9"/>
  <c r="G84" i="12" s="1"/>
  <c r="G420" i="12" s="1"/>
  <c r="C27" i="9"/>
  <c r="G22" i="12" s="1"/>
  <c r="G190" i="12" s="1"/>
  <c r="D472" i="12"/>
  <c r="C463" i="15" s="1"/>
  <c r="D496" i="12"/>
  <c r="C487" i="15" s="1"/>
  <c r="D328" i="12"/>
  <c r="C319" i="15" s="1"/>
  <c r="C24" i="9"/>
  <c r="G19" i="12" s="1"/>
  <c r="G187" i="12" s="1"/>
  <c r="C90" i="9"/>
  <c r="G85" i="12" s="1"/>
  <c r="G253" i="12" s="1"/>
  <c r="E589" i="12"/>
  <c r="D580" i="15" s="1"/>
  <c r="E421" i="12"/>
  <c r="D412" i="15" s="1"/>
  <c r="E253" i="12"/>
  <c r="D244" i="15" s="1"/>
  <c r="E182" i="12"/>
  <c r="D173" i="15" s="1"/>
  <c r="E518" i="12"/>
  <c r="D509" i="15" s="1"/>
  <c r="E350" i="12"/>
  <c r="D341" i="15" s="1"/>
  <c r="D537" i="12"/>
  <c r="C528" i="15" s="1"/>
  <c r="D201" i="12"/>
  <c r="C192" i="15" s="1"/>
  <c r="D369" i="12"/>
  <c r="C360" i="15" s="1"/>
  <c r="E348" i="12"/>
  <c r="D339" i="15" s="1"/>
  <c r="E180" i="12"/>
  <c r="D171" i="15" s="1"/>
  <c r="E516" i="12"/>
  <c r="D507" i="15" s="1"/>
  <c r="E360" i="12"/>
  <c r="D351" i="15" s="1"/>
  <c r="E528" i="12"/>
  <c r="D519" i="15" s="1"/>
  <c r="E192" i="12"/>
  <c r="D183" i="15" s="1"/>
  <c r="E529" i="12"/>
  <c r="D520" i="15" s="1"/>
  <c r="E361" i="12"/>
  <c r="D352" i="15" s="1"/>
  <c r="E193" i="12"/>
  <c r="D184" i="15" s="1"/>
  <c r="D394" i="12"/>
  <c r="C385" i="15" s="1"/>
  <c r="D517" i="12"/>
  <c r="C508" i="15" s="1"/>
  <c r="D181" i="12"/>
  <c r="C172" i="15" s="1"/>
  <c r="D349" i="12"/>
  <c r="C340" i="15" s="1"/>
  <c r="E471" i="12"/>
  <c r="D462" i="15" s="1"/>
  <c r="E303" i="12"/>
  <c r="D294" i="15" s="1"/>
  <c r="E398" i="12"/>
  <c r="D389" i="15" s="1"/>
  <c r="E637" i="12"/>
  <c r="D628" i="15" s="1"/>
  <c r="E469" i="12"/>
  <c r="D460" i="15" s="1"/>
  <c r="D543" i="12"/>
  <c r="C534" i="15" s="1"/>
  <c r="D303" i="12"/>
  <c r="C294" i="15" s="1"/>
  <c r="C110" i="9"/>
  <c r="G105" i="12" s="1"/>
  <c r="G441" i="12" s="1"/>
  <c r="E335" i="12"/>
  <c r="D326" i="15" s="1"/>
  <c r="D204" i="12"/>
  <c r="C195" i="15" s="1"/>
  <c r="C26" i="9"/>
  <c r="G21" i="12" s="1"/>
  <c r="G189" i="12" s="1"/>
  <c r="C93" i="9"/>
  <c r="G88" i="12" s="1"/>
  <c r="G592" i="12" s="1"/>
  <c r="E383" i="12"/>
  <c r="D374" i="15" s="1"/>
  <c r="E215" i="12"/>
  <c r="D206" i="15" s="1"/>
  <c r="D307" i="12"/>
  <c r="C298" i="15" s="1"/>
  <c r="E445" i="12"/>
  <c r="D436" i="15" s="1"/>
  <c r="E336" i="12"/>
  <c r="D327" i="15" s="1"/>
  <c r="E190" i="12"/>
  <c r="D181" i="15" s="1"/>
  <c r="E526" i="12"/>
  <c r="D517" i="15" s="1"/>
  <c r="E358" i="12"/>
  <c r="D349" i="15" s="1"/>
  <c r="E553" i="12"/>
  <c r="D544" i="15" s="1"/>
  <c r="D592" i="12"/>
  <c r="C583" i="15" s="1"/>
  <c r="D424" i="12"/>
  <c r="C415" i="15" s="1"/>
  <c r="D256" i="12"/>
  <c r="C247" i="15" s="1"/>
  <c r="D373" i="12"/>
  <c r="C364" i="15" s="1"/>
  <c r="D529" i="12"/>
  <c r="C520" i="15" s="1"/>
  <c r="D193" i="12"/>
  <c r="C184" i="15" s="1"/>
  <c r="D361" i="12"/>
  <c r="C352" i="15" s="1"/>
  <c r="G236" i="12"/>
  <c r="G404" i="12"/>
  <c r="G572" i="12"/>
  <c r="G309" i="12"/>
  <c r="G477" i="12"/>
  <c r="G645" i="12"/>
  <c r="H307" i="12"/>
  <c r="H475" i="12"/>
  <c r="H643" i="12"/>
  <c r="F550" i="12"/>
  <c r="F382" i="12"/>
  <c r="F214" i="12"/>
  <c r="F643" i="12"/>
  <c r="F475" i="12"/>
  <c r="F307" i="12"/>
  <c r="F649" i="12"/>
  <c r="F481" i="12"/>
  <c r="F313" i="12"/>
  <c r="F613" i="12"/>
  <c r="F445" i="12"/>
  <c r="F277" i="12"/>
  <c r="F612" i="12"/>
  <c r="F444" i="12"/>
  <c r="F276" i="12"/>
  <c r="F551" i="12"/>
  <c r="F383" i="12"/>
  <c r="F215" i="12"/>
  <c r="F645" i="12"/>
  <c r="F477" i="12"/>
  <c r="F309" i="12"/>
  <c r="H181" i="12"/>
  <c r="H349" i="12"/>
  <c r="H517" i="12"/>
  <c r="H189" i="12"/>
  <c r="H357" i="12"/>
  <c r="H525" i="12"/>
  <c r="F523" i="12"/>
  <c r="F355" i="12"/>
  <c r="F187" i="12"/>
  <c r="F518" i="12"/>
  <c r="F350" i="12"/>
  <c r="F182" i="12"/>
  <c r="F529" i="12"/>
  <c r="F361" i="12"/>
  <c r="F193" i="12"/>
  <c r="F516" i="12"/>
  <c r="F348" i="12"/>
  <c r="F180" i="12"/>
  <c r="F519" i="12"/>
  <c r="F351" i="12"/>
  <c r="F183" i="12"/>
  <c r="F609" i="12"/>
  <c r="F441" i="12"/>
  <c r="F273" i="12"/>
  <c r="F537" i="12"/>
  <c r="F369" i="12"/>
  <c r="F201" i="12"/>
  <c r="G239" i="12"/>
  <c r="F278" i="12"/>
  <c r="F614" i="12"/>
  <c r="F446" i="12"/>
  <c r="F648" i="12"/>
  <c r="F480" i="12"/>
  <c r="F312" i="12"/>
  <c r="F657" i="12"/>
  <c r="F489" i="12"/>
  <c r="F321" i="12"/>
  <c r="H336" i="12"/>
  <c r="H504" i="12"/>
  <c r="H672" i="12"/>
  <c r="H212" i="12"/>
  <c r="H380" i="12"/>
  <c r="H548" i="12"/>
  <c r="H214" i="12"/>
  <c r="H382" i="12"/>
  <c r="H550" i="12"/>
  <c r="H326" i="12"/>
  <c r="H494" i="12"/>
  <c r="H662" i="12"/>
  <c r="H333" i="12"/>
  <c r="H501" i="12"/>
  <c r="H669" i="12"/>
  <c r="G310" i="12"/>
  <c r="G478" i="12"/>
  <c r="G646" i="12"/>
  <c r="G237" i="12"/>
  <c r="G405" i="12"/>
  <c r="G573" i="12"/>
  <c r="G332" i="12"/>
  <c r="G500" i="12"/>
  <c r="G668" i="12"/>
  <c r="H322" i="12"/>
  <c r="H490" i="12"/>
  <c r="H658" i="12"/>
  <c r="F540" i="12"/>
  <c r="F372" i="12"/>
  <c r="F204" i="12"/>
  <c r="H324" i="12"/>
  <c r="H492" i="12"/>
  <c r="H660" i="12"/>
  <c r="H327" i="12"/>
  <c r="H495" i="12"/>
  <c r="H663" i="12"/>
  <c r="F298" i="12"/>
  <c r="F634" i="12"/>
  <c r="F466" i="12"/>
  <c r="F562" i="12"/>
  <c r="F394" i="12"/>
  <c r="F226" i="12"/>
  <c r="H236" i="12"/>
  <c r="H404" i="12"/>
  <c r="H572" i="12"/>
  <c r="G278" i="12"/>
  <c r="G446" i="12"/>
  <c r="G614" i="12"/>
  <c r="F647" i="12"/>
  <c r="F479" i="12"/>
  <c r="F311" i="12"/>
  <c r="H328" i="12"/>
  <c r="H496" i="12"/>
  <c r="H664" i="12"/>
  <c r="H308" i="12"/>
  <c r="H476" i="12"/>
  <c r="H644" i="12"/>
  <c r="F638" i="12"/>
  <c r="F470" i="12"/>
  <c r="F302" i="12"/>
  <c r="G228" i="12"/>
  <c r="G396" i="12"/>
  <c r="G564" i="12"/>
  <c r="H217" i="12"/>
  <c r="H385" i="12"/>
  <c r="H553" i="12"/>
  <c r="F644" i="12"/>
  <c r="F476" i="12"/>
  <c r="F308" i="12"/>
  <c r="F520" i="12"/>
  <c r="F352" i="12"/>
  <c r="F184" i="12"/>
  <c r="F526" i="12"/>
  <c r="F358" i="12"/>
  <c r="F190" i="12"/>
  <c r="F590" i="12"/>
  <c r="F422" i="12"/>
  <c r="F254" i="12"/>
  <c r="F524" i="12"/>
  <c r="F356" i="12"/>
  <c r="F188" i="12"/>
  <c r="F588" i="12"/>
  <c r="F420" i="12"/>
  <c r="F252" i="12"/>
  <c r="F517" i="12"/>
  <c r="F349" i="12"/>
  <c r="F181" i="12"/>
  <c r="F525" i="12"/>
  <c r="F357" i="12"/>
  <c r="F189" i="12"/>
  <c r="H321" i="12"/>
  <c r="H489" i="12"/>
  <c r="H657" i="12"/>
  <c r="G637" i="12"/>
  <c r="F542" i="12"/>
  <c r="F374" i="12"/>
  <c r="F206" i="12"/>
  <c r="H230" i="12"/>
  <c r="H398" i="12"/>
  <c r="H566" i="12"/>
  <c r="F658" i="12"/>
  <c r="F490" i="12"/>
  <c r="F322" i="12"/>
  <c r="F637" i="12"/>
  <c r="F469" i="12"/>
  <c r="F301" i="12"/>
  <c r="F636" i="12"/>
  <c r="F468" i="12"/>
  <c r="F300" i="12"/>
  <c r="H278" i="12"/>
  <c r="H446" i="12"/>
  <c r="H614" i="12"/>
  <c r="G672" i="12"/>
  <c r="F553" i="12"/>
  <c r="F385" i="12"/>
  <c r="F217" i="12"/>
  <c r="H211" i="12"/>
  <c r="H379" i="12"/>
  <c r="H547" i="12"/>
  <c r="H235" i="12"/>
  <c r="H403" i="12"/>
  <c r="H571" i="12"/>
  <c r="G216" i="12"/>
  <c r="G384" i="12"/>
  <c r="G552" i="12"/>
  <c r="H337" i="12"/>
  <c r="H505" i="12"/>
  <c r="H673" i="12"/>
  <c r="H576" i="12"/>
  <c r="G302" i="12"/>
  <c r="G470" i="12"/>
  <c r="G638" i="12"/>
  <c r="G204" i="12"/>
  <c r="G372" i="12"/>
  <c r="G540" i="12"/>
  <c r="G327" i="12"/>
  <c r="G495" i="12"/>
  <c r="G663" i="12"/>
  <c r="G337" i="12"/>
  <c r="G505" i="12"/>
  <c r="G673" i="12"/>
  <c r="H238" i="12"/>
  <c r="H406" i="12"/>
  <c r="H574" i="12"/>
  <c r="F548" i="12"/>
  <c r="F380" i="12"/>
  <c r="F212" i="12"/>
  <c r="F549" i="12"/>
  <c r="F381" i="12"/>
  <c r="F213" i="12"/>
  <c r="F633" i="12"/>
  <c r="F465" i="12"/>
  <c r="F297" i="12"/>
  <c r="F639" i="12"/>
  <c r="F471" i="12"/>
  <c r="F303" i="12"/>
  <c r="G225" i="12"/>
  <c r="F552" i="12"/>
  <c r="F384" i="12"/>
  <c r="F216" i="12"/>
  <c r="G250" i="12"/>
  <c r="G418" i="12"/>
  <c r="G586" i="12"/>
  <c r="G325" i="12"/>
  <c r="F591" i="12"/>
  <c r="F423" i="12"/>
  <c r="F255" i="12"/>
  <c r="F592" i="12"/>
  <c r="F424" i="12"/>
  <c r="F256" i="12"/>
  <c r="H274" i="12"/>
  <c r="H442" i="12"/>
  <c r="H610" i="12"/>
  <c r="F538" i="12"/>
  <c r="F370" i="12"/>
  <c r="F202" i="12"/>
  <c r="F543" i="12"/>
  <c r="F375" i="12"/>
  <c r="F207" i="12"/>
  <c r="H303" i="12"/>
  <c r="H471" i="12"/>
  <c r="H639" i="12"/>
  <c r="G303" i="12"/>
  <c r="G471" i="12"/>
  <c r="G639" i="12"/>
  <c r="F616" i="12"/>
  <c r="F448" i="12"/>
  <c r="F280" i="12"/>
  <c r="H279" i="12"/>
  <c r="H447" i="12"/>
  <c r="H615" i="12"/>
  <c r="H277" i="12"/>
  <c r="H445" i="12"/>
  <c r="H613" i="12"/>
  <c r="F310" i="12"/>
  <c r="F646" i="12"/>
  <c r="F478" i="12"/>
  <c r="F615" i="12"/>
  <c r="F447" i="12"/>
  <c r="F279" i="12"/>
  <c r="F561" i="12"/>
  <c r="F393" i="12"/>
  <c r="F225" i="12"/>
  <c r="H205" i="12"/>
  <c r="H373" i="12"/>
  <c r="H541" i="12"/>
  <c r="F541" i="12"/>
  <c r="F373" i="12"/>
  <c r="F205" i="12"/>
  <c r="H206" i="12"/>
  <c r="H374" i="12"/>
  <c r="H542" i="12"/>
  <c r="F528" i="12"/>
  <c r="F360" i="12"/>
  <c r="F192" i="12"/>
  <c r="F527" i="12"/>
  <c r="F359" i="12"/>
  <c r="F191" i="12"/>
  <c r="F589" i="12"/>
  <c r="F421" i="12"/>
  <c r="F253" i="12"/>
  <c r="F610" i="12"/>
  <c r="F442" i="12"/>
  <c r="F274" i="12"/>
  <c r="B48" i="9"/>
  <c r="F43" i="12" s="1"/>
  <c r="C11" i="12"/>
  <c r="B16" i="9"/>
  <c r="F130" i="7"/>
  <c r="F34" i="7"/>
  <c r="C591" i="12"/>
  <c r="B582" i="15" s="1"/>
  <c r="C423" i="12"/>
  <c r="B414" i="15" s="1"/>
  <c r="C380" i="12"/>
  <c r="B371" i="15" s="1"/>
  <c r="C548" i="12"/>
  <c r="B539" i="15" s="1"/>
  <c r="C609" i="12"/>
  <c r="B600" i="15" s="1"/>
  <c r="C441" i="12"/>
  <c r="B432" i="15" s="1"/>
  <c r="H106" i="7"/>
  <c r="D88" i="9"/>
  <c r="H83" i="12" s="1"/>
  <c r="C83" i="12"/>
  <c r="B88" i="9"/>
  <c r="F83" i="12" s="1"/>
  <c r="F106" i="7"/>
  <c r="C88" i="9"/>
  <c r="G83" i="12" s="1"/>
  <c r="G106" i="7"/>
  <c r="C667" i="12"/>
  <c r="B658" i="15" s="1"/>
  <c r="C385" i="12"/>
  <c r="B376" i="15" s="1"/>
  <c r="C445" i="12"/>
  <c r="B436" i="15" s="1"/>
  <c r="C590" i="12"/>
  <c r="B581" i="15" s="1"/>
  <c r="C422" i="12"/>
  <c r="B413" i="15" s="1"/>
  <c r="D62" i="9"/>
  <c r="H57" i="12" s="1"/>
  <c r="C420" i="12"/>
  <c r="B411" i="15" s="1"/>
  <c r="C588" i="12"/>
  <c r="B579" i="15" s="1"/>
  <c r="C610" i="12"/>
  <c r="B601" i="15" s="1"/>
  <c r="C442" i="12"/>
  <c r="B433" i="15" s="1"/>
  <c r="C517" i="12"/>
  <c r="B508" i="15" s="1"/>
  <c r="C349" i="12"/>
  <c r="B340" i="15" s="1"/>
  <c r="C561" i="12"/>
  <c r="B552" i="15" s="1"/>
  <c r="C537" i="12"/>
  <c r="B528" i="15" s="1"/>
  <c r="C369" i="12"/>
  <c r="B360" i="15" s="1"/>
  <c r="C549" i="12"/>
  <c r="B540" i="15" s="1"/>
  <c r="G154" i="7"/>
  <c r="C16" i="9"/>
  <c r="G130" i="7"/>
  <c r="G58" i="7"/>
  <c r="G34" i="7"/>
  <c r="C669" i="12"/>
  <c r="B660" i="15" s="1"/>
  <c r="C501" i="12"/>
  <c r="B492" i="15" s="1"/>
  <c r="C573" i="12"/>
  <c r="B564" i="15" s="1"/>
  <c r="C405" i="12"/>
  <c r="B396" i="15" s="1"/>
  <c r="C528" i="12"/>
  <c r="B519" i="15" s="1"/>
  <c r="C360" i="12"/>
  <c r="B351" i="15" s="1"/>
  <c r="C592" i="12"/>
  <c r="B583" i="15" s="1"/>
  <c r="C424" i="12"/>
  <c r="B415" i="15" s="1"/>
  <c r="C526" i="12"/>
  <c r="B517" i="15" s="1"/>
  <c r="C358" i="12"/>
  <c r="B349" i="15" s="1"/>
  <c r="C524" i="12"/>
  <c r="B515" i="15" s="1"/>
  <c r="C356" i="12"/>
  <c r="B347" i="15" s="1"/>
  <c r="C527" i="12"/>
  <c r="B518" i="15" s="1"/>
  <c r="C359" i="12"/>
  <c r="B350" i="15" s="1"/>
  <c r="D16" i="9"/>
  <c r="H130" i="7"/>
  <c r="H154" i="7"/>
  <c r="H58" i="7"/>
  <c r="H34" i="7"/>
  <c r="C576" i="12"/>
  <c r="B567" i="15" s="1"/>
  <c r="C408" i="12"/>
  <c r="B399" i="15" s="1"/>
  <c r="C542" i="12"/>
  <c r="B533" i="15" s="1"/>
  <c r="C520" i="12"/>
  <c r="B511" i="15" s="1"/>
  <c r="C352" i="12"/>
  <c r="B343" i="15" s="1"/>
  <c r="C616" i="12"/>
  <c r="B607" i="15" s="1"/>
  <c r="C448" i="12"/>
  <c r="B439" i="15" s="1"/>
  <c r="C523" i="12"/>
  <c r="B514" i="15" s="1"/>
  <c r="C355" i="12"/>
  <c r="B346" i="15" s="1"/>
  <c r="C589" i="12"/>
  <c r="B580" i="15" s="1"/>
  <c r="C421" i="12"/>
  <c r="B412" i="15" s="1"/>
  <c r="C518" i="12"/>
  <c r="B509" i="15" s="1"/>
  <c r="C350" i="12"/>
  <c r="B341" i="15" s="1"/>
  <c r="C646" i="12"/>
  <c r="B637" i="15" s="1"/>
  <c r="C529" i="12"/>
  <c r="B520" i="15" s="1"/>
  <c r="C361" i="12"/>
  <c r="B352" i="15" s="1"/>
  <c r="C394" i="12"/>
  <c r="B385" i="15" s="1"/>
  <c r="C541" i="12"/>
  <c r="B532" i="15" s="1"/>
  <c r="C516" i="12"/>
  <c r="B507" i="15" s="1"/>
  <c r="C348" i="12"/>
  <c r="B339" i="15" s="1"/>
  <c r="C444" i="12"/>
  <c r="B435" i="15" s="1"/>
  <c r="C519" i="12"/>
  <c r="B510" i="15" s="1"/>
  <c r="C351" i="12"/>
  <c r="B342" i="15" s="1"/>
  <c r="C538" i="12"/>
  <c r="B529" i="15" s="1"/>
  <c r="C370" i="12"/>
  <c r="B361" i="15" s="1"/>
  <c r="C477" i="12"/>
  <c r="B468" i="15" s="1"/>
  <c r="C525" i="12"/>
  <c r="B516" i="15" s="1"/>
  <c r="C357" i="12"/>
  <c r="B348" i="15" s="1"/>
  <c r="B162" i="9"/>
  <c r="F157" i="12" s="1"/>
  <c r="B68" i="9"/>
  <c r="F63" i="12" s="1"/>
  <c r="B171" i="9"/>
  <c r="F166" i="12" s="1"/>
  <c r="B173" i="9"/>
  <c r="F168" i="12" s="1"/>
  <c r="B86" i="9"/>
  <c r="F81" i="12" s="1"/>
  <c r="B75" i="9"/>
  <c r="F70" i="12" s="1"/>
  <c r="B170" i="9"/>
  <c r="F165" i="12" s="1"/>
  <c r="B164" i="9"/>
  <c r="F159" i="12" s="1"/>
  <c r="B69" i="9"/>
  <c r="F64" i="12" s="1"/>
  <c r="B72" i="9"/>
  <c r="F67" i="12" s="1"/>
  <c r="B67" i="9"/>
  <c r="F62" i="12" s="1"/>
  <c r="B77" i="9"/>
  <c r="F72" i="12" s="1"/>
  <c r="B78" i="9"/>
  <c r="F73" i="12" s="1"/>
  <c r="B169" i="9"/>
  <c r="F164" i="12" s="1"/>
  <c r="B163" i="9"/>
  <c r="F158" i="12" s="1"/>
  <c r="B183" i="9"/>
  <c r="F178" i="12" s="1"/>
  <c r="B161" i="9"/>
  <c r="F156" i="12" s="1"/>
  <c r="B74" i="9"/>
  <c r="F69" i="12" s="1"/>
  <c r="B172" i="9"/>
  <c r="F167" i="12" s="1"/>
  <c r="B165" i="9"/>
  <c r="F160" i="12" s="1"/>
  <c r="B168" i="9"/>
  <c r="F163" i="12" s="1"/>
  <c r="B87" i="9"/>
  <c r="F82" i="12" s="1"/>
  <c r="B65" i="9"/>
  <c r="F60" i="12" s="1"/>
  <c r="B76" i="9"/>
  <c r="F71" i="12" s="1"/>
  <c r="B66" i="9"/>
  <c r="F61" i="12" s="1"/>
  <c r="B182" i="9"/>
  <c r="F177" i="12" s="1"/>
  <c r="B174" i="9"/>
  <c r="F169" i="12" s="1"/>
  <c r="B73" i="9"/>
  <c r="F68" i="12" s="1"/>
  <c r="AF9" i="3"/>
  <c r="E11" i="1"/>
  <c r="AF97" i="4" s="1"/>
  <c r="D16" i="1"/>
  <c r="C11" i="1"/>
  <c r="AF38" i="4" s="1"/>
  <c r="C16" i="1"/>
  <c r="H11" i="1"/>
  <c r="E18" i="1" s="1"/>
  <c r="E16" i="1"/>
  <c r="AF12" i="3"/>
  <c r="AF17" i="3"/>
  <c r="AF14" i="3"/>
  <c r="AF127" i="4"/>
  <c r="AF372" i="4"/>
  <c r="AF13" i="3"/>
  <c r="AF280" i="4"/>
  <c r="AF20" i="3"/>
  <c r="AF219" i="4"/>
  <c r="AF10" i="3"/>
  <c r="AF18" i="3"/>
  <c r="AF15" i="3"/>
  <c r="AF311" i="4"/>
  <c r="AF158" i="4"/>
  <c r="AF341" i="4"/>
  <c r="AF250" i="4"/>
  <c r="AD374" i="3"/>
  <c r="AF23" i="3" s="1"/>
  <c r="AF16" i="3"/>
  <c r="AF19" i="3"/>
  <c r="AF11" i="3"/>
  <c r="O10" i="1"/>
  <c r="C251" i="12" l="1"/>
  <c r="B242" i="15" s="1"/>
  <c r="B74" i="15"/>
  <c r="B2" i="15"/>
  <c r="D309" i="12"/>
  <c r="C300" i="15" s="1"/>
  <c r="E238" i="12"/>
  <c r="D229" i="15" s="1"/>
  <c r="D61" i="15"/>
  <c r="C321" i="12"/>
  <c r="B312" i="15" s="1"/>
  <c r="B144" i="15"/>
  <c r="E384" i="12"/>
  <c r="D375" i="15" s="1"/>
  <c r="D39" i="15"/>
  <c r="D540" i="12"/>
  <c r="C531" i="15" s="1"/>
  <c r="C27" i="15"/>
  <c r="D644" i="12"/>
  <c r="C635" i="15" s="1"/>
  <c r="C131" i="15"/>
  <c r="C310" i="12"/>
  <c r="B301" i="15" s="1"/>
  <c r="B133" i="15"/>
  <c r="E407" i="12"/>
  <c r="D398" i="15" s="1"/>
  <c r="D62" i="15"/>
  <c r="D278" i="12"/>
  <c r="C269" i="15" s="1"/>
  <c r="C101" i="15"/>
  <c r="E544" i="12"/>
  <c r="D535" i="15" s="1"/>
  <c r="D31" i="15"/>
  <c r="C213" i="12"/>
  <c r="B204" i="15" s="1"/>
  <c r="B36" i="15"/>
  <c r="D613" i="12"/>
  <c r="C604" i="15" s="1"/>
  <c r="C100" i="15"/>
  <c r="E493" i="12"/>
  <c r="D484" i="15" s="1"/>
  <c r="D148" i="15"/>
  <c r="C207" i="12"/>
  <c r="B198" i="15" s="1"/>
  <c r="B30" i="15"/>
  <c r="E561" i="12"/>
  <c r="D552" i="15" s="1"/>
  <c r="D48" i="15"/>
  <c r="E565" i="12"/>
  <c r="D556" i="15" s="1"/>
  <c r="D52" i="15"/>
  <c r="E499" i="12"/>
  <c r="D490" i="15" s="1"/>
  <c r="D154" i="15"/>
  <c r="C214" i="12"/>
  <c r="B205" i="15" s="1"/>
  <c r="B37" i="15"/>
  <c r="D230" i="12"/>
  <c r="C221" i="15" s="1"/>
  <c r="C53" i="15"/>
  <c r="C325" i="12"/>
  <c r="B316" i="15" s="1"/>
  <c r="B148" i="15"/>
  <c r="C238" i="12"/>
  <c r="B229" i="15" s="1"/>
  <c r="B61" i="15"/>
  <c r="C249" i="12"/>
  <c r="B240" i="15" s="1"/>
  <c r="B72" i="15"/>
  <c r="D327" i="12"/>
  <c r="C318" i="15" s="1"/>
  <c r="C150" i="15"/>
  <c r="D586" i="12"/>
  <c r="C577" i="15" s="1"/>
  <c r="C73" i="15"/>
  <c r="E321" i="12"/>
  <c r="D312" i="15" s="1"/>
  <c r="D144" i="15"/>
  <c r="E404" i="12"/>
  <c r="D395" i="15" s="1"/>
  <c r="D59" i="15"/>
  <c r="C313" i="12"/>
  <c r="B304" i="15" s="1"/>
  <c r="B136" i="15"/>
  <c r="D381" i="12"/>
  <c r="C372" i="15" s="1"/>
  <c r="C36" i="15"/>
  <c r="C211" i="12"/>
  <c r="B202" i="15" s="1"/>
  <c r="B34" i="15"/>
  <c r="E213" i="12"/>
  <c r="D204" i="15" s="1"/>
  <c r="D36" i="15"/>
  <c r="C324" i="12"/>
  <c r="B315" i="15" s="1"/>
  <c r="B147" i="15"/>
  <c r="C337" i="12"/>
  <c r="B328" i="15" s="1"/>
  <c r="B160" i="15"/>
  <c r="C230" i="12"/>
  <c r="B221" i="15" s="1"/>
  <c r="B53" i="15"/>
  <c r="D565" i="12"/>
  <c r="C556" i="15" s="1"/>
  <c r="C52" i="15"/>
  <c r="D502" i="12"/>
  <c r="C493" i="15" s="1"/>
  <c r="C157" i="15"/>
  <c r="E616" i="12"/>
  <c r="D607" i="15" s="1"/>
  <c r="D103" i="15"/>
  <c r="D638" i="12"/>
  <c r="C629" i="15" s="1"/>
  <c r="C125" i="15"/>
  <c r="C278" i="12"/>
  <c r="B269" i="15" s="1"/>
  <c r="B101" i="15"/>
  <c r="E571" i="12"/>
  <c r="D562" i="15" s="1"/>
  <c r="D58" i="15"/>
  <c r="D672" i="12"/>
  <c r="C663" i="15" s="1"/>
  <c r="C159" i="15"/>
  <c r="E228" i="12"/>
  <c r="D219" i="15" s="1"/>
  <c r="D51" i="15"/>
  <c r="D239" i="12"/>
  <c r="C230" i="15" s="1"/>
  <c r="C62" i="15"/>
  <c r="C326" i="12"/>
  <c r="B317" i="15" s="1"/>
  <c r="B149" i="15"/>
  <c r="E179" i="12"/>
  <c r="D170" i="15" s="1"/>
  <c r="D2" i="15"/>
  <c r="E277" i="12"/>
  <c r="D268" i="15" s="1"/>
  <c r="D100" i="15"/>
  <c r="D553" i="12"/>
  <c r="C544" i="15" s="1"/>
  <c r="C40" i="15"/>
  <c r="E502" i="12"/>
  <c r="D493" i="15" s="1"/>
  <c r="D157" i="15"/>
  <c r="E513" i="12"/>
  <c r="D504" i="15" s="1"/>
  <c r="D168" i="15"/>
  <c r="C447" i="12"/>
  <c r="B438" i="15" s="1"/>
  <c r="B102" i="15"/>
  <c r="E504" i="12"/>
  <c r="D495" i="15" s="1"/>
  <c r="D159" i="15"/>
  <c r="C634" i="12"/>
  <c r="B625" i="15" s="1"/>
  <c r="B121" i="15"/>
  <c r="D406" i="12"/>
  <c r="C397" i="15" s="1"/>
  <c r="C61" i="15"/>
  <c r="E492" i="12"/>
  <c r="D483" i="15" s="1"/>
  <c r="D147" i="15"/>
  <c r="D633" i="12"/>
  <c r="C624" i="15" s="1"/>
  <c r="C120" i="15"/>
  <c r="D212" i="12"/>
  <c r="C203" i="15" s="1"/>
  <c r="C35" i="15"/>
  <c r="D657" i="12"/>
  <c r="C648" i="15" s="1"/>
  <c r="C144" i="15"/>
  <c r="C229" i="12"/>
  <c r="B220" i="15" s="1"/>
  <c r="B52" i="15"/>
  <c r="C241" i="12"/>
  <c r="B232" i="15" s="1"/>
  <c r="B64" i="15"/>
  <c r="D572" i="12"/>
  <c r="C563" i="15" s="1"/>
  <c r="C59" i="15"/>
  <c r="C633" i="12"/>
  <c r="B624" i="15" s="1"/>
  <c r="B120" i="15"/>
  <c r="E567" i="12"/>
  <c r="D558" i="15" s="1"/>
  <c r="D54" i="15"/>
  <c r="D382" i="12"/>
  <c r="C373" i="15" s="1"/>
  <c r="C37" i="15"/>
  <c r="D322" i="12"/>
  <c r="C313" i="15" s="1"/>
  <c r="C145" i="15"/>
  <c r="C567" i="12"/>
  <c r="B558" i="15" s="1"/>
  <c r="B54" i="15"/>
  <c r="E237" i="12"/>
  <c r="D228" i="15" s="1"/>
  <c r="D60" i="15"/>
  <c r="D499" i="12"/>
  <c r="C490" i="15" s="1"/>
  <c r="C154" i="15"/>
  <c r="D615" i="12"/>
  <c r="C606" i="15" s="1"/>
  <c r="C102" i="15"/>
  <c r="D468" i="12"/>
  <c r="C459" i="15" s="1"/>
  <c r="C123" i="15"/>
  <c r="D384" i="12"/>
  <c r="C375" i="15" s="1"/>
  <c r="C39" i="15"/>
  <c r="E241" i="12"/>
  <c r="D232" i="15" s="1"/>
  <c r="D64" i="15"/>
  <c r="E566" i="12"/>
  <c r="D557" i="15" s="1"/>
  <c r="D53" i="15"/>
  <c r="C304" i="12"/>
  <c r="B295" i="15" s="1"/>
  <c r="B127" i="15"/>
  <c r="C331" i="12"/>
  <c r="B322" i="15" s="1"/>
  <c r="B154" i="15"/>
  <c r="E613" i="12"/>
  <c r="D604" i="15" s="1"/>
  <c r="E670" i="12"/>
  <c r="D661" i="15" s="1"/>
  <c r="E542" i="12"/>
  <c r="D533" i="15" s="1"/>
  <c r="D29" i="15"/>
  <c r="D228" i="12"/>
  <c r="C219" i="15" s="1"/>
  <c r="C51" i="15"/>
  <c r="D494" i="12"/>
  <c r="C485" i="15" s="1"/>
  <c r="C149" i="15"/>
  <c r="D673" i="12"/>
  <c r="C664" i="15" s="1"/>
  <c r="C160" i="15"/>
  <c r="E279" i="12"/>
  <c r="D270" i="15" s="1"/>
  <c r="D102" i="15"/>
  <c r="D671" i="12"/>
  <c r="C662" i="15" s="1"/>
  <c r="C158" i="15"/>
  <c r="E232" i="12"/>
  <c r="D223" i="15" s="1"/>
  <c r="D55" i="15"/>
  <c r="E333" i="12"/>
  <c r="D324" i="15" s="1"/>
  <c r="D156" i="15"/>
  <c r="E307" i="12"/>
  <c r="D298" i="15" s="1"/>
  <c r="D130" i="15"/>
  <c r="E217" i="12"/>
  <c r="D208" i="15" s="1"/>
  <c r="D40" i="15"/>
  <c r="C469" i="12"/>
  <c r="B460" i="15" s="1"/>
  <c r="B124" i="15"/>
  <c r="E543" i="12"/>
  <c r="D534" i="15" s="1"/>
  <c r="D30" i="15"/>
  <c r="C300" i="12"/>
  <c r="B291" i="15" s="1"/>
  <c r="B123" i="15"/>
  <c r="D345" i="12"/>
  <c r="C336" i="15" s="1"/>
  <c r="C168" i="15"/>
  <c r="D215" i="12"/>
  <c r="C206" i="15" s="1"/>
  <c r="C38" i="15"/>
  <c r="C217" i="12"/>
  <c r="B208" i="15" s="1"/>
  <c r="B40" i="15"/>
  <c r="C332" i="12"/>
  <c r="B323" i="15" s="1"/>
  <c r="B155" i="15"/>
  <c r="D226" i="12"/>
  <c r="C217" i="15" s="1"/>
  <c r="C49" i="15"/>
  <c r="E205" i="12"/>
  <c r="D196" i="15" s="1"/>
  <c r="D28" i="15"/>
  <c r="E644" i="12"/>
  <c r="D635" i="15" s="1"/>
  <c r="D131" i="15"/>
  <c r="D547" i="12"/>
  <c r="C538" i="15" s="1"/>
  <c r="C34" i="15"/>
  <c r="D232" i="12"/>
  <c r="C223" i="15" s="1"/>
  <c r="C55" i="15"/>
  <c r="D478" i="12"/>
  <c r="C469" i="15" s="1"/>
  <c r="C133" i="15"/>
  <c r="E645" i="12"/>
  <c r="D636" i="15" s="1"/>
  <c r="D132" i="15"/>
  <c r="C228" i="12"/>
  <c r="B219" i="15" s="1"/>
  <c r="B51" i="15"/>
  <c r="D444" i="12"/>
  <c r="C435" i="15" s="1"/>
  <c r="C99" i="15"/>
  <c r="C322" i="12"/>
  <c r="B313" i="15" s="1"/>
  <c r="B145" i="15"/>
  <c r="E328" i="12"/>
  <c r="D319" i="15" s="1"/>
  <c r="D151" i="15"/>
  <c r="E337" i="12"/>
  <c r="D328" i="15" s="1"/>
  <c r="D160" i="15"/>
  <c r="E663" i="12"/>
  <c r="D654" i="15" s="1"/>
  <c r="D150" i="15"/>
  <c r="C372" i="12"/>
  <c r="B363" i="15" s="1"/>
  <c r="B27" i="15"/>
  <c r="E417" i="12"/>
  <c r="D408" i="15" s="1"/>
  <c r="D72" i="15"/>
  <c r="D208" i="12"/>
  <c r="C199" i="15" s="1"/>
  <c r="C31" i="15"/>
  <c r="C376" i="12"/>
  <c r="B367" i="15" s="1"/>
  <c r="B31" i="15"/>
  <c r="D469" i="12"/>
  <c r="C460" i="15" s="1"/>
  <c r="C124" i="15"/>
  <c r="C513" i="12"/>
  <c r="B504" i="15" s="1"/>
  <c r="B168" i="15"/>
  <c r="C586" i="12"/>
  <c r="B577" i="15" s="1"/>
  <c r="B73" i="15"/>
  <c r="O184" i="12"/>
  <c r="E175" i="15" s="1"/>
  <c r="D465" i="12"/>
  <c r="C456" i="15" s="1"/>
  <c r="D585" i="12"/>
  <c r="C576" i="15" s="1"/>
  <c r="C72" i="15"/>
  <c r="D643" i="12"/>
  <c r="C634" i="15" s="1"/>
  <c r="C130" i="15"/>
  <c r="D304" i="12"/>
  <c r="C295" i="15" s="1"/>
  <c r="C127" i="15"/>
  <c r="E671" i="12"/>
  <c r="D662" i="15" s="1"/>
  <c r="D158" i="15"/>
  <c r="C307" i="12"/>
  <c r="B298" i="15" s="1"/>
  <c r="B130" i="15"/>
  <c r="E634" i="12"/>
  <c r="D625" i="15" s="1"/>
  <c r="D121" i="15"/>
  <c r="D237" i="12"/>
  <c r="C228" i="15" s="1"/>
  <c r="C60" i="15"/>
  <c r="C280" i="12"/>
  <c r="B271" i="15" s="1"/>
  <c r="B103" i="15"/>
  <c r="E212" i="12"/>
  <c r="D203" i="15" s="1"/>
  <c r="D35" i="15"/>
  <c r="C327" i="12"/>
  <c r="B318" i="15" s="1"/>
  <c r="B150" i="15"/>
  <c r="D241" i="12"/>
  <c r="C232" i="15" s="1"/>
  <c r="C64" i="15"/>
  <c r="C225" i="12"/>
  <c r="B216" i="15" s="1"/>
  <c r="B48" i="15"/>
  <c r="E278" i="12"/>
  <c r="D269" i="15" s="1"/>
  <c r="D101" i="15"/>
  <c r="C212" i="12"/>
  <c r="B203" i="15" s="1"/>
  <c r="B35" i="15"/>
  <c r="C205" i="12"/>
  <c r="B196" i="15" s="1"/>
  <c r="B28" i="15"/>
  <c r="C226" i="12"/>
  <c r="B217" i="15" s="1"/>
  <c r="B49" i="15"/>
  <c r="C277" i="12"/>
  <c r="B268" i="15" s="1"/>
  <c r="B100" i="15"/>
  <c r="E547" i="12"/>
  <c r="D538" i="15" s="1"/>
  <c r="D34" i="15"/>
  <c r="D399" i="12"/>
  <c r="C390" i="15" s="1"/>
  <c r="C54" i="15"/>
  <c r="C240" i="12"/>
  <c r="B231" i="15" s="1"/>
  <c r="B63" i="15"/>
  <c r="D419" i="12"/>
  <c r="C410" i="15" s="1"/>
  <c r="C74" i="15"/>
  <c r="C237" i="12"/>
  <c r="B228" i="15" s="1"/>
  <c r="B60" i="15"/>
  <c r="D541" i="12"/>
  <c r="C532" i="15" s="1"/>
  <c r="C28" i="15"/>
  <c r="E297" i="12"/>
  <c r="D288" i="15" s="1"/>
  <c r="D120" i="15"/>
  <c r="E551" i="12"/>
  <c r="D542" i="15" s="1"/>
  <c r="D38" i="15"/>
  <c r="D542" i="12"/>
  <c r="C533" i="15" s="1"/>
  <c r="C29" i="15"/>
  <c r="E372" i="12"/>
  <c r="D363" i="15" s="1"/>
  <c r="D27" i="15"/>
  <c r="D647" i="12"/>
  <c r="C638" i="15" s="1"/>
  <c r="C134" i="15"/>
  <c r="D375" i="12"/>
  <c r="C366" i="15" s="1"/>
  <c r="C30" i="15"/>
  <c r="E301" i="12"/>
  <c r="D292" i="15" s="1"/>
  <c r="D124" i="15"/>
  <c r="C206" i="12"/>
  <c r="B197" i="15" s="1"/>
  <c r="B29" i="15"/>
  <c r="E587" i="12"/>
  <c r="D578" i="15" s="1"/>
  <c r="D74" i="15"/>
  <c r="D179" i="12"/>
  <c r="C170" i="15" s="1"/>
  <c r="C2" i="15"/>
  <c r="C309" i="12"/>
  <c r="B300" i="15" s="1"/>
  <c r="B132" i="15"/>
  <c r="D664" i="12"/>
  <c r="C655" i="15" s="1"/>
  <c r="C151" i="15"/>
  <c r="C276" i="12"/>
  <c r="B267" i="15" s="1"/>
  <c r="B99" i="15"/>
  <c r="D660" i="12"/>
  <c r="C651" i="15" s="1"/>
  <c r="C147" i="15"/>
  <c r="D571" i="12"/>
  <c r="C562" i="15" s="1"/>
  <c r="C58" i="15"/>
  <c r="D639" i="12"/>
  <c r="C630" i="15" s="1"/>
  <c r="C126" i="15"/>
  <c r="D649" i="12"/>
  <c r="C640" i="15" s="1"/>
  <c r="C136" i="15"/>
  <c r="C312" i="12"/>
  <c r="B303" i="15" s="1"/>
  <c r="B135" i="15"/>
  <c r="E639" i="12"/>
  <c r="D630" i="15" s="1"/>
  <c r="D126" i="15"/>
  <c r="C334" i="12"/>
  <c r="B325" i="15" s="1"/>
  <c r="B157" i="15"/>
  <c r="C333" i="12"/>
  <c r="B324" i="15" s="1"/>
  <c r="B156" i="15"/>
  <c r="G345" i="12"/>
  <c r="G232" i="12"/>
  <c r="G312" i="12"/>
  <c r="Q441" i="12"/>
  <c r="G432" i="15" s="1"/>
  <c r="O350" i="12"/>
  <c r="E341" i="15" s="1"/>
  <c r="G662" i="12"/>
  <c r="G422" i="12"/>
  <c r="G528" i="12"/>
  <c r="H407" i="12"/>
  <c r="G543" i="12"/>
  <c r="H633" i="12"/>
  <c r="Q46" i="12"/>
  <c r="G37" i="15" s="1"/>
  <c r="Q40" i="12"/>
  <c r="G31" i="15" s="1"/>
  <c r="P273" i="12"/>
  <c r="F264" i="15" s="1"/>
  <c r="Q164" i="12"/>
  <c r="G155" i="15" s="1"/>
  <c r="P61" i="12"/>
  <c r="F52" i="15" s="1"/>
  <c r="Q112" i="12"/>
  <c r="G103" i="15" s="1"/>
  <c r="Q60" i="12"/>
  <c r="G51" i="15" s="1"/>
  <c r="P71" i="12"/>
  <c r="F62" i="15" s="1"/>
  <c r="Q273" i="12"/>
  <c r="G264" i="15" s="1"/>
  <c r="Q252" i="12"/>
  <c r="G243" i="15" s="1"/>
  <c r="O537" i="12"/>
  <c r="E528" i="15" s="1"/>
  <c r="G585" i="12"/>
  <c r="H239" i="12"/>
  <c r="H448" i="12"/>
  <c r="G609" i="12"/>
  <c r="G193" i="12"/>
  <c r="H216" i="12"/>
  <c r="G407" i="12"/>
  <c r="P538" i="12"/>
  <c r="F529" i="15" s="1"/>
  <c r="Q274" i="12"/>
  <c r="G265" i="15" s="1"/>
  <c r="P441" i="12"/>
  <c r="F432" i="15" s="1"/>
  <c r="Q588" i="12"/>
  <c r="G579" i="15" s="1"/>
  <c r="P254" i="12"/>
  <c r="F245" i="15" s="1"/>
  <c r="O423" i="12"/>
  <c r="E414" i="15" s="1"/>
  <c r="E78" i="15"/>
  <c r="Q589" i="12"/>
  <c r="G580" i="15" s="1"/>
  <c r="G76" i="15"/>
  <c r="P255" i="12"/>
  <c r="F246" i="15" s="1"/>
  <c r="O518" i="12"/>
  <c r="E509" i="15" s="1"/>
  <c r="O255" i="12"/>
  <c r="E246" i="15" s="1"/>
  <c r="P361" i="12"/>
  <c r="F352" i="15" s="1"/>
  <c r="F16" i="15"/>
  <c r="P519" i="12"/>
  <c r="F510" i="15" s="1"/>
  <c r="F6" i="15"/>
  <c r="O527" i="12"/>
  <c r="E518" i="15" s="1"/>
  <c r="E14" i="15"/>
  <c r="Q189" i="12"/>
  <c r="G180" i="15" s="1"/>
  <c r="G12" i="15"/>
  <c r="Q442" i="12"/>
  <c r="G433" i="15" s="1"/>
  <c r="P369" i="12"/>
  <c r="F360" i="15" s="1"/>
  <c r="O201" i="12"/>
  <c r="E192" i="15" s="1"/>
  <c r="P422" i="12"/>
  <c r="F413" i="15" s="1"/>
  <c r="P591" i="12"/>
  <c r="F582" i="15" s="1"/>
  <c r="P183" i="12"/>
  <c r="F174" i="15" s="1"/>
  <c r="O591" i="12"/>
  <c r="E582" i="15" s="1"/>
  <c r="Q253" i="12"/>
  <c r="G244" i="15" s="1"/>
  <c r="Q591" i="12"/>
  <c r="G582" i="15" s="1"/>
  <c r="G78" i="15"/>
  <c r="Q490" i="12"/>
  <c r="G481" i="15" s="1"/>
  <c r="G145" i="15"/>
  <c r="Q356" i="12"/>
  <c r="G347" i="15" s="1"/>
  <c r="G11" i="15"/>
  <c r="Q518" i="12"/>
  <c r="G509" i="15" s="1"/>
  <c r="G5" i="15"/>
  <c r="O609" i="12"/>
  <c r="E600" i="15" s="1"/>
  <c r="E96" i="15"/>
  <c r="G273" i="12"/>
  <c r="H478" i="12"/>
  <c r="Q38" i="12"/>
  <c r="G29" i="15" s="1"/>
  <c r="P60" i="12"/>
  <c r="F51" i="15" s="1"/>
  <c r="P158" i="12"/>
  <c r="F149" i="15" s="1"/>
  <c r="P169" i="12"/>
  <c r="F160" i="15" s="1"/>
  <c r="Q111" i="12"/>
  <c r="G102" i="15" s="1"/>
  <c r="P167" i="12"/>
  <c r="F158" i="15" s="1"/>
  <c r="Q139" i="12"/>
  <c r="G130" i="15" s="1"/>
  <c r="Q158" i="12"/>
  <c r="G149" i="15" s="1"/>
  <c r="O49" i="12"/>
  <c r="E40" i="15" s="1"/>
  <c r="Q108" i="12"/>
  <c r="G99" i="15" s="1"/>
  <c r="P58" i="12"/>
  <c r="F49" i="15" s="1"/>
  <c r="Q37" i="12"/>
  <c r="G28" i="15" s="1"/>
  <c r="Q140" i="12"/>
  <c r="G131" i="15" s="1"/>
  <c r="P43" i="12"/>
  <c r="F34" i="15" s="1"/>
  <c r="Q72" i="12"/>
  <c r="G63" i="15" s="1"/>
  <c r="P64" i="12"/>
  <c r="F55" i="15" s="1"/>
  <c r="P142" i="12"/>
  <c r="F133" i="15" s="1"/>
  <c r="Q141" i="12"/>
  <c r="G132" i="15" s="1"/>
  <c r="O60" i="12"/>
  <c r="E51" i="15" s="1"/>
  <c r="P108" i="12"/>
  <c r="F99" i="15" s="1"/>
  <c r="O154" i="12"/>
  <c r="E145" i="15" s="1"/>
  <c r="Q160" i="12"/>
  <c r="G151" i="15" s="1"/>
  <c r="Q169" i="12"/>
  <c r="G160" i="15" s="1"/>
  <c r="Q159" i="12"/>
  <c r="G150" i="15" s="1"/>
  <c r="O36" i="12"/>
  <c r="E27" i="15" s="1"/>
  <c r="Q81" i="12"/>
  <c r="G72" i="15" s="1"/>
  <c r="P40" i="12"/>
  <c r="F31" i="15" s="1"/>
  <c r="P370" i="12"/>
  <c r="F361" i="15" s="1"/>
  <c r="Q610" i="12"/>
  <c r="G601" i="15" s="1"/>
  <c r="Q609" i="12"/>
  <c r="G600" i="15" s="1"/>
  <c r="P201" i="12"/>
  <c r="F192" i="15" s="1"/>
  <c r="Q420" i="12"/>
  <c r="G411" i="15" s="1"/>
  <c r="O369" i="12"/>
  <c r="E360" i="15" s="1"/>
  <c r="P590" i="12"/>
  <c r="F581" i="15" s="1"/>
  <c r="P423" i="12"/>
  <c r="F414" i="15" s="1"/>
  <c r="O182" i="12"/>
  <c r="E173" i="15" s="1"/>
  <c r="P351" i="12"/>
  <c r="F342" i="15" s="1"/>
  <c r="O191" i="12"/>
  <c r="E182" i="15" s="1"/>
  <c r="Q421" i="12"/>
  <c r="G412" i="15" s="1"/>
  <c r="O370" i="12"/>
  <c r="E361" i="15" s="1"/>
  <c r="E25" i="15"/>
  <c r="O588" i="12"/>
  <c r="E579" i="15" s="1"/>
  <c r="E75" i="15"/>
  <c r="O590" i="12"/>
  <c r="E581" i="15" s="1"/>
  <c r="E77" i="15"/>
  <c r="P528" i="12"/>
  <c r="F519" i="15" s="1"/>
  <c r="F15" i="15"/>
  <c r="Q70" i="12"/>
  <c r="G61" i="15" s="1"/>
  <c r="O153" i="12"/>
  <c r="E144" i="15" s="1"/>
  <c r="Q48" i="12"/>
  <c r="G39" i="15" s="1"/>
  <c r="P36" i="12"/>
  <c r="F27" i="15" s="1"/>
  <c r="P140" i="12"/>
  <c r="F131" i="15" s="1"/>
  <c r="O142" i="12"/>
  <c r="E133" i="15" s="1"/>
  <c r="Q71" i="12"/>
  <c r="G62" i="15" s="1"/>
  <c r="P110" i="12"/>
  <c r="F101" i="15" s="1"/>
  <c r="O45" i="12"/>
  <c r="E36" i="15" s="1"/>
  <c r="P109" i="12"/>
  <c r="F100" i="15" s="1"/>
  <c r="Q157" i="12"/>
  <c r="G148" i="15" s="1"/>
  <c r="O39" i="12"/>
  <c r="E30" i="15" s="1"/>
  <c r="Q57" i="12"/>
  <c r="G48" i="15" s="1"/>
  <c r="Q61" i="12"/>
  <c r="G52" i="15" s="1"/>
  <c r="Q136" i="12"/>
  <c r="G127" i="15" s="1"/>
  <c r="Q163" i="12"/>
  <c r="G154" i="15" s="1"/>
  <c r="O46" i="12"/>
  <c r="E37" i="15" s="1"/>
  <c r="P178" i="12"/>
  <c r="F169" i="15" s="1"/>
  <c r="P62" i="12"/>
  <c r="F53" i="15" s="1"/>
  <c r="Q145" i="12"/>
  <c r="G136" i="15" s="1"/>
  <c r="O157" i="12"/>
  <c r="E148" i="15" s="1"/>
  <c r="O70" i="12"/>
  <c r="E61" i="15" s="1"/>
  <c r="O48" i="12"/>
  <c r="E39" i="15" s="1"/>
  <c r="O135" i="12"/>
  <c r="E126" i="15" s="1"/>
  <c r="P159" i="12"/>
  <c r="F150" i="15" s="1"/>
  <c r="Q153" i="12"/>
  <c r="G144" i="15" s="1"/>
  <c r="O145" i="12"/>
  <c r="E136" i="15" s="1"/>
  <c r="P45" i="12"/>
  <c r="F36" i="15" s="1"/>
  <c r="O43" i="12"/>
  <c r="E34" i="15" s="1"/>
  <c r="Q45" i="12"/>
  <c r="G36" i="15" s="1"/>
  <c r="O156" i="12"/>
  <c r="E147" i="15" s="1"/>
  <c r="O169" i="12"/>
  <c r="E160" i="15" s="1"/>
  <c r="O134" i="12"/>
  <c r="E125" i="15" s="1"/>
  <c r="H254" i="12"/>
  <c r="H670" i="12"/>
  <c r="H479" i="12"/>
  <c r="H204" i="12"/>
  <c r="D417" i="12"/>
  <c r="C408" i="15" s="1"/>
  <c r="D475" i="12"/>
  <c r="C466" i="15" s="1"/>
  <c r="D640" i="12"/>
  <c r="C631" i="15" s="1"/>
  <c r="D573" i="12"/>
  <c r="C564" i="15" s="1"/>
  <c r="H551" i="12"/>
  <c r="H562" i="12"/>
  <c r="E298" i="12"/>
  <c r="D289" i="15" s="1"/>
  <c r="H249" i="12"/>
  <c r="G643" i="12"/>
  <c r="D337" i="12"/>
  <c r="C328" i="15" s="1"/>
  <c r="D612" i="12"/>
  <c r="C603" i="15" s="1"/>
  <c r="C636" i="12"/>
  <c r="B627" i="15" s="1"/>
  <c r="G213" i="12"/>
  <c r="E374" i="12"/>
  <c r="D365" i="15" s="1"/>
  <c r="D503" i="12"/>
  <c r="C494" i="15" s="1"/>
  <c r="O202" i="12"/>
  <c r="E193" i="15" s="1"/>
  <c r="O420" i="12"/>
  <c r="E411" i="15" s="1"/>
  <c r="O254" i="12"/>
  <c r="E245" i="15" s="1"/>
  <c r="P192" i="12"/>
  <c r="F183" i="15" s="1"/>
  <c r="D213" i="12"/>
  <c r="C204" i="15" s="1"/>
  <c r="C489" i="12"/>
  <c r="B480" i="15" s="1"/>
  <c r="D250" i="12"/>
  <c r="C241" i="15" s="1"/>
  <c r="E489" i="12"/>
  <c r="D480" i="15" s="1"/>
  <c r="E235" i="12"/>
  <c r="D226" i="15" s="1"/>
  <c r="E347" i="12"/>
  <c r="D338" i="15" s="1"/>
  <c r="E381" i="12"/>
  <c r="D372" i="15" s="1"/>
  <c r="Q423" i="12"/>
  <c r="G414" i="15" s="1"/>
  <c r="Q188" i="12"/>
  <c r="G179" i="15" s="1"/>
  <c r="Q350" i="12"/>
  <c r="G341" i="15" s="1"/>
  <c r="C379" i="12"/>
  <c r="B370" i="15" s="1"/>
  <c r="C417" i="12"/>
  <c r="B408" i="15" s="1"/>
  <c r="C382" i="12"/>
  <c r="B373" i="15" s="1"/>
  <c r="C409" i="12"/>
  <c r="B400" i="15" s="1"/>
  <c r="H355" i="12"/>
  <c r="G254" i="12"/>
  <c r="G489" i="12"/>
  <c r="G504" i="12"/>
  <c r="H396" i="12"/>
  <c r="G406" i="12"/>
  <c r="G518" i="12"/>
  <c r="H302" i="12"/>
  <c r="D277" i="12"/>
  <c r="C268" i="15" s="1"/>
  <c r="E396" i="12"/>
  <c r="D387" i="15" s="1"/>
  <c r="D495" i="12"/>
  <c r="C486" i="15" s="1"/>
  <c r="D614" i="12"/>
  <c r="C605" i="15" s="1"/>
  <c r="E376" i="12"/>
  <c r="D367" i="15" s="1"/>
  <c r="E573" i="12"/>
  <c r="D564" i="15" s="1"/>
  <c r="E661" i="12"/>
  <c r="D652" i="15" s="1"/>
  <c r="O81" i="12"/>
  <c r="E72" i="15" s="1"/>
  <c r="P82" i="12"/>
  <c r="Q68" i="12"/>
  <c r="O62" i="12"/>
  <c r="E53" i="15" s="1"/>
  <c r="P166" i="12"/>
  <c r="F157" i="15" s="1"/>
  <c r="P134" i="12"/>
  <c r="O110" i="12"/>
  <c r="Q67" i="12"/>
  <c r="G58" i="15" s="1"/>
  <c r="P168" i="12"/>
  <c r="F159" i="15" s="1"/>
  <c r="O158" i="12"/>
  <c r="Q255" i="12"/>
  <c r="G246" i="15" s="1"/>
  <c r="Q322" i="12"/>
  <c r="G313" i="15" s="1"/>
  <c r="Q524" i="12"/>
  <c r="G515" i="15" s="1"/>
  <c r="Q182" i="12"/>
  <c r="G173" i="15" s="1"/>
  <c r="O441" i="12"/>
  <c r="E432" i="15" s="1"/>
  <c r="C673" i="12"/>
  <c r="B664" i="15" s="1"/>
  <c r="D670" i="12"/>
  <c r="C661" i="15" s="1"/>
  <c r="D407" i="12"/>
  <c r="C398" i="15" s="1"/>
  <c r="E667" i="12"/>
  <c r="D658" i="15" s="1"/>
  <c r="D398" i="12"/>
  <c r="C389" i="15" s="1"/>
  <c r="D336" i="12"/>
  <c r="C327" i="15" s="1"/>
  <c r="Q658" i="12"/>
  <c r="G649" i="15" s="1"/>
  <c r="O273" i="12"/>
  <c r="E264" i="15" s="1"/>
  <c r="C481" i="12"/>
  <c r="B472" i="15" s="1"/>
  <c r="C640" i="12"/>
  <c r="B631" i="15" s="1"/>
  <c r="C493" i="12"/>
  <c r="B484" i="15" s="1"/>
  <c r="C577" i="12"/>
  <c r="B568" i="15" s="1"/>
  <c r="H345" i="12"/>
  <c r="H256" i="12"/>
  <c r="G423" i="12"/>
  <c r="E334" i="12"/>
  <c r="D325" i="15" s="1"/>
  <c r="E324" i="12"/>
  <c r="D315" i="15" s="1"/>
  <c r="D216" i="12"/>
  <c r="C207" i="15" s="1"/>
  <c r="D321" i="12"/>
  <c r="C312" i="15" s="1"/>
  <c r="Q177" i="12"/>
  <c r="P153" i="12"/>
  <c r="F144" i="15" s="1"/>
  <c r="O61" i="12"/>
  <c r="E52" i="15" s="1"/>
  <c r="O73" i="12"/>
  <c r="O83" i="12"/>
  <c r="P68" i="12"/>
  <c r="F59" i="15" s="1"/>
  <c r="P165" i="12"/>
  <c r="F156" i="15" s="1"/>
  <c r="Q132" i="12"/>
  <c r="Q144" i="12"/>
  <c r="P46" i="12"/>
  <c r="F37" i="15" s="1"/>
  <c r="P154" i="12"/>
  <c r="F145" i="15" s="1"/>
  <c r="O63" i="12"/>
  <c r="O68" i="12"/>
  <c r="O71" i="12"/>
  <c r="E62" i="15" s="1"/>
  <c r="O47" i="12"/>
  <c r="E38" i="15" s="1"/>
  <c r="Q69" i="12"/>
  <c r="P163" i="12"/>
  <c r="O143" i="12"/>
  <c r="E134" i="15" s="1"/>
  <c r="P111" i="12"/>
  <c r="F102" i="15" s="1"/>
  <c r="P157" i="12"/>
  <c r="P132" i="12"/>
  <c r="P48" i="12"/>
  <c r="F39" i="15" s="1"/>
  <c r="Q73" i="12"/>
  <c r="G64" i="15" s="1"/>
  <c r="Q62" i="12"/>
  <c r="G370" i="12"/>
  <c r="H280" i="12"/>
  <c r="C490" i="12"/>
  <c r="B481" i="15" s="1"/>
  <c r="C553" i="12"/>
  <c r="B544" i="15" s="1"/>
  <c r="G409" i="12"/>
  <c r="G356" i="12"/>
  <c r="D505" i="12"/>
  <c r="C496" i="15" s="1"/>
  <c r="D310" i="12"/>
  <c r="C301" i="15" s="1"/>
  <c r="D562" i="12"/>
  <c r="C553" i="15" s="1"/>
  <c r="C645" i="12"/>
  <c r="B636" i="15" s="1"/>
  <c r="C562" i="12"/>
  <c r="B553" i="15" s="1"/>
  <c r="C480" i="12"/>
  <c r="B471" i="15" s="1"/>
  <c r="C668" i="12"/>
  <c r="B659" i="15" s="1"/>
  <c r="C502" i="12"/>
  <c r="B493" i="15" s="1"/>
  <c r="C495" i="12"/>
  <c r="B486" i="15" s="1"/>
  <c r="C658" i="12"/>
  <c r="B649" i="15" s="1"/>
  <c r="C613" i="12"/>
  <c r="B604" i="15" s="1"/>
  <c r="C564" i="12"/>
  <c r="B555" i="15" s="1"/>
  <c r="C475" i="12"/>
  <c r="B466" i="15" s="1"/>
  <c r="G553" i="12"/>
  <c r="G211" i="12"/>
  <c r="G417" i="12"/>
  <c r="G214" i="12"/>
  <c r="G636" i="12"/>
  <c r="G494" i="12"/>
  <c r="H408" i="12"/>
  <c r="G469" i="12"/>
  <c r="H394" i="12"/>
  <c r="H552" i="12"/>
  <c r="G544" i="12"/>
  <c r="G188" i="12"/>
  <c r="H350" i="12"/>
  <c r="D205" i="12"/>
  <c r="C196" i="15" s="1"/>
  <c r="D249" i="12"/>
  <c r="C240" i="15" s="1"/>
  <c r="E503" i="12"/>
  <c r="D494" i="15" s="1"/>
  <c r="E466" i="12"/>
  <c r="D457" i="15" s="1"/>
  <c r="D471" i="12"/>
  <c r="C462" i="15" s="1"/>
  <c r="D207" i="12"/>
  <c r="C198" i="15" s="1"/>
  <c r="D646" i="12"/>
  <c r="C637" i="15" s="1"/>
  <c r="E643" i="12"/>
  <c r="D634" i="15" s="1"/>
  <c r="E373" i="12"/>
  <c r="D364" i="15" s="1"/>
  <c r="D374" i="12"/>
  <c r="C365" i="15" s="1"/>
  <c r="E540" i="12"/>
  <c r="D531" i="15" s="1"/>
  <c r="D405" i="12"/>
  <c r="C396" i="15" s="1"/>
  <c r="D231" i="12"/>
  <c r="C222" i="15" s="1"/>
  <c r="D409" i="12"/>
  <c r="C400" i="15" s="1"/>
  <c r="D479" i="12"/>
  <c r="C470" i="15" s="1"/>
  <c r="E379" i="12"/>
  <c r="D370" i="15" s="1"/>
  <c r="D251" i="12"/>
  <c r="C242" i="15" s="1"/>
  <c r="C468" i="12"/>
  <c r="B459" i="15" s="1"/>
  <c r="H215" i="12"/>
  <c r="H310" i="12"/>
  <c r="F376" i="12"/>
  <c r="G307" i="12"/>
  <c r="C612" i="12"/>
  <c r="B603" i="15" s="1"/>
  <c r="C373" i="12"/>
  <c r="B364" i="15" s="1"/>
  <c r="C648" i="12"/>
  <c r="B639" i="15" s="1"/>
  <c r="C374" i="12"/>
  <c r="B365" i="15" s="1"/>
  <c r="C500" i="12"/>
  <c r="B491" i="15" s="1"/>
  <c r="C670" i="12"/>
  <c r="B661" i="15" s="1"/>
  <c r="C663" i="12"/>
  <c r="B654" i="15" s="1"/>
  <c r="C393" i="12"/>
  <c r="B384" i="15" s="1"/>
  <c r="C396" i="12"/>
  <c r="B387" i="15" s="1"/>
  <c r="C643" i="12"/>
  <c r="B634" i="15" s="1"/>
  <c r="H356" i="12"/>
  <c r="G331" i="12"/>
  <c r="G385" i="12"/>
  <c r="G615" i="12"/>
  <c r="G549" i="12"/>
  <c r="H647" i="12"/>
  <c r="G300" i="12"/>
  <c r="H585" i="12"/>
  <c r="G480" i="12"/>
  <c r="G376" i="12"/>
  <c r="H518" i="12"/>
  <c r="H573" i="12"/>
  <c r="E385" i="12"/>
  <c r="D376" i="15" s="1"/>
  <c r="E541" i="12"/>
  <c r="D532" i="15" s="1"/>
  <c r="D396" i="12"/>
  <c r="C387" i="15" s="1"/>
  <c r="Q542" i="12"/>
  <c r="G533" i="15" s="1"/>
  <c r="Q206" i="12"/>
  <c r="G197" i="15" s="1"/>
  <c r="Q374" i="12"/>
  <c r="G365" i="15" s="1"/>
  <c r="P564" i="12"/>
  <c r="F555" i="15" s="1"/>
  <c r="P396" i="12"/>
  <c r="F387" i="15" s="1"/>
  <c r="P662" i="12"/>
  <c r="F653" i="15" s="1"/>
  <c r="P326" i="12"/>
  <c r="F317" i="15" s="1"/>
  <c r="P505" i="12"/>
  <c r="F496" i="15" s="1"/>
  <c r="P337" i="12"/>
  <c r="F328" i="15" s="1"/>
  <c r="Q615" i="12"/>
  <c r="G606" i="15" s="1"/>
  <c r="Q447" i="12"/>
  <c r="G438" i="15" s="1"/>
  <c r="Q279" i="12"/>
  <c r="G270" i="15" s="1"/>
  <c r="P671" i="12"/>
  <c r="F662" i="15" s="1"/>
  <c r="P503" i="12"/>
  <c r="F494" i="15" s="1"/>
  <c r="P335" i="12"/>
  <c r="F326" i="15" s="1"/>
  <c r="Q64" i="12"/>
  <c r="G55" i="15" s="1"/>
  <c r="Q165" i="12"/>
  <c r="G156" i="15" s="1"/>
  <c r="Q643" i="12"/>
  <c r="G634" i="15" s="1"/>
  <c r="Q475" i="12"/>
  <c r="G466" i="15" s="1"/>
  <c r="Q307" i="12"/>
  <c r="G298" i="15" s="1"/>
  <c r="Q49" i="12"/>
  <c r="G40" i="15" s="1"/>
  <c r="O133" i="12"/>
  <c r="E124" i="15" s="1"/>
  <c r="Q39" i="12"/>
  <c r="G30" i="15" s="1"/>
  <c r="O132" i="12"/>
  <c r="E123" i="15" s="1"/>
  <c r="P177" i="12"/>
  <c r="F168" i="15" s="1"/>
  <c r="Q494" i="12"/>
  <c r="G485" i="15" s="1"/>
  <c r="P47" i="12"/>
  <c r="F38" i="15" s="1"/>
  <c r="O553" i="12"/>
  <c r="E544" i="15" s="1"/>
  <c r="O385" i="12"/>
  <c r="E376" i="15" s="1"/>
  <c r="O217" i="12"/>
  <c r="E208" i="15" s="1"/>
  <c r="Q444" i="12"/>
  <c r="G435" i="15" s="1"/>
  <c r="Q612" i="12"/>
  <c r="G603" i="15" s="1"/>
  <c r="Q276" i="12"/>
  <c r="G267" i="15" s="1"/>
  <c r="Q143" i="12"/>
  <c r="G134" i="15" s="1"/>
  <c r="O164" i="12"/>
  <c r="E155" i="15" s="1"/>
  <c r="P562" i="12"/>
  <c r="F553" i="15" s="1"/>
  <c r="P394" i="12"/>
  <c r="F385" i="15" s="1"/>
  <c r="P226" i="12"/>
  <c r="F217" i="15" s="1"/>
  <c r="Q541" i="12"/>
  <c r="G532" i="15" s="1"/>
  <c r="Q205" i="12"/>
  <c r="G196" i="15" s="1"/>
  <c r="Q644" i="12"/>
  <c r="G635" i="15" s="1"/>
  <c r="Q476" i="12"/>
  <c r="G467" i="15" s="1"/>
  <c r="Q308" i="12"/>
  <c r="G299" i="15" s="1"/>
  <c r="P547" i="12"/>
  <c r="F538" i="15" s="1"/>
  <c r="P211" i="12"/>
  <c r="F202" i="15" s="1"/>
  <c r="Q576" i="12"/>
  <c r="G567" i="15" s="1"/>
  <c r="Q408" i="12"/>
  <c r="G399" i="15" s="1"/>
  <c r="Q240" i="12"/>
  <c r="G231" i="15" s="1"/>
  <c r="P568" i="12"/>
  <c r="F559" i="15" s="1"/>
  <c r="P232" i="12"/>
  <c r="F223" i="15" s="1"/>
  <c r="P646" i="12"/>
  <c r="F637" i="15" s="1"/>
  <c r="P478" i="12"/>
  <c r="F469" i="15" s="1"/>
  <c r="P310" i="12"/>
  <c r="F301" i="15" s="1"/>
  <c r="Q142" i="12"/>
  <c r="G133" i="15" s="1"/>
  <c r="Q477" i="12"/>
  <c r="G468" i="15" s="1"/>
  <c r="Q309" i="12"/>
  <c r="G300" i="15" s="1"/>
  <c r="O564" i="12"/>
  <c r="E555" i="15" s="1"/>
  <c r="O228" i="12"/>
  <c r="E219" i="15" s="1"/>
  <c r="O396" i="12"/>
  <c r="E387" i="15" s="1"/>
  <c r="P444" i="12"/>
  <c r="F435" i="15" s="1"/>
  <c r="O658" i="12"/>
  <c r="E649" i="15" s="1"/>
  <c r="O490" i="12"/>
  <c r="E481" i="15" s="1"/>
  <c r="O322" i="12"/>
  <c r="E313" i="15" s="1"/>
  <c r="Q664" i="12"/>
  <c r="G655" i="15" s="1"/>
  <c r="Q496" i="12"/>
  <c r="G487" i="15" s="1"/>
  <c r="Q328" i="12"/>
  <c r="G319" i="15" s="1"/>
  <c r="Q673" i="12"/>
  <c r="G664" i="15" s="1"/>
  <c r="Q505" i="12"/>
  <c r="G496" i="15" s="1"/>
  <c r="Q337" i="12"/>
  <c r="G328" i="15" s="1"/>
  <c r="Q495" i="12"/>
  <c r="G486" i="15" s="1"/>
  <c r="O540" i="12"/>
  <c r="E531" i="15" s="1"/>
  <c r="O204" i="12"/>
  <c r="E195" i="15" s="1"/>
  <c r="O372" i="12"/>
  <c r="E363" i="15" s="1"/>
  <c r="Q417" i="12"/>
  <c r="G408" i="15" s="1"/>
  <c r="Q249" i="12"/>
  <c r="G240" i="15" s="1"/>
  <c r="P544" i="12"/>
  <c r="F535" i="15" s="1"/>
  <c r="P376" i="12"/>
  <c r="F367" i="15" s="1"/>
  <c r="P208" i="12"/>
  <c r="F199" i="15" s="1"/>
  <c r="O40" i="12"/>
  <c r="E31" i="15" s="1"/>
  <c r="P133" i="12"/>
  <c r="F124" i="15" s="1"/>
  <c r="O177" i="12"/>
  <c r="E168" i="15" s="1"/>
  <c r="O82" i="12"/>
  <c r="E73" i="15" s="1"/>
  <c r="P526" i="12"/>
  <c r="F517" i="15" s="1"/>
  <c r="P358" i="12"/>
  <c r="F349" i="15" s="1"/>
  <c r="P190" i="12"/>
  <c r="F181" i="15" s="1"/>
  <c r="P592" i="12"/>
  <c r="F583" i="15" s="1"/>
  <c r="P424" i="12"/>
  <c r="F415" i="15" s="1"/>
  <c r="P256" i="12"/>
  <c r="F247" i="15" s="1"/>
  <c r="Q348" i="12"/>
  <c r="G339" i="15" s="1"/>
  <c r="Q516" i="12"/>
  <c r="G507" i="15" s="1"/>
  <c r="Q180" i="12"/>
  <c r="G171" i="15" s="1"/>
  <c r="Q592" i="12"/>
  <c r="G583" i="15" s="1"/>
  <c r="Q424" i="12"/>
  <c r="G415" i="15" s="1"/>
  <c r="Q256" i="12"/>
  <c r="G247" i="15" s="1"/>
  <c r="P524" i="12"/>
  <c r="F515" i="15" s="1"/>
  <c r="P356" i="12"/>
  <c r="F347" i="15" s="1"/>
  <c r="P188" i="12"/>
  <c r="F179" i="15" s="1"/>
  <c r="D335" i="12"/>
  <c r="C326" i="15" s="1"/>
  <c r="P81" i="12"/>
  <c r="F72" i="15" s="1"/>
  <c r="P139" i="12"/>
  <c r="F130" i="15" s="1"/>
  <c r="P136" i="12"/>
  <c r="F127" i="15" s="1"/>
  <c r="Q167" i="12"/>
  <c r="G158" i="15" s="1"/>
  <c r="O139" i="12"/>
  <c r="E130" i="15" s="1"/>
  <c r="Q130" i="12"/>
  <c r="G121" i="15" s="1"/>
  <c r="P69" i="12"/>
  <c r="F60" i="15" s="1"/>
  <c r="O112" i="12"/>
  <c r="E103" i="15" s="1"/>
  <c r="Q44" i="12"/>
  <c r="G35" i="15" s="1"/>
  <c r="O159" i="12"/>
  <c r="E150" i="15" s="1"/>
  <c r="P73" i="12"/>
  <c r="F64" i="15" s="1"/>
  <c r="O57" i="12"/>
  <c r="E48" i="15" s="1"/>
  <c r="Q110" i="12"/>
  <c r="G101" i="15" s="1"/>
  <c r="O44" i="12"/>
  <c r="E35" i="15" s="1"/>
  <c r="O37" i="12"/>
  <c r="E28" i="15" s="1"/>
  <c r="O58" i="12"/>
  <c r="E49" i="15" s="1"/>
  <c r="O109" i="12"/>
  <c r="E100" i="15" s="1"/>
  <c r="Q43" i="12"/>
  <c r="G34" i="15" s="1"/>
  <c r="P63" i="12"/>
  <c r="F54" i="15" s="1"/>
  <c r="O72" i="12"/>
  <c r="E63" i="15" s="1"/>
  <c r="P83" i="12"/>
  <c r="F74" i="15" s="1"/>
  <c r="O69" i="12"/>
  <c r="E60" i="15" s="1"/>
  <c r="P37" i="12"/>
  <c r="F28" i="15" s="1"/>
  <c r="Q129" i="12"/>
  <c r="G120" i="15" s="1"/>
  <c r="Q47" i="12"/>
  <c r="G38" i="15" s="1"/>
  <c r="P38" i="12"/>
  <c r="F29" i="15" s="1"/>
  <c r="Q36" i="12"/>
  <c r="G27" i="15" s="1"/>
  <c r="P143" i="12"/>
  <c r="F134" i="15" s="1"/>
  <c r="P39" i="12"/>
  <c r="F30" i="15" s="1"/>
  <c r="Q133" i="12"/>
  <c r="G124" i="15" s="1"/>
  <c r="O38" i="12"/>
  <c r="E29" i="15" s="1"/>
  <c r="Q83" i="12"/>
  <c r="G74" i="15" s="1"/>
  <c r="O141" i="12"/>
  <c r="E132" i="15" s="1"/>
  <c r="P160" i="12"/>
  <c r="F151" i="15" s="1"/>
  <c r="O108" i="12"/>
  <c r="E99" i="15" s="1"/>
  <c r="P156" i="12"/>
  <c r="F147" i="15" s="1"/>
  <c r="P67" i="12"/>
  <c r="F58" i="15" s="1"/>
  <c r="P135" i="12"/>
  <c r="F126" i="15" s="1"/>
  <c r="P145" i="12"/>
  <c r="F136" i="15" s="1"/>
  <c r="O144" i="12"/>
  <c r="E135" i="15" s="1"/>
  <c r="Q135" i="12"/>
  <c r="G126" i="15" s="1"/>
  <c r="O166" i="12"/>
  <c r="E157" i="15" s="1"/>
  <c r="O165" i="12"/>
  <c r="E156" i="15" s="1"/>
  <c r="O524" i="12"/>
  <c r="E515" i="15" s="1"/>
  <c r="O188" i="12"/>
  <c r="E179" i="15" s="1"/>
  <c r="O356" i="12"/>
  <c r="E347" i="15" s="1"/>
  <c r="O442" i="12"/>
  <c r="E433" i="15" s="1"/>
  <c r="O610" i="12"/>
  <c r="E601" i="15" s="1"/>
  <c r="O274" i="12"/>
  <c r="E265" i="15" s="1"/>
  <c r="O526" i="12"/>
  <c r="E517" i="15" s="1"/>
  <c r="O358" i="12"/>
  <c r="E349" i="15" s="1"/>
  <c r="O190" i="12"/>
  <c r="E181" i="15" s="1"/>
  <c r="P634" i="12"/>
  <c r="F625" i="15" s="1"/>
  <c r="P298" i="12"/>
  <c r="F289" i="15" s="1"/>
  <c r="P466" i="12"/>
  <c r="F457" i="15" s="1"/>
  <c r="Q537" i="12"/>
  <c r="G528" i="15" s="1"/>
  <c r="Q369" i="12"/>
  <c r="G360" i="15" s="1"/>
  <c r="Q201" i="12"/>
  <c r="G192" i="15" s="1"/>
  <c r="O519" i="12"/>
  <c r="E510" i="15" s="1"/>
  <c r="O351" i="12"/>
  <c r="E342" i="15" s="1"/>
  <c r="O183" i="12"/>
  <c r="E174" i="15" s="1"/>
  <c r="Q519" i="12"/>
  <c r="G510" i="15" s="1"/>
  <c r="Q351" i="12"/>
  <c r="G342" i="15" s="1"/>
  <c r="Q183" i="12"/>
  <c r="G174" i="15" s="1"/>
  <c r="Q574" i="12"/>
  <c r="G565" i="15" s="1"/>
  <c r="Q238" i="12"/>
  <c r="G229" i="15" s="1"/>
  <c r="Q406" i="12"/>
  <c r="G397" i="15" s="1"/>
  <c r="O657" i="12"/>
  <c r="E648" i="15" s="1"/>
  <c r="O489" i="12"/>
  <c r="E480" i="15" s="1"/>
  <c r="O321" i="12"/>
  <c r="E312" i="15" s="1"/>
  <c r="Q552" i="12"/>
  <c r="G543" i="15" s="1"/>
  <c r="Q384" i="12"/>
  <c r="G375" i="15" s="1"/>
  <c r="Q216" i="12"/>
  <c r="G207" i="15" s="1"/>
  <c r="P540" i="12"/>
  <c r="F531" i="15" s="1"/>
  <c r="P372" i="12"/>
  <c r="F363" i="15" s="1"/>
  <c r="P204" i="12"/>
  <c r="F195" i="15" s="1"/>
  <c r="P476" i="12"/>
  <c r="F467" i="15" s="1"/>
  <c r="P644" i="12"/>
  <c r="F635" i="15" s="1"/>
  <c r="P308" i="12"/>
  <c r="F299" i="15" s="1"/>
  <c r="O646" i="12"/>
  <c r="E637" i="15" s="1"/>
  <c r="O478" i="12"/>
  <c r="E469" i="15" s="1"/>
  <c r="O310" i="12"/>
  <c r="E301" i="15" s="1"/>
  <c r="Q575" i="12"/>
  <c r="G566" i="15" s="1"/>
  <c r="Q239" i="12"/>
  <c r="G230" i="15" s="1"/>
  <c r="Q407" i="12"/>
  <c r="G398" i="15" s="1"/>
  <c r="P614" i="12"/>
  <c r="F605" i="15" s="1"/>
  <c r="P446" i="12"/>
  <c r="F437" i="15" s="1"/>
  <c r="P278" i="12"/>
  <c r="F269" i="15" s="1"/>
  <c r="Q550" i="12"/>
  <c r="G541" i="15" s="1"/>
  <c r="Q214" i="12"/>
  <c r="G205" i="15" s="1"/>
  <c r="Q382" i="12"/>
  <c r="G373" i="15" s="1"/>
  <c r="Q544" i="12"/>
  <c r="G535" i="15" s="1"/>
  <c r="Q376" i="12"/>
  <c r="G367" i="15" s="1"/>
  <c r="Q208" i="12"/>
  <c r="G199" i="15" s="1"/>
  <c r="O549" i="12"/>
  <c r="E540" i="15" s="1"/>
  <c r="O213" i="12"/>
  <c r="E204" i="15" s="1"/>
  <c r="O381" i="12"/>
  <c r="E372" i="15" s="1"/>
  <c r="P613" i="12"/>
  <c r="F604" i="15" s="1"/>
  <c r="P277" i="12"/>
  <c r="F268" i="15" s="1"/>
  <c r="P445" i="12"/>
  <c r="F436" i="15" s="1"/>
  <c r="Q661" i="12"/>
  <c r="G652" i="15" s="1"/>
  <c r="Q493" i="12"/>
  <c r="G484" i="15" s="1"/>
  <c r="Q325" i="12"/>
  <c r="G316" i="15" s="1"/>
  <c r="O543" i="12"/>
  <c r="E534" i="15" s="1"/>
  <c r="O375" i="12"/>
  <c r="E366" i="15" s="1"/>
  <c r="O207" i="12"/>
  <c r="E198" i="15" s="1"/>
  <c r="Q561" i="12"/>
  <c r="G552" i="15" s="1"/>
  <c r="Q393" i="12"/>
  <c r="G384" i="15" s="1"/>
  <c r="Q225" i="12"/>
  <c r="G216" i="15" s="1"/>
  <c r="Q565" i="12"/>
  <c r="G556" i="15" s="1"/>
  <c r="Q397" i="12"/>
  <c r="G388" i="15" s="1"/>
  <c r="Q229" i="12"/>
  <c r="G220" i="15" s="1"/>
  <c r="Q640" i="12"/>
  <c r="G631" i="15" s="1"/>
  <c r="Q472" i="12"/>
  <c r="G463" i="15" s="1"/>
  <c r="Q304" i="12"/>
  <c r="G295" i="15" s="1"/>
  <c r="Q667" i="12"/>
  <c r="G658" i="15" s="1"/>
  <c r="Q331" i="12"/>
  <c r="G322" i="15" s="1"/>
  <c r="Q499" i="12"/>
  <c r="G490" i="15" s="1"/>
  <c r="O550" i="12"/>
  <c r="E541" i="15" s="1"/>
  <c r="O382" i="12"/>
  <c r="E373" i="15" s="1"/>
  <c r="O214" i="12"/>
  <c r="E205" i="15" s="1"/>
  <c r="P682" i="12"/>
  <c r="F673" i="15" s="1"/>
  <c r="P346" i="12"/>
  <c r="F337" i="15" s="1"/>
  <c r="P514" i="12"/>
  <c r="F505" i="15" s="1"/>
  <c r="P566" i="12"/>
  <c r="F557" i="15" s="1"/>
  <c r="P398" i="12"/>
  <c r="F389" i="15" s="1"/>
  <c r="P230" i="12"/>
  <c r="F221" i="15" s="1"/>
  <c r="Q481" i="12"/>
  <c r="G472" i="15" s="1"/>
  <c r="Q649" i="12"/>
  <c r="G640" i="15" s="1"/>
  <c r="Q313" i="12"/>
  <c r="G304" i="15" s="1"/>
  <c r="O661" i="12"/>
  <c r="E652" i="15" s="1"/>
  <c r="O325" i="12"/>
  <c r="E316" i="15" s="1"/>
  <c r="O493" i="12"/>
  <c r="E484" i="15" s="1"/>
  <c r="O574" i="12"/>
  <c r="E565" i="15" s="1"/>
  <c r="O406" i="12"/>
  <c r="E397" i="15" s="1"/>
  <c r="O238" i="12"/>
  <c r="E229" i="15" s="1"/>
  <c r="O585" i="12"/>
  <c r="E576" i="15" s="1"/>
  <c r="O417" i="12"/>
  <c r="E408" i="15" s="1"/>
  <c r="O249" i="12"/>
  <c r="E240" i="15" s="1"/>
  <c r="O552" i="12"/>
  <c r="E543" i="15" s="1"/>
  <c r="O384" i="12"/>
  <c r="E375" i="15" s="1"/>
  <c r="O216" i="12"/>
  <c r="E207" i="15" s="1"/>
  <c r="O471" i="12"/>
  <c r="E462" i="15" s="1"/>
  <c r="O639" i="12"/>
  <c r="E630" i="15" s="1"/>
  <c r="O303" i="12"/>
  <c r="E294" i="15" s="1"/>
  <c r="P663" i="12"/>
  <c r="F654" i="15" s="1"/>
  <c r="P495" i="12"/>
  <c r="F486" i="15" s="1"/>
  <c r="P327" i="12"/>
  <c r="F318" i="15" s="1"/>
  <c r="P586" i="12"/>
  <c r="F577" i="15" s="1"/>
  <c r="P418" i="12"/>
  <c r="F409" i="15" s="1"/>
  <c r="Q657" i="12"/>
  <c r="G648" i="15" s="1"/>
  <c r="Q321" i="12"/>
  <c r="G312" i="15" s="1"/>
  <c r="Q489" i="12"/>
  <c r="G480" i="15" s="1"/>
  <c r="O649" i="12"/>
  <c r="E640" i="15" s="1"/>
  <c r="O481" i="12"/>
  <c r="E472" i="15" s="1"/>
  <c r="O313" i="12"/>
  <c r="E304" i="15" s="1"/>
  <c r="P549" i="12"/>
  <c r="F540" i="15" s="1"/>
  <c r="P213" i="12"/>
  <c r="F204" i="15" s="1"/>
  <c r="P381" i="12"/>
  <c r="F372" i="15" s="1"/>
  <c r="O547" i="12"/>
  <c r="E538" i="15" s="1"/>
  <c r="O379" i="12"/>
  <c r="E370" i="15" s="1"/>
  <c r="O211" i="12"/>
  <c r="E202" i="15" s="1"/>
  <c r="Q549" i="12"/>
  <c r="G540" i="15" s="1"/>
  <c r="Q381" i="12"/>
  <c r="G372" i="15" s="1"/>
  <c r="Q213" i="12"/>
  <c r="G204" i="15" s="1"/>
  <c r="O660" i="12"/>
  <c r="E651" i="15" s="1"/>
  <c r="O492" i="12"/>
  <c r="E483" i="15" s="1"/>
  <c r="O324" i="12"/>
  <c r="E315" i="15" s="1"/>
  <c r="O673" i="12"/>
  <c r="E664" i="15" s="1"/>
  <c r="O337" i="12"/>
  <c r="E328" i="15" s="1"/>
  <c r="O505" i="12"/>
  <c r="E496" i="15" s="1"/>
  <c r="O566" i="12"/>
  <c r="E557" i="15" s="1"/>
  <c r="O398" i="12"/>
  <c r="E389" i="15" s="1"/>
  <c r="O230" i="12"/>
  <c r="E221" i="15" s="1"/>
  <c r="O638" i="12"/>
  <c r="E629" i="15" s="1"/>
  <c r="O302" i="12"/>
  <c r="E293" i="15" s="1"/>
  <c r="O470" i="12"/>
  <c r="E461" i="15" s="1"/>
  <c r="Q668" i="12"/>
  <c r="G659" i="15" s="1"/>
  <c r="Q500" i="12"/>
  <c r="G491" i="15" s="1"/>
  <c r="Q332" i="12"/>
  <c r="G323" i="15" s="1"/>
  <c r="P565" i="12"/>
  <c r="F556" i="15" s="1"/>
  <c r="P229" i="12"/>
  <c r="F220" i="15" s="1"/>
  <c r="P397" i="12"/>
  <c r="F388" i="15" s="1"/>
  <c r="P670" i="12"/>
  <c r="F661" i="15" s="1"/>
  <c r="P334" i="12"/>
  <c r="F325" i="15" s="1"/>
  <c r="P502" i="12"/>
  <c r="F493" i="15" s="1"/>
  <c r="Q616" i="12"/>
  <c r="G607" i="15" s="1"/>
  <c r="Q448" i="12"/>
  <c r="G439" i="15" s="1"/>
  <c r="Q280" i="12"/>
  <c r="G271" i="15" s="1"/>
  <c r="P302" i="12"/>
  <c r="F293" i="15" s="1"/>
  <c r="O446" i="12"/>
  <c r="E437" i="15" s="1"/>
  <c r="Q571" i="12"/>
  <c r="G562" i="15" s="1"/>
  <c r="Q403" i="12"/>
  <c r="G394" i="15" s="1"/>
  <c r="Q235" i="12"/>
  <c r="G226" i="15" s="1"/>
  <c r="P672" i="12"/>
  <c r="F663" i="15" s="1"/>
  <c r="P504" i="12"/>
  <c r="F495" i="15" s="1"/>
  <c r="P336" i="12"/>
  <c r="F327" i="15" s="1"/>
  <c r="Q396" i="12"/>
  <c r="G387" i="15" s="1"/>
  <c r="Q564" i="12"/>
  <c r="G555" i="15" s="1"/>
  <c r="Q228" i="12"/>
  <c r="G219" i="15" s="1"/>
  <c r="P407" i="12"/>
  <c r="F398" i="15" s="1"/>
  <c r="P575" i="12"/>
  <c r="F566" i="15" s="1"/>
  <c r="P239" i="12"/>
  <c r="F230" i="15" s="1"/>
  <c r="O326" i="12"/>
  <c r="E317" i="15" s="1"/>
  <c r="P517" i="12"/>
  <c r="F508" i="15" s="1"/>
  <c r="P181" i="12"/>
  <c r="F172" i="15" s="1"/>
  <c r="P349" i="12"/>
  <c r="F340" i="15" s="1"/>
  <c r="Q523" i="12"/>
  <c r="G514" i="15" s="1"/>
  <c r="Q355" i="12"/>
  <c r="G346" i="15" s="1"/>
  <c r="Q187" i="12"/>
  <c r="G178" i="15" s="1"/>
  <c r="Q517" i="12"/>
  <c r="G508" i="15" s="1"/>
  <c r="Q349" i="12"/>
  <c r="G340" i="15" s="1"/>
  <c r="Q181" i="12"/>
  <c r="G172" i="15" s="1"/>
  <c r="O525" i="12"/>
  <c r="E516" i="15" s="1"/>
  <c r="O357" i="12"/>
  <c r="E348" i="15" s="1"/>
  <c r="O189" i="12"/>
  <c r="E180" i="15" s="1"/>
  <c r="P523" i="12"/>
  <c r="F514" i="15" s="1"/>
  <c r="P355" i="12"/>
  <c r="F346" i="15" s="1"/>
  <c r="P187" i="12"/>
  <c r="F178" i="15" s="1"/>
  <c r="D564" i="12"/>
  <c r="C555" i="15" s="1"/>
  <c r="P112" i="12"/>
  <c r="F103" i="15" s="1"/>
  <c r="Q109" i="12"/>
  <c r="G100" i="15" s="1"/>
  <c r="P49" i="12"/>
  <c r="F40" i="15" s="1"/>
  <c r="Q134" i="12"/>
  <c r="G125" i="15" s="1"/>
  <c r="O140" i="12"/>
  <c r="E131" i="15" s="1"/>
  <c r="Q166" i="12"/>
  <c r="G157" i="15" s="1"/>
  <c r="P164" i="12"/>
  <c r="F155" i="15" s="1"/>
  <c r="O111" i="12"/>
  <c r="E102" i="15" s="1"/>
  <c r="P141" i="12"/>
  <c r="F132" i="15" s="1"/>
  <c r="Q168" i="12"/>
  <c r="G159" i="15" s="1"/>
  <c r="O130" i="12"/>
  <c r="E121" i="15" s="1"/>
  <c r="P57" i="12"/>
  <c r="F48" i="15" s="1"/>
  <c r="P70" i="12"/>
  <c r="F61" i="15" s="1"/>
  <c r="Q156" i="12"/>
  <c r="G147" i="15" s="1"/>
  <c r="P129" i="12"/>
  <c r="F120" i="15" s="1"/>
  <c r="P44" i="12"/>
  <c r="F35" i="15" s="1"/>
  <c r="P72" i="12"/>
  <c r="F63" i="15" s="1"/>
  <c r="P657" i="12"/>
  <c r="F648" i="15" s="1"/>
  <c r="P489" i="12"/>
  <c r="F480" i="15" s="1"/>
  <c r="P321" i="12"/>
  <c r="F312" i="15" s="1"/>
  <c r="O565" i="12"/>
  <c r="E556" i="15" s="1"/>
  <c r="O397" i="12"/>
  <c r="E388" i="15" s="1"/>
  <c r="O229" i="12"/>
  <c r="E220" i="15" s="1"/>
  <c r="O577" i="12"/>
  <c r="E568" i="15" s="1"/>
  <c r="P572" i="12"/>
  <c r="F563" i="15" s="1"/>
  <c r="P404" i="12"/>
  <c r="F395" i="15" s="1"/>
  <c r="P236" i="12"/>
  <c r="F227" i="15" s="1"/>
  <c r="P144" i="12"/>
  <c r="F135" i="15" s="1"/>
  <c r="O129" i="12"/>
  <c r="E120" i="15" s="1"/>
  <c r="P501" i="12"/>
  <c r="F492" i="15" s="1"/>
  <c r="P669" i="12"/>
  <c r="F660" i="15" s="1"/>
  <c r="P333" i="12"/>
  <c r="F324" i="15" s="1"/>
  <c r="Q636" i="12"/>
  <c r="G627" i="15" s="1"/>
  <c r="Q63" i="12"/>
  <c r="G54" i="15" s="1"/>
  <c r="P550" i="12"/>
  <c r="F541" i="15" s="1"/>
  <c r="P382" i="12"/>
  <c r="F373" i="15" s="1"/>
  <c r="P214" i="12"/>
  <c r="F205" i="15" s="1"/>
  <c r="P658" i="12"/>
  <c r="F649" i="15" s="1"/>
  <c r="P490" i="12"/>
  <c r="F481" i="15" s="1"/>
  <c r="P322" i="12"/>
  <c r="F313" i="15" s="1"/>
  <c r="O399" i="12"/>
  <c r="E390" i="15" s="1"/>
  <c r="O231" i="12"/>
  <c r="E222" i="15" s="1"/>
  <c r="O575" i="12"/>
  <c r="E566" i="15" s="1"/>
  <c r="O407" i="12"/>
  <c r="E398" i="15" s="1"/>
  <c r="O239" i="12"/>
  <c r="E230" i="15" s="1"/>
  <c r="O551" i="12"/>
  <c r="E542" i="15" s="1"/>
  <c r="O383" i="12"/>
  <c r="E374" i="15" s="1"/>
  <c r="O215" i="12"/>
  <c r="E206" i="15" s="1"/>
  <c r="Q573" i="12"/>
  <c r="G564" i="15" s="1"/>
  <c r="Q405" i="12"/>
  <c r="G396" i="15" s="1"/>
  <c r="O647" i="12"/>
  <c r="E638" i="15" s="1"/>
  <c r="O311" i="12"/>
  <c r="E302" i="15" s="1"/>
  <c r="O479" i="12"/>
  <c r="E470" i="15" s="1"/>
  <c r="P447" i="12"/>
  <c r="F438" i="15" s="1"/>
  <c r="P615" i="12"/>
  <c r="F606" i="15" s="1"/>
  <c r="P279" i="12"/>
  <c r="F270" i="15" s="1"/>
  <c r="P493" i="12"/>
  <c r="F484" i="15" s="1"/>
  <c r="P552" i="12"/>
  <c r="F543" i="15" s="1"/>
  <c r="P384" i="12"/>
  <c r="F375" i="15" s="1"/>
  <c r="P216" i="12"/>
  <c r="F207" i="15" s="1"/>
  <c r="Q577" i="12"/>
  <c r="G568" i="15" s="1"/>
  <c r="Q409" i="12"/>
  <c r="G400" i="15" s="1"/>
  <c r="Q241" i="12"/>
  <c r="G232" i="15" s="1"/>
  <c r="Q566" i="12"/>
  <c r="G557" i="15" s="1"/>
  <c r="Q398" i="12"/>
  <c r="G389" i="15" s="1"/>
  <c r="O136" i="12"/>
  <c r="E127" i="15" s="1"/>
  <c r="O168" i="12"/>
  <c r="E159" i="15" s="1"/>
  <c r="O163" i="12"/>
  <c r="E154" i="15" s="1"/>
  <c r="Q520" i="12"/>
  <c r="G511" i="15" s="1"/>
  <c r="Q352" i="12"/>
  <c r="G343" i="15" s="1"/>
  <c r="Q184" i="12"/>
  <c r="G175" i="15" s="1"/>
  <c r="O529" i="12"/>
  <c r="E520" i="15" s="1"/>
  <c r="O361" i="12"/>
  <c r="E352" i="15" s="1"/>
  <c r="O193" i="12"/>
  <c r="E184" i="15" s="1"/>
  <c r="Q586" i="12"/>
  <c r="G577" i="15" s="1"/>
  <c r="Q250" i="12"/>
  <c r="G241" i="15" s="1"/>
  <c r="Q418" i="12"/>
  <c r="G409" i="15" s="1"/>
  <c r="Q682" i="12"/>
  <c r="G673" i="15" s="1"/>
  <c r="Q514" i="12"/>
  <c r="G505" i="15" s="1"/>
  <c r="Q346" i="12"/>
  <c r="G337" i="15" s="1"/>
  <c r="O528" i="12"/>
  <c r="E519" i="15" s="1"/>
  <c r="O192" i="12"/>
  <c r="E183" i="15" s="1"/>
  <c r="O360" i="12"/>
  <c r="E351" i="15" s="1"/>
  <c r="O517" i="12"/>
  <c r="E508" i="15" s="1"/>
  <c r="O181" i="12"/>
  <c r="E172" i="15" s="1"/>
  <c r="O349" i="12"/>
  <c r="E340" i="15" s="1"/>
  <c r="H588" i="12"/>
  <c r="H252" i="12"/>
  <c r="H231" i="12"/>
  <c r="H567" i="12"/>
  <c r="H232" i="12"/>
  <c r="H568" i="12"/>
  <c r="E470" i="12"/>
  <c r="D461" i="15" s="1"/>
  <c r="E302" i="12"/>
  <c r="D293" i="15" s="1"/>
  <c r="C308" i="12"/>
  <c r="B299" i="15" s="1"/>
  <c r="C476" i="12"/>
  <c r="B467" i="15" s="1"/>
  <c r="D332" i="12"/>
  <c r="C323" i="15" s="1"/>
  <c r="D500" i="12"/>
  <c r="C491" i="15" s="1"/>
  <c r="C279" i="12"/>
  <c r="B270" i="15" s="1"/>
  <c r="C615" i="12"/>
  <c r="B606" i="15" s="1"/>
  <c r="D393" i="12"/>
  <c r="C384" i="15" s="1"/>
  <c r="D561" i="12"/>
  <c r="C552" i="15" s="1"/>
  <c r="D576" i="12"/>
  <c r="C567" i="15" s="1"/>
  <c r="D408" i="12"/>
  <c r="C399" i="15" s="1"/>
  <c r="G661" i="12"/>
  <c r="G493" i="12"/>
  <c r="D480" i="12"/>
  <c r="C471" i="15" s="1"/>
  <c r="D312" i="12"/>
  <c r="C303" i="15" s="1"/>
  <c r="D501" i="12"/>
  <c r="C492" i="15" s="1"/>
  <c r="D333" i="12"/>
  <c r="C324" i="15" s="1"/>
  <c r="E300" i="12"/>
  <c r="D291" i="15" s="1"/>
  <c r="E636" i="12"/>
  <c r="D627" i="15" s="1"/>
  <c r="E468" i="12"/>
  <c r="D459" i="15" s="1"/>
  <c r="E312" i="12"/>
  <c r="D303" i="15" s="1"/>
  <c r="E480" i="12"/>
  <c r="D471" i="15" s="1"/>
  <c r="C231" i="12"/>
  <c r="B222" i="15" s="1"/>
  <c r="C399" i="12"/>
  <c r="B390" i="15" s="1"/>
  <c r="C236" i="12"/>
  <c r="B227" i="15" s="1"/>
  <c r="C404" i="12"/>
  <c r="B395" i="15" s="1"/>
  <c r="C239" i="12"/>
  <c r="B230" i="15" s="1"/>
  <c r="C575" i="12"/>
  <c r="B566" i="15" s="1"/>
  <c r="C407" i="12"/>
  <c r="B398" i="15" s="1"/>
  <c r="C311" i="12"/>
  <c r="B302" i="15" s="1"/>
  <c r="C647" i="12"/>
  <c r="B638" i="15" s="1"/>
  <c r="D279" i="12"/>
  <c r="C270" i="15" s="1"/>
  <c r="D447" i="12"/>
  <c r="C438" i="15" s="1"/>
  <c r="C336" i="12"/>
  <c r="B327" i="15" s="1"/>
  <c r="C504" i="12"/>
  <c r="B495" i="15" s="1"/>
  <c r="C644" i="12"/>
  <c r="B635" i="15" s="1"/>
  <c r="C397" i="12"/>
  <c r="B388" i="15" s="1"/>
  <c r="H250" i="12"/>
  <c r="G616" i="12"/>
  <c r="G566" i="12"/>
  <c r="H228" i="12"/>
  <c r="H465" i="12"/>
  <c r="G350" i="12"/>
  <c r="E672" i="12"/>
  <c r="D663" i="15" s="1"/>
  <c r="E231" i="12"/>
  <c r="D222" i="15" s="1"/>
  <c r="E230" i="12"/>
  <c r="D221" i="15" s="1"/>
  <c r="D238" i="12"/>
  <c r="C229" i="15" s="1"/>
  <c r="E648" i="12"/>
  <c r="D639" i="15" s="1"/>
  <c r="D669" i="12"/>
  <c r="C660" i="15" s="1"/>
  <c r="D300" i="12"/>
  <c r="C291" i="15" s="1"/>
  <c r="D225" i="12"/>
  <c r="C216" i="15" s="1"/>
  <c r="D380" i="12"/>
  <c r="C371" i="15" s="1"/>
  <c r="G496" i="12"/>
  <c r="G328" i="12"/>
  <c r="H229" i="12"/>
  <c r="H565" i="12"/>
  <c r="G571" i="12"/>
  <c r="G235" i="12"/>
  <c r="H500" i="12"/>
  <c r="H668" i="12"/>
  <c r="G466" i="12"/>
  <c r="G298" i="12"/>
  <c r="D662" i="12"/>
  <c r="C653" i="15" s="1"/>
  <c r="D326" i="12"/>
  <c r="C317" i="15" s="1"/>
  <c r="E669" i="12"/>
  <c r="D660" i="15" s="1"/>
  <c r="E501" i="12"/>
  <c r="D492" i="15" s="1"/>
  <c r="C572" i="12"/>
  <c r="B563" i="15" s="1"/>
  <c r="C472" i="12"/>
  <c r="B463" i="15" s="1"/>
  <c r="C672" i="12"/>
  <c r="B663" i="15" s="1"/>
  <c r="C499" i="12"/>
  <c r="B490" i="15" s="1"/>
  <c r="C479" i="12"/>
  <c r="B470" i="15" s="1"/>
  <c r="C565" i="12"/>
  <c r="B556" i="15" s="1"/>
  <c r="G379" i="12"/>
  <c r="G634" i="12"/>
  <c r="H208" i="12"/>
  <c r="G577" i="12"/>
  <c r="G393" i="12"/>
  <c r="F544" i="12"/>
  <c r="G538" i="12"/>
  <c r="G591" i="12"/>
  <c r="H682" i="12"/>
  <c r="H480" i="12"/>
  <c r="E206" i="12"/>
  <c r="D197" i="15" s="1"/>
  <c r="E638" i="12"/>
  <c r="D629" i="15" s="1"/>
  <c r="E399" i="12"/>
  <c r="D390" i="15" s="1"/>
  <c r="D574" i="12"/>
  <c r="C565" i="15" s="1"/>
  <c r="E660" i="12"/>
  <c r="D651" i="15" s="1"/>
  <c r="E475" i="12"/>
  <c r="D466" i="15" s="1"/>
  <c r="D276" i="12"/>
  <c r="C267" i="15" s="1"/>
  <c r="D648" i="12"/>
  <c r="C639" i="15" s="1"/>
  <c r="D636" i="12"/>
  <c r="C627" i="15" s="1"/>
  <c r="H276" i="12"/>
  <c r="H444" i="12"/>
  <c r="D548" i="12"/>
  <c r="C539" i="15" s="1"/>
  <c r="D240" i="12"/>
  <c r="C231" i="15" s="1"/>
  <c r="D214" i="12"/>
  <c r="C205" i="15" s="1"/>
  <c r="G352" i="12"/>
  <c r="G184" i="12"/>
  <c r="H667" i="12"/>
  <c r="H331" i="12"/>
  <c r="G658" i="12"/>
  <c r="G322" i="12"/>
  <c r="D448" i="12"/>
  <c r="C439" i="15" s="1"/>
  <c r="D616" i="12"/>
  <c r="C607" i="15" s="1"/>
  <c r="D385" i="12"/>
  <c r="C376" i="15" s="1"/>
  <c r="D217" i="12"/>
  <c r="C208" i="15" s="1"/>
  <c r="E681" i="12"/>
  <c r="D672" i="15" s="1"/>
  <c r="E345" i="12"/>
  <c r="D336" i="15" s="1"/>
  <c r="D477" i="12"/>
  <c r="C468" i="15" s="1"/>
  <c r="D645" i="12"/>
  <c r="C636" i="15" s="1"/>
  <c r="C298" i="12"/>
  <c r="B289" i="15" s="1"/>
  <c r="C466" i="12"/>
  <c r="B457" i="15" s="1"/>
  <c r="D236" i="12"/>
  <c r="C227" i="15" s="1"/>
  <c r="D404" i="12"/>
  <c r="C395" i="15" s="1"/>
  <c r="C297" i="12"/>
  <c r="B288" i="15" s="1"/>
  <c r="C465" i="12"/>
  <c r="B456" i="15" s="1"/>
  <c r="D658" i="12"/>
  <c r="C649" i="15" s="1"/>
  <c r="D490" i="12"/>
  <c r="C481" i="15" s="1"/>
  <c r="D331" i="12"/>
  <c r="C322" i="15" s="1"/>
  <c r="D667" i="12"/>
  <c r="C658" i="15" s="1"/>
  <c r="D325" i="12"/>
  <c r="C316" i="15" s="1"/>
  <c r="D493" i="12"/>
  <c r="C484" i="15" s="1"/>
  <c r="G408" i="12"/>
  <c r="G240" i="12"/>
  <c r="H499" i="12"/>
  <c r="G192" i="12"/>
  <c r="G238" i="12"/>
  <c r="D668" i="12"/>
  <c r="C659" i="15" s="1"/>
  <c r="H591" i="12"/>
  <c r="H255" i="12"/>
  <c r="G324" i="12"/>
  <c r="G660" i="12"/>
  <c r="H549" i="12"/>
  <c r="H381" i="12"/>
  <c r="G308" i="12"/>
  <c r="G644" i="12"/>
  <c r="G612" i="12"/>
  <c r="G276" i="12"/>
  <c r="E615" i="12"/>
  <c r="D606" i="15" s="1"/>
  <c r="E447" i="12"/>
  <c r="D438" i="15" s="1"/>
  <c r="E568" i="12"/>
  <c r="D559" i="15" s="1"/>
  <c r="E400" i="12"/>
  <c r="D391" i="15" s="1"/>
  <c r="C301" i="12"/>
  <c r="B292" i="15" s="1"/>
  <c r="C637" i="12"/>
  <c r="B628" i="15" s="1"/>
  <c r="E375" i="12"/>
  <c r="D366" i="15" s="1"/>
  <c r="E207" i="12"/>
  <c r="D198" i="15" s="1"/>
  <c r="D513" i="12"/>
  <c r="C504" i="15" s="1"/>
  <c r="D681" i="12"/>
  <c r="C672" i="15" s="1"/>
  <c r="E662" i="12"/>
  <c r="D653" i="15" s="1"/>
  <c r="E494" i="12"/>
  <c r="D485" i="15" s="1"/>
  <c r="E326" i="12"/>
  <c r="D317" i="15" s="1"/>
  <c r="D551" i="12"/>
  <c r="C542" i="15" s="1"/>
  <c r="D383" i="12"/>
  <c r="C374" i="15" s="1"/>
  <c r="E647" i="12"/>
  <c r="D638" i="15" s="1"/>
  <c r="E479" i="12"/>
  <c r="D470" i="15" s="1"/>
  <c r="E311" i="12"/>
  <c r="D302" i="15" s="1"/>
  <c r="G670" i="12"/>
  <c r="G502" i="12"/>
  <c r="G647" i="12"/>
  <c r="G311" i="12"/>
  <c r="E476" i="12"/>
  <c r="D467" i="15" s="1"/>
  <c r="E308" i="12"/>
  <c r="D299" i="15" s="1"/>
  <c r="D211" i="12"/>
  <c r="C202" i="15" s="1"/>
  <c r="D379" i="12"/>
  <c r="C370" i="15" s="1"/>
  <c r="E240" i="12"/>
  <c r="D231" i="15" s="1"/>
  <c r="E408" i="12"/>
  <c r="D399" i="15" s="1"/>
  <c r="E576" i="12"/>
  <c r="D567" i="15" s="1"/>
  <c r="D400" i="12"/>
  <c r="C391" i="15" s="1"/>
  <c r="D568" i="12"/>
  <c r="C559" i="15" s="1"/>
  <c r="E310" i="12"/>
  <c r="D301" i="15" s="1"/>
  <c r="E646" i="12"/>
  <c r="D637" i="15" s="1"/>
  <c r="E478" i="12"/>
  <c r="D469" i="15" s="1"/>
  <c r="E477" i="12"/>
  <c r="D468" i="15" s="1"/>
  <c r="E309" i="12"/>
  <c r="D300" i="15" s="1"/>
  <c r="F304" i="12"/>
  <c r="F472" i="12"/>
  <c r="E496" i="12"/>
  <c r="D487" i="15" s="1"/>
  <c r="E664" i="12"/>
  <c r="D655" i="15" s="1"/>
  <c r="E673" i="12"/>
  <c r="D664" i="15" s="1"/>
  <c r="E505" i="12"/>
  <c r="D496" i="15" s="1"/>
  <c r="E495" i="12"/>
  <c r="D486" i="15" s="1"/>
  <c r="E327" i="12"/>
  <c r="D318" i="15" s="1"/>
  <c r="C204" i="12"/>
  <c r="B195" i="15" s="1"/>
  <c r="C540" i="12"/>
  <c r="B531" i="15" s="1"/>
  <c r="E249" i="12"/>
  <c r="D240" i="15" s="1"/>
  <c r="E585" i="12"/>
  <c r="D576" i="15" s="1"/>
  <c r="D544" i="12"/>
  <c r="C535" i="15" s="1"/>
  <c r="D376" i="12"/>
  <c r="C367" i="15" s="1"/>
  <c r="C208" i="12"/>
  <c r="B199" i="15" s="1"/>
  <c r="C544" i="12"/>
  <c r="B535" i="15" s="1"/>
  <c r="D301" i="12"/>
  <c r="C292" i="15" s="1"/>
  <c r="D637" i="12"/>
  <c r="C628" i="15" s="1"/>
  <c r="C345" i="12"/>
  <c r="B336" i="15" s="1"/>
  <c r="C681" i="12"/>
  <c r="B672" i="15" s="1"/>
  <c r="C250" i="12"/>
  <c r="B241" i="15" s="1"/>
  <c r="C418" i="12"/>
  <c r="B409" i="15" s="1"/>
  <c r="H472" i="12"/>
  <c r="H304" i="12"/>
  <c r="H361" i="12"/>
  <c r="H193" i="12"/>
  <c r="E550" i="12"/>
  <c r="D541" i="15" s="1"/>
  <c r="E214" i="12"/>
  <c r="D205" i="15" s="1"/>
  <c r="E472" i="12"/>
  <c r="D463" i="15" s="1"/>
  <c r="E640" i="12"/>
  <c r="D631" i="15" s="1"/>
  <c r="E313" i="12"/>
  <c r="D304" i="15" s="1"/>
  <c r="E481" i="12"/>
  <c r="D472" i="15" s="1"/>
  <c r="H469" i="12"/>
  <c r="H301" i="12"/>
  <c r="G649" i="12"/>
  <c r="G481" i="12"/>
  <c r="E668" i="12"/>
  <c r="D659" i="15" s="1"/>
  <c r="E500" i="12"/>
  <c r="D491" i="15" s="1"/>
  <c r="G335" i="12"/>
  <c r="G671" i="12"/>
  <c r="C446" i="12"/>
  <c r="B437" i="15" s="1"/>
  <c r="C494" i="12"/>
  <c r="B485" i="15" s="1"/>
  <c r="C657" i="12"/>
  <c r="B648" i="15" s="1"/>
  <c r="C649" i="12"/>
  <c r="B640" i="15" s="1"/>
  <c r="C547" i="12"/>
  <c r="B538" i="15" s="1"/>
  <c r="C661" i="12"/>
  <c r="B652" i="15" s="1"/>
  <c r="C585" i="12"/>
  <c r="B576" i="15" s="1"/>
  <c r="C550" i="12"/>
  <c r="B541" i="15" s="1"/>
  <c r="C398" i="12"/>
  <c r="B389" i="15" s="1"/>
  <c r="C660" i="12"/>
  <c r="B651" i="15" s="1"/>
  <c r="G562" i="12"/>
  <c r="G321" i="12"/>
  <c r="G589" i="12"/>
  <c r="G565" i="12"/>
  <c r="G313" i="12"/>
  <c r="H645" i="12"/>
  <c r="G191" i="12"/>
  <c r="G503" i="12"/>
  <c r="G375" i="12"/>
  <c r="H503" i="12"/>
  <c r="H375" i="12"/>
  <c r="G472" i="12"/>
  <c r="H634" i="12"/>
  <c r="D418" i="12"/>
  <c r="C409" i="15" s="1"/>
  <c r="D372" i="12"/>
  <c r="C363" i="15" s="1"/>
  <c r="D308" i="12"/>
  <c r="C299" i="15" s="1"/>
  <c r="D549" i="12"/>
  <c r="C540" i="15" s="1"/>
  <c r="D575" i="12"/>
  <c r="C566" i="15" s="1"/>
  <c r="D663" i="12"/>
  <c r="C654" i="15" s="1"/>
  <c r="D397" i="12"/>
  <c r="C388" i="15" s="1"/>
  <c r="E657" i="12"/>
  <c r="D648" i="15" s="1"/>
  <c r="E229" i="12"/>
  <c r="D220" i="15" s="1"/>
  <c r="E403" i="12"/>
  <c r="D394" i="15" s="1"/>
  <c r="D446" i="12"/>
  <c r="C437" i="15" s="1"/>
  <c r="E515" i="12"/>
  <c r="D506" i="15" s="1"/>
  <c r="E332" i="12"/>
  <c r="D323" i="15" s="1"/>
  <c r="E216" i="12"/>
  <c r="D207" i="15" s="1"/>
  <c r="E280" i="12"/>
  <c r="D271" i="15" s="1"/>
  <c r="E236" i="12"/>
  <c r="D227" i="15" s="1"/>
  <c r="D566" i="12"/>
  <c r="C557" i="15" s="1"/>
  <c r="E649" i="12"/>
  <c r="D640" i="15" s="1"/>
  <c r="E574" i="12"/>
  <c r="D565" i="15" s="1"/>
  <c r="E225" i="12"/>
  <c r="D216" i="15" s="1"/>
  <c r="D302" i="12"/>
  <c r="C293" i="15" s="1"/>
  <c r="D504" i="12"/>
  <c r="C495" i="15" s="1"/>
  <c r="E549" i="12"/>
  <c r="D540" i="15" s="1"/>
  <c r="C614" i="12"/>
  <c r="B605" i="15" s="1"/>
  <c r="C662" i="12"/>
  <c r="B653" i="15" s="1"/>
  <c r="C375" i="12"/>
  <c r="B366" i="15" s="1"/>
  <c r="C406" i="12"/>
  <c r="B397" i="15" s="1"/>
  <c r="C566" i="12"/>
  <c r="B557" i="15" s="1"/>
  <c r="C492" i="12"/>
  <c r="B483" i="15" s="1"/>
  <c r="H493" i="12"/>
  <c r="G394" i="12"/>
  <c r="G551" i="12"/>
  <c r="H609" i="12"/>
  <c r="G397" i="12"/>
  <c r="G399" i="12"/>
  <c r="H589" i="12"/>
  <c r="H637" i="12"/>
  <c r="H638" i="12"/>
  <c r="H335" i="12"/>
  <c r="H207" i="12"/>
  <c r="G304" i="12"/>
  <c r="H466" i="12"/>
  <c r="D445" i="12"/>
  <c r="C436" i="15" s="1"/>
  <c r="D334" i="12"/>
  <c r="C325" i="15" s="1"/>
  <c r="D476" i="12"/>
  <c r="C467" i="15" s="1"/>
  <c r="E564" i="12"/>
  <c r="D555" i="15" s="1"/>
  <c r="D229" i="12"/>
  <c r="C220" i="15" s="1"/>
  <c r="E397" i="12"/>
  <c r="D388" i="15" s="1"/>
  <c r="E304" i="12"/>
  <c r="D295" i="15" s="1"/>
  <c r="E331" i="12"/>
  <c r="D322" i="15" s="1"/>
  <c r="E382" i="12"/>
  <c r="D373" i="15" s="1"/>
  <c r="E208" i="12"/>
  <c r="D199" i="15" s="1"/>
  <c r="E552" i="12"/>
  <c r="D543" i="15" s="1"/>
  <c r="E448" i="12"/>
  <c r="D439" i="15" s="1"/>
  <c r="E572" i="12"/>
  <c r="D563" i="15" s="1"/>
  <c r="E239" i="12"/>
  <c r="D230" i="15" s="1"/>
  <c r="E325" i="12"/>
  <c r="D316" i="15" s="1"/>
  <c r="E393" i="12"/>
  <c r="D384" i="15" s="1"/>
  <c r="D470" i="12"/>
  <c r="C461" i="15" s="1"/>
  <c r="C478" i="12"/>
  <c r="B469" i="15" s="1"/>
  <c r="C505" i="12"/>
  <c r="B496" i="15" s="1"/>
  <c r="C543" i="12"/>
  <c r="B534" i="15" s="1"/>
  <c r="C574" i="12"/>
  <c r="B565" i="15" s="1"/>
  <c r="C381" i="12"/>
  <c r="B372" i="15" s="1"/>
  <c r="G525" i="12"/>
  <c r="H187" i="12"/>
  <c r="H325" i="12"/>
  <c r="G400" i="12"/>
  <c r="H300" i="12"/>
  <c r="G383" i="12"/>
  <c r="H241" i="12"/>
  <c r="H441" i="12"/>
  <c r="G201" i="12"/>
  <c r="G231" i="12"/>
  <c r="G346" i="12"/>
  <c r="G373" i="12"/>
  <c r="H514" i="12"/>
  <c r="H312" i="12"/>
  <c r="M585" i="12"/>
  <c r="M417" i="12"/>
  <c r="M249" i="12"/>
  <c r="M643" i="12"/>
  <c r="M475" i="12"/>
  <c r="M307" i="12"/>
  <c r="M640" i="12"/>
  <c r="M304" i="12"/>
  <c r="M472" i="12"/>
  <c r="N671" i="12"/>
  <c r="N503" i="12"/>
  <c r="N335" i="12"/>
  <c r="L643" i="12"/>
  <c r="L307" i="12"/>
  <c r="L475" i="12"/>
  <c r="N634" i="12"/>
  <c r="N466" i="12"/>
  <c r="N298" i="12"/>
  <c r="M573" i="12"/>
  <c r="M405" i="12"/>
  <c r="M237" i="12"/>
  <c r="L616" i="12"/>
  <c r="L448" i="12"/>
  <c r="L280" i="12"/>
  <c r="N548" i="12"/>
  <c r="N380" i="12"/>
  <c r="N212" i="12"/>
  <c r="L663" i="12"/>
  <c r="L495" i="12"/>
  <c r="L327" i="12"/>
  <c r="M409" i="12"/>
  <c r="M577" i="12"/>
  <c r="M241" i="12"/>
  <c r="L561" i="12"/>
  <c r="L393" i="12"/>
  <c r="L225" i="12"/>
  <c r="N446" i="12"/>
  <c r="N614" i="12"/>
  <c r="N278" i="12"/>
  <c r="L548" i="12"/>
  <c r="L380" i="12"/>
  <c r="L212" i="12"/>
  <c r="L541" i="12"/>
  <c r="L373" i="12"/>
  <c r="L205" i="12"/>
  <c r="L562" i="12"/>
  <c r="L394" i="12"/>
  <c r="L226" i="12"/>
  <c r="L613" i="12"/>
  <c r="L445" i="12"/>
  <c r="L277" i="12"/>
  <c r="N547" i="12"/>
  <c r="N379" i="12"/>
  <c r="N211" i="12"/>
  <c r="M567" i="12"/>
  <c r="M399" i="12"/>
  <c r="M231" i="12"/>
  <c r="L576" i="12"/>
  <c r="L408" i="12"/>
  <c r="L240" i="12"/>
  <c r="M587" i="12"/>
  <c r="M419" i="12"/>
  <c r="M251" i="12"/>
  <c r="L573" i="12"/>
  <c r="L405" i="12"/>
  <c r="L237" i="12"/>
  <c r="M541" i="12"/>
  <c r="M373" i="12"/>
  <c r="M205" i="12"/>
  <c r="N297" i="12"/>
  <c r="N465" i="12"/>
  <c r="N633" i="12"/>
  <c r="N551" i="12"/>
  <c r="N383" i="12"/>
  <c r="N215" i="12"/>
  <c r="M542" i="12"/>
  <c r="M374" i="12"/>
  <c r="M206" i="12"/>
  <c r="N540" i="12"/>
  <c r="N372" i="12"/>
  <c r="N204" i="12"/>
  <c r="M647" i="12"/>
  <c r="M479" i="12"/>
  <c r="M311" i="12"/>
  <c r="M543" i="12"/>
  <c r="M375" i="12"/>
  <c r="M207" i="12"/>
  <c r="N637" i="12"/>
  <c r="N301" i="12"/>
  <c r="N469" i="12"/>
  <c r="L542" i="12"/>
  <c r="L374" i="12"/>
  <c r="L206" i="12"/>
  <c r="N587" i="12"/>
  <c r="N419" i="12"/>
  <c r="N251" i="12"/>
  <c r="L645" i="12"/>
  <c r="L477" i="12"/>
  <c r="L309" i="12"/>
  <c r="M664" i="12"/>
  <c r="M496" i="12"/>
  <c r="M328" i="12"/>
  <c r="L612" i="12"/>
  <c r="L444" i="12"/>
  <c r="L276" i="12"/>
  <c r="M324" i="12"/>
  <c r="M660" i="12"/>
  <c r="M492" i="12"/>
  <c r="M571" i="12"/>
  <c r="M403" i="12"/>
  <c r="M235" i="12"/>
  <c r="M639" i="12"/>
  <c r="M471" i="12"/>
  <c r="M303" i="12"/>
  <c r="M649" i="12"/>
  <c r="M481" i="12"/>
  <c r="M313" i="12"/>
  <c r="L648" i="12"/>
  <c r="L480" i="12"/>
  <c r="L312" i="12"/>
  <c r="N639" i="12"/>
  <c r="N471" i="12"/>
  <c r="N303" i="12"/>
  <c r="L670" i="12"/>
  <c r="L502" i="12"/>
  <c r="L334" i="12"/>
  <c r="L501" i="12"/>
  <c r="L333" i="12"/>
  <c r="L669" i="12"/>
  <c r="H524" i="12"/>
  <c r="H586" i="12"/>
  <c r="G681" i="12"/>
  <c r="H399" i="12"/>
  <c r="H400" i="12"/>
  <c r="G448" i="12"/>
  <c r="H544" i="12"/>
  <c r="G398" i="12"/>
  <c r="G358" i="12"/>
  <c r="G333" i="12"/>
  <c r="G520" i="12"/>
  <c r="G492" i="12"/>
  <c r="G349" i="12"/>
  <c r="G205" i="12"/>
  <c r="H397" i="12"/>
  <c r="G548" i="12"/>
  <c r="G613" i="12"/>
  <c r="N574" i="12"/>
  <c r="N406" i="12"/>
  <c r="N238" i="12"/>
  <c r="L657" i="12"/>
  <c r="L489" i="12"/>
  <c r="L321" i="12"/>
  <c r="N552" i="12"/>
  <c r="N384" i="12"/>
  <c r="N216" i="12"/>
  <c r="M540" i="12"/>
  <c r="M372" i="12"/>
  <c r="M204" i="12"/>
  <c r="M308" i="12"/>
  <c r="M476" i="12"/>
  <c r="M644" i="12"/>
  <c r="L646" i="12"/>
  <c r="L478" i="12"/>
  <c r="L310" i="12"/>
  <c r="N407" i="12"/>
  <c r="N575" i="12"/>
  <c r="N239" i="12"/>
  <c r="M614" i="12"/>
  <c r="M278" i="12"/>
  <c r="M446" i="12"/>
  <c r="N382" i="12"/>
  <c r="N550" i="12"/>
  <c r="N214" i="12"/>
  <c r="N544" i="12"/>
  <c r="N376" i="12"/>
  <c r="N208" i="12"/>
  <c r="L549" i="12"/>
  <c r="L213" i="12"/>
  <c r="L381" i="12"/>
  <c r="M445" i="12"/>
  <c r="M613" i="12"/>
  <c r="M277" i="12"/>
  <c r="N661" i="12"/>
  <c r="N325" i="12"/>
  <c r="N493" i="12"/>
  <c r="L543" i="12"/>
  <c r="L375" i="12"/>
  <c r="L207" i="12"/>
  <c r="N561" i="12"/>
  <c r="N393" i="12"/>
  <c r="N225" i="12"/>
  <c r="N565" i="12"/>
  <c r="N229" i="12"/>
  <c r="N397" i="12"/>
  <c r="N640" i="12"/>
  <c r="N472" i="12"/>
  <c r="N304" i="12"/>
  <c r="N667" i="12"/>
  <c r="N331" i="12"/>
  <c r="N499" i="12"/>
  <c r="L550" i="12"/>
  <c r="L382" i="12"/>
  <c r="L214" i="12"/>
  <c r="M514" i="12"/>
  <c r="M682" i="12"/>
  <c r="M346" i="12"/>
  <c r="M566" i="12"/>
  <c r="M398" i="12"/>
  <c r="M230" i="12"/>
  <c r="N313" i="12"/>
  <c r="N649" i="12"/>
  <c r="N481" i="12"/>
  <c r="L661" i="12"/>
  <c r="L493" i="12"/>
  <c r="L325" i="12"/>
  <c r="L574" i="12"/>
  <c r="L406" i="12"/>
  <c r="L238" i="12"/>
  <c r="L585" i="12"/>
  <c r="L417" i="12"/>
  <c r="L249" i="12"/>
  <c r="L552" i="12"/>
  <c r="L384" i="12"/>
  <c r="L216" i="12"/>
  <c r="L303" i="12"/>
  <c r="L639" i="12"/>
  <c r="L471" i="12"/>
  <c r="M663" i="12"/>
  <c r="M495" i="12"/>
  <c r="M327" i="12"/>
  <c r="M418" i="12"/>
  <c r="M586" i="12"/>
  <c r="M250" i="12"/>
  <c r="N657" i="12"/>
  <c r="N489" i="12"/>
  <c r="N321" i="12"/>
  <c r="N572" i="12"/>
  <c r="N404" i="12"/>
  <c r="N236" i="12"/>
  <c r="L649" i="12"/>
  <c r="L481" i="12"/>
  <c r="L313" i="12"/>
  <c r="M381" i="12"/>
  <c r="M549" i="12"/>
  <c r="M213" i="12"/>
  <c r="L547" i="12"/>
  <c r="L379" i="12"/>
  <c r="L211" i="12"/>
  <c r="N549" i="12"/>
  <c r="N381" i="12"/>
  <c r="N213" i="12"/>
  <c r="L660" i="12"/>
  <c r="L492" i="12"/>
  <c r="L324" i="12"/>
  <c r="L673" i="12"/>
  <c r="L337" i="12"/>
  <c r="L505" i="12"/>
  <c r="L566" i="12"/>
  <c r="L398" i="12"/>
  <c r="L230" i="12"/>
  <c r="L638" i="12"/>
  <c r="L470" i="12"/>
  <c r="L302" i="12"/>
  <c r="N668" i="12"/>
  <c r="N500" i="12"/>
  <c r="N332" i="12"/>
  <c r="M565" i="12"/>
  <c r="M397" i="12"/>
  <c r="M229" i="12"/>
  <c r="M670" i="12"/>
  <c r="M334" i="12"/>
  <c r="M502" i="12"/>
  <c r="N616" i="12"/>
  <c r="N448" i="12"/>
  <c r="N280" i="12"/>
  <c r="M638" i="12"/>
  <c r="M470" i="12"/>
  <c r="M302" i="12"/>
  <c r="L614" i="12"/>
  <c r="L446" i="12"/>
  <c r="L278" i="12"/>
  <c r="N571" i="12"/>
  <c r="N235" i="12"/>
  <c r="N403" i="12"/>
  <c r="M672" i="12"/>
  <c r="M504" i="12"/>
  <c r="M336" i="12"/>
  <c r="N564" i="12"/>
  <c r="N228" i="12"/>
  <c r="N396" i="12"/>
  <c r="M575" i="12"/>
  <c r="M407" i="12"/>
  <c r="M239" i="12"/>
  <c r="L662" i="12"/>
  <c r="L326" i="12"/>
  <c r="L494" i="12"/>
  <c r="N515" i="12"/>
  <c r="N347" i="12"/>
  <c r="N179" i="12"/>
  <c r="G669" i="12"/>
  <c r="H352" i="12"/>
  <c r="H420" i="12"/>
  <c r="H423" i="12"/>
  <c r="H519" i="12"/>
  <c r="H422" i="12"/>
  <c r="G664" i="12"/>
  <c r="G212" i="12"/>
  <c r="G277" i="12"/>
  <c r="M616" i="12"/>
  <c r="M280" i="12"/>
  <c r="M448" i="12"/>
  <c r="N613" i="12"/>
  <c r="N277" i="12"/>
  <c r="N445" i="12"/>
  <c r="M553" i="12"/>
  <c r="M385" i="12"/>
  <c r="M217" i="12"/>
  <c r="N638" i="12"/>
  <c r="N470" i="12"/>
  <c r="N302" i="12"/>
  <c r="L644" i="12"/>
  <c r="L476" i="12"/>
  <c r="L308" i="12"/>
  <c r="N670" i="12"/>
  <c r="N502" i="12"/>
  <c r="N334" i="12"/>
  <c r="M668" i="12"/>
  <c r="M500" i="12"/>
  <c r="M332" i="12"/>
  <c r="N681" i="12"/>
  <c r="N513" i="12"/>
  <c r="N345" i="12"/>
  <c r="L615" i="12"/>
  <c r="L447" i="12"/>
  <c r="L279" i="12"/>
  <c r="M645" i="12"/>
  <c r="M477" i="12"/>
  <c r="M309" i="12"/>
  <c r="N672" i="12"/>
  <c r="N504" i="12"/>
  <c r="N336" i="12"/>
  <c r="L634" i="12"/>
  <c r="L466" i="12"/>
  <c r="L298" i="12"/>
  <c r="M393" i="12"/>
  <c r="M561" i="12"/>
  <c r="M225" i="12"/>
  <c r="M574" i="12"/>
  <c r="M406" i="12"/>
  <c r="M238" i="12"/>
  <c r="N660" i="12"/>
  <c r="N492" i="12"/>
  <c r="N324" i="12"/>
  <c r="M633" i="12"/>
  <c r="M465" i="12"/>
  <c r="M297" i="12"/>
  <c r="M548" i="12"/>
  <c r="M380" i="12"/>
  <c r="M212" i="12"/>
  <c r="M576" i="12"/>
  <c r="M240" i="12"/>
  <c r="M408" i="12"/>
  <c r="M657" i="12"/>
  <c r="M489" i="12"/>
  <c r="M321" i="12"/>
  <c r="L397" i="12"/>
  <c r="L229" i="12"/>
  <c r="L565" i="12"/>
  <c r="L577" i="12"/>
  <c r="L409" i="12"/>
  <c r="L241" i="12"/>
  <c r="L587" i="12"/>
  <c r="L251" i="12"/>
  <c r="L419" i="12"/>
  <c r="M572" i="12"/>
  <c r="M404" i="12"/>
  <c r="M236" i="12"/>
  <c r="M648" i="12"/>
  <c r="M312" i="12"/>
  <c r="M480" i="12"/>
  <c r="L633" i="12"/>
  <c r="L465" i="12"/>
  <c r="L297" i="12"/>
  <c r="M669" i="12"/>
  <c r="M501" i="12"/>
  <c r="M333" i="12"/>
  <c r="N636" i="12"/>
  <c r="N468" i="12"/>
  <c r="N300" i="12"/>
  <c r="N567" i="12"/>
  <c r="N399" i="12"/>
  <c r="N231" i="12"/>
  <c r="N648" i="12"/>
  <c r="N480" i="12"/>
  <c r="N312" i="12"/>
  <c r="M550" i="12"/>
  <c r="M382" i="12"/>
  <c r="M214" i="12"/>
  <c r="M658" i="12"/>
  <c r="M490" i="12"/>
  <c r="M322" i="12"/>
  <c r="L567" i="12"/>
  <c r="L399" i="12"/>
  <c r="L231" i="12"/>
  <c r="L404" i="12"/>
  <c r="L572" i="12"/>
  <c r="L236" i="12"/>
  <c r="L575" i="12"/>
  <c r="L239" i="12"/>
  <c r="L407" i="12"/>
  <c r="L551" i="12"/>
  <c r="L383" i="12"/>
  <c r="L215" i="12"/>
  <c r="N573" i="12"/>
  <c r="N237" i="12"/>
  <c r="N405" i="12"/>
  <c r="M667" i="12"/>
  <c r="M499" i="12"/>
  <c r="M331" i="12"/>
  <c r="L647" i="12"/>
  <c r="L479" i="12"/>
  <c r="L311" i="12"/>
  <c r="M615" i="12"/>
  <c r="M447" i="12"/>
  <c r="M279" i="12"/>
  <c r="M493" i="12"/>
  <c r="M661" i="12"/>
  <c r="M325" i="12"/>
  <c r="M636" i="12"/>
  <c r="M468" i="12"/>
  <c r="M300" i="12"/>
  <c r="M552" i="12"/>
  <c r="M384" i="12"/>
  <c r="M216" i="12"/>
  <c r="N577" i="12"/>
  <c r="N409" i="12"/>
  <c r="N241" i="12"/>
  <c r="N398" i="12"/>
  <c r="N566" i="12"/>
  <c r="N230" i="12"/>
  <c r="L640" i="12"/>
  <c r="L472" i="12"/>
  <c r="L304" i="12"/>
  <c r="L672" i="12"/>
  <c r="L336" i="12"/>
  <c r="L504" i="12"/>
  <c r="L667" i="12"/>
  <c r="L499" i="12"/>
  <c r="L331" i="12"/>
  <c r="N542" i="12"/>
  <c r="N374" i="12"/>
  <c r="N206" i="12"/>
  <c r="M564" i="12"/>
  <c r="M228" i="12"/>
  <c r="M396" i="12"/>
  <c r="M662" i="12"/>
  <c r="M494" i="12"/>
  <c r="M326" i="12"/>
  <c r="M673" i="12"/>
  <c r="M505" i="12"/>
  <c r="M337" i="12"/>
  <c r="N615" i="12"/>
  <c r="N447" i="12"/>
  <c r="N279" i="12"/>
  <c r="M671" i="12"/>
  <c r="M503" i="12"/>
  <c r="M335" i="12"/>
  <c r="N568" i="12"/>
  <c r="N400" i="12"/>
  <c r="N232" i="12"/>
  <c r="N669" i="12"/>
  <c r="N501" i="12"/>
  <c r="N333" i="12"/>
  <c r="N643" i="12"/>
  <c r="N475" i="12"/>
  <c r="N307" i="12"/>
  <c r="N553" i="12"/>
  <c r="N217" i="12"/>
  <c r="N385" i="12"/>
  <c r="L637" i="12"/>
  <c r="L469" i="12"/>
  <c r="L301" i="12"/>
  <c r="N543" i="12"/>
  <c r="N207" i="12"/>
  <c r="N375" i="12"/>
  <c r="L636" i="12"/>
  <c r="L468" i="12"/>
  <c r="L300" i="12"/>
  <c r="M681" i="12"/>
  <c r="M513" i="12"/>
  <c r="M345" i="12"/>
  <c r="N662" i="12"/>
  <c r="N494" i="12"/>
  <c r="N326" i="12"/>
  <c r="M551" i="12"/>
  <c r="M383" i="12"/>
  <c r="M215" i="12"/>
  <c r="L553" i="12"/>
  <c r="L385" i="12"/>
  <c r="L217" i="12"/>
  <c r="N612" i="12"/>
  <c r="N444" i="12"/>
  <c r="N276" i="12"/>
  <c r="N647" i="12"/>
  <c r="N479" i="12"/>
  <c r="N311" i="12"/>
  <c r="L668" i="12"/>
  <c r="L500" i="12"/>
  <c r="L332" i="12"/>
  <c r="L515" i="12"/>
  <c r="L179" i="12"/>
  <c r="L347" i="12"/>
  <c r="M562" i="12"/>
  <c r="M394" i="12"/>
  <c r="M226" i="12"/>
  <c r="N541" i="12"/>
  <c r="N373" i="12"/>
  <c r="N205" i="12"/>
  <c r="N644" i="12"/>
  <c r="N476" i="12"/>
  <c r="N308" i="12"/>
  <c r="M379" i="12"/>
  <c r="M547" i="12"/>
  <c r="M211" i="12"/>
  <c r="N576" i="12"/>
  <c r="N408" i="12"/>
  <c r="N240" i="12"/>
  <c r="M568" i="12"/>
  <c r="M232" i="12"/>
  <c r="M400" i="12"/>
  <c r="M646" i="12"/>
  <c r="M478" i="12"/>
  <c r="M310" i="12"/>
  <c r="N646" i="12"/>
  <c r="N478" i="12"/>
  <c r="N310" i="12"/>
  <c r="N645" i="12"/>
  <c r="N309" i="12"/>
  <c r="N477" i="12"/>
  <c r="L564" i="12"/>
  <c r="L396" i="12"/>
  <c r="L228" i="12"/>
  <c r="M515" i="12"/>
  <c r="M347" i="12"/>
  <c r="M179" i="12"/>
  <c r="M612" i="12"/>
  <c r="M276" i="12"/>
  <c r="M444" i="12"/>
  <c r="L658" i="12"/>
  <c r="L490" i="12"/>
  <c r="L322" i="12"/>
  <c r="N664" i="12"/>
  <c r="N496" i="12"/>
  <c r="N328" i="12"/>
  <c r="N673" i="12"/>
  <c r="N505" i="12"/>
  <c r="N337" i="12"/>
  <c r="N495" i="12"/>
  <c r="N327" i="12"/>
  <c r="N663" i="12"/>
  <c r="L372" i="12"/>
  <c r="L540" i="12"/>
  <c r="L204" i="12"/>
  <c r="N585" i="12"/>
  <c r="N249" i="12"/>
  <c r="N417" i="12"/>
  <c r="M544" i="12"/>
  <c r="M376" i="12"/>
  <c r="M208" i="12"/>
  <c r="L544" i="12"/>
  <c r="L376" i="12"/>
  <c r="L208" i="12"/>
  <c r="M637" i="12"/>
  <c r="M469" i="12"/>
  <c r="M301" i="12"/>
  <c r="L681" i="12"/>
  <c r="L345" i="12"/>
  <c r="L513" i="12"/>
  <c r="L586" i="12"/>
  <c r="L418" i="12"/>
  <c r="L250" i="12"/>
  <c r="E155" i="12"/>
  <c r="K160" i="9"/>
  <c r="N155" i="12" s="1"/>
  <c r="H160" i="9"/>
  <c r="K155" i="12" s="1"/>
  <c r="D35" i="12"/>
  <c r="D203" i="12" s="1"/>
  <c r="C194" i="15" s="1"/>
  <c r="J40" i="9"/>
  <c r="M35" i="12" s="1"/>
  <c r="G40" i="9"/>
  <c r="J35" i="12" s="1"/>
  <c r="E107" i="12"/>
  <c r="K112" i="9"/>
  <c r="N107" i="12" s="1"/>
  <c r="H112" i="9"/>
  <c r="K107" i="12" s="1"/>
  <c r="I136" i="9"/>
  <c r="L131" i="12" s="1"/>
  <c r="F136" i="9"/>
  <c r="I131" i="12" s="1"/>
  <c r="C67" i="12"/>
  <c r="B58" i="15" s="1"/>
  <c r="I72" i="9"/>
  <c r="L67" i="12" s="1"/>
  <c r="F72" i="9"/>
  <c r="I67" i="12" s="1"/>
  <c r="J249" i="12"/>
  <c r="J585" i="12"/>
  <c r="J417" i="12"/>
  <c r="J475" i="12"/>
  <c r="J643" i="12"/>
  <c r="J307" i="12"/>
  <c r="J640" i="12"/>
  <c r="J304" i="12"/>
  <c r="J472" i="12"/>
  <c r="K335" i="12"/>
  <c r="K671" i="12"/>
  <c r="K503" i="12"/>
  <c r="I643" i="12"/>
  <c r="I475" i="12"/>
  <c r="I307" i="12"/>
  <c r="K466" i="12"/>
  <c r="K634" i="12"/>
  <c r="K298" i="12"/>
  <c r="J573" i="12"/>
  <c r="J237" i="12"/>
  <c r="J405" i="12"/>
  <c r="I616" i="12"/>
  <c r="I448" i="12"/>
  <c r="I280" i="12"/>
  <c r="K548" i="12"/>
  <c r="K380" i="12"/>
  <c r="K212" i="12"/>
  <c r="I663" i="12"/>
  <c r="I327" i="12"/>
  <c r="I495" i="12"/>
  <c r="J241" i="12"/>
  <c r="J577" i="12"/>
  <c r="J409" i="12"/>
  <c r="I561" i="12"/>
  <c r="I393" i="12"/>
  <c r="I225" i="12"/>
  <c r="K614" i="12"/>
  <c r="K446" i="12"/>
  <c r="K278" i="12"/>
  <c r="I548" i="12"/>
  <c r="I212" i="12"/>
  <c r="I380" i="12"/>
  <c r="I205" i="12"/>
  <c r="I541" i="12"/>
  <c r="I373" i="12"/>
  <c r="I394" i="12"/>
  <c r="I562" i="12"/>
  <c r="I226" i="12"/>
  <c r="I613" i="12"/>
  <c r="I445" i="12"/>
  <c r="I277" i="12"/>
  <c r="K547" i="12"/>
  <c r="K379" i="12"/>
  <c r="K211" i="12"/>
  <c r="J231" i="12"/>
  <c r="J399" i="12"/>
  <c r="J567" i="12"/>
  <c r="C64" i="12"/>
  <c r="B55" i="15" s="1"/>
  <c r="I69" i="9"/>
  <c r="L64" i="12" s="1"/>
  <c r="F69" i="9"/>
  <c r="I64" i="12" s="1"/>
  <c r="C178" i="12"/>
  <c r="B169" i="15" s="1"/>
  <c r="I183" i="9"/>
  <c r="L178" i="12" s="1"/>
  <c r="F183" i="9"/>
  <c r="I178" i="12" s="1"/>
  <c r="I576" i="12"/>
  <c r="I408" i="12"/>
  <c r="I240" i="12"/>
  <c r="J587" i="12"/>
  <c r="J419" i="12"/>
  <c r="J251" i="12"/>
  <c r="I573" i="12"/>
  <c r="I405" i="12"/>
  <c r="I237" i="12"/>
  <c r="J541" i="12"/>
  <c r="J205" i="12"/>
  <c r="J373" i="12"/>
  <c r="K633" i="12"/>
  <c r="K465" i="12"/>
  <c r="K297" i="12"/>
  <c r="K551" i="12"/>
  <c r="K383" i="12"/>
  <c r="K215" i="12"/>
  <c r="J374" i="12"/>
  <c r="J206" i="12"/>
  <c r="J542" i="12"/>
  <c r="K204" i="12"/>
  <c r="K372" i="12"/>
  <c r="K540" i="12"/>
  <c r="J479" i="12"/>
  <c r="J311" i="12"/>
  <c r="J647" i="12"/>
  <c r="J543" i="12"/>
  <c r="J207" i="12"/>
  <c r="J375" i="12"/>
  <c r="K469" i="12"/>
  <c r="K637" i="12"/>
  <c r="K301" i="12"/>
  <c r="I374" i="12"/>
  <c r="I206" i="12"/>
  <c r="I542" i="12"/>
  <c r="K419" i="12"/>
  <c r="K251" i="12"/>
  <c r="K587" i="12"/>
  <c r="C215" i="12"/>
  <c r="B206" i="15" s="1"/>
  <c r="C551" i="12"/>
  <c r="B542" i="15" s="1"/>
  <c r="C383" i="12"/>
  <c r="B374" i="15" s="1"/>
  <c r="I309" i="12"/>
  <c r="I645" i="12"/>
  <c r="I477" i="12"/>
  <c r="J328" i="12"/>
  <c r="J664" i="12"/>
  <c r="J496" i="12"/>
  <c r="I444" i="12"/>
  <c r="I276" i="12"/>
  <c r="I612" i="12"/>
  <c r="J492" i="12"/>
  <c r="J324" i="12"/>
  <c r="J660" i="12"/>
  <c r="J571" i="12"/>
  <c r="J235" i="12"/>
  <c r="J403" i="12"/>
  <c r="J639" i="12"/>
  <c r="J303" i="12"/>
  <c r="J471" i="12"/>
  <c r="J649" i="12"/>
  <c r="J313" i="12"/>
  <c r="J481" i="12"/>
  <c r="I312" i="12"/>
  <c r="I480" i="12"/>
  <c r="I648" i="12"/>
  <c r="K303" i="12"/>
  <c r="K639" i="12"/>
  <c r="K471" i="12"/>
  <c r="I502" i="12"/>
  <c r="I334" i="12"/>
  <c r="I670" i="12"/>
  <c r="I333" i="12"/>
  <c r="I669" i="12"/>
  <c r="I501" i="12"/>
  <c r="D155" i="12"/>
  <c r="J160" i="9"/>
  <c r="M155" i="12" s="1"/>
  <c r="G160" i="9"/>
  <c r="J155" i="12" s="1"/>
  <c r="D107" i="12"/>
  <c r="J112" i="9"/>
  <c r="M107" i="12" s="1"/>
  <c r="G112" i="9"/>
  <c r="J107" i="12" s="1"/>
  <c r="E131" i="12"/>
  <c r="K136" i="9"/>
  <c r="N131" i="12" s="1"/>
  <c r="H136" i="9"/>
  <c r="K131" i="12" s="1"/>
  <c r="D59" i="12"/>
  <c r="J64" i="9"/>
  <c r="M59" i="12" s="1"/>
  <c r="G64" i="9"/>
  <c r="J59" i="12" s="1"/>
  <c r="H201" i="12"/>
  <c r="G526" i="12"/>
  <c r="H358" i="12"/>
  <c r="H527" i="12"/>
  <c r="H612" i="12"/>
  <c r="H528" i="12"/>
  <c r="G181" i="12"/>
  <c r="K574" i="12"/>
  <c r="K406" i="12"/>
  <c r="K238" i="12"/>
  <c r="I321" i="12"/>
  <c r="I657" i="12"/>
  <c r="I489" i="12"/>
  <c r="K384" i="12"/>
  <c r="K552" i="12"/>
  <c r="K216" i="12"/>
  <c r="J372" i="12"/>
  <c r="J204" i="12"/>
  <c r="J540" i="12"/>
  <c r="J308" i="12"/>
  <c r="J644" i="12"/>
  <c r="J476" i="12"/>
  <c r="I646" i="12"/>
  <c r="I478" i="12"/>
  <c r="I310" i="12"/>
  <c r="K239" i="12"/>
  <c r="K575" i="12"/>
  <c r="K407" i="12"/>
  <c r="J278" i="12"/>
  <c r="J614" i="12"/>
  <c r="J446" i="12"/>
  <c r="K214" i="12"/>
  <c r="K382" i="12"/>
  <c r="K550" i="12"/>
  <c r="K376" i="12"/>
  <c r="K208" i="12"/>
  <c r="K544" i="12"/>
  <c r="I213" i="12"/>
  <c r="I549" i="12"/>
  <c r="I381" i="12"/>
  <c r="J277" i="12"/>
  <c r="J613" i="12"/>
  <c r="J445" i="12"/>
  <c r="K661" i="12"/>
  <c r="K493" i="12"/>
  <c r="K325" i="12"/>
  <c r="I543" i="12"/>
  <c r="I375" i="12"/>
  <c r="I207" i="12"/>
  <c r="K225" i="12"/>
  <c r="K393" i="12"/>
  <c r="K561" i="12"/>
  <c r="K565" i="12"/>
  <c r="K397" i="12"/>
  <c r="K229" i="12"/>
  <c r="K304" i="12"/>
  <c r="K640" i="12"/>
  <c r="K472" i="12"/>
  <c r="K331" i="12"/>
  <c r="K667" i="12"/>
  <c r="K499" i="12"/>
  <c r="I550" i="12"/>
  <c r="I382" i="12"/>
  <c r="I214" i="12"/>
  <c r="J346" i="12"/>
  <c r="J682" i="12"/>
  <c r="J514" i="12"/>
  <c r="J398" i="12"/>
  <c r="J566" i="12"/>
  <c r="J230" i="12"/>
  <c r="K649" i="12"/>
  <c r="K481" i="12"/>
  <c r="K313" i="12"/>
  <c r="I661" i="12"/>
  <c r="I493" i="12"/>
  <c r="I325" i="12"/>
  <c r="I574" i="12"/>
  <c r="I406" i="12"/>
  <c r="I238" i="12"/>
  <c r="I585" i="12"/>
  <c r="I417" i="12"/>
  <c r="I249" i="12"/>
  <c r="I11" i="12"/>
  <c r="O11" i="12" s="1"/>
  <c r="E2" i="15" s="1"/>
  <c r="I552" i="12"/>
  <c r="I216" i="12"/>
  <c r="I384" i="12"/>
  <c r="I471" i="12"/>
  <c r="I303" i="12"/>
  <c r="I639" i="12"/>
  <c r="J495" i="12"/>
  <c r="J663" i="12"/>
  <c r="J327" i="12"/>
  <c r="J250" i="12"/>
  <c r="J418" i="12"/>
  <c r="J586" i="12"/>
  <c r="K321" i="12"/>
  <c r="K657" i="12"/>
  <c r="K489" i="12"/>
  <c r="K572" i="12"/>
  <c r="K236" i="12"/>
  <c r="K404" i="12"/>
  <c r="I313" i="12"/>
  <c r="I649" i="12"/>
  <c r="I481" i="12"/>
  <c r="J213" i="12"/>
  <c r="J381" i="12"/>
  <c r="J549" i="12"/>
  <c r="I547" i="12"/>
  <c r="I379" i="12"/>
  <c r="I211" i="12"/>
  <c r="K213" i="12"/>
  <c r="K549" i="12"/>
  <c r="K381" i="12"/>
  <c r="I660" i="12"/>
  <c r="I492" i="12"/>
  <c r="I324" i="12"/>
  <c r="I337" i="12"/>
  <c r="I673" i="12"/>
  <c r="I505" i="12"/>
  <c r="I566" i="12"/>
  <c r="I398" i="12"/>
  <c r="I230" i="12"/>
  <c r="J11" i="12"/>
  <c r="P11" i="12" s="1"/>
  <c r="F2" i="15" s="1"/>
  <c r="I638" i="12"/>
  <c r="I470" i="12"/>
  <c r="I302" i="12"/>
  <c r="K668" i="12"/>
  <c r="K332" i="12"/>
  <c r="K500" i="12"/>
  <c r="J229" i="12"/>
  <c r="J565" i="12"/>
  <c r="J397" i="12"/>
  <c r="J670" i="12"/>
  <c r="J502" i="12"/>
  <c r="J334" i="12"/>
  <c r="K280" i="12"/>
  <c r="K616" i="12"/>
  <c r="K448" i="12"/>
  <c r="J638" i="12"/>
  <c r="J470" i="12"/>
  <c r="J302" i="12"/>
  <c r="I614" i="12"/>
  <c r="I446" i="12"/>
  <c r="I278" i="12"/>
  <c r="K403" i="12"/>
  <c r="K571" i="12"/>
  <c r="K235" i="12"/>
  <c r="J336" i="12"/>
  <c r="J672" i="12"/>
  <c r="J504" i="12"/>
  <c r="K564" i="12"/>
  <c r="K396" i="12"/>
  <c r="K228" i="12"/>
  <c r="J575" i="12"/>
  <c r="J407" i="12"/>
  <c r="J239" i="12"/>
  <c r="I494" i="12"/>
  <c r="I326" i="12"/>
  <c r="I662" i="12"/>
  <c r="K11" i="12"/>
  <c r="Q11" i="12" s="1"/>
  <c r="G2" i="15" s="1"/>
  <c r="D131" i="12"/>
  <c r="J136" i="9"/>
  <c r="M131" i="12" s="1"/>
  <c r="G136" i="9"/>
  <c r="J131" i="12" s="1"/>
  <c r="I112" i="9"/>
  <c r="L107" i="12" s="1"/>
  <c r="F112" i="9"/>
  <c r="I107" i="12" s="1"/>
  <c r="J616" i="12"/>
  <c r="J280" i="12"/>
  <c r="J448" i="12"/>
  <c r="K277" i="12"/>
  <c r="K613" i="12"/>
  <c r="K445" i="12"/>
  <c r="J553" i="12"/>
  <c r="J385" i="12"/>
  <c r="J217" i="12"/>
  <c r="K470" i="12"/>
  <c r="K302" i="12"/>
  <c r="K638" i="12"/>
  <c r="I476" i="12"/>
  <c r="I308" i="12"/>
  <c r="I644" i="12"/>
  <c r="K670" i="12"/>
  <c r="K502" i="12"/>
  <c r="K334" i="12"/>
  <c r="J500" i="12"/>
  <c r="J668" i="12"/>
  <c r="J332" i="12"/>
  <c r="K345" i="12"/>
  <c r="K681" i="12"/>
  <c r="K513" i="12"/>
  <c r="I447" i="12"/>
  <c r="I279" i="12"/>
  <c r="I615" i="12"/>
  <c r="J477" i="12"/>
  <c r="J645" i="12"/>
  <c r="J309" i="12"/>
  <c r="K336" i="12"/>
  <c r="K672" i="12"/>
  <c r="K504" i="12"/>
  <c r="I634" i="12"/>
  <c r="I466" i="12"/>
  <c r="I298" i="12"/>
  <c r="J225" i="12"/>
  <c r="J561" i="12"/>
  <c r="J393" i="12"/>
  <c r="J574" i="12"/>
  <c r="J406" i="12"/>
  <c r="J238" i="12"/>
  <c r="K492" i="12"/>
  <c r="K660" i="12"/>
  <c r="K324" i="12"/>
  <c r="J465" i="12"/>
  <c r="J297" i="12"/>
  <c r="J633" i="12"/>
  <c r="J548" i="12"/>
  <c r="J380" i="12"/>
  <c r="J212" i="12"/>
  <c r="J240" i="12"/>
  <c r="J576" i="12"/>
  <c r="J408" i="12"/>
  <c r="J489" i="12"/>
  <c r="J657" i="12"/>
  <c r="J321" i="12"/>
  <c r="C167" i="12"/>
  <c r="B158" i="15" s="1"/>
  <c r="I172" i="9"/>
  <c r="L167" i="12" s="1"/>
  <c r="F172" i="9"/>
  <c r="I167" i="12" s="1"/>
  <c r="I397" i="12"/>
  <c r="I229" i="12"/>
  <c r="I565" i="12"/>
  <c r="I241" i="12"/>
  <c r="I577" i="12"/>
  <c r="I409" i="12"/>
  <c r="I251" i="12"/>
  <c r="I587" i="12"/>
  <c r="I419" i="12"/>
  <c r="J404" i="12"/>
  <c r="J236" i="12"/>
  <c r="J572" i="12"/>
  <c r="J648" i="12"/>
  <c r="J480" i="12"/>
  <c r="J312" i="12"/>
  <c r="I633" i="12"/>
  <c r="I297" i="12"/>
  <c r="I465" i="12"/>
  <c r="J501" i="12"/>
  <c r="J669" i="12"/>
  <c r="J333" i="12"/>
  <c r="K300" i="12"/>
  <c r="K468" i="12"/>
  <c r="K636" i="12"/>
  <c r="K567" i="12"/>
  <c r="K399" i="12"/>
  <c r="K231" i="12"/>
  <c r="K480" i="12"/>
  <c r="K648" i="12"/>
  <c r="K312" i="12"/>
  <c r="J382" i="12"/>
  <c r="J550" i="12"/>
  <c r="J214" i="12"/>
  <c r="J322" i="12"/>
  <c r="J490" i="12"/>
  <c r="J658" i="12"/>
  <c r="I399" i="12"/>
  <c r="I567" i="12"/>
  <c r="I231" i="12"/>
  <c r="I404" i="12"/>
  <c r="I572" i="12"/>
  <c r="I236" i="12"/>
  <c r="I575" i="12"/>
  <c r="I407" i="12"/>
  <c r="I239" i="12"/>
  <c r="I383" i="12"/>
  <c r="I215" i="12"/>
  <c r="I551" i="12"/>
  <c r="K573" i="12"/>
  <c r="K405" i="12"/>
  <c r="K237" i="12"/>
  <c r="J667" i="12"/>
  <c r="J331" i="12"/>
  <c r="J499" i="12"/>
  <c r="I647" i="12"/>
  <c r="I311" i="12"/>
  <c r="I479" i="12"/>
  <c r="J279" i="12"/>
  <c r="J615" i="12"/>
  <c r="J447" i="12"/>
  <c r="J325" i="12"/>
  <c r="J493" i="12"/>
  <c r="J661" i="12"/>
  <c r="J468" i="12"/>
  <c r="J636" i="12"/>
  <c r="J300" i="12"/>
  <c r="J552" i="12"/>
  <c r="J384" i="12"/>
  <c r="J216" i="12"/>
  <c r="K577" i="12"/>
  <c r="K409" i="12"/>
  <c r="K241" i="12"/>
  <c r="K230" i="12"/>
  <c r="K398" i="12"/>
  <c r="K566" i="12"/>
  <c r="I472" i="12"/>
  <c r="I640" i="12"/>
  <c r="I304" i="12"/>
  <c r="I504" i="12"/>
  <c r="I672" i="12"/>
  <c r="I336" i="12"/>
  <c r="I331" i="12"/>
  <c r="I667" i="12"/>
  <c r="I499" i="12"/>
  <c r="E35" i="12"/>
  <c r="K40" i="9"/>
  <c r="N35" i="12" s="1"/>
  <c r="H40" i="9"/>
  <c r="K35" i="12" s="1"/>
  <c r="E59" i="12"/>
  <c r="K64" i="9"/>
  <c r="N59" i="12" s="1"/>
  <c r="H64" i="9"/>
  <c r="K59" i="12" s="1"/>
  <c r="I40" i="9"/>
  <c r="L35" i="12" s="1"/>
  <c r="F40" i="9"/>
  <c r="I35" i="12" s="1"/>
  <c r="H183" i="12"/>
  <c r="G633" i="12"/>
  <c r="H405" i="12"/>
  <c r="K542" i="12"/>
  <c r="K374" i="12"/>
  <c r="K206" i="12"/>
  <c r="J564" i="12"/>
  <c r="J396" i="12"/>
  <c r="J228" i="12"/>
  <c r="J326" i="12"/>
  <c r="J662" i="12"/>
  <c r="J494" i="12"/>
  <c r="J505" i="12"/>
  <c r="J673" i="12"/>
  <c r="J337" i="12"/>
  <c r="K447" i="12"/>
  <c r="K615" i="12"/>
  <c r="K279" i="12"/>
  <c r="J335" i="12"/>
  <c r="J503" i="12"/>
  <c r="J671" i="12"/>
  <c r="K400" i="12"/>
  <c r="K568" i="12"/>
  <c r="K232" i="12"/>
  <c r="K669" i="12"/>
  <c r="K501" i="12"/>
  <c r="K333" i="12"/>
  <c r="K643" i="12"/>
  <c r="K475" i="12"/>
  <c r="K307" i="12"/>
  <c r="K553" i="12"/>
  <c r="K385" i="12"/>
  <c r="K217" i="12"/>
  <c r="I301" i="12"/>
  <c r="I637" i="12"/>
  <c r="I469" i="12"/>
  <c r="K207" i="12"/>
  <c r="K543" i="12"/>
  <c r="K375" i="12"/>
  <c r="I300" i="12"/>
  <c r="I468" i="12"/>
  <c r="I636" i="12"/>
  <c r="J513" i="12"/>
  <c r="J681" i="12"/>
  <c r="J345" i="12"/>
  <c r="K326" i="12"/>
  <c r="K494" i="12"/>
  <c r="K662" i="12"/>
  <c r="J215" i="12"/>
  <c r="J383" i="12"/>
  <c r="J551" i="12"/>
  <c r="I385" i="12"/>
  <c r="I217" i="12"/>
  <c r="I553" i="12"/>
  <c r="K612" i="12"/>
  <c r="K276" i="12"/>
  <c r="K444" i="12"/>
  <c r="K311" i="12"/>
  <c r="K647" i="12"/>
  <c r="K479" i="12"/>
  <c r="C160" i="12"/>
  <c r="B151" i="15" s="1"/>
  <c r="I165" i="9"/>
  <c r="L160" i="12" s="1"/>
  <c r="F165" i="9"/>
  <c r="I160" i="12" s="1"/>
  <c r="I668" i="12"/>
  <c r="I332" i="12"/>
  <c r="I500" i="12"/>
  <c r="C216" i="12"/>
  <c r="B207" i="15" s="1"/>
  <c r="C552" i="12"/>
  <c r="B543" i="15" s="1"/>
  <c r="C384" i="12"/>
  <c r="B375" i="15" s="1"/>
  <c r="C303" i="12"/>
  <c r="B294" i="15" s="1"/>
  <c r="C639" i="12"/>
  <c r="B630" i="15" s="1"/>
  <c r="C471" i="12"/>
  <c r="B462" i="15" s="1"/>
  <c r="J562" i="12"/>
  <c r="J226" i="12"/>
  <c r="J394" i="12"/>
  <c r="K373" i="12"/>
  <c r="K205" i="12"/>
  <c r="K541" i="12"/>
  <c r="K644" i="12"/>
  <c r="K308" i="12"/>
  <c r="K476" i="12"/>
  <c r="J379" i="12"/>
  <c r="J547" i="12"/>
  <c r="J211" i="12"/>
  <c r="K576" i="12"/>
  <c r="K408" i="12"/>
  <c r="K240" i="12"/>
  <c r="J232" i="12"/>
  <c r="J400" i="12"/>
  <c r="J568" i="12"/>
  <c r="J310" i="12"/>
  <c r="J646" i="12"/>
  <c r="J478" i="12"/>
  <c r="K478" i="12"/>
  <c r="K646" i="12"/>
  <c r="K310" i="12"/>
  <c r="K309" i="12"/>
  <c r="K645" i="12"/>
  <c r="K477" i="12"/>
  <c r="I564" i="12"/>
  <c r="I228" i="12"/>
  <c r="I396" i="12"/>
  <c r="C302" i="12"/>
  <c r="B293" i="15" s="1"/>
  <c r="C638" i="12"/>
  <c r="B629" i="15" s="1"/>
  <c r="C470" i="12"/>
  <c r="B461" i="15" s="1"/>
  <c r="J612" i="12"/>
  <c r="J444" i="12"/>
  <c r="J276" i="12"/>
  <c r="I658" i="12"/>
  <c r="I322" i="12"/>
  <c r="I490" i="12"/>
  <c r="K664" i="12"/>
  <c r="K496" i="12"/>
  <c r="K328" i="12"/>
  <c r="K505" i="12"/>
  <c r="K337" i="12"/>
  <c r="K673" i="12"/>
  <c r="K327" i="12"/>
  <c r="K663" i="12"/>
  <c r="K495" i="12"/>
  <c r="I372" i="12"/>
  <c r="I540" i="12"/>
  <c r="I204" i="12"/>
  <c r="K585" i="12"/>
  <c r="K417" i="12"/>
  <c r="K249" i="12"/>
  <c r="J208" i="12"/>
  <c r="J376" i="12"/>
  <c r="J544" i="12"/>
  <c r="I376" i="12"/>
  <c r="I208" i="12"/>
  <c r="I544" i="12"/>
  <c r="J301" i="12"/>
  <c r="J469" i="12"/>
  <c r="J637" i="12"/>
  <c r="I345" i="12"/>
  <c r="I681" i="12"/>
  <c r="I513" i="12"/>
  <c r="I586" i="12"/>
  <c r="I418" i="12"/>
  <c r="I250" i="12"/>
  <c r="H537" i="12"/>
  <c r="G357" i="12"/>
  <c r="G667" i="12"/>
  <c r="H640" i="12"/>
  <c r="G447" i="12"/>
  <c r="H502" i="12"/>
  <c r="H681" i="12"/>
  <c r="G550" i="12"/>
  <c r="H636" i="12"/>
  <c r="H577" i="12"/>
  <c r="G421" i="12"/>
  <c r="H592" i="12"/>
  <c r="H526" i="12"/>
  <c r="G537" i="12"/>
  <c r="H477" i="12"/>
  <c r="H540" i="12"/>
  <c r="H191" i="12"/>
  <c r="H421" i="12"/>
  <c r="G359" i="12"/>
  <c r="G529" i="12"/>
  <c r="H360" i="12"/>
  <c r="H529" i="12"/>
  <c r="G465" i="12"/>
  <c r="H184" i="12"/>
  <c r="H348" i="12"/>
  <c r="H180" i="12"/>
  <c r="G206" i="12"/>
  <c r="H313" i="12"/>
  <c r="G252" i="12"/>
  <c r="H649" i="12"/>
  <c r="G682" i="12"/>
  <c r="G355" i="12"/>
  <c r="G519" i="12"/>
  <c r="G424" i="12"/>
  <c r="E563" i="12"/>
  <c r="D554" i="15" s="1"/>
  <c r="G256" i="12"/>
  <c r="G183" i="12"/>
  <c r="G516" i="12"/>
  <c r="G180" i="12"/>
  <c r="G348" i="12"/>
  <c r="D682" i="12"/>
  <c r="C673" i="15" s="1"/>
  <c r="D514" i="12"/>
  <c r="C505" i="15" s="1"/>
  <c r="D346" i="12"/>
  <c r="C337" i="15" s="1"/>
  <c r="D659" i="12"/>
  <c r="C650" i="15" s="1"/>
  <c r="G523" i="12"/>
  <c r="G588" i="12"/>
  <c r="G542" i="12"/>
  <c r="E612" i="12"/>
  <c r="D603" i="15" s="1"/>
  <c r="E444" i="12"/>
  <c r="D435" i="15" s="1"/>
  <c r="E276" i="12"/>
  <c r="D267" i="15" s="1"/>
  <c r="F572" i="12"/>
  <c r="F404" i="12"/>
  <c r="F236" i="12"/>
  <c r="F575" i="12"/>
  <c r="F407" i="12"/>
  <c r="F239" i="12"/>
  <c r="F664" i="12"/>
  <c r="F496" i="12"/>
  <c r="F328" i="12"/>
  <c r="F682" i="12"/>
  <c r="F514" i="12"/>
  <c r="F346" i="12"/>
  <c r="F576" i="12"/>
  <c r="F408" i="12"/>
  <c r="F240" i="12"/>
  <c r="F663" i="12"/>
  <c r="F495" i="12"/>
  <c r="F327" i="12"/>
  <c r="F672" i="12"/>
  <c r="F504" i="12"/>
  <c r="F336" i="12"/>
  <c r="F673" i="12"/>
  <c r="F505" i="12"/>
  <c r="F337" i="12"/>
  <c r="F671" i="12"/>
  <c r="F503" i="12"/>
  <c r="F335" i="12"/>
  <c r="F326" i="12"/>
  <c r="F662" i="12"/>
  <c r="F494" i="12"/>
  <c r="F566" i="12"/>
  <c r="F398" i="12"/>
  <c r="F230" i="12"/>
  <c r="F669" i="12"/>
  <c r="F501" i="12"/>
  <c r="F333" i="12"/>
  <c r="F670" i="12"/>
  <c r="F502" i="12"/>
  <c r="F334" i="12"/>
  <c r="G251" i="12"/>
  <c r="G419" i="12"/>
  <c r="G587" i="12"/>
  <c r="F547" i="12"/>
  <c r="F379" i="12"/>
  <c r="F211" i="12"/>
  <c r="F564" i="12"/>
  <c r="F396" i="12"/>
  <c r="F228" i="12"/>
  <c r="F681" i="12"/>
  <c r="F513" i="12"/>
  <c r="F345" i="12"/>
  <c r="F586" i="12"/>
  <c r="F418" i="12"/>
  <c r="F250" i="12"/>
  <c r="F573" i="12"/>
  <c r="F405" i="12"/>
  <c r="F237" i="12"/>
  <c r="F668" i="12"/>
  <c r="F500" i="12"/>
  <c r="F332" i="12"/>
  <c r="F571" i="12"/>
  <c r="F403" i="12"/>
  <c r="F235" i="12"/>
  <c r="F574" i="12"/>
  <c r="F406" i="12"/>
  <c r="F238" i="12"/>
  <c r="F567" i="12"/>
  <c r="F399" i="12"/>
  <c r="F231" i="12"/>
  <c r="H11" i="12"/>
  <c r="F565" i="12"/>
  <c r="F397" i="12"/>
  <c r="F229" i="12"/>
  <c r="F331" i="12"/>
  <c r="F667" i="12"/>
  <c r="F499" i="12"/>
  <c r="F660" i="12"/>
  <c r="F492" i="12"/>
  <c r="F324" i="12"/>
  <c r="F577" i="12"/>
  <c r="F409" i="12"/>
  <c r="F241" i="12"/>
  <c r="F568" i="12"/>
  <c r="F400" i="12"/>
  <c r="F232" i="12"/>
  <c r="F585" i="12"/>
  <c r="F417" i="12"/>
  <c r="F249" i="12"/>
  <c r="F661" i="12"/>
  <c r="F493" i="12"/>
  <c r="F325" i="12"/>
  <c r="G11" i="12"/>
  <c r="H225" i="12"/>
  <c r="H393" i="12"/>
  <c r="H561" i="12"/>
  <c r="F587" i="12"/>
  <c r="F419" i="12"/>
  <c r="F251" i="12"/>
  <c r="H251" i="12"/>
  <c r="H419" i="12"/>
  <c r="H587" i="12"/>
  <c r="O11" i="1"/>
  <c r="D18" i="1"/>
  <c r="D160" i="9"/>
  <c r="H155" i="12" s="1"/>
  <c r="C136" i="9"/>
  <c r="G131" i="12" s="1"/>
  <c r="C112" i="9"/>
  <c r="G107" i="12" s="1"/>
  <c r="D112" i="9"/>
  <c r="H107" i="12" s="1"/>
  <c r="C131" i="12"/>
  <c r="B136" i="9"/>
  <c r="F131" i="12" s="1"/>
  <c r="F154" i="7"/>
  <c r="AF188" i="4"/>
  <c r="AF373" i="4" s="1"/>
  <c r="D136" i="9"/>
  <c r="H131" i="12" s="1"/>
  <c r="F11" i="12"/>
  <c r="D40" i="9"/>
  <c r="H35" i="12" s="1"/>
  <c r="C40" i="9"/>
  <c r="G35" i="12" s="1"/>
  <c r="C587" i="12"/>
  <c r="B578" i="15" s="1"/>
  <c r="C419" i="12"/>
  <c r="B410" i="15" s="1"/>
  <c r="C515" i="12"/>
  <c r="B506" i="15" s="1"/>
  <c r="C347" i="12"/>
  <c r="B338" i="15" s="1"/>
  <c r="C179" i="12"/>
  <c r="B170" i="15" s="1"/>
  <c r="D64" i="9"/>
  <c r="H59" i="12" s="1"/>
  <c r="C64" i="9"/>
  <c r="G59" i="12" s="1"/>
  <c r="C160" i="9"/>
  <c r="G155" i="12" s="1"/>
  <c r="C107" i="12"/>
  <c r="B112" i="9"/>
  <c r="F107" i="12" s="1"/>
  <c r="C35" i="12"/>
  <c r="B40" i="9"/>
  <c r="F35" i="12" s="1"/>
  <c r="F58" i="7"/>
  <c r="F16" i="1"/>
  <c r="C13" i="1"/>
  <c r="C18" i="1"/>
  <c r="F18" i="1" s="1"/>
  <c r="G18" i="1" s="1"/>
  <c r="AH9" i="3" a="1"/>
  <c r="AF21" i="3"/>
  <c r="E635" i="12" l="1"/>
  <c r="D626" i="15" s="1"/>
  <c r="D122" i="15"/>
  <c r="E611" i="12"/>
  <c r="D602" i="15" s="1"/>
  <c r="D98" i="15"/>
  <c r="C275" i="12"/>
  <c r="B266" i="15" s="1"/>
  <c r="B98" i="15"/>
  <c r="C299" i="12"/>
  <c r="B290" i="15" s="1"/>
  <c r="B122" i="15"/>
  <c r="E299" i="12"/>
  <c r="D290" i="15" s="1"/>
  <c r="E371" i="12"/>
  <c r="D362" i="15" s="1"/>
  <c r="D26" i="15"/>
  <c r="D563" i="12"/>
  <c r="C554" i="15" s="1"/>
  <c r="C50" i="15"/>
  <c r="Q585" i="12"/>
  <c r="G576" i="15" s="1"/>
  <c r="Q327" i="12"/>
  <c r="G318" i="15" s="1"/>
  <c r="P276" i="12"/>
  <c r="F267" i="15" s="1"/>
  <c r="Q645" i="12"/>
  <c r="G636" i="15" s="1"/>
  <c r="P379" i="12"/>
  <c r="F370" i="15" s="1"/>
  <c r="Q326" i="12"/>
  <c r="G317" i="15" s="1"/>
  <c r="P673" i="12"/>
  <c r="F664" i="15" s="1"/>
  <c r="P228" i="12"/>
  <c r="F219" i="15" s="1"/>
  <c r="E395" i="12"/>
  <c r="D386" i="15" s="1"/>
  <c r="D50" i="15"/>
  <c r="D299" i="12"/>
  <c r="C290" i="15" s="1"/>
  <c r="C122" i="15"/>
  <c r="D491" i="12"/>
  <c r="C482" i="15" s="1"/>
  <c r="C146" i="15"/>
  <c r="E491" i="12"/>
  <c r="D482" i="15" s="1"/>
  <c r="D146" i="15"/>
  <c r="C203" i="12"/>
  <c r="B194" i="15" s="1"/>
  <c r="B26" i="15"/>
  <c r="D443" i="12"/>
  <c r="C434" i="15" s="1"/>
  <c r="C98" i="15"/>
  <c r="D539" i="12"/>
  <c r="C530" i="15" s="1"/>
  <c r="C26" i="15"/>
  <c r="Q663" i="12"/>
  <c r="G654" i="15" s="1"/>
  <c r="P612" i="12"/>
  <c r="F603" i="15" s="1"/>
  <c r="P400" i="12"/>
  <c r="F391" i="15" s="1"/>
  <c r="Q373" i="12"/>
  <c r="G364" i="15" s="1"/>
  <c r="Q662" i="12"/>
  <c r="G653" i="15" s="1"/>
  <c r="P494" i="12"/>
  <c r="F485" i="15" s="1"/>
  <c r="P636" i="12"/>
  <c r="F627" i="15" s="1"/>
  <c r="F123" i="15"/>
  <c r="P667" i="12"/>
  <c r="F658" i="15" s="1"/>
  <c r="F154" i="15"/>
  <c r="O572" i="12"/>
  <c r="E563" i="15" s="1"/>
  <c r="E59" i="15"/>
  <c r="Q648" i="12"/>
  <c r="G639" i="15" s="1"/>
  <c r="G135" i="15"/>
  <c r="O587" i="12"/>
  <c r="E578" i="15" s="1"/>
  <c r="E74" i="15"/>
  <c r="Q513" i="12"/>
  <c r="G504" i="15" s="1"/>
  <c r="G168" i="15"/>
  <c r="O278" i="12"/>
  <c r="E269" i="15" s="1"/>
  <c r="E101" i="15"/>
  <c r="Q404" i="12"/>
  <c r="G395" i="15" s="1"/>
  <c r="G59" i="15"/>
  <c r="Q230" i="12"/>
  <c r="G221" i="15" s="1"/>
  <c r="G53" i="15"/>
  <c r="P661" i="12"/>
  <c r="F652" i="15" s="1"/>
  <c r="F148" i="15"/>
  <c r="Q237" i="12"/>
  <c r="G228" i="15" s="1"/>
  <c r="G60" i="15"/>
  <c r="O567" i="12"/>
  <c r="E558" i="15" s="1"/>
  <c r="E54" i="15"/>
  <c r="Q468" i="12"/>
  <c r="G459" i="15" s="1"/>
  <c r="G123" i="15"/>
  <c r="O409" i="12"/>
  <c r="E400" i="15" s="1"/>
  <c r="E64" i="15"/>
  <c r="O662" i="12"/>
  <c r="E653" i="15" s="1"/>
  <c r="E149" i="15"/>
  <c r="P638" i="12"/>
  <c r="F629" i="15" s="1"/>
  <c r="F125" i="15"/>
  <c r="P250" i="12"/>
  <c r="F241" i="15" s="1"/>
  <c r="F73" i="15"/>
  <c r="O251" i="12"/>
  <c r="E242" i="15" s="1"/>
  <c r="Q681" i="12"/>
  <c r="G672" i="15" s="1"/>
  <c r="E323" i="12"/>
  <c r="D314" i="15" s="1"/>
  <c r="P325" i="12"/>
  <c r="F316" i="15" s="1"/>
  <c r="Q300" i="12"/>
  <c r="G291" i="15" s="1"/>
  <c r="O241" i="12"/>
  <c r="E232" i="15" s="1"/>
  <c r="O494" i="12"/>
  <c r="E485" i="15" s="1"/>
  <c r="P470" i="12"/>
  <c r="F461" i="15" s="1"/>
  <c r="D467" i="12"/>
  <c r="C458" i="15" s="1"/>
  <c r="D275" i="12"/>
  <c r="C266" i="15" s="1"/>
  <c r="P468" i="12"/>
  <c r="F459" i="15" s="1"/>
  <c r="P331" i="12"/>
  <c r="F322" i="15" s="1"/>
  <c r="O404" i="12"/>
  <c r="E395" i="15" s="1"/>
  <c r="Q480" i="12"/>
  <c r="G471" i="15" s="1"/>
  <c r="O419" i="12"/>
  <c r="E410" i="15" s="1"/>
  <c r="O614" i="12"/>
  <c r="E605" i="15" s="1"/>
  <c r="Q236" i="12"/>
  <c r="G227" i="15" s="1"/>
  <c r="D611" i="12"/>
  <c r="C602" i="15" s="1"/>
  <c r="P107" i="12"/>
  <c r="P443" i="12" s="1"/>
  <c r="F434" i="15" s="1"/>
  <c r="O64" i="12"/>
  <c r="O67" i="12"/>
  <c r="O571" i="12" s="1"/>
  <c r="E562" i="15" s="1"/>
  <c r="P35" i="12"/>
  <c r="P300" i="12"/>
  <c r="F291" i="15" s="1"/>
  <c r="P499" i="12"/>
  <c r="F490" i="15" s="1"/>
  <c r="O236" i="12"/>
  <c r="E227" i="15" s="1"/>
  <c r="Q312" i="12"/>
  <c r="G303" i="15" s="1"/>
  <c r="Q345" i="12"/>
  <c r="G336" i="15" s="1"/>
  <c r="Q572" i="12"/>
  <c r="G563" i="15" s="1"/>
  <c r="O35" i="12"/>
  <c r="O167" i="12"/>
  <c r="E158" i="15" s="1"/>
  <c r="O107" i="12"/>
  <c r="O275" i="12" s="1"/>
  <c r="E266" i="15" s="1"/>
  <c r="Q131" i="12"/>
  <c r="O178" i="12"/>
  <c r="Q107" i="12"/>
  <c r="G98" i="15" s="1"/>
  <c r="E467" i="12"/>
  <c r="D458" i="15" s="1"/>
  <c r="E275" i="12"/>
  <c r="D266" i="15" s="1"/>
  <c r="E443" i="12"/>
  <c r="D434" i="15" s="1"/>
  <c r="E539" i="12"/>
  <c r="D530" i="15" s="1"/>
  <c r="P611" i="12"/>
  <c r="F602" i="15" s="1"/>
  <c r="P539" i="12"/>
  <c r="F530" i="15" s="1"/>
  <c r="O672" i="12"/>
  <c r="E663" i="15" s="1"/>
  <c r="O504" i="12"/>
  <c r="E495" i="15" s="1"/>
  <c r="O336" i="12"/>
  <c r="E327" i="15" s="1"/>
  <c r="P633" i="12"/>
  <c r="F624" i="15" s="1"/>
  <c r="P465" i="12"/>
  <c r="F456" i="15" s="1"/>
  <c r="P297" i="12"/>
  <c r="F288" i="15" s="1"/>
  <c r="O634" i="12"/>
  <c r="E625" i="15" s="1"/>
  <c r="O466" i="12"/>
  <c r="E457" i="15" s="1"/>
  <c r="O298" i="12"/>
  <c r="E289" i="15" s="1"/>
  <c r="Q502" i="12"/>
  <c r="G493" i="15" s="1"/>
  <c r="Q670" i="12"/>
  <c r="G661" i="15" s="1"/>
  <c r="Q334" i="12"/>
  <c r="G325" i="15" s="1"/>
  <c r="Q613" i="12"/>
  <c r="G604" i="15" s="1"/>
  <c r="Q445" i="12"/>
  <c r="G436" i="15" s="1"/>
  <c r="Q277" i="12"/>
  <c r="G268" i="15" s="1"/>
  <c r="O480" i="12"/>
  <c r="E471" i="15" s="1"/>
  <c r="O312" i="12"/>
  <c r="E303" i="15" s="1"/>
  <c r="O648" i="12"/>
  <c r="E639" i="15" s="1"/>
  <c r="P492" i="12"/>
  <c r="F483" i="15" s="1"/>
  <c r="P660" i="12"/>
  <c r="F651" i="15" s="1"/>
  <c r="P324" i="12"/>
  <c r="F315" i="15" s="1"/>
  <c r="Q587" i="12"/>
  <c r="G578" i="15" s="1"/>
  <c r="Q419" i="12"/>
  <c r="G410" i="15" s="1"/>
  <c r="Q251" i="12"/>
  <c r="G242" i="15" s="1"/>
  <c r="P647" i="12"/>
  <c r="F638" i="15" s="1"/>
  <c r="P479" i="12"/>
  <c r="F470" i="15" s="1"/>
  <c r="P311" i="12"/>
  <c r="F302" i="15" s="1"/>
  <c r="Q633" i="12"/>
  <c r="G624" i="15" s="1"/>
  <c r="Q465" i="12"/>
  <c r="G456" i="15" s="1"/>
  <c r="Q297" i="12"/>
  <c r="G288" i="15" s="1"/>
  <c r="O576" i="12"/>
  <c r="E567" i="15" s="1"/>
  <c r="O240" i="12"/>
  <c r="E231" i="15" s="1"/>
  <c r="O408" i="12"/>
  <c r="E399" i="15" s="1"/>
  <c r="O394" i="12"/>
  <c r="E385" i="15" s="1"/>
  <c r="O562" i="12"/>
  <c r="E553" i="15" s="1"/>
  <c r="O226" i="12"/>
  <c r="E217" i="15" s="1"/>
  <c r="O561" i="12"/>
  <c r="E552" i="15" s="1"/>
  <c r="O393" i="12"/>
  <c r="E384" i="15" s="1"/>
  <c r="O225" i="12"/>
  <c r="E216" i="15" s="1"/>
  <c r="O616" i="12"/>
  <c r="E607" i="15" s="1"/>
  <c r="O448" i="12"/>
  <c r="E439" i="15" s="1"/>
  <c r="O280" i="12"/>
  <c r="E271" i="15" s="1"/>
  <c r="Q671" i="12"/>
  <c r="G662" i="15" s="1"/>
  <c r="Q335" i="12"/>
  <c r="G326" i="15" s="1"/>
  <c r="Q503" i="12"/>
  <c r="G494" i="15" s="1"/>
  <c r="O418" i="12"/>
  <c r="E409" i="15" s="1"/>
  <c r="O586" i="12"/>
  <c r="E577" i="15" s="1"/>
  <c r="O250" i="12"/>
  <c r="E241" i="15" s="1"/>
  <c r="O668" i="12"/>
  <c r="E659" i="15" s="1"/>
  <c r="O500" i="12"/>
  <c r="E491" i="15" s="1"/>
  <c r="O332" i="12"/>
  <c r="E323" i="15" s="1"/>
  <c r="P383" i="12"/>
  <c r="F374" i="15" s="1"/>
  <c r="P551" i="12"/>
  <c r="F542" i="15" s="1"/>
  <c r="P215" i="12"/>
  <c r="F206" i="15" s="1"/>
  <c r="P513" i="12"/>
  <c r="F504" i="15" s="1"/>
  <c r="P681" i="12"/>
  <c r="F672" i="15" s="1"/>
  <c r="P345" i="12"/>
  <c r="F336" i="15" s="1"/>
  <c r="Q553" i="12"/>
  <c r="G544" i="15" s="1"/>
  <c r="Q385" i="12"/>
  <c r="G376" i="15" s="1"/>
  <c r="Q217" i="12"/>
  <c r="G208" i="15" s="1"/>
  <c r="Q669" i="12"/>
  <c r="G660" i="15" s="1"/>
  <c r="Q501" i="12"/>
  <c r="G492" i="15" s="1"/>
  <c r="Q333" i="12"/>
  <c r="G324" i="15" s="1"/>
  <c r="O671" i="12"/>
  <c r="E662" i="15" s="1"/>
  <c r="O503" i="12"/>
  <c r="E494" i="15" s="1"/>
  <c r="O335" i="12"/>
  <c r="E326" i="15" s="1"/>
  <c r="O443" i="12"/>
  <c r="E434" i="15" s="1"/>
  <c r="Q467" i="12"/>
  <c r="G458" i="15" s="1"/>
  <c r="Q611" i="12"/>
  <c r="G602" i="15" s="1"/>
  <c r="Q443" i="12"/>
  <c r="G434" i="15" s="1"/>
  <c r="Q275" i="12"/>
  <c r="G266" i="15" s="1"/>
  <c r="O472" i="12"/>
  <c r="E463" i="15" s="1"/>
  <c r="O304" i="12"/>
  <c r="E295" i="15" s="1"/>
  <c r="O640" i="12"/>
  <c r="E631" i="15" s="1"/>
  <c r="O633" i="12"/>
  <c r="E624" i="15" s="1"/>
  <c r="O465" i="12"/>
  <c r="E456" i="15" s="1"/>
  <c r="O297" i="12"/>
  <c r="E288" i="15" s="1"/>
  <c r="Q660" i="12"/>
  <c r="G651" i="15" s="1"/>
  <c r="Q492" i="12"/>
  <c r="G483" i="15" s="1"/>
  <c r="Q324" i="12"/>
  <c r="G315" i="15" s="1"/>
  <c r="Q672" i="12"/>
  <c r="G663" i="15" s="1"/>
  <c r="Q504" i="12"/>
  <c r="G495" i="15" s="1"/>
  <c r="Q336" i="12"/>
  <c r="G327" i="15" s="1"/>
  <c r="O644" i="12"/>
  <c r="E635" i="15" s="1"/>
  <c r="O476" i="12"/>
  <c r="E467" i="15" s="1"/>
  <c r="O308" i="12"/>
  <c r="E299" i="15" s="1"/>
  <c r="P616" i="12"/>
  <c r="F607" i="15" s="1"/>
  <c r="P448" i="12"/>
  <c r="F439" i="15" s="1"/>
  <c r="P280" i="12"/>
  <c r="F271" i="15" s="1"/>
  <c r="O669" i="12"/>
  <c r="E660" i="15" s="1"/>
  <c r="O501" i="12"/>
  <c r="E492" i="15" s="1"/>
  <c r="O333" i="12"/>
  <c r="E324" i="15" s="1"/>
  <c r="P649" i="12"/>
  <c r="F640" i="15" s="1"/>
  <c r="P481" i="12"/>
  <c r="F472" i="15" s="1"/>
  <c r="P313" i="12"/>
  <c r="F304" i="15" s="1"/>
  <c r="O612" i="12"/>
  <c r="E603" i="15" s="1"/>
  <c r="O276" i="12"/>
  <c r="E267" i="15" s="1"/>
  <c r="O444" i="12"/>
  <c r="E435" i="15" s="1"/>
  <c r="O542" i="12"/>
  <c r="E533" i="15" s="1"/>
  <c r="O374" i="12"/>
  <c r="E365" i="15" s="1"/>
  <c r="O206" i="12"/>
  <c r="E197" i="15" s="1"/>
  <c r="Q372" i="12"/>
  <c r="G363" i="15" s="1"/>
  <c r="Q540" i="12"/>
  <c r="G531" i="15" s="1"/>
  <c r="Q204" i="12"/>
  <c r="G195" i="15" s="1"/>
  <c r="P541" i="12"/>
  <c r="F532" i="15" s="1"/>
  <c r="P373" i="12"/>
  <c r="F364" i="15" s="1"/>
  <c r="P205" i="12"/>
  <c r="F196" i="15" s="1"/>
  <c r="P399" i="12"/>
  <c r="F390" i="15" s="1"/>
  <c r="P567" i="12"/>
  <c r="F558" i="15" s="1"/>
  <c r="P231" i="12"/>
  <c r="F222" i="15" s="1"/>
  <c r="O541" i="12"/>
  <c r="E532" i="15" s="1"/>
  <c r="O373" i="12"/>
  <c r="E364" i="15" s="1"/>
  <c r="O205" i="12"/>
  <c r="E196" i="15" s="1"/>
  <c r="P577" i="12"/>
  <c r="F568" i="15" s="1"/>
  <c r="P241" i="12"/>
  <c r="F232" i="15" s="1"/>
  <c r="P409" i="12"/>
  <c r="F400" i="15" s="1"/>
  <c r="P573" i="12"/>
  <c r="F564" i="15" s="1"/>
  <c r="P405" i="12"/>
  <c r="F396" i="15" s="1"/>
  <c r="P237" i="12"/>
  <c r="F228" i="15" s="1"/>
  <c r="P640" i="12"/>
  <c r="F631" i="15" s="1"/>
  <c r="P472" i="12"/>
  <c r="F463" i="15" s="1"/>
  <c r="P304" i="12"/>
  <c r="F295" i="15" s="1"/>
  <c r="O681" i="12"/>
  <c r="E672" i="15" s="1"/>
  <c r="O345" i="12"/>
  <c r="E336" i="15" s="1"/>
  <c r="O513" i="12"/>
  <c r="E504" i="15" s="1"/>
  <c r="Q647" i="12"/>
  <c r="G638" i="15" s="1"/>
  <c r="Q479" i="12"/>
  <c r="G470" i="15" s="1"/>
  <c r="Q311" i="12"/>
  <c r="G302" i="15" s="1"/>
  <c r="O636" i="12"/>
  <c r="E627" i="15" s="1"/>
  <c r="O468" i="12"/>
  <c r="E459" i="15" s="1"/>
  <c r="O300" i="12"/>
  <c r="E291" i="15" s="1"/>
  <c r="Q568" i="12"/>
  <c r="G559" i="15" s="1"/>
  <c r="Q400" i="12"/>
  <c r="G391" i="15" s="1"/>
  <c r="Q232" i="12"/>
  <c r="G223" i="15" s="1"/>
  <c r="O160" i="12"/>
  <c r="E151" i="15" s="1"/>
  <c r="Q35" i="12"/>
  <c r="G26" i="15" s="1"/>
  <c r="Q515" i="12"/>
  <c r="G506" i="15" s="1"/>
  <c r="Q347" i="12"/>
  <c r="G338" i="15" s="1"/>
  <c r="Q179" i="12"/>
  <c r="G170" i="15" s="1"/>
  <c r="P59" i="12"/>
  <c r="F50" i="15" s="1"/>
  <c r="Q567" i="12"/>
  <c r="G558" i="15" s="1"/>
  <c r="Q399" i="12"/>
  <c r="G390" i="15" s="1"/>
  <c r="Q231" i="12"/>
  <c r="G222" i="15" s="1"/>
  <c r="P648" i="12"/>
  <c r="F639" i="15" s="1"/>
  <c r="P480" i="12"/>
  <c r="F471" i="15" s="1"/>
  <c r="P312" i="12"/>
  <c r="F303" i="15" s="1"/>
  <c r="P576" i="12"/>
  <c r="F567" i="15" s="1"/>
  <c r="P408" i="12"/>
  <c r="F399" i="15" s="1"/>
  <c r="P240" i="12"/>
  <c r="F231" i="15" s="1"/>
  <c r="P574" i="12"/>
  <c r="F565" i="15" s="1"/>
  <c r="P406" i="12"/>
  <c r="F397" i="15" s="1"/>
  <c r="P238" i="12"/>
  <c r="F229" i="15" s="1"/>
  <c r="P477" i="12"/>
  <c r="F468" i="15" s="1"/>
  <c r="P309" i="12"/>
  <c r="F300" i="15" s="1"/>
  <c r="P645" i="12"/>
  <c r="F636" i="15" s="1"/>
  <c r="Q638" i="12"/>
  <c r="G629" i="15" s="1"/>
  <c r="Q470" i="12"/>
  <c r="G461" i="15" s="1"/>
  <c r="Q302" i="12"/>
  <c r="G293" i="15" s="1"/>
  <c r="O670" i="12"/>
  <c r="E661" i="15" s="1"/>
  <c r="O502" i="12"/>
  <c r="E493" i="15" s="1"/>
  <c r="O334" i="12"/>
  <c r="E325" i="15" s="1"/>
  <c r="P639" i="12"/>
  <c r="F630" i="15" s="1"/>
  <c r="P471" i="12"/>
  <c r="F462" i="15" s="1"/>
  <c r="P303" i="12"/>
  <c r="F294" i="15" s="1"/>
  <c r="P664" i="12"/>
  <c r="F655" i="15" s="1"/>
  <c r="P496" i="12"/>
  <c r="F487" i="15" s="1"/>
  <c r="P328" i="12"/>
  <c r="F319" i="15" s="1"/>
  <c r="Q637" i="12"/>
  <c r="G628" i="15" s="1"/>
  <c r="Q469" i="12"/>
  <c r="G460" i="15" s="1"/>
  <c r="Q301" i="12"/>
  <c r="G292" i="15" s="1"/>
  <c r="P542" i="12"/>
  <c r="F533" i="15" s="1"/>
  <c r="P374" i="12"/>
  <c r="F365" i="15" s="1"/>
  <c r="P206" i="12"/>
  <c r="F197" i="15" s="1"/>
  <c r="O573" i="12"/>
  <c r="E564" i="15" s="1"/>
  <c r="O405" i="12"/>
  <c r="E396" i="15" s="1"/>
  <c r="O237" i="12"/>
  <c r="E228" i="15" s="1"/>
  <c r="Q547" i="12"/>
  <c r="G538" i="15" s="1"/>
  <c r="Q379" i="12"/>
  <c r="G370" i="15" s="1"/>
  <c r="Q211" i="12"/>
  <c r="G202" i="15" s="1"/>
  <c r="O548" i="12"/>
  <c r="E539" i="15" s="1"/>
  <c r="O212" i="12"/>
  <c r="E203" i="15" s="1"/>
  <c r="O380" i="12"/>
  <c r="E371" i="15" s="1"/>
  <c r="O663" i="12"/>
  <c r="E654" i="15" s="1"/>
  <c r="O495" i="12"/>
  <c r="E486" i="15" s="1"/>
  <c r="O327" i="12"/>
  <c r="E318" i="15" s="1"/>
  <c r="Q466" i="12"/>
  <c r="G457" i="15" s="1"/>
  <c r="Q298" i="12"/>
  <c r="G289" i="15" s="1"/>
  <c r="Q634" i="12"/>
  <c r="G625" i="15" s="1"/>
  <c r="P643" i="12"/>
  <c r="F634" i="15" s="1"/>
  <c r="P307" i="12"/>
  <c r="F298" i="15" s="1"/>
  <c r="P475" i="12"/>
  <c r="F466" i="15" s="1"/>
  <c r="P469" i="12"/>
  <c r="F460" i="15" s="1"/>
  <c r="P301" i="12"/>
  <c r="F292" i="15" s="1"/>
  <c r="P637" i="12"/>
  <c r="F628" i="15" s="1"/>
  <c r="Q646" i="12"/>
  <c r="G637" i="15" s="1"/>
  <c r="Q478" i="12"/>
  <c r="G469" i="15" s="1"/>
  <c r="Q310" i="12"/>
  <c r="G301" i="15" s="1"/>
  <c r="Q543" i="12"/>
  <c r="G534" i="15" s="1"/>
  <c r="Q375" i="12"/>
  <c r="G366" i="15" s="1"/>
  <c r="Q207" i="12"/>
  <c r="G198" i="15" s="1"/>
  <c r="Q59" i="12"/>
  <c r="G50" i="15" s="1"/>
  <c r="P131" i="12"/>
  <c r="F122" i="15" s="1"/>
  <c r="P515" i="12"/>
  <c r="F506" i="15" s="1"/>
  <c r="P347" i="12"/>
  <c r="F338" i="15" s="1"/>
  <c r="P179" i="12"/>
  <c r="F170" i="15" s="1"/>
  <c r="O515" i="12"/>
  <c r="E506" i="15" s="1"/>
  <c r="O179" i="12"/>
  <c r="E170" i="15" s="1"/>
  <c r="O347" i="12"/>
  <c r="E338" i="15" s="1"/>
  <c r="P155" i="12"/>
  <c r="F146" i="15" s="1"/>
  <c r="O131" i="12"/>
  <c r="E122" i="15" s="1"/>
  <c r="Q155" i="12"/>
  <c r="G146" i="15" s="1"/>
  <c r="O667" i="12"/>
  <c r="E658" i="15" s="1"/>
  <c r="O499" i="12"/>
  <c r="E490" i="15" s="1"/>
  <c r="O331" i="12"/>
  <c r="E322" i="15" s="1"/>
  <c r="P548" i="12"/>
  <c r="F539" i="15" s="1"/>
  <c r="P380" i="12"/>
  <c r="F371" i="15" s="1"/>
  <c r="P212" i="12"/>
  <c r="F203" i="15" s="1"/>
  <c r="P561" i="12"/>
  <c r="F552" i="15" s="1"/>
  <c r="P225" i="12"/>
  <c r="F216" i="15" s="1"/>
  <c r="P393" i="12"/>
  <c r="F384" i="15" s="1"/>
  <c r="O615" i="12"/>
  <c r="E606" i="15" s="1"/>
  <c r="O447" i="12"/>
  <c r="E438" i="15" s="1"/>
  <c r="O279" i="12"/>
  <c r="E270" i="15" s="1"/>
  <c r="P668" i="12"/>
  <c r="F659" i="15" s="1"/>
  <c r="P500" i="12"/>
  <c r="F491" i="15" s="1"/>
  <c r="P332" i="12"/>
  <c r="F323" i="15" s="1"/>
  <c r="P553" i="12"/>
  <c r="F544" i="15" s="1"/>
  <c r="P217" i="12"/>
  <c r="F208" i="15" s="1"/>
  <c r="P385" i="12"/>
  <c r="F376" i="15" s="1"/>
  <c r="Q639" i="12"/>
  <c r="G630" i="15" s="1"/>
  <c r="Q303" i="12"/>
  <c r="G294" i="15" s="1"/>
  <c r="Q471" i="12"/>
  <c r="G462" i="15" s="1"/>
  <c r="P571" i="12"/>
  <c r="F562" i="15" s="1"/>
  <c r="P403" i="12"/>
  <c r="F394" i="15" s="1"/>
  <c r="P235" i="12"/>
  <c r="F226" i="15" s="1"/>
  <c r="O645" i="12"/>
  <c r="E636" i="15" s="1"/>
  <c r="O309" i="12"/>
  <c r="E300" i="15" s="1"/>
  <c r="O477" i="12"/>
  <c r="E468" i="15" s="1"/>
  <c r="P375" i="12"/>
  <c r="F366" i="15" s="1"/>
  <c r="P543" i="12"/>
  <c r="F534" i="15" s="1"/>
  <c r="P207" i="12"/>
  <c r="F198" i="15" s="1"/>
  <c r="Q551" i="12"/>
  <c r="G542" i="15" s="1"/>
  <c r="Q383" i="12"/>
  <c r="G374" i="15" s="1"/>
  <c r="Q215" i="12"/>
  <c r="G206" i="15" s="1"/>
  <c r="P587" i="12"/>
  <c r="F578" i="15" s="1"/>
  <c r="P419" i="12"/>
  <c r="F410" i="15" s="1"/>
  <c r="P251" i="12"/>
  <c r="F242" i="15" s="1"/>
  <c r="O613" i="12"/>
  <c r="E604" i="15" s="1"/>
  <c r="O277" i="12"/>
  <c r="E268" i="15" s="1"/>
  <c r="O445" i="12"/>
  <c r="E436" i="15" s="1"/>
  <c r="Q614" i="12"/>
  <c r="G605" i="15" s="1"/>
  <c r="Q278" i="12"/>
  <c r="G269" i="15" s="1"/>
  <c r="Q446" i="12"/>
  <c r="G437" i="15" s="1"/>
  <c r="Q380" i="12"/>
  <c r="G371" i="15" s="1"/>
  <c r="Q548" i="12"/>
  <c r="G539" i="15" s="1"/>
  <c r="Q212" i="12"/>
  <c r="G203" i="15" s="1"/>
  <c r="O643" i="12"/>
  <c r="E634" i="15" s="1"/>
  <c r="O475" i="12"/>
  <c r="E466" i="15" s="1"/>
  <c r="O307" i="12"/>
  <c r="E298" i="15" s="1"/>
  <c r="P585" i="12"/>
  <c r="F576" i="15" s="1"/>
  <c r="P249" i="12"/>
  <c r="F240" i="15" s="1"/>
  <c r="P417" i="12"/>
  <c r="F408" i="15" s="1"/>
  <c r="O544" i="12"/>
  <c r="E535" i="15" s="1"/>
  <c r="O208" i="12"/>
  <c r="E199" i="15" s="1"/>
  <c r="O376" i="12"/>
  <c r="E367" i="15" s="1"/>
  <c r="O637" i="12"/>
  <c r="E628" i="15" s="1"/>
  <c r="O469" i="12"/>
  <c r="E460" i="15" s="1"/>
  <c r="O301" i="12"/>
  <c r="E292" i="15" s="1"/>
  <c r="D635" i="12"/>
  <c r="C626" i="15" s="1"/>
  <c r="D323" i="12"/>
  <c r="C314" i="15" s="1"/>
  <c r="D371" i="12"/>
  <c r="C362" i="15" s="1"/>
  <c r="E659" i="12"/>
  <c r="D650" i="15" s="1"/>
  <c r="E227" i="12"/>
  <c r="D218" i="15" s="1"/>
  <c r="D395" i="12"/>
  <c r="C386" i="15" s="1"/>
  <c r="E203" i="12"/>
  <c r="D194" i="15" s="1"/>
  <c r="D227" i="12"/>
  <c r="C218" i="15" s="1"/>
  <c r="L571" i="12"/>
  <c r="L235" i="12"/>
  <c r="L403" i="12"/>
  <c r="M611" i="12"/>
  <c r="M443" i="12"/>
  <c r="M275" i="12"/>
  <c r="L568" i="12"/>
  <c r="L400" i="12"/>
  <c r="L232" i="12"/>
  <c r="M539" i="12"/>
  <c r="M371" i="12"/>
  <c r="M203" i="12"/>
  <c r="L539" i="12"/>
  <c r="L371" i="12"/>
  <c r="L203" i="12"/>
  <c r="L671" i="12"/>
  <c r="L503" i="12"/>
  <c r="L335" i="12"/>
  <c r="L611" i="12"/>
  <c r="L275" i="12"/>
  <c r="L443" i="12"/>
  <c r="N635" i="12"/>
  <c r="N299" i="12"/>
  <c r="N467" i="12"/>
  <c r="L514" i="12"/>
  <c r="L682" i="12"/>
  <c r="L346" i="12"/>
  <c r="N611" i="12"/>
  <c r="N443" i="12"/>
  <c r="N275" i="12"/>
  <c r="L664" i="12"/>
  <c r="L496" i="12"/>
  <c r="L328" i="12"/>
  <c r="N539" i="12"/>
  <c r="N371" i="12"/>
  <c r="N203" i="12"/>
  <c r="M563" i="12"/>
  <c r="M395" i="12"/>
  <c r="M227" i="12"/>
  <c r="N563" i="12"/>
  <c r="N395" i="12"/>
  <c r="N227" i="12"/>
  <c r="M635" i="12"/>
  <c r="M467" i="12"/>
  <c r="M299" i="12"/>
  <c r="M659" i="12"/>
  <c r="M491" i="12"/>
  <c r="M323" i="12"/>
  <c r="L635" i="12"/>
  <c r="L299" i="12"/>
  <c r="L467" i="12"/>
  <c r="N659" i="12"/>
  <c r="N491" i="12"/>
  <c r="N323" i="12"/>
  <c r="I160" i="9"/>
  <c r="L155" i="12" s="1"/>
  <c r="F160" i="9"/>
  <c r="I155" i="12" s="1"/>
  <c r="C328" i="12"/>
  <c r="B319" i="15" s="1"/>
  <c r="C664" i="12"/>
  <c r="B655" i="15" s="1"/>
  <c r="C496" i="12"/>
  <c r="B487" i="15" s="1"/>
  <c r="C335" i="12"/>
  <c r="B326" i="15" s="1"/>
  <c r="C671" i="12"/>
  <c r="B662" i="15" s="1"/>
  <c r="C503" i="12"/>
  <c r="B494" i="15" s="1"/>
  <c r="J635" i="12"/>
  <c r="J299" i="12"/>
  <c r="J467" i="12"/>
  <c r="K347" i="12"/>
  <c r="K179" i="12"/>
  <c r="K515" i="12"/>
  <c r="J443" i="12"/>
  <c r="J611" i="12"/>
  <c r="J275" i="12"/>
  <c r="C232" i="12"/>
  <c r="B223" i="15" s="1"/>
  <c r="C568" i="12"/>
  <c r="B559" i="15" s="1"/>
  <c r="C400" i="12"/>
  <c r="B391" i="15" s="1"/>
  <c r="C235" i="12"/>
  <c r="B226" i="15" s="1"/>
  <c r="C571" i="12"/>
  <c r="B562" i="15" s="1"/>
  <c r="C403" i="12"/>
  <c r="B394" i="15" s="1"/>
  <c r="I371" i="12"/>
  <c r="I203" i="12"/>
  <c r="I539" i="12"/>
  <c r="J347" i="12"/>
  <c r="J179" i="12"/>
  <c r="J515" i="12"/>
  <c r="K299" i="12"/>
  <c r="K635" i="12"/>
  <c r="K467" i="12"/>
  <c r="C682" i="12"/>
  <c r="B673" i="15" s="1"/>
  <c r="C514" i="12"/>
  <c r="B505" i="15" s="1"/>
  <c r="C346" i="12"/>
  <c r="B337" i="15" s="1"/>
  <c r="I299" i="12"/>
  <c r="I635" i="12"/>
  <c r="I467" i="12"/>
  <c r="K659" i="12"/>
  <c r="K491" i="12"/>
  <c r="K323" i="12"/>
  <c r="D19" i="1"/>
  <c r="E4" i="6" s="1"/>
  <c r="I64" i="9"/>
  <c r="L59" i="12" s="1"/>
  <c r="F64" i="9"/>
  <c r="I59" i="12" s="1"/>
  <c r="I496" i="12"/>
  <c r="I664" i="12"/>
  <c r="I328" i="12"/>
  <c r="K371" i="12"/>
  <c r="K203" i="12"/>
  <c r="K539" i="12"/>
  <c r="I335" i="12"/>
  <c r="I671" i="12"/>
  <c r="I503" i="12"/>
  <c r="I611" i="12"/>
  <c r="I443" i="12"/>
  <c r="I275" i="12"/>
  <c r="J395" i="12"/>
  <c r="J227" i="12"/>
  <c r="J563" i="12"/>
  <c r="I568" i="12"/>
  <c r="I232" i="12"/>
  <c r="I400" i="12"/>
  <c r="I571" i="12"/>
  <c r="I235" i="12"/>
  <c r="I403" i="12"/>
  <c r="J371" i="12"/>
  <c r="J203" i="12"/>
  <c r="J539" i="12"/>
  <c r="K227" i="12"/>
  <c r="K563" i="12"/>
  <c r="K395" i="12"/>
  <c r="I179" i="12"/>
  <c r="I347" i="12"/>
  <c r="I515" i="12"/>
  <c r="J491" i="12"/>
  <c r="J323" i="12"/>
  <c r="J659" i="12"/>
  <c r="I346" i="12"/>
  <c r="I514" i="12"/>
  <c r="I682" i="12"/>
  <c r="K443" i="12"/>
  <c r="K275" i="12"/>
  <c r="K611" i="12"/>
  <c r="H227" i="12"/>
  <c r="H395" i="12"/>
  <c r="H563" i="12"/>
  <c r="F179" i="12"/>
  <c r="F515" i="12"/>
  <c r="F347" i="12"/>
  <c r="F299" i="12"/>
  <c r="F635" i="12"/>
  <c r="F467" i="12"/>
  <c r="G299" i="12"/>
  <c r="G467" i="12"/>
  <c r="G635" i="12"/>
  <c r="H299" i="12"/>
  <c r="H467" i="12"/>
  <c r="H635" i="12"/>
  <c r="H323" i="12"/>
  <c r="H491" i="12"/>
  <c r="H659" i="12"/>
  <c r="H179" i="12"/>
  <c r="H347" i="12"/>
  <c r="H515" i="12"/>
  <c r="F611" i="12"/>
  <c r="F443" i="12"/>
  <c r="F275" i="12"/>
  <c r="G323" i="12"/>
  <c r="G491" i="12"/>
  <c r="G659" i="12"/>
  <c r="G203" i="12"/>
  <c r="G371" i="12"/>
  <c r="G539" i="12"/>
  <c r="H275" i="12"/>
  <c r="H443" i="12"/>
  <c r="H611" i="12"/>
  <c r="G179" i="12"/>
  <c r="G347" i="12"/>
  <c r="G515" i="12"/>
  <c r="F539" i="12"/>
  <c r="F371" i="12"/>
  <c r="F203" i="12"/>
  <c r="G227" i="12"/>
  <c r="G395" i="12"/>
  <c r="G563" i="12"/>
  <c r="H203" i="12"/>
  <c r="H371" i="12"/>
  <c r="H539" i="12"/>
  <c r="G275" i="12"/>
  <c r="G443" i="12"/>
  <c r="G611" i="12"/>
  <c r="C611" i="12"/>
  <c r="B602" i="15" s="1"/>
  <c r="C443" i="12"/>
  <c r="B434" i="15" s="1"/>
  <c r="I4" i="6"/>
  <c r="E14" i="6"/>
  <c r="G90" i="7" s="1"/>
  <c r="E22" i="6"/>
  <c r="G98" i="7" s="1"/>
  <c r="E17" i="6"/>
  <c r="G93" i="7" s="1"/>
  <c r="E25" i="6"/>
  <c r="G101" i="7" s="1"/>
  <c r="E12" i="6"/>
  <c r="G88" i="7" s="1"/>
  <c r="E20" i="6"/>
  <c r="G96" i="7" s="1"/>
  <c r="E15" i="6"/>
  <c r="G91" i="7" s="1"/>
  <c r="E23" i="6"/>
  <c r="G99" i="7" s="1"/>
  <c r="E18" i="6"/>
  <c r="G94" i="7" s="1"/>
  <c r="E26" i="6"/>
  <c r="G102" i="7" s="1"/>
  <c r="E13" i="6"/>
  <c r="G89" i="7" s="1"/>
  <c r="E21" i="6"/>
  <c r="G97" i="7" s="1"/>
  <c r="E16" i="6"/>
  <c r="G92" i="7" s="1"/>
  <c r="E24" i="6"/>
  <c r="G100" i="7" s="1"/>
  <c r="E19" i="6"/>
  <c r="G95" i="7" s="1"/>
  <c r="E27" i="6"/>
  <c r="G103" i="7" s="1"/>
  <c r="C539" i="12"/>
  <c r="B530" i="15" s="1"/>
  <c r="C371" i="12"/>
  <c r="B362" i="15" s="1"/>
  <c r="C635" i="12"/>
  <c r="B626" i="15" s="1"/>
  <c r="C467" i="12"/>
  <c r="B458" i="15" s="1"/>
  <c r="C59" i="12"/>
  <c r="B64" i="9"/>
  <c r="F59" i="12" s="1"/>
  <c r="C155" i="12"/>
  <c r="B160" i="9"/>
  <c r="F155" i="12" s="1"/>
  <c r="C19" i="1"/>
  <c r="D4" i="6" s="1"/>
  <c r="E19" i="1"/>
  <c r="F4" i="6" s="1"/>
  <c r="AH9" i="3"/>
  <c r="AT10" i="3"/>
  <c r="D12" i="1"/>
  <c r="F12" i="1"/>
  <c r="E12" i="1"/>
  <c r="H12" i="1"/>
  <c r="J12" i="1"/>
  <c r="G12" i="1"/>
  <c r="N12" i="1"/>
  <c r="I12" i="1"/>
  <c r="C12" i="1"/>
  <c r="K12" i="1"/>
  <c r="L12" i="1"/>
  <c r="M12" i="1"/>
  <c r="C227" i="12" l="1"/>
  <c r="B218" i="15" s="1"/>
  <c r="B50" i="15"/>
  <c r="C323" i="12"/>
  <c r="B314" i="15" s="1"/>
  <c r="B146" i="15"/>
  <c r="P371" i="12"/>
  <c r="F362" i="15" s="1"/>
  <c r="F26" i="15"/>
  <c r="O682" i="12"/>
  <c r="E673" i="15" s="1"/>
  <c r="E169" i="15"/>
  <c r="O539" i="12"/>
  <c r="E530" i="15" s="1"/>
  <c r="E26" i="15"/>
  <c r="O403" i="12"/>
  <c r="E394" i="15" s="1"/>
  <c r="E58" i="15"/>
  <c r="Q635" i="12"/>
  <c r="G626" i="15" s="1"/>
  <c r="G122" i="15"/>
  <c r="O568" i="12"/>
  <c r="E559" i="15" s="1"/>
  <c r="E55" i="15"/>
  <c r="P203" i="12"/>
  <c r="F194" i="15" s="1"/>
  <c r="O611" i="12"/>
  <c r="E602" i="15" s="1"/>
  <c r="E98" i="15"/>
  <c r="P275" i="12"/>
  <c r="F266" i="15" s="1"/>
  <c r="F98" i="15"/>
  <c r="O232" i="12"/>
  <c r="E223" i="15" s="1"/>
  <c r="O155" i="12"/>
  <c r="O323" i="12" s="1"/>
  <c r="E314" i="15" s="1"/>
  <c r="Q299" i="12"/>
  <c r="G290" i="15" s="1"/>
  <c r="O346" i="12"/>
  <c r="E337" i="15" s="1"/>
  <c r="O203" i="12"/>
  <c r="E194" i="15" s="1"/>
  <c r="O514" i="12"/>
  <c r="E505" i="15" s="1"/>
  <c r="O371" i="12"/>
  <c r="E362" i="15" s="1"/>
  <c r="O235" i="12"/>
  <c r="E226" i="15" s="1"/>
  <c r="O400" i="12"/>
  <c r="E391" i="15" s="1"/>
  <c r="O659" i="12"/>
  <c r="E650" i="15" s="1"/>
  <c r="P563" i="12"/>
  <c r="F554" i="15" s="1"/>
  <c r="P395" i="12"/>
  <c r="F386" i="15" s="1"/>
  <c r="P227" i="12"/>
  <c r="F218" i="15" s="1"/>
  <c r="Q659" i="12"/>
  <c r="G650" i="15" s="1"/>
  <c r="Q491" i="12"/>
  <c r="G482" i="15" s="1"/>
  <c r="Q323" i="12"/>
  <c r="G314" i="15" s="1"/>
  <c r="O59" i="12"/>
  <c r="E50" i="15" s="1"/>
  <c r="O635" i="12"/>
  <c r="E626" i="15" s="1"/>
  <c r="O467" i="12"/>
  <c r="E458" i="15" s="1"/>
  <c r="O299" i="12"/>
  <c r="E290" i="15" s="1"/>
  <c r="P635" i="12"/>
  <c r="F626" i="15" s="1"/>
  <c r="P467" i="12"/>
  <c r="F458" i="15" s="1"/>
  <c r="P299" i="12"/>
  <c r="F290" i="15" s="1"/>
  <c r="Q539" i="12"/>
  <c r="G530" i="15" s="1"/>
  <c r="Q371" i="12"/>
  <c r="G362" i="15" s="1"/>
  <c r="Q203" i="12"/>
  <c r="G194" i="15" s="1"/>
  <c r="P659" i="12"/>
  <c r="F650" i="15" s="1"/>
  <c r="P323" i="12"/>
  <c r="F314" i="15" s="1"/>
  <c r="P491" i="12"/>
  <c r="F482" i="15" s="1"/>
  <c r="Q563" i="12"/>
  <c r="G554" i="15" s="1"/>
  <c r="Q395" i="12"/>
  <c r="G386" i="15" s="1"/>
  <c r="Q227" i="12"/>
  <c r="G218" i="15" s="1"/>
  <c r="O496" i="12"/>
  <c r="E487" i="15" s="1"/>
  <c r="O664" i="12"/>
  <c r="E655" i="15" s="1"/>
  <c r="O328" i="12"/>
  <c r="E319" i="15" s="1"/>
  <c r="L659" i="12"/>
  <c r="L323" i="12"/>
  <c r="L491" i="12"/>
  <c r="L563" i="12"/>
  <c r="L227" i="12"/>
  <c r="L395" i="12"/>
  <c r="D93" i="12"/>
  <c r="J98" i="9"/>
  <c r="M93" i="12" s="1"/>
  <c r="G98" i="9"/>
  <c r="J93" i="12" s="1"/>
  <c r="D95" i="12"/>
  <c r="J100" i="9"/>
  <c r="M95" i="12" s="1"/>
  <c r="G100" i="9"/>
  <c r="J95" i="12" s="1"/>
  <c r="D89" i="12"/>
  <c r="C80" i="15" s="1"/>
  <c r="J94" i="9"/>
  <c r="M89" i="12" s="1"/>
  <c r="G94" i="9"/>
  <c r="J89" i="12" s="1"/>
  <c r="D91" i="12"/>
  <c r="J96" i="9"/>
  <c r="M91" i="12" s="1"/>
  <c r="G96" i="9"/>
  <c r="J91" i="12" s="1"/>
  <c r="I227" i="12"/>
  <c r="I563" i="12"/>
  <c r="I395" i="12"/>
  <c r="D98" i="12"/>
  <c r="J103" i="9"/>
  <c r="M98" i="12" s="1"/>
  <c r="G103" i="9"/>
  <c r="J98" i="12" s="1"/>
  <c r="D100" i="12"/>
  <c r="C91" i="15" s="1"/>
  <c r="J105" i="9"/>
  <c r="M100" i="12" s="1"/>
  <c r="G105" i="9"/>
  <c r="J100" i="12" s="1"/>
  <c r="D102" i="12"/>
  <c r="J107" i="9"/>
  <c r="M102" i="12" s="1"/>
  <c r="G107" i="9"/>
  <c r="J102" i="12" s="1"/>
  <c r="D96" i="12"/>
  <c r="J101" i="9"/>
  <c r="M96" i="12" s="1"/>
  <c r="G101" i="9"/>
  <c r="J96" i="12" s="1"/>
  <c r="D90" i="12"/>
  <c r="J95" i="9"/>
  <c r="M90" i="12" s="1"/>
  <c r="G95" i="9"/>
  <c r="J90" i="12" s="1"/>
  <c r="D92" i="12"/>
  <c r="C83" i="15" s="1"/>
  <c r="J97" i="9"/>
  <c r="M92" i="12" s="1"/>
  <c r="G97" i="9"/>
  <c r="J92" i="12" s="1"/>
  <c r="D94" i="12"/>
  <c r="J99" i="9"/>
  <c r="M94" i="12" s="1"/>
  <c r="G99" i="9"/>
  <c r="J94" i="12" s="1"/>
  <c r="I323" i="12"/>
  <c r="I659" i="12"/>
  <c r="I491" i="12"/>
  <c r="D104" i="12"/>
  <c r="J109" i="9"/>
  <c r="M104" i="12" s="1"/>
  <c r="G109" i="9"/>
  <c r="J104" i="12" s="1"/>
  <c r="D101" i="12"/>
  <c r="C92" i="15" s="1"/>
  <c r="J106" i="9"/>
  <c r="M101" i="12" s="1"/>
  <c r="G106" i="9"/>
  <c r="J101" i="12" s="1"/>
  <c r="D103" i="12"/>
  <c r="J108" i="9"/>
  <c r="M103" i="12" s="1"/>
  <c r="G108" i="9"/>
  <c r="J103" i="12" s="1"/>
  <c r="D97" i="12"/>
  <c r="J102" i="9"/>
  <c r="M97" i="12" s="1"/>
  <c r="G102" i="9"/>
  <c r="J97" i="12" s="1"/>
  <c r="D99" i="12"/>
  <c r="J104" i="9"/>
  <c r="M99" i="12" s="1"/>
  <c r="G104" i="9"/>
  <c r="J99" i="12" s="1"/>
  <c r="D604" i="12"/>
  <c r="C595" i="15" s="1"/>
  <c r="D436" i="12"/>
  <c r="C427" i="15" s="1"/>
  <c r="D268" i="12"/>
  <c r="C259" i="15" s="1"/>
  <c r="D605" i="12"/>
  <c r="C596" i="15" s="1"/>
  <c r="D269" i="12"/>
  <c r="C260" i="15" s="1"/>
  <c r="D437" i="12"/>
  <c r="C428" i="15" s="1"/>
  <c r="D593" i="12"/>
  <c r="C584" i="15" s="1"/>
  <c r="D257" i="12"/>
  <c r="C248" i="15" s="1"/>
  <c r="D425" i="12"/>
  <c r="C416" i="15" s="1"/>
  <c r="D596" i="12"/>
  <c r="C587" i="15" s="1"/>
  <c r="D428" i="12"/>
  <c r="C419" i="15" s="1"/>
  <c r="D260" i="12"/>
  <c r="C251" i="15" s="1"/>
  <c r="F563" i="12"/>
  <c r="F395" i="12"/>
  <c r="F227" i="12"/>
  <c r="F659" i="12"/>
  <c r="F491" i="12"/>
  <c r="F323" i="12"/>
  <c r="H4" i="6"/>
  <c r="D18" i="6"/>
  <c r="F94" i="7" s="1"/>
  <c r="D26" i="6"/>
  <c r="F102" i="7" s="1"/>
  <c r="D19" i="6"/>
  <c r="F95" i="7" s="1"/>
  <c r="D27" i="6"/>
  <c r="F103" i="7" s="1"/>
  <c r="D16" i="6"/>
  <c r="F92" i="7" s="1"/>
  <c r="D24" i="6"/>
  <c r="F100" i="7" s="1"/>
  <c r="D17" i="6"/>
  <c r="F93" i="7" s="1"/>
  <c r="D25" i="6"/>
  <c r="F101" i="7" s="1"/>
  <c r="D14" i="6"/>
  <c r="F90" i="7" s="1"/>
  <c r="D22" i="6"/>
  <c r="F98" i="7" s="1"/>
  <c r="D15" i="6"/>
  <c r="F91" i="7" s="1"/>
  <c r="D23" i="6"/>
  <c r="F99" i="7" s="1"/>
  <c r="D12" i="6"/>
  <c r="F88" i="7" s="1"/>
  <c r="D20" i="6"/>
  <c r="F96" i="7" s="1"/>
  <c r="D13" i="6"/>
  <c r="F89" i="7" s="1"/>
  <c r="D21" i="6"/>
  <c r="F97" i="7" s="1"/>
  <c r="G127" i="7"/>
  <c r="C109" i="9"/>
  <c r="G104" i="12" s="1"/>
  <c r="G123" i="7"/>
  <c r="C105" i="9"/>
  <c r="G100" i="12" s="1"/>
  <c r="G125" i="7"/>
  <c r="C107" i="9"/>
  <c r="G102" i="12" s="1"/>
  <c r="I12" i="6"/>
  <c r="G16" i="7" s="1"/>
  <c r="I13" i="6"/>
  <c r="G17" i="7" s="1"/>
  <c r="I21" i="6"/>
  <c r="G25" i="7" s="1"/>
  <c r="I26" i="6"/>
  <c r="G30" i="7" s="1"/>
  <c r="I27" i="6"/>
  <c r="G31" i="7" s="1"/>
  <c r="I24" i="6"/>
  <c r="G28" i="7" s="1"/>
  <c r="I25" i="6"/>
  <c r="G29" i="7" s="1"/>
  <c r="I22" i="6"/>
  <c r="G26" i="7" s="1"/>
  <c r="I23" i="6"/>
  <c r="G27" i="7" s="1"/>
  <c r="C103" i="9"/>
  <c r="G98" i="12" s="1"/>
  <c r="G121" i="7"/>
  <c r="C563" i="12"/>
  <c r="B554" i="15" s="1"/>
  <c r="C395" i="12"/>
  <c r="B386" i="15" s="1"/>
  <c r="C101" i="9"/>
  <c r="G96" i="12" s="1"/>
  <c r="G119" i="7"/>
  <c r="C95" i="9"/>
  <c r="G90" i="12" s="1"/>
  <c r="G113" i="7"/>
  <c r="C97" i="9"/>
  <c r="G92" i="12" s="1"/>
  <c r="G115" i="7"/>
  <c r="C99" i="9"/>
  <c r="G94" i="12" s="1"/>
  <c r="G117" i="7"/>
  <c r="G124" i="7"/>
  <c r="C106" i="9"/>
  <c r="G101" i="12" s="1"/>
  <c r="C108" i="9"/>
  <c r="G103" i="12" s="1"/>
  <c r="G126" i="7"/>
  <c r="C102" i="9"/>
  <c r="G97" i="12" s="1"/>
  <c r="G120" i="7"/>
  <c r="G122" i="7"/>
  <c r="C104" i="9"/>
  <c r="G99" i="12" s="1"/>
  <c r="J4" i="6"/>
  <c r="F15" i="6"/>
  <c r="H91" i="7" s="1"/>
  <c r="F23" i="6"/>
  <c r="H99" i="7" s="1"/>
  <c r="F16" i="6"/>
  <c r="H92" i="7" s="1"/>
  <c r="F24" i="6"/>
  <c r="H100" i="7" s="1"/>
  <c r="F13" i="6"/>
  <c r="H89" i="7" s="1"/>
  <c r="F21" i="6"/>
  <c r="H97" i="7" s="1"/>
  <c r="F14" i="6"/>
  <c r="H90" i="7" s="1"/>
  <c r="F22" i="6"/>
  <c r="H98" i="7" s="1"/>
  <c r="F19" i="6"/>
  <c r="H95" i="7" s="1"/>
  <c r="F27" i="6"/>
  <c r="H103" i="7" s="1"/>
  <c r="F12" i="6"/>
  <c r="H88" i="7" s="1"/>
  <c r="F20" i="6"/>
  <c r="H96" i="7" s="1"/>
  <c r="F17" i="6"/>
  <c r="H93" i="7" s="1"/>
  <c r="F25" i="6"/>
  <c r="H101" i="7" s="1"/>
  <c r="F18" i="6"/>
  <c r="H94" i="7" s="1"/>
  <c r="F26" i="6"/>
  <c r="H102" i="7" s="1"/>
  <c r="C659" i="12"/>
  <c r="B650" i="15" s="1"/>
  <c r="C491" i="12"/>
  <c r="B482" i="15" s="1"/>
  <c r="C98" i="9"/>
  <c r="G93" i="12" s="1"/>
  <c r="G116" i="7"/>
  <c r="G118" i="7"/>
  <c r="C100" i="9"/>
  <c r="G95" i="12" s="1"/>
  <c r="G112" i="7"/>
  <c r="C94" i="9"/>
  <c r="G89" i="12" s="1"/>
  <c r="C96" i="9"/>
  <c r="G91" i="12" s="1"/>
  <c r="G114" i="7"/>
  <c r="G9" i="4"/>
  <c r="K9" i="4"/>
  <c r="O9" i="4"/>
  <c r="S9" i="4"/>
  <c r="W9" i="4"/>
  <c r="AA9" i="4"/>
  <c r="G10" i="4"/>
  <c r="K10" i="4"/>
  <c r="O10" i="4"/>
  <c r="S10" i="4"/>
  <c r="W10" i="4"/>
  <c r="AA10" i="4"/>
  <c r="G11" i="4"/>
  <c r="K11" i="4"/>
  <c r="O11" i="4"/>
  <c r="S11" i="4"/>
  <c r="W11" i="4"/>
  <c r="AA11" i="4"/>
  <c r="G12" i="4"/>
  <c r="K12" i="4"/>
  <c r="O12" i="4"/>
  <c r="S12" i="4"/>
  <c r="W12" i="4"/>
  <c r="AA12" i="4"/>
  <c r="G13" i="4"/>
  <c r="K13" i="4"/>
  <c r="O13" i="4"/>
  <c r="S13" i="4"/>
  <c r="W13" i="4"/>
  <c r="AA13" i="4"/>
  <c r="G14" i="4"/>
  <c r="K14" i="4"/>
  <c r="O14" i="4"/>
  <c r="S14" i="4"/>
  <c r="W14" i="4"/>
  <c r="AA14" i="4"/>
  <c r="G15" i="4"/>
  <c r="K15" i="4"/>
  <c r="O15" i="4"/>
  <c r="S15" i="4"/>
  <c r="W15" i="4"/>
  <c r="AA15" i="4"/>
  <c r="G16" i="4"/>
  <c r="K16" i="4"/>
  <c r="O16" i="4"/>
  <c r="S16" i="4"/>
  <c r="W16" i="4"/>
  <c r="AA16" i="4"/>
  <c r="G17" i="4"/>
  <c r="K17" i="4"/>
  <c r="O17" i="4"/>
  <c r="S17" i="4"/>
  <c r="W17" i="4"/>
  <c r="AA17" i="4"/>
  <c r="G18" i="4"/>
  <c r="K18" i="4"/>
  <c r="O18" i="4"/>
  <c r="S18" i="4"/>
  <c r="W18" i="4"/>
  <c r="AA18" i="4"/>
  <c r="G19" i="4"/>
  <c r="K19" i="4"/>
  <c r="O19" i="4"/>
  <c r="S19" i="4"/>
  <c r="W19" i="4"/>
  <c r="AA19" i="4"/>
  <c r="G20" i="4"/>
  <c r="K20" i="4"/>
  <c r="O20" i="4"/>
  <c r="S20" i="4"/>
  <c r="W20" i="4"/>
  <c r="AA20" i="4"/>
  <c r="G21" i="4"/>
  <c r="K21" i="4"/>
  <c r="O21" i="4"/>
  <c r="S21" i="4"/>
  <c r="W21" i="4"/>
  <c r="AA21" i="4"/>
  <c r="G22" i="4"/>
  <c r="K22" i="4"/>
  <c r="O22" i="4"/>
  <c r="S22" i="4"/>
  <c r="W22" i="4"/>
  <c r="AA22" i="4"/>
  <c r="G23" i="4"/>
  <c r="K23" i="4"/>
  <c r="O23" i="4"/>
  <c r="S23" i="4"/>
  <c r="W23" i="4"/>
  <c r="AA23" i="4"/>
  <c r="G24" i="4"/>
  <c r="K24" i="4"/>
  <c r="O24" i="4"/>
  <c r="S24" i="4"/>
  <c r="W24" i="4"/>
  <c r="AA24" i="4"/>
  <c r="G25" i="4"/>
  <c r="K25" i="4"/>
  <c r="O25" i="4"/>
  <c r="S25" i="4"/>
  <c r="W25" i="4"/>
  <c r="AA25" i="4"/>
  <c r="G26" i="4"/>
  <c r="K26" i="4"/>
  <c r="O26" i="4"/>
  <c r="S26" i="4"/>
  <c r="W26" i="4"/>
  <c r="AA26" i="4"/>
  <c r="G27" i="4"/>
  <c r="K27" i="4"/>
  <c r="O27" i="4"/>
  <c r="S27" i="4"/>
  <c r="W27" i="4"/>
  <c r="AA27" i="4"/>
  <c r="G28" i="4"/>
  <c r="K28" i="4"/>
  <c r="O28" i="4"/>
  <c r="S28" i="4"/>
  <c r="W28" i="4"/>
  <c r="AA28" i="4"/>
  <c r="G29" i="4"/>
  <c r="K29" i="4"/>
  <c r="O29" i="4"/>
  <c r="S29" i="4"/>
  <c r="W29" i="4"/>
  <c r="AA29" i="4"/>
  <c r="G30" i="4"/>
  <c r="K30" i="4"/>
  <c r="O30" i="4"/>
  <c r="S30" i="4"/>
  <c r="W30" i="4"/>
  <c r="AA30" i="4"/>
  <c r="G31" i="4"/>
  <c r="K31" i="4"/>
  <c r="O31" i="4"/>
  <c r="S31" i="4"/>
  <c r="W31" i="4"/>
  <c r="AA31" i="4"/>
  <c r="G32" i="4"/>
  <c r="H9" i="4"/>
  <c r="L9" i="4"/>
  <c r="P9" i="4"/>
  <c r="T9" i="4"/>
  <c r="X9" i="4"/>
  <c r="AB9" i="4"/>
  <c r="H10" i="4"/>
  <c r="L10" i="4"/>
  <c r="P10" i="4"/>
  <c r="T10" i="4"/>
  <c r="X10" i="4"/>
  <c r="AB10" i="4"/>
  <c r="H11" i="4"/>
  <c r="L11" i="4"/>
  <c r="P11" i="4"/>
  <c r="T11" i="4"/>
  <c r="X11" i="4"/>
  <c r="AB11" i="4"/>
  <c r="H12" i="4"/>
  <c r="L12" i="4"/>
  <c r="P12" i="4"/>
  <c r="T12" i="4"/>
  <c r="X12" i="4"/>
  <c r="AB12" i="4"/>
  <c r="H13" i="4"/>
  <c r="L13" i="4"/>
  <c r="P13" i="4"/>
  <c r="T13" i="4"/>
  <c r="X13" i="4"/>
  <c r="AB13" i="4"/>
  <c r="H14" i="4"/>
  <c r="L14" i="4"/>
  <c r="P14" i="4"/>
  <c r="T14" i="4"/>
  <c r="X14" i="4"/>
  <c r="AB14" i="4"/>
  <c r="H15" i="4"/>
  <c r="L15" i="4"/>
  <c r="P15" i="4"/>
  <c r="T15" i="4"/>
  <c r="X15" i="4"/>
  <c r="AB15" i="4"/>
  <c r="H16" i="4"/>
  <c r="L16" i="4"/>
  <c r="P16" i="4"/>
  <c r="T16" i="4"/>
  <c r="X16" i="4"/>
  <c r="AB16" i="4"/>
  <c r="H17" i="4"/>
  <c r="L17" i="4"/>
  <c r="P17" i="4"/>
  <c r="T17" i="4"/>
  <c r="X17" i="4"/>
  <c r="AB17" i="4"/>
  <c r="H18" i="4"/>
  <c r="L18" i="4"/>
  <c r="P18" i="4"/>
  <c r="T18" i="4"/>
  <c r="X18" i="4"/>
  <c r="AB18" i="4"/>
  <c r="H19" i="4"/>
  <c r="L19" i="4"/>
  <c r="P19" i="4"/>
  <c r="T19" i="4"/>
  <c r="X19" i="4"/>
  <c r="AB19" i="4"/>
  <c r="H20" i="4"/>
  <c r="L20" i="4"/>
  <c r="P20" i="4"/>
  <c r="T20" i="4"/>
  <c r="X20" i="4"/>
  <c r="AB20" i="4"/>
  <c r="H21" i="4"/>
  <c r="L21" i="4"/>
  <c r="P21" i="4"/>
  <c r="I9" i="4"/>
  <c r="M9" i="4"/>
  <c r="Q9" i="4"/>
  <c r="U9" i="4"/>
  <c r="Y9" i="4"/>
  <c r="AC9" i="4"/>
  <c r="I10" i="4"/>
  <c r="M10" i="4"/>
  <c r="Q10" i="4"/>
  <c r="U10" i="4"/>
  <c r="Y10" i="4"/>
  <c r="AC10" i="4"/>
  <c r="I11" i="4"/>
  <c r="M11" i="4"/>
  <c r="Q11" i="4"/>
  <c r="U11" i="4"/>
  <c r="Y11" i="4"/>
  <c r="AC11" i="4"/>
  <c r="I12" i="4"/>
  <c r="M12" i="4"/>
  <c r="Q12" i="4"/>
  <c r="U12" i="4"/>
  <c r="Y12" i="4"/>
  <c r="AC12" i="4"/>
  <c r="I13" i="4"/>
  <c r="M13" i="4"/>
  <c r="Q13" i="4"/>
  <c r="U13" i="4"/>
  <c r="Y13" i="4"/>
  <c r="AC13" i="4"/>
  <c r="I14" i="4"/>
  <c r="M14" i="4"/>
  <c r="Q14" i="4"/>
  <c r="U14" i="4"/>
  <c r="Y14" i="4"/>
  <c r="AC14" i="4"/>
  <c r="I15" i="4"/>
  <c r="M15" i="4"/>
  <c r="Q15" i="4"/>
  <c r="U15" i="4"/>
  <c r="Y15" i="4"/>
  <c r="AC15" i="4"/>
  <c r="I16" i="4"/>
  <c r="F9" i="4"/>
  <c r="J9" i="4"/>
  <c r="V9" i="4"/>
  <c r="N10" i="4"/>
  <c r="F11" i="4"/>
  <c r="V11" i="4"/>
  <c r="N12" i="4"/>
  <c r="F13" i="4"/>
  <c r="V13" i="4"/>
  <c r="N14" i="4"/>
  <c r="F15" i="4"/>
  <c r="V15" i="4"/>
  <c r="M16" i="4"/>
  <c r="U16" i="4"/>
  <c r="AC16" i="4"/>
  <c r="M17" i="4"/>
  <c r="U17" i="4"/>
  <c r="AC17" i="4"/>
  <c r="M18" i="4"/>
  <c r="U18" i="4"/>
  <c r="AC18" i="4"/>
  <c r="M19" i="4"/>
  <c r="U19" i="4"/>
  <c r="AC19" i="4"/>
  <c r="M20" i="4"/>
  <c r="U20" i="4"/>
  <c r="AC20" i="4"/>
  <c r="M21" i="4"/>
  <c r="T21" i="4"/>
  <c r="Y21" i="4"/>
  <c r="F22" i="4"/>
  <c r="L22" i="4"/>
  <c r="Q22" i="4"/>
  <c r="V22" i="4"/>
  <c r="AB22" i="4"/>
  <c r="I23" i="4"/>
  <c r="N23" i="4"/>
  <c r="T23" i="4"/>
  <c r="Y23" i="4"/>
  <c r="F24" i="4"/>
  <c r="L24" i="4"/>
  <c r="Q24" i="4"/>
  <c r="V24" i="4"/>
  <c r="AB24" i="4"/>
  <c r="I25" i="4"/>
  <c r="N25" i="4"/>
  <c r="T25" i="4"/>
  <c r="Y25" i="4"/>
  <c r="F26" i="4"/>
  <c r="L26" i="4"/>
  <c r="Q26" i="4"/>
  <c r="V26" i="4"/>
  <c r="AB26" i="4"/>
  <c r="I27" i="4"/>
  <c r="N27" i="4"/>
  <c r="T27" i="4"/>
  <c r="Y27" i="4"/>
  <c r="F28" i="4"/>
  <c r="L28" i="4"/>
  <c r="Q28" i="4"/>
  <c r="V28" i="4"/>
  <c r="AB28" i="4"/>
  <c r="I29" i="4"/>
  <c r="N29" i="4"/>
  <c r="T29" i="4"/>
  <c r="Y29" i="4"/>
  <c r="F30" i="4"/>
  <c r="L30" i="4"/>
  <c r="Q30" i="4"/>
  <c r="V30" i="4"/>
  <c r="AB30" i="4"/>
  <c r="I31" i="4"/>
  <c r="N31" i="4"/>
  <c r="T31" i="4"/>
  <c r="Y31" i="4"/>
  <c r="F32" i="4"/>
  <c r="K32" i="4"/>
  <c r="O32" i="4"/>
  <c r="S32" i="4"/>
  <c r="W32" i="4"/>
  <c r="AA32" i="4"/>
  <c r="G33" i="4"/>
  <c r="K33" i="4"/>
  <c r="O33" i="4"/>
  <c r="S33" i="4"/>
  <c r="W33" i="4"/>
  <c r="AA33" i="4"/>
  <c r="G34" i="4"/>
  <c r="K34" i="4"/>
  <c r="O34" i="4"/>
  <c r="S34" i="4"/>
  <c r="W34" i="4"/>
  <c r="AA34" i="4"/>
  <c r="G35" i="4"/>
  <c r="K35" i="4"/>
  <c r="O35" i="4"/>
  <c r="S35" i="4"/>
  <c r="W35" i="4"/>
  <c r="AA35" i="4"/>
  <c r="G36" i="4"/>
  <c r="K36" i="4"/>
  <c r="O36" i="4"/>
  <c r="S36" i="4"/>
  <c r="W36" i="4"/>
  <c r="AA36" i="4"/>
  <c r="G37" i="4"/>
  <c r="K37" i="4"/>
  <c r="O37" i="4"/>
  <c r="S37" i="4"/>
  <c r="W37" i="4"/>
  <c r="AA37" i="4"/>
  <c r="G38" i="4"/>
  <c r="K38" i="4"/>
  <c r="O38" i="4"/>
  <c r="S38" i="4"/>
  <c r="W38" i="4"/>
  <c r="AA38" i="4"/>
  <c r="H8" i="4"/>
  <c r="L8" i="4"/>
  <c r="P8" i="4"/>
  <c r="T8" i="4"/>
  <c r="X8" i="4"/>
  <c r="AB8" i="4"/>
  <c r="Z9" i="4"/>
  <c r="R10" i="4"/>
  <c r="J11" i="4"/>
  <c r="Z11" i="4"/>
  <c r="R12" i="4"/>
  <c r="J13" i="4"/>
  <c r="Z13" i="4"/>
  <c r="R14" i="4"/>
  <c r="J15" i="4"/>
  <c r="Z15" i="4"/>
  <c r="N16" i="4"/>
  <c r="V16" i="4"/>
  <c r="F17" i="4"/>
  <c r="N17" i="4"/>
  <c r="V17" i="4"/>
  <c r="F18" i="4"/>
  <c r="N18" i="4"/>
  <c r="V18" i="4"/>
  <c r="F19" i="4"/>
  <c r="N19" i="4"/>
  <c r="V19" i="4"/>
  <c r="F20" i="4"/>
  <c r="N20" i="4"/>
  <c r="V20" i="4"/>
  <c r="F21" i="4"/>
  <c r="N21" i="4"/>
  <c r="U21" i="4"/>
  <c r="Z21" i="4"/>
  <c r="H22" i="4"/>
  <c r="M22" i="4"/>
  <c r="R22" i="4"/>
  <c r="X22" i="4"/>
  <c r="AC22" i="4"/>
  <c r="J23" i="4"/>
  <c r="P23" i="4"/>
  <c r="U23" i="4"/>
  <c r="Z23" i="4"/>
  <c r="H24" i="4"/>
  <c r="M24" i="4"/>
  <c r="R24" i="4"/>
  <c r="X24" i="4"/>
  <c r="AC24" i="4"/>
  <c r="J25" i="4"/>
  <c r="P25" i="4"/>
  <c r="U25" i="4"/>
  <c r="Z25" i="4"/>
  <c r="H26" i="4"/>
  <c r="M26" i="4"/>
  <c r="R26" i="4"/>
  <c r="X26" i="4"/>
  <c r="AC26" i="4"/>
  <c r="J27" i="4"/>
  <c r="P27" i="4"/>
  <c r="U27" i="4"/>
  <c r="Z27" i="4"/>
  <c r="H28" i="4"/>
  <c r="M28" i="4"/>
  <c r="R28" i="4"/>
  <c r="X28" i="4"/>
  <c r="AC28" i="4"/>
  <c r="J29" i="4"/>
  <c r="P29" i="4"/>
  <c r="U29" i="4"/>
  <c r="Z29" i="4"/>
  <c r="H30" i="4"/>
  <c r="M30" i="4"/>
  <c r="R30" i="4"/>
  <c r="X30" i="4"/>
  <c r="AC30" i="4"/>
  <c r="J31" i="4"/>
  <c r="P31" i="4"/>
  <c r="U31" i="4"/>
  <c r="Z31" i="4"/>
  <c r="H32" i="4"/>
  <c r="L32" i="4"/>
  <c r="P32" i="4"/>
  <c r="T32" i="4"/>
  <c r="X32" i="4"/>
  <c r="AB32" i="4"/>
  <c r="H33" i="4"/>
  <c r="L33" i="4"/>
  <c r="P33" i="4"/>
  <c r="T33" i="4"/>
  <c r="X33" i="4"/>
  <c r="AB33" i="4"/>
  <c r="H34" i="4"/>
  <c r="L34" i="4"/>
  <c r="P34" i="4"/>
  <c r="T34" i="4"/>
  <c r="X34" i="4"/>
  <c r="AB34" i="4"/>
  <c r="H35" i="4"/>
  <c r="L35" i="4"/>
  <c r="P35" i="4"/>
  <c r="T35" i="4"/>
  <c r="X35" i="4"/>
  <c r="AB35" i="4"/>
  <c r="H36" i="4"/>
  <c r="L36" i="4"/>
  <c r="P36" i="4"/>
  <c r="T36" i="4"/>
  <c r="X36" i="4"/>
  <c r="AB36" i="4"/>
  <c r="H37" i="4"/>
  <c r="L37" i="4"/>
  <c r="P37" i="4"/>
  <c r="T37" i="4"/>
  <c r="X37" i="4"/>
  <c r="AB37" i="4"/>
  <c r="H38" i="4"/>
  <c r="L38" i="4"/>
  <c r="P38" i="4"/>
  <c r="T38" i="4"/>
  <c r="X38" i="4"/>
  <c r="AB38" i="4"/>
  <c r="I8" i="4"/>
  <c r="M8" i="4"/>
  <c r="Q8" i="4"/>
  <c r="U8" i="4"/>
  <c r="Y8" i="4"/>
  <c r="AC8" i="4"/>
  <c r="N9" i="4"/>
  <c r="F10" i="4"/>
  <c r="V10" i="4"/>
  <c r="N11" i="4"/>
  <c r="F12" i="4"/>
  <c r="V12" i="4"/>
  <c r="N13" i="4"/>
  <c r="F14" i="4"/>
  <c r="V14" i="4"/>
  <c r="N15" i="4"/>
  <c r="F16" i="4"/>
  <c r="Q16" i="4"/>
  <c r="Y16" i="4"/>
  <c r="I17" i="4"/>
  <c r="Q17" i="4"/>
  <c r="Y17" i="4"/>
  <c r="I18" i="4"/>
  <c r="Q18" i="4"/>
  <c r="Y18" i="4"/>
  <c r="I19" i="4"/>
  <c r="Q19" i="4"/>
  <c r="Y19" i="4"/>
  <c r="I20" i="4"/>
  <c r="Q20" i="4"/>
  <c r="Y20" i="4"/>
  <c r="I21" i="4"/>
  <c r="Q21" i="4"/>
  <c r="V21" i="4"/>
  <c r="AB21" i="4"/>
  <c r="I22" i="4"/>
  <c r="N22" i="4"/>
  <c r="T22" i="4"/>
  <c r="Y22" i="4"/>
  <c r="F23" i="4"/>
  <c r="L23" i="4"/>
  <c r="Q23" i="4"/>
  <c r="V23" i="4"/>
  <c r="AB23" i="4"/>
  <c r="I24" i="4"/>
  <c r="N24" i="4"/>
  <c r="T24" i="4"/>
  <c r="Y24" i="4"/>
  <c r="F25" i="4"/>
  <c r="L25" i="4"/>
  <c r="Q25" i="4"/>
  <c r="V25" i="4"/>
  <c r="AB25" i="4"/>
  <c r="I26" i="4"/>
  <c r="N26" i="4"/>
  <c r="T26" i="4"/>
  <c r="Y26" i="4"/>
  <c r="F27" i="4"/>
  <c r="L27" i="4"/>
  <c r="Q27" i="4"/>
  <c r="V27" i="4"/>
  <c r="AB27" i="4"/>
  <c r="I28" i="4"/>
  <c r="N28" i="4"/>
  <c r="T28" i="4"/>
  <c r="Y28" i="4"/>
  <c r="F29" i="4"/>
  <c r="L29" i="4"/>
  <c r="Q29" i="4"/>
  <c r="V29" i="4"/>
  <c r="AB29" i="4"/>
  <c r="I30" i="4"/>
  <c r="N30" i="4"/>
  <c r="T30" i="4"/>
  <c r="Y30" i="4"/>
  <c r="F31" i="4"/>
  <c r="L31" i="4"/>
  <c r="Q31" i="4"/>
  <c r="V31" i="4"/>
  <c r="AB31" i="4"/>
  <c r="I32" i="4"/>
  <c r="M32" i="4"/>
  <c r="Q32" i="4"/>
  <c r="U32" i="4"/>
  <c r="Y32" i="4"/>
  <c r="AC32" i="4"/>
  <c r="I33" i="4"/>
  <c r="M33" i="4"/>
  <c r="Q33" i="4"/>
  <c r="U33" i="4"/>
  <c r="Y33" i="4"/>
  <c r="AC33" i="4"/>
  <c r="I34" i="4"/>
  <c r="M34" i="4"/>
  <c r="Q34" i="4"/>
  <c r="U34" i="4"/>
  <c r="Y34" i="4"/>
  <c r="AC34" i="4"/>
  <c r="I35" i="4"/>
  <c r="M35" i="4"/>
  <c r="Q35" i="4"/>
  <c r="U35" i="4"/>
  <c r="Y35" i="4"/>
  <c r="AC35" i="4"/>
  <c r="I36" i="4"/>
  <c r="M36" i="4"/>
  <c r="Q36" i="4"/>
  <c r="U36" i="4"/>
  <c r="Y36" i="4"/>
  <c r="AC36" i="4"/>
  <c r="I37" i="4"/>
  <c r="M37" i="4"/>
  <c r="Q37" i="4"/>
  <c r="U37" i="4"/>
  <c r="Y37" i="4"/>
  <c r="AC37" i="4"/>
  <c r="I38" i="4"/>
  <c r="M38" i="4"/>
  <c r="Q38" i="4"/>
  <c r="U38" i="4"/>
  <c r="Y38" i="4"/>
  <c r="AC38" i="4"/>
  <c r="J8" i="4"/>
  <c r="N8" i="4"/>
  <c r="R8" i="4"/>
  <c r="V8" i="4"/>
  <c r="Z8" i="4"/>
  <c r="F8" i="4"/>
  <c r="R9" i="4"/>
  <c r="J10" i="4"/>
  <c r="Z10" i="4"/>
  <c r="R11" i="4"/>
  <c r="J12" i="4"/>
  <c r="Z12" i="4"/>
  <c r="R13" i="4"/>
  <c r="J14" i="4"/>
  <c r="Z14" i="4"/>
  <c r="R15" i="4"/>
  <c r="J16" i="4"/>
  <c r="R16" i="4"/>
  <c r="Z16" i="4"/>
  <c r="J17" i="4"/>
  <c r="R17" i="4"/>
  <c r="Z17" i="4"/>
  <c r="J18" i="4"/>
  <c r="R18" i="4"/>
  <c r="Z18" i="4"/>
  <c r="J19" i="4"/>
  <c r="R19" i="4"/>
  <c r="Z19" i="4"/>
  <c r="J20" i="4"/>
  <c r="R20" i="4"/>
  <c r="Z20" i="4"/>
  <c r="J21" i="4"/>
  <c r="R21" i="4"/>
  <c r="X21" i="4"/>
  <c r="AC21" i="4"/>
  <c r="J22" i="4"/>
  <c r="P22" i="4"/>
  <c r="U22" i="4"/>
  <c r="Z22" i="4"/>
  <c r="H23" i="4"/>
  <c r="M23" i="4"/>
  <c r="R23" i="4"/>
  <c r="X23" i="4"/>
  <c r="AC23" i="4"/>
  <c r="J24" i="4"/>
  <c r="P24" i="4"/>
  <c r="U24" i="4"/>
  <c r="Z24" i="4"/>
  <c r="H25" i="4"/>
  <c r="M25" i="4"/>
  <c r="R25" i="4"/>
  <c r="X25" i="4"/>
  <c r="AC25" i="4"/>
  <c r="J26" i="4"/>
  <c r="P26" i="4"/>
  <c r="U26" i="4"/>
  <c r="Z26" i="4"/>
  <c r="H27" i="4"/>
  <c r="M27" i="4"/>
  <c r="R27" i="4"/>
  <c r="X27" i="4"/>
  <c r="AC27" i="4"/>
  <c r="J28" i="4"/>
  <c r="P28" i="4"/>
  <c r="U28" i="4"/>
  <c r="Z28" i="4"/>
  <c r="H29" i="4"/>
  <c r="M29" i="4"/>
  <c r="R29" i="4"/>
  <c r="X29" i="4"/>
  <c r="AC29" i="4"/>
  <c r="J30" i="4"/>
  <c r="P30" i="4"/>
  <c r="U30" i="4"/>
  <c r="Z30" i="4"/>
  <c r="H31" i="4"/>
  <c r="M31" i="4"/>
  <c r="R31" i="4"/>
  <c r="X31" i="4"/>
  <c r="AC31" i="4"/>
  <c r="J32" i="4"/>
  <c r="N32" i="4"/>
  <c r="R32" i="4"/>
  <c r="V32" i="4"/>
  <c r="Z32" i="4"/>
  <c r="F33" i="4"/>
  <c r="J33" i="4"/>
  <c r="N33" i="4"/>
  <c r="R33" i="4"/>
  <c r="V33" i="4"/>
  <c r="Z33" i="4"/>
  <c r="F34" i="4"/>
  <c r="J34" i="4"/>
  <c r="N34" i="4"/>
  <c r="R34" i="4"/>
  <c r="V34" i="4"/>
  <c r="Z34" i="4"/>
  <c r="F35" i="4"/>
  <c r="J35" i="4"/>
  <c r="N35" i="4"/>
  <c r="R35" i="4"/>
  <c r="V35" i="4"/>
  <c r="Z35" i="4"/>
  <c r="F36" i="4"/>
  <c r="J36" i="4"/>
  <c r="N36" i="4"/>
  <c r="R36" i="4"/>
  <c r="V36" i="4"/>
  <c r="Z36" i="4"/>
  <c r="F37" i="4"/>
  <c r="J37" i="4"/>
  <c r="N37" i="4"/>
  <c r="R37" i="4"/>
  <c r="V37" i="4"/>
  <c r="Z37" i="4"/>
  <c r="F38" i="4"/>
  <c r="J38" i="4"/>
  <c r="N38" i="4"/>
  <c r="R38" i="4"/>
  <c r="V38" i="4"/>
  <c r="Z38" i="4"/>
  <c r="G8" i="4"/>
  <c r="K8" i="4"/>
  <c r="O8" i="4"/>
  <c r="S8" i="4"/>
  <c r="W8" i="4"/>
  <c r="AA8" i="4"/>
  <c r="F160" i="4"/>
  <c r="J160" i="4"/>
  <c r="N160" i="4"/>
  <c r="R160" i="4"/>
  <c r="V160" i="4"/>
  <c r="Z160" i="4"/>
  <c r="F161" i="4"/>
  <c r="J161" i="4"/>
  <c r="N161" i="4"/>
  <c r="R161" i="4"/>
  <c r="V161" i="4"/>
  <c r="Z161" i="4"/>
  <c r="F162" i="4"/>
  <c r="J162" i="4"/>
  <c r="N162" i="4"/>
  <c r="R162" i="4"/>
  <c r="V162" i="4"/>
  <c r="Z162" i="4"/>
  <c r="I163" i="4"/>
  <c r="M163" i="4"/>
  <c r="Q163" i="4"/>
  <c r="U163" i="4"/>
  <c r="Y163" i="4"/>
  <c r="AC163" i="4"/>
  <c r="I164" i="4"/>
  <c r="M164" i="4"/>
  <c r="Q164" i="4"/>
  <c r="U164" i="4"/>
  <c r="Y164" i="4"/>
  <c r="AC164" i="4"/>
  <c r="I165" i="4"/>
  <c r="M165" i="4"/>
  <c r="Q165" i="4"/>
  <c r="U165" i="4"/>
  <c r="Y165" i="4"/>
  <c r="AC165" i="4"/>
  <c r="I166" i="4"/>
  <c r="M166" i="4"/>
  <c r="Q166" i="4"/>
  <c r="U166" i="4"/>
  <c r="Y166" i="4"/>
  <c r="AC166" i="4"/>
  <c r="I167" i="4"/>
  <c r="M167" i="4"/>
  <c r="Q167" i="4"/>
  <c r="U167" i="4"/>
  <c r="Y167" i="4"/>
  <c r="G160" i="4"/>
  <c r="K160" i="4"/>
  <c r="O160" i="4"/>
  <c r="S160" i="4"/>
  <c r="W160" i="4"/>
  <c r="AA160" i="4"/>
  <c r="G161" i="4"/>
  <c r="K161" i="4"/>
  <c r="O161" i="4"/>
  <c r="S161" i="4"/>
  <c r="W161" i="4"/>
  <c r="AA161" i="4"/>
  <c r="G162" i="4"/>
  <c r="K162" i="4"/>
  <c r="O162" i="4"/>
  <c r="S162" i="4"/>
  <c r="W162" i="4"/>
  <c r="AA162" i="4"/>
  <c r="F163" i="4"/>
  <c r="J163" i="4"/>
  <c r="N163" i="4"/>
  <c r="R163" i="4"/>
  <c r="V163" i="4"/>
  <c r="Z163" i="4"/>
  <c r="F164" i="4"/>
  <c r="J164" i="4"/>
  <c r="N164" i="4"/>
  <c r="R164" i="4"/>
  <c r="V164" i="4"/>
  <c r="Z164" i="4"/>
  <c r="F165" i="4"/>
  <c r="J165" i="4"/>
  <c r="N165" i="4"/>
  <c r="R165" i="4"/>
  <c r="V165" i="4"/>
  <c r="Z165" i="4"/>
  <c r="F166" i="4"/>
  <c r="J166" i="4"/>
  <c r="N166" i="4"/>
  <c r="R166" i="4"/>
  <c r="V166" i="4"/>
  <c r="Z166" i="4"/>
  <c r="F167" i="4"/>
  <c r="J167" i="4"/>
  <c r="N167" i="4"/>
  <c r="R167" i="4"/>
  <c r="V167" i="4"/>
  <c r="Z167" i="4"/>
  <c r="L160" i="4"/>
  <c r="T160" i="4"/>
  <c r="AB160" i="4"/>
  <c r="L161" i="4"/>
  <c r="T161" i="4"/>
  <c r="AB161" i="4"/>
  <c r="L162" i="4"/>
  <c r="T162" i="4"/>
  <c r="AB162" i="4"/>
  <c r="K163" i="4"/>
  <c r="S163" i="4"/>
  <c r="AA163" i="4"/>
  <c r="K164" i="4"/>
  <c r="S164" i="4"/>
  <c r="AA164" i="4"/>
  <c r="K165" i="4"/>
  <c r="S165" i="4"/>
  <c r="AA165" i="4"/>
  <c r="K166" i="4"/>
  <c r="S166" i="4"/>
  <c r="AA166" i="4"/>
  <c r="K167" i="4"/>
  <c r="S167" i="4"/>
  <c r="AA167" i="4"/>
  <c r="G168" i="4"/>
  <c r="K168" i="4"/>
  <c r="O168" i="4"/>
  <c r="S168" i="4"/>
  <c r="W168" i="4"/>
  <c r="AA168" i="4"/>
  <c r="G169" i="4"/>
  <c r="K169" i="4"/>
  <c r="O169" i="4"/>
  <c r="S169" i="4"/>
  <c r="W169" i="4"/>
  <c r="AA169" i="4"/>
  <c r="G170" i="4"/>
  <c r="K170" i="4"/>
  <c r="O170" i="4"/>
  <c r="S170" i="4"/>
  <c r="W170" i="4"/>
  <c r="AA170" i="4"/>
  <c r="G171" i="4"/>
  <c r="K171" i="4"/>
  <c r="O171" i="4"/>
  <c r="S171" i="4"/>
  <c r="W171" i="4"/>
  <c r="AA171" i="4"/>
  <c r="G172" i="4"/>
  <c r="K172" i="4"/>
  <c r="O172" i="4"/>
  <c r="S172" i="4"/>
  <c r="W172" i="4"/>
  <c r="AA172" i="4"/>
  <c r="G173" i="4"/>
  <c r="K173" i="4"/>
  <c r="O173" i="4"/>
  <c r="S173" i="4"/>
  <c r="W173" i="4"/>
  <c r="AA173" i="4"/>
  <c r="G174" i="4"/>
  <c r="K174" i="4"/>
  <c r="O174" i="4"/>
  <c r="S174" i="4"/>
  <c r="W174" i="4"/>
  <c r="AA174" i="4"/>
  <c r="G175" i="4"/>
  <c r="K175" i="4"/>
  <c r="O175" i="4"/>
  <c r="S175" i="4"/>
  <c r="W175" i="4"/>
  <c r="AA175" i="4"/>
  <c r="G176" i="4"/>
  <c r="K176" i="4"/>
  <c r="O176" i="4"/>
  <c r="S176" i="4"/>
  <c r="W176" i="4"/>
  <c r="AA176" i="4"/>
  <c r="G177" i="4"/>
  <c r="K177" i="4"/>
  <c r="O177" i="4"/>
  <c r="S177" i="4"/>
  <c r="W177" i="4"/>
  <c r="AA177" i="4"/>
  <c r="G178" i="4"/>
  <c r="K178" i="4"/>
  <c r="O178" i="4"/>
  <c r="S178" i="4"/>
  <c r="W178" i="4"/>
  <c r="AA178" i="4"/>
  <c r="G179" i="4"/>
  <c r="K179" i="4"/>
  <c r="O179" i="4"/>
  <c r="S179" i="4"/>
  <c r="W179" i="4"/>
  <c r="AA179" i="4"/>
  <c r="G180" i="4"/>
  <c r="K180" i="4"/>
  <c r="O180" i="4"/>
  <c r="S180" i="4"/>
  <c r="W180" i="4"/>
  <c r="AA180" i="4"/>
  <c r="G181" i="4"/>
  <c r="K181" i="4"/>
  <c r="O181" i="4"/>
  <c r="S181" i="4"/>
  <c r="W181" i="4"/>
  <c r="AA181" i="4"/>
  <c r="G182" i="4"/>
  <c r="K182" i="4"/>
  <c r="O182" i="4"/>
  <c r="S182" i="4"/>
  <c r="W182" i="4"/>
  <c r="AA182" i="4"/>
  <c r="G183" i="4"/>
  <c r="K183" i="4"/>
  <c r="O183" i="4"/>
  <c r="S183" i="4"/>
  <c r="W183" i="4"/>
  <c r="AA183" i="4"/>
  <c r="F184" i="4"/>
  <c r="J184" i="4"/>
  <c r="N184" i="4"/>
  <c r="R184" i="4"/>
  <c r="V184" i="4"/>
  <c r="Z184" i="4"/>
  <c r="F185" i="4"/>
  <c r="J185" i="4"/>
  <c r="N185" i="4"/>
  <c r="R185" i="4"/>
  <c r="V185" i="4"/>
  <c r="Z185" i="4"/>
  <c r="F186" i="4"/>
  <c r="J186" i="4"/>
  <c r="N186" i="4"/>
  <c r="R186" i="4"/>
  <c r="V186" i="4"/>
  <c r="Z186" i="4"/>
  <c r="F187" i="4"/>
  <c r="J187" i="4"/>
  <c r="N187" i="4"/>
  <c r="R187" i="4"/>
  <c r="V187" i="4"/>
  <c r="Z187" i="4"/>
  <c r="F188" i="4"/>
  <c r="J188" i="4"/>
  <c r="N188" i="4"/>
  <c r="R188" i="4"/>
  <c r="V188" i="4"/>
  <c r="Z188" i="4"/>
  <c r="G159" i="4"/>
  <c r="K159" i="4"/>
  <c r="O159" i="4"/>
  <c r="S159" i="4"/>
  <c r="W159" i="4"/>
  <c r="AA159" i="4"/>
  <c r="M160" i="4"/>
  <c r="U160" i="4"/>
  <c r="AC160" i="4"/>
  <c r="M161" i="4"/>
  <c r="U161" i="4"/>
  <c r="AC161" i="4"/>
  <c r="M162" i="4"/>
  <c r="U162" i="4"/>
  <c r="AC162" i="4"/>
  <c r="L163" i="4"/>
  <c r="T163" i="4"/>
  <c r="AB163" i="4"/>
  <c r="L164" i="4"/>
  <c r="T164" i="4"/>
  <c r="AB164" i="4"/>
  <c r="L165" i="4"/>
  <c r="T165" i="4"/>
  <c r="AB165" i="4"/>
  <c r="L166" i="4"/>
  <c r="T166" i="4"/>
  <c r="AB166" i="4"/>
  <c r="L167" i="4"/>
  <c r="T167" i="4"/>
  <c r="AB167" i="4"/>
  <c r="H168" i="4"/>
  <c r="L168" i="4"/>
  <c r="P168" i="4"/>
  <c r="T168" i="4"/>
  <c r="X168" i="4"/>
  <c r="AB168" i="4"/>
  <c r="H169" i="4"/>
  <c r="L169" i="4"/>
  <c r="P169" i="4"/>
  <c r="T169" i="4"/>
  <c r="X169" i="4"/>
  <c r="AB169" i="4"/>
  <c r="H170" i="4"/>
  <c r="L170" i="4"/>
  <c r="P170" i="4"/>
  <c r="T170" i="4"/>
  <c r="X170" i="4"/>
  <c r="AB170" i="4"/>
  <c r="H171" i="4"/>
  <c r="L171" i="4"/>
  <c r="P171" i="4"/>
  <c r="T171" i="4"/>
  <c r="X171" i="4"/>
  <c r="AB171" i="4"/>
  <c r="H172" i="4"/>
  <c r="L172" i="4"/>
  <c r="P172" i="4"/>
  <c r="T172" i="4"/>
  <c r="X172" i="4"/>
  <c r="AB172" i="4"/>
  <c r="H173" i="4"/>
  <c r="L173" i="4"/>
  <c r="P173" i="4"/>
  <c r="T173" i="4"/>
  <c r="X173" i="4"/>
  <c r="AB173" i="4"/>
  <c r="H174" i="4"/>
  <c r="L174" i="4"/>
  <c r="P174" i="4"/>
  <c r="T174" i="4"/>
  <c r="X174" i="4"/>
  <c r="AB174" i="4"/>
  <c r="H175" i="4"/>
  <c r="L175" i="4"/>
  <c r="P175" i="4"/>
  <c r="T175" i="4"/>
  <c r="X175" i="4"/>
  <c r="AB175" i="4"/>
  <c r="H176" i="4"/>
  <c r="L176" i="4"/>
  <c r="P176" i="4"/>
  <c r="T176" i="4"/>
  <c r="X176" i="4"/>
  <c r="AB176" i="4"/>
  <c r="H177" i="4"/>
  <c r="L177" i="4"/>
  <c r="P177" i="4"/>
  <c r="T177" i="4"/>
  <c r="X177" i="4"/>
  <c r="AB177" i="4"/>
  <c r="H178" i="4"/>
  <c r="L178" i="4"/>
  <c r="P178" i="4"/>
  <c r="T178" i="4"/>
  <c r="X178" i="4"/>
  <c r="AB178" i="4"/>
  <c r="H179" i="4"/>
  <c r="L179" i="4"/>
  <c r="P179" i="4"/>
  <c r="T179" i="4"/>
  <c r="X179" i="4"/>
  <c r="AB179" i="4"/>
  <c r="H180" i="4"/>
  <c r="L180" i="4"/>
  <c r="P180" i="4"/>
  <c r="T180" i="4"/>
  <c r="X180" i="4"/>
  <c r="AB180" i="4"/>
  <c r="H181" i="4"/>
  <c r="L181" i="4"/>
  <c r="P181" i="4"/>
  <c r="T181" i="4"/>
  <c r="X181" i="4"/>
  <c r="AB181" i="4"/>
  <c r="H182" i="4"/>
  <c r="L182" i="4"/>
  <c r="P182" i="4"/>
  <c r="T182" i="4"/>
  <c r="X182" i="4"/>
  <c r="AB182" i="4"/>
  <c r="H183" i="4"/>
  <c r="L183" i="4"/>
  <c r="P183" i="4"/>
  <c r="T183" i="4"/>
  <c r="X183" i="4"/>
  <c r="AB183" i="4"/>
  <c r="G184" i="4"/>
  <c r="K184" i="4"/>
  <c r="O184" i="4"/>
  <c r="S184" i="4"/>
  <c r="W184" i="4"/>
  <c r="AA184" i="4"/>
  <c r="G185" i="4"/>
  <c r="K185" i="4"/>
  <c r="O185" i="4"/>
  <c r="S185" i="4"/>
  <c r="W185" i="4"/>
  <c r="AA185" i="4"/>
  <c r="G186" i="4"/>
  <c r="K186" i="4"/>
  <c r="O186" i="4"/>
  <c r="S186" i="4"/>
  <c r="W186" i="4"/>
  <c r="AA186" i="4"/>
  <c r="G187" i="4"/>
  <c r="K187" i="4"/>
  <c r="O187" i="4"/>
  <c r="S187" i="4"/>
  <c r="W187" i="4"/>
  <c r="AA187" i="4"/>
  <c r="G188" i="4"/>
  <c r="K188" i="4"/>
  <c r="O188" i="4"/>
  <c r="S188" i="4"/>
  <c r="W188" i="4"/>
  <c r="AA188" i="4"/>
  <c r="H159" i="4"/>
  <c r="L159" i="4"/>
  <c r="P159" i="4"/>
  <c r="T159" i="4"/>
  <c r="X159" i="4"/>
  <c r="AB159" i="4"/>
  <c r="H160" i="4"/>
  <c r="P160" i="4"/>
  <c r="X160" i="4"/>
  <c r="H161" i="4"/>
  <c r="P161" i="4"/>
  <c r="X161" i="4"/>
  <c r="H162" i="4"/>
  <c r="P162" i="4"/>
  <c r="X162" i="4"/>
  <c r="G163" i="4"/>
  <c r="O163" i="4"/>
  <c r="W163" i="4"/>
  <c r="G164" i="4"/>
  <c r="O164" i="4"/>
  <c r="W164" i="4"/>
  <c r="G165" i="4"/>
  <c r="O165" i="4"/>
  <c r="W165" i="4"/>
  <c r="G166" i="4"/>
  <c r="O166" i="4"/>
  <c r="W166" i="4"/>
  <c r="G167" i="4"/>
  <c r="O167" i="4"/>
  <c r="W167" i="4"/>
  <c r="AC167" i="4"/>
  <c r="I168" i="4"/>
  <c r="M168" i="4"/>
  <c r="Q168" i="4"/>
  <c r="U168" i="4"/>
  <c r="Y168" i="4"/>
  <c r="AC168" i="4"/>
  <c r="I169" i="4"/>
  <c r="M169" i="4"/>
  <c r="Q169" i="4"/>
  <c r="U169" i="4"/>
  <c r="Y169" i="4"/>
  <c r="AC169" i="4"/>
  <c r="I170" i="4"/>
  <c r="M170" i="4"/>
  <c r="Q170" i="4"/>
  <c r="U170" i="4"/>
  <c r="Y170" i="4"/>
  <c r="AC170" i="4"/>
  <c r="I171" i="4"/>
  <c r="M171" i="4"/>
  <c r="Q171" i="4"/>
  <c r="U171" i="4"/>
  <c r="Y171" i="4"/>
  <c r="AC171" i="4"/>
  <c r="I172" i="4"/>
  <c r="M172" i="4"/>
  <c r="Q172" i="4"/>
  <c r="U172" i="4"/>
  <c r="Y172" i="4"/>
  <c r="AC172" i="4"/>
  <c r="I173" i="4"/>
  <c r="M173" i="4"/>
  <c r="Q173" i="4"/>
  <c r="U173" i="4"/>
  <c r="Y173" i="4"/>
  <c r="AC173" i="4"/>
  <c r="I174" i="4"/>
  <c r="M174" i="4"/>
  <c r="Q174" i="4"/>
  <c r="U174" i="4"/>
  <c r="Y174" i="4"/>
  <c r="AC174" i="4"/>
  <c r="I175" i="4"/>
  <c r="M175" i="4"/>
  <c r="Q175" i="4"/>
  <c r="U175" i="4"/>
  <c r="Y175" i="4"/>
  <c r="AC175" i="4"/>
  <c r="I176" i="4"/>
  <c r="M176" i="4"/>
  <c r="Q176" i="4"/>
  <c r="U176" i="4"/>
  <c r="Y176" i="4"/>
  <c r="AC176" i="4"/>
  <c r="I177" i="4"/>
  <c r="M177" i="4"/>
  <c r="Q177" i="4"/>
  <c r="U177" i="4"/>
  <c r="Y177" i="4"/>
  <c r="AC177" i="4"/>
  <c r="I178" i="4"/>
  <c r="M178" i="4"/>
  <c r="Q178" i="4"/>
  <c r="U178" i="4"/>
  <c r="Y178" i="4"/>
  <c r="AC178" i="4"/>
  <c r="I179" i="4"/>
  <c r="M179" i="4"/>
  <c r="Q179" i="4"/>
  <c r="U179" i="4"/>
  <c r="Y179" i="4"/>
  <c r="AC179" i="4"/>
  <c r="I180" i="4"/>
  <c r="M180" i="4"/>
  <c r="Q180" i="4"/>
  <c r="U180" i="4"/>
  <c r="Y180" i="4"/>
  <c r="AC180" i="4"/>
  <c r="I181" i="4"/>
  <c r="M181" i="4"/>
  <c r="Q181" i="4"/>
  <c r="U181" i="4"/>
  <c r="Y181" i="4"/>
  <c r="AC181" i="4"/>
  <c r="I182" i="4"/>
  <c r="M182" i="4"/>
  <c r="Q182" i="4"/>
  <c r="U182" i="4"/>
  <c r="Y182" i="4"/>
  <c r="AC182" i="4"/>
  <c r="I183" i="4"/>
  <c r="M183" i="4"/>
  <c r="Q183" i="4"/>
  <c r="U183" i="4"/>
  <c r="Y183" i="4"/>
  <c r="AC183" i="4"/>
  <c r="H184" i="4"/>
  <c r="L184" i="4"/>
  <c r="P184" i="4"/>
  <c r="T184" i="4"/>
  <c r="X184" i="4"/>
  <c r="AB184" i="4"/>
  <c r="H185" i="4"/>
  <c r="L185" i="4"/>
  <c r="P185" i="4"/>
  <c r="T185" i="4"/>
  <c r="X185" i="4"/>
  <c r="AB185" i="4"/>
  <c r="H186" i="4"/>
  <c r="L186" i="4"/>
  <c r="P186" i="4"/>
  <c r="T186" i="4"/>
  <c r="X186" i="4"/>
  <c r="AB186" i="4"/>
  <c r="H187" i="4"/>
  <c r="L187" i="4"/>
  <c r="P187" i="4"/>
  <c r="T187" i="4"/>
  <c r="X187" i="4"/>
  <c r="AB187" i="4"/>
  <c r="H188" i="4"/>
  <c r="L188" i="4"/>
  <c r="P188" i="4"/>
  <c r="T188" i="4"/>
  <c r="X188" i="4"/>
  <c r="AB188" i="4"/>
  <c r="I159" i="4"/>
  <c r="M159" i="4"/>
  <c r="Q159" i="4"/>
  <c r="U159" i="4"/>
  <c r="Y159" i="4"/>
  <c r="AC159" i="4"/>
  <c r="I161" i="4"/>
  <c r="Q162" i="4"/>
  <c r="X163" i="4"/>
  <c r="H165" i="4"/>
  <c r="P166" i="4"/>
  <c r="X167" i="4"/>
  <c r="R168" i="4"/>
  <c r="J169" i="4"/>
  <c r="Z169" i="4"/>
  <c r="R170" i="4"/>
  <c r="J171" i="4"/>
  <c r="Z171" i="4"/>
  <c r="R172" i="4"/>
  <c r="J173" i="4"/>
  <c r="Z173" i="4"/>
  <c r="R174" i="4"/>
  <c r="J175" i="4"/>
  <c r="Z175" i="4"/>
  <c r="R176" i="4"/>
  <c r="J177" i="4"/>
  <c r="Z177" i="4"/>
  <c r="R178" i="4"/>
  <c r="J179" i="4"/>
  <c r="Z179" i="4"/>
  <c r="R180" i="4"/>
  <c r="J181" i="4"/>
  <c r="Z181" i="4"/>
  <c r="R182" i="4"/>
  <c r="J183" i="4"/>
  <c r="Z183" i="4"/>
  <c r="Q184" i="4"/>
  <c r="I185" i="4"/>
  <c r="Y185" i="4"/>
  <c r="Q186" i="4"/>
  <c r="I187" i="4"/>
  <c r="Y187" i="4"/>
  <c r="Q188" i="4"/>
  <c r="J159" i="4"/>
  <c r="Z159" i="4"/>
  <c r="I160" i="4"/>
  <c r="Q161" i="4"/>
  <c r="Y162" i="4"/>
  <c r="H164" i="4"/>
  <c r="P165" i="4"/>
  <c r="X166" i="4"/>
  <c r="F168" i="4"/>
  <c r="V168" i="4"/>
  <c r="N169" i="4"/>
  <c r="F170" i="4"/>
  <c r="V170" i="4"/>
  <c r="N171" i="4"/>
  <c r="F172" i="4"/>
  <c r="V172" i="4"/>
  <c r="N173" i="4"/>
  <c r="F174" i="4"/>
  <c r="V174" i="4"/>
  <c r="N175" i="4"/>
  <c r="F176" i="4"/>
  <c r="V176" i="4"/>
  <c r="N177" i="4"/>
  <c r="F178" i="4"/>
  <c r="V178" i="4"/>
  <c r="N179" i="4"/>
  <c r="F180" i="4"/>
  <c r="V180" i="4"/>
  <c r="N181" i="4"/>
  <c r="F182" i="4"/>
  <c r="V182" i="4"/>
  <c r="N183" i="4"/>
  <c r="U184" i="4"/>
  <c r="M185" i="4"/>
  <c r="AC185" i="4"/>
  <c r="U186" i="4"/>
  <c r="M187" i="4"/>
  <c r="AC187" i="4"/>
  <c r="U188" i="4"/>
  <c r="N159" i="4"/>
  <c r="F159" i="4"/>
  <c r="Q160" i="4"/>
  <c r="Y161" i="4"/>
  <c r="H163" i="4"/>
  <c r="P164" i="4"/>
  <c r="X165" i="4"/>
  <c r="H167" i="4"/>
  <c r="J168" i="4"/>
  <c r="Z168" i="4"/>
  <c r="R169" i="4"/>
  <c r="J170" i="4"/>
  <c r="Z170" i="4"/>
  <c r="R171" i="4"/>
  <c r="J172" i="4"/>
  <c r="Z172" i="4"/>
  <c r="R173" i="4"/>
  <c r="J174" i="4"/>
  <c r="Z174" i="4"/>
  <c r="R175" i="4"/>
  <c r="J176" i="4"/>
  <c r="Z176" i="4"/>
  <c r="R177" i="4"/>
  <c r="J178" i="4"/>
  <c r="Z178" i="4"/>
  <c r="R179" i="4"/>
  <c r="J180" i="4"/>
  <c r="Z180" i="4"/>
  <c r="R181" i="4"/>
  <c r="J182" i="4"/>
  <c r="Z182" i="4"/>
  <c r="R183" i="4"/>
  <c r="I184" i="4"/>
  <c r="Y184" i="4"/>
  <c r="Q185" i="4"/>
  <c r="I186" i="4"/>
  <c r="Y186" i="4"/>
  <c r="Q187" i="4"/>
  <c r="I188" i="4"/>
  <c r="Y188" i="4"/>
  <c r="R159" i="4"/>
  <c r="Y160" i="4"/>
  <c r="I162" i="4"/>
  <c r="P163" i="4"/>
  <c r="X164" i="4"/>
  <c r="H166" i="4"/>
  <c r="P167" i="4"/>
  <c r="N168" i="4"/>
  <c r="F169" i="4"/>
  <c r="V169" i="4"/>
  <c r="N170" i="4"/>
  <c r="F171" i="4"/>
  <c r="V171" i="4"/>
  <c r="N172" i="4"/>
  <c r="F173" i="4"/>
  <c r="V173" i="4"/>
  <c r="N174" i="4"/>
  <c r="F175" i="4"/>
  <c r="V175" i="4"/>
  <c r="N176" i="4"/>
  <c r="F177" i="4"/>
  <c r="V177" i="4"/>
  <c r="N178" i="4"/>
  <c r="F179" i="4"/>
  <c r="V179" i="4"/>
  <c r="N180" i="4"/>
  <c r="F181" i="4"/>
  <c r="V181" i="4"/>
  <c r="N182" i="4"/>
  <c r="F183" i="4"/>
  <c r="V183" i="4"/>
  <c r="M184" i="4"/>
  <c r="AC184" i="4"/>
  <c r="U185" i="4"/>
  <c r="M186" i="4"/>
  <c r="AC186" i="4"/>
  <c r="U187" i="4"/>
  <c r="M188" i="4"/>
  <c r="AC188" i="4"/>
  <c r="V159" i="4"/>
  <c r="I280" i="4"/>
  <c r="M280" i="4"/>
  <c r="Q280" i="4"/>
  <c r="U280" i="4"/>
  <c r="Y280" i="4"/>
  <c r="AC280" i="4"/>
  <c r="I252" i="4"/>
  <c r="M252" i="4"/>
  <c r="Q252" i="4"/>
  <c r="U252" i="4"/>
  <c r="Y252" i="4"/>
  <c r="AC252" i="4"/>
  <c r="I253" i="4"/>
  <c r="M253" i="4"/>
  <c r="Q253" i="4"/>
  <c r="U253" i="4"/>
  <c r="Y253" i="4"/>
  <c r="AC253" i="4"/>
  <c r="I254" i="4"/>
  <c r="M254" i="4"/>
  <c r="Q254" i="4"/>
  <c r="U254" i="4"/>
  <c r="Y254" i="4"/>
  <c r="AC254" i="4"/>
  <c r="I255" i="4"/>
  <c r="M255" i="4"/>
  <c r="Q255" i="4"/>
  <c r="U255" i="4"/>
  <c r="Y255" i="4"/>
  <c r="AC255" i="4"/>
  <c r="I256" i="4"/>
  <c r="M256" i="4"/>
  <c r="Q256" i="4"/>
  <c r="U256" i="4"/>
  <c r="Y256" i="4"/>
  <c r="AC256" i="4"/>
  <c r="I257" i="4"/>
  <c r="M257" i="4"/>
  <c r="Q257" i="4"/>
  <c r="U257" i="4"/>
  <c r="Y257" i="4"/>
  <c r="AC257" i="4"/>
  <c r="I258" i="4"/>
  <c r="M258" i="4"/>
  <c r="Q258" i="4"/>
  <c r="U258" i="4"/>
  <c r="Y258" i="4"/>
  <c r="AC258" i="4"/>
  <c r="I259" i="4"/>
  <c r="M259" i="4"/>
  <c r="Q259" i="4"/>
  <c r="U259" i="4"/>
  <c r="Y259" i="4"/>
  <c r="AC259" i="4"/>
  <c r="I260" i="4"/>
  <c r="M260" i="4"/>
  <c r="Q260" i="4"/>
  <c r="U260" i="4"/>
  <c r="Y260" i="4"/>
  <c r="AC260" i="4"/>
  <c r="I261" i="4"/>
  <c r="M261" i="4"/>
  <c r="Q261" i="4"/>
  <c r="U261" i="4"/>
  <c r="Y261" i="4"/>
  <c r="G280" i="4"/>
  <c r="L280" i="4"/>
  <c r="R280" i="4"/>
  <c r="W280" i="4"/>
  <c r="AB280" i="4"/>
  <c r="J252" i="4"/>
  <c r="O252" i="4"/>
  <c r="T252" i="4"/>
  <c r="Z252" i="4"/>
  <c r="G253" i="4"/>
  <c r="L253" i="4"/>
  <c r="R253" i="4"/>
  <c r="W253" i="4"/>
  <c r="AB253" i="4"/>
  <c r="J254" i="4"/>
  <c r="O254" i="4"/>
  <c r="T254" i="4"/>
  <c r="Z254" i="4"/>
  <c r="G255" i="4"/>
  <c r="L255" i="4"/>
  <c r="R255" i="4"/>
  <c r="W255" i="4"/>
  <c r="AB255" i="4"/>
  <c r="J256" i="4"/>
  <c r="O256" i="4"/>
  <c r="T256" i="4"/>
  <c r="Z256" i="4"/>
  <c r="G257" i="4"/>
  <c r="L257" i="4"/>
  <c r="R257" i="4"/>
  <c r="W257" i="4"/>
  <c r="AB257" i="4"/>
  <c r="J258" i="4"/>
  <c r="O258" i="4"/>
  <c r="T258" i="4"/>
  <c r="Z258" i="4"/>
  <c r="G259" i="4"/>
  <c r="L259" i="4"/>
  <c r="R259" i="4"/>
  <c r="W259" i="4"/>
  <c r="AB259" i="4"/>
  <c r="J260" i="4"/>
  <c r="O260" i="4"/>
  <c r="T260" i="4"/>
  <c r="Z260" i="4"/>
  <c r="G261" i="4"/>
  <c r="L261" i="4"/>
  <c r="R261" i="4"/>
  <c r="W261" i="4"/>
  <c r="AB261" i="4"/>
  <c r="H262" i="4"/>
  <c r="L262" i="4"/>
  <c r="P262" i="4"/>
  <c r="T262" i="4"/>
  <c r="X262" i="4"/>
  <c r="AB262" i="4"/>
  <c r="H263" i="4"/>
  <c r="L263" i="4"/>
  <c r="P263" i="4"/>
  <c r="T263" i="4"/>
  <c r="X263" i="4"/>
  <c r="AB263" i="4"/>
  <c r="H264" i="4"/>
  <c r="L264" i="4"/>
  <c r="P264" i="4"/>
  <c r="T264" i="4"/>
  <c r="X264" i="4"/>
  <c r="AB264" i="4"/>
  <c r="H265" i="4"/>
  <c r="L265" i="4"/>
  <c r="P265" i="4"/>
  <c r="T265" i="4"/>
  <c r="X265" i="4"/>
  <c r="AB265" i="4"/>
  <c r="H266" i="4"/>
  <c r="L266" i="4"/>
  <c r="P266" i="4"/>
  <c r="T266" i="4"/>
  <c r="X266" i="4"/>
  <c r="AB266" i="4"/>
  <c r="H267" i="4"/>
  <c r="L267" i="4"/>
  <c r="P267" i="4"/>
  <c r="T267" i="4"/>
  <c r="X267" i="4"/>
  <c r="AB267" i="4"/>
  <c r="H268" i="4"/>
  <c r="L268" i="4"/>
  <c r="P268" i="4"/>
  <c r="T268" i="4"/>
  <c r="X268" i="4"/>
  <c r="AB268" i="4"/>
  <c r="H269" i="4"/>
  <c r="L269" i="4"/>
  <c r="P269" i="4"/>
  <c r="T269" i="4"/>
  <c r="X269" i="4"/>
  <c r="AB269" i="4"/>
  <c r="H270" i="4"/>
  <c r="L270" i="4"/>
  <c r="P270" i="4"/>
  <c r="T270" i="4"/>
  <c r="X270" i="4"/>
  <c r="AB270" i="4"/>
  <c r="H271" i="4"/>
  <c r="L271" i="4"/>
  <c r="P271" i="4"/>
  <c r="T271" i="4"/>
  <c r="X271" i="4"/>
  <c r="AB271" i="4"/>
  <c r="H272" i="4"/>
  <c r="L272" i="4"/>
  <c r="P272" i="4"/>
  <c r="T272" i="4"/>
  <c r="X272" i="4"/>
  <c r="AB272" i="4"/>
  <c r="H273" i="4"/>
  <c r="L273" i="4"/>
  <c r="P273" i="4"/>
  <c r="T273" i="4"/>
  <c r="X273" i="4"/>
  <c r="AB273" i="4"/>
  <c r="H274" i="4"/>
  <c r="L274" i="4"/>
  <c r="P274" i="4"/>
  <c r="T274" i="4"/>
  <c r="X274" i="4"/>
  <c r="AB274" i="4"/>
  <c r="H275" i="4"/>
  <c r="L275" i="4"/>
  <c r="P275" i="4"/>
  <c r="T275" i="4"/>
  <c r="X275" i="4"/>
  <c r="AB275" i="4"/>
  <c r="H276" i="4"/>
  <c r="L276" i="4"/>
  <c r="P276" i="4"/>
  <c r="T276" i="4"/>
  <c r="X276" i="4"/>
  <c r="AB276" i="4"/>
  <c r="H277" i="4"/>
  <c r="L277" i="4"/>
  <c r="P277" i="4"/>
  <c r="H280" i="4"/>
  <c r="N280" i="4"/>
  <c r="S280" i="4"/>
  <c r="X280" i="4"/>
  <c r="F252" i="4"/>
  <c r="K252" i="4"/>
  <c r="P252" i="4"/>
  <c r="V252" i="4"/>
  <c r="AA252" i="4"/>
  <c r="H253" i="4"/>
  <c r="N253" i="4"/>
  <c r="S253" i="4"/>
  <c r="X253" i="4"/>
  <c r="F254" i="4"/>
  <c r="K254" i="4"/>
  <c r="P254" i="4"/>
  <c r="V254" i="4"/>
  <c r="AA254" i="4"/>
  <c r="H255" i="4"/>
  <c r="N255" i="4"/>
  <c r="S255" i="4"/>
  <c r="X255" i="4"/>
  <c r="F256" i="4"/>
  <c r="K256" i="4"/>
  <c r="P256" i="4"/>
  <c r="V256" i="4"/>
  <c r="AA256" i="4"/>
  <c r="H257" i="4"/>
  <c r="N257" i="4"/>
  <c r="S257" i="4"/>
  <c r="X257" i="4"/>
  <c r="F258" i="4"/>
  <c r="K258" i="4"/>
  <c r="P258" i="4"/>
  <c r="V258" i="4"/>
  <c r="AA258" i="4"/>
  <c r="H259" i="4"/>
  <c r="N259" i="4"/>
  <c r="S259" i="4"/>
  <c r="X259" i="4"/>
  <c r="F260" i="4"/>
  <c r="K260" i="4"/>
  <c r="P260" i="4"/>
  <c r="V260" i="4"/>
  <c r="AA260" i="4"/>
  <c r="H261" i="4"/>
  <c r="N261" i="4"/>
  <c r="S261" i="4"/>
  <c r="X261" i="4"/>
  <c r="AC261" i="4"/>
  <c r="I262" i="4"/>
  <c r="M262" i="4"/>
  <c r="Q262" i="4"/>
  <c r="U262" i="4"/>
  <c r="Y262" i="4"/>
  <c r="AC262" i="4"/>
  <c r="I263" i="4"/>
  <c r="M263" i="4"/>
  <c r="Q263" i="4"/>
  <c r="U263" i="4"/>
  <c r="Y263" i="4"/>
  <c r="AC263" i="4"/>
  <c r="I264" i="4"/>
  <c r="M264" i="4"/>
  <c r="Q264" i="4"/>
  <c r="U264" i="4"/>
  <c r="Y264" i="4"/>
  <c r="AC264" i="4"/>
  <c r="I265" i="4"/>
  <c r="M265" i="4"/>
  <c r="Q265" i="4"/>
  <c r="U265" i="4"/>
  <c r="Y265" i="4"/>
  <c r="AC265" i="4"/>
  <c r="I266" i="4"/>
  <c r="M266" i="4"/>
  <c r="Q266" i="4"/>
  <c r="U266" i="4"/>
  <c r="Y266" i="4"/>
  <c r="AC266" i="4"/>
  <c r="I267" i="4"/>
  <c r="M267" i="4"/>
  <c r="Q267" i="4"/>
  <c r="U267" i="4"/>
  <c r="Y267" i="4"/>
  <c r="AC267" i="4"/>
  <c r="I268" i="4"/>
  <c r="M268" i="4"/>
  <c r="Q268" i="4"/>
  <c r="U268" i="4"/>
  <c r="Y268" i="4"/>
  <c r="AC268" i="4"/>
  <c r="I269" i="4"/>
  <c r="M269" i="4"/>
  <c r="Q269" i="4"/>
  <c r="U269" i="4"/>
  <c r="Y269" i="4"/>
  <c r="AC269" i="4"/>
  <c r="I270" i="4"/>
  <c r="M270" i="4"/>
  <c r="Q270" i="4"/>
  <c r="U270" i="4"/>
  <c r="Y270" i="4"/>
  <c r="AC270" i="4"/>
  <c r="I271" i="4"/>
  <c r="M271" i="4"/>
  <c r="Q271" i="4"/>
  <c r="U271" i="4"/>
  <c r="Y271" i="4"/>
  <c r="AC271" i="4"/>
  <c r="I272" i="4"/>
  <c r="M272" i="4"/>
  <c r="Q272" i="4"/>
  <c r="U272" i="4"/>
  <c r="Y272" i="4"/>
  <c r="AC272" i="4"/>
  <c r="I273" i="4"/>
  <c r="M273" i="4"/>
  <c r="Q273" i="4"/>
  <c r="U273" i="4"/>
  <c r="Y273" i="4"/>
  <c r="AC273" i="4"/>
  <c r="I274" i="4"/>
  <c r="M274" i="4"/>
  <c r="Q274" i="4"/>
  <c r="U274" i="4"/>
  <c r="Y274" i="4"/>
  <c r="AC274" i="4"/>
  <c r="I275" i="4"/>
  <c r="M275" i="4"/>
  <c r="Q275" i="4"/>
  <c r="U275" i="4"/>
  <c r="Y275" i="4"/>
  <c r="AC275" i="4"/>
  <c r="I276" i="4"/>
  <c r="M276" i="4"/>
  <c r="Q276" i="4"/>
  <c r="U276" i="4"/>
  <c r="Y276" i="4"/>
  <c r="AC276" i="4"/>
  <c r="I277" i="4"/>
  <c r="J280" i="4"/>
  <c r="O280" i="4"/>
  <c r="T280" i="4"/>
  <c r="Z280" i="4"/>
  <c r="G252" i="4"/>
  <c r="L252" i="4"/>
  <c r="R252" i="4"/>
  <c r="W252" i="4"/>
  <c r="AB252" i="4"/>
  <c r="J253" i="4"/>
  <c r="O253" i="4"/>
  <c r="T253" i="4"/>
  <c r="Z253" i="4"/>
  <c r="G254" i="4"/>
  <c r="L254" i="4"/>
  <c r="R254" i="4"/>
  <c r="W254" i="4"/>
  <c r="AB254" i="4"/>
  <c r="J255" i="4"/>
  <c r="O255" i="4"/>
  <c r="T255" i="4"/>
  <c r="Z255" i="4"/>
  <c r="G256" i="4"/>
  <c r="L256" i="4"/>
  <c r="R256" i="4"/>
  <c r="W256" i="4"/>
  <c r="AB256" i="4"/>
  <c r="J257" i="4"/>
  <c r="O257" i="4"/>
  <c r="T257" i="4"/>
  <c r="Z257" i="4"/>
  <c r="G258" i="4"/>
  <c r="L258" i="4"/>
  <c r="R258" i="4"/>
  <c r="W258" i="4"/>
  <c r="AB258" i="4"/>
  <c r="J259" i="4"/>
  <c r="O259" i="4"/>
  <c r="T259" i="4"/>
  <c r="Z259" i="4"/>
  <c r="G260" i="4"/>
  <c r="L260" i="4"/>
  <c r="R260" i="4"/>
  <c r="W260" i="4"/>
  <c r="AB260" i="4"/>
  <c r="J261" i="4"/>
  <c r="O261" i="4"/>
  <c r="T261" i="4"/>
  <c r="Z261" i="4"/>
  <c r="F262" i="4"/>
  <c r="J262" i="4"/>
  <c r="N262" i="4"/>
  <c r="R262" i="4"/>
  <c r="F280" i="4"/>
  <c r="K280" i="4"/>
  <c r="P280" i="4"/>
  <c r="V280" i="4"/>
  <c r="AA280" i="4"/>
  <c r="H252" i="4"/>
  <c r="N252" i="4"/>
  <c r="F253" i="4"/>
  <c r="AA253" i="4"/>
  <c r="X254" i="4"/>
  <c r="V255" i="4"/>
  <c r="S256" i="4"/>
  <c r="P257" i="4"/>
  <c r="N258" i="4"/>
  <c r="K259" i="4"/>
  <c r="H260" i="4"/>
  <c r="F261" i="4"/>
  <c r="AA261" i="4"/>
  <c r="S262" i="4"/>
  <c r="AA262" i="4"/>
  <c r="K263" i="4"/>
  <c r="S263" i="4"/>
  <c r="AA263" i="4"/>
  <c r="K264" i="4"/>
  <c r="S264" i="4"/>
  <c r="AA264" i="4"/>
  <c r="K265" i="4"/>
  <c r="S265" i="4"/>
  <c r="AA265" i="4"/>
  <c r="K266" i="4"/>
  <c r="S266" i="4"/>
  <c r="AA266" i="4"/>
  <c r="K267" i="4"/>
  <c r="S267" i="4"/>
  <c r="AA267" i="4"/>
  <c r="K268" i="4"/>
  <c r="S268" i="4"/>
  <c r="AA268" i="4"/>
  <c r="K269" i="4"/>
  <c r="S269" i="4"/>
  <c r="AA269" i="4"/>
  <c r="K270" i="4"/>
  <c r="S270" i="4"/>
  <c r="AA270" i="4"/>
  <c r="K271" i="4"/>
  <c r="S271" i="4"/>
  <c r="AA271" i="4"/>
  <c r="K272" i="4"/>
  <c r="S272" i="4"/>
  <c r="AA272" i="4"/>
  <c r="K273" i="4"/>
  <c r="S273" i="4"/>
  <c r="AA273" i="4"/>
  <c r="K274" i="4"/>
  <c r="S274" i="4"/>
  <c r="AA274" i="4"/>
  <c r="K275" i="4"/>
  <c r="S275" i="4"/>
  <c r="AA275" i="4"/>
  <c r="K276" i="4"/>
  <c r="S276" i="4"/>
  <c r="AA276" i="4"/>
  <c r="K277" i="4"/>
  <c r="Q277" i="4"/>
  <c r="U277" i="4"/>
  <c r="Y277" i="4"/>
  <c r="AC277" i="4"/>
  <c r="I278" i="4"/>
  <c r="M278" i="4"/>
  <c r="Q278" i="4"/>
  <c r="U278" i="4"/>
  <c r="Y278" i="4"/>
  <c r="AC278" i="4"/>
  <c r="I279" i="4"/>
  <c r="M279" i="4"/>
  <c r="Q279" i="4"/>
  <c r="U279" i="4"/>
  <c r="Y279" i="4"/>
  <c r="AC279" i="4"/>
  <c r="J251" i="4"/>
  <c r="N251" i="4"/>
  <c r="R251" i="4"/>
  <c r="V251" i="4"/>
  <c r="Z251" i="4"/>
  <c r="K253" i="4"/>
  <c r="H254" i="4"/>
  <c r="F255" i="4"/>
  <c r="AA255" i="4"/>
  <c r="X256" i="4"/>
  <c r="V257" i="4"/>
  <c r="S258" i="4"/>
  <c r="P259" i="4"/>
  <c r="N260" i="4"/>
  <c r="K261" i="4"/>
  <c r="G262" i="4"/>
  <c r="V262" i="4"/>
  <c r="F263" i="4"/>
  <c r="N263" i="4"/>
  <c r="V263" i="4"/>
  <c r="F264" i="4"/>
  <c r="N264" i="4"/>
  <c r="V264" i="4"/>
  <c r="F265" i="4"/>
  <c r="N265" i="4"/>
  <c r="V265" i="4"/>
  <c r="F266" i="4"/>
  <c r="N266" i="4"/>
  <c r="V266" i="4"/>
  <c r="F267" i="4"/>
  <c r="N267" i="4"/>
  <c r="V267" i="4"/>
  <c r="F268" i="4"/>
  <c r="N268" i="4"/>
  <c r="V268" i="4"/>
  <c r="F269" i="4"/>
  <c r="N269" i="4"/>
  <c r="V269" i="4"/>
  <c r="F270" i="4"/>
  <c r="N270" i="4"/>
  <c r="V270" i="4"/>
  <c r="F271" i="4"/>
  <c r="N271" i="4"/>
  <c r="V271" i="4"/>
  <c r="F272" i="4"/>
  <c r="N272" i="4"/>
  <c r="V272" i="4"/>
  <c r="F273" i="4"/>
  <c r="N273" i="4"/>
  <c r="V273" i="4"/>
  <c r="F274" i="4"/>
  <c r="N274" i="4"/>
  <c r="V274" i="4"/>
  <c r="F275" i="4"/>
  <c r="N275" i="4"/>
  <c r="V275" i="4"/>
  <c r="F276" i="4"/>
  <c r="N276" i="4"/>
  <c r="V276" i="4"/>
  <c r="F277" i="4"/>
  <c r="M277" i="4"/>
  <c r="R277" i="4"/>
  <c r="V277" i="4"/>
  <c r="Z277" i="4"/>
  <c r="F278" i="4"/>
  <c r="J278" i="4"/>
  <c r="N278" i="4"/>
  <c r="R278" i="4"/>
  <c r="V278" i="4"/>
  <c r="Z278" i="4"/>
  <c r="F279" i="4"/>
  <c r="J279" i="4"/>
  <c r="N279" i="4"/>
  <c r="R279" i="4"/>
  <c r="V279" i="4"/>
  <c r="Z279" i="4"/>
  <c r="G251" i="4"/>
  <c r="K251" i="4"/>
  <c r="O251" i="4"/>
  <c r="S251" i="4"/>
  <c r="W251" i="4"/>
  <c r="AA251" i="4"/>
  <c r="S252" i="4"/>
  <c r="P253" i="4"/>
  <c r="N254" i="4"/>
  <c r="K255" i="4"/>
  <c r="H256" i="4"/>
  <c r="F257" i="4"/>
  <c r="AA257" i="4"/>
  <c r="X258" i="4"/>
  <c r="V259" i="4"/>
  <c r="S260" i="4"/>
  <c r="P261" i="4"/>
  <c r="K262" i="4"/>
  <c r="W262" i="4"/>
  <c r="G263" i="4"/>
  <c r="O263" i="4"/>
  <c r="W263" i="4"/>
  <c r="G264" i="4"/>
  <c r="O264" i="4"/>
  <c r="W264" i="4"/>
  <c r="G265" i="4"/>
  <c r="O265" i="4"/>
  <c r="W265" i="4"/>
  <c r="G266" i="4"/>
  <c r="O266" i="4"/>
  <c r="W266" i="4"/>
  <c r="G267" i="4"/>
  <c r="O267" i="4"/>
  <c r="W267" i="4"/>
  <c r="G268" i="4"/>
  <c r="O268" i="4"/>
  <c r="W268" i="4"/>
  <c r="G269" i="4"/>
  <c r="O269" i="4"/>
  <c r="W269" i="4"/>
  <c r="G270" i="4"/>
  <c r="O270" i="4"/>
  <c r="W270" i="4"/>
  <c r="G271" i="4"/>
  <c r="O271" i="4"/>
  <c r="W271" i="4"/>
  <c r="G272" i="4"/>
  <c r="O272" i="4"/>
  <c r="W272" i="4"/>
  <c r="G273" i="4"/>
  <c r="O273" i="4"/>
  <c r="W273" i="4"/>
  <c r="G274" i="4"/>
  <c r="O274" i="4"/>
  <c r="W274" i="4"/>
  <c r="G275" i="4"/>
  <c r="O275" i="4"/>
  <c r="W275" i="4"/>
  <c r="G276" i="4"/>
  <c r="O276" i="4"/>
  <c r="W276" i="4"/>
  <c r="G277" i="4"/>
  <c r="N277" i="4"/>
  <c r="S277" i="4"/>
  <c r="W277" i="4"/>
  <c r="AA277" i="4"/>
  <c r="G278" i="4"/>
  <c r="K278" i="4"/>
  <c r="O278" i="4"/>
  <c r="S278" i="4"/>
  <c r="W278" i="4"/>
  <c r="AA278" i="4"/>
  <c r="G279" i="4"/>
  <c r="K279" i="4"/>
  <c r="O279" i="4"/>
  <c r="S279" i="4"/>
  <c r="W279" i="4"/>
  <c r="AA279" i="4"/>
  <c r="H251" i="4"/>
  <c r="L251" i="4"/>
  <c r="P251" i="4"/>
  <c r="T251" i="4"/>
  <c r="X251" i="4"/>
  <c r="AB251" i="4"/>
  <c r="F251" i="4"/>
  <c r="S254" i="4"/>
  <c r="H258" i="4"/>
  <c r="V261" i="4"/>
  <c r="R263" i="4"/>
  <c r="Z264" i="4"/>
  <c r="J266" i="4"/>
  <c r="R267" i="4"/>
  <c r="Z268" i="4"/>
  <c r="J270" i="4"/>
  <c r="R271" i="4"/>
  <c r="Z272" i="4"/>
  <c r="J274" i="4"/>
  <c r="R275" i="4"/>
  <c r="Z276" i="4"/>
  <c r="X277" i="4"/>
  <c r="P278" i="4"/>
  <c r="H279" i="4"/>
  <c r="X279" i="4"/>
  <c r="Q251" i="4"/>
  <c r="P255" i="4"/>
  <c r="F259" i="4"/>
  <c r="O262" i="4"/>
  <c r="Z263" i="4"/>
  <c r="J265" i="4"/>
  <c r="R266" i="4"/>
  <c r="Z267" i="4"/>
  <c r="J269" i="4"/>
  <c r="R270" i="4"/>
  <c r="Z271" i="4"/>
  <c r="J273" i="4"/>
  <c r="R274" i="4"/>
  <c r="Z275" i="4"/>
  <c r="J277" i="4"/>
  <c r="AB277" i="4"/>
  <c r="T278" i="4"/>
  <c r="L279" i="4"/>
  <c r="AB279" i="4"/>
  <c r="U251" i="4"/>
  <c r="X252" i="4"/>
  <c r="N256" i="4"/>
  <c r="AA259" i="4"/>
  <c r="Z262" i="4"/>
  <c r="J264" i="4"/>
  <c r="R265" i="4"/>
  <c r="Z266" i="4"/>
  <c r="J268" i="4"/>
  <c r="R269" i="4"/>
  <c r="Z270" i="4"/>
  <c r="J272" i="4"/>
  <c r="R273" i="4"/>
  <c r="Z274" i="4"/>
  <c r="J276" i="4"/>
  <c r="O277" i="4"/>
  <c r="H278" i="4"/>
  <c r="X278" i="4"/>
  <c r="P279" i="4"/>
  <c r="I251" i="4"/>
  <c r="Y251" i="4"/>
  <c r="V253" i="4"/>
  <c r="K257" i="4"/>
  <c r="X260" i="4"/>
  <c r="J263" i="4"/>
  <c r="R264" i="4"/>
  <c r="Z265" i="4"/>
  <c r="J267" i="4"/>
  <c r="R268" i="4"/>
  <c r="Z269" i="4"/>
  <c r="J271" i="4"/>
  <c r="R272" i="4"/>
  <c r="Z273" i="4"/>
  <c r="J275" i="4"/>
  <c r="R276" i="4"/>
  <c r="T277" i="4"/>
  <c r="L278" i="4"/>
  <c r="AB278" i="4"/>
  <c r="T279" i="4"/>
  <c r="M251" i="4"/>
  <c r="AC251" i="4"/>
  <c r="I129" i="4"/>
  <c r="M129" i="4"/>
  <c r="Q129" i="4"/>
  <c r="U129" i="4"/>
  <c r="Y129" i="4"/>
  <c r="AC129" i="4"/>
  <c r="I130" i="4"/>
  <c r="M130" i="4"/>
  <c r="Q130" i="4"/>
  <c r="U130" i="4"/>
  <c r="Y130" i="4"/>
  <c r="AC130" i="4"/>
  <c r="I131" i="4"/>
  <c r="M131" i="4"/>
  <c r="Q131" i="4"/>
  <c r="U131" i="4"/>
  <c r="Y131" i="4"/>
  <c r="AC131" i="4"/>
  <c r="I132" i="4"/>
  <c r="M132" i="4"/>
  <c r="Q132" i="4"/>
  <c r="U132" i="4"/>
  <c r="Y132" i="4"/>
  <c r="AC132" i="4"/>
  <c r="I133" i="4"/>
  <c r="M133" i="4"/>
  <c r="Q133" i="4"/>
  <c r="U133" i="4"/>
  <c r="Y133" i="4"/>
  <c r="AC133" i="4"/>
  <c r="I134" i="4"/>
  <c r="M134" i="4"/>
  <c r="Q134" i="4"/>
  <c r="U134" i="4"/>
  <c r="Y134" i="4"/>
  <c r="AC134" i="4"/>
  <c r="I135" i="4"/>
  <c r="M135" i="4"/>
  <c r="Q135" i="4"/>
  <c r="U135" i="4"/>
  <c r="Y135" i="4"/>
  <c r="AC135" i="4"/>
  <c r="I136" i="4"/>
  <c r="M136" i="4"/>
  <c r="Q136" i="4"/>
  <c r="U136" i="4"/>
  <c r="Y136" i="4"/>
  <c r="AC136" i="4"/>
  <c r="H137" i="4"/>
  <c r="L137" i="4"/>
  <c r="P137" i="4"/>
  <c r="T137" i="4"/>
  <c r="X137" i="4"/>
  <c r="AB137" i="4"/>
  <c r="H138" i="4"/>
  <c r="L138" i="4"/>
  <c r="P138" i="4"/>
  <c r="T138" i="4"/>
  <c r="X138" i="4"/>
  <c r="AB138" i="4"/>
  <c r="H139" i="4"/>
  <c r="L139" i="4"/>
  <c r="P139" i="4"/>
  <c r="T139" i="4"/>
  <c r="X139" i="4"/>
  <c r="AB139" i="4"/>
  <c r="H140" i="4"/>
  <c r="L140" i="4"/>
  <c r="P140" i="4"/>
  <c r="T140" i="4"/>
  <c r="X140" i="4"/>
  <c r="AB140" i="4"/>
  <c r="H141" i="4"/>
  <c r="L141" i="4"/>
  <c r="P141" i="4"/>
  <c r="T141" i="4"/>
  <c r="X141" i="4"/>
  <c r="AB141" i="4"/>
  <c r="H142" i="4"/>
  <c r="L142" i="4"/>
  <c r="P142" i="4"/>
  <c r="T142" i="4"/>
  <c r="X142" i="4"/>
  <c r="AB142" i="4"/>
  <c r="H143" i="4"/>
  <c r="L143" i="4"/>
  <c r="P143" i="4"/>
  <c r="T143" i="4"/>
  <c r="X143" i="4"/>
  <c r="AB143" i="4"/>
  <c r="H144" i="4"/>
  <c r="L144" i="4"/>
  <c r="P144" i="4"/>
  <c r="T144" i="4"/>
  <c r="X144" i="4"/>
  <c r="AB144" i="4"/>
  <c r="G145" i="4"/>
  <c r="K145" i="4"/>
  <c r="O145" i="4"/>
  <c r="S145" i="4"/>
  <c r="W145" i="4"/>
  <c r="AA145" i="4"/>
  <c r="G146" i="4"/>
  <c r="K146" i="4"/>
  <c r="O146" i="4"/>
  <c r="S146" i="4"/>
  <c r="W146" i="4"/>
  <c r="AA146" i="4"/>
  <c r="G147" i="4"/>
  <c r="K147" i="4"/>
  <c r="O147" i="4"/>
  <c r="S147" i="4"/>
  <c r="W147" i="4"/>
  <c r="AA147" i="4"/>
  <c r="G148" i="4"/>
  <c r="K148" i="4"/>
  <c r="O148" i="4"/>
  <c r="S148" i="4"/>
  <c r="W148" i="4"/>
  <c r="AA148" i="4"/>
  <c r="G149" i="4"/>
  <c r="K149" i="4"/>
  <c r="O149" i="4"/>
  <c r="S149" i="4"/>
  <c r="W149" i="4"/>
  <c r="AA149" i="4"/>
  <c r="G150" i="4"/>
  <c r="K150" i="4"/>
  <c r="O150" i="4"/>
  <c r="S150" i="4"/>
  <c r="W150" i="4"/>
  <c r="AA150" i="4"/>
  <c r="G151" i="4"/>
  <c r="K151" i="4"/>
  <c r="O151" i="4"/>
  <c r="S151" i="4"/>
  <c r="W151" i="4"/>
  <c r="AA151" i="4"/>
  <c r="G152" i="4"/>
  <c r="K152" i="4"/>
  <c r="O152" i="4"/>
  <c r="S152" i="4"/>
  <c r="W152" i="4"/>
  <c r="AA152" i="4"/>
  <c r="G153" i="4"/>
  <c r="K153" i="4"/>
  <c r="O153" i="4"/>
  <c r="S153" i="4"/>
  <c r="W153" i="4"/>
  <c r="AA153" i="4"/>
  <c r="G154" i="4"/>
  <c r="K154" i="4"/>
  <c r="O154" i="4"/>
  <c r="S154" i="4"/>
  <c r="W154" i="4"/>
  <c r="AA154" i="4"/>
  <c r="G155" i="4"/>
  <c r="K155" i="4"/>
  <c r="O155" i="4"/>
  <c r="S155" i="4"/>
  <c r="W155" i="4"/>
  <c r="AA155" i="4"/>
  <c r="G156" i="4"/>
  <c r="K156" i="4"/>
  <c r="O156" i="4"/>
  <c r="S156" i="4"/>
  <c r="W156" i="4"/>
  <c r="AA156" i="4"/>
  <c r="F157" i="4"/>
  <c r="J157" i="4"/>
  <c r="N157" i="4"/>
  <c r="R157" i="4"/>
  <c r="V157" i="4"/>
  <c r="Z157" i="4"/>
  <c r="F158" i="4"/>
  <c r="J158" i="4"/>
  <c r="N158" i="4"/>
  <c r="R158" i="4"/>
  <c r="V158" i="4"/>
  <c r="Z158" i="4"/>
  <c r="G128" i="4"/>
  <c r="K128" i="4"/>
  <c r="O128" i="4"/>
  <c r="S128" i="4"/>
  <c r="W128" i="4"/>
  <c r="AA128" i="4"/>
  <c r="F129" i="4"/>
  <c r="J129" i="4"/>
  <c r="N129" i="4"/>
  <c r="R129" i="4"/>
  <c r="V129" i="4"/>
  <c r="Z129" i="4"/>
  <c r="F130" i="4"/>
  <c r="J130" i="4"/>
  <c r="N130" i="4"/>
  <c r="R130" i="4"/>
  <c r="V130" i="4"/>
  <c r="Z130" i="4"/>
  <c r="F131" i="4"/>
  <c r="J131" i="4"/>
  <c r="N131" i="4"/>
  <c r="R131" i="4"/>
  <c r="V131" i="4"/>
  <c r="Z131" i="4"/>
  <c r="F132" i="4"/>
  <c r="J132" i="4"/>
  <c r="N132" i="4"/>
  <c r="R132" i="4"/>
  <c r="V132" i="4"/>
  <c r="Z132" i="4"/>
  <c r="F133" i="4"/>
  <c r="J133" i="4"/>
  <c r="N133" i="4"/>
  <c r="R133" i="4"/>
  <c r="V133" i="4"/>
  <c r="Z133" i="4"/>
  <c r="F134" i="4"/>
  <c r="J134" i="4"/>
  <c r="N134" i="4"/>
  <c r="R134" i="4"/>
  <c r="V134" i="4"/>
  <c r="Z134" i="4"/>
  <c r="F135" i="4"/>
  <c r="J135" i="4"/>
  <c r="N135" i="4"/>
  <c r="R135" i="4"/>
  <c r="V135" i="4"/>
  <c r="Z135" i="4"/>
  <c r="F136" i="4"/>
  <c r="J136" i="4"/>
  <c r="N136" i="4"/>
  <c r="R136" i="4"/>
  <c r="V136" i="4"/>
  <c r="Z136" i="4"/>
  <c r="I137" i="4"/>
  <c r="M137" i="4"/>
  <c r="Q137" i="4"/>
  <c r="U137" i="4"/>
  <c r="Y137" i="4"/>
  <c r="AC137" i="4"/>
  <c r="I138" i="4"/>
  <c r="M138" i="4"/>
  <c r="Q138" i="4"/>
  <c r="U138" i="4"/>
  <c r="Y138" i="4"/>
  <c r="AC138" i="4"/>
  <c r="I139" i="4"/>
  <c r="M139" i="4"/>
  <c r="Q139" i="4"/>
  <c r="U139" i="4"/>
  <c r="Y139" i="4"/>
  <c r="AC139" i="4"/>
  <c r="I140" i="4"/>
  <c r="M140" i="4"/>
  <c r="Q140" i="4"/>
  <c r="U140" i="4"/>
  <c r="Y140" i="4"/>
  <c r="AC140" i="4"/>
  <c r="I141" i="4"/>
  <c r="M141" i="4"/>
  <c r="Q141" i="4"/>
  <c r="U141" i="4"/>
  <c r="Y141" i="4"/>
  <c r="AC141" i="4"/>
  <c r="I142" i="4"/>
  <c r="M142" i="4"/>
  <c r="Q142" i="4"/>
  <c r="U142" i="4"/>
  <c r="Y142" i="4"/>
  <c r="AC142" i="4"/>
  <c r="I143" i="4"/>
  <c r="M143" i="4"/>
  <c r="Q143" i="4"/>
  <c r="U143" i="4"/>
  <c r="Y143" i="4"/>
  <c r="AC143" i="4"/>
  <c r="I144" i="4"/>
  <c r="M144" i="4"/>
  <c r="Q144" i="4"/>
  <c r="U144" i="4"/>
  <c r="Y144" i="4"/>
  <c r="AC144" i="4"/>
  <c r="H145" i="4"/>
  <c r="L145" i="4"/>
  <c r="P145" i="4"/>
  <c r="T145" i="4"/>
  <c r="X145" i="4"/>
  <c r="AB145" i="4"/>
  <c r="H146" i="4"/>
  <c r="L146" i="4"/>
  <c r="P146" i="4"/>
  <c r="T146" i="4"/>
  <c r="X146" i="4"/>
  <c r="AB146" i="4"/>
  <c r="H147" i="4"/>
  <c r="L147" i="4"/>
  <c r="P147" i="4"/>
  <c r="T147" i="4"/>
  <c r="X147" i="4"/>
  <c r="AB147" i="4"/>
  <c r="H148" i="4"/>
  <c r="L148" i="4"/>
  <c r="P148" i="4"/>
  <c r="T148" i="4"/>
  <c r="X148" i="4"/>
  <c r="AB148" i="4"/>
  <c r="H149" i="4"/>
  <c r="L149" i="4"/>
  <c r="P149" i="4"/>
  <c r="T149" i="4"/>
  <c r="X149" i="4"/>
  <c r="AB149" i="4"/>
  <c r="H150" i="4"/>
  <c r="L150" i="4"/>
  <c r="P150" i="4"/>
  <c r="T150" i="4"/>
  <c r="X150" i="4"/>
  <c r="AB150" i="4"/>
  <c r="H151" i="4"/>
  <c r="L151" i="4"/>
  <c r="P151" i="4"/>
  <c r="T151" i="4"/>
  <c r="X151" i="4"/>
  <c r="AB151" i="4"/>
  <c r="H152" i="4"/>
  <c r="L152" i="4"/>
  <c r="P152" i="4"/>
  <c r="T152" i="4"/>
  <c r="X152" i="4"/>
  <c r="AB152" i="4"/>
  <c r="H153" i="4"/>
  <c r="L153" i="4"/>
  <c r="P153" i="4"/>
  <c r="T153" i="4"/>
  <c r="X153" i="4"/>
  <c r="AB153" i="4"/>
  <c r="G129" i="4"/>
  <c r="K129" i="4"/>
  <c r="O129" i="4"/>
  <c r="S129" i="4"/>
  <c r="W129" i="4"/>
  <c r="AA129" i="4"/>
  <c r="G130" i="4"/>
  <c r="K130" i="4"/>
  <c r="O130" i="4"/>
  <c r="S130" i="4"/>
  <c r="W130" i="4"/>
  <c r="AA130" i="4"/>
  <c r="G131" i="4"/>
  <c r="K131" i="4"/>
  <c r="O131" i="4"/>
  <c r="S131" i="4"/>
  <c r="W131" i="4"/>
  <c r="AA131" i="4"/>
  <c r="G132" i="4"/>
  <c r="K132" i="4"/>
  <c r="O132" i="4"/>
  <c r="S132" i="4"/>
  <c r="W132" i="4"/>
  <c r="AA132" i="4"/>
  <c r="G133" i="4"/>
  <c r="K133" i="4"/>
  <c r="O133" i="4"/>
  <c r="S133" i="4"/>
  <c r="W133" i="4"/>
  <c r="AA133" i="4"/>
  <c r="G134" i="4"/>
  <c r="K134" i="4"/>
  <c r="O134" i="4"/>
  <c r="S134" i="4"/>
  <c r="W134" i="4"/>
  <c r="AA134" i="4"/>
  <c r="G135" i="4"/>
  <c r="K135" i="4"/>
  <c r="O135" i="4"/>
  <c r="S135" i="4"/>
  <c r="W135" i="4"/>
  <c r="AA135" i="4"/>
  <c r="G136" i="4"/>
  <c r="K136" i="4"/>
  <c r="O136" i="4"/>
  <c r="S136" i="4"/>
  <c r="W136" i="4"/>
  <c r="AA136" i="4"/>
  <c r="F137" i="4"/>
  <c r="J137" i="4"/>
  <c r="N137" i="4"/>
  <c r="R137" i="4"/>
  <c r="V137" i="4"/>
  <c r="Z137" i="4"/>
  <c r="F138" i="4"/>
  <c r="J138" i="4"/>
  <c r="N138" i="4"/>
  <c r="R138" i="4"/>
  <c r="V138" i="4"/>
  <c r="Z138" i="4"/>
  <c r="F139" i="4"/>
  <c r="J139" i="4"/>
  <c r="N139" i="4"/>
  <c r="R139" i="4"/>
  <c r="V139" i="4"/>
  <c r="Z139" i="4"/>
  <c r="F140" i="4"/>
  <c r="J140" i="4"/>
  <c r="N140" i="4"/>
  <c r="R140" i="4"/>
  <c r="V140" i="4"/>
  <c r="Z140" i="4"/>
  <c r="F141" i="4"/>
  <c r="J141" i="4"/>
  <c r="N141" i="4"/>
  <c r="R141" i="4"/>
  <c r="V141" i="4"/>
  <c r="Z141" i="4"/>
  <c r="F142" i="4"/>
  <c r="J142" i="4"/>
  <c r="N142" i="4"/>
  <c r="R142" i="4"/>
  <c r="V142" i="4"/>
  <c r="Z142" i="4"/>
  <c r="F143" i="4"/>
  <c r="J143" i="4"/>
  <c r="N143" i="4"/>
  <c r="R143" i="4"/>
  <c r="V143" i="4"/>
  <c r="Z143" i="4"/>
  <c r="F144" i="4"/>
  <c r="J144" i="4"/>
  <c r="N144" i="4"/>
  <c r="R144" i="4"/>
  <c r="V144" i="4"/>
  <c r="Z144" i="4"/>
  <c r="I145" i="4"/>
  <c r="M145" i="4"/>
  <c r="Q145" i="4"/>
  <c r="U145" i="4"/>
  <c r="Y145" i="4"/>
  <c r="AC145" i="4"/>
  <c r="I146" i="4"/>
  <c r="M146" i="4"/>
  <c r="Q146" i="4"/>
  <c r="U146" i="4"/>
  <c r="Y146" i="4"/>
  <c r="AC146" i="4"/>
  <c r="I147" i="4"/>
  <c r="M147" i="4"/>
  <c r="Q147" i="4"/>
  <c r="U147" i="4"/>
  <c r="Y147" i="4"/>
  <c r="AC147" i="4"/>
  <c r="I148" i="4"/>
  <c r="M148" i="4"/>
  <c r="Q148" i="4"/>
  <c r="U148" i="4"/>
  <c r="Y148" i="4"/>
  <c r="AC148" i="4"/>
  <c r="I149" i="4"/>
  <c r="M149" i="4"/>
  <c r="Q149" i="4"/>
  <c r="U149" i="4"/>
  <c r="Y149" i="4"/>
  <c r="AC149" i="4"/>
  <c r="I150" i="4"/>
  <c r="M150" i="4"/>
  <c r="Q150" i="4"/>
  <c r="U150" i="4"/>
  <c r="Y150" i="4"/>
  <c r="AC150" i="4"/>
  <c r="I151" i="4"/>
  <c r="M151" i="4"/>
  <c r="Q151" i="4"/>
  <c r="U151" i="4"/>
  <c r="Y151" i="4"/>
  <c r="AC151" i="4"/>
  <c r="I152" i="4"/>
  <c r="M152" i="4"/>
  <c r="Q152" i="4"/>
  <c r="U152" i="4"/>
  <c r="Y152" i="4"/>
  <c r="AC152" i="4"/>
  <c r="I153" i="4"/>
  <c r="M153" i="4"/>
  <c r="Q153" i="4"/>
  <c r="U153" i="4"/>
  <c r="Y153" i="4"/>
  <c r="AC153" i="4"/>
  <c r="I154" i="4"/>
  <c r="M154" i="4"/>
  <c r="Q154" i="4"/>
  <c r="U154" i="4"/>
  <c r="Y154" i="4"/>
  <c r="AC154" i="4"/>
  <c r="P129" i="4"/>
  <c r="H130" i="4"/>
  <c r="X130" i="4"/>
  <c r="P131" i="4"/>
  <c r="H132" i="4"/>
  <c r="X132" i="4"/>
  <c r="P133" i="4"/>
  <c r="H134" i="4"/>
  <c r="X134" i="4"/>
  <c r="P135" i="4"/>
  <c r="H136" i="4"/>
  <c r="X136" i="4"/>
  <c r="O137" i="4"/>
  <c r="G138" i="4"/>
  <c r="W138" i="4"/>
  <c r="O139" i="4"/>
  <c r="G140" i="4"/>
  <c r="W140" i="4"/>
  <c r="O141" i="4"/>
  <c r="G142" i="4"/>
  <c r="W142" i="4"/>
  <c r="O143" i="4"/>
  <c r="G144" i="4"/>
  <c r="W144" i="4"/>
  <c r="N145" i="4"/>
  <c r="F146" i="4"/>
  <c r="V146" i="4"/>
  <c r="N147" i="4"/>
  <c r="F148" i="4"/>
  <c r="V148" i="4"/>
  <c r="N149" i="4"/>
  <c r="F150" i="4"/>
  <c r="V150" i="4"/>
  <c r="N151" i="4"/>
  <c r="F152" i="4"/>
  <c r="V152" i="4"/>
  <c r="N153" i="4"/>
  <c r="F154" i="4"/>
  <c r="N154" i="4"/>
  <c r="V154" i="4"/>
  <c r="F155" i="4"/>
  <c r="L155" i="4"/>
  <c r="Q155" i="4"/>
  <c r="V155" i="4"/>
  <c r="AB155" i="4"/>
  <c r="I156" i="4"/>
  <c r="N156" i="4"/>
  <c r="T156" i="4"/>
  <c r="Y156" i="4"/>
  <c r="K157" i="4"/>
  <c r="P157" i="4"/>
  <c r="U157" i="4"/>
  <c r="AA157" i="4"/>
  <c r="H158" i="4"/>
  <c r="M158" i="4"/>
  <c r="S158" i="4"/>
  <c r="X158" i="4"/>
  <c r="AC158" i="4"/>
  <c r="L128" i="4"/>
  <c r="Q128" i="4"/>
  <c r="V128" i="4"/>
  <c r="AB128" i="4"/>
  <c r="T129" i="4"/>
  <c r="L130" i="4"/>
  <c r="AB130" i="4"/>
  <c r="T131" i="4"/>
  <c r="L132" i="4"/>
  <c r="AB132" i="4"/>
  <c r="T133" i="4"/>
  <c r="L134" i="4"/>
  <c r="AB134" i="4"/>
  <c r="T135" i="4"/>
  <c r="L136" i="4"/>
  <c r="AB136" i="4"/>
  <c r="S137" i="4"/>
  <c r="K138" i="4"/>
  <c r="AA138" i="4"/>
  <c r="S139" i="4"/>
  <c r="K140" i="4"/>
  <c r="AA140" i="4"/>
  <c r="S141" i="4"/>
  <c r="K142" i="4"/>
  <c r="AA142" i="4"/>
  <c r="S143" i="4"/>
  <c r="K144" i="4"/>
  <c r="AA144" i="4"/>
  <c r="R145" i="4"/>
  <c r="J146" i="4"/>
  <c r="Z146" i="4"/>
  <c r="R147" i="4"/>
  <c r="J148" i="4"/>
  <c r="Z148" i="4"/>
  <c r="R149" i="4"/>
  <c r="J150" i="4"/>
  <c r="Z150" i="4"/>
  <c r="R151" i="4"/>
  <c r="J152" i="4"/>
  <c r="Z152" i="4"/>
  <c r="R153" i="4"/>
  <c r="H154" i="4"/>
  <c r="P154" i="4"/>
  <c r="X154" i="4"/>
  <c r="H155" i="4"/>
  <c r="M155" i="4"/>
  <c r="R155" i="4"/>
  <c r="X155" i="4"/>
  <c r="AC155" i="4"/>
  <c r="J156" i="4"/>
  <c r="P156" i="4"/>
  <c r="U156" i="4"/>
  <c r="Z156" i="4"/>
  <c r="G157" i="4"/>
  <c r="L157" i="4"/>
  <c r="Q157" i="4"/>
  <c r="W157" i="4"/>
  <c r="AB157" i="4"/>
  <c r="I158" i="4"/>
  <c r="O158" i="4"/>
  <c r="T158" i="4"/>
  <c r="Y158" i="4"/>
  <c r="H128" i="4"/>
  <c r="M128" i="4"/>
  <c r="R128" i="4"/>
  <c r="X128" i="4"/>
  <c r="AC128" i="4"/>
  <c r="H129" i="4"/>
  <c r="X129" i="4"/>
  <c r="P130" i="4"/>
  <c r="H131" i="4"/>
  <c r="X131" i="4"/>
  <c r="P132" i="4"/>
  <c r="H133" i="4"/>
  <c r="X133" i="4"/>
  <c r="P134" i="4"/>
  <c r="H135" i="4"/>
  <c r="X135" i="4"/>
  <c r="P136" i="4"/>
  <c r="G137" i="4"/>
  <c r="W137" i="4"/>
  <c r="O138" i="4"/>
  <c r="G139" i="4"/>
  <c r="W139" i="4"/>
  <c r="O140" i="4"/>
  <c r="G141" i="4"/>
  <c r="W141" i="4"/>
  <c r="O142" i="4"/>
  <c r="G143" i="4"/>
  <c r="W143" i="4"/>
  <c r="O144" i="4"/>
  <c r="F145" i="4"/>
  <c r="V145" i="4"/>
  <c r="N146" i="4"/>
  <c r="F147" i="4"/>
  <c r="V147" i="4"/>
  <c r="N148" i="4"/>
  <c r="F149" i="4"/>
  <c r="V149" i="4"/>
  <c r="N150" i="4"/>
  <c r="F151" i="4"/>
  <c r="V151" i="4"/>
  <c r="N152" i="4"/>
  <c r="F153" i="4"/>
  <c r="V153" i="4"/>
  <c r="J154" i="4"/>
  <c r="R154" i="4"/>
  <c r="Z154" i="4"/>
  <c r="I155" i="4"/>
  <c r="N155" i="4"/>
  <c r="T155" i="4"/>
  <c r="Y155" i="4"/>
  <c r="F156" i="4"/>
  <c r="L156" i="4"/>
  <c r="Q156" i="4"/>
  <c r="V156" i="4"/>
  <c r="AB156" i="4"/>
  <c r="H157" i="4"/>
  <c r="M157" i="4"/>
  <c r="S157" i="4"/>
  <c r="X157" i="4"/>
  <c r="AC157" i="4"/>
  <c r="K158" i="4"/>
  <c r="P158" i="4"/>
  <c r="U158" i="4"/>
  <c r="AA158" i="4"/>
  <c r="I128" i="4"/>
  <c r="N128" i="4"/>
  <c r="T128" i="4"/>
  <c r="Y128" i="4"/>
  <c r="F128" i="4"/>
  <c r="L129" i="4"/>
  <c r="AB129" i="4"/>
  <c r="T130" i="4"/>
  <c r="L131" i="4"/>
  <c r="AB131" i="4"/>
  <c r="T132" i="4"/>
  <c r="L133" i="4"/>
  <c r="AB133" i="4"/>
  <c r="T134" i="4"/>
  <c r="L135" i="4"/>
  <c r="AB135" i="4"/>
  <c r="T136" i="4"/>
  <c r="K137" i="4"/>
  <c r="AA137" i="4"/>
  <c r="S138" i="4"/>
  <c r="K139" i="4"/>
  <c r="AA139" i="4"/>
  <c r="S140" i="4"/>
  <c r="K141" i="4"/>
  <c r="AA141" i="4"/>
  <c r="S142" i="4"/>
  <c r="K143" i="4"/>
  <c r="AA143" i="4"/>
  <c r="S144" i="4"/>
  <c r="J145" i="4"/>
  <c r="Z145" i="4"/>
  <c r="R146" i="4"/>
  <c r="J147" i="4"/>
  <c r="Z147" i="4"/>
  <c r="R148" i="4"/>
  <c r="J149" i="4"/>
  <c r="Z149" i="4"/>
  <c r="R150" i="4"/>
  <c r="J151" i="4"/>
  <c r="Z151" i="4"/>
  <c r="R152" i="4"/>
  <c r="J153" i="4"/>
  <c r="Z153" i="4"/>
  <c r="L154" i="4"/>
  <c r="T154" i="4"/>
  <c r="AB154" i="4"/>
  <c r="J155" i="4"/>
  <c r="P155" i="4"/>
  <c r="U155" i="4"/>
  <c r="Z155" i="4"/>
  <c r="H156" i="4"/>
  <c r="M156" i="4"/>
  <c r="R156" i="4"/>
  <c r="X156" i="4"/>
  <c r="AC156" i="4"/>
  <c r="I157" i="4"/>
  <c r="O157" i="4"/>
  <c r="T157" i="4"/>
  <c r="Y157" i="4"/>
  <c r="G158" i="4"/>
  <c r="L158" i="4"/>
  <c r="Q158" i="4"/>
  <c r="W158" i="4"/>
  <c r="AB158" i="4"/>
  <c r="J128" i="4"/>
  <c r="P128" i="4"/>
  <c r="U128" i="4"/>
  <c r="Z128" i="4"/>
  <c r="I99" i="4"/>
  <c r="M99" i="4"/>
  <c r="Q99" i="4"/>
  <c r="U99" i="4"/>
  <c r="Y99" i="4"/>
  <c r="AC99" i="4"/>
  <c r="I100" i="4"/>
  <c r="M100" i="4"/>
  <c r="Q100" i="4"/>
  <c r="U100" i="4"/>
  <c r="Y100" i="4"/>
  <c r="AC100" i="4"/>
  <c r="I101" i="4"/>
  <c r="M101" i="4"/>
  <c r="Q101" i="4"/>
  <c r="U101" i="4"/>
  <c r="Y101" i="4"/>
  <c r="AC101" i="4"/>
  <c r="I102" i="4"/>
  <c r="M102" i="4"/>
  <c r="Q102" i="4"/>
  <c r="U102" i="4"/>
  <c r="Y102" i="4"/>
  <c r="AC102" i="4"/>
  <c r="I103" i="4"/>
  <c r="M103" i="4"/>
  <c r="Q103" i="4"/>
  <c r="U103" i="4"/>
  <c r="Y103" i="4"/>
  <c r="AC103" i="4"/>
  <c r="I104" i="4"/>
  <c r="M104" i="4"/>
  <c r="Q104" i="4"/>
  <c r="U104" i="4"/>
  <c r="Y104" i="4"/>
  <c r="AC104" i="4"/>
  <c r="I105" i="4"/>
  <c r="M105" i="4"/>
  <c r="Q105" i="4"/>
  <c r="U105" i="4"/>
  <c r="Y105" i="4"/>
  <c r="AC105" i="4"/>
  <c r="I106" i="4"/>
  <c r="M106" i="4"/>
  <c r="Q106" i="4"/>
  <c r="U106" i="4"/>
  <c r="Y106" i="4"/>
  <c r="AC106" i="4"/>
  <c r="I107" i="4"/>
  <c r="M107" i="4"/>
  <c r="Q107" i="4"/>
  <c r="U107" i="4"/>
  <c r="Y107" i="4"/>
  <c r="AC107" i="4"/>
  <c r="I108" i="4"/>
  <c r="M108" i="4"/>
  <c r="Q108" i="4"/>
  <c r="U108" i="4"/>
  <c r="Y108" i="4"/>
  <c r="AC108" i="4"/>
  <c r="I109" i="4"/>
  <c r="M109" i="4"/>
  <c r="Q109" i="4"/>
  <c r="U109" i="4"/>
  <c r="Y109" i="4"/>
  <c r="AC109" i="4"/>
  <c r="I110" i="4"/>
  <c r="M110" i="4"/>
  <c r="Q110" i="4"/>
  <c r="U110" i="4"/>
  <c r="Y110" i="4"/>
  <c r="AC110" i="4"/>
  <c r="H111" i="4"/>
  <c r="L111" i="4"/>
  <c r="P111" i="4"/>
  <c r="T111" i="4"/>
  <c r="X111" i="4"/>
  <c r="AB111" i="4"/>
  <c r="H112" i="4"/>
  <c r="L112" i="4"/>
  <c r="P112" i="4"/>
  <c r="T112" i="4"/>
  <c r="X112" i="4"/>
  <c r="AB112" i="4"/>
  <c r="H113" i="4"/>
  <c r="L113" i="4"/>
  <c r="P113" i="4"/>
  <c r="T113" i="4"/>
  <c r="X113" i="4"/>
  <c r="AB113" i="4"/>
  <c r="G99" i="4"/>
  <c r="L99" i="4"/>
  <c r="R99" i="4"/>
  <c r="W99" i="4"/>
  <c r="AB99" i="4"/>
  <c r="J100" i="4"/>
  <c r="O100" i="4"/>
  <c r="T100" i="4"/>
  <c r="Z100" i="4"/>
  <c r="G101" i="4"/>
  <c r="L101" i="4"/>
  <c r="R101" i="4"/>
  <c r="W101" i="4"/>
  <c r="AB101" i="4"/>
  <c r="J102" i="4"/>
  <c r="O102" i="4"/>
  <c r="T102" i="4"/>
  <c r="Z102" i="4"/>
  <c r="G103" i="4"/>
  <c r="L103" i="4"/>
  <c r="R103" i="4"/>
  <c r="W103" i="4"/>
  <c r="AB103" i="4"/>
  <c r="J104" i="4"/>
  <c r="O104" i="4"/>
  <c r="T104" i="4"/>
  <c r="Z104" i="4"/>
  <c r="G105" i="4"/>
  <c r="L105" i="4"/>
  <c r="R105" i="4"/>
  <c r="W105" i="4"/>
  <c r="AB105" i="4"/>
  <c r="J106" i="4"/>
  <c r="O106" i="4"/>
  <c r="T106" i="4"/>
  <c r="Z106" i="4"/>
  <c r="G107" i="4"/>
  <c r="L107" i="4"/>
  <c r="R107" i="4"/>
  <c r="W107" i="4"/>
  <c r="AB107" i="4"/>
  <c r="J108" i="4"/>
  <c r="O108" i="4"/>
  <c r="T108" i="4"/>
  <c r="Z108" i="4"/>
  <c r="G109" i="4"/>
  <c r="L109" i="4"/>
  <c r="R109" i="4"/>
  <c r="W109" i="4"/>
  <c r="AB109" i="4"/>
  <c r="J110" i="4"/>
  <c r="O110" i="4"/>
  <c r="T110" i="4"/>
  <c r="Z110" i="4"/>
  <c r="F111" i="4"/>
  <c r="K111" i="4"/>
  <c r="Q111" i="4"/>
  <c r="V111" i="4"/>
  <c r="AA111" i="4"/>
  <c r="I112" i="4"/>
  <c r="N112" i="4"/>
  <c r="S112" i="4"/>
  <c r="Y112" i="4"/>
  <c r="F113" i="4"/>
  <c r="K113" i="4"/>
  <c r="Q113" i="4"/>
  <c r="V113" i="4"/>
  <c r="AA113" i="4"/>
  <c r="H114" i="4"/>
  <c r="L114" i="4"/>
  <c r="P114" i="4"/>
  <c r="T114" i="4"/>
  <c r="X114" i="4"/>
  <c r="AB114" i="4"/>
  <c r="H115" i="4"/>
  <c r="L115" i="4"/>
  <c r="P115" i="4"/>
  <c r="T115" i="4"/>
  <c r="X115" i="4"/>
  <c r="AB115" i="4"/>
  <c r="H116" i="4"/>
  <c r="L116" i="4"/>
  <c r="P116" i="4"/>
  <c r="T116" i="4"/>
  <c r="X116" i="4"/>
  <c r="AB116" i="4"/>
  <c r="H117" i="4"/>
  <c r="L117" i="4"/>
  <c r="P117" i="4"/>
  <c r="T117" i="4"/>
  <c r="X117" i="4"/>
  <c r="AB117" i="4"/>
  <c r="H118" i="4"/>
  <c r="L118" i="4"/>
  <c r="P118" i="4"/>
  <c r="T118" i="4"/>
  <c r="X118" i="4"/>
  <c r="AB118" i="4"/>
  <c r="H119" i="4"/>
  <c r="L119" i="4"/>
  <c r="P119" i="4"/>
  <c r="T119" i="4"/>
  <c r="X119" i="4"/>
  <c r="AB119" i="4"/>
  <c r="H120" i="4"/>
  <c r="L120" i="4"/>
  <c r="P120" i="4"/>
  <c r="T120" i="4"/>
  <c r="X120" i="4"/>
  <c r="AB120" i="4"/>
  <c r="G121" i="4"/>
  <c r="K121" i="4"/>
  <c r="O121" i="4"/>
  <c r="S121" i="4"/>
  <c r="W121" i="4"/>
  <c r="AA121" i="4"/>
  <c r="G122" i="4"/>
  <c r="K122" i="4"/>
  <c r="O122" i="4"/>
  <c r="S122" i="4"/>
  <c r="W122" i="4"/>
  <c r="AA122" i="4"/>
  <c r="G123" i="4"/>
  <c r="K123" i="4"/>
  <c r="O123" i="4"/>
  <c r="S123" i="4"/>
  <c r="W123" i="4"/>
  <c r="AA123" i="4"/>
  <c r="G124" i="4"/>
  <c r="K124" i="4"/>
  <c r="O124" i="4"/>
  <c r="S124" i="4"/>
  <c r="W124" i="4"/>
  <c r="AA124" i="4"/>
  <c r="G125" i="4"/>
  <c r="K125" i="4"/>
  <c r="O125" i="4"/>
  <c r="S125" i="4"/>
  <c r="W125" i="4"/>
  <c r="AA125" i="4"/>
  <c r="G126" i="4"/>
  <c r="K126" i="4"/>
  <c r="O126" i="4"/>
  <c r="S126" i="4"/>
  <c r="W126" i="4"/>
  <c r="AA126" i="4"/>
  <c r="G127" i="4"/>
  <c r="K127" i="4"/>
  <c r="O127" i="4"/>
  <c r="S127" i="4"/>
  <c r="W127" i="4"/>
  <c r="AA127" i="4"/>
  <c r="H98" i="4"/>
  <c r="L98" i="4"/>
  <c r="P98" i="4"/>
  <c r="T98" i="4"/>
  <c r="X98" i="4"/>
  <c r="AB98" i="4"/>
  <c r="H99" i="4"/>
  <c r="N99" i="4"/>
  <c r="S99" i="4"/>
  <c r="X99" i="4"/>
  <c r="F100" i="4"/>
  <c r="K100" i="4"/>
  <c r="P100" i="4"/>
  <c r="V100" i="4"/>
  <c r="AA100" i="4"/>
  <c r="H101" i="4"/>
  <c r="N101" i="4"/>
  <c r="S101" i="4"/>
  <c r="X101" i="4"/>
  <c r="F102" i="4"/>
  <c r="K102" i="4"/>
  <c r="P102" i="4"/>
  <c r="V102" i="4"/>
  <c r="AA102" i="4"/>
  <c r="H103" i="4"/>
  <c r="N103" i="4"/>
  <c r="S103" i="4"/>
  <c r="X103" i="4"/>
  <c r="F104" i="4"/>
  <c r="K104" i="4"/>
  <c r="P104" i="4"/>
  <c r="V104" i="4"/>
  <c r="AA104" i="4"/>
  <c r="H105" i="4"/>
  <c r="N105" i="4"/>
  <c r="S105" i="4"/>
  <c r="X105" i="4"/>
  <c r="F106" i="4"/>
  <c r="K106" i="4"/>
  <c r="P106" i="4"/>
  <c r="V106" i="4"/>
  <c r="AA106" i="4"/>
  <c r="H107" i="4"/>
  <c r="N107" i="4"/>
  <c r="S107" i="4"/>
  <c r="X107" i="4"/>
  <c r="F108" i="4"/>
  <c r="K108" i="4"/>
  <c r="P108" i="4"/>
  <c r="V108" i="4"/>
  <c r="AA108" i="4"/>
  <c r="H109" i="4"/>
  <c r="N109" i="4"/>
  <c r="S109" i="4"/>
  <c r="X109" i="4"/>
  <c r="F110" i="4"/>
  <c r="K110" i="4"/>
  <c r="P110" i="4"/>
  <c r="V110" i="4"/>
  <c r="AA110" i="4"/>
  <c r="G111" i="4"/>
  <c r="M111" i="4"/>
  <c r="R111" i="4"/>
  <c r="W111" i="4"/>
  <c r="AC111" i="4"/>
  <c r="J112" i="4"/>
  <c r="O112" i="4"/>
  <c r="U112" i="4"/>
  <c r="Z112" i="4"/>
  <c r="G113" i="4"/>
  <c r="M113" i="4"/>
  <c r="R113" i="4"/>
  <c r="W113" i="4"/>
  <c r="AC113" i="4"/>
  <c r="I114" i="4"/>
  <c r="M114" i="4"/>
  <c r="Q114" i="4"/>
  <c r="U114" i="4"/>
  <c r="Y114" i="4"/>
  <c r="AC114" i="4"/>
  <c r="I115" i="4"/>
  <c r="M115" i="4"/>
  <c r="Q115" i="4"/>
  <c r="U115" i="4"/>
  <c r="Y115" i="4"/>
  <c r="AC115" i="4"/>
  <c r="I116" i="4"/>
  <c r="M116" i="4"/>
  <c r="Q116" i="4"/>
  <c r="U116" i="4"/>
  <c r="Y116" i="4"/>
  <c r="AC116" i="4"/>
  <c r="I117" i="4"/>
  <c r="M117" i="4"/>
  <c r="Q117" i="4"/>
  <c r="U117" i="4"/>
  <c r="Y117" i="4"/>
  <c r="AC117" i="4"/>
  <c r="I118" i="4"/>
  <c r="M118" i="4"/>
  <c r="Q118" i="4"/>
  <c r="U118" i="4"/>
  <c r="Y118" i="4"/>
  <c r="AC118" i="4"/>
  <c r="I119" i="4"/>
  <c r="M119" i="4"/>
  <c r="Q119" i="4"/>
  <c r="U119" i="4"/>
  <c r="Y119" i="4"/>
  <c r="AC119" i="4"/>
  <c r="I120" i="4"/>
  <c r="M120" i="4"/>
  <c r="Q120" i="4"/>
  <c r="U120" i="4"/>
  <c r="Y120" i="4"/>
  <c r="AC120" i="4"/>
  <c r="H121" i="4"/>
  <c r="L121" i="4"/>
  <c r="P121" i="4"/>
  <c r="T121" i="4"/>
  <c r="X121" i="4"/>
  <c r="AB121" i="4"/>
  <c r="H122" i="4"/>
  <c r="L122" i="4"/>
  <c r="P122" i="4"/>
  <c r="T122" i="4"/>
  <c r="X122" i="4"/>
  <c r="AB122" i="4"/>
  <c r="H123" i="4"/>
  <c r="L123" i="4"/>
  <c r="P123" i="4"/>
  <c r="T123" i="4"/>
  <c r="X123" i="4"/>
  <c r="AB123" i="4"/>
  <c r="H124" i="4"/>
  <c r="L124" i="4"/>
  <c r="P124" i="4"/>
  <c r="T124" i="4"/>
  <c r="X124" i="4"/>
  <c r="AB124" i="4"/>
  <c r="H125" i="4"/>
  <c r="L125" i="4"/>
  <c r="P125" i="4"/>
  <c r="T125" i="4"/>
  <c r="X125" i="4"/>
  <c r="AB125" i="4"/>
  <c r="H126" i="4"/>
  <c r="L126" i="4"/>
  <c r="P126" i="4"/>
  <c r="T126" i="4"/>
  <c r="X126" i="4"/>
  <c r="AB126" i="4"/>
  <c r="H127" i="4"/>
  <c r="L127" i="4"/>
  <c r="P127" i="4"/>
  <c r="T127" i="4"/>
  <c r="X127" i="4"/>
  <c r="AB127" i="4"/>
  <c r="I98" i="4"/>
  <c r="M98" i="4"/>
  <c r="Q98" i="4"/>
  <c r="U98" i="4"/>
  <c r="Y98" i="4"/>
  <c r="AC98" i="4"/>
  <c r="J99" i="4"/>
  <c r="O99" i="4"/>
  <c r="T99" i="4"/>
  <c r="Z99" i="4"/>
  <c r="G100" i="4"/>
  <c r="L100" i="4"/>
  <c r="R100" i="4"/>
  <c r="W100" i="4"/>
  <c r="AB100" i="4"/>
  <c r="J101" i="4"/>
  <c r="O101" i="4"/>
  <c r="T101" i="4"/>
  <c r="Z101" i="4"/>
  <c r="G102" i="4"/>
  <c r="L102" i="4"/>
  <c r="R102" i="4"/>
  <c r="W102" i="4"/>
  <c r="AB102" i="4"/>
  <c r="J103" i="4"/>
  <c r="O103" i="4"/>
  <c r="T103" i="4"/>
  <c r="Z103" i="4"/>
  <c r="G104" i="4"/>
  <c r="L104" i="4"/>
  <c r="R104" i="4"/>
  <c r="W104" i="4"/>
  <c r="AB104" i="4"/>
  <c r="J105" i="4"/>
  <c r="O105" i="4"/>
  <c r="T105" i="4"/>
  <c r="Z105" i="4"/>
  <c r="G106" i="4"/>
  <c r="L106" i="4"/>
  <c r="R106" i="4"/>
  <c r="W106" i="4"/>
  <c r="AB106" i="4"/>
  <c r="J107" i="4"/>
  <c r="O107" i="4"/>
  <c r="T107" i="4"/>
  <c r="Z107" i="4"/>
  <c r="G108" i="4"/>
  <c r="L108" i="4"/>
  <c r="R108" i="4"/>
  <c r="W108" i="4"/>
  <c r="AB108" i="4"/>
  <c r="J109" i="4"/>
  <c r="O109" i="4"/>
  <c r="T109" i="4"/>
  <c r="Z109" i="4"/>
  <c r="G110" i="4"/>
  <c r="L110" i="4"/>
  <c r="R110" i="4"/>
  <c r="W110" i="4"/>
  <c r="AB110" i="4"/>
  <c r="I111" i="4"/>
  <c r="N111" i="4"/>
  <c r="S111" i="4"/>
  <c r="Y111" i="4"/>
  <c r="F112" i="4"/>
  <c r="K112" i="4"/>
  <c r="Q112" i="4"/>
  <c r="V112" i="4"/>
  <c r="AA112" i="4"/>
  <c r="I113" i="4"/>
  <c r="N113" i="4"/>
  <c r="S113" i="4"/>
  <c r="Y113" i="4"/>
  <c r="F114" i="4"/>
  <c r="J114" i="4"/>
  <c r="N114" i="4"/>
  <c r="R114" i="4"/>
  <c r="V114" i="4"/>
  <c r="Z114" i="4"/>
  <c r="F115" i="4"/>
  <c r="J115" i="4"/>
  <c r="N115" i="4"/>
  <c r="R115" i="4"/>
  <c r="V115" i="4"/>
  <c r="Z115" i="4"/>
  <c r="F116" i="4"/>
  <c r="J116" i="4"/>
  <c r="N116" i="4"/>
  <c r="R116" i="4"/>
  <c r="V116" i="4"/>
  <c r="Z116" i="4"/>
  <c r="F117" i="4"/>
  <c r="J117" i="4"/>
  <c r="N117" i="4"/>
  <c r="R117" i="4"/>
  <c r="V117" i="4"/>
  <c r="Z117" i="4"/>
  <c r="F118" i="4"/>
  <c r="J118" i="4"/>
  <c r="N118" i="4"/>
  <c r="R118" i="4"/>
  <c r="V118" i="4"/>
  <c r="Z118" i="4"/>
  <c r="F119" i="4"/>
  <c r="J119" i="4"/>
  <c r="N119" i="4"/>
  <c r="R119" i="4"/>
  <c r="V119" i="4"/>
  <c r="Z119" i="4"/>
  <c r="F120" i="4"/>
  <c r="J120" i="4"/>
  <c r="N120" i="4"/>
  <c r="R120" i="4"/>
  <c r="V120" i="4"/>
  <c r="Z120" i="4"/>
  <c r="I121" i="4"/>
  <c r="M121" i="4"/>
  <c r="Q121" i="4"/>
  <c r="U121" i="4"/>
  <c r="Y121" i="4"/>
  <c r="F99" i="4"/>
  <c r="K99" i="4"/>
  <c r="P99" i="4"/>
  <c r="V99" i="4"/>
  <c r="AA99" i="4"/>
  <c r="H100" i="4"/>
  <c r="N100" i="4"/>
  <c r="S100" i="4"/>
  <c r="X100" i="4"/>
  <c r="F101" i="4"/>
  <c r="K101" i="4"/>
  <c r="P101" i="4"/>
  <c r="V101" i="4"/>
  <c r="AA101" i="4"/>
  <c r="H102" i="4"/>
  <c r="N102" i="4"/>
  <c r="S102" i="4"/>
  <c r="X102" i="4"/>
  <c r="F103" i="4"/>
  <c r="K103" i="4"/>
  <c r="P103" i="4"/>
  <c r="V103" i="4"/>
  <c r="AA103" i="4"/>
  <c r="H104" i="4"/>
  <c r="N104" i="4"/>
  <c r="S104" i="4"/>
  <c r="X104" i="4"/>
  <c r="F105" i="4"/>
  <c r="K105" i="4"/>
  <c r="P105" i="4"/>
  <c r="V105" i="4"/>
  <c r="AA105" i="4"/>
  <c r="H106" i="4"/>
  <c r="N106" i="4"/>
  <c r="S106" i="4"/>
  <c r="X106" i="4"/>
  <c r="F107" i="4"/>
  <c r="K107" i="4"/>
  <c r="P107" i="4"/>
  <c r="V107" i="4"/>
  <c r="AA107" i="4"/>
  <c r="H108" i="4"/>
  <c r="N108" i="4"/>
  <c r="S108" i="4"/>
  <c r="X108" i="4"/>
  <c r="F109" i="4"/>
  <c r="K109" i="4"/>
  <c r="P109" i="4"/>
  <c r="V109" i="4"/>
  <c r="AA109" i="4"/>
  <c r="H110" i="4"/>
  <c r="N110" i="4"/>
  <c r="S110" i="4"/>
  <c r="X110" i="4"/>
  <c r="J111" i="4"/>
  <c r="O111" i="4"/>
  <c r="U111" i="4"/>
  <c r="Z111" i="4"/>
  <c r="G112" i="4"/>
  <c r="M112" i="4"/>
  <c r="R112" i="4"/>
  <c r="W112" i="4"/>
  <c r="AC112" i="4"/>
  <c r="J113" i="4"/>
  <c r="O113" i="4"/>
  <c r="U113" i="4"/>
  <c r="Z113" i="4"/>
  <c r="G114" i="4"/>
  <c r="K114" i="4"/>
  <c r="O114" i="4"/>
  <c r="S114" i="4"/>
  <c r="W114" i="4"/>
  <c r="AA114" i="4"/>
  <c r="G115" i="4"/>
  <c r="K115" i="4"/>
  <c r="O115" i="4"/>
  <c r="S115" i="4"/>
  <c r="W115" i="4"/>
  <c r="AA115" i="4"/>
  <c r="G116" i="4"/>
  <c r="K116" i="4"/>
  <c r="O116" i="4"/>
  <c r="S116" i="4"/>
  <c r="W116" i="4"/>
  <c r="AA116" i="4"/>
  <c r="G117" i="4"/>
  <c r="K117" i="4"/>
  <c r="O117" i="4"/>
  <c r="S117" i="4"/>
  <c r="W117" i="4"/>
  <c r="AA117" i="4"/>
  <c r="G118" i="4"/>
  <c r="K118" i="4"/>
  <c r="O118" i="4"/>
  <c r="S118" i="4"/>
  <c r="W118" i="4"/>
  <c r="AA118" i="4"/>
  <c r="G119" i="4"/>
  <c r="K119" i="4"/>
  <c r="O119" i="4"/>
  <c r="S119" i="4"/>
  <c r="W119" i="4"/>
  <c r="AA119" i="4"/>
  <c r="G120" i="4"/>
  <c r="K120" i="4"/>
  <c r="O120" i="4"/>
  <c r="S120" i="4"/>
  <c r="W120" i="4"/>
  <c r="AA120" i="4"/>
  <c r="N121" i="4"/>
  <c r="AC121" i="4"/>
  <c r="M122" i="4"/>
  <c r="U122" i="4"/>
  <c r="AC122" i="4"/>
  <c r="M123" i="4"/>
  <c r="U123" i="4"/>
  <c r="AC123" i="4"/>
  <c r="M124" i="4"/>
  <c r="U124" i="4"/>
  <c r="AC124" i="4"/>
  <c r="M125" i="4"/>
  <c r="U125" i="4"/>
  <c r="AC125" i="4"/>
  <c r="M126" i="4"/>
  <c r="U126" i="4"/>
  <c r="AC126" i="4"/>
  <c r="M127" i="4"/>
  <c r="U127" i="4"/>
  <c r="AC127" i="4"/>
  <c r="N98" i="4"/>
  <c r="V98" i="4"/>
  <c r="F98" i="4"/>
  <c r="R121" i="4"/>
  <c r="F122" i="4"/>
  <c r="N122" i="4"/>
  <c r="V122" i="4"/>
  <c r="F123" i="4"/>
  <c r="N123" i="4"/>
  <c r="V123" i="4"/>
  <c r="F124" i="4"/>
  <c r="N124" i="4"/>
  <c r="V124" i="4"/>
  <c r="F125" i="4"/>
  <c r="N125" i="4"/>
  <c r="V125" i="4"/>
  <c r="F126" i="4"/>
  <c r="N126" i="4"/>
  <c r="V126" i="4"/>
  <c r="F127" i="4"/>
  <c r="N127" i="4"/>
  <c r="V127" i="4"/>
  <c r="G98" i="4"/>
  <c r="O98" i="4"/>
  <c r="W98" i="4"/>
  <c r="F121" i="4"/>
  <c r="V121" i="4"/>
  <c r="I122" i="4"/>
  <c r="Q122" i="4"/>
  <c r="Y122" i="4"/>
  <c r="I123" i="4"/>
  <c r="Q123" i="4"/>
  <c r="Y123" i="4"/>
  <c r="I124" i="4"/>
  <c r="Q124" i="4"/>
  <c r="Y124" i="4"/>
  <c r="I125" i="4"/>
  <c r="Q125" i="4"/>
  <c r="Y125" i="4"/>
  <c r="I126" i="4"/>
  <c r="Q126" i="4"/>
  <c r="Y126" i="4"/>
  <c r="I127" i="4"/>
  <c r="Q127" i="4"/>
  <c r="Y127" i="4"/>
  <c r="J98" i="4"/>
  <c r="R98" i="4"/>
  <c r="Z98" i="4"/>
  <c r="J121" i="4"/>
  <c r="Z121" i="4"/>
  <c r="J122" i="4"/>
  <c r="R122" i="4"/>
  <c r="Z122" i="4"/>
  <c r="J123" i="4"/>
  <c r="R123" i="4"/>
  <c r="Z123" i="4"/>
  <c r="J124" i="4"/>
  <c r="R124" i="4"/>
  <c r="Z124" i="4"/>
  <c r="J125" i="4"/>
  <c r="R125" i="4"/>
  <c r="Z125" i="4"/>
  <c r="J126" i="4"/>
  <c r="R126" i="4"/>
  <c r="Z126" i="4"/>
  <c r="J127" i="4"/>
  <c r="R127" i="4"/>
  <c r="Z127" i="4"/>
  <c r="K98" i="4"/>
  <c r="S98" i="4"/>
  <c r="AA98" i="4"/>
  <c r="F221" i="4"/>
  <c r="J221" i="4"/>
  <c r="N221" i="4"/>
  <c r="R221" i="4"/>
  <c r="V221" i="4"/>
  <c r="Z221" i="4"/>
  <c r="F222" i="4"/>
  <c r="J222" i="4"/>
  <c r="N222" i="4"/>
  <c r="R222" i="4"/>
  <c r="V222" i="4"/>
  <c r="Z222" i="4"/>
  <c r="F223" i="4"/>
  <c r="J223" i="4"/>
  <c r="N223" i="4"/>
  <c r="R223" i="4"/>
  <c r="V223" i="4"/>
  <c r="Z223" i="4"/>
  <c r="F224" i="4"/>
  <c r="J224" i="4"/>
  <c r="N224" i="4"/>
  <c r="R224" i="4"/>
  <c r="V224" i="4"/>
  <c r="Z224" i="4"/>
  <c r="F225" i="4"/>
  <c r="J225" i="4"/>
  <c r="N225" i="4"/>
  <c r="R225" i="4"/>
  <c r="V225" i="4"/>
  <c r="Z225" i="4"/>
  <c r="F226" i="4"/>
  <c r="J226" i="4"/>
  <c r="N226" i="4"/>
  <c r="R226" i="4"/>
  <c r="V226" i="4"/>
  <c r="Z226" i="4"/>
  <c r="F227" i="4"/>
  <c r="J227" i="4"/>
  <c r="N227" i="4"/>
  <c r="R227" i="4"/>
  <c r="V227" i="4"/>
  <c r="Z227" i="4"/>
  <c r="F228" i="4"/>
  <c r="J228" i="4"/>
  <c r="N228" i="4"/>
  <c r="R228" i="4"/>
  <c r="V228" i="4"/>
  <c r="Z228" i="4"/>
  <c r="F229" i="4"/>
  <c r="J229" i="4"/>
  <c r="N229" i="4"/>
  <c r="R229" i="4"/>
  <c r="V229" i="4"/>
  <c r="Z229" i="4"/>
  <c r="F230" i="4"/>
  <c r="J230" i="4"/>
  <c r="N230" i="4"/>
  <c r="R230" i="4"/>
  <c r="V230" i="4"/>
  <c r="Z230" i="4"/>
  <c r="F231" i="4"/>
  <c r="J231" i="4"/>
  <c r="N231" i="4"/>
  <c r="R231" i="4"/>
  <c r="V231" i="4"/>
  <c r="Z231" i="4"/>
  <c r="F232" i="4"/>
  <c r="J232" i="4"/>
  <c r="N232" i="4"/>
  <c r="R232" i="4"/>
  <c r="V232" i="4"/>
  <c r="Z232" i="4"/>
  <c r="F233" i="4"/>
  <c r="J233" i="4"/>
  <c r="N233" i="4"/>
  <c r="R233" i="4"/>
  <c r="V233" i="4"/>
  <c r="Z233" i="4"/>
  <c r="F234" i="4"/>
  <c r="J234" i="4"/>
  <c r="N234" i="4"/>
  <c r="R234" i="4"/>
  <c r="V234" i="4"/>
  <c r="Z234" i="4"/>
  <c r="F235" i="4"/>
  <c r="J235" i="4"/>
  <c r="N235" i="4"/>
  <c r="R235" i="4"/>
  <c r="V235" i="4"/>
  <c r="Z235" i="4"/>
  <c r="F236" i="4"/>
  <c r="J236" i="4"/>
  <c r="N236" i="4"/>
  <c r="R236" i="4"/>
  <c r="V236" i="4"/>
  <c r="Z236" i="4"/>
  <c r="F237" i="4"/>
  <c r="J237" i="4"/>
  <c r="N237" i="4"/>
  <c r="R237" i="4"/>
  <c r="V237" i="4"/>
  <c r="Z237" i="4"/>
  <c r="F238" i="4"/>
  <c r="J238" i="4"/>
  <c r="N238" i="4"/>
  <c r="R238" i="4"/>
  <c r="V238" i="4"/>
  <c r="Z238" i="4"/>
  <c r="F239" i="4"/>
  <c r="J239" i="4"/>
  <c r="N239" i="4"/>
  <c r="R239" i="4"/>
  <c r="V239" i="4"/>
  <c r="Z239" i="4"/>
  <c r="F240" i="4"/>
  <c r="J240" i="4"/>
  <c r="N240" i="4"/>
  <c r="R240" i="4"/>
  <c r="V240" i="4"/>
  <c r="Z240" i="4"/>
  <c r="F241" i="4"/>
  <c r="J241" i="4"/>
  <c r="N241" i="4"/>
  <c r="R241" i="4"/>
  <c r="V241" i="4"/>
  <c r="Z241" i="4"/>
  <c r="F242" i="4"/>
  <c r="J242" i="4"/>
  <c r="N242" i="4"/>
  <c r="R242" i="4"/>
  <c r="V242" i="4"/>
  <c r="Z242" i="4"/>
  <c r="F243" i="4"/>
  <c r="J243" i="4"/>
  <c r="N243" i="4"/>
  <c r="R243" i="4"/>
  <c r="V243" i="4"/>
  <c r="Z243" i="4"/>
  <c r="F244" i="4"/>
  <c r="J244" i="4"/>
  <c r="N244" i="4"/>
  <c r="R244" i="4"/>
  <c r="V244" i="4"/>
  <c r="Z244" i="4"/>
  <c r="F245" i="4"/>
  <c r="J245" i="4"/>
  <c r="N245" i="4"/>
  <c r="R245" i="4"/>
  <c r="V245" i="4"/>
  <c r="Z245" i="4"/>
  <c r="F246" i="4"/>
  <c r="J246" i="4"/>
  <c r="N246" i="4"/>
  <c r="R246" i="4"/>
  <c r="V246" i="4"/>
  <c r="Z246" i="4"/>
  <c r="F247" i="4"/>
  <c r="J247" i="4"/>
  <c r="N247" i="4"/>
  <c r="R247" i="4"/>
  <c r="V247" i="4"/>
  <c r="Z247" i="4"/>
  <c r="F248" i="4"/>
  <c r="J248" i="4"/>
  <c r="N248" i="4"/>
  <c r="R248" i="4"/>
  <c r="V248" i="4"/>
  <c r="Z248" i="4"/>
  <c r="F249" i="4"/>
  <c r="J249" i="4"/>
  <c r="N249" i="4"/>
  <c r="R249" i="4"/>
  <c r="V249" i="4"/>
  <c r="Z249" i="4"/>
  <c r="F250" i="4"/>
  <c r="J250" i="4"/>
  <c r="N250" i="4"/>
  <c r="R250" i="4"/>
  <c r="V250" i="4"/>
  <c r="Z250" i="4"/>
  <c r="G220" i="4"/>
  <c r="K220" i="4"/>
  <c r="O220" i="4"/>
  <c r="S220" i="4"/>
  <c r="W220" i="4"/>
  <c r="AA220" i="4"/>
  <c r="G221" i="4"/>
  <c r="K221" i="4"/>
  <c r="O221" i="4"/>
  <c r="S221" i="4"/>
  <c r="W221" i="4"/>
  <c r="AA221" i="4"/>
  <c r="G222" i="4"/>
  <c r="K222" i="4"/>
  <c r="O222" i="4"/>
  <c r="S222" i="4"/>
  <c r="W222" i="4"/>
  <c r="AA222" i="4"/>
  <c r="G223" i="4"/>
  <c r="K223" i="4"/>
  <c r="O223" i="4"/>
  <c r="S223" i="4"/>
  <c r="W223" i="4"/>
  <c r="AA223" i="4"/>
  <c r="G224" i="4"/>
  <c r="K224" i="4"/>
  <c r="O224" i="4"/>
  <c r="S224" i="4"/>
  <c r="W224" i="4"/>
  <c r="AA224" i="4"/>
  <c r="G225" i="4"/>
  <c r="K225" i="4"/>
  <c r="O225" i="4"/>
  <c r="S225" i="4"/>
  <c r="W225" i="4"/>
  <c r="AA225" i="4"/>
  <c r="G226" i="4"/>
  <c r="K226" i="4"/>
  <c r="O226" i="4"/>
  <c r="S226" i="4"/>
  <c r="W226" i="4"/>
  <c r="AA226" i="4"/>
  <c r="G227" i="4"/>
  <c r="K227" i="4"/>
  <c r="O227" i="4"/>
  <c r="S227" i="4"/>
  <c r="W227" i="4"/>
  <c r="AA227" i="4"/>
  <c r="G228" i="4"/>
  <c r="K228" i="4"/>
  <c r="O228" i="4"/>
  <c r="S228" i="4"/>
  <c r="W228" i="4"/>
  <c r="AA228" i="4"/>
  <c r="G229" i="4"/>
  <c r="K229" i="4"/>
  <c r="O229" i="4"/>
  <c r="S229" i="4"/>
  <c r="W229" i="4"/>
  <c r="AA229" i="4"/>
  <c r="G230" i="4"/>
  <c r="K230" i="4"/>
  <c r="O230" i="4"/>
  <c r="S230" i="4"/>
  <c r="W230" i="4"/>
  <c r="AA230" i="4"/>
  <c r="G231" i="4"/>
  <c r="K231" i="4"/>
  <c r="O231" i="4"/>
  <c r="S231" i="4"/>
  <c r="W231" i="4"/>
  <c r="AA231" i="4"/>
  <c r="G232" i="4"/>
  <c r="K232" i="4"/>
  <c r="O232" i="4"/>
  <c r="S232" i="4"/>
  <c r="W232" i="4"/>
  <c r="AA232" i="4"/>
  <c r="G233" i="4"/>
  <c r="K233" i="4"/>
  <c r="O233" i="4"/>
  <c r="S233" i="4"/>
  <c r="W233" i="4"/>
  <c r="AA233" i="4"/>
  <c r="G234" i="4"/>
  <c r="K234" i="4"/>
  <c r="O234" i="4"/>
  <c r="S234" i="4"/>
  <c r="W234" i="4"/>
  <c r="AA234" i="4"/>
  <c r="G235" i="4"/>
  <c r="K235" i="4"/>
  <c r="O235" i="4"/>
  <c r="S235" i="4"/>
  <c r="W235" i="4"/>
  <c r="AA235" i="4"/>
  <c r="G236" i="4"/>
  <c r="K236" i="4"/>
  <c r="O236" i="4"/>
  <c r="S236" i="4"/>
  <c r="W236" i="4"/>
  <c r="AA236" i="4"/>
  <c r="G237" i="4"/>
  <c r="K237" i="4"/>
  <c r="O237" i="4"/>
  <c r="S237" i="4"/>
  <c r="W237" i="4"/>
  <c r="AA237" i="4"/>
  <c r="G238" i="4"/>
  <c r="K238" i="4"/>
  <c r="O238" i="4"/>
  <c r="S238" i="4"/>
  <c r="W238" i="4"/>
  <c r="AA238" i="4"/>
  <c r="G239" i="4"/>
  <c r="K239" i="4"/>
  <c r="O239" i="4"/>
  <c r="S239" i="4"/>
  <c r="W239" i="4"/>
  <c r="AA239" i="4"/>
  <c r="G240" i="4"/>
  <c r="K240" i="4"/>
  <c r="O240" i="4"/>
  <c r="S240" i="4"/>
  <c r="W240" i="4"/>
  <c r="AA240" i="4"/>
  <c r="G241" i="4"/>
  <c r="K241" i="4"/>
  <c r="O241" i="4"/>
  <c r="S241" i="4"/>
  <c r="W241" i="4"/>
  <c r="AA241" i="4"/>
  <c r="G242" i="4"/>
  <c r="K242" i="4"/>
  <c r="O242" i="4"/>
  <c r="S242" i="4"/>
  <c r="W242" i="4"/>
  <c r="AA242" i="4"/>
  <c r="G243" i="4"/>
  <c r="K243" i="4"/>
  <c r="O243" i="4"/>
  <c r="S243" i="4"/>
  <c r="W243" i="4"/>
  <c r="AA243" i="4"/>
  <c r="G244" i="4"/>
  <c r="K244" i="4"/>
  <c r="O244" i="4"/>
  <c r="S244" i="4"/>
  <c r="W244" i="4"/>
  <c r="AA244" i="4"/>
  <c r="G245" i="4"/>
  <c r="K245" i="4"/>
  <c r="O245" i="4"/>
  <c r="S245" i="4"/>
  <c r="W245" i="4"/>
  <c r="AA245" i="4"/>
  <c r="G246" i="4"/>
  <c r="K246" i="4"/>
  <c r="O246" i="4"/>
  <c r="S246" i="4"/>
  <c r="W246" i="4"/>
  <c r="AA246" i="4"/>
  <c r="G247" i="4"/>
  <c r="K247" i="4"/>
  <c r="O247" i="4"/>
  <c r="H221" i="4"/>
  <c r="L221" i="4"/>
  <c r="P221" i="4"/>
  <c r="T221" i="4"/>
  <c r="X221" i="4"/>
  <c r="AB221" i="4"/>
  <c r="H222" i="4"/>
  <c r="L222" i="4"/>
  <c r="P222" i="4"/>
  <c r="T222" i="4"/>
  <c r="X222" i="4"/>
  <c r="AB222" i="4"/>
  <c r="H223" i="4"/>
  <c r="L223" i="4"/>
  <c r="P223" i="4"/>
  <c r="T223" i="4"/>
  <c r="X223" i="4"/>
  <c r="AB223" i="4"/>
  <c r="H224" i="4"/>
  <c r="L224" i="4"/>
  <c r="P224" i="4"/>
  <c r="T224" i="4"/>
  <c r="X224" i="4"/>
  <c r="AB224" i="4"/>
  <c r="H225" i="4"/>
  <c r="L225" i="4"/>
  <c r="P225" i="4"/>
  <c r="T225" i="4"/>
  <c r="X225" i="4"/>
  <c r="AB225" i="4"/>
  <c r="H226" i="4"/>
  <c r="L226" i="4"/>
  <c r="P226" i="4"/>
  <c r="T226" i="4"/>
  <c r="X226" i="4"/>
  <c r="AB226" i="4"/>
  <c r="H227" i="4"/>
  <c r="L227" i="4"/>
  <c r="P227" i="4"/>
  <c r="T227" i="4"/>
  <c r="X227" i="4"/>
  <c r="AB227" i="4"/>
  <c r="H228" i="4"/>
  <c r="L228" i="4"/>
  <c r="P228" i="4"/>
  <c r="T228" i="4"/>
  <c r="X228" i="4"/>
  <c r="AB228" i="4"/>
  <c r="H229" i="4"/>
  <c r="L229" i="4"/>
  <c r="P229" i="4"/>
  <c r="T229" i="4"/>
  <c r="X229" i="4"/>
  <c r="AB229" i="4"/>
  <c r="H230" i="4"/>
  <c r="L230" i="4"/>
  <c r="P230" i="4"/>
  <c r="T230" i="4"/>
  <c r="X230" i="4"/>
  <c r="AB230" i="4"/>
  <c r="H231" i="4"/>
  <c r="L231" i="4"/>
  <c r="P231" i="4"/>
  <c r="T231" i="4"/>
  <c r="X231" i="4"/>
  <c r="AB231" i="4"/>
  <c r="H232" i="4"/>
  <c r="L232" i="4"/>
  <c r="P232" i="4"/>
  <c r="T232" i="4"/>
  <c r="X232" i="4"/>
  <c r="AB232" i="4"/>
  <c r="H233" i="4"/>
  <c r="L233" i="4"/>
  <c r="P233" i="4"/>
  <c r="T233" i="4"/>
  <c r="X233" i="4"/>
  <c r="AB233" i="4"/>
  <c r="H234" i="4"/>
  <c r="L234" i="4"/>
  <c r="P234" i="4"/>
  <c r="T234" i="4"/>
  <c r="X234" i="4"/>
  <c r="AB234" i="4"/>
  <c r="H235" i="4"/>
  <c r="L235" i="4"/>
  <c r="P235" i="4"/>
  <c r="T235" i="4"/>
  <c r="X235" i="4"/>
  <c r="AB235" i="4"/>
  <c r="H236" i="4"/>
  <c r="L236" i="4"/>
  <c r="P236" i="4"/>
  <c r="T236" i="4"/>
  <c r="X236" i="4"/>
  <c r="AB236" i="4"/>
  <c r="H237" i="4"/>
  <c r="L237" i="4"/>
  <c r="P237" i="4"/>
  <c r="T237" i="4"/>
  <c r="X237" i="4"/>
  <c r="AB237" i="4"/>
  <c r="H238" i="4"/>
  <c r="L238" i="4"/>
  <c r="P238" i="4"/>
  <c r="T238" i="4"/>
  <c r="X238" i="4"/>
  <c r="AB238" i="4"/>
  <c r="H239" i="4"/>
  <c r="L239" i="4"/>
  <c r="P239" i="4"/>
  <c r="T239" i="4"/>
  <c r="X239" i="4"/>
  <c r="AB239" i="4"/>
  <c r="H240" i="4"/>
  <c r="L240" i="4"/>
  <c r="P240" i="4"/>
  <c r="T240" i="4"/>
  <c r="X240" i="4"/>
  <c r="AB240" i="4"/>
  <c r="H241" i="4"/>
  <c r="L241" i="4"/>
  <c r="P241" i="4"/>
  <c r="T241" i="4"/>
  <c r="X241" i="4"/>
  <c r="AB241" i="4"/>
  <c r="H242" i="4"/>
  <c r="L242" i="4"/>
  <c r="P242" i="4"/>
  <c r="T242" i="4"/>
  <c r="X242" i="4"/>
  <c r="AB242" i="4"/>
  <c r="H243" i="4"/>
  <c r="L243" i="4"/>
  <c r="P243" i="4"/>
  <c r="T243" i="4"/>
  <c r="X243" i="4"/>
  <c r="AB243" i="4"/>
  <c r="Q221" i="4"/>
  <c r="I222" i="4"/>
  <c r="Y222" i="4"/>
  <c r="Q223" i="4"/>
  <c r="I224" i="4"/>
  <c r="Y224" i="4"/>
  <c r="Q225" i="4"/>
  <c r="I226" i="4"/>
  <c r="Y226" i="4"/>
  <c r="Q227" i="4"/>
  <c r="I228" i="4"/>
  <c r="Y228" i="4"/>
  <c r="Q229" i="4"/>
  <c r="I230" i="4"/>
  <c r="Y230" i="4"/>
  <c r="Q231" i="4"/>
  <c r="I232" i="4"/>
  <c r="Y232" i="4"/>
  <c r="Q233" i="4"/>
  <c r="I234" i="4"/>
  <c r="Y234" i="4"/>
  <c r="Q235" i="4"/>
  <c r="I236" i="4"/>
  <c r="Y236" i="4"/>
  <c r="Q237" i="4"/>
  <c r="I238" i="4"/>
  <c r="Y238" i="4"/>
  <c r="Q239" i="4"/>
  <c r="I240" i="4"/>
  <c r="Y240" i="4"/>
  <c r="Q241" i="4"/>
  <c r="I242" i="4"/>
  <c r="Y242" i="4"/>
  <c r="Q243" i="4"/>
  <c r="H244" i="4"/>
  <c r="P244" i="4"/>
  <c r="X244" i="4"/>
  <c r="H245" i="4"/>
  <c r="P245" i="4"/>
  <c r="X245" i="4"/>
  <c r="H246" i="4"/>
  <c r="P246" i="4"/>
  <c r="X246" i="4"/>
  <c r="H247" i="4"/>
  <c r="P247" i="4"/>
  <c r="U247" i="4"/>
  <c r="AA247" i="4"/>
  <c r="H248" i="4"/>
  <c r="M248" i="4"/>
  <c r="S248" i="4"/>
  <c r="X248" i="4"/>
  <c r="AC248" i="4"/>
  <c r="K249" i="4"/>
  <c r="P249" i="4"/>
  <c r="U249" i="4"/>
  <c r="AA249" i="4"/>
  <c r="H250" i="4"/>
  <c r="M250" i="4"/>
  <c r="S250" i="4"/>
  <c r="X250" i="4"/>
  <c r="AC250" i="4"/>
  <c r="L220" i="4"/>
  <c r="Q220" i="4"/>
  <c r="V220" i="4"/>
  <c r="AB220" i="4"/>
  <c r="U221" i="4"/>
  <c r="M222" i="4"/>
  <c r="AC222" i="4"/>
  <c r="U223" i="4"/>
  <c r="M224" i="4"/>
  <c r="AC224" i="4"/>
  <c r="U225" i="4"/>
  <c r="M226" i="4"/>
  <c r="AC226" i="4"/>
  <c r="U227" i="4"/>
  <c r="M228" i="4"/>
  <c r="AC228" i="4"/>
  <c r="U229" i="4"/>
  <c r="M230" i="4"/>
  <c r="AC230" i="4"/>
  <c r="U231" i="4"/>
  <c r="M232" i="4"/>
  <c r="AC232" i="4"/>
  <c r="U233" i="4"/>
  <c r="M234" i="4"/>
  <c r="AC234" i="4"/>
  <c r="U235" i="4"/>
  <c r="M236" i="4"/>
  <c r="AC236" i="4"/>
  <c r="U237" i="4"/>
  <c r="M238" i="4"/>
  <c r="AC238" i="4"/>
  <c r="U239" i="4"/>
  <c r="M240" i="4"/>
  <c r="AC240" i="4"/>
  <c r="U241" i="4"/>
  <c r="M242" i="4"/>
  <c r="AC242" i="4"/>
  <c r="U243" i="4"/>
  <c r="I244" i="4"/>
  <c r="Q244" i="4"/>
  <c r="Y244" i="4"/>
  <c r="I245" i="4"/>
  <c r="Q245" i="4"/>
  <c r="Y245" i="4"/>
  <c r="I246" i="4"/>
  <c r="Q246" i="4"/>
  <c r="Y246" i="4"/>
  <c r="I247" i="4"/>
  <c r="Q247" i="4"/>
  <c r="W247" i="4"/>
  <c r="AB247" i="4"/>
  <c r="I248" i="4"/>
  <c r="O248" i="4"/>
  <c r="T248" i="4"/>
  <c r="Y248" i="4"/>
  <c r="G249" i="4"/>
  <c r="L249" i="4"/>
  <c r="Q249" i="4"/>
  <c r="W249" i="4"/>
  <c r="AB249" i="4"/>
  <c r="I250" i="4"/>
  <c r="O250" i="4"/>
  <c r="T250" i="4"/>
  <c r="Y250" i="4"/>
  <c r="H220" i="4"/>
  <c r="M220" i="4"/>
  <c r="R220" i="4"/>
  <c r="X220" i="4"/>
  <c r="AC220" i="4"/>
  <c r="I221" i="4"/>
  <c r="Y221" i="4"/>
  <c r="Q222" i="4"/>
  <c r="I223" i="4"/>
  <c r="Y223" i="4"/>
  <c r="Q224" i="4"/>
  <c r="I225" i="4"/>
  <c r="Y225" i="4"/>
  <c r="Q226" i="4"/>
  <c r="I227" i="4"/>
  <c r="Y227" i="4"/>
  <c r="Q228" i="4"/>
  <c r="I229" i="4"/>
  <c r="Y229" i="4"/>
  <c r="Q230" i="4"/>
  <c r="I231" i="4"/>
  <c r="Y231" i="4"/>
  <c r="Q232" i="4"/>
  <c r="I233" i="4"/>
  <c r="Y233" i="4"/>
  <c r="Q234" i="4"/>
  <c r="I235" i="4"/>
  <c r="Y235" i="4"/>
  <c r="Q236" i="4"/>
  <c r="I237" i="4"/>
  <c r="Y237" i="4"/>
  <c r="Q238" i="4"/>
  <c r="I239" i="4"/>
  <c r="Y239" i="4"/>
  <c r="Q240" i="4"/>
  <c r="I241" i="4"/>
  <c r="Y241" i="4"/>
  <c r="Q242" i="4"/>
  <c r="I243" i="4"/>
  <c r="Y243" i="4"/>
  <c r="L244" i="4"/>
  <c r="T244" i="4"/>
  <c r="AB244" i="4"/>
  <c r="L245" i="4"/>
  <c r="T245" i="4"/>
  <c r="AB245" i="4"/>
  <c r="L246" i="4"/>
  <c r="T246" i="4"/>
  <c r="AB246" i="4"/>
  <c r="L247" i="4"/>
  <c r="S247" i="4"/>
  <c r="X247" i="4"/>
  <c r="AC247" i="4"/>
  <c r="K248" i="4"/>
  <c r="P248" i="4"/>
  <c r="U248" i="4"/>
  <c r="AA248" i="4"/>
  <c r="H249" i="4"/>
  <c r="M249" i="4"/>
  <c r="S249" i="4"/>
  <c r="X249" i="4"/>
  <c r="AC249" i="4"/>
  <c r="K250" i="4"/>
  <c r="P250" i="4"/>
  <c r="U250" i="4"/>
  <c r="AA250" i="4"/>
  <c r="I220" i="4"/>
  <c r="N220" i="4"/>
  <c r="T220" i="4"/>
  <c r="Y220" i="4"/>
  <c r="F220" i="4"/>
  <c r="M221" i="4"/>
  <c r="AC221" i="4"/>
  <c r="U222" i="4"/>
  <c r="M223" i="4"/>
  <c r="AC223" i="4"/>
  <c r="U224" i="4"/>
  <c r="M225" i="4"/>
  <c r="AC225" i="4"/>
  <c r="U226" i="4"/>
  <c r="M227" i="4"/>
  <c r="AC227" i="4"/>
  <c r="U228" i="4"/>
  <c r="M229" i="4"/>
  <c r="AC229" i="4"/>
  <c r="U230" i="4"/>
  <c r="M231" i="4"/>
  <c r="AC231" i="4"/>
  <c r="U232" i="4"/>
  <c r="M233" i="4"/>
  <c r="AC233" i="4"/>
  <c r="U234" i="4"/>
  <c r="M235" i="4"/>
  <c r="AC235" i="4"/>
  <c r="U236" i="4"/>
  <c r="M237" i="4"/>
  <c r="AC237" i="4"/>
  <c r="U238" i="4"/>
  <c r="M239" i="4"/>
  <c r="AC239" i="4"/>
  <c r="U240" i="4"/>
  <c r="M241" i="4"/>
  <c r="AC241" i="4"/>
  <c r="U242" i="4"/>
  <c r="M243" i="4"/>
  <c r="AC243" i="4"/>
  <c r="M244" i="4"/>
  <c r="U244" i="4"/>
  <c r="AC244" i="4"/>
  <c r="M245" i="4"/>
  <c r="U245" i="4"/>
  <c r="AC245" i="4"/>
  <c r="M246" i="4"/>
  <c r="U246" i="4"/>
  <c r="AC246" i="4"/>
  <c r="M247" i="4"/>
  <c r="T247" i="4"/>
  <c r="Y247" i="4"/>
  <c r="G248" i="4"/>
  <c r="L248" i="4"/>
  <c r="Q248" i="4"/>
  <c r="W248" i="4"/>
  <c r="AB248" i="4"/>
  <c r="I249" i="4"/>
  <c r="O249" i="4"/>
  <c r="T249" i="4"/>
  <c r="Y249" i="4"/>
  <c r="G250" i="4"/>
  <c r="L250" i="4"/>
  <c r="Q250" i="4"/>
  <c r="W250" i="4"/>
  <c r="AB250" i="4"/>
  <c r="J220" i="4"/>
  <c r="P220" i="4"/>
  <c r="U220" i="4"/>
  <c r="Z220" i="4"/>
  <c r="H40" i="4"/>
  <c r="L40" i="4"/>
  <c r="P40" i="4"/>
  <c r="T40" i="4"/>
  <c r="X40" i="4"/>
  <c r="AB40" i="4"/>
  <c r="H41" i="4"/>
  <c r="L41" i="4"/>
  <c r="P41" i="4"/>
  <c r="T41" i="4"/>
  <c r="X41" i="4"/>
  <c r="AB41" i="4"/>
  <c r="H42" i="4"/>
  <c r="L42" i="4"/>
  <c r="P42" i="4"/>
  <c r="T42" i="4"/>
  <c r="X42" i="4"/>
  <c r="AB42" i="4"/>
  <c r="H43" i="4"/>
  <c r="L43" i="4"/>
  <c r="P43" i="4"/>
  <c r="T43" i="4"/>
  <c r="X43" i="4"/>
  <c r="AB43" i="4"/>
  <c r="H44" i="4"/>
  <c r="L44" i="4"/>
  <c r="P44" i="4"/>
  <c r="T44" i="4"/>
  <c r="X44" i="4"/>
  <c r="AB44" i="4"/>
  <c r="H45" i="4"/>
  <c r="L45" i="4"/>
  <c r="P45" i="4"/>
  <c r="T45" i="4"/>
  <c r="X45" i="4"/>
  <c r="AB45" i="4"/>
  <c r="H46" i="4"/>
  <c r="L46" i="4"/>
  <c r="P46" i="4"/>
  <c r="T46" i="4"/>
  <c r="X46" i="4"/>
  <c r="AB46" i="4"/>
  <c r="H47" i="4"/>
  <c r="L47" i="4"/>
  <c r="P47" i="4"/>
  <c r="T47" i="4"/>
  <c r="X47" i="4"/>
  <c r="AB47" i="4"/>
  <c r="H48" i="4"/>
  <c r="L48" i="4"/>
  <c r="P48" i="4"/>
  <c r="T48" i="4"/>
  <c r="X48" i="4"/>
  <c r="AB48" i="4"/>
  <c r="H49" i="4"/>
  <c r="L49" i="4"/>
  <c r="P49" i="4"/>
  <c r="T49" i="4"/>
  <c r="X49" i="4"/>
  <c r="AB49" i="4"/>
  <c r="H50" i="4"/>
  <c r="L50" i="4"/>
  <c r="P50" i="4"/>
  <c r="T50" i="4"/>
  <c r="X50" i="4"/>
  <c r="AB50" i="4"/>
  <c r="H51" i="4"/>
  <c r="L51" i="4"/>
  <c r="P51" i="4"/>
  <c r="T51" i="4"/>
  <c r="X51" i="4"/>
  <c r="AB51" i="4"/>
  <c r="H52" i="4"/>
  <c r="L52" i="4"/>
  <c r="P52" i="4"/>
  <c r="T52" i="4"/>
  <c r="X52" i="4"/>
  <c r="AB52" i="4"/>
  <c r="H53" i="4"/>
  <c r="L53" i="4"/>
  <c r="P53" i="4"/>
  <c r="T53" i="4"/>
  <c r="X53" i="4"/>
  <c r="AB53" i="4"/>
  <c r="H54" i="4"/>
  <c r="L54" i="4"/>
  <c r="P54" i="4"/>
  <c r="T54" i="4"/>
  <c r="X54" i="4"/>
  <c r="AB54" i="4"/>
  <c r="H55" i="4"/>
  <c r="L55" i="4"/>
  <c r="P55" i="4"/>
  <c r="T55" i="4"/>
  <c r="X55" i="4"/>
  <c r="AB55" i="4"/>
  <c r="H56" i="4"/>
  <c r="L56" i="4"/>
  <c r="P56" i="4"/>
  <c r="T56" i="4"/>
  <c r="X56" i="4"/>
  <c r="AB56" i="4"/>
  <c r="H57" i="4"/>
  <c r="L57" i="4"/>
  <c r="P57" i="4"/>
  <c r="T57" i="4"/>
  <c r="X57" i="4"/>
  <c r="AB57" i="4"/>
  <c r="H58" i="4"/>
  <c r="L58" i="4"/>
  <c r="P58" i="4"/>
  <c r="T58" i="4"/>
  <c r="X58" i="4"/>
  <c r="AB58" i="4"/>
  <c r="H59" i="4"/>
  <c r="L59" i="4"/>
  <c r="P59" i="4"/>
  <c r="T59" i="4"/>
  <c r="X59" i="4"/>
  <c r="AB59" i="4"/>
  <c r="H60" i="4"/>
  <c r="L60" i="4"/>
  <c r="P60" i="4"/>
  <c r="T60" i="4"/>
  <c r="X60" i="4"/>
  <c r="AB60" i="4"/>
  <c r="H61" i="4"/>
  <c r="L61" i="4"/>
  <c r="P61" i="4"/>
  <c r="T61" i="4"/>
  <c r="X61" i="4"/>
  <c r="AB61" i="4"/>
  <c r="H62" i="4"/>
  <c r="L62" i="4"/>
  <c r="P62" i="4"/>
  <c r="T62" i="4"/>
  <c r="X62" i="4"/>
  <c r="AB62" i="4"/>
  <c r="H63" i="4"/>
  <c r="L63" i="4"/>
  <c r="P63" i="4"/>
  <c r="T63" i="4"/>
  <c r="X63" i="4"/>
  <c r="AB63" i="4"/>
  <c r="H64" i="4"/>
  <c r="L64" i="4"/>
  <c r="P64" i="4"/>
  <c r="T64" i="4"/>
  <c r="X64" i="4"/>
  <c r="AB64" i="4"/>
  <c r="H65" i="4"/>
  <c r="L65" i="4"/>
  <c r="P65" i="4"/>
  <c r="T65" i="4"/>
  <c r="X65" i="4"/>
  <c r="AB65" i="4"/>
  <c r="H66" i="4"/>
  <c r="L66" i="4"/>
  <c r="P66" i="4"/>
  <c r="T66" i="4"/>
  <c r="X66" i="4"/>
  <c r="AB66" i="4"/>
  <c r="I39" i="4"/>
  <c r="M39" i="4"/>
  <c r="Q39" i="4"/>
  <c r="U39" i="4"/>
  <c r="Y39" i="4"/>
  <c r="AC39" i="4"/>
  <c r="I40" i="4"/>
  <c r="M40" i="4"/>
  <c r="Q40" i="4"/>
  <c r="U40" i="4"/>
  <c r="Y40" i="4"/>
  <c r="AC40" i="4"/>
  <c r="I41" i="4"/>
  <c r="M41" i="4"/>
  <c r="Q41" i="4"/>
  <c r="U41" i="4"/>
  <c r="Y41" i="4"/>
  <c r="AC41" i="4"/>
  <c r="I42" i="4"/>
  <c r="M42" i="4"/>
  <c r="Q42" i="4"/>
  <c r="U42" i="4"/>
  <c r="Y42" i="4"/>
  <c r="AC42" i="4"/>
  <c r="I43" i="4"/>
  <c r="M43" i="4"/>
  <c r="Q43" i="4"/>
  <c r="U43" i="4"/>
  <c r="Y43" i="4"/>
  <c r="AC43" i="4"/>
  <c r="I44" i="4"/>
  <c r="M44" i="4"/>
  <c r="Q44" i="4"/>
  <c r="U44" i="4"/>
  <c r="Y44" i="4"/>
  <c r="AC44" i="4"/>
  <c r="I45" i="4"/>
  <c r="M45" i="4"/>
  <c r="Q45" i="4"/>
  <c r="U45" i="4"/>
  <c r="Y45" i="4"/>
  <c r="AC45" i="4"/>
  <c r="I46" i="4"/>
  <c r="M46" i="4"/>
  <c r="Q46" i="4"/>
  <c r="U46" i="4"/>
  <c r="Y46" i="4"/>
  <c r="AC46" i="4"/>
  <c r="I47" i="4"/>
  <c r="M47" i="4"/>
  <c r="Q47" i="4"/>
  <c r="U47" i="4"/>
  <c r="Y47" i="4"/>
  <c r="AC47" i="4"/>
  <c r="I48" i="4"/>
  <c r="M48" i="4"/>
  <c r="Q48" i="4"/>
  <c r="U48" i="4"/>
  <c r="Y48" i="4"/>
  <c r="AC48" i="4"/>
  <c r="I49" i="4"/>
  <c r="M49" i="4"/>
  <c r="Q49" i="4"/>
  <c r="U49" i="4"/>
  <c r="Y49" i="4"/>
  <c r="AC49" i="4"/>
  <c r="I50" i="4"/>
  <c r="M50" i="4"/>
  <c r="Q50" i="4"/>
  <c r="U50" i="4"/>
  <c r="Y50" i="4"/>
  <c r="AC50" i="4"/>
  <c r="I51" i="4"/>
  <c r="M51" i="4"/>
  <c r="Q51" i="4"/>
  <c r="U51" i="4"/>
  <c r="Y51" i="4"/>
  <c r="AC51" i="4"/>
  <c r="I52" i="4"/>
  <c r="M52" i="4"/>
  <c r="Q52" i="4"/>
  <c r="U52" i="4"/>
  <c r="Y52" i="4"/>
  <c r="AC52" i="4"/>
  <c r="I53" i="4"/>
  <c r="M53" i="4"/>
  <c r="Q53" i="4"/>
  <c r="U53" i="4"/>
  <c r="Y53" i="4"/>
  <c r="AC53" i="4"/>
  <c r="I54" i="4"/>
  <c r="M54" i="4"/>
  <c r="Q54" i="4"/>
  <c r="U54" i="4"/>
  <c r="Y54" i="4"/>
  <c r="AC54" i="4"/>
  <c r="I55" i="4"/>
  <c r="M55" i="4"/>
  <c r="Q55" i="4"/>
  <c r="U55" i="4"/>
  <c r="Y55" i="4"/>
  <c r="AC55" i="4"/>
  <c r="I56" i="4"/>
  <c r="M56" i="4"/>
  <c r="Q56" i="4"/>
  <c r="U56" i="4"/>
  <c r="Y56" i="4"/>
  <c r="AC56" i="4"/>
  <c r="I57" i="4"/>
  <c r="M57" i="4"/>
  <c r="Q57" i="4"/>
  <c r="U57" i="4"/>
  <c r="Y57" i="4"/>
  <c r="AC57" i="4"/>
  <c r="I58" i="4"/>
  <c r="M58" i="4"/>
  <c r="Q58" i="4"/>
  <c r="U58" i="4"/>
  <c r="Y58" i="4"/>
  <c r="AC58" i="4"/>
  <c r="I59" i="4"/>
  <c r="M59" i="4"/>
  <c r="Q59" i="4"/>
  <c r="U59" i="4"/>
  <c r="Y59" i="4"/>
  <c r="AC59" i="4"/>
  <c r="I60" i="4"/>
  <c r="M60" i="4"/>
  <c r="Q60" i="4"/>
  <c r="U60" i="4"/>
  <c r="Y60" i="4"/>
  <c r="AC60" i="4"/>
  <c r="I61" i="4"/>
  <c r="M61" i="4"/>
  <c r="Q61" i="4"/>
  <c r="U61" i="4"/>
  <c r="Y61" i="4"/>
  <c r="AC61" i="4"/>
  <c r="I62" i="4"/>
  <c r="M62" i="4"/>
  <c r="Q62" i="4"/>
  <c r="U62" i="4"/>
  <c r="Y62" i="4"/>
  <c r="AC62" i="4"/>
  <c r="I63" i="4"/>
  <c r="M63" i="4"/>
  <c r="Q63" i="4"/>
  <c r="U63" i="4"/>
  <c r="Y63" i="4"/>
  <c r="AC63" i="4"/>
  <c r="I64" i="4"/>
  <c r="M64" i="4"/>
  <c r="Q64" i="4"/>
  <c r="U64" i="4"/>
  <c r="Y64" i="4"/>
  <c r="AC64" i="4"/>
  <c r="I65" i="4"/>
  <c r="M65" i="4"/>
  <c r="Q65" i="4"/>
  <c r="U65" i="4"/>
  <c r="Y65" i="4"/>
  <c r="AC65" i="4"/>
  <c r="I66" i="4"/>
  <c r="M66" i="4"/>
  <c r="Q66" i="4"/>
  <c r="U66" i="4"/>
  <c r="Y66" i="4"/>
  <c r="AC66" i="4"/>
  <c r="J39" i="4"/>
  <c r="N39" i="4"/>
  <c r="R39" i="4"/>
  <c r="V39" i="4"/>
  <c r="Z39" i="4"/>
  <c r="F39" i="4"/>
  <c r="F40" i="4"/>
  <c r="J40" i="4"/>
  <c r="N40" i="4"/>
  <c r="R40" i="4"/>
  <c r="V40" i="4"/>
  <c r="Z40" i="4"/>
  <c r="F41" i="4"/>
  <c r="J41" i="4"/>
  <c r="N41" i="4"/>
  <c r="R41" i="4"/>
  <c r="V41" i="4"/>
  <c r="Z41" i="4"/>
  <c r="F42" i="4"/>
  <c r="J42" i="4"/>
  <c r="N42" i="4"/>
  <c r="R42" i="4"/>
  <c r="V42" i="4"/>
  <c r="Z42" i="4"/>
  <c r="F43" i="4"/>
  <c r="J43" i="4"/>
  <c r="N43" i="4"/>
  <c r="R43" i="4"/>
  <c r="V43" i="4"/>
  <c r="Z43" i="4"/>
  <c r="F44" i="4"/>
  <c r="J44" i="4"/>
  <c r="N44" i="4"/>
  <c r="R44" i="4"/>
  <c r="V44" i="4"/>
  <c r="Z44" i="4"/>
  <c r="F45" i="4"/>
  <c r="J45" i="4"/>
  <c r="N45" i="4"/>
  <c r="R45" i="4"/>
  <c r="V45" i="4"/>
  <c r="Z45" i="4"/>
  <c r="F46" i="4"/>
  <c r="J46" i="4"/>
  <c r="N46" i="4"/>
  <c r="R46" i="4"/>
  <c r="V46" i="4"/>
  <c r="Z46" i="4"/>
  <c r="F47" i="4"/>
  <c r="J47" i="4"/>
  <c r="N47" i="4"/>
  <c r="R47" i="4"/>
  <c r="V47" i="4"/>
  <c r="Z47" i="4"/>
  <c r="F48" i="4"/>
  <c r="J48" i="4"/>
  <c r="N48" i="4"/>
  <c r="R48" i="4"/>
  <c r="V48" i="4"/>
  <c r="Z48" i="4"/>
  <c r="F49" i="4"/>
  <c r="J49" i="4"/>
  <c r="N49" i="4"/>
  <c r="R49" i="4"/>
  <c r="V49" i="4"/>
  <c r="Z49" i="4"/>
  <c r="F50" i="4"/>
  <c r="J50" i="4"/>
  <c r="N50" i="4"/>
  <c r="R50" i="4"/>
  <c r="V50" i="4"/>
  <c r="Z50" i="4"/>
  <c r="F51" i="4"/>
  <c r="J51" i="4"/>
  <c r="N51" i="4"/>
  <c r="R51" i="4"/>
  <c r="V51" i="4"/>
  <c r="Z51" i="4"/>
  <c r="F52" i="4"/>
  <c r="J52" i="4"/>
  <c r="N52" i="4"/>
  <c r="R52" i="4"/>
  <c r="V52" i="4"/>
  <c r="Z52" i="4"/>
  <c r="F53" i="4"/>
  <c r="J53" i="4"/>
  <c r="N53" i="4"/>
  <c r="R53" i="4"/>
  <c r="V53" i="4"/>
  <c r="Z53" i="4"/>
  <c r="F54" i="4"/>
  <c r="J54" i="4"/>
  <c r="N54" i="4"/>
  <c r="R54" i="4"/>
  <c r="V54" i="4"/>
  <c r="Z54" i="4"/>
  <c r="F55" i="4"/>
  <c r="J55" i="4"/>
  <c r="N55" i="4"/>
  <c r="R55" i="4"/>
  <c r="V55" i="4"/>
  <c r="Z55" i="4"/>
  <c r="F56" i="4"/>
  <c r="J56" i="4"/>
  <c r="N56" i="4"/>
  <c r="R56" i="4"/>
  <c r="V56" i="4"/>
  <c r="Z56" i="4"/>
  <c r="F57" i="4"/>
  <c r="J57" i="4"/>
  <c r="N57" i="4"/>
  <c r="R57" i="4"/>
  <c r="V57" i="4"/>
  <c r="Z57" i="4"/>
  <c r="F58" i="4"/>
  <c r="J58" i="4"/>
  <c r="N58" i="4"/>
  <c r="R58" i="4"/>
  <c r="V58" i="4"/>
  <c r="Z58" i="4"/>
  <c r="F59" i="4"/>
  <c r="J59" i="4"/>
  <c r="N59" i="4"/>
  <c r="R59" i="4"/>
  <c r="V59" i="4"/>
  <c r="Z59" i="4"/>
  <c r="F60" i="4"/>
  <c r="J60" i="4"/>
  <c r="N60" i="4"/>
  <c r="R60" i="4"/>
  <c r="V60" i="4"/>
  <c r="Z60" i="4"/>
  <c r="F61" i="4"/>
  <c r="J61" i="4"/>
  <c r="N61" i="4"/>
  <c r="R61" i="4"/>
  <c r="V61" i="4"/>
  <c r="Z61" i="4"/>
  <c r="F62" i="4"/>
  <c r="J62" i="4"/>
  <c r="N62" i="4"/>
  <c r="R62" i="4"/>
  <c r="V62" i="4"/>
  <c r="Z62" i="4"/>
  <c r="F63" i="4"/>
  <c r="J63" i="4"/>
  <c r="N63" i="4"/>
  <c r="R63" i="4"/>
  <c r="V63" i="4"/>
  <c r="Z63" i="4"/>
  <c r="F64" i="4"/>
  <c r="J64" i="4"/>
  <c r="N64" i="4"/>
  <c r="R64" i="4"/>
  <c r="V64" i="4"/>
  <c r="Z64" i="4"/>
  <c r="F65" i="4"/>
  <c r="J65" i="4"/>
  <c r="N65" i="4"/>
  <c r="R65" i="4"/>
  <c r="V65" i="4"/>
  <c r="Z65" i="4"/>
  <c r="F66" i="4"/>
  <c r="J66" i="4"/>
  <c r="N66" i="4"/>
  <c r="R66" i="4"/>
  <c r="V66" i="4"/>
  <c r="Z66" i="4"/>
  <c r="G39" i="4"/>
  <c r="K39" i="4"/>
  <c r="O39" i="4"/>
  <c r="S39" i="4"/>
  <c r="W39" i="4"/>
  <c r="AA39" i="4"/>
  <c r="G40" i="4"/>
  <c r="K40" i="4"/>
  <c r="O40" i="4"/>
  <c r="S40" i="4"/>
  <c r="W40" i="4"/>
  <c r="AA40" i="4"/>
  <c r="G41" i="4"/>
  <c r="K41" i="4"/>
  <c r="O41" i="4"/>
  <c r="S41" i="4"/>
  <c r="W41" i="4"/>
  <c r="AA41" i="4"/>
  <c r="G42" i="4"/>
  <c r="K42" i="4"/>
  <c r="O42" i="4"/>
  <c r="S42" i="4"/>
  <c r="W42" i="4"/>
  <c r="AA42" i="4"/>
  <c r="G43" i="4"/>
  <c r="K43" i="4"/>
  <c r="O43" i="4"/>
  <c r="S43" i="4"/>
  <c r="W43" i="4"/>
  <c r="AA43" i="4"/>
  <c r="G44" i="4"/>
  <c r="K44" i="4"/>
  <c r="O44" i="4"/>
  <c r="S44" i="4"/>
  <c r="W44" i="4"/>
  <c r="AA44" i="4"/>
  <c r="G45" i="4"/>
  <c r="K45" i="4"/>
  <c r="O45" i="4"/>
  <c r="S45" i="4"/>
  <c r="W45" i="4"/>
  <c r="AA45" i="4"/>
  <c r="G46" i="4"/>
  <c r="K46" i="4"/>
  <c r="O46" i="4"/>
  <c r="S46" i="4"/>
  <c r="W46" i="4"/>
  <c r="AA46" i="4"/>
  <c r="G47" i="4"/>
  <c r="K47" i="4"/>
  <c r="O47" i="4"/>
  <c r="S47" i="4"/>
  <c r="W47" i="4"/>
  <c r="AA47" i="4"/>
  <c r="G48" i="4"/>
  <c r="K48" i="4"/>
  <c r="O48" i="4"/>
  <c r="S48" i="4"/>
  <c r="W48" i="4"/>
  <c r="AA48" i="4"/>
  <c r="G49" i="4"/>
  <c r="K49" i="4"/>
  <c r="O49" i="4"/>
  <c r="S49" i="4"/>
  <c r="W49" i="4"/>
  <c r="AA49" i="4"/>
  <c r="G50" i="4"/>
  <c r="K50" i="4"/>
  <c r="O50" i="4"/>
  <c r="S50" i="4"/>
  <c r="W50" i="4"/>
  <c r="AA50" i="4"/>
  <c r="G51" i="4"/>
  <c r="K51" i="4"/>
  <c r="O51" i="4"/>
  <c r="S51" i="4"/>
  <c r="W51" i="4"/>
  <c r="AA51" i="4"/>
  <c r="G52" i="4"/>
  <c r="K52" i="4"/>
  <c r="O52" i="4"/>
  <c r="S52" i="4"/>
  <c r="W52" i="4"/>
  <c r="AA52" i="4"/>
  <c r="G53" i="4"/>
  <c r="K53" i="4"/>
  <c r="O53" i="4"/>
  <c r="S53" i="4"/>
  <c r="W53" i="4"/>
  <c r="AA53" i="4"/>
  <c r="G54" i="4"/>
  <c r="K54" i="4"/>
  <c r="O54" i="4"/>
  <c r="S54" i="4"/>
  <c r="W54" i="4"/>
  <c r="AA54" i="4"/>
  <c r="G55" i="4"/>
  <c r="K55" i="4"/>
  <c r="O55" i="4"/>
  <c r="S55" i="4"/>
  <c r="W55" i="4"/>
  <c r="AA55" i="4"/>
  <c r="G56" i="4"/>
  <c r="K56" i="4"/>
  <c r="O56" i="4"/>
  <c r="S56" i="4"/>
  <c r="W56" i="4"/>
  <c r="AA56" i="4"/>
  <c r="G57" i="4"/>
  <c r="K57" i="4"/>
  <c r="O57" i="4"/>
  <c r="S57" i="4"/>
  <c r="W57" i="4"/>
  <c r="AA57" i="4"/>
  <c r="G58" i="4"/>
  <c r="K58" i="4"/>
  <c r="O58" i="4"/>
  <c r="S58" i="4"/>
  <c r="W58" i="4"/>
  <c r="AA58" i="4"/>
  <c r="G59" i="4"/>
  <c r="K59" i="4"/>
  <c r="O59" i="4"/>
  <c r="S59" i="4"/>
  <c r="W59" i="4"/>
  <c r="AA59" i="4"/>
  <c r="G60" i="4"/>
  <c r="K60" i="4"/>
  <c r="O60" i="4"/>
  <c r="S60" i="4"/>
  <c r="W60" i="4"/>
  <c r="AA60" i="4"/>
  <c r="G61" i="4"/>
  <c r="K61" i="4"/>
  <c r="O61" i="4"/>
  <c r="S61" i="4"/>
  <c r="W61" i="4"/>
  <c r="AA61" i="4"/>
  <c r="G62" i="4"/>
  <c r="K62" i="4"/>
  <c r="O62" i="4"/>
  <c r="S62" i="4"/>
  <c r="W62" i="4"/>
  <c r="AA62" i="4"/>
  <c r="G63" i="4"/>
  <c r="K63" i="4"/>
  <c r="O63" i="4"/>
  <c r="S63" i="4"/>
  <c r="W63" i="4"/>
  <c r="AA63" i="4"/>
  <c r="G64" i="4"/>
  <c r="K64" i="4"/>
  <c r="O64" i="4"/>
  <c r="S64" i="4"/>
  <c r="W64" i="4"/>
  <c r="AA64" i="4"/>
  <c r="G65" i="4"/>
  <c r="K65" i="4"/>
  <c r="O65" i="4"/>
  <c r="S65" i="4"/>
  <c r="W65" i="4"/>
  <c r="AA65" i="4"/>
  <c r="G66" i="4"/>
  <c r="K66" i="4"/>
  <c r="O66" i="4"/>
  <c r="S66" i="4"/>
  <c r="W66" i="4"/>
  <c r="AA66" i="4"/>
  <c r="H39" i="4"/>
  <c r="L39" i="4"/>
  <c r="P39" i="4"/>
  <c r="T39" i="4"/>
  <c r="X39" i="4"/>
  <c r="AB39" i="4"/>
  <c r="F313" i="4"/>
  <c r="J313" i="4"/>
  <c r="N313" i="4"/>
  <c r="R313" i="4"/>
  <c r="V313" i="4"/>
  <c r="Z313" i="4"/>
  <c r="F314" i="4"/>
  <c r="J314" i="4"/>
  <c r="N314" i="4"/>
  <c r="R314" i="4"/>
  <c r="V314" i="4"/>
  <c r="Z314" i="4"/>
  <c r="F315" i="4"/>
  <c r="J315" i="4"/>
  <c r="N315" i="4"/>
  <c r="R315" i="4"/>
  <c r="V315" i="4"/>
  <c r="Z315" i="4"/>
  <c r="F316" i="4"/>
  <c r="J316" i="4"/>
  <c r="N316" i="4"/>
  <c r="R316" i="4"/>
  <c r="V316" i="4"/>
  <c r="Z316" i="4"/>
  <c r="F317" i="4"/>
  <c r="J317" i="4"/>
  <c r="N317" i="4"/>
  <c r="R317" i="4"/>
  <c r="V317" i="4"/>
  <c r="Z317" i="4"/>
  <c r="F318" i="4"/>
  <c r="J318" i="4"/>
  <c r="N318" i="4"/>
  <c r="R318" i="4"/>
  <c r="V318" i="4"/>
  <c r="Z318" i="4"/>
  <c r="F319" i="4"/>
  <c r="J319" i="4"/>
  <c r="N319" i="4"/>
  <c r="R319" i="4"/>
  <c r="V319" i="4"/>
  <c r="Z319" i="4"/>
  <c r="F320" i="4"/>
  <c r="J320" i="4"/>
  <c r="N320" i="4"/>
  <c r="R320" i="4"/>
  <c r="V320" i="4"/>
  <c r="Z320" i="4"/>
  <c r="F321" i="4"/>
  <c r="J321" i="4"/>
  <c r="N321" i="4"/>
  <c r="R321" i="4"/>
  <c r="V321" i="4"/>
  <c r="Z321" i="4"/>
  <c r="F322" i="4"/>
  <c r="J322" i="4"/>
  <c r="N322" i="4"/>
  <c r="R322" i="4"/>
  <c r="V322" i="4"/>
  <c r="Z322" i="4"/>
  <c r="F323" i="4"/>
  <c r="J323" i="4"/>
  <c r="N323" i="4"/>
  <c r="R323" i="4"/>
  <c r="V323" i="4"/>
  <c r="Z323" i="4"/>
  <c r="F324" i="4"/>
  <c r="J324" i="4"/>
  <c r="N324" i="4"/>
  <c r="R324" i="4"/>
  <c r="V324" i="4"/>
  <c r="Z324" i="4"/>
  <c r="F325" i="4"/>
  <c r="J325" i="4"/>
  <c r="N325" i="4"/>
  <c r="R325" i="4"/>
  <c r="V325" i="4"/>
  <c r="Z325" i="4"/>
  <c r="F326" i="4"/>
  <c r="J326" i="4"/>
  <c r="N326" i="4"/>
  <c r="R326" i="4"/>
  <c r="V326" i="4"/>
  <c r="Z326" i="4"/>
  <c r="F327" i="4"/>
  <c r="J327" i="4"/>
  <c r="N327" i="4"/>
  <c r="R327" i="4"/>
  <c r="V327" i="4"/>
  <c r="Z327" i="4"/>
  <c r="F328" i="4"/>
  <c r="J328" i="4"/>
  <c r="N328" i="4"/>
  <c r="R328" i="4"/>
  <c r="V328" i="4"/>
  <c r="Z328" i="4"/>
  <c r="F329" i="4"/>
  <c r="J329" i="4"/>
  <c r="N329" i="4"/>
  <c r="R329" i="4"/>
  <c r="V329" i="4"/>
  <c r="Z329" i="4"/>
  <c r="F330" i="4"/>
  <c r="J330" i="4"/>
  <c r="N330" i="4"/>
  <c r="R330" i="4"/>
  <c r="V330" i="4"/>
  <c r="Z330" i="4"/>
  <c r="F331" i="4"/>
  <c r="J331" i="4"/>
  <c r="N331" i="4"/>
  <c r="R331" i="4"/>
  <c r="V331" i="4"/>
  <c r="Z331" i="4"/>
  <c r="F332" i="4"/>
  <c r="G313" i="4"/>
  <c r="K313" i="4"/>
  <c r="O313" i="4"/>
  <c r="S313" i="4"/>
  <c r="W313" i="4"/>
  <c r="AA313" i="4"/>
  <c r="G314" i="4"/>
  <c r="K314" i="4"/>
  <c r="O314" i="4"/>
  <c r="S314" i="4"/>
  <c r="W314" i="4"/>
  <c r="AA314" i="4"/>
  <c r="G315" i="4"/>
  <c r="K315" i="4"/>
  <c r="O315" i="4"/>
  <c r="S315" i="4"/>
  <c r="W315" i="4"/>
  <c r="AA315" i="4"/>
  <c r="G316" i="4"/>
  <c r="K316" i="4"/>
  <c r="O316" i="4"/>
  <c r="S316" i="4"/>
  <c r="W316" i="4"/>
  <c r="AA316" i="4"/>
  <c r="G317" i="4"/>
  <c r="K317" i="4"/>
  <c r="O317" i="4"/>
  <c r="S317" i="4"/>
  <c r="W317" i="4"/>
  <c r="AA317" i="4"/>
  <c r="G318" i="4"/>
  <c r="K318" i="4"/>
  <c r="O318" i="4"/>
  <c r="S318" i="4"/>
  <c r="W318" i="4"/>
  <c r="AA318" i="4"/>
  <c r="G319" i="4"/>
  <c r="K319" i="4"/>
  <c r="O319" i="4"/>
  <c r="S319" i="4"/>
  <c r="W319" i="4"/>
  <c r="AA319" i="4"/>
  <c r="G320" i="4"/>
  <c r="K320" i="4"/>
  <c r="O320" i="4"/>
  <c r="S320" i="4"/>
  <c r="W320" i="4"/>
  <c r="AA320" i="4"/>
  <c r="G321" i="4"/>
  <c r="K321" i="4"/>
  <c r="O321" i="4"/>
  <c r="S321" i="4"/>
  <c r="W321" i="4"/>
  <c r="AA321" i="4"/>
  <c r="G322" i="4"/>
  <c r="K322" i="4"/>
  <c r="O322" i="4"/>
  <c r="S322" i="4"/>
  <c r="W322" i="4"/>
  <c r="AA322" i="4"/>
  <c r="G323" i="4"/>
  <c r="K323" i="4"/>
  <c r="O323" i="4"/>
  <c r="S323" i="4"/>
  <c r="W323" i="4"/>
  <c r="AA323" i="4"/>
  <c r="G324" i="4"/>
  <c r="K324" i="4"/>
  <c r="O324" i="4"/>
  <c r="S324" i="4"/>
  <c r="W324" i="4"/>
  <c r="AA324" i="4"/>
  <c r="G325" i="4"/>
  <c r="K325" i="4"/>
  <c r="O325" i="4"/>
  <c r="S325" i="4"/>
  <c r="W325" i="4"/>
  <c r="AA325" i="4"/>
  <c r="G326" i="4"/>
  <c r="K326" i="4"/>
  <c r="O326" i="4"/>
  <c r="S326" i="4"/>
  <c r="W326" i="4"/>
  <c r="H313" i="4"/>
  <c r="L313" i="4"/>
  <c r="P313" i="4"/>
  <c r="T313" i="4"/>
  <c r="X313" i="4"/>
  <c r="AB313" i="4"/>
  <c r="H314" i="4"/>
  <c r="L314" i="4"/>
  <c r="P314" i="4"/>
  <c r="T314" i="4"/>
  <c r="X314" i="4"/>
  <c r="AB314" i="4"/>
  <c r="H315" i="4"/>
  <c r="L315" i="4"/>
  <c r="P315" i="4"/>
  <c r="T315" i="4"/>
  <c r="X315" i="4"/>
  <c r="AB315" i="4"/>
  <c r="H316" i="4"/>
  <c r="L316" i="4"/>
  <c r="P316" i="4"/>
  <c r="T316" i="4"/>
  <c r="X316" i="4"/>
  <c r="AB316" i="4"/>
  <c r="H317" i="4"/>
  <c r="L317" i="4"/>
  <c r="P317" i="4"/>
  <c r="T317" i="4"/>
  <c r="X317" i="4"/>
  <c r="AB317" i="4"/>
  <c r="H318" i="4"/>
  <c r="L318" i="4"/>
  <c r="P318" i="4"/>
  <c r="T318" i="4"/>
  <c r="X318" i="4"/>
  <c r="AB318" i="4"/>
  <c r="H319" i="4"/>
  <c r="L319" i="4"/>
  <c r="P319" i="4"/>
  <c r="T319" i="4"/>
  <c r="X319" i="4"/>
  <c r="AB319" i="4"/>
  <c r="H320" i="4"/>
  <c r="Q313" i="4"/>
  <c r="I314" i="4"/>
  <c r="Y314" i="4"/>
  <c r="Q315" i="4"/>
  <c r="I316" i="4"/>
  <c r="Y316" i="4"/>
  <c r="Q317" i="4"/>
  <c r="I318" i="4"/>
  <c r="Y318" i="4"/>
  <c r="Q319" i="4"/>
  <c r="I320" i="4"/>
  <c r="Q320" i="4"/>
  <c r="Y320" i="4"/>
  <c r="I321" i="4"/>
  <c r="Q321" i="4"/>
  <c r="Y321" i="4"/>
  <c r="I322" i="4"/>
  <c r="Q322" i="4"/>
  <c r="Y322" i="4"/>
  <c r="I323" i="4"/>
  <c r="Q323" i="4"/>
  <c r="Y323" i="4"/>
  <c r="I324" i="4"/>
  <c r="Q324" i="4"/>
  <c r="Y324" i="4"/>
  <c r="I325" i="4"/>
  <c r="Q325" i="4"/>
  <c r="Y325" i="4"/>
  <c r="I326" i="4"/>
  <c r="Q326" i="4"/>
  <c r="Y326" i="4"/>
  <c r="G327" i="4"/>
  <c r="L327" i="4"/>
  <c r="Q327" i="4"/>
  <c r="W327" i="4"/>
  <c r="AB327" i="4"/>
  <c r="I328" i="4"/>
  <c r="O328" i="4"/>
  <c r="T328" i="4"/>
  <c r="Y328" i="4"/>
  <c r="G329" i="4"/>
  <c r="L329" i="4"/>
  <c r="Q329" i="4"/>
  <c r="W329" i="4"/>
  <c r="AB329" i="4"/>
  <c r="I330" i="4"/>
  <c r="O330" i="4"/>
  <c r="T330" i="4"/>
  <c r="Y330" i="4"/>
  <c r="G331" i="4"/>
  <c r="L331" i="4"/>
  <c r="Q331" i="4"/>
  <c r="W331" i="4"/>
  <c r="AB331" i="4"/>
  <c r="I332" i="4"/>
  <c r="M332" i="4"/>
  <c r="Q332" i="4"/>
  <c r="U332" i="4"/>
  <c r="Y332" i="4"/>
  <c r="AC332" i="4"/>
  <c r="I333" i="4"/>
  <c r="M333" i="4"/>
  <c r="Q333" i="4"/>
  <c r="U333" i="4"/>
  <c r="Y333" i="4"/>
  <c r="AC333" i="4"/>
  <c r="I334" i="4"/>
  <c r="M334" i="4"/>
  <c r="Q334" i="4"/>
  <c r="U334" i="4"/>
  <c r="Y334" i="4"/>
  <c r="AC334" i="4"/>
  <c r="I335" i="4"/>
  <c r="M335" i="4"/>
  <c r="Q335" i="4"/>
  <c r="U335" i="4"/>
  <c r="Y335" i="4"/>
  <c r="AC335" i="4"/>
  <c r="I336" i="4"/>
  <c r="M336" i="4"/>
  <c r="Q336" i="4"/>
  <c r="U336" i="4"/>
  <c r="Y336" i="4"/>
  <c r="AC336" i="4"/>
  <c r="I337" i="4"/>
  <c r="M337" i="4"/>
  <c r="Q337" i="4"/>
  <c r="U337" i="4"/>
  <c r="Y337" i="4"/>
  <c r="AC337" i="4"/>
  <c r="I338" i="4"/>
  <c r="M338" i="4"/>
  <c r="Q338" i="4"/>
  <c r="U338" i="4"/>
  <c r="Y338" i="4"/>
  <c r="AC338" i="4"/>
  <c r="I339" i="4"/>
  <c r="M339" i="4"/>
  <c r="Q339" i="4"/>
  <c r="U339" i="4"/>
  <c r="Y339" i="4"/>
  <c r="AC339" i="4"/>
  <c r="I340" i="4"/>
  <c r="M340" i="4"/>
  <c r="Q340" i="4"/>
  <c r="U340" i="4"/>
  <c r="Y340" i="4"/>
  <c r="AC340" i="4"/>
  <c r="I341" i="4"/>
  <c r="M341" i="4"/>
  <c r="Q341" i="4"/>
  <c r="U341" i="4"/>
  <c r="Y341" i="4"/>
  <c r="AC341" i="4"/>
  <c r="J312" i="4"/>
  <c r="N312" i="4"/>
  <c r="R312" i="4"/>
  <c r="V312" i="4"/>
  <c r="Z312" i="4"/>
  <c r="F312" i="4"/>
  <c r="U313" i="4"/>
  <c r="M314" i="4"/>
  <c r="AC314" i="4"/>
  <c r="U315" i="4"/>
  <c r="M316" i="4"/>
  <c r="AC316" i="4"/>
  <c r="U317" i="4"/>
  <c r="M318" i="4"/>
  <c r="AC318" i="4"/>
  <c r="U319" i="4"/>
  <c r="L320" i="4"/>
  <c r="T320" i="4"/>
  <c r="AB320" i="4"/>
  <c r="L321" i="4"/>
  <c r="T321" i="4"/>
  <c r="AB321" i="4"/>
  <c r="L322" i="4"/>
  <c r="T322" i="4"/>
  <c r="AB322" i="4"/>
  <c r="L323" i="4"/>
  <c r="T323" i="4"/>
  <c r="AB323" i="4"/>
  <c r="L324" i="4"/>
  <c r="T324" i="4"/>
  <c r="AB324" i="4"/>
  <c r="L325" i="4"/>
  <c r="T325" i="4"/>
  <c r="AB325" i="4"/>
  <c r="L326" i="4"/>
  <c r="T326" i="4"/>
  <c r="AA326" i="4"/>
  <c r="H327" i="4"/>
  <c r="M327" i="4"/>
  <c r="S327" i="4"/>
  <c r="X327" i="4"/>
  <c r="AC327" i="4"/>
  <c r="K328" i="4"/>
  <c r="P328" i="4"/>
  <c r="U328" i="4"/>
  <c r="AA328" i="4"/>
  <c r="H329" i="4"/>
  <c r="M329" i="4"/>
  <c r="S329" i="4"/>
  <c r="X329" i="4"/>
  <c r="AC329" i="4"/>
  <c r="K330" i="4"/>
  <c r="P330" i="4"/>
  <c r="U330" i="4"/>
  <c r="AA330" i="4"/>
  <c r="H331" i="4"/>
  <c r="M331" i="4"/>
  <c r="S331" i="4"/>
  <c r="X331" i="4"/>
  <c r="AC331" i="4"/>
  <c r="J332" i="4"/>
  <c r="N332" i="4"/>
  <c r="R332" i="4"/>
  <c r="V332" i="4"/>
  <c r="Z332" i="4"/>
  <c r="F333" i="4"/>
  <c r="J333" i="4"/>
  <c r="N333" i="4"/>
  <c r="R333" i="4"/>
  <c r="V333" i="4"/>
  <c r="Z333" i="4"/>
  <c r="F334" i="4"/>
  <c r="J334" i="4"/>
  <c r="N334" i="4"/>
  <c r="R334" i="4"/>
  <c r="V334" i="4"/>
  <c r="Z334" i="4"/>
  <c r="F335" i="4"/>
  <c r="J335" i="4"/>
  <c r="N335" i="4"/>
  <c r="R335" i="4"/>
  <c r="V335" i="4"/>
  <c r="Z335" i="4"/>
  <c r="F336" i="4"/>
  <c r="J336" i="4"/>
  <c r="N336" i="4"/>
  <c r="R336" i="4"/>
  <c r="V336" i="4"/>
  <c r="Z336" i="4"/>
  <c r="F337" i="4"/>
  <c r="J337" i="4"/>
  <c r="N337" i="4"/>
  <c r="R337" i="4"/>
  <c r="V337" i="4"/>
  <c r="Z337" i="4"/>
  <c r="F338" i="4"/>
  <c r="J338" i="4"/>
  <c r="N338" i="4"/>
  <c r="R338" i="4"/>
  <c r="V338" i="4"/>
  <c r="Z338" i="4"/>
  <c r="F339" i="4"/>
  <c r="J339" i="4"/>
  <c r="N339" i="4"/>
  <c r="R339" i="4"/>
  <c r="V339" i="4"/>
  <c r="Z339" i="4"/>
  <c r="F340" i="4"/>
  <c r="J340" i="4"/>
  <c r="N340" i="4"/>
  <c r="R340" i="4"/>
  <c r="V340" i="4"/>
  <c r="Z340" i="4"/>
  <c r="F341" i="4"/>
  <c r="J341" i="4"/>
  <c r="N341" i="4"/>
  <c r="R341" i="4"/>
  <c r="V341" i="4"/>
  <c r="Z341" i="4"/>
  <c r="G312" i="4"/>
  <c r="K312" i="4"/>
  <c r="O312" i="4"/>
  <c r="S312" i="4"/>
  <c r="W312" i="4"/>
  <c r="AA312" i="4"/>
  <c r="I313" i="4"/>
  <c r="Y313" i="4"/>
  <c r="Q314" i="4"/>
  <c r="I315" i="4"/>
  <c r="Y315" i="4"/>
  <c r="Q316" i="4"/>
  <c r="I317" i="4"/>
  <c r="Y317" i="4"/>
  <c r="Q318" i="4"/>
  <c r="I319" i="4"/>
  <c r="Y319" i="4"/>
  <c r="M320" i="4"/>
  <c r="U320" i="4"/>
  <c r="AC320" i="4"/>
  <c r="M321" i="4"/>
  <c r="U321" i="4"/>
  <c r="AC321" i="4"/>
  <c r="M322" i="4"/>
  <c r="U322" i="4"/>
  <c r="AC322" i="4"/>
  <c r="M323" i="4"/>
  <c r="U323" i="4"/>
  <c r="AC323" i="4"/>
  <c r="M324" i="4"/>
  <c r="U324" i="4"/>
  <c r="AC324" i="4"/>
  <c r="M325" i="4"/>
  <c r="U325" i="4"/>
  <c r="AC325" i="4"/>
  <c r="M326" i="4"/>
  <c r="U326" i="4"/>
  <c r="AB326" i="4"/>
  <c r="I327" i="4"/>
  <c r="O327" i="4"/>
  <c r="T327" i="4"/>
  <c r="Y327" i="4"/>
  <c r="G328" i="4"/>
  <c r="L328" i="4"/>
  <c r="Q328" i="4"/>
  <c r="W328" i="4"/>
  <c r="AB328" i="4"/>
  <c r="I329" i="4"/>
  <c r="O329" i="4"/>
  <c r="M313" i="4"/>
  <c r="M315" i="4"/>
  <c r="AC317" i="4"/>
  <c r="P320" i="4"/>
  <c r="X321" i="4"/>
  <c r="H323" i="4"/>
  <c r="P324" i="4"/>
  <c r="X325" i="4"/>
  <c r="AC326" i="4"/>
  <c r="AA327" i="4"/>
  <c r="X328" i="4"/>
  <c r="T329" i="4"/>
  <c r="G330" i="4"/>
  <c r="Q330" i="4"/>
  <c r="AB330" i="4"/>
  <c r="O331" i="4"/>
  <c r="Y331" i="4"/>
  <c r="K332" i="4"/>
  <c r="S332" i="4"/>
  <c r="AA332" i="4"/>
  <c r="K333" i="4"/>
  <c r="S333" i="4"/>
  <c r="AA333" i="4"/>
  <c r="K334" i="4"/>
  <c r="S334" i="4"/>
  <c r="AA334" i="4"/>
  <c r="K335" i="4"/>
  <c r="S335" i="4"/>
  <c r="AA335" i="4"/>
  <c r="K336" i="4"/>
  <c r="S336" i="4"/>
  <c r="AA336" i="4"/>
  <c r="K337" i="4"/>
  <c r="S337" i="4"/>
  <c r="AA337" i="4"/>
  <c r="K338" i="4"/>
  <c r="S338" i="4"/>
  <c r="AA338" i="4"/>
  <c r="K339" i="4"/>
  <c r="S339" i="4"/>
  <c r="AA339" i="4"/>
  <c r="K340" i="4"/>
  <c r="S340" i="4"/>
  <c r="AA340" i="4"/>
  <c r="K341" i="4"/>
  <c r="S341" i="4"/>
  <c r="AA341" i="4"/>
  <c r="L312" i="4"/>
  <c r="T312" i="4"/>
  <c r="AB312" i="4"/>
  <c r="AC315" i="4"/>
  <c r="U318" i="4"/>
  <c r="X320" i="4"/>
  <c r="H322" i="4"/>
  <c r="P323" i="4"/>
  <c r="X324" i="4"/>
  <c r="H326" i="4"/>
  <c r="K327" i="4"/>
  <c r="H328" i="4"/>
  <c r="AC328" i="4"/>
  <c r="U329" i="4"/>
  <c r="H330" i="4"/>
  <c r="S330" i="4"/>
  <c r="AC330" i="4"/>
  <c r="P331" i="4"/>
  <c r="AA331" i="4"/>
  <c r="L332" i="4"/>
  <c r="T332" i="4"/>
  <c r="AB332" i="4"/>
  <c r="L333" i="4"/>
  <c r="T333" i="4"/>
  <c r="AB333" i="4"/>
  <c r="L334" i="4"/>
  <c r="T334" i="4"/>
  <c r="AB334" i="4"/>
  <c r="L335" i="4"/>
  <c r="T335" i="4"/>
  <c r="AB335" i="4"/>
  <c r="L336" i="4"/>
  <c r="T336" i="4"/>
  <c r="AB336" i="4"/>
  <c r="L337" i="4"/>
  <c r="T337" i="4"/>
  <c r="AB337" i="4"/>
  <c r="L338" i="4"/>
  <c r="T338" i="4"/>
  <c r="AB338" i="4"/>
  <c r="L339" i="4"/>
  <c r="T339" i="4"/>
  <c r="AB339" i="4"/>
  <c r="L340" i="4"/>
  <c r="T340" i="4"/>
  <c r="AB340" i="4"/>
  <c r="L341" i="4"/>
  <c r="T341" i="4"/>
  <c r="AB341" i="4"/>
  <c r="M312" i="4"/>
  <c r="U312" i="4"/>
  <c r="AC312" i="4"/>
  <c r="AC313" i="4"/>
  <c r="U316" i="4"/>
  <c r="M319" i="4"/>
  <c r="H321" i="4"/>
  <c r="P322" i="4"/>
  <c r="X323" i="4"/>
  <c r="H325" i="4"/>
  <c r="P326" i="4"/>
  <c r="P327" i="4"/>
  <c r="M328" i="4"/>
  <c r="K329" i="4"/>
  <c r="Y329" i="4"/>
  <c r="L330" i="4"/>
  <c r="W330" i="4"/>
  <c r="I331" i="4"/>
  <c r="T331" i="4"/>
  <c r="G332" i="4"/>
  <c r="O332" i="4"/>
  <c r="W332" i="4"/>
  <c r="G333" i="4"/>
  <c r="O333" i="4"/>
  <c r="W333" i="4"/>
  <c r="G334" i="4"/>
  <c r="O334" i="4"/>
  <c r="W334" i="4"/>
  <c r="G335" i="4"/>
  <c r="O335" i="4"/>
  <c r="W335" i="4"/>
  <c r="G336" i="4"/>
  <c r="O336" i="4"/>
  <c r="W336" i="4"/>
  <c r="G337" i="4"/>
  <c r="O337" i="4"/>
  <c r="W337" i="4"/>
  <c r="G338" i="4"/>
  <c r="O338" i="4"/>
  <c r="W338" i="4"/>
  <c r="G339" i="4"/>
  <c r="O339" i="4"/>
  <c r="W339" i="4"/>
  <c r="G340" i="4"/>
  <c r="O340" i="4"/>
  <c r="W340" i="4"/>
  <c r="G341" i="4"/>
  <c r="O341" i="4"/>
  <c r="W341" i="4"/>
  <c r="H312" i="4"/>
  <c r="P312" i="4"/>
  <c r="X312" i="4"/>
  <c r="AC319" i="4"/>
  <c r="P325" i="4"/>
  <c r="P329" i="4"/>
  <c r="K331" i="4"/>
  <c r="X332" i="4"/>
  <c r="H334" i="4"/>
  <c r="P335" i="4"/>
  <c r="X336" i="4"/>
  <c r="H338" i="4"/>
  <c r="P339" i="4"/>
  <c r="X340" i="4"/>
  <c r="I312" i="4"/>
  <c r="P321" i="4"/>
  <c r="X326" i="4"/>
  <c r="AA329" i="4"/>
  <c r="U331" i="4"/>
  <c r="H333" i="4"/>
  <c r="P334" i="4"/>
  <c r="X335" i="4"/>
  <c r="H337" i="4"/>
  <c r="P338" i="4"/>
  <c r="X339" i="4"/>
  <c r="H341" i="4"/>
  <c r="Q312" i="4"/>
  <c r="U314" i="4"/>
  <c r="X322" i="4"/>
  <c r="U327" i="4"/>
  <c r="M330" i="4"/>
  <c r="H332" i="4"/>
  <c r="P333" i="4"/>
  <c r="X334" i="4"/>
  <c r="H336" i="4"/>
  <c r="P337" i="4"/>
  <c r="X338" i="4"/>
  <c r="H340" i="4"/>
  <c r="P341" i="4"/>
  <c r="Y312" i="4"/>
  <c r="M317" i="4"/>
  <c r="H324" i="4"/>
  <c r="S328" i="4"/>
  <c r="X330" i="4"/>
  <c r="P332" i="4"/>
  <c r="X333" i="4"/>
  <c r="H335" i="4"/>
  <c r="P336" i="4"/>
  <c r="X337" i="4"/>
  <c r="H339" i="4"/>
  <c r="P340" i="4"/>
  <c r="X341" i="4"/>
  <c r="I190" i="4"/>
  <c r="M190" i="4"/>
  <c r="Q190" i="4"/>
  <c r="U190" i="4"/>
  <c r="Y190" i="4"/>
  <c r="AC190" i="4"/>
  <c r="I191" i="4"/>
  <c r="M191" i="4"/>
  <c r="Q191" i="4"/>
  <c r="U191" i="4"/>
  <c r="Y191" i="4"/>
  <c r="AC191" i="4"/>
  <c r="I192" i="4"/>
  <c r="M192" i="4"/>
  <c r="Q192" i="4"/>
  <c r="U192" i="4"/>
  <c r="Y192" i="4"/>
  <c r="AC192" i="4"/>
  <c r="I193" i="4"/>
  <c r="M193" i="4"/>
  <c r="Q193" i="4"/>
  <c r="U193" i="4"/>
  <c r="Y193" i="4"/>
  <c r="AC193" i="4"/>
  <c r="I194" i="4"/>
  <c r="M194" i="4"/>
  <c r="Q194" i="4"/>
  <c r="U194" i="4"/>
  <c r="Y194" i="4"/>
  <c r="AC194" i="4"/>
  <c r="I195" i="4"/>
  <c r="M195" i="4"/>
  <c r="Q195" i="4"/>
  <c r="U195" i="4"/>
  <c r="Y195" i="4"/>
  <c r="AC195" i="4"/>
  <c r="I196" i="4"/>
  <c r="M196" i="4"/>
  <c r="Q196" i="4"/>
  <c r="U196" i="4"/>
  <c r="Y196" i="4"/>
  <c r="AC196" i="4"/>
  <c r="H197" i="4"/>
  <c r="L197" i="4"/>
  <c r="P197" i="4"/>
  <c r="T197" i="4"/>
  <c r="X197" i="4"/>
  <c r="AB197" i="4"/>
  <c r="H198" i="4"/>
  <c r="L198" i="4"/>
  <c r="P198" i="4"/>
  <c r="T198" i="4"/>
  <c r="X198" i="4"/>
  <c r="AB198" i="4"/>
  <c r="H199" i="4"/>
  <c r="L199" i="4"/>
  <c r="P199" i="4"/>
  <c r="T199" i="4"/>
  <c r="X199" i="4"/>
  <c r="AB199" i="4"/>
  <c r="H200" i="4"/>
  <c r="L200" i="4"/>
  <c r="P200" i="4"/>
  <c r="T200" i="4"/>
  <c r="X200" i="4"/>
  <c r="AB200" i="4"/>
  <c r="H201" i="4"/>
  <c r="L201" i="4"/>
  <c r="P201" i="4"/>
  <c r="T201" i="4"/>
  <c r="X201" i="4"/>
  <c r="AB201" i="4"/>
  <c r="H202" i="4"/>
  <c r="L202" i="4"/>
  <c r="P202" i="4"/>
  <c r="G190" i="4"/>
  <c r="L190" i="4"/>
  <c r="R190" i="4"/>
  <c r="W190" i="4"/>
  <c r="AB190" i="4"/>
  <c r="J191" i="4"/>
  <c r="O191" i="4"/>
  <c r="T191" i="4"/>
  <c r="Z191" i="4"/>
  <c r="G192" i="4"/>
  <c r="L192" i="4"/>
  <c r="R192" i="4"/>
  <c r="W192" i="4"/>
  <c r="AB192" i="4"/>
  <c r="J193" i="4"/>
  <c r="O193" i="4"/>
  <c r="T193" i="4"/>
  <c r="Z193" i="4"/>
  <c r="G194" i="4"/>
  <c r="L194" i="4"/>
  <c r="R194" i="4"/>
  <c r="W194" i="4"/>
  <c r="AB194" i="4"/>
  <c r="J195" i="4"/>
  <c r="O195" i="4"/>
  <c r="T195" i="4"/>
  <c r="Z195" i="4"/>
  <c r="G196" i="4"/>
  <c r="L196" i="4"/>
  <c r="R196" i="4"/>
  <c r="W196" i="4"/>
  <c r="AB196" i="4"/>
  <c r="I197" i="4"/>
  <c r="N197" i="4"/>
  <c r="S197" i="4"/>
  <c r="Y197" i="4"/>
  <c r="F198" i="4"/>
  <c r="K198" i="4"/>
  <c r="Q198" i="4"/>
  <c r="V198" i="4"/>
  <c r="AA198" i="4"/>
  <c r="I199" i="4"/>
  <c r="N199" i="4"/>
  <c r="S199" i="4"/>
  <c r="Y199" i="4"/>
  <c r="F200" i="4"/>
  <c r="K200" i="4"/>
  <c r="Q200" i="4"/>
  <c r="V200" i="4"/>
  <c r="AA200" i="4"/>
  <c r="I201" i="4"/>
  <c r="N201" i="4"/>
  <c r="S201" i="4"/>
  <c r="Y201" i="4"/>
  <c r="F202" i="4"/>
  <c r="K202" i="4"/>
  <c r="Q202" i="4"/>
  <c r="U202" i="4"/>
  <c r="Y202" i="4"/>
  <c r="AC202" i="4"/>
  <c r="I203" i="4"/>
  <c r="M203" i="4"/>
  <c r="Q203" i="4"/>
  <c r="U203" i="4"/>
  <c r="Y203" i="4"/>
  <c r="AC203" i="4"/>
  <c r="I204" i="4"/>
  <c r="M204" i="4"/>
  <c r="Q204" i="4"/>
  <c r="U204" i="4"/>
  <c r="Y204" i="4"/>
  <c r="AC204" i="4"/>
  <c r="I205" i="4"/>
  <c r="M205" i="4"/>
  <c r="Q205" i="4"/>
  <c r="U205" i="4"/>
  <c r="Y205" i="4"/>
  <c r="AC205" i="4"/>
  <c r="I206" i="4"/>
  <c r="M206" i="4"/>
  <c r="Q206" i="4"/>
  <c r="U206" i="4"/>
  <c r="Y206" i="4"/>
  <c r="AC206" i="4"/>
  <c r="I207" i="4"/>
  <c r="M207" i="4"/>
  <c r="Q207" i="4"/>
  <c r="U207" i="4"/>
  <c r="Y207" i="4"/>
  <c r="AC207" i="4"/>
  <c r="I208" i="4"/>
  <c r="M208" i="4"/>
  <c r="Q208" i="4"/>
  <c r="U208" i="4"/>
  <c r="Y208" i="4"/>
  <c r="AC208" i="4"/>
  <c r="I209" i="4"/>
  <c r="M209" i="4"/>
  <c r="Q209" i="4"/>
  <c r="U209" i="4"/>
  <c r="Y209" i="4"/>
  <c r="AC209" i="4"/>
  <c r="H210" i="4"/>
  <c r="L210" i="4"/>
  <c r="P210" i="4"/>
  <c r="T210" i="4"/>
  <c r="X210" i="4"/>
  <c r="AB210" i="4"/>
  <c r="H211" i="4"/>
  <c r="L211" i="4"/>
  <c r="P211" i="4"/>
  <c r="T211" i="4"/>
  <c r="X211" i="4"/>
  <c r="AB211" i="4"/>
  <c r="H212" i="4"/>
  <c r="L212" i="4"/>
  <c r="P212" i="4"/>
  <c r="T212" i="4"/>
  <c r="X212" i="4"/>
  <c r="AB212" i="4"/>
  <c r="H213" i="4"/>
  <c r="L213" i="4"/>
  <c r="P213" i="4"/>
  <c r="T213" i="4"/>
  <c r="X213" i="4"/>
  <c r="AB213" i="4"/>
  <c r="H214" i="4"/>
  <c r="L214" i="4"/>
  <c r="P214" i="4"/>
  <c r="T214" i="4"/>
  <c r="X214" i="4"/>
  <c r="AB214" i="4"/>
  <c r="H215" i="4"/>
  <c r="L215" i="4"/>
  <c r="P215" i="4"/>
  <c r="T215" i="4"/>
  <c r="X215" i="4"/>
  <c r="AB215" i="4"/>
  <c r="H216" i="4"/>
  <c r="L216" i="4"/>
  <c r="P216" i="4"/>
  <c r="T216" i="4"/>
  <c r="X216" i="4"/>
  <c r="AB216" i="4"/>
  <c r="G217" i="4"/>
  <c r="K217" i="4"/>
  <c r="O217" i="4"/>
  <c r="S217" i="4"/>
  <c r="W217" i="4"/>
  <c r="AA217" i="4"/>
  <c r="G218" i="4"/>
  <c r="K218" i="4"/>
  <c r="O218" i="4"/>
  <c r="S218" i="4"/>
  <c r="W218" i="4"/>
  <c r="AA218" i="4"/>
  <c r="G219" i="4"/>
  <c r="K219" i="4"/>
  <c r="O219" i="4"/>
  <c r="S219" i="4"/>
  <c r="W219" i="4"/>
  <c r="AA219" i="4"/>
  <c r="H189" i="4"/>
  <c r="L189" i="4"/>
  <c r="P189" i="4"/>
  <c r="T189" i="4"/>
  <c r="X189" i="4"/>
  <c r="AB189" i="4"/>
  <c r="H190" i="4"/>
  <c r="N190" i="4"/>
  <c r="S190" i="4"/>
  <c r="X190" i="4"/>
  <c r="F191" i="4"/>
  <c r="K191" i="4"/>
  <c r="P191" i="4"/>
  <c r="V191" i="4"/>
  <c r="AA191" i="4"/>
  <c r="H192" i="4"/>
  <c r="N192" i="4"/>
  <c r="S192" i="4"/>
  <c r="X192" i="4"/>
  <c r="F193" i="4"/>
  <c r="K193" i="4"/>
  <c r="P193" i="4"/>
  <c r="V193" i="4"/>
  <c r="AA193" i="4"/>
  <c r="H194" i="4"/>
  <c r="N194" i="4"/>
  <c r="S194" i="4"/>
  <c r="X194" i="4"/>
  <c r="F195" i="4"/>
  <c r="K195" i="4"/>
  <c r="P195" i="4"/>
  <c r="V195" i="4"/>
  <c r="AA195" i="4"/>
  <c r="H196" i="4"/>
  <c r="N196" i="4"/>
  <c r="S196" i="4"/>
  <c r="X196" i="4"/>
  <c r="J197" i="4"/>
  <c r="O197" i="4"/>
  <c r="U197" i="4"/>
  <c r="Z197" i="4"/>
  <c r="G198" i="4"/>
  <c r="M198" i="4"/>
  <c r="R198" i="4"/>
  <c r="W198" i="4"/>
  <c r="AC198" i="4"/>
  <c r="J199" i="4"/>
  <c r="O199" i="4"/>
  <c r="U199" i="4"/>
  <c r="Z199" i="4"/>
  <c r="G200" i="4"/>
  <c r="M200" i="4"/>
  <c r="R200" i="4"/>
  <c r="W200" i="4"/>
  <c r="AC200" i="4"/>
  <c r="J201" i="4"/>
  <c r="O201" i="4"/>
  <c r="U201" i="4"/>
  <c r="Z201" i="4"/>
  <c r="G202" i="4"/>
  <c r="M202" i="4"/>
  <c r="R202" i="4"/>
  <c r="V202" i="4"/>
  <c r="Z202" i="4"/>
  <c r="F203" i="4"/>
  <c r="J203" i="4"/>
  <c r="N203" i="4"/>
  <c r="R203" i="4"/>
  <c r="V203" i="4"/>
  <c r="Z203" i="4"/>
  <c r="F204" i="4"/>
  <c r="J204" i="4"/>
  <c r="N204" i="4"/>
  <c r="R204" i="4"/>
  <c r="V204" i="4"/>
  <c r="Z204" i="4"/>
  <c r="F205" i="4"/>
  <c r="J205" i="4"/>
  <c r="N205" i="4"/>
  <c r="R205" i="4"/>
  <c r="V205" i="4"/>
  <c r="Z205" i="4"/>
  <c r="F206" i="4"/>
  <c r="J206" i="4"/>
  <c r="N206" i="4"/>
  <c r="R206" i="4"/>
  <c r="V206" i="4"/>
  <c r="Z206" i="4"/>
  <c r="F207" i="4"/>
  <c r="J207" i="4"/>
  <c r="N207" i="4"/>
  <c r="R207" i="4"/>
  <c r="V207" i="4"/>
  <c r="Z207" i="4"/>
  <c r="F208" i="4"/>
  <c r="J208" i="4"/>
  <c r="N208" i="4"/>
  <c r="R208" i="4"/>
  <c r="V208" i="4"/>
  <c r="Z208" i="4"/>
  <c r="F209" i="4"/>
  <c r="J209" i="4"/>
  <c r="N209" i="4"/>
  <c r="R209" i="4"/>
  <c r="V209" i="4"/>
  <c r="Z209" i="4"/>
  <c r="I210" i="4"/>
  <c r="M210" i="4"/>
  <c r="Q210" i="4"/>
  <c r="U210" i="4"/>
  <c r="Y210" i="4"/>
  <c r="AC210" i="4"/>
  <c r="I211" i="4"/>
  <c r="M211" i="4"/>
  <c r="Q211" i="4"/>
  <c r="U211" i="4"/>
  <c r="Y211" i="4"/>
  <c r="AC211" i="4"/>
  <c r="I212" i="4"/>
  <c r="M212" i="4"/>
  <c r="Q212" i="4"/>
  <c r="U212" i="4"/>
  <c r="Y212" i="4"/>
  <c r="AC212" i="4"/>
  <c r="I213" i="4"/>
  <c r="M213" i="4"/>
  <c r="Q213" i="4"/>
  <c r="U213" i="4"/>
  <c r="Y213" i="4"/>
  <c r="AC213" i="4"/>
  <c r="I214" i="4"/>
  <c r="M214" i="4"/>
  <c r="Q214" i="4"/>
  <c r="U214" i="4"/>
  <c r="Y214" i="4"/>
  <c r="AC214" i="4"/>
  <c r="I215" i="4"/>
  <c r="M215" i="4"/>
  <c r="Q215" i="4"/>
  <c r="U215" i="4"/>
  <c r="Y215" i="4"/>
  <c r="AC215" i="4"/>
  <c r="I216" i="4"/>
  <c r="M216" i="4"/>
  <c r="Q216" i="4"/>
  <c r="U216" i="4"/>
  <c r="Y216" i="4"/>
  <c r="AC216" i="4"/>
  <c r="H217" i="4"/>
  <c r="L217" i="4"/>
  <c r="P217" i="4"/>
  <c r="T217" i="4"/>
  <c r="X217" i="4"/>
  <c r="AB217" i="4"/>
  <c r="H218" i="4"/>
  <c r="L218" i="4"/>
  <c r="P218" i="4"/>
  <c r="T218" i="4"/>
  <c r="X218" i="4"/>
  <c r="AB218" i="4"/>
  <c r="H219" i="4"/>
  <c r="L219" i="4"/>
  <c r="P219" i="4"/>
  <c r="T219" i="4"/>
  <c r="X219" i="4"/>
  <c r="AB219" i="4"/>
  <c r="I189" i="4"/>
  <c r="M189" i="4"/>
  <c r="Q189" i="4"/>
  <c r="U189" i="4"/>
  <c r="Y189" i="4"/>
  <c r="AC189" i="4"/>
  <c r="J190" i="4"/>
  <c r="O190" i="4"/>
  <c r="T190" i="4"/>
  <c r="Z190" i="4"/>
  <c r="G191" i="4"/>
  <c r="L191" i="4"/>
  <c r="R191" i="4"/>
  <c r="W191" i="4"/>
  <c r="AB191" i="4"/>
  <c r="J192" i="4"/>
  <c r="O192" i="4"/>
  <c r="T192" i="4"/>
  <c r="Z192" i="4"/>
  <c r="G193" i="4"/>
  <c r="L193" i="4"/>
  <c r="R193" i="4"/>
  <c r="W193" i="4"/>
  <c r="AB193" i="4"/>
  <c r="J194" i="4"/>
  <c r="O194" i="4"/>
  <c r="T194" i="4"/>
  <c r="Z194" i="4"/>
  <c r="G195" i="4"/>
  <c r="L195" i="4"/>
  <c r="R195" i="4"/>
  <c r="W195" i="4"/>
  <c r="AB195" i="4"/>
  <c r="J196" i="4"/>
  <c r="O196" i="4"/>
  <c r="T196" i="4"/>
  <c r="Z196" i="4"/>
  <c r="F197" i="4"/>
  <c r="K197" i="4"/>
  <c r="Q197" i="4"/>
  <c r="V197" i="4"/>
  <c r="AA197" i="4"/>
  <c r="I198" i="4"/>
  <c r="N198" i="4"/>
  <c r="S198" i="4"/>
  <c r="Y198" i="4"/>
  <c r="F199" i="4"/>
  <c r="K199" i="4"/>
  <c r="Q199" i="4"/>
  <c r="V199" i="4"/>
  <c r="AA199" i="4"/>
  <c r="I200" i="4"/>
  <c r="N200" i="4"/>
  <c r="S200" i="4"/>
  <c r="Y200" i="4"/>
  <c r="F201" i="4"/>
  <c r="K201" i="4"/>
  <c r="Q201" i="4"/>
  <c r="V201" i="4"/>
  <c r="AA201" i="4"/>
  <c r="I202" i="4"/>
  <c r="N202" i="4"/>
  <c r="S202" i="4"/>
  <c r="W202" i="4"/>
  <c r="AA202" i="4"/>
  <c r="G203" i="4"/>
  <c r="K203" i="4"/>
  <c r="O203" i="4"/>
  <c r="S203" i="4"/>
  <c r="W203" i="4"/>
  <c r="AA203" i="4"/>
  <c r="G204" i="4"/>
  <c r="K204" i="4"/>
  <c r="O204" i="4"/>
  <c r="S204" i="4"/>
  <c r="W204" i="4"/>
  <c r="AA204" i="4"/>
  <c r="G205" i="4"/>
  <c r="K205" i="4"/>
  <c r="O205" i="4"/>
  <c r="S205" i="4"/>
  <c r="W205" i="4"/>
  <c r="AA205" i="4"/>
  <c r="G206" i="4"/>
  <c r="K206" i="4"/>
  <c r="O206" i="4"/>
  <c r="S206" i="4"/>
  <c r="W206" i="4"/>
  <c r="AA206" i="4"/>
  <c r="G207" i="4"/>
  <c r="K207" i="4"/>
  <c r="O207" i="4"/>
  <c r="S207" i="4"/>
  <c r="W207" i="4"/>
  <c r="AA207" i="4"/>
  <c r="G208" i="4"/>
  <c r="K208" i="4"/>
  <c r="O208" i="4"/>
  <c r="S208" i="4"/>
  <c r="W208" i="4"/>
  <c r="AA208" i="4"/>
  <c r="G209" i="4"/>
  <c r="K209" i="4"/>
  <c r="O209" i="4"/>
  <c r="S209" i="4"/>
  <c r="W209" i="4"/>
  <c r="AA209" i="4"/>
  <c r="F210" i="4"/>
  <c r="J210" i="4"/>
  <c r="N210" i="4"/>
  <c r="R210" i="4"/>
  <c r="V210" i="4"/>
  <c r="Z210" i="4"/>
  <c r="F211" i="4"/>
  <c r="J211" i="4"/>
  <c r="N211" i="4"/>
  <c r="R211" i="4"/>
  <c r="V211" i="4"/>
  <c r="Z211" i="4"/>
  <c r="F212" i="4"/>
  <c r="J212" i="4"/>
  <c r="N212" i="4"/>
  <c r="R212" i="4"/>
  <c r="V212" i="4"/>
  <c r="Z212" i="4"/>
  <c r="F213" i="4"/>
  <c r="J213" i="4"/>
  <c r="N213" i="4"/>
  <c r="R213" i="4"/>
  <c r="V213" i="4"/>
  <c r="Z213" i="4"/>
  <c r="F214" i="4"/>
  <c r="J214" i="4"/>
  <c r="N214" i="4"/>
  <c r="R214" i="4"/>
  <c r="V214" i="4"/>
  <c r="Z214" i="4"/>
  <c r="F215" i="4"/>
  <c r="J215" i="4"/>
  <c r="N215" i="4"/>
  <c r="R215" i="4"/>
  <c r="V215" i="4"/>
  <c r="Z215" i="4"/>
  <c r="F216" i="4"/>
  <c r="J216" i="4"/>
  <c r="N216" i="4"/>
  <c r="R216" i="4"/>
  <c r="V216" i="4"/>
  <c r="Z216" i="4"/>
  <c r="F190" i="4"/>
  <c r="K190" i="4"/>
  <c r="P190" i="4"/>
  <c r="V190" i="4"/>
  <c r="AA190" i="4"/>
  <c r="H191" i="4"/>
  <c r="N191" i="4"/>
  <c r="S191" i="4"/>
  <c r="X191" i="4"/>
  <c r="F192" i="4"/>
  <c r="K192" i="4"/>
  <c r="P192" i="4"/>
  <c r="V192" i="4"/>
  <c r="AA192" i="4"/>
  <c r="H193" i="4"/>
  <c r="N193" i="4"/>
  <c r="S193" i="4"/>
  <c r="X193" i="4"/>
  <c r="F194" i="4"/>
  <c r="K194" i="4"/>
  <c r="P194" i="4"/>
  <c r="V194" i="4"/>
  <c r="AA194" i="4"/>
  <c r="H195" i="4"/>
  <c r="N195" i="4"/>
  <c r="S195" i="4"/>
  <c r="X195" i="4"/>
  <c r="F196" i="4"/>
  <c r="K196" i="4"/>
  <c r="P196" i="4"/>
  <c r="V196" i="4"/>
  <c r="AA196" i="4"/>
  <c r="G197" i="4"/>
  <c r="M197" i="4"/>
  <c r="R197" i="4"/>
  <c r="W197" i="4"/>
  <c r="AC197" i="4"/>
  <c r="J198" i="4"/>
  <c r="O198" i="4"/>
  <c r="U198" i="4"/>
  <c r="Z198" i="4"/>
  <c r="G199" i="4"/>
  <c r="M199" i="4"/>
  <c r="R199" i="4"/>
  <c r="W199" i="4"/>
  <c r="AC199" i="4"/>
  <c r="J200" i="4"/>
  <c r="O200" i="4"/>
  <c r="U200" i="4"/>
  <c r="Z200" i="4"/>
  <c r="G201" i="4"/>
  <c r="M201" i="4"/>
  <c r="R201" i="4"/>
  <c r="W201" i="4"/>
  <c r="AC201" i="4"/>
  <c r="J202" i="4"/>
  <c r="O202" i="4"/>
  <c r="T202" i="4"/>
  <c r="X202" i="4"/>
  <c r="AB202" i="4"/>
  <c r="H203" i="4"/>
  <c r="L203" i="4"/>
  <c r="P203" i="4"/>
  <c r="T203" i="4"/>
  <c r="X203" i="4"/>
  <c r="AB203" i="4"/>
  <c r="H204" i="4"/>
  <c r="L204" i="4"/>
  <c r="P204" i="4"/>
  <c r="T204" i="4"/>
  <c r="X204" i="4"/>
  <c r="AB204" i="4"/>
  <c r="H205" i="4"/>
  <c r="L205" i="4"/>
  <c r="P205" i="4"/>
  <c r="T205" i="4"/>
  <c r="X205" i="4"/>
  <c r="AB205" i="4"/>
  <c r="H206" i="4"/>
  <c r="L206" i="4"/>
  <c r="P206" i="4"/>
  <c r="T206" i="4"/>
  <c r="X206" i="4"/>
  <c r="AB206" i="4"/>
  <c r="H207" i="4"/>
  <c r="T207" i="4"/>
  <c r="L208" i="4"/>
  <c r="AB208" i="4"/>
  <c r="T209" i="4"/>
  <c r="K210" i="4"/>
  <c r="AA210" i="4"/>
  <c r="S211" i="4"/>
  <c r="K212" i="4"/>
  <c r="AA212" i="4"/>
  <c r="S213" i="4"/>
  <c r="K214" i="4"/>
  <c r="AA214" i="4"/>
  <c r="S215" i="4"/>
  <c r="K216" i="4"/>
  <c r="AA216" i="4"/>
  <c r="M217" i="4"/>
  <c r="U217" i="4"/>
  <c r="AC217" i="4"/>
  <c r="M218" i="4"/>
  <c r="U218" i="4"/>
  <c r="AC218" i="4"/>
  <c r="M219" i="4"/>
  <c r="U219" i="4"/>
  <c r="AC219" i="4"/>
  <c r="N189" i="4"/>
  <c r="V189" i="4"/>
  <c r="F189" i="4"/>
  <c r="X207" i="4"/>
  <c r="P208" i="4"/>
  <c r="H209" i="4"/>
  <c r="X209" i="4"/>
  <c r="O210" i="4"/>
  <c r="G211" i="4"/>
  <c r="W211" i="4"/>
  <c r="O212" i="4"/>
  <c r="G213" i="4"/>
  <c r="W213" i="4"/>
  <c r="O214" i="4"/>
  <c r="G215" i="4"/>
  <c r="W215" i="4"/>
  <c r="O216" i="4"/>
  <c r="F217" i="4"/>
  <c r="N217" i="4"/>
  <c r="V217" i="4"/>
  <c r="F218" i="4"/>
  <c r="N218" i="4"/>
  <c r="V218" i="4"/>
  <c r="F219" i="4"/>
  <c r="N219" i="4"/>
  <c r="V219" i="4"/>
  <c r="G189" i="4"/>
  <c r="O189" i="4"/>
  <c r="W189" i="4"/>
  <c r="L207" i="4"/>
  <c r="AB207" i="4"/>
  <c r="T208" i="4"/>
  <c r="L209" i="4"/>
  <c r="AB209" i="4"/>
  <c r="S210" i="4"/>
  <c r="K211" i="4"/>
  <c r="AA211" i="4"/>
  <c r="S212" i="4"/>
  <c r="K213" i="4"/>
  <c r="AA213" i="4"/>
  <c r="S214" i="4"/>
  <c r="K215" i="4"/>
  <c r="AA215" i="4"/>
  <c r="S216" i="4"/>
  <c r="I217" i="4"/>
  <c r="Q217" i="4"/>
  <c r="Y217" i="4"/>
  <c r="I218" i="4"/>
  <c r="Q218" i="4"/>
  <c r="Y218" i="4"/>
  <c r="I219" i="4"/>
  <c r="Q219" i="4"/>
  <c r="Y219" i="4"/>
  <c r="J189" i="4"/>
  <c r="R189" i="4"/>
  <c r="Z189" i="4"/>
  <c r="X208" i="4"/>
  <c r="O211" i="4"/>
  <c r="G214" i="4"/>
  <c r="W216" i="4"/>
  <c r="J218" i="4"/>
  <c r="R219" i="4"/>
  <c r="AA189" i="4"/>
  <c r="P209" i="4"/>
  <c r="G212" i="4"/>
  <c r="W214" i="4"/>
  <c r="J217" i="4"/>
  <c r="R218" i="4"/>
  <c r="Z219" i="4"/>
  <c r="P207" i="4"/>
  <c r="G210" i="4"/>
  <c r="W212" i="4"/>
  <c r="O215" i="4"/>
  <c r="R217" i="4"/>
  <c r="Z218" i="4"/>
  <c r="K189" i="4"/>
  <c r="H208" i="4"/>
  <c r="W210" i="4"/>
  <c r="O213" i="4"/>
  <c r="G216" i="4"/>
  <c r="Z217" i="4"/>
  <c r="J219" i="4"/>
  <c r="S189" i="4"/>
  <c r="H282" i="4"/>
  <c r="L282" i="4"/>
  <c r="P282" i="4"/>
  <c r="T282" i="4"/>
  <c r="X282" i="4"/>
  <c r="AB282" i="4"/>
  <c r="H283" i="4"/>
  <c r="L283" i="4"/>
  <c r="P283" i="4"/>
  <c r="T283" i="4"/>
  <c r="X283" i="4"/>
  <c r="AB283" i="4"/>
  <c r="H284" i="4"/>
  <c r="L284" i="4"/>
  <c r="P284" i="4"/>
  <c r="T284" i="4"/>
  <c r="X284" i="4"/>
  <c r="AB284" i="4"/>
  <c r="H285" i="4"/>
  <c r="L285" i="4"/>
  <c r="P285" i="4"/>
  <c r="T285" i="4"/>
  <c r="X285" i="4"/>
  <c r="AB285" i="4"/>
  <c r="H286" i="4"/>
  <c r="L286" i="4"/>
  <c r="P286" i="4"/>
  <c r="T286" i="4"/>
  <c r="X286" i="4"/>
  <c r="AB286" i="4"/>
  <c r="H287" i="4"/>
  <c r="L287" i="4"/>
  <c r="P287" i="4"/>
  <c r="T287" i="4"/>
  <c r="X287" i="4"/>
  <c r="AB287" i="4"/>
  <c r="H288" i="4"/>
  <c r="L288" i="4"/>
  <c r="I282" i="4"/>
  <c r="M282" i="4"/>
  <c r="Q282" i="4"/>
  <c r="U282" i="4"/>
  <c r="Y282" i="4"/>
  <c r="AC282" i="4"/>
  <c r="I283" i="4"/>
  <c r="M283" i="4"/>
  <c r="Q283" i="4"/>
  <c r="U283" i="4"/>
  <c r="Y283" i="4"/>
  <c r="AC283" i="4"/>
  <c r="I284" i="4"/>
  <c r="M284" i="4"/>
  <c r="Q284" i="4"/>
  <c r="U284" i="4"/>
  <c r="Y284" i="4"/>
  <c r="AC284" i="4"/>
  <c r="I285" i="4"/>
  <c r="M285" i="4"/>
  <c r="Q285" i="4"/>
  <c r="U285" i="4"/>
  <c r="Y285" i="4"/>
  <c r="AC285" i="4"/>
  <c r="I286" i="4"/>
  <c r="M286" i="4"/>
  <c r="Q286" i="4"/>
  <c r="U286" i="4"/>
  <c r="Y286" i="4"/>
  <c r="AC286" i="4"/>
  <c r="I287" i="4"/>
  <c r="M287" i="4"/>
  <c r="Q287" i="4"/>
  <c r="U287" i="4"/>
  <c r="Y287" i="4"/>
  <c r="AC287" i="4"/>
  <c r="J282" i="4"/>
  <c r="R282" i="4"/>
  <c r="Z282" i="4"/>
  <c r="J283" i="4"/>
  <c r="R283" i="4"/>
  <c r="Z283" i="4"/>
  <c r="J284" i="4"/>
  <c r="R284" i="4"/>
  <c r="Z284" i="4"/>
  <c r="J285" i="4"/>
  <c r="R285" i="4"/>
  <c r="Z285" i="4"/>
  <c r="J286" i="4"/>
  <c r="R286" i="4"/>
  <c r="Z286" i="4"/>
  <c r="J287" i="4"/>
  <c r="R287" i="4"/>
  <c r="Z287" i="4"/>
  <c r="I288" i="4"/>
  <c r="N288" i="4"/>
  <c r="R288" i="4"/>
  <c r="V288" i="4"/>
  <c r="Z288" i="4"/>
  <c r="F289" i="4"/>
  <c r="J289" i="4"/>
  <c r="N289" i="4"/>
  <c r="R289" i="4"/>
  <c r="V289" i="4"/>
  <c r="Z289" i="4"/>
  <c r="F290" i="4"/>
  <c r="J290" i="4"/>
  <c r="N290" i="4"/>
  <c r="R290" i="4"/>
  <c r="V290" i="4"/>
  <c r="Z290" i="4"/>
  <c r="F291" i="4"/>
  <c r="J291" i="4"/>
  <c r="N291" i="4"/>
  <c r="R291" i="4"/>
  <c r="V291" i="4"/>
  <c r="Z291" i="4"/>
  <c r="F292" i="4"/>
  <c r="J292" i="4"/>
  <c r="N292" i="4"/>
  <c r="R292" i="4"/>
  <c r="V292" i="4"/>
  <c r="Z292" i="4"/>
  <c r="F293" i="4"/>
  <c r="J293" i="4"/>
  <c r="N293" i="4"/>
  <c r="R293" i="4"/>
  <c r="V293" i="4"/>
  <c r="Z293" i="4"/>
  <c r="I294" i="4"/>
  <c r="M294" i="4"/>
  <c r="Q294" i="4"/>
  <c r="U294" i="4"/>
  <c r="Y294" i="4"/>
  <c r="AC294" i="4"/>
  <c r="I295" i="4"/>
  <c r="M295" i="4"/>
  <c r="Q295" i="4"/>
  <c r="U295" i="4"/>
  <c r="Y295" i="4"/>
  <c r="AC295" i="4"/>
  <c r="I296" i="4"/>
  <c r="M296" i="4"/>
  <c r="Q296" i="4"/>
  <c r="U296" i="4"/>
  <c r="Y296" i="4"/>
  <c r="AC296" i="4"/>
  <c r="I297" i="4"/>
  <c r="M297" i="4"/>
  <c r="Q297" i="4"/>
  <c r="U297" i="4"/>
  <c r="Y297" i="4"/>
  <c r="AC297" i="4"/>
  <c r="I298" i="4"/>
  <c r="M298" i="4"/>
  <c r="Q298" i="4"/>
  <c r="U298" i="4"/>
  <c r="Y298" i="4"/>
  <c r="AC298" i="4"/>
  <c r="I299" i="4"/>
  <c r="M299" i="4"/>
  <c r="Q299" i="4"/>
  <c r="U299" i="4"/>
  <c r="Y299" i="4"/>
  <c r="AC299" i="4"/>
  <c r="I300" i="4"/>
  <c r="M300" i="4"/>
  <c r="Q300" i="4"/>
  <c r="U300" i="4"/>
  <c r="Y300" i="4"/>
  <c r="AC300" i="4"/>
  <c r="I301" i="4"/>
  <c r="M301" i="4"/>
  <c r="Q301" i="4"/>
  <c r="U301" i="4"/>
  <c r="Y301" i="4"/>
  <c r="AC301" i="4"/>
  <c r="I302" i="4"/>
  <c r="M302" i="4"/>
  <c r="Q302" i="4"/>
  <c r="U302" i="4"/>
  <c r="Y302" i="4"/>
  <c r="AC302" i="4"/>
  <c r="I303" i="4"/>
  <c r="M303" i="4"/>
  <c r="Q303" i="4"/>
  <c r="U303" i="4"/>
  <c r="Y303" i="4"/>
  <c r="AC303" i="4"/>
  <c r="I304" i="4"/>
  <c r="M304" i="4"/>
  <c r="Q304" i="4"/>
  <c r="U304" i="4"/>
  <c r="Y304" i="4"/>
  <c r="AC304" i="4"/>
  <c r="I305" i="4"/>
  <c r="M305" i="4"/>
  <c r="Q305" i="4"/>
  <c r="U305" i="4"/>
  <c r="Y305" i="4"/>
  <c r="AC305" i="4"/>
  <c r="I306" i="4"/>
  <c r="M306" i="4"/>
  <c r="Q306" i="4"/>
  <c r="U306" i="4"/>
  <c r="Y306" i="4"/>
  <c r="AC306" i="4"/>
  <c r="I307" i="4"/>
  <c r="M307" i="4"/>
  <c r="Q307" i="4"/>
  <c r="U307" i="4"/>
  <c r="Y307" i="4"/>
  <c r="AC307" i="4"/>
  <c r="I308" i="4"/>
  <c r="M308" i="4"/>
  <c r="Q308" i="4"/>
  <c r="U308" i="4"/>
  <c r="Y308" i="4"/>
  <c r="AC308" i="4"/>
  <c r="I309" i="4"/>
  <c r="M309" i="4"/>
  <c r="Q309" i="4"/>
  <c r="U309" i="4"/>
  <c r="Y309" i="4"/>
  <c r="AC309" i="4"/>
  <c r="I310" i="4"/>
  <c r="M310" i="4"/>
  <c r="Q310" i="4"/>
  <c r="U310" i="4"/>
  <c r="Y310" i="4"/>
  <c r="AC310" i="4"/>
  <c r="I311" i="4"/>
  <c r="M311" i="4"/>
  <c r="Q311" i="4"/>
  <c r="U311" i="4"/>
  <c r="Y311" i="4"/>
  <c r="AC311" i="4"/>
  <c r="J281" i="4"/>
  <c r="N281" i="4"/>
  <c r="R281" i="4"/>
  <c r="V281" i="4"/>
  <c r="Z281" i="4"/>
  <c r="F281" i="4"/>
  <c r="K282" i="4"/>
  <c r="S282" i="4"/>
  <c r="AA282" i="4"/>
  <c r="K283" i="4"/>
  <c r="S283" i="4"/>
  <c r="AA283" i="4"/>
  <c r="K284" i="4"/>
  <c r="S284" i="4"/>
  <c r="AA284" i="4"/>
  <c r="K285" i="4"/>
  <c r="S285" i="4"/>
  <c r="AA285" i="4"/>
  <c r="K286" i="4"/>
  <c r="S286" i="4"/>
  <c r="AA286" i="4"/>
  <c r="K287" i="4"/>
  <c r="S287" i="4"/>
  <c r="AA287" i="4"/>
  <c r="J288" i="4"/>
  <c r="O288" i="4"/>
  <c r="S288" i="4"/>
  <c r="W288" i="4"/>
  <c r="AA288" i="4"/>
  <c r="G289" i="4"/>
  <c r="K289" i="4"/>
  <c r="O289" i="4"/>
  <c r="S289" i="4"/>
  <c r="W289" i="4"/>
  <c r="AA289" i="4"/>
  <c r="G290" i="4"/>
  <c r="K290" i="4"/>
  <c r="O290" i="4"/>
  <c r="S290" i="4"/>
  <c r="W290" i="4"/>
  <c r="AA290" i="4"/>
  <c r="G291" i="4"/>
  <c r="K291" i="4"/>
  <c r="O291" i="4"/>
  <c r="S291" i="4"/>
  <c r="W291" i="4"/>
  <c r="AA291" i="4"/>
  <c r="G292" i="4"/>
  <c r="K292" i="4"/>
  <c r="O292" i="4"/>
  <c r="S292" i="4"/>
  <c r="W292" i="4"/>
  <c r="AA292" i="4"/>
  <c r="G293" i="4"/>
  <c r="K293" i="4"/>
  <c r="O293" i="4"/>
  <c r="S293" i="4"/>
  <c r="W293" i="4"/>
  <c r="AA293" i="4"/>
  <c r="F294" i="4"/>
  <c r="J294" i="4"/>
  <c r="N294" i="4"/>
  <c r="R294" i="4"/>
  <c r="V294" i="4"/>
  <c r="Z294" i="4"/>
  <c r="F295" i="4"/>
  <c r="J295" i="4"/>
  <c r="N295" i="4"/>
  <c r="R295" i="4"/>
  <c r="V295" i="4"/>
  <c r="Z295" i="4"/>
  <c r="F296" i="4"/>
  <c r="J296" i="4"/>
  <c r="N296" i="4"/>
  <c r="R296" i="4"/>
  <c r="V296" i="4"/>
  <c r="Z296" i="4"/>
  <c r="F297" i="4"/>
  <c r="J297" i="4"/>
  <c r="N297" i="4"/>
  <c r="R297" i="4"/>
  <c r="V297" i="4"/>
  <c r="Z297" i="4"/>
  <c r="F298" i="4"/>
  <c r="J298" i="4"/>
  <c r="N298" i="4"/>
  <c r="R298" i="4"/>
  <c r="V298" i="4"/>
  <c r="Z298" i="4"/>
  <c r="F299" i="4"/>
  <c r="J299" i="4"/>
  <c r="N299" i="4"/>
  <c r="R299" i="4"/>
  <c r="V299" i="4"/>
  <c r="Z299" i="4"/>
  <c r="F300" i="4"/>
  <c r="J300" i="4"/>
  <c r="N300" i="4"/>
  <c r="R300" i="4"/>
  <c r="V300" i="4"/>
  <c r="Z300" i="4"/>
  <c r="F301" i="4"/>
  <c r="J301" i="4"/>
  <c r="N301" i="4"/>
  <c r="R301" i="4"/>
  <c r="V301" i="4"/>
  <c r="Z301" i="4"/>
  <c r="F302" i="4"/>
  <c r="J302" i="4"/>
  <c r="N302" i="4"/>
  <c r="R302" i="4"/>
  <c r="V302" i="4"/>
  <c r="Z302" i="4"/>
  <c r="F303" i="4"/>
  <c r="J303" i="4"/>
  <c r="N303" i="4"/>
  <c r="R303" i="4"/>
  <c r="V303" i="4"/>
  <c r="Z303" i="4"/>
  <c r="F304" i="4"/>
  <c r="J304" i="4"/>
  <c r="N304" i="4"/>
  <c r="R304" i="4"/>
  <c r="V304" i="4"/>
  <c r="F282" i="4"/>
  <c r="N282" i="4"/>
  <c r="V282" i="4"/>
  <c r="F283" i="4"/>
  <c r="N283" i="4"/>
  <c r="V283" i="4"/>
  <c r="F284" i="4"/>
  <c r="N284" i="4"/>
  <c r="V284" i="4"/>
  <c r="F285" i="4"/>
  <c r="N285" i="4"/>
  <c r="V285" i="4"/>
  <c r="F286" i="4"/>
  <c r="N286" i="4"/>
  <c r="V286" i="4"/>
  <c r="F287" i="4"/>
  <c r="N287" i="4"/>
  <c r="V287" i="4"/>
  <c r="F288" i="4"/>
  <c r="K288" i="4"/>
  <c r="P288" i="4"/>
  <c r="T288" i="4"/>
  <c r="X288" i="4"/>
  <c r="AB288" i="4"/>
  <c r="H289" i="4"/>
  <c r="L289" i="4"/>
  <c r="P289" i="4"/>
  <c r="T289" i="4"/>
  <c r="X289" i="4"/>
  <c r="AB289" i="4"/>
  <c r="H290" i="4"/>
  <c r="L290" i="4"/>
  <c r="P290" i="4"/>
  <c r="T290" i="4"/>
  <c r="X290" i="4"/>
  <c r="AB290" i="4"/>
  <c r="H291" i="4"/>
  <c r="L291" i="4"/>
  <c r="P291" i="4"/>
  <c r="T291" i="4"/>
  <c r="X291" i="4"/>
  <c r="AB291" i="4"/>
  <c r="H292" i="4"/>
  <c r="L292" i="4"/>
  <c r="P292" i="4"/>
  <c r="T292" i="4"/>
  <c r="X292" i="4"/>
  <c r="AB292" i="4"/>
  <c r="H293" i="4"/>
  <c r="L293" i="4"/>
  <c r="P293" i="4"/>
  <c r="T293" i="4"/>
  <c r="X293" i="4"/>
  <c r="AB293" i="4"/>
  <c r="G294" i="4"/>
  <c r="K294" i="4"/>
  <c r="O294" i="4"/>
  <c r="S294" i="4"/>
  <c r="W294" i="4"/>
  <c r="AA294" i="4"/>
  <c r="G295" i="4"/>
  <c r="K295" i="4"/>
  <c r="O295" i="4"/>
  <c r="S295" i="4"/>
  <c r="W295" i="4"/>
  <c r="AA295" i="4"/>
  <c r="G296" i="4"/>
  <c r="K296" i="4"/>
  <c r="O296" i="4"/>
  <c r="S296" i="4"/>
  <c r="W296" i="4"/>
  <c r="AA296" i="4"/>
  <c r="G297" i="4"/>
  <c r="K297" i="4"/>
  <c r="O297" i="4"/>
  <c r="S297" i="4"/>
  <c r="W297" i="4"/>
  <c r="AA297" i="4"/>
  <c r="G298" i="4"/>
  <c r="K298" i="4"/>
  <c r="O298" i="4"/>
  <c r="S298" i="4"/>
  <c r="W298" i="4"/>
  <c r="AA298" i="4"/>
  <c r="G299" i="4"/>
  <c r="K299" i="4"/>
  <c r="O299" i="4"/>
  <c r="S299" i="4"/>
  <c r="W299" i="4"/>
  <c r="AA299" i="4"/>
  <c r="G300" i="4"/>
  <c r="K300" i="4"/>
  <c r="O300" i="4"/>
  <c r="S300" i="4"/>
  <c r="W300" i="4"/>
  <c r="AA300" i="4"/>
  <c r="G301" i="4"/>
  <c r="K301" i="4"/>
  <c r="O301" i="4"/>
  <c r="S301" i="4"/>
  <c r="W301" i="4"/>
  <c r="AA301" i="4"/>
  <c r="G302" i="4"/>
  <c r="K302" i="4"/>
  <c r="O302" i="4"/>
  <c r="S302" i="4"/>
  <c r="W302" i="4"/>
  <c r="AA302" i="4"/>
  <c r="G303" i="4"/>
  <c r="K303" i="4"/>
  <c r="O303" i="4"/>
  <c r="S303" i="4"/>
  <c r="W303" i="4"/>
  <c r="AA303" i="4"/>
  <c r="G304" i="4"/>
  <c r="K304" i="4"/>
  <c r="O304" i="4"/>
  <c r="S304" i="4"/>
  <c r="W304" i="4"/>
  <c r="AA304" i="4"/>
  <c r="G305" i="4"/>
  <c r="O282" i="4"/>
  <c r="W283" i="4"/>
  <c r="G285" i="4"/>
  <c r="O286" i="4"/>
  <c r="W287" i="4"/>
  <c r="U288" i="4"/>
  <c r="M289" i="4"/>
  <c r="AC289" i="4"/>
  <c r="U290" i="4"/>
  <c r="M291" i="4"/>
  <c r="AC291" i="4"/>
  <c r="U292" i="4"/>
  <c r="M293" i="4"/>
  <c r="AC293" i="4"/>
  <c r="T294" i="4"/>
  <c r="L295" i="4"/>
  <c r="AB295" i="4"/>
  <c r="T296" i="4"/>
  <c r="L297" i="4"/>
  <c r="AB297" i="4"/>
  <c r="T298" i="4"/>
  <c r="L299" i="4"/>
  <c r="AB299" i="4"/>
  <c r="T300" i="4"/>
  <c r="L301" i="4"/>
  <c r="AB301" i="4"/>
  <c r="T302" i="4"/>
  <c r="L303" i="4"/>
  <c r="AB303" i="4"/>
  <c r="T304" i="4"/>
  <c r="F305" i="4"/>
  <c r="L305" i="4"/>
  <c r="R305" i="4"/>
  <c r="W305" i="4"/>
  <c r="AB305" i="4"/>
  <c r="J306" i="4"/>
  <c r="O306" i="4"/>
  <c r="T306" i="4"/>
  <c r="Z306" i="4"/>
  <c r="G307" i="4"/>
  <c r="L307" i="4"/>
  <c r="R307" i="4"/>
  <c r="W307" i="4"/>
  <c r="AB307" i="4"/>
  <c r="J308" i="4"/>
  <c r="O308" i="4"/>
  <c r="T308" i="4"/>
  <c r="Z308" i="4"/>
  <c r="G309" i="4"/>
  <c r="L309" i="4"/>
  <c r="R309" i="4"/>
  <c r="W309" i="4"/>
  <c r="AB309" i="4"/>
  <c r="J310" i="4"/>
  <c r="O310" i="4"/>
  <c r="T310" i="4"/>
  <c r="Z310" i="4"/>
  <c r="G311" i="4"/>
  <c r="L311" i="4"/>
  <c r="R311" i="4"/>
  <c r="W311" i="4"/>
  <c r="AB311" i="4"/>
  <c r="K281" i="4"/>
  <c r="P281" i="4"/>
  <c r="U281" i="4"/>
  <c r="AA281" i="4"/>
  <c r="W282" i="4"/>
  <c r="G284" i="4"/>
  <c r="O285" i="4"/>
  <c r="W286" i="4"/>
  <c r="G288" i="4"/>
  <c r="Y288" i="4"/>
  <c r="Q289" i="4"/>
  <c r="I290" i="4"/>
  <c r="Y290" i="4"/>
  <c r="Q291" i="4"/>
  <c r="I292" i="4"/>
  <c r="Y292" i="4"/>
  <c r="Q293" i="4"/>
  <c r="H294" i="4"/>
  <c r="X294" i="4"/>
  <c r="P295" i="4"/>
  <c r="H296" i="4"/>
  <c r="X296" i="4"/>
  <c r="P297" i="4"/>
  <c r="H298" i="4"/>
  <c r="X298" i="4"/>
  <c r="P299" i="4"/>
  <c r="H300" i="4"/>
  <c r="X300" i="4"/>
  <c r="P301" i="4"/>
  <c r="H302" i="4"/>
  <c r="X302" i="4"/>
  <c r="P303" i="4"/>
  <c r="H304" i="4"/>
  <c r="X304" i="4"/>
  <c r="H305" i="4"/>
  <c r="N305" i="4"/>
  <c r="S305" i="4"/>
  <c r="X305" i="4"/>
  <c r="F306" i="4"/>
  <c r="K306" i="4"/>
  <c r="P306" i="4"/>
  <c r="V306" i="4"/>
  <c r="AA306" i="4"/>
  <c r="H307" i="4"/>
  <c r="N307" i="4"/>
  <c r="S307" i="4"/>
  <c r="X307" i="4"/>
  <c r="F308" i="4"/>
  <c r="K308" i="4"/>
  <c r="P308" i="4"/>
  <c r="V308" i="4"/>
  <c r="AA308" i="4"/>
  <c r="H309" i="4"/>
  <c r="N309" i="4"/>
  <c r="S309" i="4"/>
  <c r="X309" i="4"/>
  <c r="F310" i="4"/>
  <c r="K310" i="4"/>
  <c r="P310" i="4"/>
  <c r="V310" i="4"/>
  <c r="AA310" i="4"/>
  <c r="H311" i="4"/>
  <c r="N311" i="4"/>
  <c r="S311" i="4"/>
  <c r="X311" i="4"/>
  <c r="G281" i="4"/>
  <c r="L281" i="4"/>
  <c r="Q281" i="4"/>
  <c r="W281" i="4"/>
  <c r="AB281" i="4"/>
  <c r="G283" i="4"/>
  <c r="O284" i="4"/>
  <c r="W285" i="4"/>
  <c r="G287" i="4"/>
  <c r="M288" i="4"/>
  <c r="AC288" i="4"/>
  <c r="U289" i="4"/>
  <c r="M290" i="4"/>
  <c r="AC290" i="4"/>
  <c r="U291" i="4"/>
  <c r="M292" i="4"/>
  <c r="AC292" i="4"/>
  <c r="U293" i="4"/>
  <c r="L294" i="4"/>
  <c r="AB294" i="4"/>
  <c r="T295" i="4"/>
  <c r="L296" i="4"/>
  <c r="AB296" i="4"/>
  <c r="T297" i="4"/>
  <c r="L298" i="4"/>
  <c r="AB298" i="4"/>
  <c r="T299" i="4"/>
  <c r="L300" i="4"/>
  <c r="AB300" i="4"/>
  <c r="T301" i="4"/>
  <c r="L302" i="4"/>
  <c r="AB302" i="4"/>
  <c r="T303" i="4"/>
  <c r="L304" i="4"/>
  <c r="Z304" i="4"/>
  <c r="J305" i="4"/>
  <c r="O305" i="4"/>
  <c r="T305" i="4"/>
  <c r="Z305" i="4"/>
  <c r="G306" i="4"/>
  <c r="L306" i="4"/>
  <c r="R306" i="4"/>
  <c r="W306" i="4"/>
  <c r="AB306" i="4"/>
  <c r="J307" i="4"/>
  <c r="O307" i="4"/>
  <c r="T307" i="4"/>
  <c r="Z307" i="4"/>
  <c r="G308" i="4"/>
  <c r="L308" i="4"/>
  <c r="R308" i="4"/>
  <c r="W308" i="4"/>
  <c r="AB308" i="4"/>
  <c r="J309" i="4"/>
  <c r="O309" i="4"/>
  <c r="T309" i="4"/>
  <c r="Z309" i="4"/>
  <c r="G310" i="4"/>
  <c r="L310" i="4"/>
  <c r="R310" i="4"/>
  <c r="W310" i="4"/>
  <c r="AB310" i="4"/>
  <c r="J311" i="4"/>
  <c r="O311" i="4"/>
  <c r="T311" i="4"/>
  <c r="Z311" i="4"/>
  <c r="H281" i="4"/>
  <c r="M281" i="4"/>
  <c r="S281" i="4"/>
  <c r="X281" i="4"/>
  <c r="AC281" i="4"/>
  <c r="G282" i="4"/>
  <c r="O283" i="4"/>
  <c r="W284" i="4"/>
  <c r="G286" i="4"/>
  <c r="O287" i="4"/>
  <c r="Q288" i="4"/>
  <c r="I289" i="4"/>
  <c r="Y289" i="4"/>
  <c r="Q290" i="4"/>
  <c r="I291" i="4"/>
  <c r="Y291" i="4"/>
  <c r="Q292" i="4"/>
  <c r="I293" i="4"/>
  <c r="Y293" i="4"/>
  <c r="P294" i="4"/>
  <c r="H295" i="4"/>
  <c r="X295" i="4"/>
  <c r="P296" i="4"/>
  <c r="H297" i="4"/>
  <c r="X297" i="4"/>
  <c r="P298" i="4"/>
  <c r="H299" i="4"/>
  <c r="X299" i="4"/>
  <c r="P300" i="4"/>
  <c r="H301" i="4"/>
  <c r="X301" i="4"/>
  <c r="P302" i="4"/>
  <c r="H303" i="4"/>
  <c r="X303" i="4"/>
  <c r="P304" i="4"/>
  <c r="AB304" i="4"/>
  <c r="K305" i="4"/>
  <c r="P305" i="4"/>
  <c r="V305" i="4"/>
  <c r="AA305" i="4"/>
  <c r="H306" i="4"/>
  <c r="N306" i="4"/>
  <c r="S306" i="4"/>
  <c r="X306" i="4"/>
  <c r="F307" i="4"/>
  <c r="K307" i="4"/>
  <c r="P307" i="4"/>
  <c r="V307" i="4"/>
  <c r="AA307" i="4"/>
  <c r="H308" i="4"/>
  <c r="N308" i="4"/>
  <c r="S308" i="4"/>
  <c r="X308" i="4"/>
  <c r="F309" i="4"/>
  <c r="K309" i="4"/>
  <c r="P309" i="4"/>
  <c r="V309" i="4"/>
  <c r="AA309" i="4"/>
  <c r="H310" i="4"/>
  <c r="N310" i="4"/>
  <c r="S310" i="4"/>
  <c r="X310" i="4"/>
  <c r="F311" i="4"/>
  <c r="K311" i="4"/>
  <c r="P311" i="4"/>
  <c r="V311" i="4"/>
  <c r="AA311" i="4"/>
  <c r="I281" i="4"/>
  <c r="O281" i="4"/>
  <c r="T281" i="4"/>
  <c r="Y281" i="4"/>
  <c r="G343" i="4"/>
  <c r="K343" i="4"/>
  <c r="O343" i="4"/>
  <c r="S343" i="4"/>
  <c r="W343" i="4"/>
  <c r="AA343" i="4"/>
  <c r="G344" i="4"/>
  <c r="K344" i="4"/>
  <c r="O344" i="4"/>
  <c r="S344" i="4"/>
  <c r="W344" i="4"/>
  <c r="AA344" i="4"/>
  <c r="G345" i="4"/>
  <c r="K345" i="4"/>
  <c r="O345" i="4"/>
  <c r="S345" i="4"/>
  <c r="W345" i="4"/>
  <c r="AA345" i="4"/>
  <c r="G346" i="4"/>
  <c r="K346" i="4"/>
  <c r="O346" i="4"/>
  <c r="S346" i="4"/>
  <c r="W346" i="4"/>
  <c r="AA346" i="4"/>
  <c r="G347" i="4"/>
  <c r="K347" i="4"/>
  <c r="O347" i="4"/>
  <c r="S347" i="4"/>
  <c r="W347" i="4"/>
  <c r="AA347" i="4"/>
  <c r="G348" i="4"/>
  <c r="K348" i="4"/>
  <c r="O348" i="4"/>
  <c r="S348" i="4"/>
  <c r="W348" i="4"/>
  <c r="AA348" i="4"/>
  <c r="G349" i="4"/>
  <c r="K349" i="4"/>
  <c r="O349" i="4"/>
  <c r="S349" i="4"/>
  <c r="W349" i="4"/>
  <c r="AA349" i="4"/>
  <c r="G350" i="4"/>
  <c r="K350" i="4"/>
  <c r="O350" i="4"/>
  <c r="S350" i="4"/>
  <c r="W350" i="4"/>
  <c r="AA350" i="4"/>
  <c r="G351" i="4"/>
  <c r="K351" i="4"/>
  <c r="O351" i="4"/>
  <c r="S351" i="4"/>
  <c r="W351" i="4"/>
  <c r="AA351" i="4"/>
  <c r="G352" i="4"/>
  <c r="K352" i="4"/>
  <c r="O352" i="4"/>
  <c r="S352" i="4"/>
  <c r="W352" i="4"/>
  <c r="AA352" i="4"/>
  <c r="G353" i="4"/>
  <c r="K353" i="4"/>
  <c r="O353" i="4"/>
  <c r="S353" i="4"/>
  <c r="W353" i="4"/>
  <c r="AA353" i="4"/>
  <c r="G354" i="4"/>
  <c r="K354" i="4"/>
  <c r="O354" i="4"/>
  <c r="S354" i="4"/>
  <c r="W354" i="4"/>
  <c r="AA354" i="4"/>
  <c r="F355" i="4"/>
  <c r="J355" i="4"/>
  <c r="N355" i="4"/>
  <c r="R355" i="4"/>
  <c r="V355" i="4"/>
  <c r="Z355" i="4"/>
  <c r="F356" i="4"/>
  <c r="J356" i="4"/>
  <c r="N356" i="4"/>
  <c r="R356" i="4"/>
  <c r="V356" i="4"/>
  <c r="Z356" i="4"/>
  <c r="F357" i="4"/>
  <c r="H343" i="4"/>
  <c r="L343" i="4"/>
  <c r="P343" i="4"/>
  <c r="T343" i="4"/>
  <c r="X343" i="4"/>
  <c r="AB343" i="4"/>
  <c r="H344" i="4"/>
  <c r="L344" i="4"/>
  <c r="P344" i="4"/>
  <c r="T344" i="4"/>
  <c r="X344" i="4"/>
  <c r="AB344" i="4"/>
  <c r="H345" i="4"/>
  <c r="L345" i="4"/>
  <c r="P345" i="4"/>
  <c r="T345" i="4"/>
  <c r="X345" i="4"/>
  <c r="AB345" i="4"/>
  <c r="H346" i="4"/>
  <c r="L346" i="4"/>
  <c r="P346" i="4"/>
  <c r="T346" i="4"/>
  <c r="X346" i="4"/>
  <c r="AB346" i="4"/>
  <c r="H347" i="4"/>
  <c r="L347" i="4"/>
  <c r="P347" i="4"/>
  <c r="T347" i="4"/>
  <c r="X347" i="4"/>
  <c r="AB347" i="4"/>
  <c r="H348" i="4"/>
  <c r="L348" i="4"/>
  <c r="P348" i="4"/>
  <c r="T348" i="4"/>
  <c r="X348" i="4"/>
  <c r="AB348" i="4"/>
  <c r="H349" i="4"/>
  <c r="L349" i="4"/>
  <c r="P349" i="4"/>
  <c r="T349" i="4"/>
  <c r="X349" i="4"/>
  <c r="AB349" i="4"/>
  <c r="H350" i="4"/>
  <c r="L350" i="4"/>
  <c r="P350" i="4"/>
  <c r="T350" i="4"/>
  <c r="X350" i="4"/>
  <c r="AB350" i="4"/>
  <c r="H351" i="4"/>
  <c r="L351" i="4"/>
  <c r="P351" i="4"/>
  <c r="T351" i="4"/>
  <c r="X351" i="4"/>
  <c r="AB351" i="4"/>
  <c r="H352" i="4"/>
  <c r="L352" i="4"/>
  <c r="P352" i="4"/>
  <c r="T352" i="4"/>
  <c r="X352" i="4"/>
  <c r="AB352" i="4"/>
  <c r="H353" i="4"/>
  <c r="L353" i="4"/>
  <c r="P353" i="4"/>
  <c r="T353" i="4"/>
  <c r="X353" i="4"/>
  <c r="AB353" i="4"/>
  <c r="H354" i="4"/>
  <c r="L354" i="4"/>
  <c r="P354" i="4"/>
  <c r="T354" i="4"/>
  <c r="X354" i="4"/>
  <c r="AB354" i="4"/>
  <c r="G355" i="4"/>
  <c r="K355" i="4"/>
  <c r="O355" i="4"/>
  <c r="S355" i="4"/>
  <c r="W355" i="4"/>
  <c r="AA355" i="4"/>
  <c r="G356" i="4"/>
  <c r="K356" i="4"/>
  <c r="O356" i="4"/>
  <c r="S356" i="4"/>
  <c r="W356" i="4"/>
  <c r="AA356" i="4"/>
  <c r="I343" i="4"/>
  <c r="M343" i="4"/>
  <c r="Q343" i="4"/>
  <c r="U343" i="4"/>
  <c r="Y343" i="4"/>
  <c r="AC343" i="4"/>
  <c r="I344" i="4"/>
  <c r="M344" i="4"/>
  <c r="Q344" i="4"/>
  <c r="U344" i="4"/>
  <c r="Y344" i="4"/>
  <c r="AC344" i="4"/>
  <c r="I345" i="4"/>
  <c r="M345" i="4"/>
  <c r="Q345" i="4"/>
  <c r="U345" i="4"/>
  <c r="Y345" i="4"/>
  <c r="AC345" i="4"/>
  <c r="I346" i="4"/>
  <c r="M346" i="4"/>
  <c r="Q346" i="4"/>
  <c r="U346" i="4"/>
  <c r="Y346" i="4"/>
  <c r="AC346" i="4"/>
  <c r="I347" i="4"/>
  <c r="M347" i="4"/>
  <c r="Q347" i="4"/>
  <c r="U347" i="4"/>
  <c r="Y347" i="4"/>
  <c r="AC347" i="4"/>
  <c r="I348" i="4"/>
  <c r="M348" i="4"/>
  <c r="Q348" i="4"/>
  <c r="U348" i="4"/>
  <c r="Y348" i="4"/>
  <c r="AC348" i="4"/>
  <c r="I349" i="4"/>
  <c r="M349" i="4"/>
  <c r="Q349" i="4"/>
  <c r="U349" i="4"/>
  <c r="Y349" i="4"/>
  <c r="AC349" i="4"/>
  <c r="I350" i="4"/>
  <c r="M350" i="4"/>
  <c r="Q350" i="4"/>
  <c r="U350" i="4"/>
  <c r="Y350" i="4"/>
  <c r="AC350" i="4"/>
  <c r="I351" i="4"/>
  <c r="M351" i="4"/>
  <c r="Q351" i="4"/>
  <c r="U351" i="4"/>
  <c r="Y351" i="4"/>
  <c r="AC351" i="4"/>
  <c r="I352" i="4"/>
  <c r="M352" i="4"/>
  <c r="Q352" i="4"/>
  <c r="U352" i="4"/>
  <c r="Y352" i="4"/>
  <c r="AC352" i="4"/>
  <c r="I353" i="4"/>
  <c r="M353" i="4"/>
  <c r="Q353" i="4"/>
  <c r="U353" i="4"/>
  <c r="Y353" i="4"/>
  <c r="AC353" i="4"/>
  <c r="I354" i="4"/>
  <c r="M354" i="4"/>
  <c r="Q354" i="4"/>
  <c r="U354" i="4"/>
  <c r="Y354" i="4"/>
  <c r="AC354" i="4"/>
  <c r="H355" i="4"/>
  <c r="L355" i="4"/>
  <c r="P355" i="4"/>
  <c r="T355" i="4"/>
  <c r="X355" i="4"/>
  <c r="AB355" i="4"/>
  <c r="H356" i="4"/>
  <c r="L356" i="4"/>
  <c r="P356" i="4"/>
  <c r="T356" i="4"/>
  <c r="X356" i="4"/>
  <c r="AB356" i="4"/>
  <c r="F343" i="4"/>
  <c r="J343" i="4"/>
  <c r="N343" i="4"/>
  <c r="R343" i="4"/>
  <c r="V343" i="4"/>
  <c r="Z343" i="4"/>
  <c r="F344" i="4"/>
  <c r="J344" i="4"/>
  <c r="N344" i="4"/>
  <c r="R344" i="4"/>
  <c r="V344" i="4"/>
  <c r="Z344" i="4"/>
  <c r="F345" i="4"/>
  <c r="J345" i="4"/>
  <c r="N345" i="4"/>
  <c r="R345" i="4"/>
  <c r="V345" i="4"/>
  <c r="Z345" i="4"/>
  <c r="F346" i="4"/>
  <c r="J346" i="4"/>
  <c r="N346" i="4"/>
  <c r="R346" i="4"/>
  <c r="V346" i="4"/>
  <c r="Z346" i="4"/>
  <c r="F347" i="4"/>
  <c r="J347" i="4"/>
  <c r="N347" i="4"/>
  <c r="R347" i="4"/>
  <c r="V347" i="4"/>
  <c r="Z347" i="4"/>
  <c r="F348" i="4"/>
  <c r="J348" i="4"/>
  <c r="N348" i="4"/>
  <c r="R348" i="4"/>
  <c r="V348" i="4"/>
  <c r="Z348" i="4"/>
  <c r="F349" i="4"/>
  <c r="J349" i="4"/>
  <c r="N349" i="4"/>
  <c r="R349" i="4"/>
  <c r="V349" i="4"/>
  <c r="Z349" i="4"/>
  <c r="F350" i="4"/>
  <c r="J350" i="4"/>
  <c r="N350" i="4"/>
  <c r="R350" i="4"/>
  <c r="V350" i="4"/>
  <c r="Z350" i="4"/>
  <c r="F351" i="4"/>
  <c r="J351" i="4"/>
  <c r="N351" i="4"/>
  <c r="R351" i="4"/>
  <c r="V351" i="4"/>
  <c r="Z351" i="4"/>
  <c r="F352" i="4"/>
  <c r="J352" i="4"/>
  <c r="N352" i="4"/>
  <c r="R352" i="4"/>
  <c r="V352" i="4"/>
  <c r="Z352" i="4"/>
  <c r="F353" i="4"/>
  <c r="J353" i="4"/>
  <c r="N353" i="4"/>
  <c r="R353" i="4"/>
  <c r="V353" i="4"/>
  <c r="Z353" i="4"/>
  <c r="F354" i="4"/>
  <c r="J354" i="4"/>
  <c r="N354" i="4"/>
  <c r="R354" i="4"/>
  <c r="V354" i="4"/>
  <c r="Z354" i="4"/>
  <c r="Q355" i="4"/>
  <c r="I356" i="4"/>
  <c r="Y356" i="4"/>
  <c r="I357" i="4"/>
  <c r="M357" i="4"/>
  <c r="Q357" i="4"/>
  <c r="U357" i="4"/>
  <c r="Y357" i="4"/>
  <c r="AC357" i="4"/>
  <c r="I358" i="4"/>
  <c r="M358" i="4"/>
  <c r="Q358" i="4"/>
  <c r="U358" i="4"/>
  <c r="Y358" i="4"/>
  <c r="AC358" i="4"/>
  <c r="I359" i="4"/>
  <c r="M359" i="4"/>
  <c r="Q359" i="4"/>
  <c r="U359" i="4"/>
  <c r="Y359" i="4"/>
  <c r="AC359" i="4"/>
  <c r="I360" i="4"/>
  <c r="M360" i="4"/>
  <c r="Q360" i="4"/>
  <c r="U360" i="4"/>
  <c r="Y360" i="4"/>
  <c r="AC360" i="4"/>
  <c r="I361" i="4"/>
  <c r="M361" i="4"/>
  <c r="Q361" i="4"/>
  <c r="U361" i="4"/>
  <c r="Y361" i="4"/>
  <c r="AC361" i="4"/>
  <c r="I362" i="4"/>
  <c r="M362" i="4"/>
  <c r="Q362" i="4"/>
  <c r="U362" i="4"/>
  <c r="Y362" i="4"/>
  <c r="AC362" i="4"/>
  <c r="I363" i="4"/>
  <c r="M363" i="4"/>
  <c r="Q363" i="4"/>
  <c r="U363" i="4"/>
  <c r="Y363" i="4"/>
  <c r="AC363" i="4"/>
  <c r="I364" i="4"/>
  <c r="M364" i="4"/>
  <c r="Q364" i="4"/>
  <c r="U364" i="4"/>
  <c r="Y364" i="4"/>
  <c r="AC364" i="4"/>
  <c r="I365" i="4"/>
  <c r="M365" i="4"/>
  <c r="Q365" i="4"/>
  <c r="U365" i="4"/>
  <c r="Y365" i="4"/>
  <c r="AC365" i="4"/>
  <c r="I366" i="4"/>
  <c r="M366" i="4"/>
  <c r="Q366" i="4"/>
  <c r="U366" i="4"/>
  <c r="Y366" i="4"/>
  <c r="AC366" i="4"/>
  <c r="I367" i="4"/>
  <c r="M367" i="4"/>
  <c r="Q367" i="4"/>
  <c r="U367" i="4"/>
  <c r="Y367" i="4"/>
  <c r="AC367" i="4"/>
  <c r="I368" i="4"/>
  <c r="M368" i="4"/>
  <c r="Q368" i="4"/>
  <c r="U368" i="4"/>
  <c r="Y368" i="4"/>
  <c r="AC368" i="4"/>
  <c r="I369" i="4"/>
  <c r="M369" i="4"/>
  <c r="Q369" i="4"/>
  <c r="U369" i="4"/>
  <c r="Y369" i="4"/>
  <c r="AC369" i="4"/>
  <c r="I370" i="4"/>
  <c r="M370" i="4"/>
  <c r="Q370" i="4"/>
  <c r="U370" i="4"/>
  <c r="Y370" i="4"/>
  <c r="AC370" i="4"/>
  <c r="U355" i="4"/>
  <c r="M356" i="4"/>
  <c r="AC356" i="4"/>
  <c r="J357" i="4"/>
  <c r="N357" i="4"/>
  <c r="R357" i="4"/>
  <c r="V357" i="4"/>
  <c r="Z357" i="4"/>
  <c r="F358" i="4"/>
  <c r="J358" i="4"/>
  <c r="N358" i="4"/>
  <c r="R358" i="4"/>
  <c r="V358" i="4"/>
  <c r="Z358" i="4"/>
  <c r="F359" i="4"/>
  <c r="J359" i="4"/>
  <c r="N359" i="4"/>
  <c r="R359" i="4"/>
  <c r="V359" i="4"/>
  <c r="Z359" i="4"/>
  <c r="F360" i="4"/>
  <c r="J360" i="4"/>
  <c r="N360" i="4"/>
  <c r="R360" i="4"/>
  <c r="V360" i="4"/>
  <c r="Z360" i="4"/>
  <c r="F361" i="4"/>
  <c r="J361" i="4"/>
  <c r="N361" i="4"/>
  <c r="R361" i="4"/>
  <c r="V361" i="4"/>
  <c r="Z361" i="4"/>
  <c r="F362" i="4"/>
  <c r="J362" i="4"/>
  <c r="N362" i="4"/>
  <c r="R362" i="4"/>
  <c r="V362" i="4"/>
  <c r="Z362" i="4"/>
  <c r="F363" i="4"/>
  <c r="J363" i="4"/>
  <c r="N363" i="4"/>
  <c r="R363" i="4"/>
  <c r="V363" i="4"/>
  <c r="Z363" i="4"/>
  <c r="F364" i="4"/>
  <c r="J364" i="4"/>
  <c r="N364" i="4"/>
  <c r="R364" i="4"/>
  <c r="V364" i="4"/>
  <c r="Z364" i="4"/>
  <c r="F365" i="4"/>
  <c r="J365" i="4"/>
  <c r="N365" i="4"/>
  <c r="R365" i="4"/>
  <c r="V365" i="4"/>
  <c r="Z365" i="4"/>
  <c r="F366" i="4"/>
  <c r="J366" i="4"/>
  <c r="N366" i="4"/>
  <c r="R366" i="4"/>
  <c r="V366" i="4"/>
  <c r="Z366" i="4"/>
  <c r="F367" i="4"/>
  <c r="J367" i="4"/>
  <c r="N367" i="4"/>
  <c r="R367" i="4"/>
  <c r="V367" i="4"/>
  <c r="Z367" i="4"/>
  <c r="F368" i="4"/>
  <c r="J368" i="4"/>
  <c r="N368" i="4"/>
  <c r="R368" i="4"/>
  <c r="V368" i="4"/>
  <c r="Z368" i="4"/>
  <c r="F369" i="4"/>
  <c r="J369" i="4"/>
  <c r="N369" i="4"/>
  <c r="R369" i="4"/>
  <c r="V369" i="4"/>
  <c r="Z369" i="4"/>
  <c r="F370" i="4"/>
  <c r="J370" i="4"/>
  <c r="N370" i="4"/>
  <c r="R370" i="4"/>
  <c r="V370" i="4"/>
  <c r="I355" i="4"/>
  <c r="Y355" i="4"/>
  <c r="Q356" i="4"/>
  <c r="G357" i="4"/>
  <c r="K357" i="4"/>
  <c r="O357" i="4"/>
  <c r="S357" i="4"/>
  <c r="W357" i="4"/>
  <c r="AA357" i="4"/>
  <c r="G358" i="4"/>
  <c r="K358" i="4"/>
  <c r="O358" i="4"/>
  <c r="S358" i="4"/>
  <c r="W358" i="4"/>
  <c r="AA358" i="4"/>
  <c r="G359" i="4"/>
  <c r="K359" i="4"/>
  <c r="O359" i="4"/>
  <c r="S359" i="4"/>
  <c r="W359" i="4"/>
  <c r="AA359" i="4"/>
  <c r="G360" i="4"/>
  <c r="K360" i="4"/>
  <c r="O360" i="4"/>
  <c r="S360" i="4"/>
  <c r="W360" i="4"/>
  <c r="M355" i="4"/>
  <c r="H357" i="4"/>
  <c r="X357" i="4"/>
  <c r="P358" i="4"/>
  <c r="H359" i="4"/>
  <c r="X359" i="4"/>
  <c r="P360" i="4"/>
  <c r="AB360" i="4"/>
  <c r="L361" i="4"/>
  <c r="T361" i="4"/>
  <c r="AB361" i="4"/>
  <c r="L362" i="4"/>
  <c r="T362" i="4"/>
  <c r="AB362" i="4"/>
  <c r="L363" i="4"/>
  <c r="T363" i="4"/>
  <c r="AB363" i="4"/>
  <c r="L364" i="4"/>
  <c r="T364" i="4"/>
  <c r="AB364" i="4"/>
  <c r="L365" i="4"/>
  <c r="T365" i="4"/>
  <c r="AB365" i="4"/>
  <c r="L366" i="4"/>
  <c r="T366" i="4"/>
  <c r="AB366" i="4"/>
  <c r="L367" i="4"/>
  <c r="T367" i="4"/>
  <c r="AB367" i="4"/>
  <c r="L368" i="4"/>
  <c r="T368" i="4"/>
  <c r="AB368" i="4"/>
  <c r="L369" i="4"/>
  <c r="T369" i="4"/>
  <c r="AB369" i="4"/>
  <c r="L370" i="4"/>
  <c r="T370" i="4"/>
  <c r="AA370" i="4"/>
  <c r="G371" i="4"/>
  <c r="K371" i="4"/>
  <c r="O371" i="4"/>
  <c r="S371" i="4"/>
  <c r="W371" i="4"/>
  <c r="AA371" i="4"/>
  <c r="G372" i="4"/>
  <c r="K372" i="4"/>
  <c r="O372" i="4"/>
  <c r="S372" i="4"/>
  <c r="W372" i="4"/>
  <c r="AA372" i="4"/>
  <c r="H342" i="4"/>
  <c r="L342" i="4"/>
  <c r="P342" i="4"/>
  <c r="T342" i="4"/>
  <c r="X342" i="4"/>
  <c r="AB342" i="4"/>
  <c r="L357" i="4"/>
  <c r="AB357" i="4"/>
  <c r="T358" i="4"/>
  <c r="L359" i="4"/>
  <c r="AB359" i="4"/>
  <c r="T360" i="4"/>
  <c r="G361" i="4"/>
  <c r="O361" i="4"/>
  <c r="W361" i="4"/>
  <c r="G362" i="4"/>
  <c r="O362" i="4"/>
  <c r="W362" i="4"/>
  <c r="G363" i="4"/>
  <c r="O363" i="4"/>
  <c r="W363" i="4"/>
  <c r="G364" i="4"/>
  <c r="O364" i="4"/>
  <c r="W364" i="4"/>
  <c r="G365" i="4"/>
  <c r="O365" i="4"/>
  <c r="W365" i="4"/>
  <c r="G366" i="4"/>
  <c r="O366" i="4"/>
  <c r="W366" i="4"/>
  <c r="G367" i="4"/>
  <c r="O367" i="4"/>
  <c r="W367" i="4"/>
  <c r="G368" i="4"/>
  <c r="O368" i="4"/>
  <c r="W368" i="4"/>
  <c r="G369" i="4"/>
  <c r="O369" i="4"/>
  <c r="W369" i="4"/>
  <c r="G370" i="4"/>
  <c r="O370" i="4"/>
  <c r="W370" i="4"/>
  <c r="AB370" i="4"/>
  <c r="H371" i="4"/>
  <c r="L371" i="4"/>
  <c r="P371" i="4"/>
  <c r="T371" i="4"/>
  <c r="X371" i="4"/>
  <c r="AB371" i="4"/>
  <c r="H372" i="4"/>
  <c r="L372" i="4"/>
  <c r="P372" i="4"/>
  <c r="T372" i="4"/>
  <c r="X372" i="4"/>
  <c r="AB372" i="4"/>
  <c r="I342" i="4"/>
  <c r="M342" i="4"/>
  <c r="Q342" i="4"/>
  <c r="U342" i="4"/>
  <c r="Y342" i="4"/>
  <c r="AC342" i="4"/>
  <c r="AC355" i="4"/>
  <c r="P357" i="4"/>
  <c r="H358" i="4"/>
  <c r="X358" i="4"/>
  <c r="P359" i="4"/>
  <c r="H360" i="4"/>
  <c r="X360" i="4"/>
  <c r="H361" i="4"/>
  <c r="P361" i="4"/>
  <c r="X361" i="4"/>
  <c r="H362" i="4"/>
  <c r="P362" i="4"/>
  <c r="X362" i="4"/>
  <c r="H363" i="4"/>
  <c r="P363" i="4"/>
  <c r="X363" i="4"/>
  <c r="H364" i="4"/>
  <c r="P364" i="4"/>
  <c r="X364" i="4"/>
  <c r="H365" i="4"/>
  <c r="P365" i="4"/>
  <c r="X365" i="4"/>
  <c r="H366" i="4"/>
  <c r="P366" i="4"/>
  <c r="X366" i="4"/>
  <c r="H367" i="4"/>
  <c r="P367" i="4"/>
  <c r="X367" i="4"/>
  <c r="H368" i="4"/>
  <c r="P368" i="4"/>
  <c r="X368" i="4"/>
  <c r="H369" i="4"/>
  <c r="P369" i="4"/>
  <c r="X369" i="4"/>
  <c r="H370" i="4"/>
  <c r="P370" i="4"/>
  <c r="X370" i="4"/>
  <c r="I371" i="4"/>
  <c r="M371" i="4"/>
  <c r="Q371" i="4"/>
  <c r="U371" i="4"/>
  <c r="Y371" i="4"/>
  <c r="AC371" i="4"/>
  <c r="I372" i="4"/>
  <c r="M372" i="4"/>
  <c r="Q372" i="4"/>
  <c r="U372" i="4"/>
  <c r="Y372" i="4"/>
  <c r="AC372" i="4"/>
  <c r="J342" i="4"/>
  <c r="N342" i="4"/>
  <c r="R342" i="4"/>
  <c r="V342" i="4"/>
  <c r="Z342" i="4"/>
  <c r="F342" i="4"/>
  <c r="L358" i="4"/>
  <c r="AA360" i="4"/>
  <c r="K362" i="4"/>
  <c r="S363" i="4"/>
  <c r="AA364" i="4"/>
  <c r="K366" i="4"/>
  <c r="S367" i="4"/>
  <c r="AA368" i="4"/>
  <c r="K370" i="4"/>
  <c r="J371" i="4"/>
  <c r="Z371" i="4"/>
  <c r="R372" i="4"/>
  <c r="K342" i="4"/>
  <c r="AA342" i="4"/>
  <c r="AB358" i="4"/>
  <c r="K361" i="4"/>
  <c r="S362" i="4"/>
  <c r="AA363" i="4"/>
  <c r="K365" i="4"/>
  <c r="S366" i="4"/>
  <c r="AA367" i="4"/>
  <c r="K369" i="4"/>
  <c r="S370" i="4"/>
  <c r="N371" i="4"/>
  <c r="F372" i="4"/>
  <c r="V372" i="4"/>
  <c r="O342" i="4"/>
  <c r="U356" i="4"/>
  <c r="T359" i="4"/>
  <c r="S361" i="4"/>
  <c r="AA362" i="4"/>
  <c r="K364" i="4"/>
  <c r="S365" i="4"/>
  <c r="AA366" i="4"/>
  <c r="K368" i="4"/>
  <c r="S369" i="4"/>
  <c r="Z370" i="4"/>
  <c r="R371" i="4"/>
  <c r="J372" i="4"/>
  <c r="Z372" i="4"/>
  <c r="S342" i="4"/>
  <c r="T357" i="4"/>
  <c r="L360" i="4"/>
  <c r="AA361" i="4"/>
  <c r="K363" i="4"/>
  <c r="S364" i="4"/>
  <c r="AA365" i="4"/>
  <c r="K367" i="4"/>
  <c r="S368" i="4"/>
  <c r="AA369" i="4"/>
  <c r="F371" i="4"/>
  <c r="V371" i="4"/>
  <c r="N372" i="4"/>
  <c r="G342" i="4"/>
  <c r="W342" i="4"/>
  <c r="F68" i="4"/>
  <c r="J68" i="4"/>
  <c r="N68" i="4"/>
  <c r="R68" i="4"/>
  <c r="V68" i="4"/>
  <c r="Z68" i="4"/>
  <c r="F69" i="4"/>
  <c r="J69" i="4"/>
  <c r="N69" i="4"/>
  <c r="R69" i="4"/>
  <c r="V69" i="4"/>
  <c r="Z69" i="4"/>
  <c r="F70" i="4"/>
  <c r="J70" i="4"/>
  <c r="N70" i="4"/>
  <c r="R70" i="4"/>
  <c r="V70" i="4"/>
  <c r="Z70" i="4"/>
  <c r="F71" i="4"/>
  <c r="J71" i="4"/>
  <c r="N71" i="4"/>
  <c r="R71" i="4"/>
  <c r="V71" i="4"/>
  <c r="Z71" i="4"/>
  <c r="F72" i="4"/>
  <c r="J72" i="4"/>
  <c r="N72" i="4"/>
  <c r="R72" i="4"/>
  <c r="V72" i="4"/>
  <c r="Z72" i="4"/>
  <c r="F73" i="4"/>
  <c r="J73" i="4"/>
  <c r="N73" i="4"/>
  <c r="R73" i="4"/>
  <c r="V73" i="4"/>
  <c r="Z73" i="4"/>
  <c r="F74" i="4"/>
  <c r="J74" i="4"/>
  <c r="N74" i="4"/>
  <c r="R74" i="4"/>
  <c r="V74" i="4"/>
  <c r="Z74" i="4"/>
  <c r="F75" i="4"/>
  <c r="J75" i="4"/>
  <c r="N75" i="4"/>
  <c r="R75" i="4"/>
  <c r="V75" i="4"/>
  <c r="Z75" i="4"/>
  <c r="F76" i="4"/>
  <c r="J76" i="4"/>
  <c r="N76" i="4"/>
  <c r="R76" i="4"/>
  <c r="V76" i="4"/>
  <c r="Z76" i="4"/>
  <c r="F77" i="4"/>
  <c r="J77" i="4"/>
  <c r="N77" i="4"/>
  <c r="R77" i="4"/>
  <c r="V77" i="4"/>
  <c r="Z77" i="4"/>
  <c r="F78" i="4"/>
  <c r="J78" i="4"/>
  <c r="N78" i="4"/>
  <c r="R78" i="4"/>
  <c r="V78" i="4"/>
  <c r="Z78" i="4"/>
  <c r="F79" i="4"/>
  <c r="J79" i="4"/>
  <c r="N79" i="4"/>
  <c r="R79" i="4"/>
  <c r="V79" i="4"/>
  <c r="Z79" i="4"/>
  <c r="F80" i="4"/>
  <c r="J80" i="4"/>
  <c r="N80" i="4"/>
  <c r="R80" i="4"/>
  <c r="V80" i="4"/>
  <c r="Z80" i="4"/>
  <c r="F81" i="4"/>
  <c r="G68" i="4"/>
  <c r="K68" i="4"/>
  <c r="O68" i="4"/>
  <c r="S68" i="4"/>
  <c r="W68" i="4"/>
  <c r="AA68" i="4"/>
  <c r="G69" i="4"/>
  <c r="K69" i="4"/>
  <c r="O69" i="4"/>
  <c r="S69" i="4"/>
  <c r="W69" i="4"/>
  <c r="AA69" i="4"/>
  <c r="G70" i="4"/>
  <c r="K70" i="4"/>
  <c r="O70" i="4"/>
  <c r="S70" i="4"/>
  <c r="W70" i="4"/>
  <c r="AA70" i="4"/>
  <c r="G71" i="4"/>
  <c r="K71" i="4"/>
  <c r="O71" i="4"/>
  <c r="S71" i="4"/>
  <c r="W71" i="4"/>
  <c r="AA71" i="4"/>
  <c r="G72" i="4"/>
  <c r="K72" i="4"/>
  <c r="O72" i="4"/>
  <c r="S72" i="4"/>
  <c r="W72" i="4"/>
  <c r="AA72" i="4"/>
  <c r="G73" i="4"/>
  <c r="K73" i="4"/>
  <c r="O73" i="4"/>
  <c r="S73" i="4"/>
  <c r="W73" i="4"/>
  <c r="AA73" i="4"/>
  <c r="G74" i="4"/>
  <c r="K74" i="4"/>
  <c r="O74" i="4"/>
  <c r="S74" i="4"/>
  <c r="W74" i="4"/>
  <c r="AA74" i="4"/>
  <c r="G75" i="4"/>
  <c r="K75" i="4"/>
  <c r="O75" i="4"/>
  <c r="S75" i="4"/>
  <c r="W75" i="4"/>
  <c r="AA75" i="4"/>
  <c r="G76" i="4"/>
  <c r="K76" i="4"/>
  <c r="O76" i="4"/>
  <c r="S76" i="4"/>
  <c r="W76" i="4"/>
  <c r="AA76" i="4"/>
  <c r="G77" i="4"/>
  <c r="K77" i="4"/>
  <c r="O77" i="4"/>
  <c r="S77" i="4"/>
  <c r="W77" i="4"/>
  <c r="AA77" i="4"/>
  <c r="G78" i="4"/>
  <c r="K78" i="4"/>
  <c r="O78" i="4"/>
  <c r="S78" i="4"/>
  <c r="W78" i="4"/>
  <c r="AA78" i="4"/>
  <c r="G79" i="4"/>
  <c r="K79" i="4"/>
  <c r="O79" i="4"/>
  <c r="S79" i="4"/>
  <c r="W79" i="4"/>
  <c r="AA79" i="4"/>
  <c r="G80" i="4"/>
  <c r="K80" i="4"/>
  <c r="L68" i="4"/>
  <c r="T68" i="4"/>
  <c r="AB68" i="4"/>
  <c r="L69" i="4"/>
  <c r="T69" i="4"/>
  <c r="AB69" i="4"/>
  <c r="L70" i="4"/>
  <c r="T70" i="4"/>
  <c r="AB70" i="4"/>
  <c r="L71" i="4"/>
  <c r="T71" i="4"/>
  <c r="AB71" i="4"/>
  <c r="L72" i="4"/>
  <c r="T72" i="4"/>
  <c r="AB72" i="4"/>
  <c r="L73" i="4"/>
  <c r="T73" i="4"/>
  <c r="AB73" i="4"/>
  <c r="L74" i="4"/>
  <c r="T74" i="4"/>
  <c r="AB74" i="4"/>
  <c r="L75" i="4"/>
  <c r="T75" i="4"/>
  <c r="AB75" i="4"/>
  <c r="L76" i="4"/>
  <c r="T76" i="4"/>
  <c r="AB76" i="4"/>
  <c r="L77" i="4"/>
  <c r="T77" i="4"/>
  <c r="AB77" i="4"/>
  <c r="L78" i="4"/>
  <c r="T78" i="4"/>
  <c r="AB78" i="4"/>
  <c r="L79" i="4"/>
  <c r="T79" i="4"/>
  <c r="AB79" i="4"/>
  <c r="L80" i="4"/>
  <c r="Q80" i="4"/>
  <c r="W80" i="4"/>
  <c r="AB80" i="4"/>
  <c r="I81" i="4"/>
  <c r="M81" i="4"/>
  <c r="Q81" i="4"/>
  <c r="U81" i="4"/>
  <c r="Y81" i="4"/>
  <c r="AC81" i="4"/>
  <c r="I82" i="4"/>
  <c r="M82" i="4"/>
  <c r="Q82" i="4"/>
  <c r="U82" i="4"/>
  <c r="Y82" i="4"/>
  <c r="AC82" i="4"/>
  <c r="I83" i="4"/>
  <c r="M83" i="4"/>
  <c r="Q83" i="4"/>
  <c r="U83" i="4"/>
  <c r="Y83" i="4"/>
  <c r="AC83" i="4"/>
  <c r="I84" i="4"/>
  <c r="M84" i="4"/>
  <c r="Q84" i="4"/>
  <c r="U84" i="4"/>
  <c r="Y84" i="4"/>
  <c r="AC84" i="4"/>
  <c r="I85" i="4"/>
  <c r="M85" i="4"/>
  <c r="Q85" i="4"/>
  <c r="U85" i="4"/>
  <c r="Y85" i="4"/>
  <c r="AC85" i="4"/>
  <c r="I86" i="4"/>
  <c r="M86" i="4"/>
  <c r="Q86" i="4"/>
  <c r="U86" i="4"/>
  <c r="Y86" i="4"/>
  <c r="AC86" i="4"/>
  <c r="I87" i="4"/>
  <c r="M87" i="4"/>
  <c r="Q87" i="4"/>
  <c r="U87" i="4"/>
  <c r="Y87" i="4"/>
  <c r="AC87" i="4"/>
  <c r="I88" i="4"/>
  <c r="M88" i="4"/>
  <c r="Q88" i="4"/>
  <c r="U88" i="4"/>
  <c r="Y88" i="4"/>
  <c r="AC88" i="4"/>
  <c r="I89" i="4"/>
  <c r="M89" i="4"/>
  <c r="Q89" i="4"/>
  <c r="U89" i="4"/>
  <c r="Y89" i="4"/>
  <c r="AC89" i="4"/>
  <c r="I90" i="4"/>
  <c r="M90" i="4"/>
  <c r="Q90" i="4"/>
  <c r="U90" i="4"/>
  <c r="Y90" i="4"/>
  <c r="AC90" i="4"/>
  <c r="I91" i="4"/>
  <c r="M91" i="4"/>
  <c r="Q91" i="4"/>
  <c r="U91" i="4"/>
  <c r="Y91" i="4"/>
  <c r="AC91" i="4"/>
  <c r="I92" i="4"/>
  <c r="M92" i="4"/>
  <c r="Q92" i="4"/>
  <c r="U92" i="4"/>
  <c r="Y92" i="4"/>
  <c r="AC92" i="4"/>
  <c r="I93" i="4"/>
  <c r="M93" i="4"/>
  <c r="Q93" i="4"/>
  <c r="U93" i="4"/>
  <c r="Y93" i="4"/>
  <c r="AC93" i="4"/>
  <c r="I94" i="4"/>
  <c r="M94" i="4"/>
  <c r="Q94" i="4"/>
  <c r="U94" i="4"/>
  <c r="Y94" i="4"/>
  <c r="AC94" i="4"/>
  <c r="I95" i="4"/>
  <c r="M95" i="4"/>
  <c r="Q95" i="4"/>
  <c r="U95" i="4"/>
  <c r="Y95" i="4"/>
  <c r="AC95" i="4"/>
  <c r="I96" i="4"/>
  <c r="M96" i="4"/>
  <c r="Q96" i="4"/>
  <c r="U96" i="4"/>
  <c r="Y96" i="4"/>
  <c r="AC96" i="4"/>
  <c r="I97" i="4"/>
  <c r="M97" i="4"/>
  <c r="Q97" i="4"/>
  <c r="U97" i="4"/>
  <c r="Y97" i="4"/>
  <c r="AC97" i="4"/>
  <c r="J67" i="4"/>
  <c r="N67" i="4"/>
  <c r="R67" i="4"/>
  <c r="V67" i="4"/>
  <c r="Z67" i="4"/>
  <c r="F67" i="4"/>
  <c r="M68" i="4"/>
  <c r="U68" i="4"/>
  <c r="AC68" i="4"/>
  <c r="M69" i="4"/>
  <c r="U69" i="4"/>
  <c r="AC69" i="4"/>
  <c r="M70" i="4"/>
  <c r="U70" i="4"/>
  <c r="AC70" i="4"/>
  <c r="M71" i="4"/>
  <c r="U71" i="4"/>
  <c r="AC71" i="4"/>
  <c r="M72" i="4"/>
  <c r="U72" i="4"/>
  <c r="AC72" i="4"/>
  <c r="M73" i="4"/>
  <c r="U73" i="4"/>
  <c r="AC73" i="4"/>
  <c r="M74" i="4"/>
  <c r="U74" i="4"/>
  <c r="AC74" i="4"/>
  <c r="M75" i="4"/>
  <c r="U75" i="4"/>
  <c r="AC75" i="4"/>
  <c r="M76" i="4"/>
  <c r="U76" i="4"/>
  <c r="AC76" i="4"/>
  <c r="M77" i="4"/>
  <c r="U77" i="4"/>
  <c r="AC77" i="4"/>
  <c r="M78" i="4"/>
  <c r="U78" i="4"/>
  <c r="AC78" i="4"/>
  <c r="M79" i="4"/>
  <c r="U79" i="4"/>
  <c r="AC79" i="4"/>
  <c r="M80" i="4"/>
  <c r="S80" i="4"/>
  <c r="X80" i="4"/>
  <c r="AC80" i="4"/>
  <c r="J81" i="4"/>
  <c r="N81" i="4"/>
  <c r="R81" i="4"/>
  <c r="V81" i="4"/>
  <c r="Z81" i="4"/>
  <c r="F82" i="4"/>
  <c r="J82" i="4"/>
  <c r="N82" i="4"/>
  <c r="R82" i="4"/>
  <c r="V82" i="4"/>
  <c r="Z82" i="4"/>
  <c r="F83" i="4"/>
  <c r="J83" i="4"/>
  <c r="N83" i="4"/>
  <c r="R83" i="4"/>
  <c r="V83" i="4"/>
  <c r="Z83" i="4"/>
  <c r="F84" i="4"/>
  <c r="J84" i="4"/>
  <c r="N84" i="4"/>
  <c r="R84" i="4"/>
  <c r="V84" i="4"/>
  <c r="Z84" i="4"/>
  <c r="F85" i="4"/>
  <c r="J85" i="4"/>
  <c r="N85" i="4"/>
  <c r="R85" i="4"/>
  <c r="V85" i="4"/>
  <c r="Z85" i="4"/>
  <c r="F86" i="4"/>
  <c r="J86" i="4"/>
  <c r="N86" i="4"/>
  <c r="R86" i="4"/>
  <c r="V86" i="4"/>
  <c r="Z86" i="4"/>
  <c r="F87" i="4"/>
  <c r="J87" i="4"/>
  <c r="N87" i="4"/>
  <c r="R87" i="4"/>
  <c r="V87" i="4"/>
  <c r="Z87" i="4"/>
  <c r="F88" i="4"/>
  <c r="J88" i="4"/>
  <c r="N88" i="4"/>
  <c r="R88" i="4"/>
  <c r="V88" i="4"/>
  <c r="Z88" i="4"/>
  <c r="F89" i="4"/>
  <c r="J89" i="4"/>
  <c r="N89" i="4"/>
  <c r="R89" i="4"/>
  <c r="V89" i="4"/>
  <c r="Z89" i="4"/>
  <c r="F90" i="4"/>
  <c r="J90" i="4"/>
  <c r="N90" i="4"/>
  <c r="R90" i="4"/>
  <c r="V90" i="4"/>
  <c r="Z90" i="4"/>
  <c r="F91" i="4"/>
  <c r="J91" i="4"/>
  <c r="N91" i="4"/>
  <c r="R91" i="4"/>
  <c r="V91" i="4"/>
  <c r="Z91" i="4"/>
  <c r="F92" i="4"/>
  <c r="J92" i="4"/>
  <c r="N92" i="4"/>
  <c r="R92" i="4"/>
  <c r="V92" i="4"/>
  <c r="Z92" i="4"/>
  <c r="F93" i="4"/>
  <c r="J93" i="4"/>
  <c r="N93" i="4"/>
  <c r="R93" i="4"/>
  <c r="V93" i="4"/>
  <c r="Z93" i="4"/>
  <c r="F94" i="4"/>
  <c r="J94" i="4"/>
  <c r="N94" i="4"/>
  <c r="R94" i="4"/>
  <c r="V94" i="4"/>
  <c r="Z94" i="4"/>
  <c r="F95" i="4"/>
  <c r="J95" i="4"/>
  <c r="N95" i="4"/>
  <c r="R95" i="4"/>
  <c r="V95" i="4"/>
  <c r="Z95" i="4"/>
  <c r="F96" i="4"/>
  <c r="J96" i="4"/>
  <c r="N96" i="4"/>
  <c r="R96" i="4"/>
  <c r="V96" i="4"/>
  <c r="Z96" i="4"/>
  <c r="F97" i="4"/>
  <c r="J97" i="4"/>
  <c r="N97" i="4"/>
  <c r="R97" i="4"/>
  <c r="V97" i="4"/>
  <c r="Z97" i="4"/>
  <c r="G67" i="4"/>
  <c r="K67" i="4"/>
  <c r="O67" i="4"/>
  <c r="S67" i="4"/>
  <c r="W67" i="4"/>
  <c r="AA67" i="4"/>
  <c r="H68" i="4"/>
  <c r="P68" i="4"/>
  <c r="X68" i="4"/>
  <c r="H69" i="4"/>
  <c r="P69" i="4"/>
  <c r="X69" i="4"/>
  <c r="H70" i="4"/>
  <c r="P70" i="4"/>
  <c r="X70" i="4"/>
  <c r="H71" i="4"/>
  <c r="P71" i="4"/>
  <c r="X71" i="4"/>
  <c r="H72" i="4"/>
  <c r="P72" i="4"/>
  <c r="X72" i="4"/>
  <c r="H73" i="4"/>
  <c r="P73" i="4"/>
  <c r="X73" i="4"/>
  <c r="H74" i="4"/>
  <c r="P74" i="4"/>
  <c r="X74" i="4"/>
  <c r="H75" i="4"/>
  <c r="P75" i="4"/>
  <c r="X75" i="4"/>
  <c r="H76" i="4"/>
  <c r="P76" i="4"/>
  <c r="X76" i="4"/>
  <c r="H77" i="4"/>
  <c r="P77" i="4"/>
  <c r="X77" i="4"/>
  <c r="H78" i="4"/>
  <c r="P78" i="4"/>
  <c r="X78" i="4"/>
  <c r="H79" i="4"/>
  <c r="P79" i="4"/>
  <c r="X79" i="4"/>
  <c r="H80" i="4"/>
  <c r="O80" i="4"/>
  <c r="T80" i="4"/>
  <c r="Y80" i="4"/>
  <c r="G81" i="4"/>
  <c r="K81" i="4"/>
  <c r="O81" i="4"/>
  <c r="S81" i="4"/>
  <c r="W81" i="4"/>
  <c r="AA81" i="4"/>
  <c r="G82" i="4"/>
  <c r="K82" i="4"/>
  <c r="O82" i="4"/>
  <c r="S82" i="4"/>
  <c r="W82" i="4"/>
  <c r="AA82" i="4"/>
  <c r="G83" i="4"/>
  <c r="K83" i="4"/>
  <c r="O83" i="4"/>
  <c r="S83" i="4"/>
  <c r="W83" i="4"/>
  <c r="AA83" i="4"/>
  <c r="G84" i="4"/>
  <c r="K84" i="4"/>
  <c r="O84" i="4"/>
  <c r="S84" i="4"/>
  <c r="W84" i="4"/>
  <c r="AA84" i="4"/>
  <c r="G85" i="4"/>
  <c r="K85" i="4"/>
  <c r="O85" i="4"/>
  <c r="S85" i="4"/>
  <c r="W85" i="4"/>
  <c r="AA85" i="4"/>
  <c r="G86" i="4"/>
  <c r="K86" i="4"/>
  <c r="O86" i="4"/>
  <c r="S86" i="4"/>
  <c r="W86" i="4"/>
  <c r="AA86" i="4"/>
  <c r="G87" i="4"/>
  <c r="K87" i="4"/>
  <c r="O87" i="4"/>
  <c r="S87" i="4"/>
  <c r="W87" i="4"/>
  <c r="AA87" i="4"/>
  <c r="G88" i="4"/>
  <c r="K88" i="4"/>
  <c r="O88" i="4"/>
  <c r="S88" i="4"/>
  <c r="W88" i="4"/>
  <c r="AA88" i="4"/>
  <c r="G89" i="4"/>
  <c r="K89" i="4"/>
  <c r="O89" i="4"/>
  <c r="S89" i="4"/>
  <c r="W89" i="4"/>
  <c r="AA89" i="4"/>
  <c r="G90" i="4"/>
  <c r="K90" i="4"/>
  <c r="O90" i="4"/>
  <c r="S90" i="4"/>
  <c r="W90" i="4"/>
  <c r="AA90" i="4"/>
  <c r="G91" i="4"/>
  <c r="K91" i="4"/>
  <c r="O91" i="4"/>
  <c r="S91" i="4"/>
  <c r="W91" i="4"/>
  <c r="AA91" i="4"/>
  <c r="G92" i="4"/>
  <c r="K92" i="4"/>
  <c r="O92" i="4"/>
  <c r="S92" i="4"/>
  <c r="W92" i="4"/>
  <c r="AA92" i="4"/>
  <c r="G93" i="4"/>
  <c r="K93" i="4"/>
  <c r="O93" i="4"/>
  <c r="S93" i="4"/>
  <c r="W93" i="4"/>
  <c r="AA93" i="4"/>
  <c r="G94" i="4"/>
  <c r="K94" i="4"/>
  <c r="O94" i="4"/>
  <c r="S94" i="4"/>
  <c r="W94" i="4"/>
  <c r="AA94" i="4"/>
  <c r="G95" i="4"/>
  <c r="K95" i="4"/>
  <c r="O95" i="4"/>
  <c r="S95" i="4"/>
  <c r="W95" i="4"/>
  <c r="AA95" i="4"/>
  <c r="G96" i="4"/>
  <c r="K96" i="4"/>
  <c r="O96" i="4"/>
  <c r="S96" i="4"/>
  <c r="W96" i="4"/>
  <c r="AA96" i="4"/>
  <c r="G97" i="4"/>
  <c r="K97" i="4"/>
  <c r="O97" i="4"/>
  <c r="S97" i="4"/>
  <c r="W97" i="4"/>
  <c r="AA97" i="4"/>
  <c r="H67" i="4"/>
  <c r="L67" i="4"/>
  <c r="P67" i="4"/>
  <c r="T67" i="4"/>
  <c r="X67" i="4"/>
  <c r="AB67" i="4"/>
  <c r="I68" i="4"/>
  <c r="Q68" i="4"/>
  <c r="Y68" i="4"/>
  <c r="I69" i="4"/>
  <c r="Q69" i="4"/>
  <c r="Y69" i="4"/>
  <c r="I70" i="4"/>
  <c r="Q70" i="4"/>
  <c r="Y70" i="4"/>
  <c r="I71" i="4"/>
  <c r="Q71" i="4"/>
  <c r="Y71" i="4"/>
  <c r="I72" i="4"/>
  <c r="Q72" i="4"/>
  <c r="Y72" i="4"/>
  <c r="I73" i="4"/>
  <c r="Q73" i="4"/>
  <c r="Y73" i="4"/>
  <c r="I74" i="4"/>
  <c r="Q74" i="4"/>
  <c r="Y74" i="4"/>
  <c r="I75" i="4"/>
  <c r="Q75" i="4"/>
  <c r="Y75" i="4"/>
  <c r="I76" i="4"/>
  <c r="Q76" i="4"/>
  <c r="Y76" i="4"/>
  <c r="I77" i="4"/>
  <c r="Q77" i="4"/>
  <c r="Y77" i="4"/>
  <c r="I78" i="4"/>
  <c r="Q78" i="4"/>
  <c r="Y78" i="4"/>
  <c r="I79" i="4"/>
  <c r="Q79" i="4"/>
  <c r="Y79" i="4"/>
  <c r="I80" i="4"/>
  <c r="P80" i="4"/>
  <c r="U80" i="4"/>
  <c r="AA80" i="4"/>
  <c r="H81" i="4"/>
  <c r="L81" i="4"/>
  <c r="P81" i="4"/>
  <c r="T81" i="4"/>
  <c r="X81" i="4"/>
  <c r="AB81" i="4"/>
  <c r="H82" i="4"/>
  <c r="L82" i="4"/>
  <c r="P82" i="4"/>
  <c r="T82" i="4"/>
  <c r="X82" i="4"/>
  <c r="AB82" i="4"/>
  <c r="H83" i="4"/>
  <c r="L83" i="4"/>
  <c r="P83" i="4"/>
  <c r="T83" i="4"/>
  <c r="X83" i="4"/>
  <c r="AB83" i="4"/>
  <c r="H84" i="4"/>
  <c r="L84" i="4"/>
  <c r="P84" i="4"/>
  <c r="T84" i="4"/>
  <c r="X84" i="4"/>
  <c r="AB84" i="4"/>
  <c r="H85" i="4"/>
  <c r="L85" i="4"/>
  <c r="P85" i="4"/>
  <c r="T85" i="4"/>
  <c r="X85" i="4"/>
  <c r="AB85" i="4"/>
  <c r="H86" i="4"/>
  <c r="L86" i="4"/>
  <c r="P86" i="4"/>
  <c r="T86" i="4"/>
  <c r="X86" i="4"/>
  <c r="AB86" i="4"/>
  <c r="H87" i="4"/>
  <c r="L87" i="4"/>
  <c r="P87" i="4"/>
  <c r="T87" i="4"/>
  <c r="X87" i="4"/>
  <c r="AB87" i="4"/>
  <c r="H88" i="4"/>
  <c r="L88" i="4"/>
  <c r="P88" i="4"/>
  <c r="T88" i="4"/>
  <c r="X88" i="4"/>
  <c r="AB88" i="4"/>
  <c r="H89" i="4"/>
  <c r="L89" i="4"/>
  <c r="P89" i="4"/>
  <c r="T89" i="4"/>
  <c r="X89" i="4"/>
  <c r="AB89" i="4"/>
  <c r="H90" i="4"/>
  <c r="L90" i="4"/>
  <c r="P90" i="4"/>
  <c r="T90" i="4"/>
  <c r="X90" i="4"/>
  <c r="AB90" i="4"/>
  <c r="H91" i="4"/>
  <c r="L91" i="4"/>
  <c r="P91" i="4"/>
  <c r="T91" i="4"/>
  <c r="X91" i="4"/>
  <c r="AB91" i="4"/>
  <c r="H92" i="4"/>
  <c r="L92" i="4"/>
  <c r="P92" i="4"/>
  <c r="T92" i="4"/>
  <c r="X92" i="4"/>
  <c r="AB92" i="4"/>
  <c r="H93" i="4"/>
  <c r="L93" i="4"/>
  <c r="P93" i="4"/>
  <c r="T93" i="4"/>
  <c r="X93" i="4"/>
  <c r="AB93" i="4"/>
  <c r="H94" i="4"/>
  <c r="L94" i="4"/>
  <c r="P94" i="4"/>
  <c r="T94" i="4"/>
  <c r="X94" i="4"/>
  <c r="AB94" i="4"/>
  <c r="H95" i="4"/>
  <c r="L95" i="4"/>
  <c r="P95" i="4"/>
  <c r="T95" i="4"/>
  <c r="X95" i="4"/>
  <c r="AB95" i="4"/>
  <c r="H96" i="4"/>
  <c r="L96" i="4"/>
  <c r="P96" i="4"/>
  <c r="T96" i="4"/>
  <c r="X96" i="4"/>
  <c r="AB96" i="4"/>
  <c r="H97" i="4"/>
  <c r="L97" i="4"/>
  <c r="P97" i="4"/>
  <c r="T97" i="4"/>
  <c r="X97" i="4"/>
  <c r="AB97" i="4"/>
  <c r="I67" i="4"/>
  <c r="M67" i="4"/>
  <c r="Q67" i="4"/>
  <c r="U67" i="4"/>
  <c r="Y67" i="4"/>
  <c r="AC67" i="4"/>
  <c r="D439" i="12" l="1"/>
  <c r="C430" i="15" s="1"/>
  <c r="C94" i="15"/>
  <c r="D598" i="12"/>
  <c r="C589" i="15" s="1"/>
  <c r="C85" i="15"/>
  <c r="D606" i="12"/>
  <c r="C597" i="15" s="1"/>
  <c r="C93" i="15"/>
  <c r="D259" i="12"/>
  <c r="C250" i="15" s="1"/>
  <c r="C82" i="15"/>
  <c r="D433" i="12"/>
  <c r="C424" i="15" s="1"/>
  <c r="C88" i="15"/>
  <c r="D264" i="12"/>
  <c r="C255" i="15" s="1"/>
  <c r="C87" i="15"/>
  <c r="D597" i="12"/>
  <c r="C588" i="15" s="1"/>
  <c r="C84" i="15"/>
  <c r="D432" i="12"/>
  <c r="C423" i="15" s="1"/>
  <c r="D603" i="12"/>
  <c r="C594" i="15" s="1"/>
  <c r="C90" i="15"/>
  <c r="D440" i="12"/>
  <c r="C431" i="15" s="1"/>
  <c r="C95" i="15"/>
  <c r="D594" i="12"/>
  <c r="C585" i="15" s="1"/>
  <c r="C81" i="15"/>
  <c r="D434" i="12"/>
  <c r="C425" i="15" s="1"/>
  <c r="C89" i="15"/>
  <c r="D599" i="12"/>
  <c r="C590" i="15" s="1"/>
  <c r="C86" i="15"/>
  <c r="P103" i="12"/>
  <c r="F94" i="15" s="1"/>
  <c r="P94" i="12"/>
  <c r="F85" i="15" s="1"/>
  <c r="P102" i="12"/>
  <c r="F93" i="15" s="1"/>
  <c r="P91" i="12"/>
  <c r="F82" i="15" s="1"/>
  <c r="O491" i="12"/>
  <c r="E482" i="15" s="1"/>
  <c r="E146" i="15"/>
  <c r="D600" i="12"/>
  <c r="C591" i="15" s="1"/>
  <c r="D608" i="12"/>
  <c r="C599" i="15" s="1"/>
  <c r="D263" i="12"/>
  <c r="C254" i="15" s="1"/>
  <c r="D602" i="12"/>
  <c r="C593" i="15" s="1"/>
  <c r="D429" i="12"/>
  <c r="C420" i="15" s="1"/>
  <c r="P99" i="12"/>
  <c r="P98" i="12"/>
  <c r="P434" i="12" s="1"/>
  <c r="F425" i="15" s="1"/>
  <c r="D258" i="12"/>
  <c r="C249" i="15" s="1"/>
  <c r="D431" i="12"/>
  <c r="C422" i="15" s="1"/>
  <c r="D267" i="12"/>
  <c r="C258" i="15" s="1"/>
  <c r="D426" i="12"/>
  <c r="C417" i="15" s="1"/>
  <c r="D272" i="12"/>
  <c r="C263" i="15" s="1"/>
  <c r="D266" i="12"/>
  <c r="C257" i="15" s="1"/>
  <c r="P104" i="12"/>
  <c r="P608" i="12" s="1"/>
  <c r="F599" i="15" s="1"/>
  <c r="P90" i="12"/>
  <c r="P95" i="12"/>
  <c r="P101" i="12"/>
  <c r="F92" i="15" s="1"/>
  <c r="P92" i="12"/>
  <c r="P100" i="12"/>
  <c r="P89" i="12"/>
  <c r="D607" i="12"/>
  <c r="C598" i="15" s="1"/>
  <c r="D262" i="12"/>
  <c r="C253" i="15" s="1"/>
  <c r="P258" i="12"/>
  <c r="F249" i="15" s="1"/>
  <c r="P439" i="12"/>
  <c r="F430" i="15" s="1"/>
  <c r="P271" i="12"/>
  <c r="F262" i="15" s="1"/>
  <c r="P598" i="12"/>
  <c r="F589" i="15" s="1"/>
  <c r="P430" i="12"/>
  <c r="F421" i="15" s="1"/>
  <c r="P270" i="12"/>
  <c r="F261" i="15" s="1"/>
  <c r="P595" i="12"/>
  <c r="F586" i="15" s="1"/>
  <c r="P259" i="12"/>
  <c r="F250" i="15" s="1"/>
  <c r="O563" i="12"/>
  <c r="E554" i="15" s="1"/>
  <c r="O395" i="12"/>
  <c r="E386" i="15" s="1"/>
  <c r="O227" i="12"/>
  <c r="E218" i="15" s="1"/>
  <c r="D435" i="12"/>
  <c r="C426" i="15" s="1"/>
  <c r="P97" i="12"/>
  <c r="F88" i="15" s="1"/>
  <c r="P96" i="12"/>
  <c r="F87" i="15" s="1"/>
  <c r="P93" i="12"/>
  <c r="F84" i="15" s="1"/>
  <c r="D270" i="12"/>
  <c r="C261" i="15" s="1"/>
  <c r="D595" i="12"/>
  <c r="C586" i="15" s="1"/>
  <c r="D261" i="12"/>
  <c r="C252" i="15" s="1"/>
  <c r="D430" i="12"/>
  <c r="C421" i="15" s="1"/>
  <c r="D438" i="12"/>
  <c r="C429" i="15" s="1"/>
  <c r="D427" i="12"/>
  <c r="C418" i="15" s="1"/>
  <c r="D271" i="12"/>
  <c r="C262" i="15" s="1"/>
  <c r="M600" i="12"/>
  <c r="M264" i="12"/>
  <c r="M432" i="12"/>
  <c r="M597" i="12"/>
  <c r="M429" i="12"/>
  <c r="M261" i="12"/>
  <c r="M603" i="12"/>
  <c r="M435" i="12"/>
  <c r="M267" i="12"/>
  <c r="M608" i="12"/>
  <c r="M272" i="12"/>
  <c r="M440" i="12"/>
  <c r="M594" i="12"/>
  <c r="M426" i="12"/>
  <c r="M258" i="12"/>
  <c r="M602" i="12"/>
  <c r="M434" i="12"/>
  <c r="M266" i="12"/>
  <c r="M599" i="12"/>
  <c r="M431" i="12"/>
  <c r="M263" i="12"/>
  <c r="M605" i="12"/>
  <c r="M437" i="12"/>
  <c r="M269" i="12"/>
  <c r="M596" i="12"/>
  <c r="M260" i="12"/>
  <c r="M428" i="12"/>
  <c r="M604" i="12"/>
  <c r="M436" i="12"/>
  <c r="M268" i="12"/>
  <c r="M425" i="12"/>
  <c r="M593" i="12"/>
  <c r="M257" i="12"/>
  <c r="M601" i="12"/>
  <c r="M433" i="12"/>
  <c r="M265" i="12"/>
  <c r="M607" i="12"/>
  <c r="M439" i="12"/>
  <c r="M271" i="12"/>
  <c r="M598" i="12"/>
  <c r="M430" i="12"/>
  <c r="M262" i="12"/>
  <c r="M606" i="12"/>
  <c r="M438" i="12"/>
  <c r="M270" i="12"/>
  <c r="M595" i="12"/>
  <c r="M427" i="12"/>
  <c r="M259" i="12"/>
  <c r="D115" i="12"/>
  <c r="J120" i="9"/>
  <c r="M115" i="12" s="1"/>
  <c r="G120" i="9"/>
  <c r="J115" i="12" s="1"/>
  <c r="E102" i="12"/>
  <c r="K107" i="9"/>
  <c r="N102" i="12" s="1"/>
  <c r="H107" i="9"/>
  <c r="K102" i="12" s="1"/>
  <c r="E104" i="12"/>
  <c r="K109" i="9"/>
  <c r="N104" i="12" s="1"/>
  <c r="H109" i="9"/>
  <c r="K104" i="12" s="1"/>
  <c r="E98" i="12"/>
  <c r="K103" i="9"/>
  <c r="N98" i="12" s="1"/>
  <c r="H103" i="9"/>
  <c r="K98" i="12" s="1"/>
  <c r="E100" i="12"/>
  <c r="K105" i="9"/>
  <c r="N100" i="12" s="1"/>
  <c r="H105" i="9"/>
  <c r="K100" i="12" s="1"/>
  <c r="D123" i="12"/>
  <c r="J128" i="9"/>
  <c r="M123" i="12" s="1"/>
  <c r="G128" i="9"/>
  <c r="J123" i="12" s="1"/>
  <c r="D27" i="12"/>
  <c r="J32" i="9"/>
  <c r="M27" i="12" s="1"/>
  <c r="G32" i="9"/>
  <c r="J27" i="12" s="1"/>
  <c r="D31" i="12"/>
  <c r="J36" i="9"/>
  <c r="M31" i="12" s="1"/>
  <c r="G36" i="9"/>
  <c r="J31" i="12" s="1"/>
  <c r="I102" i="9"/>
  <c r="L97" i="12" s="1"/>
  <c r="F102" i="9"/>
  <c r="I97" i="12" s="1"/>
  <c r="I104" i="9"/>
  <c r="L99" i="12" s="1"/>
  <c r="F104" i="9"/>
  <c r="I99" i="12" s="1"/>
  <c r="I106" i="9"/>
  <c r="L101" i="12" s="1"/>
  <c r="F106" i="9"/>
  <c r="I101" i="12" s="1"/>
  <c r="I108" i="9"/>
  <c r="L103" i="12" s="1"/>
  <c r="F108" i="9"/>
  <c r="I103" i="12" s="1"/>
  <c r="D265" i="12"/>
  <c r="C256" i="15" s="1"/>
  <c r="J433" i="12"/>
  <c r="J601" i="12"/>
  <c r="J265" i="12"/>
  <c r="J432" i="12"/>
  <c r="J600" i="12"/>
  <c r="J264" i="12"/>
  <c r="J427" i="12"/>
  <c r="J595" i="12"/>
  <c r="J259" i="12"/>
  <c r="D119" i="12"/>
  <c r="J124" i="9"/>
  <c r="M119" i="12" s="1"/>
  <c r="G124" i="9"/>
  <c r="J119" i="12" s="1"/>
  <c r="E94" i="12"/>
  <c r="K99" i="9"/>
  <c r="N94" i="12" s="1"/>
  <c r="H99" i="9"/>
  <c r="K94" i="12" s="1"/>
  <c r="E96" i="12"/>
  <c r="K101" i="9"/>
  <c r="N96" i="12" s="1"/>
  <c r="H101" i="9"/>
  <c r="K96" i="12" s="1"/>
  <c r="E90" i="12"/>
  <c r="K95" i="9"/>
  <c r="N90" i="12" s="1"/>
  <c r="H95" i="9"/>
  <c r="K90" i="12" s="1"/>
  <c r="E92" i="12"/>
  <c r="K97" i="9"/>
  <c r="N92" i="12" s="1"/>
  <c r="H97" i="9"/>
  <c r="K92" i="12" s="1"/>
  <c r="D121" i="12"/>
  <c r="J126" i="9"/>
  <c r="M121" i="12" s="1"/>
  <c r="G126" i="9"/>
  <c r="J121" i="12" s="1"/>
  <c r="D116" i="12"/>
  <c r="J121" i="9"/>
  <c r="M116" i="12" s="1"/>
  <c r="G121" i="9"/>
  <c r="J116" i="12" s="1"/>
  <c r="D120" i="12"/>
  <c r="J125" i="9"/>
  <c r="M120" i="12" s="1"/>
  <c r="G125" i="9"/>
  <c r="J120" i="12" s="1"/>
  <c r="D122" i="12"/>
  <c r="J127" i="9"/>
  <c r="M122" i="12" s="1"/>
  <c r="G127" i="9"/>
  <c r="J122" i="12" s="1"/>
  <c r="D30" i="12"/>
  <c r="J35" i="9"/>
  <c r="M30" i="12" s="1"/>
  <c r="G35" i="9"/>
  <c r="J30" i="12" s="1"/>
  <c r="D26" i="12"/>
  <c r="J31" i="9"/>
  <c r="M26" i="12" s="1"/>
  <c r="G31" i="9"/>
  <c r="J26" i="12" s="1"/>
  <c r="D126" i="12"/>
  <c r="J131" i="9"/>
  <c r="M126" i="12" s="1"/>
  <c r="G131" i="9"/>
  <c r="J126" i="12" s="1"/>
  <c r="D128" i="12"/>
  <c r="J133" i="9"/>
  <c r="M128" i="12" s="1"/>
  <c r="G133" i="9"/>
  <c r="J128" i="12" s="1"/>
  <c r="I94" i="9"/>
  <c r="L89" i="12" s="1"/>
  <c r="F94" i="9"/>
  <c r="I89" i="12" s="1"/>
  <c r="I96" i="9"/>
  <c r="L91" i="12" s="1"/>
  <c r="F96" i="9"/>
  <c r="I91" i="12" s="1"/>
  <c r="I98" i="9"/>
  <c r="L93" i="12" s="1"/>
  <c r="F98" i="9"/>
  <c r="I93" i="12" s="1"/>
  <c r="I100" i="9"/>
  <c r="L95" i="12" s="1"/>
  <c r="F100" i="9"/>
  <c r="I95" i="12" s="1"/>
  <c r="D601" i="12"/>
  <c r="C592" i="15" s="1"/>
  <c r="J603" i="12"/>
  <c r="J267" i="12"/>
  <c r="J435" i="12"/>
  <c r="J440" i="12"/>
  <c r="J272" i="12"/>
  <c r="J608" i="12"/>
  <c r="J594" i="12"/>
  <c r="J258" i="12"/>
  <c r="J426" i="12"/>
  <c r="J266" i="12"/>
  <c r="J434" i="12"/>
  <c r="J602" i="12"/>
  <c r="J261" i="12"/>
  <c r="J429" i="12"/>
  <c r="J597" i="12"/>
  <c r="D117" i="12"/>
  <c r="J122" i="9"/>
  <c r="M117" i="12" s="1"/>
  <c r="G122" i="9"/>
  <c r="J117" i="12" s="1"/>
  <c r="E103" i="12"/>
  <c r="K108" i="9"/>
  <c r="N103" i="12" s="1"/>
  <c r="H108" i="9"/>
  <c r="K103" i="12" s="1"/>
  <c r="E97" i="12"/>
  <c r="K102" i="9"/>
  <c r="N97" i="12" s="1"/>
  <c r="H102" i="9"/>
  <c r="K97" i="12" s="1"/>
  <c r="E99" i="12"/>
  <c r="K104" i="9"/>
  <c r="N99" i="12" s="1"/>
  <c r="H104" i="9"/>
  <c r="K99" i="12" s="1"/>
  <c r="E101" i="12"/>
  <c r="K106" i="9"/>
  <c r="N101" i="12" s="1"/>
  <c r="H106" i="9"/>
  <c r="K101" i="12" s="1"/>
  <c r="D125" i="12"/>
  <c r="J130" i="9"/>
  <c r="M125" i="12" s="1"/>
  <c r="G130" i="9"/>
  <c r="J125" i="12" s="1"/>
  <c r="D29" i="12"/>
  <c r="J34" i="9"/>
  <c r="M29" i="12" s="1"/>
  <c r="G34" i="9"/>
  <c r="J29" i="12" s="1"/>
  <c r="D18" i="12"/>
  <c r="J23" i="9"/>
  <c r="M18" i="12" s="1"/>
  <c r="G23" i="9"/>
  <c r="J18" i="12" s="1"/>
  <c r="I103" i="9"/>
  <c r="L98" i="12" s="1"/>
  <c r="F103" i="9"/>
  <c r="I98" i="12" s="1"/>
  <c r="I105" i="9"/>
  <c r="L100" i="12" s="1"/>
  <c r="F105" i="9"/>
  <c r="I100" i="12" s="1"/>
  <c r="I107" i="9"/>
  <c r="L102" i="12" s="1"/>
  <c r="F107" i="9"/>
  <c r="I102" i="12" s="1"/>
  <c r="I109" i="9"/>
  <c r="L104" i="12" s="1"/>
  <c r="F109" i="9"/>
  <c r="I104" i="12" s="1"/>
  <c r="J269" i="12"/>
  <c r="J437" i="12"/>
  <c r="J605" i="12"/>
  <c r="J596" i="12"/>
  <c r="J428" i="12"/>
  <c r="J260" i="12"/>
  <c r="J436" i="12"/>
  <c r="J604" i="12"/>
  <c r="J268" i="12"/>
  <c r="J263" i="12"/>
  <c r="J599" i="12"/>
  <c r="J431" i="12"/>
  <c r="D113" i="12"/>
  <c r="J118" i="9"/>
  <c r="M113" i="12" s="1"/>
  <c r="G118" i="9"/>
  <c r="J113" i="12" s="1"/>
  <c r="E95" i="12"/>
  <c r="K100" i="9"/>
  <c r="N95" i="12" s="1"/>
  <c r="H100" i="9"/>
  <c r="K95" i="12" s="1"/>
  <c r="E89" i="12"/>
  <c r="K94" i="9"/>
  <c r="N89" i="12" s="1"/>
  <c r="H94" i="9"/>
  <c r="K89" i="12" s="1"/>
  <c r="E91" i="12"/>
  <c r="K96" i="9"/>
  <c r="N91" i="12" s="1"/>
  <c r="H96" i="9"/>
  <c r="K91" i="12" s="1"/>
  <c r="E93" i="12"/>
  <c r="K98" i="9"/>
  <c r="N93" i="12" s="1"/>
  <c r="H98" i="9"/>
  <c r="K93" i="12" s="1"/>
  <c r="D127" i="12"/>
  <c r="J132" i="9"/>
  <c r="M127" i="12" s="1"/>
  <c r="G132" i="9"/>
  <c r="J127" i="12" s="1"/>
  <c r="D118" i="12"/>
  <c r="J123" i="9"/>
  <c r="M118" i="12" s="1"/>
  <c r="G123" i="9"/>
  <c r="J118" i="12" s="1"/>
  <c r="D114" i="12"/>
  <c r="J119" i="9"/>
  <c r="M114" i="12" s="1"/>
  <c r="G119" i="9"/>
  <c r="J114" i="12" s="1"/>
  <c r="D28" i="12"/>
  <c r="J33" i="9"/>
  <c r="M28" i="12" s="1"/>
  <c r="G33" i="9"/>
  <c r="J28" i="12" s="1"/>
  <c r="D32" i="12"/>
  <c r="J37" i="9"/>
  <c r="M32" i="12" s="1"/>
  <c r="G37" i="9"/>
  <c r="J32" i="12" s="1"/>
  <c r="D17" i="12"/>
  <c r="J22" i="9"/>
  <c r="M17" i="12" s="1"/>
  <c r="G22" i="9"/>
  <c r="D124" i="12"/>
  <c r="J129" i="9"/>
  <c r="M124" i="12" s="1"/>
  <c r="G129" i="9"/>
  <c r="J124" i="12" s="1"/>
  <c r="I95" i="9"/>
  <c r="L90" i="12" s="1"/>
  <c r="F95" i="9"/>
  <c r="I90" i="12" s="1"/>
  <c r="I97" i="9"/>
  <c r="L92" i="12" s="1"/>
  <c r="F97" i="9"/>
  <c r="I92" i="12" s="1"/>
  <c r="I99" i="9"/>
  <c r="L94" i="12" s="1"/>
  <c r="F99" i="9"/>
  <c r="I94" i="12" s="1"/>
  <c r="I101" i="9"/>
  <c r="L96" i="12" s="1"/>
  <c r="F101" i="9"/>
  <c r="I96" i="12" s="1"/>
  <c r="J607" i="12"/>
  <c r="J439" i="12"/>
  <c r="J271" i="12"/>
  <c r="J430" i="12"/>
  <c r="J598" i="12"/>
  <c r="J262" i="12"/>
  <c r="J606" i="12"/>
  <c r="J438" i="12"/>
  <c r="J270" i="12"/>
  <c r="J593" i="12"/>
  <c r="J425" i="12"/>
  <c r="J257" i="12"/>
  <c r="D534" i="12"/>
  <c r="C525" i="15" s="1"/>
  <c r="D623" i="12"/>
  <c r="C614" i="15" s="1"/>
  <c r="D455" i="12"/>
  <c r="C446" i="15" s="1"/>
  <c r="E260" i="12"/>
  <c r="D251" i="15" s="1"/>
  <c r="E265" i="12"/>
  <c r="D256" i="15" s="1"/>
  <c r="E267" i="12"/>
  <c r="D258" i="15" s="1"/>
  <c r="D522" i="12"/>
  <c r="C513" i="15" s="1"/>
  <c r="D457" i="12"/>
  <c r="C448" i="15" s="1"/>
  <c r="E427" i="12"/>
  <c r="D418" i="15" s="1"/>
  <c r="D292" i="12"/>
  <c r="C283" i="15" s="1"/>
  <c r="E272" i="12"/>
  <c r="D263" i="15" s="1"/>
  <c r="D195" i="12"/>
  <c r="C186" i="15" s="1"/>
  <c r="D363" i="12"/>
  <c r="C354" i="15" s="1"/>
  <c r="G259" i="12"/>
  <c r="G427" i="12"/>
  <c r="G595" i="12"/>
  <c r="G269" i="12"/>
  <c r="G437" i="12"/>
  <c r="G605" i="12"/>
  <c r="G257" i="12"/>
  <c r="G425" i="12"/>
  <c r="G593" i="12"/>
  <c r="G265" i="12"/>
  <c r="G433" i="12"/>
  <c r="G601" i="12"/>
  <c r="G260" i="12"/>
  <c r="G428" i="12"/>
  <c r="G596" i="12"/>
  <c r="G264" i="12"/>
  <c r="G432" i="12"/>
  <c r="G600" i="12"/>
  <c r="G266" i="12"/>
  <c r="G434" i="12"/>
  <c r="G602" i="12"/>
  <c r="G268" i="12"/>
  <c r="G436" i="12"/>
  <c r="G604" i="12"/>
  <c r="G261" i="12"/>
  <c r="G429" i="12"/>
  <c r="G597" i="12"/>
  <c r="G267" i="12"/>
  <c r="G435" i="12"/>
  <c r="G603" i="12"/>
  <c r="G263" i="12"/>
  <c r="G431" i="12"/>
  <c r="G599" i="12"/>
  <c r="G271" i="12"/>
  <c r="G439" i="12"/>
  <c r="G607" i="12"/>
  <c r="G262" i="12"/>
  <c r="G430" i="12"/>
  <c r="G598" i="12"/>
  <c r="G258" i="12"/>
  <c r="G426" i="12"/>
  <c r="G594" i="12"/>
  <c r="G270" i="12"/>
  <c r="G438" i="12"/>
  <c r="G606" i="12"/>
  <c r="G272" i="12"/>
  <c r="G440" i="12"/>
  <c r="G608" i="12"/>
  <c r="C118" i="9"/>
  <c r="G113" i="12" s="1"/>
  <c r="H125" i="7"/>
  <c r="D107" i="9"/>
  <c r="H102" i="12" s="1"/>
  <c r="D109" i="9"/>
  <c r="H104" i="12" s="1"/>
  <c r="H127" i="7"/>
  <c r="D103" i="9"/>
  <c r="H98" i="12" s="1"/>
  <c r="H121" i="7"/>
  <c r="D105" i="9"/>
  <c r="H100" i="12" s="1"/>
  <c r="H123" i="7"/>
  <c r="C125" i="9"/>
  <c r="G120" i="12" s="1"/>
  <c r="C34" i="9"/>
  <c r="G29" i="12" s="1"/>
  <c r="G148" i="7"/>
  <c r="G172" i="7"/>
  <c r="G76" i="7"/>
  <c r="G52" i="7"/>
  <c r="G161" i="7"/>
  <c r="C23" i="9"/>
  <c r="G18" i="12" s="1"/>
  <c r="G137" i="7"/>
  <c r="G41" i="7"/>
  <c r="G65" i="7"/>
  <c r="C131" i="9"/>
  <c r="G126" i="12" s="1"/>
  <c r="C90" i="12"/>
  <c r="B95" i="9"/>
  <c r="F90" i="12" s="1"/>
  <c r="F113" i="7"/>
  <c r="C92" i="12"/>
  <c r="F115" i="7"/>
  <c r="B97" i="9"/>
  <c r="F92" i="12" s="1"/>
  <c r="C94" i="12"/>
  <c r="F117" i="7"/>
  <c r="B99" i="9"/>
  <c r="F94" i="12" s="1"/>
  <c r="C96" i="12"/>
  <c r="F119" i="7"/>
  <c r="B101" i="9"/>
  <c r="F96" i="12" s="1"/>
  <c r="C122" i="9"/>
  <c r="G117" i="12" s="1"/>
  <c r="D99" i="9"/>
  <c r="H94" i="12" s="1"/>
  <c r="H117" i="7"/>
  <c r="H119" i="7"/>
  <c r="D101" i="9"/>
  <c r="H96" i="12" s="1"/>
  <c r="H113" i="7"/>
  <c r="D95" i="9"/>
  <c r="H90" i="12" s="1"/>
  <c r="H115" i="7"/>
  <c r="D97" i="9"/>
  <c r="H92" i="12" s="1"/>
  <c r="C128" i="9"/>
  <c r="G123" i="12" s="1"/>
  <c r="C119" i="9"/>
  <c r="G114" i="12" s="1"/>
  <c r="C33" i="9"/>
  <c r="G28" i="12" s="1"/>
  <c r="G51" i="7"/>
  <c r="G171" i="7"/>
  <c r="G75" i="7"/>
  <c r="G147" i="7"/>
  <c r="G55" i="7"/>
  <c r="C37" i="9"/>
  <c r="G32" i="12" s="1"/>
  <c r="G175" i="7"/>
  <c r="G151" i="7"/>
  <c r="G79" i="7"/>
  <c r="C22" i="9"/>
  <c r="G136" i="7"/>
  <c r="G64" i="7"/>
  <c r="G160" i="7"/>
  <c r="G40" i="7"/>
  <c r="C97" i="12"/>
  <c r="B102" i="9"/>
  <c r="F97" i="12" s="1"/>
  <c r="F120" i="7"/>
  <c r="C99" i="12"/>
  <c r="B104" i="9"/>
  <c r="F99" i="12" s="1"/>
  <c r="F122" i="7"/>
  <c r="C101" i="12"/>
  <c r="F124" i="7"/>
  <c r="B106" i="9"/>
  <c r="F101" i="12" s="1"/>
  <c r="C103" i="12"/>
  <c r="F126" i="7"/>
  <c r="B108" i="9"/>
  <c r="F103" i="12" s="1"/>
  <c r="H126" i="7"/>
  <c r="D108" i="9"/>
  <c r="H103" i="12" s="1"/>
  <c r="D102" i="9"/>
  <c r="H97" i="12" s="1"/>
  <c r="H120" i="7"/>
  <c r="D104" i="9"/>
  <c r="H99" i="12" s="1"/>
  <c r="H122" i="7"/>
  <c r="H124" i="7"/>
  <c r="D106" i="9"/>
  <c r="H101" i="12" s="1"/>
  <c r="J24" i="6"/>
  <c r="H28" i="7" s="1"/>
  <c r="J27" i="6"/>
  <c r="H31" i="7" s="1"/>
  <c r="J22" i="6"/>
  <c r="H26" i="7" s="1"/>
  <c r="J25" i="6"/>
  <c r="H29" i="7" s="1"/>
  <c r="J12" i="6"/>
  <c r="H16" i="7" s="1"/>
  <c r="J23" i="6"/>
  <c r="H27" i="7" s="1"/>
  <c r="J26" i="6"/>
  <c r="H30" i="7" s="1"/>
  <c r="J13" i="6"/>
  <c r="H17" i="7" s="1"/>
  <c r="J21" i="6"/>
  <c r="H25" i="7" s="1"/>
  <c r="C126" i="9"/>
  <c r="G121" i="12" s="1"/>
  <c r="C132" i="9"/>
  <c r="G127" i="12" s="1"/>
  <c r="C130" i="9"/>
  <c r="G125" i="12" s="1"/>
  <c r="C127" i="9"/>
  <c r="G122" i="12" s="1"/>
  <c r="C32" i="9"/>
  <c r="G27" i="12" s="1"/>
  <c r="G146" i="7"/>
  <c r="G50" i="7"/>
  <c r="G74" i="7"/>
  <c r="G170" i="7"/>
  <c r="G150" i="7"/>
  <c r="C36" i="9"/>
  <c r="G31" i="12" s="1"/>
  <c r="G174" i="7"/>
  <c r="G54" i="7"/>
  <c r="G78" i="7"/>
  <c r="C133" i="9"/>
  <c r="G128" i="12" s="1"/>
  <c r="C89" i="12"/>
  <c r="B94" i="9"/>
  <c r="F89" i="12" s="1"/>
  <c r="F112" i="7"/>
  <c r="C91" i="12"/>
  <c r="F114" i="7"/>
  <c r="B96" i="9"/>
  <c r="F91" i="12" s="1"/>
  <c r="C93" i="12"/>
  <c r="B98" i="9"/>
  <c r="F93" i="12" s="1"/>
  <c r="F116" i="7"/>
  <c r="C95" i="12"/>
  <c r="F118" i="7"/>
  <c r="B100" i="9"/>
  <c r="F95" i="12" s="1"/>
  <c r="C120" i="9"/>
  <c r="G115" i="12" s="1"/>
  <c r="C124" i="9"/>
  <c r="G119" i="12" s="1"/>
  <c r="D100" i="9"/>
  <c r="H95" i="12" s="1"/>
  <c r="H118" i="7"/>
  <c r="H112" i="7"/>
  <c r="D94" i="9"/>
  <c r="H89" i="12" s="1"/>
  <c r="D96" i="9"/>
  <c r="H91" i="12" s="1"/>
  <c r="H114" i="7"/>
  <c r="D98" i="9"/>
  <c r="H93" i="12" s="1"/>
  <c r="H116" i="7"/>
  <c r="C123" i="9"/>
  <c r="G118" i="12" s="1"/>
  <c r="C121" i="9"/>
  <c r="G116" i="12" s="1"/>
  <c r="C35" i="9"/>
  <c r="G30" i="12" s="1"/>
  <c r="G173" i="7"/>
  <c r="G77" i="7"/>
  <c r="G53" i="7"/>
  <c r="G149" i="7"/>
  <c r="G169" i="7"/>
  <c r="C31" i="9"/>
  <c r="G26" i="12" s="1"/>
  <c r="G145" i="7"/>
  <c r="G73" i="7"/>
  <c r="G49" i="7"/>
  <c r="C129" i="9"/>
  <c r="G124" i="12" s="1"/>
  <c r="C98" i="12"/>
  <c r="F121" i="7"/>
  <c r="B103" i="9"/>
  <c r="F98" i="12" s="1"/>
  <c r="C100" i="12"/>
  <c r="F123" i="7"/>
  <c r="B105" i="9"/>
  <c r="F100" i="12" s="1"/>
  <c r="C102" i="12"/>
  <c r="F125" i="7"/>
  <c r="B107" i="9"/>
  <c r="F102" i="12" s="1"/>
  <c r="C104" i="12"/>
  <c r="B109" i="9"/>
  <c r="F104" i="12" s="1"/>
  <c r="F127" i="7"/>
  <c r="H27" i="6"/>
  <c r="F31" i="7" s="1"/>
  <c r="H22" i="6"/>
  <c r="F26" i="7" s="1"/>
  <c r="H25" i="6"/>
  <c r="F29" i="7" s="1"/>
  <c r="H12" i="6"/>
  <c r="F16" i="7" s="1"/>
  <c r="H23" i="6"/>
  <c r="F27" i="7" s="1"/>
  <c r="H26" i="6"/>
  <c r="F30" i="7" s="1"/>
  <c r="H13" i="6"/>
  <c r="F17" i="7" s="1"/>
  <c r="H21" i="6"/>
  <c r="F25" i="7" s="1"/>
  <c r="H24" i="6"/>
  <c r="F28" i="7" s="1"/>
  <c r="AD179" i="4"/>
  <c r="AD171" i="4"/>
  <c r="AD197" i="4"/>
  <c r="AD371" i="4"/>
  <c r="AD354" i="4"/>
  <c r="AD352" i="4"/>
  <c r="AD350" i="4"/>
  <c r="AD348" i="4"/>
  <c r="AD344" i="4"/>
  <c r="AD311" i="4"/>
  <c r="AD286" i="4"/>
  <c r="AD282" i="4"/>
  <c r="AD292" i="4"/>
  <c r="AD290" i="4"/>
  <c r="AD189" i="4"/>
  <c r="AD196" i="4"/>
  <c r="AD208" i="4"/>
  <c r="AD206" i="4"/>
  <c r="AD204" i="4"/>
  <c r="AD191" i="4"/>
  <c r="AD198" i="4"/>
  <c r="AD39" i="4"/>
  <c r="AD98" i="4"/>
  <c r="AD118" i="4"/>
  <c r="AD114" i="4"/>
  <c r="AD105" i="4"/>
  <c r="AD119" i="4"/>
  <c r="AD117" i="4"/>
  <c r="AD115" i="4"/>
  <c r="AD149" i="4"/>
  <c r="AD150" i="4"/>
  <c r="AD279" i="4"/>
  <c r="AD274" i="4"/>
  <c r="AD270" i="4"/>
  <c r="AD266" i="4"/>
  <c r="AD258" i="4"/>
  <c r="AD180" i="4"/>
  <c r="AD172" i="4"/>
  <c r="AD167" i="4"/>
  <c r="AD188" i="4"/>
  <c r="AD186" i="4"/>
  <c r="AD184" i="4"/>
  <c r="AD166" i="4"/>
  <c r="AD164" i="4"/>
  <c r="AD25" i="4"/>
  <c r="AD16" i="4"/>
  <c r="AD18" i="4"/>
  <c r="AD30" i="4"/>
  <c r="AD22" i="4"/>
  <c r="AD15" i="4"/>
  <c r="AD96" i="4"/>
  <c r="AD94" i="4"/>
  <c r="AD92" i="4"/>
  <c r="AD90" i="4"/>
  <c r="AD88" i="4"/>
  <c r="AD86" i="4"/>
  <c r="AD84" i="4"/>
  <c r="AD82" i="4"/>
  <c r="AD81" i="4"/>
  <c r="AD79" i="4"/>
  <c r="AD77" i="4"/>
  <c r="AD75" i="4"/>
  <c r="AD73" i="4"/>
  <c r="AD71" i="4"/>
  <c r="AD69" i="4"/>
  <c r="AD369" i="4"/>
  <c r="AD367" i="4"/>
  <c r="AD365" i="4"/>
  <c r="AD363" i="4"/>
  <c r="AD361" i="4"/>
  <c r="AD359" i="4"/>
  <c r="AD356" i="4"/>
  <c r="AD346" i="4"/>
  <c r="AD309" i="4"/>
  <c r="AD310" i="4"/>
  <c r="AD305" i="4"/>
  <c r="AD287" i="4"/>
  <c r="AD283" i="4"/>
  <c r="AD304" i="4"/>
  <c r="AD302" i="4"/>
  <c r="AD300" i="4"/>
  <c r="AD298" i="4"/>
  <c r="AD296" i="4"/>
  <c r="AD294" i="4"/>
  <c r="AD217" i="4"/>
  <c r="AD194" i="4"/>
  <c r="AD216" i="4"/>
  <c r="AD214" i="4"/>
  <c r="AD212" i="4"/>
  <c r="AD210" i="4"/>
  <c r="AD201" i="4"/>
  <c r="AD340" i="4"/>
  <c r="AD338" i="4"/>
  <c r="AD336" i="4"/>
  <c r="AD334" i="4"/>
  <c r="AD332" i="4"/>
  <c r="AD330" i="4"/>
  <c r="AD328" i="4"/>
  <c r="AD326" i="4"/>
  <c r="AD324" i="4"/>
  <c r="AD322" i="4"/>
  <c r="AD320" i="4"/>
  <c r="AD318" i="4"/>
  <c r="AD316" i="4"/>
  <c r="AD314" i="4"/>
  <c r="AD65" i="4"/>
  <c r="AD63" i="4"/>
  <c r="AD61" i="4"/>
  <c r="AD59" i="4"/>
  <c r="AD57" i="4"/>
  <c r="AD55" i="4"/>
  <c r="AD53" i="4"/>
  <c r="AD51" i="4"/>
  <c r="AD49" i="4"/>
  <c r="AD47" i="4"/>
  <c r="AD45" i="4"/>
  <c r="AD43" i="4"/>
  <c r="AD41" i="4"/>
  <c r="AD220" i="4"/>
  <c r="AD243" i="4"/>
  <c r="AD235" i="4"/>
  <c r="AD227" i="4"/>
  <c r="AD250" i="4"/>
  <c r="AD248" i="4"/>
  <c r="AD246" i="4"/>
  <c r="AD244" i="4"/>
  <c r="AD242" i="4"/>
  <c r="AD240" i="4"/>
  <c r="AD238" i="4"/>
  <c r="AD236" i="4"/>
  <c r="AD234" i="4"/>
  <c r="AD232" i="4"/>
  <c r="AD230" i="4"/>
  <c r="AD228" i="4"/>
  <c r="AD226" i="4"/>
  <c r="AD224" i="4"/>
  <c r="AD222" i="4"/>
  <c r="AD125" i="4"/>
  <c r="AD121" i="4"/>
  <c r="AD103" i="4"/>
  <c r="AD104" i="4"/>
  <c r="AD126" i="4"/>
  <c r="AD124" i="4"/>
  <c r="AD156" i="4"/>
  <c r="AD152" i="4"/>
  <c r="AD144" i="4"/>
  <c r="AD142" i="4"/>
  <c r="AD140" i="4"/>
  <c r="AD138" i="4"/>
  <c r="AD135" i="4"/>
  <c r="AD133" i="4"/>
  <c r="AD131" i="4"/>
  <c r="AD129" i="4"/>
  <c r="AD158" i="4"/>
  <c r="AD259" i="4"/>
  <c r="AD275" i="4"/>
  <c r="AD271" i="4"/>
  <c r="AD267" i="4"/>
  <c r="AD263" i="4"/>
  <c r="AD261" i="4"/>
  <c r="AD280" i="4"/>
  <c r="AD262" i="4"/>
  <c r="AD256" i="4"/>
  <c r="AD181" i="4"/>
  <c r="AD173" i="4"/>
  <c r="AD182" i="4"/>
  <c r="AD174" i="4"/>
  <c r="AD161" i="4"/>
  <c r="AD37" i="4"/>
  <c r="AD35" i="4"/>
  <c r="AD33" i="4"/>
  <c r="AD8" i="4"/>
  <c r="AD31" i="4"/>
  <c r="AD23" i="4"/>
  <c r="AD10" i="4"/>
  <c r="AD19" i="4"/>
  <c r="AD28" i="4"/>
  <c r="AD372" i="4"/>
  <c r="AD353" i="4"/>
  <c r="AD351" i="4"/>
  <c r="AD349" i="4"/>
  <c r="AD347" i="4"/>
  <c r="AD345" i="4"/>
  <c r="AD343" i="4"/>
  <c r="AD307" i="4"/>
  <c r="AD308" i="4"/>
  <c r="AD288" i="4"/>
  <c r="AD284" i="4"/>
  <c r="AD293" i="4"/>
  <c r="AD291" i="4"/>
  <c r="AD289" i="4"/>
  <c r="AD218" i="4"/>
  <c r="AD192" i="4"/>
  <c r="AD199" i="4"/>
  <c r="AD209" i="4"/>
  <c r="AD207" i="4"/>
  <c r="AD205" i="4"/>
  <c r="AD203" i="4"/>
  <c r="AD195" i="4"/>
  <c r="AD202" i="4"/>
  <c r="AD109" i="4"/>
  <c r="AD101" i="4"/>
  <c r="AD120" i="4"/>
  <c r="AD116" i="4"/>
  <c r="AD106" i="4"/>
  <c r="AD110" i="4"/>
  <c r="AD102" i="4"/>
  <c r="AD113" i="4"/>
  <c r="AD153" i="4"/>
  <c r="AD145" i="4"/>
  <c r="AD154" i="4"/>
  <c r="AD146" i="4"/>
  <c r="AD151" i="4"/>
  <c r="AD251" i="4"/>
  <c r="AD278" i="4"/>
  <c r="AD276" i="4"/>
  <c r="AD272" i="4"/>
  <c r="AD268" i="4"/>
  <c r="AD264" i="4"/>
  <c r="AD253" i="4"/>
  <c r="AD254" i="4"/>
  <c r="AD183" i="4"/>
  <c r="AD175" i="4"/>
  <c r="AD159" i="4"/>
  <c r="AD176" i="4"/>
  <c r="AD168" i="4"/>
  <c r="AD187" i="4"/>
  <c r="AD185" i="4"/>
  <c r="AD165" i="4"/>
  <c r="AD163" i="4"/>
  <c r="AD29" i="4"/>
  <c r="AD12" i="4"/>
  <c r="AD20" i="4"/>
  <c r="AD26" i="4"/>
  <c r="AD11" i="4"/>
  <c r="AD9" i="4"/>
  <c r="AD97" i="4"/>
  <c r="AD95" i="4"/>
  <c r="AD93" i="4"/>
  <c r="AD91" i="4"/>
  <c r="AD89" i="4"/>
  <c r="AD87" i="4"/>
  <c r="AD85" i="4"/>
  <c r="AD83" i="4"/>
  <c r="AD67" i="4"/>
  <c r="AD80" i="4"/>
  <c r="AD78" i="4"/>
  <c r="AD76" i="4"/>
  <c r="AD74" i="4"/>
  <c r="AD72" i="4"/>
  <c r="AD70" i="4"/>
  <c r="AD68" i="4"/>
  <c r="AD342" i="4"/>
  <c r="AD370" i="4"/>
  <c r="AD368" i="4"/>
  <c r="AD366" i="4"/>
  <c r="AD364" i="4"/>
  <c r="AD362" i="4"/>
  <c r="AD360" i="4"/>
  <c r="AD358" i="4"/>
  <c r="AD357" i="4"/>
  <c r="AD355" i="4"/>
  <c r="AD306" i="4"/>
  <c r="AD285" i="4"/>
  <c r="AD303" i="4"/>
  <c r="AD301" i="4"/>
  <c r="AD299" i="4"/>
  <c r="AD297" i="4"/>
  <c r="AD295" i="4"/>
  <c r="AD281" i="4"/>
  <c r="AD219" i="4"/>
  <c r="AD190" i="4"/>
  <c r="AD215" i="4"/>
  <c r="AD213" i="4"/>
  <c r="AD211" i="4"/>
  <c r="AD193" i="4"/>
  <c r="AD200" i="4"/>
  <c r="AD341" i="4"/>
  <c r="AD339" i="4"/>
  <c r="AD337" i="4"/>
  <c r="AD335" i="4"/>
  <c r="AD333" i="4"/>
  <c r="AD312" i="4"/>
  <c r="AD331" i="4"/>
  <c r="AD329" i="4"/>
  <c r="AD327" i="4"/>
  <c r="AD325" i="4"/>
  <c r="AD323" i="4"/>
  <c r="AD321" i="4"/>
  <c r="AD319" i="4"/>
  <c r="AD317" i="4"/>
  <c r="AD315" i="4"/>
  <c r="AD313" i="4"/>
  <c r="AD66" i="4"/>
  <c r="AD64" i="4"/>
  <c r="AD62" i="4"/>
  <c r="AD60" i="4"/>
  <c r="AD58" i="4"/>
  <c r="AD56" i="4"/>
  <c r="AD54" i="4"/>
  <c r="AD52" i="4"/>
  <c r="AD50" i="4"/>
  <c r="AD48" i="4"/>
  <c r="AD46" i="4"/>
  <c r="AD44" i="4"/>
  <c r="AD42" i="4"/>
  <c r="AD40" i="4"/>
  <c r="AD249" i="4"/>
  <c r="AD247" i="4"/>
  <c r="AD245" i="4"/>
  <c r="AD241" i="4"/>
  <c r="AD239" i="4"/>
  <c r="AD237" i="4"/>
  <c r="AD233" i="4"/>
  <c r="AD231" i="4"/>
  <c r="AD229" i="4"/>
  <c r="AD225" i="4"/>
  <c r="AD223" i="4"/>
  <c r="AD221" i="4"/>
  <c r="AD122" i="4"/>
  <c r="AD127" i="4"/>
  <c r="AD123" i="4"/>
  <c r="AD107" i="4"/>
  <c r="AD99" i="4"/>
  <c r="AD112" i="4"/>
  <c r="AD108" i="4"/>
  <c r="AD100" i="4"/>
  <c r="AD111" i="4"/>
  <c r="AD128" i="4"/>
  <c r="AD147" i="4"/>
  <c r="AD155" i="4"/>
  <c r="AD148" i="4"/>
  <c r="AD143" i="4"/>
  <c r="AD141" i="4"/>
  <c r="AD139" i="4"/>
  <c r="AD137" i="4"/>
  <c r="AD136" i="4"/>
  <c r="AD134" i="4"/>
  <c r="AD132" i="4"/>
  <c r="AD130" i="4"/>
  <c r="AD157" i="4"/>
  <c r="AD257" i="4"/>
  <c r="AD277" i="4"/>
  <c r="AD273" i="4"/>
  <c r="AD269" i="4"/>
  <c r="AD265" i="4"/>
  <c r="AD255" i="4"/>
  <c r="AD260" i="4"/>
  <c r="AD252" i="4"/>
  <c r="AD177" i="4"/>
  <c r="AD169" i="4"/>
  <c r="AD170" i="4"/>
  <c r="AD178" i="4"/>
  <c r="AD162" i="4"/>
  <c r="AD160" i="4"/>
  <c r="AD38" i="4"/>
  <c r="AD36" i="4"/>
  <c r="AD34" i="4"/>
  <c r="AD27" i="4"/>
  <c r="AD14" i="4"/>
  <c r="AD21" i="4"/>
  <c r="AD17" i="4"/>
  <c r="AD32" i="4"/>
  <c r="AD24" i="4"/>
  <c r="AD13" i="4"/>
  <c r="D196" i="12" l="1"/>
  <c r="C187" i="15" s="1"/>
  <c r="C19" i="15"/>
  <c r="E261" i="12"/>
  <c r="D252" i="15" s="1"/>
  <c r="D84" i="15"/>
  <c r="E437" i="12"/>
  <c r="D428" i="15" s="1"/>
  <c r="D92" i="15"/>
  <c r="D285" i="12"/>
  <c r="C276" i="15" s="1"/>
  <c r="C108" i="15"/>
  <c r="D366" i="12"/>
  <c r="C357" i="15" s="1"/>
  <c r="C21" i="15"/>
  <c r="E262" i="12"/>
  <c r="D253" i="15" s="1"/>
  <c r="D85" i="15"/>
  <c r="D367" i="12"/>
  <c r="C358" i="15" s="1"/>
  <c r="C22" i="15"/>
  <c r="E266" i="12"/>
  <c r="D257" i="15" s="1"/>
  <c r="D89" i="15"/>
  <c r="C272" i="12"/>
  <c r="B263" i="15" s="1"/>
  <c r="B95" i="15"/>
  <c r="C257" i="12"/>
  <c r="B248" i="15" s="1"/>
  <c r="B80" i="15"/>
  <c r="C265" i="12"/>
  <c r="B256" i="15" s="1"/>
  <c r="B88" i="15"/>
  <c r="C262" i="12"/>
  <c r="B253" i="15" s="1"/>
  <c r="B85" i="15"/>
  <c r="D199" i="12"/>
  <c r="C190" i="15" s="1"/>
  <c r="D200" i="12"/>
  <c r="C191" i="15" s="1"/>
  <c r="C23" i="15"/>
  <c r="D631" i="12"/>
  <c r="C622" i="15" s="1"/>
  <c r="C118" i="15"/>
  <c r="E431" i="12"/>
  <c r="D422" i="15" s="1"/>
  <c r="D86" i="15"/>
  <c r="D293" i="12"/>
  <c r="C284" i="15" s="1"/>
  <c r="C116" i="15"/>
  <c r="E607" i="12"/>
  <c r="D598" i="15" s="1"/>
  <c r="D94" i="15"/>
  <c r="D362" i="12"/>
  <c r="C353" i="15" s="1"/>
  <c r="C17" i="15"/>
  <c r="D620" i="12"/>
  <c r="C611" i="15" s="1"/>
  <c r="C107" i="15"/>
  <c r="E432" i="12"/>
  <c r="D423" i="15" s="1"/>
  <c r="D87" i="15"/>
  <c r="E436" i="12"/>
  <c r="D427" i="15" s="1"/>
  <c r="D91" i="15"/>
  <c r="D451" i="12"/>
  <c r="C442" i="15" s="1"/>
  <c r="C106" i="15"/>
  <c r="D449" i="12"/>
  <c r="C440" i="15" s="1"/>
  <c r="C104" i="15"/>
  <c r="D289" i="12"/>
  <c r="C280" i="15" s="1"/>
  <c r="C112" i="15"/>
  <c r="C266" i="12"/>
  <c r="B257" i="15" s="1"/>
  <c r="B89" i="15"/>
  <c r="C259" i="12"/>
  <c r="B250" i="15" s="1"/>
  <c r="B82" i="15"/>
  <c r="C267" i="12"/>
  <c r="B258" i="15" s="1"/>
  <c r="B90" i="15"/>
  <c r="C264" i="12"/>
  <c r="B255" i="15" s="1"/>
  <c r="B87" i="15"/>
  <c r="D353" i="12"/>
  <c r="C344" i="15" s="1"/>
  <c r="C8" i="15"/>
  <c r="D286" i="12"/>
  <c r="C277" i="15" s="1"/>
  <c r="C109" i="15"/>
  <c r="D197" i="12"/>
  <c r="C188" i="15" s="1"/>
  <c r="C20" i="15"/>
  <c r="E601" i="12"/>
  <c r="D592" i="15" s="1"/>
  <c r="D88" i="15"/>
  <c r="D630" i="12"/>
  <c r="C621" i="15" s="1"/>
  <c r="C117" i="15"/>
  <c r="D624" i="12"/>
  <c r="C615" i="15" s="1"/>
  <c r="C111" i="15"/>
  <c r="E594" i="12"/>
  <c r="D585" i="15" s="1"/>
  <c r="D81" i="15"/>
  <c r="D459" i="12"/>
  <c r="C450" i="15" s="1"/>
  <c r="C114" i="15"/>
  <c r="E438" i="12"/>
  <c r="D429" i="15" s="1"/>
  <c r="D93" i="15"/>
  <c r="C270" i="12"/>
  <c r="B261" i="15" s="1"/>
  <c r="B93" i="15"/>
  <c r="C263" i="12"/>
  <c r="B254" i="15" s="1"/>
  <c r="B86" i="15"/>
  <c r="C271" i="12"/>
  <c r="B262" i="15" s="1"/>
  <c r="B94" i="15"/>
  <c r="C260" i="12"/>
  <c r="B251" i="15" s="1"/>
  <c r="B83" i="15"/>
  <c r="E269" i="12"/>
  <c r="D260" i="15" s="1"/>
  <c r="E593" i="12"/>
  <c r="D584" i="15" s="1"/>
  <c r="D80" i="15"/>
  <c r="C268" i="12"/>
  <c r="B259" i="15" s="1"/>
  <c r="B91" i="15"/>
  <c r="C261" i="12"/>
  <c r="B252" i="15" s="1"/>
  <c r="B84" i="15"/>
  <c r="C269" i="12"/>
  <c r="B260" i="15" s="1"/>
  <c r="B92" i="15"/>
  <c r="C258" i="12"/>
  <c r="B249" i="15" s="1"/>
  <c r="B81" i="15"/>
  <c r="E263" i="12"/>
  <c r="D254" i="15" s="1"/>
  <c r="D628" i="12"/>
  <c r="C619" i="15" s="1"/>
  <c r="C115" i="15"/>
  <c r="D450" i="12"/>
  <c r="C441" i="15" s="1"/>
  <c r="C105" i="15"/>
  <c r="E259" i="12"/>
  <c r="D250" i="15" s="1"/>
  <c r="D82" i="15"/>
  <c r="D354" i="12"/>
  <c r="C345" i="15" s="1"/>
  <c r="C9" i="15"/>
  <c r="E603" i="12"/>
  <c r="D594" i="15" s="1"/>
  <c r="D90" i="15"/>
  <c r="D464" i="12"/>
  <c r="C455" i="15" s="1"/>
  <c r="C119" i="15"/>
  <c r="D458" i="12"/>
  <c r="C449" i="15" s="1"/>
  <c r="C113" i="15"/>
  <c r="E428" i="12"/>
  <c r="D419" i="15" s="1"/>
  <c r="D83" i="15"/>
  <c r="D287" i="12"/>
  <c r="C278" i="15" s="1"/>
  <c r="C110" i="15"/>
  <c r="D531" i="12"/>
  <c r="C522" i="15" s="1"/>
  <c r="C18" i="15"/>
  <c r="E440" i="12"/>
  <c r="D431" i="15" s="1"/>
  <c r="D95" i="15"/>
  <c r="P262" i="12"/>
  <c r="F253" i="15" s="1"/>
  <c r="P607" i="12"/>
  <c r="F598" i="15" s="1"/>
  <c r="P438" i="12"/>
  <c r="F429" i="15" s="1"/>
  <c r="P427" i="12"/>
  <c r="F418" i="15" s="1"/>
  <c r="P606" i="12"/>
  <c r="F597" i="15" s="1"/>
  <c r="P437" i="12"/>
  <c r="F428" i="15" s="1"/>
  <c r="P440" i="12"/>
  <c r="F431" i="15" s="1"/>
  <c r="P605" i="12"/>
  <c r="F596" i="15" s="1"/>
  <c r="P596" i="12"/>
  <c r="F587" i="15" s="1"/>
  <c r="F83" i="15"/>
  <c r="P272" i="12"/>
  <c r="F263" i="15" s="1"/>
  <c r="F95" i="15"/>
  <c r="P267" i="12"/>
  <c r="F258" i="15" s="1"/>
  <c r="F90" i="15"/>
  <c r="P260" i="12"/>
  <c r="F251" i="15" s="1"/>
  <c r="P435" i="12"/>
  <c r="F426" i="15" s="1"/>
  <c r="P425" i="12"/>
  <c r="F416" i="15" s="1"/>
  <c r="F80" i="15"/>
  <c r="P263" i="12"/>
  <c r="F254" i="15" s="1"/>
  <c r="F86" i="15"/>
  <c r="P269" i="12"/>
  <c r="F260" i="15" s="1"/>
  <c r="P603" i="12"/>
  <c r="F594" i="15" s="1"/>
  <c r="P604" i="12"/>
  <c r="F595" i="15" s="1"/>
  <c r="F91" i="15"/>
  <c r="P594" i="12"/>
  <c r="F585" i="15" s="1"/>
  <c r="F81" i="15"/>
  <c r="P602" i="12"/>
  <c r="F593" i="15" s="1"/>
  <c r="F89" i="15"/>
  <c r="E595" i="12"/>
  <c r="D586" i="15" s="1"/>
  <c r="D618" i="12"/>
  <c r="C609" i="15" s="1"/>
  <c r="P257" i="12"/>
  <c r="F248" i="15" s="1"/>
  <c r="P431" i="12"/>
  <c r="F422" i="15" s="1"/>
  <c r="E434" i="12"/>
  <c r="D425" i="15" s="1"/>
  <c r="P593" i="12"/>
  <c r="F584" i="15" s="1"/>
  <c r="E429" i="12"/>
  <c r="D420" i="15" s="1"/>
  <c r="D625" i="12"/>
  <c r="C616" i="15" s="1"/>
  <c r="D453" i="12"/>
  <c r="C444" i="15" s="1"/>
  <c r="D535" i="12"/>
  <c r="C526" i="15" s="1"/>
  <c r="E602" i="12"/>
  <c r="D593" i="15" s="1"/>
  <c r="D364" i="12"/>
  <c r="C355" i="15" s="1"/>
  <c r="E597" i="12"/>
  <c r="D588" i="15" s="1"/>
  <c r="D617" i="12"/>
  <c r="C608" i="15" s="1"/>
  <c r="E605" i="12"/>
  <c r="D596" i="15" s="1"/>
  <c r="D621" i="12"/>
  <c r="C612" i="15" s="1"/>
  <c r="E598" i="12"/>
  <c r="D589" i="15" s="1"/>
  <c r="D198" i="12"/>
  <c r="C189" i="15" s="1"/>
  <c r="P266" i="12"/>
  <c r="F257" i="15" s="1"/>
  <c r="E430" i="12"/>
  <c r="D421" i="15" s="1"/>
  <c r="D532" i="12"/>
  <c r="C523" i="15" s="1"/>
  <c r="D281" i="12"/>
  <c r="C272" i="15" s="1"/>
  <c r="O94" i="12"/>
  <c r="O598" i="12" s="1"/>
  <c r="E589" i="15" s="1"/>
  <c r="O90" i="12"/>
  <c r="P32" i="12"/>
  <c r="F23" i="15" s="1"/>
  <c r="P127" i="12"/>
  <c r="F118" i="15" s="1"/>
  <c r="Q95" i="12"/>
  <c r="Q599" i="12" s="1"/>
  <c r="G590" i="15" s="1"/>
  <c r="O102" i="12"/>
  <c r="O98" i="12"/>
  <c r="E89" i="15" s="1"/>
  <c r="P125" i="12"/>
  <c r="F116" i="15" s="1"/>
  <c r="Q103" i="12"/>
  <c r="Q607" i="12" s="1"/>
  <c r="G598" i="15" s="1"/>
  <c r="O93" i="12"/>
  <c r="O89" i="12"/>
  <c r="E80" i="15" s="1"/>
  <c r="P26" i="12"/>
  <c r="F17" i="15" s="1"/>
  <c r="P116" i="12"/>
  <c r="P620" i="12" s="1"/>
  <c r="F611" i="15" s="1"/>
  <c r="Q96" i="12"/>
  <c r="Q100" i="12"/>
  <c r="G91" i="15" s="1"/>
  <c r="P115" i="12"/>
  <c r="F106" i="15" s="1"/>
  <c r="P428" i="12"/>
  <c r="F419" i="15" s="1"/>
  <c r="P599" i="12"/>
  <c r="F590" i="15" s="1"/>
  <c r="D368" i="12"/>
  <c r="C359" i="15" s="1"/>
  <c r="P268" i="12"/>
  <c r="F259" i="15" s="1"/>
  <c r="P426" i="12"/>
  <c r="F417" i="15" s="1"/>
  <c r="E608" i="12"/>
  <c r="D599" i="15" s="1"/>
  <c r="D632" i="12"/>
  <c r="C623" i="15" s="1"/>
  <c r="D626" i="12"/>
  <c r="C617" i="15" s="1"/>
  <c r="P436" i="12"/>
  <c r="F427" i="15" s="1"/>
  <c r="E606" i="12"/>
  <c r="D597" i="15" s="1"/>
  <c r="O96" i="12"/>
  <c r="E87" i="15" s="1"/>
  <c r="O92" i="12"/>
  <c r="E83" i="15" s="1"/>
  <c r="P124" i="12"/>
  <c r="P628" i="12" s="1"/>
  <c r="F619" i="15" s="1"/>
  <c r="P114" i="12"/>
  <c r="Q91" i="12"/>
  <c r="G82" i="15" s="1"/>
  <c r="O104" i="12"/>
  <c r="E95" i="15" s="1"/>
  <c r="O100" i="12"/>
  <c r="O268" i="12" s="1"/>
  <c r="E259" i="15" s="1"/>
  <c r="P18" i="12"/>
  <c r="Q99" i="12"/>
  <c r="G90" i="15" s="1"/>
  <c r="O95" i="12"/>
  <c r="E86" i="15" s="1"/>
  <c r="O91" i="12"/>
  <c r="O595" i="12" s="1"/>
  <c r="E586" i="15" s="1"/>
  <c r="Q92" i="12"/>
  <c r="P119" i="12"/>
  <c r="F110" i="15" s="1"/>
  <c r="P27" i="12"/>
  <c r="F18" i="15" s="1"/>
  <c r="Q104" i="12"/>
  <c r="Q608" i="12" s="1"/>
  <c r="G599" i="15" s="1"/>
  <c r="D619" i="12"/>
  <c r="C610" i="15" s="1"/>
  <c r="E426" i="12"/>
  <c r="D417" i="15" s="1"/>
  <c r="D627" i="12"/>
  <c r="C618" i="15" s="1"/>
  <c r="D530" i="12"/>
  <c r="C521" i="15" s="1"/>
  <c r="P118" i="12"/>
  <c r="P126" i="12"/>
  <c r="F117" i="15" s="1"/>
  <c r="P120" i="12"/>
  <c r="P288" i="12" s="1"/>
  <c r="F279" i="15" s="1"/>
  <c r="Q90" i="12"/>
  <c r="O101" i="12"/>
  <c r="O97" i="12"/>
  <c r="E88" i="15" s="1"/>
  <c r="P123" i="12"/>
  <c r="P459" i="12" s="1"/>
  <c r="F450" i="15" s="1"/>
  <c r="Q102" i="12"/>
  <c r="O594" i="12"/>
  <c r="E585" i="15" s="1"/>
  <c r="P536" i="12"/>
  <c r="F527" i="15" s="1"/>
  <c r="P631" i="12"/>
  <c r="F622" i="15" s="1"/>
  <c r="O438" i="12"/>
  <c r="E429" i="15" s="1"/>
  <c r="O434" i="12"/>
  <c r="E425" i="15" s="1"/>
  <c r="P629" i="12"/>
  <c r="F620" i="15" s="1"/>
  <c r="O261" i="12"/>
  <c r="E252" i="15" s="1"/>
  <c r="P530" i="12"/>
  <c r="F521" i="15" s="1"/>
  <c r="P194" i="12"/>
  <c r="F185" i="15" s="1"/>
  <c r="Q432" i="12"/>
  <c r="G423" i="15" s="1"/>
  <c r="P619" i="12"/>
  <c r="F610" i="15" s="1"/>
  <c r="P451" i="12"/>
  <c r="F442" i="15" s="1"/>
  <c r="P283" i="12"/>
  <c r="F274" i="15" s="1"/>
  <c r="P601" i="12"/>
  <c r="F592" i="15" s="1"/>
  <c r="P265" i="12"/>
  <c r="F256" i="15" s="1"/>
  <c r="P433" i="12"/>
  <c r="F424" i="15" s="1"/>
  <c r="Q89" i="12"/>
  <c r="G80" i="15" s="1"/>
  <c r="P29" i="12"/>
  <c r="F20" i="15" s="1"/>
  <c r="Q97" i="12"/>
  <c r="G88" i="15" s="1"/>
  <c r="P630" i="12"/>
  <c r="F621" i="15" s="1"/>
  <c r="Q594" i="12"/>
  <c r="G585" i="15" s="1"/>
  <c r="O269" i="12"/>
  <c r="E260" i="15" s="1"/>
  <c r="O433" i="12"/>
  <c r="E424" i="15" s="1"/>
  <c r="O264" i="12"/>
  <c r="E255" i="15" s="1"/>
  <c r="O260" i="12"/>
  <c r="E251" i="15" s="1"/>
  <c r="O428" i="12"/>
  <c r="E419" i="15" s="1"/>
  <c r="Q259" i="12"/>
  <c r="G250" i="15" s="1"/>
  <c r="O272" i="12"/>
  <c r="E263" i="15" s="1"/>
  <c r="O436" i="12"/>
  <c r="E427" i="15" s="1"/>
  <c r="O431" i="12"/>
  <c r="E422" i="15" s="1"/>
  <c r="O263" i="12"/>
  <c r="E254" i="15" s="1"/>
  <c r="P128" i="12"/>
  <c r="F119" i="15" s="1"/>
  <c r="P122" i="12"/>
  <c r="F113" i="15" s="1"/>
  <c r="P623" i="12"/>
  <c r="F614" i="15" s="1"/>
  <c r="P363" i="12"/>
  <c r="F354" i="15" s="1"/>
  <c r="P195" i="12"/>
  <c r="F186" i="15" s="1"/>
  <c r="P597" i="12"/>
  <c r="F588" i="15" s="1"/>
  <c r="P261" i="12"/>
  <c r="F252" i="15" s="1"/>
  <c r="P429" i="12"/>
  <c r="F420" i="15" s="1"/>
  <c r="P28" i="12"/>
  <c r="F19" i="15" s="1"/>
  <c r="Q93" i="12"/>
  <c r="G84" i="15" s="1"/>
  <c r="P113" i="12"/>
  <c r="F104" i="15" s="1"/>
  <c r="Q101" i="12"/>
  <c r="G92" i="15" s="1"/>
  <c r="P117" i="12"/>
  <c r="F108" i="15" s="1"/>
  <c r="P30" i="12"/>
  <c r="F21" i="15" s="1"/>
  <c r="P121" i="12"/>
  <c r="F112" i="15" s="1"/>
  <c r="Q94" i="12"/>
  <c r="G85" i="15" s="1"/>
  <c r="O103" i="12"/>
  <c r="E94" i="15" s="1"/>
  <c r="O99" i="12"/>
  <c r="E90" i="15" s="1"/>
  <c r="P31" i="12"/>
  <c r="F22" i="15" s="1"/>
  <c r="Q98" i="12"/>
  <c r="G89" i="15" s="1"/>
  <c r="P600" i="12"/>
  <c r="F591" i="15" s="1"/>
  <c r="P432" i="12"/>
  <c r="F423" i="15" s="1"/>
  <c r="P264" i="12"/>
  <c r="F255" i="15" s="1"/>
  <c r="D295" i="12"/>
  <c r="C286" i="15" s="1"/>
  <c r="D461" i="12"/>
  <c r="C452" i="15" s="1"/>
  <c r="D284" i="12"/>
  <c r="C275" i="15" s="1"/>
  <c r="E604" i="12"/>
  <c r="D595" i="15" s="1"/>
  <c r="D283" i="12"/>
  <c r="C274" i="15" s="1"/>
  <c r="D185" i="12"/>
  <c r="C176" i="15" s="1"/>
  <c r="D463" i="12"/>
  <c r="C454" i="15" s="1"/>
  <c r="E599" i="12"/>
  <c r="D590" i="15" s="1"/>
  <c r="E600" i="12"/>
  <c r="D591" i="15" s="1"/>
  <c r="D629" i="12"/>
  <c r="C620" i="15" s="1"/>
  <c r="E439" i="12"/>
  <c r="D430" i="15" s="1"/>
  <c r="D194" i="12"/>
  <c r="C185" i="15" s="1"/>
  <c r="D452" i="12"/>
  <c r="C443" i="15" s="1"/>
  <c r="E268" i="12"/>
  <c r="D259" i="15" s="1"/>
  <c r="D536" i="12"/>
  <c r="C527" i="15" s="1"/>
  <c r="E264" i="12"/>
  <c r="D255" i="15" s="1"/>
  <c r="E271" i="12"/>
  <c r="D262" i="15" s="1"/>
  <c r="D454" i="12"/>
  <c r="C445" i="15" s="1"/>
  <c r="E433" i="12"/>
  <c r="D424" i="15" s="1"/>
  <c r="D294" i="12"/>
  <c r="C285" i="15" s="1"/>
  <c r="D460" i="12"/>
  <c r="C451" i="15" s="1"/>
  <c r="D282" i="12"/>
  <c r="C273" i="15" s="1"/>
  <c r="E257" i="12"/>
  <c r="D248" i="15" s="1"/>
  <c r="E258" i="12"/>
  <c r="D249" i="15" s="1"/>
  <c r="D186" i="12"/>
  <c r="C177" i="15" s="1"/>
  <c r="D533" i="12"/>
  <c r="C524" i="15" s="1"/>
  <c r="E435" i="12"/>
  <c r="D426" i="15" s="1"/>
  <c r="E596" i="12"/>
  <c r="D587" i="15" s="1"/>
  <c r="D296" i="12"/>
  <c r="C287" i="15" s="1"/>
  <c r="D462" i="12"/>
  <c r="C453" i="15" s="1"/>
  <c r="D290" i="12"/>
  <c r="C281" i="15" s="1"/>
  <c r="D456" i="12"/>
  <c r="C447" i="15" s="1"/>
  <c r="D291" i="12"/>
  <c r="C282" i="15" s="1"/>
  <c r="E270" i="12"/>
  <c r="D261" i="15" s="1"/>
  <c r="D365" i="12"/>
  <c r="C356" i="15" s="1"/>
  <c r="D288" i="12"/>
  <c r="C279" i="15" s="1"/>
  <c r="E425" i="12"/>
  <c r="D416" i="15" s="1"/>
  <c r="L600" i="12"/>
  <c r="L432" i="12"/>
  <c r="L264" i="12"/>
  <c r="L596" i="12"/>
  <c r="L428" i="12"/>
  <c r="L260" i="12"/>
  <c r="M292" i="12"/>
  <c r="M628" i="12"/>
  <c r="M460" i="12"/>
  <c r="M450" i="12"/>
  <c r="M618" i="12"/>
  <c r="M282" i="12"/>
  <c r="N595" i="12"/>
  <c r="N427" i="12"/>
  <c r="N259" i="12"/>
  <c r="L608" i="12"/>
  <c r="L440" i="12"/>
  <c r="L272" i="12"/>
  <c r="L436" i="12"/>
  <c r="L604" i="12"/>
  <c r="L268" i="12"/>
  <c r="M522" i="12"/>
  <c r="M354" i="12"/>
  <c r="M186" i="12"/>
  <c r="N603" i="12"/>
  <c r="N435" i="12"/>
  <c r="N267" i="12"/>
  <c r="L599" i="12"/>
  <c r="L431" i="12"/>
  <c r="L263" i="12"/>
  <c r="L595" i="12"/>
  <c r="L259" i="12"/>
  <c r="L427" i="12"/>
  <c r="M632" i="12"/>
  <c r="M296" i="12"/>
  <c r="M464" i="12"/>
  <c r="M626" i="12"/>
  <c r="M458" i="12"/>
  <c r="M290" i="12"/>
  <c r="N596" i="12"/>
  <c r="N428" i="12"/>
  <c r="N260" i="12"/>
  <c r="M623" i="12"/>
  <c r="M455" i="12"/>
  <c r="M287" i="12"/>
  <c r="M531" i="12"/>
  <c r="M363" i="12"/>
  <c r="M195" i="12"/>
  <c r="N608" i="12"/>
  <c r="N440" i="12"/>
  <c r="N272" i="12"/>
  <c r="M532" i="12"/>
  <c r="M364" i="12"/>
  <c r="M196" i="12"/>
  <c r="N597" i="12"/>
  <c r="N261" i="12"/>
  <c r="N429" i="12"/>
  <c r="M617" i="12"/>
  <c r="M449" i="12"/>
  <c r="M281" i="12"/>
  <c r="N605" i="12"/>
  <c r="N269" i="12"/>
  <c r="N437" i="12"/>
  <c r="M621" i="12"/>
  <c r="M453" i="12"/>
  <c r="M285" i="12"/>
  <c r="M534" i="12"/>
  <c r="M366" i="12"/>
  <c r="M198" i="12"/>
  <c r="M457" i="12"/>
  <c r="M625" i="12"/>
  <c r="M289" i="12"/>
  <c r="N430" i="12"/>
  <c r="N598" i="12"/>
  <c r="N262" i="12"/>
  <c r="L607" i="12"/>
  <c r="L271" i="12"/>
  <c r="L439" i="12"/>
  <c r="L603" i="12"/>
  <c r="L267" i="12"/>
  <c r="L435" i="12"/>
  <c r="M535" i="12"/>
  <c r="M199" i="12"/>
  <c r="M367" i="12"/>
  <c r="N434" i="12"/>
  <c r="N602" i="12"/>
  <c r="N266" i="12"/>
  <c r="L598" i="12"/>
  <c r="L430" i="12"/>
  <c r="L262" i="12"/>
  <c r="L594" i="12"/>
  <c r="L426" i="12"/>
  <c r="L258" i="12"/>
  <c r="M536" i="12"/>
  <c r="M368" i="12"/>
  <c r="M200" i="12"/>
  <c r="M631" i="12"/>
  <c r="M463" i="12"/>
  <c r="M295" i="12"/>
  <c r="N599" i="12"/>
  <c r="N431" i="12"/>
  <c r="N263" i="12"/>
  <c r="L606" i="12"/>
  <c r="L438" i="12"/>
  <c r="L270" i="12"/>
  <c r="L602" i="12"/>
  <c r="L434" i="12"/>
  <c r="L266" i="12"/>
  <c r="M629" i="12"/>
  <c r="M461" i="12"/>
  <c r="M293" i="12"/>
  <c r="N439" i="12"/>
  <c r="N607" i="12"/>
  <c r="N271" i="12"/>
  <c r="L597" i="12"/>
  <c r="L429" i="12"/>
  <c r="L261" i="12"/>
  <c r="L593" i="12"/>
  <c r="L257" i="12"/>
  <c r="L425" i="12"/>
  <c r="M530" i="12"/>
  <c r="M362" i="12"/>
  <c r="M194" i="12"/>
  <c r="M620" i="12"/>
  <c r="M452" i="12"/>
  <c r="M284" i="12"/>
  <c r="N432" i="12"/>
  <c r="N600" i="12"/>
  <c r="N264" i="12"/>
  <c r="N604" i="12"/>
  <c r="N436" i="12"/>
  <c r="N268" i="12"/>
  <c r="M619" i="12"/>
  <c r="M451" i="12"/>
  <c r="M283" i="12"/>
  <c r="M521" i="12"/>
  <c r="M353" i="12"/>
  <c r="M185" i="12"/>
  <c r="M622" i="12"/>
  <c r="M454" i="12"/>
  <c r="M286" i="12"/>
  <c r="N593" i="12"/>
  <c r="N425" i="12"/>
  <c r="N257" i="12"/>
  <c r="M533" i="12"/>
  <c r="M365" i="12"/>
  <c r="M197" i="12"/>
  <c r="N601" i="12"/>
  <c r="N265" i="12"/>
  <c r="N433" i="12"/>
  <c r="M630" i="12"/>
  <c r="M462" i="12"/>
  <c r="M294" i="12"/>
  <c r="M624" i="12"/>
  <c r="M288" i="12"/>
  <c r="M456" i="12"/>
  <c r="N594" i="12"/>
  <c r="N426" i="12"/>
  <c r="N258" i="12"/>
  <c r="L605" i="12"/>
  <c r="L437" i="12"/>
  <c r="L269" i="12"/>
  <c r="L601" i="12"/>
  <c r="L433" i="12"/>
  <c r="L265" i="12"/>
  <c r="M627" i="12"/>
  <c r="M459" i="12"/>
  <c r="M291" i="12"/>
  <c r="N606" i="12"/>
  <c r="N438" i="12"/>
  <c r="N270" i="12"/>
  <c r="I36" i="9"/>
  <c r="L31" i="12" s="1"/>
  <c r="F36" i="9"/>
  <c r="I31" i="12" s="1"/>
  <c r="I32" i="9"/>
  <c r="L27" i="12" s="1"/>
  <c r="F32" i="9"/>
  <c r="I27" i="12" s="1"/>
  <c r="I127" i="9"/>
  <c r="L122" i="12" s="1"/>
  <c r="F127" i="9"/>
  <c r="I122" i="12" s="1"/>
  <c r="D74" i="12"/>
  <c r="D410" i="12" s="1"/>
  <c r="C401" i="15" s="1"/>
  <c r="J79" i="9"/>
  <c r="M74" i="12" s="1"/>
  <c r="G79" i="9"/>
  <c r="J74" i="12" s="1"/>
  <c r="D150" i="12"/>
  <c r="J155" i="9"/>
  <c r="M150" i="12" s="1"/>
  <c r="G155" i="9"/>
  <c r="J150" i="12" s="1"/>
  <c r="E113" i="12"/>
  <c r="K118" i="9"/>
  <c r="N113" i="12" s="1"/>
  <c r="H118" i="9"/>
  <c r="K113" i="12" s="1"/>
  <c r="I122" i="9"/>
  <c r="L117" i="12" s="1"/>
  <c r="F122" i="9"/>
  <c r="I117" i="12" s="1"/>
  <c r="I120" i="9"/>
  <c r="L115" i="12" s="1"/>
  <c r="F120" i="9"/>
  <c r="I115" i="12" s="1"/>
  <c r="D175" i="12"/>
  <c r="J180" i="9"/>
  <c r="M175" i="12" s="1"/>
  <c r="G180" i="9"/>
  <c r="J175" i="12" s="1"/>
  <c r="D75" i="12"/>
  <c r="J80" i="9"/>
  <c r="M75" i="12" s="1"/>
  <c r="G80" i="9"/>
  <c r="J75" i="12" s="1"/>
  <c r="E26" i="12"/>
  <c r="K31" i="9"/>
  <c r="N26" i="12" s="1"/>
  <c r="H31" i="9"/>
  <c r="K26" i="12" s="1"/>
  <c r="E17" i="12"/>
  <c r="K22" i="9"/>
  <c r="N17" i="12" s="1"/>
  <c r="H22" i="9"/>
  <c r="E29" i="12"/>
  <c r="K34" i="9"/>
  <c r="N29" i="12" s="1"/>
  <c r="H34" i="9"/>
  <c r="K29" i="12" s="1"/>
  <c r="E127" i="12"/>
  <c r="K132" i="9"/>
  <c r="N127" i="12" s="1"/>
  <c r="H132" i="9"/>
  <c r="K127" i="12" s="1"/>
  <c r="D137" i="12"/>
  <c r="J142" i="9"/>
  <c r="M137" i="12" s="1"/>
  <c r="G142" i="9"/>
  <c r="J137" i="12" s="1"/>
  <c r="D176" i="12"/>
  <c r="J181" i="9"/>
  <c r="M176" i="12" s="1"/>
  <c r="G181" i="9"/>
  <c r="J176" i="12" s="1"/>
  <c r="D76" i="12"/>
  <c r="J81" i="9"/>
  <c r="M76" i="12" s="1"/>
  <c r="G81" i="9"/>
  <c r="J76" i="12" s="1"/>
  <c r="E118" i="12"/>
  <c r="K123" i="9"/>
  <c r="N118" i="12" s="1"/>
  <c r="H123" i="9"/>
  <c r="K118" i="12" s="1"/>
  <c r="I125" i="9"/>
  <c r="L120" i="12" s="1"/>
  <c r="F125" i="9"/>
  <c r="I120" i="12" s="1"/>
  <c r="I119" i="9"/>
  <c r="L114" i="12" s="1"/>
  <c r="F119" i="9"/>
  <c r="I114" i="12" s="1"/>
  <c r="D66" i="12"/>
  <c r="J71" i="9"/>
  <c r="M66" i="12" s="1"/>
  <c r="G71" i="9"/>
  <c r="J66" i="12" s="1"/>
  <c r="D162" i="12"/>
  <c r="J167" i="9"/>
  <c r="M162" i="12" s="1"/>
  <c r="G167" i="9"/>
  <c r="J162" i="12" s="1"/>
  <c r="D149" i="12"/>
  <c r="J154" i="9"/>
  <c r="M149" i="12" s="1"/>
  <c r="G154" i="9"/>
  <c r="J149" i="12" s="1"/>
  <c r="J532" i="12"/>
  <c r="J364" i="12"/>
  <c r="J196" i="12"/>
  <c r="K429" i="12"/>
  <c r="K261" i="12"/>
  <c r="K597" i="12"/>
  <c r="J281" i="12"/>
  <c r="J617" i="12"/>
  <c r="J449" i="12"/>
  <c r="K269" i="12"/>
  <c r="K605" i="12"/>
  <c r="K437" i="12"/>
  <c r="J285" i="12"/>
  <c r="J453" i="12"/>
  <c r="J621" i="12"/>
  <c r="J366" i="12"/>
  <c r="J198" i="12"/>
  <c r="J534" i="12"/>
  <c r="J625" i="12"/>
  <c r="J289" i="12"/>
  <c r="J457" i="12"/>
  <c r="K598" i="12"/>
  <c r="K262" i="12"/>
  <c r="K430" i="12"/>
  <c r="I271" i="12"/>
  <c r="I607" i="12"/>
  <c r="I439" i="12"/>
  <c r="I603" i="12"/>
  <c r="I435" i="12"/>
  <c r="I267" i="12"/>
  <c r="J367" i="12"/>
  <c r="J535" i="12"/>
  <c r="J199" i="12"/>
  <c r="K434" i="12"/>
  <c r="K266" i="12"/>
  <c r="K602" i="12"/>
  <c r="I34" i="9"/>
  <c r="L29" i="12" s="1"/>
  <c r="F34" i="9"/>
  <c r="I29" i="12" s="1"/>
  <c r="I33" i="9"/>
  <c r="L28" i="12" s="1"/>
  <c r="F33" i="9"/>
  <c r="I28" i="12" s="1"/>
  <c r="I37" i="9"/>
  <c r="L32" i="12" s="1"/>
  <c r="F37" i="9"/>
  <c r="I32" i="12" s="1"/>
  <c r="I129" i="9"/>
  <c r="L124" i="12" s="1"/>
  <c r="F129" i="9"/>
  <c r="I124" i="12" s="1"/>
  <c r="D146" i="12"/>
  <c r="J151" i="9"/>
  <c r="M146" i="12" s="1"/>
  <c r="G151" i="9"/>
  <c r="J146" i="12" s="1"/>
  <c r="D54" i="12"/>
  <c r="J59" i="9"/>
  <c r="M54" i="12" s="1"/>
  <c r="G59" i="9"/>
  <c r="J54" i="12" s="1"/>
  <c r="E115" i="12"/>
  <c r="K120" i="9"/>
  <c r="N115" i="12" s="1"/>
  <c r="H120" i="9"/>
  <c r="K115" i="12" s="1"/>
  <c r="E119" i="12"/>
  <c r="K124" i="9"/>
  <c r="N119" i="12" s="1"/>
  <c r="H124" i="9"/>
  <c r="K119" i="12" s="1"/>
  <c r="D51" i="12"/>
  <c r="J56" i="9"/>
  <c r="M51" i="12" s="1"/>
  <c r="G56" i="9"/>
  <c r="J51" i="12" s="1"/>
  <c r="E18" i="12"/>
  <c r="K23" i="9"/>
  <c r="N18" i="12" s="1"/>
  <c r="H23" i="9"/>
  <c r="K18" i="12" s="1"/>
  <c r="E30" i="12"/>
  <c r="K35" i="9"/>
  <c r="N30" i="12" s="1"/>
  <c r="H35" i="9"/>
  <c r="K30" i="12" s="1"/>
  <c r="E121" i="12"/>
  <c r="K126" i="9"/>
  <c r="N121" i="12" s="1"/>
  <c r="H126" i="9"/>
  <c r="K121" i="12" s="1"/>
  <c r="I130" i="9"/>
  <c r="L125" i="12" s="1"/>
  <c r="F130" i="9"/>
  <c r="I125" i="12" s="1"/>
  <c r="D41" i="12"/>
  <c r="J46" i="9"/>
  <c r="M41" i="12" s="1"/>
  <c r="G46" i="9"/>
  <c r="J41" i="12" s="1"/>
  <c r="D172" i="12"/>
  <c r="J177" i="9"/>
  <c r="M172" i="12" s="1"/>
  <c r="G177" i="9"/>
  <c r="J172" i="12" s="1"/>
  <c r="E114" i="12"/>
  <c r="E282" i="12" s="1"/>
  <c r="D273" i="15" s="1"/>
  <c r="K119" i="9"/>
  <c r="N114" i="12" s="1"/>
  <c r="H119" i="9"/>
  <c r="K114" i="12" s="1"/>
  <c r="D42" i="12"/>
  <c r="J47" i="9"/>
  <c r="M42" i="12" s="1"/>
  <c r="G47" i="9"/>
  <c r="J42" i="12" s="1"/>
  <c r="D53" i="12"/>
  <c r="J58" i="9"/>
  <c r="M53" i="12" s="1"/>
  <c r="G58" i="9"/>
  <c r="J53" i="12" s="1"/>
  <c r="E122" i="12"/>
  <c r="K127" i="9"/>
  <c r="N122" i="12" s="1"/>
  <c r="H127" i="9"/>
  <c r="K122" i="12" s="1"/>
  <c r="D521" i="12"/>
  <c r="C512" i="15" s="1"/>
  <c r="D622" i="12"/>
  <c r="C613" i="15" s="1"/>
  <c r="I598" i="12"/>
  <c r="I430" i="12"/>
  <c r="I262" i="12"/>
  <c r="I594" i="12"/>
  <c r="I258" i="12"/>
  <c r="I426" i="12"/>
  <c r="J536" i="12"/>
  <c r="J368" i="12"/>
  <c r="J200" i="12"/>
  <c r="J295" i="12"/>
  <c r="J463" i="12"/>
  <c r="J631" i="12"/>
  <c r="K599" i="12"/>
  <c r="K263" i="12"/>
  <c r="K431" i="12"/>
  <c r="I606" i="12"/>
  <c r="I438" i="12"/>
  <c r="I270" i="12"/>
  <c r="I266" i="12"/>
  <c r="I602" i="12"/>
  <c r="I434" i="12"/>
  <c r="J461" i="12"/>
  <c r="J629" i="12"/>
  <c r="J293" i="12"/>
  <c r="K607" i="12"/>
  <c r="K439" i="12"/>
  <c r="K271" i="12"/>
  <c r="I597" i="12"/>
  <c r="I429" i="12"/>
  <c r="I261" i="12"/>
  <c r="I593" i="12"/>
  <c r="I425" i="12"/>
  <c r="I257" i="12"/>
  <c r="J530" i="12"/>
  <c r="J194" i="12"/>
  <c r="J362" i="12"/>
  <c r="J284" i="12"/>
  <c r="J452" i="12"/>
  <c r="J620" i="12"/>
  <c r="K600" i="12"/>
  <c r="K264" i="12"/>
  <c r="K432" i="12"/>
  <c r="K604" i="12"/>
  <c r="K268" i="12"/>
  <c r="K436" i="12"/>
  <c r="J619" i="12"/>
  <c r="J283" i="12"/>
  <c r="J451" i="12"/>
  <c r="I31" i="9"/>
  <c r="L26" i="12" s="1"/>
  <c r="F31" i="9"/>
  <c r="I26" i="12" s="1"/>
  <c r="I22" i="9"/>
  <c r="L17" i="12" s="1"/>
  <c r="F22" i="9"/>
  <c r="I133" i="9"/>
  <c r="L128" i="12" s="1"/>
  <c r="F133" i="9"/>
  <c r="I128" i="12" s="1"/>
  <c r="I131" i="9"/>
  <c r="L126" i="12" s="1"/>
  <c r="F131" i="9"/>
  <c r="I126" i="12" s="1"/>
  <c r="D78" i="12"/>
  <c r="J83" i="9"/>
  <c r="M78" i="12" s="1"/>
  <c r="G83" i="9"/>
  <c r="J78" i="12" s="1"/>
  <c r="I124" i="9"/>
  <c r="L119" i="12" s="1"/>
  <c r="F124" i="9"/>
  <c r="I119" i="12" s="1"/>
  <c r="I118" i="9"/>
  <c r="L113" i="12" s="1"/>
  <c r="F118" i="9"/>
  <c r="I113" i="12" s="1"/>
  <c r="D79" i="12"/>
  <c r="J84" i="9"/>
  <c r="M79" i="12" s="1"/>
  <c r="G84" i="9"/>
  <c r="J79" i="12" s="1"/>
  <c r="D151" i="12"/>
  <c r="D487" i="12" s="1"/>
  <c r="C478" i="15" s="1"/>
  <c r="J156" i="9"/>
  <c r="M151" i="12" s="1"/>
  <c r="G156" i="9"/>
  <c r="J151" i="12" s="1"/>
  <c r="D147" i="12"/>
  <c r="J152" i="9"/>
  <c r="M147" i="12" s="1"/>
  <c r="G152" i="9"/>
  <c r="J147" i="12" s="1"/>
  <c r="E31" i="12"/>
  <c r="K36" i="9"/>
  <c r="N31" i="12" s="1"/>
  <c r="H36" i="9"/>
  <c r="K31" i="12" s="1"/>
  <c r="E27" i="12"/>
  <c r="K32" i="9"/>
  <c r="N27" i="12" s="1"/>
  <c r="H32" i="9"/>
  <c r="K27" i="12" s="1"/>
  <c r="E125" i="12"/>
  <c r="K130" i="9"/>
  <c r="N125" i="12" s="1"/>
  <c r="H130" i="9"/>
  <c r="K125" i="12" s="1"/>
  <c r="I132" i="9"/>
  <c r="L127" i="12" s="1"/>
  <c r="F132" i="9"/>
  <c r="I127" i="12" s="1"/>
  <c r="I126" i="9"/>
  <c r="L121" i="12" s="1"/>
  <c r="F126" i="9"/>
  <c r="I121" i="12" s="1"/>
  <c r="D161" i="12"/>
  <c r="J166" i="9"/>
  <c r="M161" i="12" s="1"/>
  <c r="G166" i="9"/>
  <c r="J161" i="12" s="1"/>
  <c r="D80" i="12"/>
  <c r="J85" i="9"/>
  <c r="M80" i="12" s="1"/>
  <c r="G85" i="9"/>
  <c r="J80" i="12" s="1"/>
  <c r="D56" i="12"/>
  <c r="J61" i="9"/>
  <c r="M56" i="12" s="1"/>
  <c r="G61" i="9"/>
  <c r="J56" i="12" s="1"/>
  <c r="D52" i="12"/>
  <c r="D556" i="12" s="1"/>
  <c r="C547" i="15" s="1"/>
  <c r="J57" i="9"/>
  <c r="M52" i="12" s="1"/>
  <c r="G57" i="9"/>
  <c r="J52" i="12" s="1"/>
  <c r="I121" i="9"/>
  <c r="L116" i="12" s="1"/>
  <c r="F121" i="9"/>
  <c r="I116" i="12" s="1"/>
  <c r="D138" i="12"/>
  <c r="J143" i="9"/>
  <c r="M138" i="12" s="1"/>
  <c r="G143" i="9"/>
  <c r="J138" i="12" s="1"/>
  <c r="D77" i="12"/>
  <c r="J82" i="9"/>
  <c r="M77" i="12" s="1"/>
  <c r="G82" i="9"/>
  <c r="J77" i="12" s="1"/>
  <c r="E126" i="12"/>
  <c r="K131" i="9"/>
  <c r="N126" i="12" s="1"/>
  <c r="H131" i="9"/>
  <c r="K126" i="12" s="1"/>
  <c r="J17" i="12"/>
  <c r="P17" i="12" s="1"/>
  <c r="F8" i="15" s="1"/>
  <c r="J286" i="12"/>
  <c r="J622" i="12"/>
  <c r="J454" i="12"/>
  <c r="K593" i="12"/>
  <c r="K425" i="12"/>
  <c r="K257" i="12"/>
  <c r="J197" i="12"/>
  <c r="J365" i="12"/>
  <c r="J533" i="12"/>
  <c r="K433" i="12"/>
  <c r="K265" i="12"/>
  <c r="K601" i="12"/>
  <c r="J294" i="12"/>
  <c r="J462" i="12"/>
  <c r="J630" i="12"/>
  <c r="J456" i="12"/>
  <c r="J288" i="12"/>
  <c r="J624" i="12"/>
  <c r="K258" i="12"/>
  <c r="K594" i="12"/>
  <c r="K426" i="12"/>
  <c r="I437" i="12"/>
  <c r="I605" i="12"/>
  <c r="I269" i="12"/>
  <c r="I265" i="12"/>
  <c r="I601" i="12"/>
  <c r="I433" i="12"/>
  <c r="J459" i="12"/>
  <c r="J627" i="12"/>
  <c r="J291" i="12"/>
  <c r="K606" i="12"/>
  <c r="K438" i="12"/>
  <c r="K270" i="12"/>
  <c r="I23" i="9"/>
  <c r="L18" i="12" s="1"/>
  <c r="F23" i="9"/>
  <c r="I18" i="12" s="1"/>
  <c r="I35" i="9"/>
  <c r="L30" i="12" s="1"/>
  <c r="F35" i="9"/>
  <c r="I30" i="12" s="1"/>
  <c r="D50" i="12"/>
  <c r="J55" i="9"/>
  <c r="M50" i="12" s="1"/>
  <c r="G55" i="9"/>
  <c r="J50" i="12" s="1"/>
  <c r="D170" i="12"/>
  <c r="J175" i="9"/>
  <c r="M170" i="12" s="1"/>
  <c r="G175" i="9"/>
  <c r="J170" i="12" s="1"/>
  <c r="D174" i="12"/>
  <c r="J179" i="9"/>
  <c r="M174" i="12" s="1"/>
  <c r="G179" i="9"/>
  <c r="J174" i="12" s="1"/>
  <c r="E117" i="12"/>
  <c r="K122" i="9"/>
  <c r="N117" i="12" s="1"/>
  <c r="H122" i="9"/>
  <c r="K117" i="12" s="1"/>
  <c r="D55" i="12"/>
  <c r="J60" i="9"/>
  <c r="M55" i="12" s="1"/>
  <c r="G60" i="9"/>
  <c r="J55" i="12" s="1"/>
  <c r="D171" i="12"/>
  <c r="J176" i="9"/>
  <c r="M171" i="12" s="1"/>
  <c r="G176" i="9"/>
  <c r="J171" i="12" s="1"/>
  <c r="E28" i="12"/>
  <c r="K33" i="9"/>
  <c r="N28" i="12" s="1"/>
  <c r="H33" i="9"/>
  <c r="K28" i="12" s="1"/>
  <c r="E32" i="12"/>
  <c r="K37" i="9"/>
  <c r="N32" i="12" s="1"/>
  <c r="H37" i="9"/>
  <c r="K32" i="12" s="1"/>
  <c r="E123" i="12"/>
  <c r="K128" i="9"/>
  <c r="N123" i="12" s="1"/>
  <c r="H128" i="9"/>
  <c r="K123" i="12" s="1"/>
  <c r="I128" i="9"/>
  <c r="L123" i="12" s="1"/>
  <c r="F128" i="9"/>
  <c r="I123" i="12" s="1"/>
  <c r="D65" i="12"/>
  <c r="J70" i="9"/>
  <c r="M65" i="12" s="1"/>
  <c r="G70" i="9"/>
  <c r="J65" i="12" s="1"/>
  <c r="D152" i="12"/>
  <c r="J157" i="9"/>
  <c r="M152" i="12" s="1"/>
  <c r="G157" i="9"/>
  <c r="J152" i="12" s="1"/>
  <c r="D148" i="12"/>
  <c r="J153" i="9"/>
  <c r="M148" i="12" s="1"/>
  <c r="G153" i="9"/>
  <c r="J148" i="12" s="1"/>
  <c r="E116" i="12"/>
  <c r="K121" i="9"/>
  <c r="N116" i="12" s="1"/>
  <c r="H121" i="9"/>
  <c r="K116" i="12" s="1"/>
  <c r="E120" i="12"/>
  <c r="K125" i="9"/>
  <c r="N120" i="12" s="1"/>
  <c r="H125" i="9"/>
  <c r="K120" i="12" s="1"/>
  <c r="I123" i="9"/>
  <c r="L118" i="12" s="1"/>
  <c r="F123" i="9"/>
  <c r="I118" i="12" s="1"/>
  <c r="D173" i="12"/>
  <c r="J178" i="9"/>
  <c r="M173" i="12" s="1"/>
  <c r="G178" i="9"/>
  <c r="J173" i="12" s="1"/>
  <c r="E124" i="12"/>
  <c r="K129" i="9"/>
  <c r="N124" i="12" s="1"/>
  <c r="H129" i="9"/>
  <c r="K124" i="12" s="1"/>
  <c r="E128" i="12"/>
  <c r="K133" i="9"/>
  <c r="N128" i="12" s="1"/>
  <c r="H133" i="9"/>
  <c r="K128" i="12" s="1"/>
  <c r="I600" i="12"/>
  <c r="I432" i="12"/>
  <c r="I264" i="12"/>
  <c r="I428" i="12"/>
  <c r="I260" i="12"/>
  <c r="I596" i="12"/>
  <c r="J628" i="12"/>
  <c r="J460" i="12"/>
  <c r="J292" i="12"/>
  <c r="J618" i="12"/>
  <c r="J450" i="12"/>
  <c r="J282" i="12"/>
  <c r="K595" i="12"/>
  <c r="K259" i="12"/>
  <c r="K427" i="12"/>
  <c r="I272" i="12"/>
  <c r="I608" i="12"/>
  <c r="I440" i="12"/>
  <c r="I604" i="12"/>
  <c r="I268" i="12"/>
  <c r="I436" i="12"/>
  <c r="J186" i="12"/>
  <c r="J354" i="12"/>
  <c r="J522" i="12"/>
  <c r="K435" i="12"/>
  <c r="K267" i="12"/>
  <c r="K603" i="12"/>
  <c r="I599" i="12"/>
  <c r="I431" i="12"/>
  <c r="I263" i="12"/>
  <c r="I259" i="12"/>
  <c r="I595" i="12"/>
  <c r="I427" i="12"/>
  <c r="J296" i="12"/>
  <c r="J632" i="12"/>
  <c r="J464" i="12"/>
  <c r="J290" i="12"/>
  <c r="J458" i="12"/>
  <c r="J626" i="12"/>
  <c r="K596" i="12"/>
  <c r="K260" i="12"/>
  <c r="K428" i="12"/>
  <c r="J623" i="12"/>
  <c r="J287" i="12"/>
  <c r="J455" i="12"/>
  <c r="J363" i="12"/>
  <c r="J195" i="12"/>
  <c r="J531" i="12"/>
  <c r="K272" i="12"/>
  <c r="K608" i="12"/>
  <c r="K440" i="12"/>
  <c r="D314" i="12"/>
  <c r="C305" i="15" s="1"/>
  <c r="D387" i="12"/>
  <c r="C378" i="15" s="1"/>
  <c r="D242" i="12"/>
  <c r="C233" i="15" s="1"/>
  <c r="D654" i="12"/>
  <c r="C645" i="15" s="1"/>
  <c r="D579" i="12"/>
  <c r="C570" i="15" s="1"/>
  <c r="E194" i="12"/>
  <c r="D185" i="15" s="1"/>
  <c r="E365" i="12"/>
  <c r="D356" i="15" s="1"/>
  <c r="E295" i="12"/>
  <c r="D286" i="15" s="1"/>
  <c r="D305" i="12"/>
  <c r="C296" i="15" s="1"/>
  <c r="E286" i="12"/>
  <c r="D277" i="15" s="1"/>
  <c r="D234" i="12"/>
  <c r="C225" i="15" s="1"/>
  <c r="D222" i="12"/>
  <c r="C213" i="15" s="1"/>
  <c r="D210" i="12"/>
  <c r="C201" i="15" s="1"/>
  <c r="E522" i="12"/>
  <c r="D513" i="15" s="1"/>
  <c r="D655" i="12"/>
  <c r="C646" i="15" s="1"/>
  <c r="D651" i="12"/>
  <c r="C642" i="15" s="1"/>
  <c r="D497" i="12"/>
  <c r="C488" i="15" s="1"/>
  <c r="D306" i="12"/>
  <c r="C297" i="15" s="1"/>
  <c r="D386" i="12"/>
  <c r="C377" i="15" s="1"/>
  <c r="D338" i="12"/>
  <c r="C329" i="15" s="1"/>
  <c r="D559" i="12"/>
  <c r="C550" i="15" s="1"/>
  <c r="D507" i="12"/>
  <c r="C498" i="15" s="1"/>
  <c r="E368" i="12"/>
  <c r="D359" i="15" s="1"/>
  <c r="E627" i="12"/>
  <c r="D618" i="15" s="1"/>
  <c r="D488" i="12"/>
  <c r="C479" i="15" s="1"/>
  <c r="E460" i="12"/>
  <c r="D451" i="15" s="1"/>
  <c r="F266" i="12"/>
  <c r="F602" i="12"/>
  <c r="F434" i="12"/>
  <c r="G287" i="12"/>
  <c r="G455" i="12"/>
  <c r="G623" i="12"/>
  <c r="G363" i="12"/>
  <c r="G195" i="12"/>
  <c r="G531" i="12"/>
  <c r="F604" i="12"/>
  <c r="F436" i="12"/>
  <c r="F268" i="12"/>
  <c r="G198" i="12"/>
  <c r="G366" i="12"/>
  <c r="G534" i="12"/>
  <c r="H261" i="12"/>
  <c r="H429" i="12"/>
  <c r="H597" i="12"/>
  <c r="G283" i="12"/>
  <c r="G451" i="12"/>
  <c r="G619" i="12"/>
  <c r="G290" i="12"/>
  <c r="G458" i="12"/>
  <c r="G626" i="12"/>
  <c r="H267" i="12"/>
  <c r="H435" i="12"/>
  <c r="H603" i="12"/>
  <c r="F605" i="12"/>
  <c r="F437" i="12"/>
  <c r="F269" i="12"/>
  <c r="F267" i="12"/>
  <c r="F603" i="12"/>
  <c r="F435" i="12"/>
  <c r="G282" i="12"/>
  <c r="G450" i="12"/>
  <c r="G618" i="12"/>
  <c r="H258" i="12"/>
  <c r="H426" i="12"/>
  <c r="H594" i="12"/>
  <c r="H268" i="12"/>
  <c r="H436" i="12"/>
  <c r="H604" i="12"/>
  <c r="H272" i="12"/>
  <c r="H440" i="12"/>
  <c r="H608" i="12"/>
  <c r="F606" i="12"/>
  <c r="F438" i="12"/>
  <c r="F270" i="12"/>
  <c r="G284" i="12"/>
  <c r="G452" i="12"/>
  <c r="G620" i="12"/>
  <c r="F599" i="12"/>
  <c r="F431" i="12"/>
  <c r="F263" i="12"/>
  <c r="F597" i="12"/>
  <c r="F429" i="12"/>
  <c r="F261" i="12"/>
  <c r="G296" i="12"/>
  <c r="G464" i="12"/>
  <c r="G632" i="12"/>
  <c r="G199" i="12"/>
  <c r="G535" i="12"/>
  <c r="G367" i="12"/>
  <c r="G293" i="12"/>
  <c r="G461" i="12"/>
  <c r="G629" i="12"/>
  <c r="H269" i="12"/>
  <c r="H437" i="12"/>
  <c r="H605" i="12"/>
  <c r="F607" i="12"/>
  <c r="F439" i="12"/>
  <c r="F271" i="12"/>
  <c r="G17" i="12"/>
  <c r="G200" i="12"/>
  <c r="G368" i="12"/>
  <c r="G536" i="12"/>
  <c r="G291" i="12"/>
  <c r="G459" i="12"/>
  <c r="G627" i="12"/>
  <c r="H262" i="12"/>
  <c r="H430" i="12"/>
  <c r="H598" i="12"/>
  <c r="F596" i="12"/>
  <c r="F428" i="12"/>
  <c r="F260" i="12"/>
  <c r="F594" i="12"/>
  <c r="F426" i="12"/>
  <c r="F258" i="12"/>
  <c r="G197" i="12"/>
  <c r="G365" i="12"/>
  <c r="G533" i="12"/>
  <c r="H270" i="12"/>
  <c r="H438" i="12"/>
  <c r="H606" i="12"/>
  <c r="G292" i="12"/>
  <c r="G460" i="12"/>
  <c r="G628" i="12"/>
  <c r="G194" i="12"/>
  <c r="G362" i="12"/>
  <c r="G530" i="12"/>
  <c r="G286" i="12"/>
  <c r="G454" i="12"/>
  <c r="G622" i="12"/>
  <c r="H259" i="12"/>
  <c r="H427" i="12"/>
  <c r="H595" i="12"/>
  <c r="H263" i="12"/>
  <c r="H431" i="12"/>
  <c r="H599" i="12"/>
  <c r="G295" i="12"/>
  <c r="G463" i="12"/>
  <c r="G631" i="12"/>
  <c r="H265" i="12"/>
  <c r="H433" i="12"/>
  <c r="H601" i="12"/>
  <c r="H260" i="12"/>
  <c r="H428" i="12"/>
  <c r="H596" i="12"/>
  <c r="H264" i="12"/>
  <c r="H432" i="12"/>
  <c r="H600" i="12"/>
  <c r="G285" i="12"/>
  <c r="G453" i="12"/>
  <c r="G621" i="12"/>
  <c r="F262" i="12"/>
  <c r="F598" i="12"/>
  <c r="F430" i="12"/>
  <c r="G288" i="12"/>
  <c r="G456" i="12"/>
  <c r="G624" i="12"/>
  <c r="H266" i="12"/>
  <c r="H434" i="12"/>
  <c r="H602" i="12"/>
  <c r="F608" i="12"/>
  <c r="F440" i="12"/>
  <c r="F272" i="12"/>
  <c r="H257" i="12"/>
  <c r="H425" i="12"/>
  <c r="H593" i="12"/>
  <c r="F595" i="12"/>
  <c r="F427" i="12"/>
  <c r="F259" i="12"/>
  <c r="F593" i="12"/>
  <c r="F425" i="12"/>
  <c r="F257" i="12"/>
  <c r="G289" i="12"/>
  <c r="G457" i="12"/>
  <c r="G625" i="12"/>
  <c r="H271" i="12"/>
  <c r="H439" i="12"/>
  <c r="H607" i="12"/>
  <c r="F601" i="12"/>
  <c r="F433" i="12"/>
  <c r="F265" i="12"/>
  <c r="G196" i="12"/>
  <c r="G364" i="12"/>
  <c r="G532" i="12"/>
  <c r="F600" i="12"/>
  <c r="F432" i="12"/>
  <c r="F264" i="12"/>
  <c r="G294" i="12"/>
  <c r="G462" i="12"/>
  <c r="G630" i="12"/>
  <c r="G186" i="12"/>
  <c r="G354" i="12"/>
  <c r="G522" i="12"/>
  <c r="G281" i="12"/>
  <c r="G449" i="12"/>
  <c r="G617" i="12"/>
  <c r="G7" i="7"/>
  <c r="G6" i="7"/>
  <c r="C29" i="12"/>
  <c r="B34" i="9"/>
  <c r="F29" i="12" s="1"/>
  <c r="F148" i="7"/>
  <c r="F52" i="7"/>
  <c r="C28" i="12"/>
  <c r="F147" i="7"/>
  <c r="B33" i="9"/>
  <c r="F28" i="12" s="1"/>
  <c r="F51" i="7"/>
  <c r="C32" i="12"/>
  <c r="F55" i="7"/>
  <c r="B37" i="9"/>
  <c r="F32" i="12" s="1"/>
  <c r="F151" i="7"/>
  <c r="C608" i="12"/>
  <c r="B599" i="15" s="1"/>
  <c r="C440" i="12"/>
  <c r="B431" i="15" s="1"/>
  <c r="C606" i="12"/>
  <c r="B597" i="15" s="1"/>
  <c r="C438" i="12"/>
  <c r="B429" i="15" s="1"/>
  <c r="C436" i="12"/>
  <c r="B427" i="15" s="1"/>
  <c r="C604" i="12"/>
  <c r="B595" i="15" s="1"/>
  <c r="C602" i="12"/>
  <c r="B593" i="15" s="1"/>
  <c r="C434" i="12"/>
  <c r="B425" i="15" s="1"/>
  <c r="C79" i="9"/>
  <c r="G74" i="12" s="1"/>
  <c r="C175" i="9"/>
  <c r="G170" i="12" s="1"/>
  <c r="D122" i="9"/>
  <c r="H117" i="12" s="1"/>
  <c r="C80" i="9"/>
  <c r="G75" i="12" s="1"/>
  <c r="D33" i="9"/>
  <c r="H28" i="12" s="1"/>
  <c r="H147" i="7"/>
  <c r="H75" i="7"/>
  <c r="H51" i="7"/>
  <c r="H171" i="7"/>
  <c r="H55" i="7"/>
  <c r="D37" i="9"/>
  <c r="H32" i="12" s="1"/>
  <c r="H175" i="7"/>
  <c r="H79" i="7"/>
  <c r="H151" i="7"/>
  <c r="D130" i="9"/>
  <c r="H125" i="12" s="1"/>
  <c r="D126" i="9"/>
  <c r="H121" i="12" s="1"/>
  <c r="C125" i="12"/>
  <c r="B130" i="9"/>
  <c r="F125" i="12" s="1"/>
  <c r="G3" i="7"/>
  <c r="C70" i="9"/>
  <c r="G65" i="12" s="1"/>
  <c r="C85" i="9"/>
  <c r="G80" i="12" s="1"/>
  <c r="C61" i="9"/>
  <c r="G56" i="12" s="1"/>
  <c r="C81" i="9"/>
  <c r="G76" i="12" s="1"/>
  <c r="D125" i="9"/>
  <c r="H120" i="12" s="1"/>
  <c r="C120" i="12"/>
  <c r="B125" i="9"/>
  <c r="F120" i="12" s="1"/>
  <c r="C118" i="12"/>
  <c r="B123" i="9"/>
  <c r="F118" i="12" s="1"/>
  <c r="C116" i="12"/>
  <c r="B121" i="9"/>
  <c r="F116" i="12" s="1"/>
  <c r="C71" i="9"/>
  <c r="G66" i="12" s="1"/>
  <c r="C178" i="9"/>
  <c r="G173" i="12" s="1"/>
  <c r="D133" i="9"/>
  <c r="H128" i="12" s="1"/>
  <c r="C26" i="12"/>
  <c r="F145" i="7"/>
  <c r="B31" i="9"/>
  <c r="F26" i="12" s="1"/>
  <c r="F49" i="7"/>
  <c r="C17" i="12"/>
  <c r="F136" i="7"/>
  <c r="B22" i="9"/>
  <c r="F17" i="12" s="1"/>
  <c r="F40" i="7"/>
  <c r="C128" i="12"/>
  <c r="B133" i="9"/>
  <c r="F128" i="12" s="1"/>
  <c r="C151" i="9"/>
  <c r="G146" i="12" s="1"/>
  <c r="C155" i="9"/>
  <c r="G150" i="12" s="1"/>
  <c r="C179" i="9"/>
  <c r="G174" i="12" s="1"/>
  <c r="D124" i="9"/>
  <c r="H119" i="12" s="1"/>
  <c r="C119" i="12"/>
  <c r="B124" i="9"/>
  <c r="F119" i="12" s="1"/>
  <c r="C115" i="12"/>
  <c r="B120" i="9"/>
  <c r="F115" i="12" s="1"/>
  <c r="C84" i="9"/>
  <c r="G79" i="12" s="1"/>
  <c r="C56" i="9"/>
  <c r="G51" i="12" s="1"/>
  <c r="H169" i="7"/>
  <c r="D31" i="9"/>
  <c r="H26" i="12" s="1"/>
  <c r="H73" i="7"/>
  <c r="H49" i="7"/>
  <c r="H145" i="7"/>
  <c r="D22" i="9"/>
  <c r="H136" i="7"/>
  <c r="H40" i="7"/>
  <c r="H160" i="7"/>
  <c r="H64" i="7"/>
  <c r="D34" i="9"/>
  <c r="H29" i="12" s="1"/>
  <c r="H148" i="7"/>
  <c r="H52" i="7"/>
  <c r="H172" i="7"/>
  <c r="H76" i="7"/>
  <c r="D128" i="9"/>
  <c r="H123" i="12" s="1"/>
  <c r="D132" i="9"/>
  <c r="H127" i="12" s="1"/>
  <c r="C607" i="12"/>
  <c r="B598" i="15" s="1"/>
  <c r="C439" i="12"/>
  <c r="B430" i="15" s="1"/>
  <c r="C605" i="12"/>
  <c r="B596" i="15" s="1"/>
  <c r="C437" i="12"/>
  <c r="B428" i="15" s="1"/>
  <c r="C603" i="12"/>
  <c r="B594" i="15" s="1"/>
  <c r="C435" i="12"/>
  <c r="B426" i="15" s="1"/>
  <c r="C601" i="12"/>
  <c r="B592" i="15" s="1"/>
  <c r="C433" i="12"/>
  <c r="B424" i="15" s="1"/>
  <c r="C142" i="9"/>
  <c r="G137" i="12" s="1"/>
  <c r="C157" i="9"/>
  <c r="G152" i="12" s="1"/>
  <c r="C177" i="9"/>
  <c r="G172" i="12" s="1"/>
  <c r="D119" i="9"/>
  <c r="H114" i="12" s="1"/>
  <c r="C600" i="12"/>
  <c r="B591" i="15" s="1"/>
  <c r="C432" i="12"/>
  <c r="B423" i="15" s="1"/>
  <c r="C598" i="12"/>
  <c r="B589" i="15" s="1"/>
  <c r="C430" i="12"/>
  <c r="B421" i="15" s="1"/>
  <c r="C428" i="12"/>
  <c r="B419" i="15" s="1"/>
  <c r="C596" i="12"/>
  <c r="B587" i="15" s="1"/>
  <c r="C594" i="12"/>
  <c r="B585" i="15" s="1"/>
  <c r="C426" i="12"/>
  <c r="B417" i="15" s="1"/>
  <c r="C47" i="9"/>
  <c r="G42" i="12" s="1"/>
  <c r="C167" i="9"/>
  <c r="G162" i="12" s="1"/>
  <c r="C154" i="9"/>
  <c r="G149" i="12" s="1"/>
  <c r="D127" i="9"/>
  <c r="H122" i="12" s="1"/>
  <c r="D131" i="9"/>
  <c r="H126" i="12" s="1"/>
  <c r="C18" i="12"/>
  <c r="F137" i="7"/>
  <c r="B23" i="9"/>
  <c r="F18" i="12" s="1"/>
  <c r="F41" i="7"/>
  <c r="C30" i="12"/>
  <c r="F149" i="7"/>
  <c r="B35" i="9"/>
  <c r="F30" i="12" s="1"/>
  <c r="F53" i="7"/>
  <c r="C126" i="12"/>
  <c r="B131" i="9"/>
  <c r="F126" i="12" s="1"/>
  <c r="C124" i="12"/>
  <c r="B129" i="9"/>
  <c r="F124" i="12" s="1"/>
  <c r="C59" i="9"/>
  <c r="G54" i="12" s="1"/>
  <c r="D120" i="9"/>
  <c r="H115" i="12" s="1"/>
  <c r="C599" i="12"/>
  <c r="B590" i="15" s="1"/>
  <c r="C431" i="12"/>
  <c r="B422" i="15" s="1"/>
  <c r="C597" i="12"/>
  <c r="B588" i="15" s="1"/>
  <c r="C429" i="12"/>
  <c r="B420" i="15" s="1"/>
  <c r="C595" i="12"/>
  <c r="B586" i="15" s="1"/>
  <c r="C427" i="12"/>
  <c r="B418" i="15" s="1"/>
  <c r="C593" i="12"/>
  <c r="B584" i="15" s="1"/>
  <c r="C425" i="12"/>
  <c r="B416" i="15" s="1"/>
  <c r="C60" i="9"/>
  <c r="G55" i="12" s="1"/>
  <c r="C156" i="9"/>
  <c r="G151" i="12" s="1"/>
  <c r="C152" i="9"/>
  <c r="G147" i="12" s="1"/>
  <c r="H161" i="7"/>
  <c r="D23" i="9"/>
  <c r="H18" i="12" s="1"/>
  <c r="H41" i="7"/>
  <c r="H137" i="7"/>
  <c r="H65" i="7"/>
  <c r="D35" i="9"/>
  <c r="H30" i="12" s="1"/>
  <c r="H173" i="7"/>
  <c r="H77" i="7"/>
  <c r="H53" i="7"/>
  <c r="H149" i="7"/>
  <c r="C121" i="12"/>
  <c r="B126" i="9"/>
  <c r="F121" i="12" s="1"/>
  <c r="C46" i="9"/>
  <c r="G41" i="12" s="1"/>
  <c r="C181" i="9"/>
  <c r="G176" i="12" s="1"/>
  <c r="C57" i="9"/>
  <c r="G52" i="12" s="1"/>
  <c r="D121" i="9"/>
  <c r="H116" i="12" s="1"/>
  <c r="D123" i="9"/>
  <c r="H118" i="12" s="1"/>
  <c r="C114" i="12"/>
  <c r="B119" i="9"/>
  <c r="F114" i="12" s="1"/>
  <c r="C143" i="9"/>
  <c r="G138" i="12" s="1"/>
  <c r="C58" i="9"/>
  <c r="G53" i="12" s="1"/>
  <c r="C31" i="12"/>
  <c r="F54" i="7"/>
  <c r="B36" i="9"/>
  <c r="F31" i="12" s="1"/>
  <c r="F150" i="7"/>
  <c r="C27" i="12"/>
  <c r="B32" i="9"/>
  <c r="F27" i="12" s="1"/>
  <c r="F50" i="7"/>
  <c r="F146" i="7"/>
  <c r="C122" i="12"/>
  <c r="B127" i="9"/>
  <c r="F122" i="12" s="1"/>
  <c r="C55" i="9"/>
  <c r="G50" i="12" s="1"/>
  <c r="C83" i="9"/>
  <c r="G78" i="12" s="1"/>
  <c r="D118" i="9"/>
  <c r="H113" i="12" s="1"/>
  <c r="C117" i="12"/>
  <c r="B122" i="9"/>
  <c r="F117" i="12" s="1"/>
  <c r="C113" i="12"/>
  <c r="B118" i="9"/>
  <c r="F113" i="12" s="1"/>
  <c r="C180" i="9"/>
  <c r="G175" i="12" s="1"/>
  <c r="C176" i="9"/>
  <c r="G171" i="12" s="1"/>
  <c r="D36" i="9"/>
  <c r="H31" i="12" s="1"/>
  <c r="H150" i="7"/>
  <c r="H78" i="7"/>
  <c r="H174" i="7"/>
  <c r="H54" i="7"/>
  <c r="H146" i="7"/>
  <c r="D32" i="9"/>
  <c r="H27" i="12" s="1"/>
  <c r="H170" i="7"/>
  <c r="H50" i="7"/>
  <c r="H74" i="7"/>
  <c r="C127" i="12"/>
  <c r="B132" i="9"/>
  <c r="F127" i="12" s="1"/>
  <c r="C123" i="12"/>
  <c r="B128" i="9"/>
  <c r="F123" i="12" s="1"/>
  <c r="G5" i="7"/>
  <c r="C166" i="9"/>
  <c r="G161" i="12" s="1"/>
  <c r="C153" i="9"/>
  <c r="G148" i="12" s="1"/>
  <c r="C82" i="9"/>
  <c r="G77" i="12" s="1"/>
  <c r="D129" i="9"/>
  <c r="H124" i="12" s="1"/>
  <c r="AE188" i="4"/>
  <c r="AE66" i="4"/>
  <c r="AE250" i="4"/>
  <c r="AE127" i="4"/>
  <c r="AE219" i="4"/>
  <c r="AE311" i="4"/>
  <c r="AE158" i="4"/>
  <c r="AE372" i="4"/>
  <c r="AE97" i="4"/>
  <c r="AE280" i="4"/>
  <c r="AE341" i="4"/>
  <c r="AE38" i="4"/>
  <c r="AD373" i="4"/>
  <c r="C296" i="12" l="1"/>
  <c r="B287" i="15" s="1"/>
  <c r="B119" i="15"/>
  <c r="D509" i="12"/>
  <c r="C500" i="15" s="1"/>
  <c r="C164" i="15"/>
  <c r="E284" i="12"/>
  <c r="D275" i="15" s="1"/>
  <c r="D107" i="15"/>
  <c r="E364" i="12"/>
  <c r="D355" i="15" s="1"/>
  <c r="D19" i="15"/>
  <c r="D678" i="12"/>
  <c r="C669" i="15" s="1"/>
  <c r="C165" i="15"/>
  <c r="E367" i="12"/>
  <c r="D358" i="15" s="1"/>
  <c r="D22" i="15"/>
  <c r="D557" i="12"/>
  <c r="C548" i="15" s="1"/>
  <c r="C44" i="15"/>
  <c r="D377" i="12"/>
  <c r="C368" i="15" s="1"/>
  <c r="C32" i="15"/>
  <c r="E198" i="12"/>
  <c r="D189" i="15" s="1"/>
  <c r="D21" i="15"/>
  <c r="E283" i="12"/>
  <c r="D274" i="15" s="1"/>
  <c r="D106" i="15"/>
  <c r="D330" i="12"/>
  <c r="C321" i="15" s="1"/>
  <c r="C153" i="15"/>
  <c r="D344" i="12"/>
  <c r="C335" i="15" s="1"/>
  <c r="C167" i="15"/>
  <c r="E185" i="12"/>
  <c r="D176" i="15" s="1"/>
  <c r="D8" i="15"/>
  <c r="E281" i="12"/>
  <c r="D272" i="15" s="1"/>
  <c r="D104" i="15"/>
  <c r="C195" i="12"/>
  <c r="B186" i="15" s="1"/>
  <c r="B18" i="15"/>
  <c r="C282" i="12"/>
  <c r="B273" i="15" s="1"/>
  <c r="B105" i="15"/>
  <c r="C283" i="12"/>
  <c r="B274" i="15" s="1"/>
  <c r="B106" i="15"/>
  <c r="B8" i="15"/>
  <c r="C194" i="12"/>
  <c r="B185" i="15" s="1"/>
  <c r="B17" i="15"/>
  <c r="D584" i="12"/>
  <c r="C575" i="15" s="1"/>
  <c r="C71" i="15"/>
  <c r="D582" i="12"/>
  <c r="C573" i="15" s="1"/>
  <c r="C69" i="15"/>
  <c r="C291" i="12"/>
  <c r="B282" i="15" s="1"/>
  <c r="B114" i="15"/>
  <c r="C281" i="12"/>
  <c r="B272" i="15" s="1"/>
  <c r="B104" i="15"/>
  <c r="C284" i="12"/>
  <c r="B275" i="15" s="1"/>
  <c r="B107" i="15"/>
  <c r="C288" i="12"/>
  <c r="B279" i="15" s="1"/>
  <c r="B111" i="15"/>
  <c r="C293" i="12"/>
  <c r="B284" i="15" s="1"/>
  <c r="B116" i="15"/>
  <c r="C200" i="12"/>
  <c r="B191" i="15" s="1"/>
  <c r="B23" i="15"/>
  <c r="C196" i="12"/>
  <c r="B187" i="15" s="1"/>
  <c r="B19" i="15"/>
  <c r="C197" i="12"/>
  <c r="B188" i="15" s="1"/>
  <c r="B20" i="15"/>
  <c r="E292" i="12"/>
  <c r="D283" i="15" s="1"/>
  <c r="D115" i="15"/>
  <c r="E456" i="12"/>
  <c r="D447" i="15" s="1"/>
  <c r="D111" i="15"/>
  <c r="D569" i="12"/>
  <c r="C560" i="15" s="1"/>
  <c r="C56" i="15"/>
  <c r="E536" i="12"/>
  <c r="D527" i="15" s="1"/>
  <c r="D23" i="15"/>
  <c r="E453" i="12"/>
  <c r="D444" i="15" s="1"/>
  <c r="D108" i="15"/>
  <c r="D642" i="12"/>
  <c r="C633" i="15" s="1"/>
  <c r="C129" i="15"/>
  <c r="D224" i="12"/>
  <c r="C215" i="15" s="1"/>
  <c r="C47" i="15"/>
  <c r="E195" i="12"/>
  <c r="D186" i="15" s="1"/>
  <c r="D18" i="15"/>
  <c r="D247" i="12"/>
  <c r="C238" i="15" s="1"/>
  <c r="C70" i="15"/>
  <c r="E626" i="12"/>
  <c r="D617" i="15" s="1"/>
  <c r="D113" i="15"/>
  <c r="D676" i="12"/>
  <c r="C667" i="15" s="1"/>
  <c r="C163" i="15"/>
  <c r="E625" i="12"/>
  <c r="D616" i="15" s="1"/>
  <c r="D112" i="15"/>
  <c r="E455" i="12"/>
  <c r="D446" i="15" s="1"/>
  <c r="D110" i="15"/>
  <c r="D485" i="12"/>
  <c r="C476" i="15" s="1"/>
  <c r="C140" i="15"/>
  <c r="D580" i="12"/>
  <c r="C571" i="15" s="1"/>
  <c r="C67" i="15"/>
  <c r="E197" i="12"/>
  <c r="D188" i="15" s="1"/>
  <c r="D20" i="15"/>
  <c r="D679" i="12"/>
  <c r="C670" i="15" s="1"/>
  <c r="C166" i="15"/>
  <c r="O432" i="12"/>
  <c r="E423" i="15" s="1"/>
  <c r="P462" i="12"/>
  <c r="F453" i="15" s="1"/>
  <c r="P200" i="12"/>
  <c r="F191" i="15" s="1"/>
  <c r="C199" i="12"/>
  <c r="B190" i="15" s="1"/>
  <c r="B22" i="15"/>
  <c r="C292" i="12"/>
  <c r="B283" i="15" s="1"/>
  <c r="B115" i="15"/>
  <c r="C287" i="12"/>
  <c r="B278" i="15" s="1"/>
  <c r="B110" i="15"/>
  <c r="E296" i="12"/>
  <c r="D287" i="15" s="1"/>
  <c r="D119" i="15"/>
  <c r="D656" i="12"/>
  <c r="C647" i="15" s="1"/>
  <c r="C143" i="15"/>
  <c r="E291" i="12"/>
  <c r="D282" i="15" s="1"/>
  <c r="D114" i="15"/>
  <c r="D218" i="12"/>
  <c r="C209" i="15" s="1"/>
  <c r="C41" i="15"/>
  <c r="D388" i="12"/>
  <c r="C379" i="15" s="1"/>
  <c r="C43" i="15"/>
  <c r="E461" i="12"/>
  <c r="D452" i="15" s="1"/>
  <c r="D116" i="15"/>
  <c r="D319" i="12"/>
  <c r="C310" i="15" s="1"/>
  <c r="C142" i="15"/>
  <c r="E618" i="12"/>
  <c r="D609" i="15" s="1"/>
  <c r="D105" i="15"/>
  <c r="D219" i="12"/>
  <c r="C210" i="15" s="1"/>
  <c r="C42" i="15"/>
  <c r="D243" i="12"/>
  <c r="C234" i="15" s="1"/>
  <c r="C66" i="15"/>
  <c r="C290" i="12"/>
  <c r="B281" i="15" s="1"/>
  <c r="B113" i="15"/>
  <c r="C294" i="12"/>
  <c r="B285" i="15" s="1"/>
  <c r="B117" i="15"/>
  <c r="C198" i="12"/>
  <c r="B189" i="15" s="1"/>
  <c r="B21" i="15"/>
  <c r="C186" i="12"/>
  <c r="B177" i="15" s="1"/>
  <c r="B9" i="15"/>
  <c r="D223" i="12"/>
  <c r="C214" i="15" s="1"/>
  <c r="C46" i="15"/>
  <c r="D581" i="12"/>
  <c r="C572" i="15" s="1"/>
  <c r="C68" i="15"/>
  <c r="D650" i="12"/>
  <c r="C641" i="15" s="1"/>
  <c r="C137" i="15"/>
  <c r="E622" i="12"/>
  <c r="D613" i="15" s="1"/>
  <c r="D109" i="15"/>
  <c r="E631" i="12"/>
  <c r="D622" i="15" s="1"/>
  <c r="D118" i="15"/>
  <c r="D578" i="12"/>
  <c r="C569" i="15" s="1"/>
  <c r="C65" i="15"/>
  <c r="C295" i="12"/>
  <c r="B286" i="15" s="1"/>
  <c r="B118" i="15"/>
  <c r="C285" i="12"/>
  <c r="B276" i="15" s="1"/>
  <c r="B108" i="15"/>
  <c r="C289" i="12"/>
  <c r="B280" i="15" s="1"/>
  <c r="B112" i="15"/>
  <c r="C286" i="12"/>
  <c r="B277" i="15" s="1"/>
  <c r="B109" i="15"/>
  <c r="E459" i="12"/>
  <c r="D450" i="15" s="1"/>
  <c r="D391" i="12"/>
  <c r="C382" i="15" s="1"/>
  <c r="D413" i="12"/>
  <c r="C404" i="15" s="1"/>
  <c r="E629" i="12"/>
  <c r="D620" i="15" s="1"/>
  <c r="E463" i="12"/>
  <c r="D454" i="15" s="1"/>
  <c r="D555" i="12"/>
  <c r="C546" i="15" s="1"/>
  <c r="D484" i="12"/>
  <c r="C475" i="15" s="1"/>
  <c r="C139" i="15"/>
  <c r="D339" i="12"/>
  <c r="C330" i="15" s="1"/>
  <c r="C162" i="15"/>
  <c r="D674" i="12"/>
  <c r="C665" i="15" s="1"/>
  <c r="C161" i="15"/>
  <c r="E462" i="12"/>
  <c r="D453" i="15" s="1"/>
  <c r="D117" i="15"/>
  <c r="D665" i="12"/>
  <c r="C656" i="15" s="1"/>
  <c r="C152" i="15"/>
  <c r="D483" i="12"/>
  <c r="C474" i="15" s="1"/>
  <c r="C138" i="15"/>
  <c r="D546" i="12"/>
  <c r="C537" i="15" s="1"/>
  <c r="C33" i="15"/>
  <c r="E354" i="12"/>
  <c r="D345" i="15" s="1"/>
  <c r="D9" i="15"/>
  <c r="D558" i="12"/>
  <c r="C549" i="15" s="1"/>
  <c r="C45" i="15"/>
  <c r="D570" i="12"/>
  <c r="C561" i="15" s="1"/>
  <c r="C57" i="15"/>
  <c r="D641" i="12"/>
  <c r="C632" i="15" s="1"/>
  <c r="C128" i="15"/>
  <c r="E530" i="12"/>
  <c r="D521" i="15" s="1"/>
  <c r="D17" i="15"/>
  <c r="D486" i="12"/>
  <c r="C477" i="15" s="1"/>
  <c r="C141" i="15"/>
  <c r="Q440" i="12"/>
  <c r="G431" i="15" s="1"/>
  <c r="Q603" i="12"/>
  <c r="G594" i="15" s="1"/>
  <c r="O608" i="12"/>
  <c r="E599" i="15" s="1"/>
  <c r="O593" i="12"/>
  <c r="E584" i="15" s="1"/>
  <c r="Q436" i="12"/>
  <c r="G427" i="15" s="1"/>
  <c r="O425" i="12"/>
  <c r="E416" i="15" s="1"/>
  <c r="P293" i="12"/>
  <c r="F284" i="15" s="1"/>
  <c r="P295" i="12"/>
  <c r="F286" i="15" s="1"/>
  <c r="P461" i="12"/>
  <c r="F452" i="15" s="1"/>
  <c r="O32" i="12"/>
  <c r="E23" i="15" s="1"/>
  <c r="O29" i="12"/>
  <c r="E20" i="15" s="1"/>
  <c r="P66" i="12"/>
  <c r="F57" i="15" s="1"/>
  <c r="P137" i="12"/>
  <c r="F128" i="15" s="1"/>
  <c r="P150" i="12"/>
  <c r="F141" i="15" s="1"/>
  <c r="P531" i="12"/>
  <c r="F522" i="15" s="1"/>
  <c r="O599" i="12"/>
  <c r="E590" i="15" s="1"/>
  <c r="Q128" i="12"/>
  <c r="G119" i="15" s="1"/>
  <c r="P152" i="12"/>
  <c r="F143" i="15" s="1"/>
  <c r="Q123" i="12"/>
  <c r="G114" i="15" s="1"/>
  <c r="P55" i="12"/>
  <c r="F46" i="15" s="1"/>
  <c r="P50" i="12"/>
  <c r="F41" i="15" s="1"/>
  <c r="P77" i="12"/>
  <c r="F68" i="15" s="1"/>
  <c r="O121" i="12"/>
  <c r="E112" i="15" s="1"/>
  <c r="Q125" i="12"/>
  <c r="G116" i="15" s="1"/>
  <c r="P151" i="12"/>
  <c r="F142" i="15" s="1"/>
  <c r="P74" i="12"/>
  <c r="F65" i="15" s="1"/>
  <c r="P287" i="12"/>
  <c r="F278" i="15" s="1"/>
  <c r="Q267" i="12"/>
  <c r="G258" i="15" s="1"/>
  <c r="O440" i="12"/>
  <c r="E431" i="15" s="1"/>
  <c r="Q595" i="12"/>
  <c r="G586" i="15" s="1"/>
  <c r="O596" i="12"/>
  <c r="E587" i="15" s="1"/>
  <c r="O265" i="12"/>
  <c r="E256" i="15" s="1"/>
  <c r="Q604" i="12"/>
  <c r="G595" i="15" s="1"/>
  <c r="P362" i="12"/>
  <c r="F353" i="15" s="1"/>
  <c r="O602" i="12"/>
  <c r="E593" i="15" s="1"/>
  <c r="P463" i="12"/>
  <c r="F454" i="15" s="1"/>
  <c r="P455" i="12"/>
  <c r="F446" i="15" s="1"/>
  <c r="Q435" i="12"/>
  <c r="G426" i="15" s="1"/>
  <c r="Q427" i="12"/>
  <c r="G418" i="15" s="1"/>
  <c r="O600" i="12"/>
  <c r="E591" i="15" s="1"/>
  <c r="O601" i="12"/>
  <c r="E592" i="15" s="1"/>
  <c r="P294" i="12"/>
  <c r="F285" i="15" s="1"/>
  <c r="Q268" i="12"/>
  <c r="G259" i="15" s="1"/>
  <c r="O257" i="12"/>
  <c r="E248" i="15" s="1"/>
  <c r="O266" i="12"/>
  <c r="E257" i="15" s="1"/>
  <c r="P368" i="12"/>
  <c r="F359" i="15" s="1"/>
  <c r="O605" i="12"/>
  <c r="E596" i="15" s="1"/>
  <c r="E92" i="15"/>
  <c r="P286" i="12"/>
  <c r="F277" i="15" s="1"/>
  <c r="F109" i="15"/>
  <c r="Q428" i="12"/>
  <c r="G419" i="15" s="1"/>
  <c r="G83" i="15"/>
  <c r="P186" i="12"/>
  <c r="F177" i="15" s="1"/>
  <c r="F9" i="15"/>
  <c r="P450" i="12"/>
  <c r="F441" i="15" s="1"/>
  <c r="F105" i="15"/>
  <c r="Q264" i="12"/>
  <c r="G255" i="15" s="1"/>
  <c r="G87" i="15"/>
  <c r="O429" i="12"/>
  <c r="E420" i="15" s="1"/>
  <c r="E84" i="15"/>
  <c r="O270" i="12"/>
  <c r="E261" i="15" s="1"/>
  <c r="E93" i="15"/>
  <c r="O258" i="12"/>
  <c r="E249" i="15" s="1"/>
  <c r="E81" i="15"/>
  <c r="Q270" i="12"/>
  <c r="G261" i="15" s="1"/>
  <c r="G93" i="15"/>
  <c r="Q426" i="12"/>
  <c r="G417" i="15" s="1"/>
  <c r="G81" i="15"/>
  <c r="Q272" i="12"/>
  <c r="G263" i="15" s="1"/>
  <c r="G95" i="15"/>
  <c r="O427" i="12"/>
  <c r="E418" i="15" s="1"/>
  <c r="E82" i="15"/>
  <c r="O604" i="12"/>
  <c r="E595" i="15" s="1"/>
  <c r="E91" i="15"/>
  <c r="P460" i="12"/>
  <c r="F451" i="15" s="1"/>
  <c r="F115" i="15"/>
  <c r="P284" i="12"/>
  <c r="F275" i="15" s="1"/>
  <c r="F107" i="15"/>
  <c r="Q271" i="12"/>
  <c r="G262" i="15" s="1"/>
  <c r="G94" i="15"/>
  <c r="Q431" i="12"/>
  <c r="G422" i="15" s="1"/>
  <c r="G86" i="15"/>
  <c r="O430" i="12"/>
  <c r="E421" i="15" s="1"/>
  <c r="E85" i="15"/>
  <c r="P627" i="12"/>
  <c r="F618" i="15" s="1"/>
  <c r="F114" i="15"/>
  <c r="P624" i="12"/>
  <c r="F615" i="15" s="1"/>
  <c r="F111" i="15"/>
  <c r="P42" i="12"/>
  <c r="F33" i="15" s="1"/>
  <c r="O125" i="12"/>
  <c r="E116" i="15" s="1"/>
  <c r="Q18" i="12"/>
  <c r="G9" i="15" s="1"/>
  <c r="P54" i="12"/>
  <c r="F45" i="15" s="1"/>
  <c r="Q26" i="12"/>
  <c r="G17" i="15" s="1"/>
  <c r="O119" i="12"/>
  <c r="E110" i="15" s="1"/>
  <c r="Q114" i="12"/>
  <c r="G105" i="15" s="1"/>
  <c r="P146" i="12"/>
  <c r="F137" i="15" s="1"/>
  <c r="O114" i="12"/>
  <c r="E105" i="15" s="1"/>
  <c r="O118" i="12"/>
  <c r="E109" i="15" s="1"/>
  <c r="P148" i="12"/>
  <c r="F139" i="15" s="1"/>
  <c r="P170" i="12"/>
  <c r="F161" i="15" s="1"/>
  <c r="O18" i="12"/>
  <c r="E9" i="15" s="1"/>
  <c r="P147" i="12"/>
  <c r="F138" i="15" s="1"/>
  <c r="O126" i="12"/>
  <c r="E117" i="15" s="1"/>
  <c r="O27" i="12"/>
  <c r="E18" i="15" s="1"/>
  <c r="P282" i="12"/>
  <c r="F273" i="15" s="1"/>
  <c r="P454" i="12"/>
  <c r="F445" i="15" s="1"/>
  <c r="Q600" i="12"/>
  <c r="G591" i="15" s="1"/>
  <c r="O597" i="12"/>
  <c r="E588" i="15" s="1"/>
  <c r="O606" i="12"/>
  <c r="E597" i="15" s="1"/>
  <c r="O426" i="12"/>
  <c r="E417" i="15" s="1"/>
  <c r="D209" i="12"/>
  <c r="C200" i="15" s="1"/>
  <c r="E458" i="12"/>
  <c r="D449" i="15" s="1"/>
  <c r="D653" i="12"/>
  <c r="C644" i="15" s="1"/>
  <c r="O259" i="12"/>
  <c r="E250" i="15" s="1"/>
  <c r="P292" i="12"/>
  <c r="F283" i="15" s="1"/>
  <c r="P452" i="12"/>
  <c r="F443" i="15" s="1"/>
  <c r="Q439" i="12"/>
  <c r="G430" i="15" s="1"/>
  <c r="Q263" i="12"/>
  <c r="G254" i="15" s="1"/>
  <c r="O262" i="12"/>
  <c r="E253" i="15" s="1"/>
  <c r="E451" i="12"/>
  <c r="D442" i="15" s="1"/>
  <c r="E289" i="12"/>
  <c r="D280" i="15" s="1"/>
  <c r="P354" i="12"/>
  <c r="F345" i="15" s="1"/>
  <c r="Q606" i="12"/>
  <c r="G597" i="15" s="1"/>
  <c r="D316" i="12"/>
  <c r="C307" i="15" s="1"/>
  <c r="D675" i="12"/>
  <c r="C666" i="15" s="1"/>
  <c r="D506" i="12"/>
  <c r="C497" i="15" s="1"/>
  <c r="E186" i="12"/>
  <c r="D177" i="15" s="1"/>
  <c r="D378" i="12"/>
  <c r="C369" i="15" s="1"/>
  <c r="D390" i="12"/>
  <c r="C381" i="15" s="1"/>
  <c r="D402" i="12"/>
  <c r="C393" i="15" s="1"/>
  <c r="D473" i="12"/>
  <c r="C464" i="15" s="1"/>
  <c r="P51" i="12"/>
  <c r="Q118" i="12"/>
  <c r="G109" i="15" s="1"/>
  <c r="Q127" i="12"/>
  <c r="G118" i="15" s="1"/>
  <c r="P75" i="12"/>
  <c r="O117" i="12"/>
  <c r="Q260" i="12"/>
  <c r="G251" i="15" s="1"/>
  <c r="P522" i="12"/>
  <c r="F513" i="15" s="1"/>
  <c r="P618" i="12"/>
  <c r="F609" i="15" s="1"/>
  <c r="O437" i="12"/>
  <c r="E428" i="15" s="1"/>
  <c r="P622" i="12"/>
  <c r="F613" i="15" s="1"/>
  <c r="D652" i="12"/>
  <c r="C643" i="15" s="1"/>
  <c r="E630" i="12"/>
  <c r="D621" i="15" s="1"/>
  <c r="D315" i="12"/>
  <c r="C306" i="15" s="1"/>
  <c r="E362" i="12"/>
  <c r="D353" i="15" s="1"/>
  <c r="D318" i="12"/>
  <c r="C309" i="15" s="1"/>
  <c r="Q126" i="12"/>
  <c r="Q596" i="12"/>
  <c r="G587" i="15" s="1"/>
  <c r="E294" i="12"/>
  <c r="D285" i="15" s="1"/>
  <c r="D329" i="12"/>
  <c r="C320" i="15" s="1"/>
  <c r="P173" i="12"/>
  <c r="Q116" i="12"/>
  <c r="O123" i="12"/>
  <c r="E114" i="15" s="1"/>
  <c r="Q28" i="12"/>
  <c r="G19" i="15" s="1"/>
  <c r="P174" i="12"/>
  <c r="O116" i="12"/>
  <c r="P80" i="12"/>
  <c r="F71" i="15" s="1"/>
  <c r="O127" i="12"/>
  <c r="E118" i="15" s="1"/>
  <c r="Q31" i="12"/>
  <c r="O113" i="12"/>
  <c r="P53" i="12"/>
  <c r="F44" i="15" s="1"/>
  <c r="P41" i="12"/>
  <c r="F32" i="15" s="1"/>
  <c r="Q30" i="12"/>
  <c r="Q115" i="12"/>
  <c r="P162" i="12"/>
  <c r="F153" i="15" s="1"/>
  <c r="O115" i="12"/>
  <c r="E106" i="15" s="1"/>
  <c r="E624" i="12"/>
  <c r="D615" i="15" s="1"/>
  <c r="E621" i="12"/>
  <c r="D612" i="15" s="1"/>
  <c r="D498" i="12"/>
  <c r="C489" i="15" s="1"/>
  <c r="E353" i="12"/>
  <c r="D344" i="15" s="1"/>
  <c r="Q438" i="12"/>
  <c r="G429" i="15" s="1"/>
  <c r="P291" i="12"/>
  <c r="F282" i="15" s="1"/>
  <c r="Q258" i="12"/>
  <c r="G249" i="15" s="1"/>
  <c r="P456" i="12"/>
  <c r="F447" i="15" s="1"/>
  <c r="D342" i="12"/>
  <c r="C333" i="15" s="1"/>
  <c r="D248" i="12"/>
  <c r="C239" i="15" s="1"/>
  <c r="E535" i="12"/>
  <c r="D526" i="15" s="1"/>
  <c r="D512" i="12"/>
  <c r="C503" i="15" s="1"/>
  <c r="E449" i="12"/>
  <c r="D440" i="15" s="1"/>
  <c r="E623" i="12"/>
  <c r="D614" i="15" s="1"/>
  <c r="Q124" i="12"/>
  <c r="G115" i="15" s="1"/>
  <c r="Q120" i="12"/>
  <c r="P65" i="12"/>
  <c r="Q117" i="12"/>
  <c r="O128" i="12"/>
  <c r="E119" i="15" s="1"/>
  <c r="Q632" i="12"/>
  <c r="G623" i="15" s="1"/>
  <c r="Q296" i="12"/>
  <c r="G287" i="15" s="1"/>
  <c r="Q464" i="12"/>
  <c r="G455" i="15" s="1"/>
  <c r="P656" i="12"/>
  <c r="F647" i="15" s="1"/>
  <c r="P488" i="12"/>
  <c r="F479" i="15" s="1"/>
  <c r="P320" i="12"/>
  <c r="F311" i="15" s="1"/>
  <c r="Q627" i="12"/>
  <c r="G618" i="15" s="1"/>
  <c r="Q459" i="12"/>
  <c r="G450" i="15" s="1"/>
  <c r="Q291" i="12"/>
  <c r="G282" i="15" s="1"/>
  <c r="P391" i="12"/>
  <c r="F382" i="15" s="1"/>
  <c r="P559" i="12"/>
  <c r="F550" i="15" s="1"/>
  <c r="P223" i="12"/>
  <c r="F214" i="15" s="1"/>
  <c r="P554" i="12"/>
  <c r="F545" i="15" s="1"/>
  <c r="P218" i="12"/>
  <c r="F209" i="15" s="1"/>
  <c r="P386" i="12"/>
  <c r="F377" i="15" s="1"/>
  <c r="P521" i="12"/>
  <c r="F512" i="15" s="1"/>
  <c r="P185" i="12"/>
  <c r="F176" i="15" s="1"/>
  <c r="P353" i="12"/>
  <c r="F344" i="15" s="1"/>
  <c r="P581" i="12"/>
  <c r="F572" i="15" s="1"/>
  <c r="P245" i="12"/>
  <c r="F236" i="15" s="1"/>
  <c r="P413" i="12"/>
  <c r="F404" i="15" s="1"/>
  <c r="P52" i="12"/>
  <c r="F43" i="15" s="1"/>
  <c r="O625" i="12"/>
  <c r="E616" i="15" s="1"/>
  <c r="O457" i="12"/>
  <c r="E448" i="15" s="1"/>
  <c r="O289" i="12"/>
  <c r="E280" i="15" s="1"/>
  <c r="Q629" i="12"/>
  <c r="G620" i="15" s="1"/>
  <c r="Q461" i="12"/>
  <c r="G452" i="15" s="1"/>
  <c r="Q293" i="12"/>
  <c r="G284" i="15" s="1"/>
  <c r="P655" i="12"/>
  <c r="F646" i="15" s="1"/>
  <c r="P487" i="12"/>
  <c r="F478" i="15" s="1"/>
  <c r="P319" i="12"/>
  <c r="F310" i="15" s="1"/>
  <c r="O623" i="12"/>
  <c r="E614" i="15" s="1"/>
  <c r="O455" i="12"/>
  <c r="E446" i="15" s="1"/>
  <c r="O287" i="12"/>
  <c r="E278" i="15" s="1"/>
  <c r="Q618" i="12"/>
  <c r="G609" i="15" s="1"/>
  <c r="Q450" i="12"/>
  <c r="G441" i="15" s="1"/>
  <c r="P314" i="12"/>
  <c r="F305" i="15" s="1"/>
  <c r="P482" i="12"/>
  <c r="F473" i="15" s="1"/>
  <c r="O618" i="12"/>
  <c r="E609" i="15" s="1"/>
  <c r="Q622" i="12"/>
  <c r="G613" i="15" s="1"/>
  <c r="Q454" i="12"/>
  <c r="G445" i="15" s="1"/>
  <c r="Q631" i="12"/>
  <c r="G622" i="15" s="1"/>
  <c r="Q463" i="12"/>
  <c r="G454" i="15" s="1"/>
  <c r="O453" i="12"/>
  <c r="E444" i="15" s="1"/>
  <c r="P578" i="12"/>
  <c r="F569" i="15" s="1"/>
  <c r="P410" i="12"/>
  <c r="F401" i="15" s="1"/>
  <c r="P242" i="12"/>
  <c r="F233" i="15" s="1"/>
  <c r="Q602" i="12"/>
  <c r="G593" i="15" s="1"/>
  <c r="Q266" i="12"/>
  <c r="G257" i="15" s="1"/>
  <c r="Q434" i="12"/>
  <c r="G425" i="15" s="1"/>
  <c r="Q598" i="12"/>
  <c r="G589" i="15" s="1"/>
  <c r="Q262" i="12"/>
  <c r="G253" i="15" s="1"/>
  <c r="Q430" i="12"/>
  <c r="G421" i="15" s="1"/>
  <c r="Q605" i="12"/>
  <c r="G596" i="15" s="1"/>
  <c r="Q437" i="12"/>
  <c r="G428" i="15" s="1"/>
  <c r="Q269" i="12"/>
  <c r="G260" i="15" s="1"/>
  <c r="P632" i="12"/>
  <c r="F623" i="15" s="1"/>
  <c r="P464" i="12"/>
  <c r="F455" i="15" s="1"/>
  <c r="P296" i="12"/>
  <c r="F287" i="15" s="1"/>
  <c r="P533" i="12"/>
  <c r="F524" i="15" s="1"/>
  <c r="P197" i="12"/>
  <c r="F188" i="15" s="1"/>
  <c r="P365" i="12"/>
  <c r="F356" i="15" s="1"/>
  <c r="O622" i="12"/>
  <c r="E613" i="15" s="1"/>
  <c r="O454" i="12"/>
  <c r="E445" i="15" s="1"/>
  <c r="O286" i="12"/>
  <c r="E277" i="15" s="1"/>
  <c r="P316" i="12"/>
  <c r="F307" i="15" s="1"/>
  <c r="P652" i="12"/>
  <c r="F643" i="15" s="1"/>
  <c r="P484" i="12"/>
  <c r="F475" i="15" s="1"/>
  <c r="P171" i="12"/>
  <c r="F162" i="15" s="1"/>
  <c r="P506" i="12"/>
  <c r="F497" i="15" s="1"/>
  <c r="P338" i="12"/>
  <c r="F329" i="15" s="1"/>
  <c r="P674" i="12"/>
  <c r="F665" i="15" s="1"/>
  <c r="O354" i="12"/>
  <c r="E345" i="15" s="1"/>
  <c r="O522" i="12"/>
  <c r="E513" i="15" s="1"/>
  <c r="P161" i="12"/>
  <c r="F152" i="15" s="1"/>
  <c r="P651" i="12"/>
  <c r="F642" i="15" s="1"/>
  <c r="P483" i="12"/>
  <c r="F474" i="15" s="1"/>
  <c r="P315" i="12"/>
  <c r="F306" i="15" s="1"/>
  <c r="O630" i="12"/>
  <c r="E621" i="15" s="1"/>
  <c r="O462" i="12"/>
  <c r="E453" i="15" s="1"/>
  <c r="O294" i="12"/>
  <c r="E285" i="15" s="1"/>
  <c r="P546" i="12"/>
  <c r="F537" i="15" s="1"/>
  <c r="P378" i="12"/>
  <c r="F369" i="15" s="1"/>
  <c r="P210" i="12"/>
  <c r="F201" i="15" s="1"/>
  <c r="O629" i="12"/>
  <c r="E620" i="15" s="1"/>
  <c r="O293" i="12"/>
  <c r="E284" i="15" s="1"/>
  <c r="O461" i="12"/>
  <c r="E452" i="15" s="1"/>
  <c r="Q522" i="12"/>
  <c r="G513" i="15" s="1"/>
  <c r="Q186" i="12"/>
  <c r="G177" i="15" s="1"/>
  <c r="Q354" i="12"/>
  <c r="G345" i="15" s="1"/>
  <c r="P558" i="12"/>
  <c r="F549" i="15" s="1"/>
  <c r="P390" i="12"/>
  <c r="F381" i="15" s="1"/>
  <c r="P222" i="12"/>
  <c r="F213" i="15" s="1"/>
  <c r="O536" i="12"/>
  <c r="E527" i="15" s="1"/>
  <c r="O368" i="12"/>
  <c r="E359" i="15" s="1"/>
  <c r="O200" i="12"/>
  <c r="E191" i="15" s="1"/>
  <c r="O533" i="12"/>
  <c r="E524" i="15" s="1"/>
  <c r="O197" i="12"/>
  <c r="E188" i="15" s="1"/>
  <c r="O365" i="12"/>
  <c r="E356" i="15" s="1"/>
  <c r="P570" i="12"/>
  <c r="F561" i="15" s="1"/>
  <c r="P234" i="12"/>
  <c r="F225" i="15" s="1"/>
  <c r="P402" i="12"/>
  <c r="F393" i="15" s="1"/>
  <c r="P641" i="12"/>
  <c r="F632" i="15" s="1"/>
  <c r="P473" i="12"/>
  <c r="F464" i="15" s="1"/>
  <c r="P305" i="12"/>
  <c r="F296" i="15" s="1"/>
  <c r="Q530" i="12"/>
  <c r="G521" i="15" s="1"/>
  <c r="Q362" i="12"/>
  <c r="G353" i="15" s="1"/>
  <c r="Q194" i="12"/>
  <c r="G185" i="15" s="1"/>
  <c r="P654" i="12"/>
  <c r="F645" i="15" s="1"/>
  <c r="P486" i="12"/>
  <c r="F477" i="15" s="1"/>
  <c r="P318" i="12"/>
  <c r="F309" i="15" s="1"/>
  <c r="O531" i="12"/>
  <c r="E522" i="15" s="1"/>
  <c r="O363" i="12"/>
  <c r="E354" i="15" s="1"/>
  <c r="O195" i="12"/>
  <c r="E186" i="15" s="1"/>
  <c r="P367" i="12"/>
  <c r="F358" i="15" s="1"/>
  <c r="P535" i="12"/>
  <c r="F526" i="15" s="1"/>
  <c r="P199" i="12"/>
  <c r="F190" i="15" s="1"/>
  <c r="P625" i="12"/>
  <c r="F616" i="15" s="1"/>
  <c r="P289" i="12"/>
  <c r="F280" i="15" s="1"/>
  <c r="P457" i="12"/>
  <c r="F448" i="15" s="1"/>
  <c r="P617" i="12"/>
  <c r="F608" i="15" s="1"/>
  <c r="P281" i="12"/>
  <c r="F272" i="15" s="1"/>
  <c r="P449" i="12"/>
  <c r="F440" i="15" s="1"/>
  <c r="Q593" i="12"/>
  <c r="G584" i="15" s="1"/>
  <c r="Q425" i="12"/>
  <c r="G416" i="15" s="1"/>
  <c r="Q257" i="12"/>
  <c r="G248" i="15" s="1"/>
  <c r="Q620" i="12"/>
  <c r="G611" i="15" s="1"/>
  <c r="O627" i="12"/>
  <c r="E618" i="15" s="1"/>
  <c r="O459" i="12"/>
  <c r="E450" i="15" s="1"/>
  <c r="Q364" i="12"/>
  <c r="G355" i="15" s="1"/>
  <c r="Q532" i="12"/>
  <c r="G523" i="15" s="1"/>
  <c r="Q196" i="12"/>
  <c r="G187" i="15" s="1"/>
  <c r="P342" i="12"/>
  <c r="F333" i="15" s="1"/>
  <c r="P584" i="12"/>
  <c r="F575" i="15" s="1"/>
  <c r="P416" i="12"/>
  <c r="F407" i="15" s="1"/>
  <c r="P248" i="12"/>
  <c r="F239" i="15" s="1"/>
  <c r="O631" i="12"/>
  <c r="E622" i="15" s="1"/>
  <c r="O295" i="12"/>
  <c r="E286" i="15" s="1"/>
  <c r="O463" i="12"/>
  <c r="E454" i="15" s="1"/>
  <c r="O449" i="12"/>
  <c r="E440" i="15" s="1"/>
  <c r="P78" i="12"/>
  <c r="F69" i="15" s="1"/>
  <c r="P557" i="12"/>
  <c r="F548" i="15" s="1"/>
  <c r="P389" i="12"/>
  <c r="F380" i="15" s="1"/>
  <c r="P221" i="12"/>
  <c r="F212" i="15" s="1"/>
  <c r="P545" i="12"/>
  <c r="F536" i="15" s="1"/>
  <c r="P209" i="12"/>
  <c r="F200" i="15" s="1"/>
  <c r="P377" i="12"/>
  <c r="F368" i="15" s="1"/>
  <c r="Q283" i="12"/>
  <c r="G274" i="15" s="1"/>
  <c r="P330" i="12"/>
  <c r="F321" i="15" s="1"/>
  <c r="P498" i="12"/>
  <c r="F489" i="15" s="1"/>
  <c r="O120" i="12"/>
  <c r="E111" i="15" s="1"/>
  <c r="P176" i="12"/>
  <c r="F167" i="15" s="1"/>
  <c r="O619" i="12"/>
  <c r="E610" i="15" s="1"/>
  <c r="O451" i="12"/>
  <c r="E442" i="15" s="1"/>
  <c r="O283" i="12"/>
  <c r="E274" i="15" s="1"/>
  <c r="Q113" i="12"/>
  <c r="G104" i="15" s="1"/>
  <c r="O603" i="12"/>
  <c r="E594" i="15" s="1"/>
  <c r="O435" i="12"/>
  <c r="E426" i="15" s="1"/>
  <c r="O267" i="12"/>
  <c r="E258" i="15" s="1"/>
  <c r="P534" i="12"/>
  <c r="F525" i="15" s="1"/>
  <c r="P366" i="12"/>
  <c r="F357" i="15" s="1"/>
  <c r="P198" i="12"/>
  <c r="F189" i="15" s="1"/>
  <c r="Q597" i="12"/>
  <c r="G588" i="15" s="1"/>
  <c r="Q429" i="12"/>
  <c r="G420" i="15" s="1"/>
  <c r="Q261" i="12"/>
  <c r="G252" i="15" s="1"/>
  <c r="Q628" i="12"/>
  <c r="G619" i="15" s="1"/>
  <c r="Q460" i="12"/>
  <c r="G451" i="15" s="1"/>
  <c r="Q292" i="12"/>
  <c r="G283" i="15" s="1"/>
  <c r="Q624" i="12"/>
  <c r="G615" i="15" s="1"/>
  <c r="P569" i="12"/>
  <c r="F560" i="15" s="1"/>
  <c r="Q32" i="12"/>
  <c r="G23" i="15" s="1"/>
  <c r="O30" i="12"/>
  <c r="E21" i="15" s="1"/>
  <c r="P138" i="12"/>
  <c r="F129" i="15" s="1"/>
  <c r="P56" i="12"/>
  <c r="F47" i="15" s="1"/>
  <c r="Q27" i="12"/>
  <c r="G18" i="15" s="1"/>
  <c r="P79" i="12"/>
  <c r="F70" i="15" s="1"/>
  <c r="O464" i="12"/>
  <c r="E455" i="15" s="1"/>
  <c r="O296" i="12"/>
  <c r="E287" i="15" s="1"/>
  <c r="O632" i="12"/>
  <c r="E623" i="15" s="1"/>
  <c r="O26" i="12"/>
  <c r="E17" i="15" s="1"/>
  <c r="Q122" i="12"/>
  <c r="G113" i="15" s="1"/>
  <c r="P172" i="12"/>
  <c r="F163" i="15" s="1"/>
  <c r="Q121" i="12"/>
  <c r="G112" i="15" s="1"/>
  <c r="Q119" i="12"/>
  <c r="G110" i="15" s="1"/>
  <c r="O124" i="12"/>
  <c r="E115" i="15" s="1"/>
  <c r="O28" i="12"/>
  <c r="E19" i="15" s="1"/>
  <c r="P149" i="12"/>
  <c r="F140" i="15" s="1"/>
  <c r="P76" i="12"/>
  <c r="F67" i="15" s="1"/>
  <c r="Q29" i="12"/>
  <c r="G20" i="15" s="1"/>
  <c r="P175" i="12"/>
  <c r="F166" i="15" s="1"/>
  <c r="O122" i="12"/>
  <c r="E113" i="15" s="1"/>
  <c r="O31" i="12"/>
  <c r="E22" i="15" s="1"/>
  <c r="O607" i="12"/>
  <c r="E598" i="15" s="1"/>
  <c r="O439" i="12"/>
  <c r="E430" i="15" s="1"/>
  <c r="O271" i="12"/>
  <c r="E262" i="15" s="1"/>
  <c r="P621" i="12"/>
  <c r="F612" i="15" s="1"/>
  <c r="P453" i="12"/>
  <c r="F444" i="15" s="1"/>
  <c r="P285" i="12"/>
  <c r="F276" i="15" s="1"/>
  <c r="P532" i="12"/>
  <c r="F523" i="15" s="1"/>
  <c r="P364" i="12"/>
  <c r="F355" i="15" s="1"/>
  <c r="P196" i="12"/>
  <c r="F187" i="15" s="1"/>
  <c r="P626" i="12"/>
  <c r="F617" i="15" s="1"/>
  <c r="P458" i="12"/>
  <c r="F449" i="15" s="1"/>
  <c r="P290" i="12"/>
  <c r="F281" i="15" s="1"/>
  <c r="Q601" i="12"/>
  <c r="G592" i="15" s="1"/>
  <c r="Q433" i="12"/>
  <c r="G424" i="15" s="1"/>
  <c r="Q265" i="12"/>
  <c r="G256" i="15" s="1"/>
  <c r="E457" i="12"/>
  <c r="D448" i="15" s="1"/>
  <c r="D474" i="12"/>
  <c r="C465" i="15" s="1"/>
  <c r="D340" i="12"/>
  <c r="C331" i="15" s="1"/>
  <c r="E533" i="12"/>
  <c r="D524" i="15" s="1"/>
  <c r="E464" i="12"/>
  <c r="D455" i="15" s="1"/>
  <c r="E288" i="12"/>
  <c r="D279" i="15" s="1"/>
  <c r="D233" i="12"/>
  <c r="C224" i="15" s="1"/>
  <c r="E200" i="12"/>
  <c r="D191" i="15" s="1"/>
  <c r="E285" i="12"/>
  <c r="D276" i="15" s="1"/>
  <c r="D554" i="12"/>
  <c r="C545" i="15" s="1"/>
  <c r="D245" i="12"/>
  <c r="C236" i="15" s="1"/>
  <c r="D220" i="12"/>
  <c r="C211" i="15" s="1"/>
  <c r="D560" i="12"/>
  <c r="C551" i="15" s="1"/>
  <c r="E293" i="12"/>
  <c r="D284" i="15" s="1"/>
  <c r="E531" i="12"/>
  <c r="D522" i="15" s="1"/>
  <c r="D415" i="12"/>
  <c r="C406" i="15" s="1"/>
  <c r="E290" i="12"/>
  <c r="D281" i="15" s="1"/>
  <c r="E450" i="12"/>
  <c r="D441" i="15" s="1"/>
  <c r="D508" i="12"/>
  <c r="C499" i="15" s="1"/>
  <c r="E454" i="12"/>
  <c r="D445" i="15" s="1"/>
  <c r="D412" i="12"/>
  <c r="C403" i="15" s="1"/>
  <c r="D411" i="12"/>
  <c r="C402" i="15" s="1"/>
  <c r="D511" i="12"/>
  <c r="C502" i="15" s="1"/>
  <c r="E287" i="12"/>
  <c r="D278" i="15" s="1"/>
  <c r="D482" i="12"/>
  <c r="C473" i="15" s="1"/>
  <c r="E628" i="12"/>
  <c r="D619" i="15" s="1"/>
  <c r="D401" i="12"/>
  <c r="C392" i="15" s="1"/>
  <c r="D392" i="12"/>
  <c r="C383" i="15" s="1"/>
  <c r="E363" i="12"/>
  <c r="D354" i="15" s="1"/>
  <c r="D317" i="12"/>
  <c r="C308" i="15" s="1"/>
  <c r="D244" i="12"/>
  <c r="C235" i="15" s="1"/>
  <c r="D343" i="12"/>
  <c r="C334" i="15" s="1"/>
  <c r="D320" i="12"/>
  <c r="C311" i="15" s="1"/>
  <c r="D583" i="12"/>
  <c r="C574" i="15" s="1"/>
  <c r="D341" i="12"/>
  <c r="C332" i="15" s="1"/>
  <c r="E452" i="12"/>
  <c r="D443" i="15" s="1"/>
  <c r="D510" i="12"/>
  <c r="C501" i="15" s="1"/>
  <c r="D545" i="12"/>
  <c r="C536" i="15" s="1"/>
  <c r="E366" i="12"/>
  <c r="D357" i="15" s="1"/>
  <c r="D416" i="12"/>
  <c r="C407" i="15" s="1"/>
  <c r="D246" i="12"/>
  <c r="C237" i="15" s="1"/>
  <c r="E619" i="12"/>
  <c r="D610" i="15" s="1"/>
  <c r="D389" i="12"/>
  <c r="C380" i="15" s="1"/>
  <c r="D666" i="12"/>
  <c r="C657" i="15" s="1"/>
  <c r="D680" i="12"/>
  <c r="C671" i="15" s="1"/>
  <c r="E521" i="12"/>
  <c r="D512" i="15" s="1"/>
  <c r="E617" i="12"/>
  <c r="D608" i="15" s="1"/>
  <c r="E196" i="12"/>
  <c r="D187" i="15" s="1"/>
  <c r="E534" i="12"/>
  <c r="D525" i="15" s="1"/>
  <c r="E199" i="12"/>
  <c r="D190" i="15" s="1"/>
  <c r="D414" i="12"/>
  <c r="C405" i="15" s="1"/>
  <c r="D221" i="12"/>
  <c r="C212" i="15" s="1"/>
  <c r="E532" i="12"/>
  <c r="D523" i="15" s="1"/>
  <c r="N632" i="12"/>
  <c r="N464" i="12"/>
  <c r="N296" i="12"/>
  <c r="M656" i="12"/>
  <c r="M320" i="12"/>
  <c r="M488" i="12"/>
  <c r="N627" i="12"/>
  <c r="N459" i="12"/>
  <c r="N291" i="12"/>
  <c r="M559" i="12"/>
  <c r="M391" i="12"/>
  <c r="M223" i="12"/>
  <c r="M554" i="12"/>
  <c r="M386" i="12"/>
  <c r="M218" i="12"/>
  <c r="M413" i="12"/>
  <c r="M581" i="12"/>
  <c r="M245" i="12"/>
  <c r="M556" i="12"/>
  <c r="M388" i="12"/>
  <c r="M220" i="12"/>
  <c r="L625" i="12"/>
  <c r="L457" i="12"/>
  <c r="L289" i="12"/>
  <c r="N629" i="12"/>
  <c r="N293" i="12"/>
  <c r="N461" i="12"/>
  <c r="M655" i="12"/>
  <c r="M487" i="12"/>
  <c r="M319" i="12"/>
  <c r="L623" i="12"/>
  <c r="L287" i="12"/>
  <c r="L455" i="12"/>
  <c r="N618" i="12"/>
  <c r="N450" i="12"/>
  <c r="N282" i="12"/>
  <c r="M555" i="12"/>
  <c r="M387" i="12"/>
  <c r="M219" i="12"/>
  <c r="M650" i="12"/>
  <c r="M482" i="12"/>
  <c r="M314" i="12"/>
  <c r="L618" i="12"/>
  <c r="L450" i="12"/>
  <c r="L282" i="12"/>
  <c r="N622" i="12"/>
  <c r="N454" i="12"/>
  <c r="N286" i="12"/>
  <c r="N631" i="12"/>
  <c r="N463" i="12"/>
  <c r="N295" i="12"/>
  <c r="M411" i="12"/>
  <c r="M579" i="12"/>
  <c r="M243" i="12"/>
  <c r="L621" i="12"/>
  <c r="L453" i="12"/>
  <c r="L285" i="12"/>
  <c r="M578" i="12"/>
  <c r="M410" i="12"/>
  <c r="M242" i="12"/>
  <c r="M484" i="12"/>
  <c r="M316" i="12"/>
  <c r="M652" i="12"/>
  <c r="M674" i="12"/>
  <c r="M506" i="12"/>
  <c r="M338" i="12"/>
  <c r="L522" i="12"/>
  <c r="L186" i="12"/>
  <c r="L354" i="12"/>
  <c r="N630" i="12"/>
  <c r="N462" i="12"/>
  <c r="N294" i="12"/>
  <c r="M665" i="12"/>
  <c r="M497" i="12"/>
  <c r="M329" i="12"/>
  <c r="M651" i="12"/>
  <c r="M483" i="12"/>
  <c r="M315" i="12"/>
  <c r="L630" i="12"/>
  <c r="L462" i="12"/>
  <c r="L294" i="12"/>
  <c r="L521" i="12"/>
  <c r="L353" i="12"/>
  <c r="L185" i="12"/>
  <c r="M546" i="12"/>
  <c r="M210" i="12"/>
  <c r="M378" i="12"/>
  <c r="L629" i="12"/>
  <c r="L461" i="12"/>
  <c r="L293" i="12"/>
  <c r="N522" i="12"/>
  <c r="N354" i="12"/>
  <c r="N186" i="12"/>
  <c r="M558" i="12"/>
  <c r="M390" i="12"/>
  <c r="M222" i="12"/>
  <c r="L536" i="12"/>
  <c r="L368" i="12"/>
  <c r="L200" i="12"/>
  <c r="L533" i="12"/>
  <c r="L365" i="12"/>
  <c r="L197" i="12"/>
  <c r="M570" i="12"/>
  <c r="M402" i="12"/>
  <c r="M234" i="12"/>
  <c r="M641" i="12"/>
  <c r="M473" i="12"/>
  <c r="M305" i="12"/>
  <c r="N530" i="12"/>
  <c r="N362" i="12"/>
  <c r="N194" i="12"/>
  <c r="M654" i="12"/>
  <c r="M486" i="12"/>
  <c r="M318" i="12"/>
  <c r="L531" i="12"/>
  <c r="L363" i="12"/>
  <c r="L195" i="12"/>
  <c r="M675" i="12"/>
  <c r="M507" i="12"/>
  <c r="M339" i="12"/>
  <c r="M677" i="12"/>
  <c r="M341" i="12"/>
  <c r="M509" i="12"/>
  <c r="N620" i="12"/>
  <c r="N452" i="12"/>
  <c r="N284" i="12"/>
  <c r="L627" i="12"/>
  <c r="L291" i="12"/>
  <c r="L459" i="12"/>
  <c r="N532" i="12"/>
  <c r="N196" i="12"/>
  <c r="N364" i="12"/>
  <c r="M678" i="12"/>
  <c r="M342" i="12"/>
  <c r="M510" i="12"/>
  <c r="L452" i="12"/>
  <c r="L620" i="12"/>
  <c r="L284" i="12"/>
  <c r="M584" i="12"/>
  <c r="M248" i="12"/>
  <c r="M416" i="12"/>
  <c r="L463" i="12"/>
  <c r="L295" i="12"/>
  <c r="L631" i="12"/>
  <c r="N535" i="12"/>
  <c r="N199" i="12"/>
  <c r="N367" i="12"/>
  <c r="L617" i="12"/>
  <c r="L449" i="12"/>
  <c r="L281" i="12"/>
  <c r="M582" i="12"/>
  <c r="M414" i="12"/>
  <c r="M246" i="12"/>
  <c r="M557" i="12"/>
  <c r="M389" i="12"/>
  <c r="M221" i="12"/>
  <c r="M377" i="12"/>
  <c r="M545" i="12"/>
  <c r="M209" i="12"/>
  <c r="N366" i="12"/>
  <c r="N534" i="12"/>
  <c r="N198" i="12"/>
  <c r="N619" i="12"/>
  <c r="N451" i="12"/>
  <c r="N283" i="12"/>
  <c r="M666" i="12"/>
  <c r="M498" i="12"/>
  <c r="M330" i="12"/>
  <c r="L456" i="12"/>
  <c r="L624" i="12"/>
  <c r="L288" i="12"/>
  <c r="M680" i="12"/>
  <c r="M512" i="12"/>
  <c r="M344" i="12"/>
  <c r="N521" i="12"/>
  <c r="N353" i="12"/>
  <c r="N185" i="12"/>
  <c r="L619" i="12"/>
  <c r="L283" i="12"/>
  <c r="L451" i="12"/>
  <c r="N617" i="12"/>
  <c r="N281" i="12"/>
  <c r="N449" i="12"/>
  <c r="L454" i="12"/>
  <c r="L286" i="12"/>
  <c r="L622" i="12"/>
  <c r="N628" i="12"/>
  <c r="N460" i="12"/>
  <c r="N292" i="12"/>
  <c r="N624" i="12"/>
  <c r="N456" i="12"/>
  <c r="N288" i="12"/>
  <c r="M569" i="12"/>
  <c r="M401" i="12"/>
  <c r="M233" i="12"/>
  <c r="N368" i="12"/>
  <c r="N536" i="12"/>
  <c r="N200" i="12"/>
  <c r="N621" i="12"/>
  <c r="N285" i="12"/>
  <c r="N453" i="12"/>
  <c r="L534" i="12"/>
  <c r="L366" i="12"/>
  <c r="L198" i="12"/>
  <c r="M642" i="12"/>
  <c r="M474" i="12"/>
  <c r="M306" i="12"/>
  <c r="M560" i="12"/>
  <c r="M224" i="12"/>
  <c r="M392" i="12"/>
  <c r="N363" i="12"/>
  <c r="N531" i="12"/>
  <c r="N195" i="12"/>
  <c r="M583" i="12"/>
  <c r="M415" i="12"/>
  <c r="M247" i="12"/>
  <c r="L632" i="12"/>
  <c r="L464" i="12"/>
  <c r="L296" i="12"/>
  <c r="L530" i="12"/>
  <c r="L194" i="12"/>
  <c r="L362" i="12"/>
  <c r="N626" i="12"/>
  <c r="N458" i="12"/>
  <c r="N290" i="12"/>
  <c r="M676" i="12"/>
  <c r="M508" i="12"/>
  <c r="M340" i="12"/>
  <c r="N625" i="12"/>
  <c r="N457" i="12"/>
  <c r="N289" i="12"/>
  <c r="N623" i="12"/>
  <c r="N455" i="12"/>
  <c r="N287" i="12"/>
  <c r="L628" i="12"/>
  <c r="L460" i="12"/>
  <c r="L292" i="12"/>
  <c r="L532" i="12"/>
  <c r="L364" i="12"/>
  <c r="L196" i="12"/>
  <c r="M653" i="12"/>
  <c r="M485" i="12"/>
  <c r="M317" i="12"/>
  <c r="M580" i="12"/>
  <c r="M244" i="12"/>
  <c r="M412" i="12"/>
  <c r="N533" i="12"/>
  <c r="N365" i="12"/>
  <c r="N197" i="12"/>
  <c r="M679" i="12"/>
  <c r="M511" i="12"/>
  <c r="M343" i="12"/>
  <c r="L626" i="12"/>
  <c r="L458" i="12"/>
  <c r="L290" i="12"/>
  <c r="L535" i="12"/>
  <c r="L367" i="12"/>
  <c r="L199" i="12"/>
  <c r="E77" i="12"/>
  <c r="K82" i="9"/>
  <c r="N77" i="12" s="1"/>
  <c r="H82" i="9"/>
  <c r="K77" i="12" s="1"/>
  <c r="E137" i="12"/>
  <c r="K142" i="9"/>
  <c r="N137" i="12" s="1"/>
  <c r="H142" i="9"/>
  <c r="K137" i="12" s="1"/>
  <c r="E74" i="12"/>
  <c r="K79" i="9"/>
  <c r="N74" i="12" s="1"/>
  <c r="H79" i="9"/>
  <c r="K74" i="12" s="1"/>
  <c r="E176" i="12"/>
  <c r="K181" i="9"/>
  <c r="N176" i="12" s="1"/>
  <c r="H181" i="9"/>
  <c r="K176" i="12" s="1"/>
  <c r="E52" i="12"/>
  <c r="K57" i="9"/>
  <c r="N52" i="12" s="1"/>
  <c r="H57" i="9"/>
  <c r="K52" i="12" s="1"/>
  <c r="I157" i="9"/>
  <c r="L152" i="12" s="1"/>
  <c r="F157" i="9"/>
  <c r="I152" i="12" s="1"/>
  <c r="I57" i="9"/>
  <c r="L52" i="12" s="1"/>
  <c r="F57" i="9"/>
  <c r="I52" i="12" s="1"/>
  <c r="I58" i="9"/>
  <c r="L53" i="12" s="1"/>
  <c r="F58" i="9"/>
  <c r="I53" i="12" s="1"/>
  <c r="J677" i="12"/>
  <c r="J509" i="12"/>
  <c r="J341" i="12"/>
  <c r="K452" i="12"/>
  <c r="K620" i="12"/>
  <c r="K284" i="12"/>
  <c r="I627" i="12"/>
  <c r="I459" i="12"/>
  <c r="I291" i="12"/>
  <c r="K532" i="12"/>
  <c r="K364" i="12"/>
  <c r="K196" i="12"/>
  <c r="J510" i="12"/>
  <c r="J342" i="12"/>
  <c r="J678" i="12"/>
  <c r="K630" i="12"/>
  <c r="K462" i="12"/>
  <c r="K294" i="12"/>
  <c r="J665" i="12"/>
  <c r="J497" i="12"/>
  <c r="J329" i="12"/>
  <c r="J651" i="12"/>
  <c r="J315" i="12"/>
  <c r="J483" i="12"/>
  <c r="I462" i="12"/>
  <c r="I294" i="12"/>
  <c r="I630" i="12"/>
  <c r="I17" i="12"/>
  <c r="O17" i="12" s="1"/>
  <c r="E8" i="15" s="1"/>
  <c r="J546" i="12"/>
  <c r="J210" i="12"/>
  <c r="J378" i="12"/>
  <c r="I293" i="12"/>
  <c r="I629" i="12"/>
  <c r="I461" i="12"/>
  <c r="K354" i="12"/>
  <c r="K186" i="12"/>
  <c r="K522" i="12"/>
  <c r="J558" i="12"/>
  <c r="J390" i="12"/>
  <c r="J222" i="12"/>
  <c r="I536" i="12"/>
  <c r="I368" i="12"/>
  <c r="I200" i="12"/>
  <c r="I197" i="12"/>
  <c r="I365" i="12"/>
  <c r="I533" i="12"/>
  <c r="J234" i="12"/>
  <c r="J402" i="12"/>
  <c r="J570" i="12"/>
  <c r="J473" i="12"/>
  <c r="J641" i="12"/>
  <c r="J305" i="12"/>
  <c r="K530" i="12"/>
  <c r="K194" i="12"/>
  <c r="K362" i="12"/>
  <c r="J486" i="12"/>
  <c r="J654" i="12"/>
  <c r="J318" i="12"/>
  <c r="I531" i="12"/>
  <c r="I363" i="12"/>
  <c r="I195" i="12"/>
  <c r="E175" i="12"/>
  <c r="E679" i="12" s="1"/>
  <c r="D670" i="15" s="1"/>
  <c r="K180" i="9"/>
  <c r="N175" i="12" s="1"/>
  <c r="H180" i="9"/>
  <c r="K175" i="12" s="1"/>
  <c r="I56" i="9"/>
  <c r="L51" i="12" s="1"/>
  <c r="F56" i="9"/>
  <c r="I51" i="12" s="1"/>
  <c r="E79" i="12"/>
  <c r="K84" i="9"/>
  <c r="N79" i="12" s="1"/>
  <c r="H84" i="9"/>
  <c r="K79" i="12" s="1"/>
  <c r="I60" i="9"/>
  <c r="L55" i="12" s="1"/>
  <c r="F60" i="9"/>
  <c r="I55" i="12" s="1"/>
  <c r="E174" i="12"/>
  <c r="K179" i="9"/>
  <c r="N174" i="12" s="1"/>
  <c r="H179" i="9"/>
  <c r="K174" i="12" s="1"/>
  <c r="E42" i="12"/>
  <c r="K47" i="9"/>
  <c r="N42" i="12" s="1"/>
  <c r="H47" i="9"/>
  <c r="K42" i="12" s="1"/>
  <c r="I59" i="9"/>
  <c r="L54" i="12" s="1"/>
  <c r="F59" i="9"/>
  <c r="I54" i="12" s="1"/>
  <c r="I47" i="9"/>
  <c r="L42" i="12" s="1"/>
  <c r="F47" i="9"/>
  <c r="I42" i="12" s="1"/>
  <c r="E173" i="12"/>
  <c r="K178" i="9"/>
  <c r="N173" i="12" s="1"/>
  <c r="H178" i="9"/>
  <c r="K173" i="12" s="1"/>
  <c r="E65" i="12"/>
  <c r="K70" i="9"/>
  <c r="N65" i="12" s="1"/>
  <c r="H70" i="9"/>
  <c r="K65" i="12" s="1"/>
  <c r="I142" i="9"/>
  <c r="L137" i="12" s="1"/>
  <c r="F142" i="9"/>
  <c r="I137" i="12" s="1"/>
  <c r="I151" i="9"/>
  <c r="L146" i="12" s="1"/>
  <c r="F151" i="9"/>
  <c r="I146" i="12" s="1"/>
  <c r="E76" i="12"/>
  <c r="K81" i="9"/>
  <c r="N76" i="12" s="1"/>
  <c r="H81" i="9"/>
  <c r="K76" i="12" s="1"/>
  <c r="I154" i="9"/>
  <c r="L149" i="12" s="1"/>
  <c r="F154" i="9"/>
  <c r="I149" i="12" s="1"/>
  <c r="E632" i="12"/>
  <c r="D623" i="15" s="1"/>
  <c r="D677" i="12"/>
  <c r="C668" i="15" s="1"/>
  <c r="E620" i="12"/>
  <c r="D611" i="15" s="1"/>
  <c r="K292" i="12"/>
  <c r="K628" i="12"/>
  <c r="K460" i="12"/>
  <c r="K624" i="12"/>
  <c r="K456" i="12"/>
  <c r="K288" i="12"/>
  <c r="J569" i="12"/>
  <c r="J233" i="12"/>
  <c r="J401" i="12"/>
  <c r="K200" i="12"/>
  <c r="K536" i="12"/>
  <c r="K368" i="12"/>
  <c r="K621" i="12"/>
  <c r="K453" i="12"/>
  <c r="K285" i="12"/>
  <c r="I366" i="12"/>
  <c r="I534" i="12"/>
  <c r="I198" i="12"/>
  <c r="I452" i="12"/>
  <c r="I620" i="12"/>
  <c r="I284" i="12"/>
  <c r="J416" i="12"/>
  <c r="J248" i="12"/>
  <c r="J584" i="12"/>
  <c r="I631" i="12"/>
  <c r="I463" i="12"/>
  <c r="I295" i="12"/>
  <c r="K199" i="12"/>
  <c r="K535" i="12"/>
  <c r="K367" i="12"/>
  <c r="I617" i="12"/>
  <c r="I449" i="12"/>
  <c r="I281" i="12"/>
  <c r="J414" i="12"/>
  <c r="J246" i="12"/>
  <c r="J582" i="12"/>
  <c r="J557" i="12"/>
  <c r="J221" i="12"/>
  <c r="J389" i="12"/>
  <c r="J209" i="12"/>
  <c r="J377" i="12"/>
  <c r="J545" i="12"/>
  <c r="K198" i="12"/>
  <c r="K366" i="12"/>
  <c r="K534" i="12"/>
  <c r="K283" i="12"/>
  <c r="K619" i="12"/>
  <c r="K451" i="12"/>
  <c r="J330" i="12"/>
  <c r="J498" i="12"/>
  <c r="J666" i="12"/>
  <c r="I456" i="12"/>
  <c r="I288" i="12"/>
  <c r="I624" i="12"/>
  <c r="J680" i="12"/>
  <c r="J512" i="12"/>
  <c r="J344" i="12"/>
  <c r="K17" i="12"/>
  <c r="Q17" i="12" s="1"/>
  <c r="G8" i="15" s="1"/>
  <c r="I619" i="12"/>
  <c r="I451" i="12"/>
  <c r="I283" i="12"/>
  <c r="K617" i="12"/>
  <c r="K449" i="12"/>
  <c r="K281" i="12"/>
  <c r="E78" i="12"/>
  <c r="K83" i="9"/>
  <c r="N78" i="12" s="1"/>
  <c r="H83" i="9"/>
  <c r="K78" i="12" s="1"/>
  <c r="E75" i="12"/>
  <c r="K80" i="9"/>
  <c r="N75" i="12" s="1"/>
  <c r="H80" i="9"/>
  <c r="K75" i="12" s="1"/>
  <c r="E147" i="12"/>
  <c r="K152" i="9"/>
  <c r="N147" i="12" s="1"/>
  <c r="H152" i="9"/>
  <c r="K147" i="12" s="1"/>
  <c r="E150" i="12"/>
  <c r="K155" i="9"/>
  <c r="N150" i="12" s="1"/>
  <c r="H155" i="9"/>
  <c r="K150" i="12" s="1"/>
  <c r="E152" i="12"/>
  <c r="K157" i="9"/>
  <c r="N152" i="12" s="1"/>
  <c r="H157" i="9"/>
  <c r="K152" i="12" s="1"/>
  <c r="E56" i="12"/>
  <c r="K61" i="9"/>
  <c r="N56" i="12" s="1"/>
  <c r="H61" i="9"/>
  <c r="K56" i="12" s="1"/>
  <c r="E148" i="12"/>
  <c r="K153" i="9"/>
  <c r="N148" i="12" s="1"/>
  <c r="H153" i="9"/>
  <c r="K148" i="12" s="1"/>
  <c r="I61" i="9"/>
  <c r="L56" i="12" s="1"/>
  <c r="F61" i="9"/>
  <c r="I56" i="12" s="1"/>
  <c r="I153" i="9"/>
  <c r="L148" i="12" s="1"/>
  <c r="F153" i="9"/>
  <c r="I148" i="12" s="1"/>
  <c r="K632" i="12"/>
  <c r="K464" i="12"/>
  <c r="K296" i="12"/>
  <c r="J320" i="12"/>
  <c r="J656" i="12"/>
  <c r="J488" i="12"/>
  <c r="K627" i="12"/>
  <c r="K459" i="12"/>
  <c r="K291" i="12"/>
  <c r="J559" i="12"/>
  <c r="J223" i="12"/>
  <c r="J391" i="12"/>
  <c r="J218" i="12"/>
  <c r="J386" i="12"/>
  <c r="J554" i="12"/>
  <c r="G14" i="9"/>
  <c r="J306" i="12"/>
  <c r="J642" i="12"/>
  <c r="J474" i="12"/>
  <c r="J224" i="12"/>
  <c r="J392" i="12"/>
  <c r="J560" i="12"/>
  <c r="K531" i="12"/>
  <c r="K363" i="12"/>
  <c r="K195" i="12"/>
  <c r="J583" i="12"/>
  <c r="J247" i="12"/>
  <c r="J415" i="12"/>
  <c r="I296" i="12"/>
  <c r="I464" i="12"/>
  <c r="I632" i="12"/>
  <c r="I530" i="12"/>
  <c r="I194" i="12"/>
  <c r="I362" i="12"/>
  <c r="K290" i="12"/>
  <c r="K626" i="12"/>
  <c r="K458" i="12"/>
  <c r="J676" i="12"/>
  <c r="J508" i="12"/>
  <c r="J340" i="12"/>
  <c r="K625" i="12"/>
  <c r="K457" i="12"/>
  <c r="K289" i="12"/>
  <c r="K623" i="12"/>
  <c r="K455" i="12"/>
  <c r="K287" i="12"/>
  <c r="I628" i="12"/>
  <c r="I460" i="12"/>
  <c r="I292" i="12"/>
  <c r="I532" i="12"/>
  <c r="I196" i="12"/>
  <c r="I364" i="12"/>
  <c r="J485" i="12"/>
  <c r="J653" i="12"/>
  <c r="J317" i="12"/>
  <c r="J244" i="12"/>
  <c r="J580" i="12"/>
  <c r="J412" i="12"/>
  <c r="K533" i="12"/>
  <c r="K365" i="12"/>
  <c r="K197" i="12"/>
  <c r="J343" i="12"/>
  <c r="J511" i="12"/>
  <c r="J679" i="12"/>
  <c r="I290" i="12"/>
  <c r="I458" i="12"/>
  <c r="I626" i="12"/>
  <c r="I199" i="12"/>
  <c r="I535" i="12"/>
  <c r="I367" i="12"/>
  <c r="E171" i="12"/>
  <c r="K176" i="9"/>
  <c r="N171" i="12" s="1"/>
  <c r="H176" i="9"/>
  <c r="K171" i="12" s="1"/>
  <c r="E138" i="12"/>
  <c r="E642" i="12" s="1"/>
  <c r="D633" i="15" s="1"/>
  <c r="K143" i="9"/>
  <c r="N138" i="12" s="1"/>
  <c r="H143" i="9"/>
  <c r="K138" i="12" s="1"/>
  <c r="E151" i="12"/>
  <c r="K156" i="9"/>
  <c r="N151" i="12" s="1"/>
  <c r="H156" i="9"/>
  <c r="K151" i="12" s="1"/>
  <c r="E53" i="12"/>
  <c r="K58" i="9"/>
  <c r="N53" i="12" s="1"/>
  <c r="H58" i="9"/>
  <c r="K53" i="12" s="1"/>
  <c r="E161" i="12"/>
  <c r="K166" i="9"/>
  <c r="N161" i="12" s="1"/>
  <c r="H166" i="9"/>
  <c r="K161" i="12" s="1"/>
  <c r="E146" i="12"/>
  <c r="K151" i="9"/>
  <c r="N146" i="12" s="1"/>
  <c r="H151" i="9"/>
  <c r="K146" i="12" s="1"/>
  <c r="E170" i="12"/>
  <c r="K175" i="9"/>
  <c r="N170" i="12" s="1"/>
  <c r="H175" i="9"/>
  <c r="K170" i="12" s="1"/>
  <c r="E51" i="12"/>
  <c r="K56" i="9"/>
  <c r="N51" i="12" s="1"/>
  <c r="H56" i="9"/>
  <c r="K51" i="12" s="1"/>
  <c r="E55" i="12"/>
  <c r="K60" i="9"/>
  <c r="N55" i="12" s="1"/>
  <c r="H60" i="9"/>
  <c r="K55" i="12" s="1"/>
  <c r="I152" i="9"/>
  <c r="L147" i="12" s="1"/>
  <c r="F152" i="9"/>
  <c r="I147" i="12" s="1"/>
  <c r="I156" i="9"/>
  <c r="L151" i="12" s="1"/>
  <c r="F156" i="9"/>
  <c r="I151" i="12" s="1"/>
  <c r="E54" i="12"/>
  <c r="K59" i="9"/>
  <c r="N54" i="12" s="1"/>
  <c r="H59" i="9"/>
  <c r="K54" i="12" s="1"/>
  <c r="E66" i="12"/>
  <c r="K71" i="9"/>
  <c r="N66" i="12" s="1"/>
  <c r="H71" i="9"/>
  <c r="K66" i="12" s="1"/>
  <c r="E162" i="12"/>
  <c r="K167" i="9"/>
  <c r="N162" i="12" s="1"/>
  <c r="H167" i="9"/>
  <c r="K162" i="12" s="1"/>
  <c r="I155" i="9"/>
  <c r="L150" i="12" s="1"/>
  <c r="F155" i="9"/>
  <c r="I150" i="12" s="1"/>
  <c r="I143" i="9"/>
  <c r="L138" i="12" s="1"/>
  <c r="F143" i="9"/>
  <c r="I138" i="12" s="1"/>
  <c r="E149" i="12"/>
  <c r="K154" i="9"/>
  <c r="N149" i="12" s="1"/>
  <c r="H154" i="9"/>
  <c r="K149" i="12" s="1"/>
  <c r="E41" i="12"/>
  <c r="K46" i="9"/>
  <c r="N41" i="12" s="1"/>
  <c r="H46" i="9"/>
  <c r="K41" i="12" s="1"/>
  <c r="E50" i="12"/>
  <c r="K55" i="9"/>
  <c r="N50" i="12" s="1"/>
  <c r="H55" i="9"/>
  <c r="K50" i="12" s="1"/>
  <c r="I46" i="9"/>
  <c r="L41" i="12" s="1"/>
  <c r="F46" i="9"/>
  <c r="I41" i="12" s="1"/>
  <c r="I55" i="9"/>
  <c r="L50" i="12" s="1"/>
  <c r="F55" i="9"/>
  <c r="I50" i="12" s="1"/>
  <c r="E80" i="12"/>
  <c r="K85" i="9"/>
  <c r="N80" i="12" s="1"/>
  <c r="H85" i="9"/>
  <c r="K80" i="12" s="1"/>
  <c r="E172" i="12"/>
  <c r="K177" i="9"/>
  <c r="N172" i="12" s="1"/>
  <c r="H177" i="9"/>
  <c r="K172" i="12" s="1"/>
  <c r="I622" i="12"/>
  <c r="I286" i="12"/>
  <c r="I454" i="12"/>
  <c r="J484" i="12"/>
  <c r="J652" i="12"/>
  <c r="J316" i="12"/>
  <c r="J675" i="12"/>
  <c r="J339" i="12"/>
  <c r="J507" i="12"/>
  <c r="J338" i="12"/>
  <c r="J674" i="12"/>
  <c r="J506" i="12"/>
  <c r="I522" i="12"/>
  <c r="I354" i="12"/>
  <c r="I186" i="12"/>
  <c r="J521" i="12"/>
  <c r="J353" i="12"/>
  <c r="J185" i="12"/>
  <c r="J581" i="12"/>
  <c r="J245" i="12"/>
  <c r="J413" i="12"/>
  <c r="J556" i="12"/>
  <c r="J388" i="12"/>
  <c r="J220" i="12"/>
  <c r="I289" i="12"/>
  <c r="I625" i="12"/>
  <c r="I457" i="12"/>
  <c r="K461" i="12"/>
  <c r="K293" i="12"/>
  <c r="K629" i="12"/>
  <c r="J655" i="12"/>
  <c r="J487" i="12"/>
  <c r="J319" i="12"/>
  <c r="I623" i="12"/>
  <c r="I455" i="12"/>
  <c r="I287" i="12"/>
  <c r="K618" i="12"/>
  <c r="K450" i="12"/>
  <c r="K282" i="12"/>
  <c r="J555" i="12"/>
  <c r="J219" i="12"/>
  <c r="J387" i="12"/>
  <c r="J650" i="12"/>
  <c r="J314" i="12"/>
  <c r="J482" i="12"/>
  <c r="I450" i="12"/>
  <c r="I282" i="12"/>
  <c r="I618" i="12"/>
  <c r="K622" i="12"/>
  <c r="K454" i="12"/>
  <c r="K286" i="12"/>
  <c r="K295" i="12"/>
  <c r="K631" i="12"/>
  <c r="K463" i="12"/>
  <c r="J411" i="12"/>
  <c r="J579" i="12"/>
  <c r="J243" i="12"/>
  <c r="I285" i="12"/>
  <c r="I621" i="12"/>
  <c r="I453" i="12"/>
  <c r="J578" i="12"/>
  <c r="J410" i="12"/>
  <c r="J242" i="12"/>
  <c r="C185" i="12"/>
  <c r="B176" i="15" s="1"/>
  <c r="E473" i="12"/>
  <c r="D464" i="15" s="1"/>
  <c r="E546" i="12"/>
  <c r="D537" i="15" s="1"/>
  <c r="G9" i="7"/>
  <c r="E675" i="12"/>
  <c r="D666" i="15" s="1"/>
  <c r="E560" i="12"/>
  <c r="D551" i="15" s="1"/>
  <c r="E653" i="12"/>
  <c r="D644" i="15" s="1"/>
  <c r="G329" i="12"/>
  <c r="G497" i="12"/>
  <c r="G665" i="12"/>
  <c r="F631" i="12"/>
  <c r="F463" i="12"/>
  <c r="F295" i="12"/>
  <c r="F621" i="12"/>
  <c r="F453" i="12"/>
  <c r="F285" i="12"/>
  <c r="H197" i="12"/>
  <c r="H365" i="12"/>
  <c r="H533" i="12"/>
  <c r="G247" i="12"/>
  <c r="G415" i="12"/>
  <c r="G583" i="12"/>
  <c r="G314" i="12"/>
  <c r="G482" i="12"/>
  <c r="G650" i="12"/>
  <c r="F521" i="12"/>
  <c r="F353" i="12"/>
  <c r="F185" i="12"/>
  <c r="F530" i="12"/>
  <c r="F362" i="12"/>
  <c r="F194" i="12"/>
  <c r="G341" i="12"/>
  <c r="G509" i="12"/>
  <c r="G677" i="12"/>
  <c r="F622" i="12"/>
  <c r="F454" i="12"/>
  <c r="F286" i="12"/>
  <c r="H288" i="12"/>
  <c r="H456" i="12"/>
  <c r="H624" i="12"/>
  <c r="G233" i="12"/>
  <c r="G401" i="12"/>
  <c r="G569" i="12"/>
  <c r="H289" i="12"/>
  <c r="H457" i="12"/>
  <c r="H625" i="12"/>
  <c r="G243" i="12"/>
  <c r="G411" i="12"/>
  <c r="G579" i="12"/>
  <c r="G218" i="12"/>
  <c r="G386" i="12"/>
  <c r="G554" i="12"/>
  <c r="G315" i="12"/>
  <c r="G483" i="12"/>
  <c r="G651" i="12"/>
  <c r="G330" i="12"/>
  <c r="G498" i="12"/>
  <c r="G666" i="12"/>
  <c r="G320" i="12"/>
  <c r="G488" i="12"/>
  <c r="G656" i="12"/>
  <c r="H292" i="12"/>
  <c r="H460" i="12"/>
  <c r="H628" i="12"/>
  <c r="H363" i="12"/>
  <c r="H195" i="12"/>
  <c r="H531" i="12"/>
  <c r="G343" i="12"/>
  <c r="G511" i="12"/>
  <c r="G679" i="12"/>
  <c r="F626" i="12"/>
  <c r="F458" i="12"/>
  <c r="F290" i="12"/>
  <c r="F531" i="12"/>
  <c r="F363" i="12"/>
  <c r="F195" i="12"/>
  <c r="F282" i="12"/>
  <c r="F618" i="12"/>
  <c r="F450" i="12"/>
  <c r="G220" i="12"/>
  <c r="G388" i="12"/>
  <c r="G556" i="12"/>
  <c r="G319" i="12"/>
  <c r="G487" i="12"/>
  <c r="G655" i="12"/>
  <c r="H294" i="12"/>
  <c r="H462" i="12"/>
  <c r="H630" i="12"/>
  <c r="G305" i="12"/>
  <c r="G473" i="12"/>
  <c r="G641" i="12"/>
  <c r="H17" i="12"/>
  <c r="H194" i="12"/>
  <c r="H362" i="12"/>
  <c r="H530" i="12"/>
  <c r="F283" i="12"/>
  <c r="F619" i="12"/>
  <c r="F451" i="12"/>
  <c r="H287" i="12"/>
  <c r="H455" i="12"/>
  <c r="H623" i="12"/>
  <c r="F632" i="12"/>
  <c r="F464" i="12"/>
  <c r="F296" i="12"/>
  <c r="G234" i="12"/>
  <c r="G402" i="12"/>
  <c r="G570" i="12"/>
  <c r="G244" i="12"/>
  <c r="G412" i="12"/>
  <c r="G580" i="12"/>
  <c r="H293" i="12"/>
  <c r="H461" i="12"/>
  <c r="H629" i="12"/>
  <c r="H200" i="12"/>
  <c r="H368" i="12"/>
  <c r="H536" i="12"/>
  <c r="H285" i="12"/>
  <c r="H453" i="12"/>
  <c r="H621" i="12"/>
  <c r="F536" i="12"/>
  <c r="F368" i="12"/>
  <c r="F200" i="12"/>
  <c r="F532" i="12"/>
  <c r="F364" i="12"/>
  <c r="F196" i="12"/>
  <c r="F625" i="12"/>
  <c r="F457" i="12"/>
  <c r="F289" i="12"/>
  <c r="G222" i="12"/>
  <c r="G390" i="12"/>
  <c r="G558" i="12"/>
  <c r="F617" i="12"/>
  <c r="F449" i="12"/>
  <c r="F281" i="12"/>
  <c r="G344" i="12"/>
  <c r="G512" i="12"/>
  <c r="G680" i="12"/>
  <c r="H198" i="12"/>
  <c r="H534" i="12"/>
  <c r="H366" i="12"/>
  <c r="H186" i="12"/>
  <c r="H354" i="12"/>
  <c r="H522" i="12"/>
  <c r="G223" i="12"/>
  <c r="G391" i="12"/>
  <c r="G559" i="12"/>
  <c r="F534" i="12"/>
  <c r="F366" i="12"/>
  <c r="F198" i="12"/>
  <c r="F522" i="12"/>
  <c r="F354" i="12"/>
  <c r="F186" i="12"/>
  <c r="H290" i="12"/>
  <c r="H458" i="12"/>
  <c r="H626" i="12"/>
  <c r="H282" i="12"/>
  <c r="H450" i="12"/>
  <c r="H618" i="12"/>
  <c r="H295" i="12"/>
  <c r="H463" i="12"/>
  <c r="H631" i="12"/>
  <c r="G342" i="12"/>
  <c r="G510" i="12"/>
  <c r="G678" i="12"/>
  <c r="F620" i="12"/>
  <c r="F452" i="12"/>
  <c r="F284" i="12"/>
  <c r="F624" i="12"/>
  <c r="F456" i="12"/>
  <c r="F288" i="12"/>
  <c r="G224" i="12"/>
  <c r="G392" i="12"/>
  <c r="G560" i="12"/>
  <c r="F629" i="12"/>
  <c r="F461" i="12"/>
  <c r="F293" i="12"/>
  <c r="G338" i="12"/>
  <c r="G506" i="12"/>
  <c r="G674" i="12"/>
  <c r="F533" i="12"/>
  <c r="F365" i="12"/>
  <c r="F197" i="12"/>
  <c r="C14" i="9"/>
  <c r="G339" i="12"/>
  <c r="G507" i="12"/>
  <c r="G675" i="12"/>
  <c r="F535" i="12"/>
  <c r="F367" i="12"/>
  <c r="F199" i="12"/>
  <c r="G306" i="12"/>
  <c r="G474" i="12"/>
  <c r="G642" i="12"/>
  <c r="H284" i="12"/>
  <c r="H452" i="12"/>
  <c r="H620" i="12"/>
  <c r="F628" i="12"/>
  <c r="F460" i="12"/>
  <c r="F292" i="12"/>
  <c r="G210" i="12"/>
  <c r="G378" i="12"/>
  <c r="G546" i="12"/>
  <c r="G245" i="12"/>
  <c r="G413" i="12"/>
  <c r="G581" i="12"/>
  <c r="F627" i="12"/>
  <c r="F459" i="12"/>
  <c r="F291" i="12"/>
  <c r="H281" i="12"/>
  <c r="H449" i="12"/>
  <c r="H617" i="12"/>
  <c r="G316" i="12"/>
  <c r="G484" i="12"/>
  <c r="G652" i="12"/>
  <c r="H367" i="12"/>
  <c r="H199" i="12"/>
  <c r="H535" i="12"/>
  <c r="G246" i="12"/>
  <c r="G414" i="12"/>
  <c r="G582" i="12"/>
  <c r="G221" i="12"/>
  <c r="G389" i="12"/>
  <c r="G557" i="12"/>
  <c r="H286" i="12"/>
  <c r="H454" i="12"/>
  <c r="H622" i="12"/>
  <c r="G209" i="12"/>
  <c r="G377" i="12"/>
  <c r="G545" i="12"/>
  <c r="H283" i="12"/>
  <c r="H451" i="12"/>
  <c r="H619" i="12"/>
  <c r="F294" i="12"/>
  <c r="F630" i="12"/>
  <c r="F462" i="12"/>
  <c r="G317" i="12"/>
  <c r="G485" i="12"/>
  <c r="G653" i="12"/>
  <c r="G340" i="12"/>
  <c r="G508" i="12"/>
  <c r="G676" i="12"/>
  <c r="H291" i="12"/>
  <c r="H459" i="12"/>
  <c r="H627" i="12"/>
  <c r="G219" i="12"/>
  <c r="G387" i="12"/>
  <c r="G555" i="12"/>
  <c r="F623" i="12"/>
  <c r="F455" i="12"/>
  <c r="F287" i="12"/>
  <c r="G318" i="12"/>
  <c r="G486" i="12"/>
  <c r="G654" i="12"/>
  <c r="H296" i="12"/>
  <c r="H464" i="12"/>
  <c r="H632" i="12"/>
  <c r="G248" i="12"/>
  <c r="G416" i="12"/>
  <c r="G584" i="12"/>
  <c r="H196" i="12"/>
  <c r="H532" i="12"/>
  <c r="H364" i="12"/>
  <c r="G242" i="12"/>
  <c r="G410" i="12"/>
  <c r="G578" i="12"/>
  <c r="G185" i="12"/>
  <c r="G353" i="12"/>
  <c r="G521" i="12"/>
  <c r="H3" i="7"/>
  <c r="D176" i="9"/>
  <c r="H171" i="12" s="1"/>
  <c r="D60" i="9"/>
  <c r="H55" i="12" s="1"/>
  <c r="C617" i="12"/>
  <c r="B608" i="15" s="1"/>
  <c r="C449" i="12"/>
  <c r="B440" i="15" s="1"/>
  <c r="C626" i="12"/>
  <c r="B617" i="15" s="1"/>
  <c r="C458" i="12"/>
  <c r="B449" i="15" s="1"/>
  <c r="D59" i="9"/>
  <c r="H54" i="12" s="1"/>
  <c r="C42" i="12"/>
  <c r="F65" i="7"/>
  <c r="B47" i="9"/>
  <c r="F42" i="12" s="1"/>
  <c r="C522" i="12"/>
  <c r="B513" i="15" s="1"/>
  <c r="C354" i="12"/>
  <c r="B345" i="15" s="1"/>
  <c r="D178" i="9"/>
  <c r="H173" i="12" s="1"/>
  <c r="H7" i="7"/>
  <c r="D142" i="9"/>
  <c r="H137" i="12" s="1"/>
  <c r="D55" i="9"/>
  <c r="H50" i="12" s="1"/>
  <c r="D175" i="9"/>
  <c r="H170" i="12" s="1"/>
  <c r="C137" i="12"/>
  <c r="F160" i="7"/>
  <c r="B142" i="9"/>
  <c r="F137" i="12" s="1"/>
  <c r="C452" i="12"/>
  <c r="B443" i="15" s="1"/>
  <c r="C620" i="12"/>
  <c r="B611" i="15" s="1"/>
  <c r="C629" i="12"/>
  <c r="B620" i="15" s="1"/>
  <c r="C461" i="12"/>
  <c r="B452" i="15" s="1"/>
  <c r="D57" i="9"/>
  <c r="H52" i="12" s="1"/>
  <c r="C56" i="12"/>
  <c r="F79" i="7"/>
  <c r="B61" i="9"/>
  <c r="F56" i="12" s="1"/>
  <c r="C149" i="12"/>
  <c r="F172" i="7"/>
  <c r="B154" i="9"/>
  <c r="F149" i="12" s="1"/>
  <c r="C631" i="12"/>
  <c r="B622" i="15" s="1"/>
  <c r="C463" i="12"/>
  <c r="B454" i="15" s="1"/>
  <c r="D180" i="9"/>
  <c r="H175" i="12" s="1"/>
  <c r="C147" i="12"/>
  <c r="B152" i="9"/>
  <c r="F147" i="12" s="1"/>
  <c r="F170" i="7"/>
  <c r="C531" i="12"/>
  <c r="B522" i="15" s="1"/>
  <c r="C363" i="12"/>
  <c r="B354" i="15" s="1"/>
  <c r="C55" i="12"/>
  <c r="F78" i="7"/>
  <c r="B60" i="9"/>
  <c r="F55" i="12" s="1"/>
  <c r="C618" i="12"/>
  <c r="B609" i="15" s="1"/>
  <c r="C450" i="12"/>
  <c r="B441" i="15" s="1"/>
  <c r="D83" i="9"/>
  <c r="H78" i="12" s="1"/>
  <c r="D71" i="9"/>
  <c r="H66" i="12" s="1"/>
  <c r="D58" i="9"/>
  <c r="H53" i="12" s="1"/>
  <c r="H6" i="7"/>
  <c r="D70" i="9"/>
  <c r="H65" i="12" s="1"/>
  <c r="D79" i="9"/>
  <c r="H74" i="12" s="1"/>
  <c r="C632" i="12"/>
  <c r="B623" i="15" s="1"/>
  <c r="C464" i="12"/>
  <c r="B455" i="15" s="1"/>
  <c r="D157" i="9"/>
  <c r="H152" i="12" s="1"/>
  <c r="D61" i="9"/>
  <c r="H56" i="12" s="1"/>
  <c r="C152" i="12"/>
  <c r="F175" i="7"/>
  <c r="B157" i="9"/>
  <c r="F152" i="12" s="1"/>
  <c r="C536" i="12"/>
  <c r="B527" i="15" s="1"/>
  <c r="C368" i="12"/>
  <c r="B359" i="15" s="1"/>
  <c r="C148" i="12"/>
  <c r="B153" i="9"/>
  <c r="F148" i="12" s="1"/>
  <c r="F171" i="7"/>
  <c r="C627" i="12"/>
  <c r="B618" i="15" s="1"/>
  <c r="C459" i="12"/>
  <c r="B450" i="15" s="1"/>
  <c r="D80" i="9"/>
  <c r="H75" i="12" s="1"/>
  <c r="D84" i="9"/>
  <c r="H79" i="12" s="1"/>
  <c r="C51" i="12"/>
  <c r="F74" i="7"/>
  <c r="B56" i="9"/>
  <c r="F51" i="12" s="1"/>
  <c r="C151" i="12"/>
  <c r="F174" i="7"/>
  <c r="B156" i="9"/>
  <c r="F151" i="12" s="1"/>
  <c r="C535" i="12"/>
  <c r="B526" i="15" s="1"/>
  <c r="C367" i="12"/>
  <c r="B358" i="15" s="1"/>
  <c r="C625" i="12"/>
  <c r="B616" i="15" s="1"/>
  <c r="C457" i="12"/>
  <c r="B448" i="15" s="1"/>
  <c r="D143" i="9"/>
  <c r="H138" i="12" s="1"/>
  <c r="D167" i="9"/>
  <c r="H162" i="12" s="1"/>
  <c r="C630" i="12"/>
  <c r="B621" i="15" s="1"/>
  <c r="C462" i="12"/>
  <c r="B453" i="15" s="1"/>
  <c r="C150" i="12"/>
  <c r="F173" i="7"/>
  <c r="B155" i="9"/>
  <c r="F150" i="12" s="1"/>
  <c r="C138" i="12"/>
  <c r="F161" i="7"/>
  <c r="B143" i="9"/>
  <c r="F138" i="12" s="1"/>
  <c r="D166" i="9"/>
  <c r="H161" i="12" s="1"/>
  <c r="C623" i="12"/>
  <c r="B614" i="15" s="1"/>
  <c r="C455" i="12"/>
  <c r="B446" i="15" s="1"/>
  <c r="C41" i="12"/>
  <c r="F64" i="7"/>
  <c r="B46" i="9"/>
  <c r="F41" i="12" s="1"/>
  <c r="C521" i="12"/>
  <c r="B512" i="15" s="1"/>
  <c r="C353" i="12"/>
  <c r="B344" i="15" s="1"/>
  <c r="C146" i="12"/>
  <c r="B151" i="9"/>
  <c r="F146" i="12" s="1"/>
  <c r="F169" i="7"/>
  <c r="C624" i="12"/>
  <c r="B615" i="15" s="1"/>
  <c r="C456" i="12"/>
  <c r="B447" i="15" s="1"/>
  <c r="D85" i="9"/>
  <c r="H80" i="12" s="1"/>
  <c r="D81" i="9"/>
  <c r="H76" i="12" s="1"/>
  <c r="C52" i="12"/>
  <c r="B57" i="9"/>
  <c r="F52" i="12" s="1"/>
  <c r="F75" i="7"/>
  <c r="C532" i="12"/>
  <c r="B523" i="15" s="1"/>
  <c r="C364" i="12"/>
  <c r="B355" i="15" s="1"/>
  <c r="D56" i="9"/>
  <c r="H51" i="12" s="1"/>
  <c r="D152" i="9"/>
  <c r="H147" i="12" s="1"/>
  <c r="D156" i="9"/>
  <c r="H151" i="12" s="1"/>
  <c r="C621" i="12"/>
  <c r="B612" i="15" s="1"/>
  <c r="C453" i="12"/>
  <c r="B444" i="15" s="1"/>
  <c r="D155" i="9"/>
  <c r="H150" i="12" s="1"/>
  <c r="D179" i="9"/>
  <c r="H174" i="12" s="1"/>
  <c r="D47" i="9"/>
  <c r="H42" i="12" s="1"/>
  <c r="C460" i="12"/>
  <c r="B451" i="15" s="1"/>
  <c r="C628" i="12"/>
  <c r="B619" i="15" s="1"/>
  <c r="C54" i="12"/>
  <c r="B59" i="9"/>
  <c r="F54" i="12" s="1"/>
  <c r="F77" i="7"/>
  <c r="C534" i="12"/>
  <c r="B525" i="15" s="1"/>
  <c r="C366" i="12"/>
  <c r="B357" i="15" s="1"/>
  <c r="D82" i="9"/>
  <c r="H77" i="12" s="1"/>
  <c r="D154" i="9"/>
  <c r="H149" i="12" s="1"/>
  <c r="H5" i="7"/>
  <c r="D46" i="9"/>
  <c r="H41" i="12" s="1"/>
  <c r="D151" i="9"/>
  <c r="H146" i="12" s="1"/>
  <c r="C619" i="12"/>
  <c r="B610" i="15" s="1"/>
  <c r="C451" i="12"/>
  <c r="B442" i="15" s="1"/>
  <c r="C50" i="12"/>
  <c r="B55" i="9"/>
  <c r="F50" i="12" s="1"/>
  <c r="F73" i="7"/>
  <c r="C530" i="12"/>
  <c r="B521" i="15" s="1"/>
  <c r="C362" i="12"/>
  <c r="B353" i="15" s="1"/>
  <c r="C622" i="12"/>
  <c r="B613" i="15" s="1"/>
  <c r="C454" i="12"/>
  <c r="B445" i="15" s="1"/>
  <c r="D181" i="9"/>
  <c r="H176" i="12" s="1"/>
  <c r="D177" i="9"/>
  <c r="H172" i="12" s="1"/>
  <c r="D153" i="9"/>
  <c r="H148" i="12" s="1"/>
  <c r="C53" i="12"/>
  <c r="B58" i="9"/>
  <c r="F53" i="12" s="1"/>
  <c r="F76" i="7"/>
  <c r="C533" i="12"/>
  <c r="B524" i="15" s="1"/>
  <c r="C365" i="12"/>
  <c r="B356" i="15" s="1"/>
  <c r="AE373" i="4"/>
  <c r="C220" i="12" l="1"/>
  <c r="B211" i="15" s="1"/>
  <c r="B43" i="15"/>
  <c r="C319" i="12"/>
  <c r="B310" i="15" s="1"/>
  <c r="B142" i="15"/>
  <c r="E402" i="12"/>
  <c r="D393" i="15" s="1"/>
  <c r="D57" i="15"/>
  <c r="E506" i="12"/>
  <c r="D497" i="15" s="1"/>
  <c r="D161" i="15"/>
  <c r="E655" i="12"/>
  <c r="D646" i="15" s="1"/>
  <c r="D142" i="15"/>
  <c r="E486" i="12"/>
  <c r="D477" i="15" s="1"/>
  <c r="D141" i="15"/>
  <c r="C218" i="12"/>
  <c r="B209" i="15" s="1"/>
  <c r="B41" i="15"/>
  <c r="C222" i="12"/>
  <c r="B213" i="15" s="1"/>
  <c r="B45" i="15"/>
  <c r="C318" i="12"/>
  <c r="B309" i="15" s="1"/>
  <c r="B141" i="15"/>
  <c r="C317" i="12"/>
  <c r="B308" i="15" s="1"/>
  <c r="B140" i="15"/>
  <c r="E674" i="12"/>
  <c r="D665" i="15" s="1"/>
  <c r="E416" i="12"/>
  <c r="D407" i="15" s="1"/>
  <c r="D71" i="15"/>
  <c r="E555" i="12"/>
  <c r="D546" i="15" s="1"/>
  <c r="D42" i="15"/>
  <c r="C306" i="12"/>
  <c r="B297" i="15" s="1"/>
  <c r="B129" i="15"/>
  <c r="C316" i="12"/>
  <c r="B307" i="15" s="1"/>
  <c r="B139" i="15"/>
  <c r="C223" i="12"/>
  <c r="B214" i="15" s="1"/>
  <c r="B46" i="15"/>
  <c r="C210" i="12"/>
  <c r="B201" i="15" s="1"/>
  <c r="B33" i="15"/>
  <c r="E508" i="12"/>
  <c r="D499" i="15" s="1"/>
  <c r="D163" i="15"/>
  <c r="E317" i="12"/>
  <c r="D308" i="15" s="1"/>
  <c r="D140" i="15"/>
  <c r="E559" i="12"/>
  <c r="D550" i="15" s="1"/>
  <c r="D46" i="15"/>
  <c r="E497" i="12"/>
  <c r="D488" i="15" s="1"/>
  <c r="D152" i="15"/>
  <c r="E507" i="12"/>
  <c r="D498" i="15" s="1"/>
  <c r="D162" i="15"/>
  <c r="E392" i="12"/>
  <c r="D383" i="15" s="1"/>
  <c r="D47" i="15"/>
  <c r="E411" i="12"/>
  <c r="D402" i="15" s="1"/>
  <c r="D66" i="15"/>
  <c r="E378" i="12"/>
  <c r="D369" i="15" s="1"/>
  <c r="D33" i="15"/>
  <c r="E583" i="12"/>
  <c r="D574" i="15" s="1"/>
  <c r="D70" i="15"/>
  <c r="E305" i="12"/>
  <c r="D296" i="15" s="1"/>
  <c r="D128" i="15"/>
  <c r="C221" i="12"/>
  <c r="B212" i="15" s="1"/>
  <c r="B44" i="15"/>
  <c r="C314" i="12"/>
  <c r="B305" i="15" s="1"/>
  <c r="B137" i="15"/>
  <c r="C219" i="12"/>
  <c r="B210" i="15" s="1"/>
  <c r="B42" i="15"/>
  <c r="C320" i="12"/>
  <c r="B311" i="15" s="1"/>
  <c r="B143" i="15"/>
  <c r="C315" i="12"/>
  <c r="B306" i="15" s="1"/>
  <c r="B138" i="15"/>
  <c r="E377" i="12"/>
  <c r="D368" i="15" s="1"/>
  <c r="D32" i="15"/>
  <c r="E558" i="12"/>
  <c r="D549" i="15" s="1"/>
  <c r="D45" i="15"/>
  <c r="E650" i="12"/>
  <c r="D641" i="15" s="1"/>
  <c r="D137" i="15"/>
  <c r="E474" i="12"/>
  <c r="D465" i="15" s="1"/>
  <c r="D129" i="15"/>
  <c r="E652" i="12"/>
  <c r="D643" i="15" s="1"/>
  <c r="D139" i="15"/>
  <c r="E651" i="12"/>
  <c r="D642" i="15" s="1"/>
  <c r="D138" i="15"/>
  <c r="E341" i="12"/>
  <c r="D332" i="15" s="1"/>
  <c r="D164" i="15"/>
  <c r="E511" i="12"/>
  <c r="D502" i="15" s="1"/>
  <c r="D166" i="15"/>
  <c r="E410" i="12"/>
  <c r="D401" i="15" s="1"/>
  <c r="D65" i="15"/>
  <c r="C224" i="12"/>
  <c r="B215" i="15" s="1"/>
  <c r="B47" i="15"/>
  <c r="E386" i="12"/>
  <c r="D377" i="15" s="1"/>
  <c r="D41" i="15"/>
  <c r="E569" i="12"/>
  <c r="D560" i="15" s="1"/>
  <c r="D56" i="15"/>
  <c r="E680" i="12"/>
  <c r="D671" i="15" s="1"/>
  <c r="D167" i="15"/>
  <c r="C209" i="12"/>
  <c r="B200" i="15" s="1"/>
  <c r="B32" i="15"/>
  <c r="C305" i="12"/>
  <c r="B296" i="15" s="1"/>
  <c r="B128" i="15"/>
  <c r="E498" i="12"/>
  <c r="D489" i="15" s="1"/>
  <c r="D153" i="15"/>
  <c r="E221" i="12"/>
  <c r="D212" i="15" s="1"/>
  <c r="D44" i="15"/>
  <c r="E320" i="12"/>
  <c r="D311" i="15" s="1"/>
  <c r="D143" i="15"/>
  <c r="E414" i="12"/>
  <c r="D405" i="15" s="1"/>
  <c r="D69" i="15"/>
  <c r="E580" i="12"/>
  <c r="D571" i="15" s="1"/>
  <c r="D67" i="15"/>
  <c r="E678" i="12"/>
  <c r="D669" i="15" s="1"/>
  <c r="D165" i="15"/>
  <c r="E388" i="12"/>
  <c r="D379" i="15" s="1"/>
  <c r="D43" i="15"/>
  <c r="E581" i="12"/>
  <c r="D572" i="15" s="1"/>
  <c r="D68" i="15"/>
  <c r="P666" i="12"/>
  <c r="F657" i="15" s="1"/>
  <c r="O291" i="12"/>
  <c r="E282" i="15" s="1"/>
  <c r="O186" i="12"/>
  <c r="E177" i="15" s="1"/>
  <c r="O282" i="12"/>
  <c r="E273" i="15" s="1"/>
  <c r="P650" i="12"/>
  <c r="F641" i="15" s="1"/>
  <c r="Q282" i="12"/>
  <c r="G273" i="15" s="1"/>
  <c r="Q456" i="12"/>
  <c r="G447" i="15" s="1"/>
  <c r="G111" i="15"/>
  <c r="Q621" i="12"/>
  <c r="G612" i="15" s="1"/>
  <c r="G108" i="15"/>
  <c r="Q619" i="12"/>
  <c r="G610" i="15" s="1"/>
  <c r="G106" i="15"/>
  <c r="O281" i="12"/>
  <c r="E272" i="15" s="1"/>
  <c r="E104" i="15"/>
  <c r="O620" i="12"/>
  <c r="E611" i="15" s="1"/>
  <c r="E107" i="15"/>
  <c r="Q284" i="12"/>
  <c r="G275" i="15" s="1"/>
  <c r="G107" i="15"/>
  <c r="O285" i="12"/>
  <c r="E276" i="15" s="1"/>
  <c r="E108" i="15"/>
  <c r="P219" i="12"/>
  <c r="F210" i="15" s="1"/>
  <c r="F42" i="15"/>
  <c r="Q295" i="12"/>
  <c r="G286" i="15" s="1"/>
  <c r="Q286" i="12"/>
  <c r="G277" i="15" s="1"/>
  <c r="O450" i="12"/>
  <c r="E441" i="15" s="1"/>
  <c r="P387" i="12"/>
  <c r="F378" i="15" s="1"/>
  <c r="P233" i="12"/>
  <c r="F224" i="15" s="1"/>
  <c r="F56" i="15"/>
  <c r="Q198" i="12"/>
  <c r="G189" i="15" s="1"/>
  <c r="G21" i="15"/>
  <c r="Q199" i="12"/>
  <c r="G190" i="15" s="1"/>
  <c r="G22" i="15"/>
  <c r="P510" i="12"/>
  <c r="F501" i="15" s="1"/>
  <c r="F165" i="15"/>
  <c r="P341" i="12"/>
  <c r="F332" i="15" s="1"/>
  <c r="F164" i="15"/>
  <c r="Q462" i="12"/>
  <c r="G453" i="15" s="1"/>
  <c r="G117" i="15"/>
  <c r="P243" i="12"/>
  <c r="F234" i="15" s="1"/>
  <c r="F66" i="15"/>
  <c r="E554" i="12"/>
  <c r="D545" i="15" s="1"/>
  <c r="E654" i="12"/>
  <c r="D645" i="15" s="1"/>
  <c r="Q285" i="12"/>
  <c r="G276" i="15" s="1"/>
  <c r="Q451" i="12"/>
  <c r="G442" i="15" s="1"/>
  <c r="O617" i="12"/>
  <c r="E608" i="15" s="1"/>
  <c r="O452" i="12"/>
  <c r="E443" i="15" s="1"/>
  <c r="Q452" i="12"/>
  <c r="G443" i="15" s="1"/>
  <c r="O621" i="12"/>
  <c r="E612" i="15" s="1"/>
  <c r="P555" i="12"/>
  <c r="F546" i="15" s="1"/>
  <c r="E570" i="12"/>
  <c r="D561" i="15" s="1"/>
  <c r="E233" i="12"/>
  <c r="D224" i="15" s="1"/>
  <c r="E512" i="12"/>
  <c r="D503" i="15" s="1"/>
  <c r="Q453" i="12"/>
  <c r="G444" i="15" s="1"/>
  <c r="Q367" i="12"/>
  <c r="G358" i="15" s="1"/>
  <c r="O284" i="12"/>
  <c r="E275" i="15" s="1"/>
  <c r="P509" i="12"/>
  <c r="F500" i="15" s="1"/>
  <c r="P411" i="12"/>
  <c r="F402" i="15" s="1"/>
  <c r="E401" i="12"/>
  <c r="D392" i="15" s="1"/>
  <c r="Q174" i="12"/>
  <c r="G165" i="15" s="1"/>
  <c r="O51" i="12"/>
  <c r="E42" i="15" s="1"/>
  <c r="O52" i="12"/>
  <c r="Q52" i="12"/>
  <c r="G43" i="15" s="1"/>
  <c r="Q77" i="12"/>
  <c r="G68" i="15" s="1"/>
  <c r="Q534" i="12"/>
  <c r="G525" i="15" s="1"/>
  <c r="Q630" i="12"/>
  <c r="G621" i="15" s="1"/>
  <c r="Q535" i="12"/>
  <c r="G526" i="15" s="1"/>
  <c r="P678" i="12"/>
  <c r="F669" i="15" s="1"/>
  <c r="P677" i="12"/>
  <c r="F668" i="15" s="1"/>
  <c r="P579" i="12"/>
  <c r="F570" i="15" s="1"/>
  <c r="P401" i="12"/>
  <c r="F392" i="15" s="1"/>
  <c r="Q366" i="12"/>
  <c r="G357" i="15" s="1"/>
  <c r="Q294" i="12"/>
  <c r="G285" i="15" s="1"/>
  <c r="E218" i="12"/>
  <c r="D209" i="15" s="1"/>
  <c r="E234" i="12"/>
  <c r="D225" i="15" s="1"/>
  <c r="E319" i="12"/>
  <c r="D310" i="15" s="1"/>
  <c r="E509" i="12"/>
  <c r="D500" i="15" s="1"/>
  <c r="E344" i="12"/>
  <c r="D335" i="15" s="1"/>
  <c r="E545" i="12"/>
  <c r="D536" i="15" s="1"/>
  <c r="E315" i="12"/>
  <c r="D306" i="15" s="1"/>
  <c r="E578" i="12"/>
  <c r="D569" i="15" s="1"/>
  <c r="O50" i="12"/>
  <c r="Q66" i="12"/>
  <c r="G57" i="15" s="1"/>
  <c r="O147" i="12"/>
  <c r="E138" i="15" s="1"/>
  <c r="Q151" i="12"/>
  <c r="G142" i="15" s="1"/>
  <c r="O146" i="12"/>
  <c r="Q65" i="12"/>
  <c r="G56" i="15" s="1"/>
  <c r="O54" i="12"/>
  <c r="E45" i="15" s="1"/>
  <c r="Q176" i="12"/>
  <c r="G167" i="15" s="1"/>
  <c r="E223" i="12"/>
  <c r="D214" i="15" s="1"/>
  <c r="E210" i="12"/>
  <c r="D201" i="15" s="1"/>
  <c r="E641" i="12"/>
  <c r="D632" i="15" s="1"/>
  <c r="E665" i="12"/>
  <c r="D656" i="15" s="1"/>
  <c r="E579" i="12"/>
  <c r="D570" i="15" s="1"/>
  <c r="E244" i="12"/>
  <c r="D235" i="15" s="1"/>
  <c r="E247" i="12"/>
  <c r="D238" i="15" s="1"/>
  <c r="Q288" i="12"/>
  <c r="G279" i="15" s="1"/>
  <c r="E676" i="12"/>
  <c r="D667" i="15" s="1"/>
  <c r="E485" i="12"/>
  <c r="D476" i="15" s="1"/>
  <c r="E224" i="12"/>
  <c r="D215" i="15" s="1"/>
  <c r="E415" i="12"/>
  <c r="D406" i="15" s="1"/>
  <c r="Q41" i="12"/>
  <c r="O150" i="12"/>
  <c r="Q54" i="12"/>
  <c r="Q146" i="12"/>
  <c r="Q138" i="12"/>
  <c r="Q306" i="12" s="1"/>
  <c r="G297" i="15" s="1"/>
  <c r="O148" i="12"/>
  <c r="E139" i="15" s="1"/>
  <c r="Q148" i="12"/>
  <c r="Q316" i="12" s="1"/>
  <c r="G307" i="15" s="1"/>
  <c r="Q147" i="12"/>
  <c r="O149" i="12"/>
  <c r="Q173" i="12"/>
  <c r="Q175" i="12"/>
  <c r="Q343" i="12" s="1"/>
  <c r="G334" i="15" s="1"/>
  <c r="O53" i="12"/>
  <c r="O152" i="12"/>
  <c r="O488" i="12" s="1"/>
  <c r="E479" i="15" s="1"/>
  <c r="Q74" i="12"/>
  <c r="Q410" i="12" s="1"/>
  <c r="G401" i="15" s="1"/>
  <c r="Q482" i="12"/>
  <c r="G473" i="15" s="1"/>
  <c r="O521" i="12"/>
  <c r="E512" i="15" s="1"/>
  <c r="O353" i="12"/>
  <c r="E344" i="15" s="1"/>
  <c r="O185" i="12"/>
  <c r="E176" i="15" s="1"/>
  <c r="O626" i="12"/>
  <c r="E617" i="15" s="1"/>
  <c r="O458" i="12"/>
  <c r="E449" i="15" s="1"/>
  <c r="O290" i="12"/>
  <c r="E281" i="15" s="1"/>
  <c r="P485" i="12"/>
  <c r="F476" i="15" s="1"/>
  <c r="P317" i="12"/>
  <c r="F308" i="15" s="1"/>
  <c r="P653" i="12"/>
  <c r="F644" i="15" s="1"/>
  <c r="Q625" i="12"/>
  <c r="G616" i="15" s="1"/>
  <c r="Q289" i="12"/>
  <c r="G280" i="15" s="1"/>
  <c r="Q457" i="12"/>
  <c r="G448" i="15" s="1"/>
  <c r="Q531" i="12"/>
  <c r="G522" i="15" s="1"/>
  <c r="Q363" i="12"/>
  <c r="G354" i="15" s="1"/>
  <c r="Q195" i="12"/>
  <c r="G186" i="15" s="1"/>
  <c r="P556" i="12"/>
  <c r="F547" i="15" s="1"/>
  <c r="P388" i="12"/>
  <c r="F379" i="15" s="1"/>
  <c r="P220" i="12"/>
  <c r="F211" i="15" s="1"/>
  <c r="Q50" i="12"/>
  <c r="G41" i="15" s="1"/>
  <c r="Q570" i="12"/>
  <c r="G561" i="15" s="1"/>
  <c r="O651" i="12"/>
  <c r="E642" i="15" s="1"/>
  <c r="Q170" i="12"/>
  <c r="G161" i="15" s="1"/>
  <c r="Q487" i="12"/>
  <c r="G478" i="15" s="1"/>
  <c r="Q150" i="12"/>
  <c r="G141" i="15" s="1"/>
  <c r="Q401" i="12"/>
  <c r="G392" i="15" s="1"/>
  <c r="O55" i="12"/>
  <c r="E46" i="15" s="1"/>
  <c r="Q680" i="12"/>
  <c r="G671" i="15" s="1"/>
  <c r="P679" i="12"/>
  <c r="F670" i="15" s="1"/>
  <c r="P511" i="12"/>
  <c r="F502" i="15" s="1"/>
  <c r="P343" i="12"/>
  <c r="F334" i="15" s="1"/>
  <c r="O532" i="12"/>
  <c r="E523" i="15" s="1"/>
  <c r="O196" i="12"/>
  <c r="E187" i="15" s="1"/>
  <c r="O364" i="12"/>
  <c r="E355" i="15" s="1"/>
  <c r="P676" i="12"/>
  <c r="F667" i="15" s="1"/>
  <c r="P508" i="12"/>
  <c r="F499" i="15" s="1"/>
  <c r="P340" i="12"/>
  <c r="F331" i="15" s="1"/>
  <c r="P560" i="12"/>
  <c r="F551" i="15" s="1"/>
  <c r="P392" i="12"/>
  <c r="F383" i="15" s="1"/>
  <c r="P224" i="12"/>
  <c r="F215" i="15" s="1"/>
  <c r="P665" i="12"/>
  <c r="F656" i="15" s="1"/>
  <c r="P497" i="12"/>
  <c r="F488" i="15" s="1"/>
  <c r="P329" i="12"/>
  <c r="F320" i="15" s="1"/>
  <c r="E666" i="12"/>
  <c r="D657" i="15" s="1"/>
  <c r="E219" i="12"/>
  <c r="D210" i="15" s="1"/>
  <c r="Q80" i="12"/>
  <c r="G71" i="15" s="1"/>
  <c r="O138" i="12"/>
  <c r="E129" i="15" s="1"/>
  <c r="Q162" i="12"/>
  <c r="G153" i="15" s="1"/>
  <c r="Q51" i="12"/>
  <c r="G42" i="15" s="1"/>
  <c r="Q53" i="12"/>
  <c r="G44" i="15" s="1"/>
  <c r="O56" i="12"/>
  <c r="E47" i="15" s="1"/>
  <c r="Q152" i="12"/>
  <c r="G143" i="15" s="1"/>
  <c r="Q78" i="12"/>
  <c r="G69" i="15" s="1"/>
  <c r="Q76" i="12"/>
  <c r="G67" i="15" s="1"/>
  <c r="Q510" i="12"/>
  <c r="G501" i="15" s="1"/>
  <c r="O555" i="12"/>
  <c r="E546" i="15" s="1"/>
  <c r="O387" i="12"/>
  <c r="E378" i="15" s="1"/>
  <c r="O219" i="12"/>
  <c r="E210" i="15" s="1"/>
  <c r="O388" i="12"/>
  <c r="E379" i="15" s="1"/>
  <c r="Q388" i="12"/>
  <c r="G379" i="15" s="1"/>
  <c r="Q556" i="12"/>
  <c r="G547" i="15" s="1"/>
  <c r="Q220" i="12"/>
  <c r="G211" i="15" s="1"/>
  <c r="Q245" i="12"/>
  <c r="G236" i="15" s="1"/>
  <c r="Q533" i="12"/>
  <c r="G524" i="15" s="1"/>
  <c r="Q365" i="12"/>
  <c r="G356" i="15" s="1"/>
  <c r="Q197" i="12"/>
  <c r="G188" i="15" s="1"/>
  <c r="O628" i="12"/>
  <c r="E619" i="15" s="1"/>
  <c r="O460" i="12"/>
  <c r="E451" i="15" s="1"/>
  <c r="O292" i="12"/>
  <c r="E283" i="15" s="1"/>
  <c r="Q626" i="12"/>
  <c r="G617" i="15" s="1"/>
  <c r="Q458" i="12"/>
  <c r="G449" i="15" s="1"/>
  <c r="Q290" i="12"/>
  <c r="G281" i="15" s="1"/>
  <c r="P642" i="12"/>
  <c r="F633" i="15" s="1"/>
  <c r="P474" i="12"/>
  <c r="F465" i="15" s="1"/>
  <c r="P306" i="12"/>
  <c r="F297" i="15" s="1"/>
  <c r="Q617" i="12"/>
  <c r="G608" i="15" s="1"/>
  <c r="Q449" i="12"/>
  <c r="G440" i="15" s="1"/>
  <c r="Q281" i="12"/>
  <c r="G272" i="15" s="1"/>
  <c r="P680" i="12"/>
  <c r="F671" i="15" s="1"/>
  <c r="P512" i="12"/>
  <c r="F503" i="15" s="1"/>
  <c r="P344" i="12"/>
  <c r="F335" i="15" s="1"/>
  <c r="E656" i="12"/>
  <c r="D647" i="15" s="1"/>
  <c r="E246" i="12"/>
  <c r="D237" i="15" s="1"/>
  <c r="Q172" i="12"/>
  <c r="G163" i="15" s="1"/>
  <c r="O41" i="12"/>
  <c r="E32" i="15" s="1"/>
  <c r="Q149" i="12"/>
  <c r="G140" i="15" s="1"/>
  <c r="O151" i="12"/>
  <c r="E142" i="15" s="1"/>
  <c r="Q55" i="12"/>
  <c r="G46" i="15" s="1"/>
  <c r="Q161" i="12"/>
  <c r="G152" i="15" s="1"/>
  <c r="Q171" i="12"/>
  <c r="G162" i="15" s="1"/>
  <c r="Q56" i="12"/>
  <c r="G47" i="15" s="1"/>
  <c r="Q75" i="12"/>
  <c r="G66" i="15" s="1"/>
  <c r="Q521" i="12"/>
  <c r="G512" i="15" s="1"/>
  <c r="Q353" i="12"/>
  <c r="G344" i="15" s="1"/>
  <c r="Q185" i="12"/>
  <c r="G176" i="15" s="1"/>
  <c r="O137" i="12"/>
  <c r="E128" i="15" s="1"/>
  <c r="O42" i="12"/>
  <c r="E33" i="15" s="1"/>
  <c r="Q42" i="12"/>
  <c r="G33" i="15" s="1"/>
  <c r="Q79" i="12"/>
  <c r="G70" i="15" s="1"/>
  <c r="Q137" i="12"/>
  <c r="G128" i="15" s="1"/>
  <c r="O535" i="12"/>
  <c r="E526" i="15" s="1"/>
  <c r="O367" i="12"/>
  <c r="E358" i="15" s="1"/>
  <c r="O199" i="12"/>
  <c r="E190" i="15" s="1"/>
  <c r="P580" i="12"/>
  <c r="F571" i="15" s="1"/>
  <c r="P412" i="12"/>
  <c r="F403" i="15" s="1"/>
  <c r="P244" i="12"/>
  <c r="F235" i="15" s="1"/>
  <c r="Q623" i="12"/>
  <c r="G614" i="15" s="1"/>
  <c r="Q287" i="12"/>
  <c r="G278" i="15" s="1"/>
  <c r="Q455" i="12"/>
  <c r="G446" i="15" s="1"/>
  <c r="O362" i="12"/>
  <c r="E353" i="15" s="1"/>
  <c r="O530" i="12"/>
  <c r="E521" i="15" s="1"/>
  <c r="O194" i="12"/>
  <c r="E185" i="15" s="1"/>
  <c r="P415" i="12"/>
  <c r="F406" i="15" s="1"/>
  <c r="P583" i="12"/>
  <c r="F574" i="15" s="1"/>
  <c r="P247" i="12"/>
  <c r="F238" i="15" s="1"/>
  <c r="O534" i="12"/>
  <c r="E525" i="15" s="1"/>
  <c r="O366" i="12"/>
  <c r="E357" i="15" s="1"/>
  <c r="O198" i="12"/>
  <c r="E189" i="15" s="1"/>
  <c r="Q536" i="12"/>
  <c r="G527" i="15" s="1"/>
  <c r="Q368" i="12"/>
  <c r="G359" i="15" s="1"/>
  <c r="Q200" i="12"/>
  <c r="G191" i="15" s="1"/>
  <c r="O624" i="12"/>
  <c r="E615" i="15" s="1"/>
  <c r="O288" i="12"/>
  <c r="E279" i="15" s="1"/>
  <c r="O456" i="12"/>
  <c r="E447" i="15" s="1"/>
  <c r="P582" i="12"/>
  <c r="F573" i="15" s="1"/>
  <c r="P414" i="12"/>
  <c r="F405" i="15" s="1"/>
  <c r="P246" i="12"/>
  <c r="F237" i="15" s="1"/>
  <c r="P675" i="12"/>
  <c r="F666" i="15" s="1"/>
  <c r="P507" i="12"/>
  <c r="F498" i="15" s="1"/>
  <c r="P339" i="12"/>
  <c r="F330" i="15" s="1"/>
  <c r="E412" i="12"/>
  <c r="D403" i="15" s="1"/>
  <c r="E387" i="12"/>
  <c r="D378" i="15" s="1"/>
  <c r="E340" i="12"/>
  <c r="D331" i="15" s="1"/>
  <c r="E243" i="12"/>
  <c r="D234" i="15" s="1"/>
  <c r="E391" i="12"/>
  <c r="D382" i="15" s="1"/>
  <c r="E248" i="12"/>
  <c r="D239" i="15" s="1"/>
  <c r="E389" i="12"/>
  <c r="D380" i="15" s="1"/>
  <c r="E584" i="12"/>
  <c r="D575" i="15" s="1"/>
  <c r="E330" i="12"/>
  <c r="D321" i="15" s="1"/>
  <c r="E329" i="12"/>
  <c r="D320" i="15" s="1"/>
  <c r="E557" i="12"/>
  <c r="D548" i="15" s="1"/>
  <c r="E339" i="12"/>
  <c r="D330" i="15" s="1"/>
  <c r="E342" i="12"/>
  <c r="D333" i="15" s="1"/>
  <c r="E220" i="12"/>
  <c r="D211" i="15" s="1"/>
  <c r="E245" i="12"/>
  <c r="D236" i="15" s="1"/>
  <c r="D9" i="12"/>
  <c r="E222" i="12"/>
  <c r="D213" i="15" s="1"/>
  <c r="E488" i="12"/>
  <c r="D479" i="15" s="1"/>
  <c r="E510" i="12"/>
  <c r="D501" i="15" s="1"/>
  <c r="E582" i="12"/>
  <c r="D573" i="15" s="1"/>
  <c r="E556" i="12"/>
  <c r="D547" i="15" s="1"/>
  <c r="E413" i="12"/>
  <c r="D404" i="15" s="1"/>
  <c r="E316" i="12"/>
  <c r="D307" i="15" s="1"/>
  <c r="E314" i="12"/>
  <c r="D305" i="15" s="1"/>
  <c r="E483" i="12"/>
  <c r="D474" i="15" s="1"/>
  <c r="E677" i="12"/>
  <c r="D668" i="15" s="1"/>
  <c r="E242" i="12"/>
  <c r="D233" i="15" s="1"/>
  <c r="M9" i="12"/>
  <c r="E209" i="12"/>
  <c r="D200" i="15" s="1"/>
  <c r="E390" i="12"/>
  <c r="D381" i="15" s="1"/>
  <c r="E484" i="12"/>
  <c r="D475" i="15" s="1"/>
  <c r="E338" i="12"/>
  <c r="D329" i="15" s="1"/>
  <c r="E482" i="12"/>
  <c r="D473" i="15" s="1"/>
  <c r="E318" i="12"/>
  <c r="D309" i="15" s="1"/>
  <c r="E487" i="12"/>
  <c r="D478" i="15" s="1"/>
  <c r="E306" i="12"/>
  <c r="D297" i="15" s="1"/>
  <c r="E343" i="12"/>
  <c r="D334" i="15" s="1"/>
  <c r="N554" i="12"/>
  <c r="N386" i="12"/>
  <c r="N218" i="12"/>
  <c r="N584" i="12"/>
  <c r="N416" i="12"/>
  <c r="N248" i="12"/>
  <c r="L642" i="12"/>
  <c r="L474" i="12"/>
  <c r="L306" i="12"/>
  <c r="N666" i="12"/>
  <c r="N330" i="12"/>
  <c r="N498" i="12"/>
  <c r="N555" i="12"/>
  <c r="N387" i="12"/>
  <c r="N219" i="12"/>
  <c r="N557" i="12"/>
  <c r="N221" i="12"/>
  <c r="N389" i="12"/>
  <c r="L392" i="12"/>
  <c r="L560" i="12"/>
  <c r="L224" i="12"/>
  <c r="N656" i="12"/>
  <c r="N488" i="12"/>
  <c r="N320" i="12"/>
  <c r="N414" i="12"/>
  <c r="N582" i="12"/>
  <c r="N246" i="12"/>
  <c r="N580" i="12"/>
  <c r="N412" i="12"/>
  <c r="N244" i="12"/>
  <c r="N678" i="12"/>
  <c r="N510" i="12"/>
  <c r="N342" i="12"/>
  <c r="L555" i="12"/>
  <c r="L219" i="12"/>
  <c r="L387" i="12"/>
  <c r="L388" i="12"/>
  <c r="L556" i="12"/>
  <c r="L220" i="12"/>
  <c r="N556" i="12"/>
  <c r="N388" i="12"/>
  <c r="N220" i="12"/>
  <c r="N581" i="12"/>
  <c r="N245" i="12"/>
  <c r="N413" i="12"/>
  <c r="L554" i="12"/>
  <c r="L386" i="12"/>
  <c r="L218" i="12"/>
  <c r="N676" i="12"/>
  <c r="N508" i="12"/>
  <c r="N340" i="12"/>
  <c r="L545" i="12"/>
  <c r="L377" i="12"/>
  <c r="L209" i="12"/>
  <c r="N653" i="12"/>
  <c r="N317" i="12"/>
  <c r="N485" i="12"/>
  <c r="L319" i="12"/>
  <c r="L655" i="12"/>
  <c r="L487" i="12"/>
  <c r="N559" i="12"/>
  <c r="N391" i="12"/>
  <c r="N223" i="12"/>
  <c r="N665" i="12"/>
  <c r="N497" i="12"/>
  <c r="N329" i="12"/>
  <c r="N675" i="12"/>
  <c r="N339" i="12"/>
  <c r="N507" i="12"/>
  <c r="N560" i="12"/>
  <c r="N392" i="12"/>
  <c r="N224" i="12"/>
  <c r="N579" i="12"/>
  <c r="N411" i="12"/>
  <c r="N243" i="12"/>
  <c r="L641" i="12"/>
  <c r="L473" i="12"/>
  <c r="L305" i="12"/>
  <c r="L546" i="12"/>
  <c r="L378" i="12"/>
  <c r="L210" i="12"/>
  <c r="N546" i="12"/>
  <c r="N378" i="12"/>
  <c r="N210" i="12"/>
  <c r="N583" i="12"/>
  <c r="N415" i="12"/>
  <c r="N247" i="12"/>
  <c r="N473" i="12"/>
  <c r="N305" i="12"/>
  <c r="N641" i="12"/>
  <c r="N545" i="12"/>
  <c r="N377" i="12"/>
  <c r="N209" i="12"/>
  <c r="L654" i="12"/>
  <c r="L486" i="12"/>
  <c r="L318" i="12"/>
  <c r="N558" i="12"/>
  <c r="N390" i="12"/>
  <c r="N222" i="12"/>
  <c r="N650" i="12"/>
  <c r="N482" i="12"/>
  <c r="N314" i="12"/>
  <c r="N642" i="12"/>
  <c r="N474" i="12"/>
  <c r="N306" i="12"/>
  <c r="L652" i="12"/>
  <c r="L484" i="12"/>
  <c r="L316" i="12"/>
  <c r="N652" i="12"/>
  <c r="N484" i="12"/>
  <c r="N316" i="12"/>
  <c r="N651" i="12"/>
  <c r="N483" i="12"/>
  <c r="N315" i="12"/>
  <c r="L653" i="12"/>
  <c r="L485" i="12"/>
  <c r="L317" i="12"/>
  <c r="N677" i="12"/>
  <c r="N509" i="12"/>
  <c r="N341" i="12"/>
  <c r="N679" i="12"/>
  <c r="N511" i="12"/>
  <c r="N343" i="12"/>
  <c r="L557" i="12"/>
  <c r="L389" i="12"/>
  <c r="L221" i="12"/>
  <c r="L656" i="12"/>
  <c r="L488" i="12"/>
  <c r="L320" i="12"/>
  <c r="N578" i="12"/>
  <c r="N410" i="12"/>
  <c r="N242" i="12"/>
  <c r="N402" i="12"/>
  <c r="N570" i="12"/>
  <c r="N234" i="12"/>
  <c r="L651" i="12"/>
  <c r="L315" i="12"/>
  <c r="L483" i="12"/>
  <c r="N674" i="12"/>
  <c r="N506" i="12"/>
  <c r="N338" i="12"/>
  <c r="N655" i="12"/>
  <c r="N487" i="12"/>
  <c r="N319" i="12"/>
  <c r="N654" i="12"/>
  <c r="N486" i="12"/>
  <c r="N318" i="12"/>
  <c r="L650" i="12"/>
  <c r="L314" i="12"/>
  <c r="L482" i="12"/>
  <c r="N569" i="12"/>
  <c r="N233" i="12"/>
  <c r="N401" i="12"/>
  <c r="L390" i="12"/>
  <c r="L558" i="12"/>
  <c r="L222" i="12"/>
  <c r="L559" i="12"/>
  <c r="L223" i="12"/>
  <c r="L391" i="12"/>
  <c r="N680" i="12"/>
  <c r="N512" i="12"/>
  <c r="N344" i="12"/>
  <c r="I79" i="9"/>
  <c r="L74" i="12" s="1"/>
  <c r="F79" i="9"/>
  <c r="I74" i="12" s="1"/>
  <c r="I83" i="9"/>
  <c r="L78" i="12" s="1"/>
  <c r="F83" i="9"/>
  <c r="I78" i="12" s="1"/>
  <c r="I70" i="9"/>
  <c r="L65" i="12" s="1"/>
  <c r="F70" i="9"/>
  <c r="I65" i="12" s="1"/>
  <c r="I180" i="9"/>
  <c r="L175" i="12" s="1"/>
  <c r="F180" i="9"/>
  <c r="I175" i="12" s="1"/>
  <c r="I85" i="9"/>
  <c r="L80" i="12" s="1"/>
  <c r="F85" i="9"/>
  <c r="I80" i="12" s="1"/>
  <c r="I166" i="9"/>
  <c r="L161" i="12" s="1"/>
  <c r="F166" i="9"/>
  <c r="I161" i="12" s="1"/>
  <c r="I218" i="12"/>
  <c r="I554" i="12"/>
  <c r="I386" i="12"/>
  <c r="K554" i="12"/>
  <c r="K386" i="12"/>
  <c r="K218" i="12"/>
  <c r="K402" i="12"/>
  <c r="K234" i="12"/>
  <c r="K570" i="12"/>
  <c r="I315" i="12"/>
  <c r="I651" i="12"/>
  <c r="I483" i="12"/>
  <c r="K338" i="12"/>
  <c r="K674" i="12"/>
  <c r="K506" i="12"/>
  <c r="K655" i="12"/>
  <c r="K319" i="12"/>
  <c r="K487" i="12"/>
  <c r="I484" i="12"/>
  <c r="I652" i="12"/>
  <c r="I316" i="12"/>
  <c r="K484" i="12"/>
  <c r="K652" i="12"/>
  <c r="K316" i="12"/>
  <c r="K315" i="12"/>
  <c r="K651" i="12"/>
  <c r="K483" i="12"/>
  <c r="K521" i="12"/>
  <c r="K353" i="12"/>
  <c r="K185" i="12"/>
  <c r="K580" i="12"/>
  <c r="K244" i="12"/>
  <c r="K412" i="12"/>
  <c r="K678" i="12"/>
  <c r="K510" i="12"/>
  <c r="K342" i="12"/>
  <c r="I555" i="12"/>
  <c r="I387" i="12"/>
  <c r="I219" i="12"/>
  <c r="K680" i="12"/>
  <c r="K512" i="12"/>
  <c r="K344" i="12"/>
  <c r="I179" i="9"/>
  <c r="L174" i="12" s="1"/>
  <c r="F179" i="9"/>
  <c r="I174" i="12" s="1"/>
  <c r="I177" i="9"/>
  <c r="L172" i="12" s="1"/>
  <c r="F177" i="9"/>
  <c r="I172" i="12" s="1"/>
  <c r="I178" i="9"/>
  <c r="L173" i="12" s="1"/>
  <c r="F178" i="9"/>
  <c r="I173" i="12" s="1"/>
  <c r="K416" i="12"/>
  <c r="K248" i="12"/>
  <c r="K584" i="12"/>
  <c r="I474" i="12"/>
  <c r="I306" i="12"/>
  <c r="I642" i="12"/>
  <c r="K330" i="12"/>
  <c r="K498" i="12"/>
  <c r="K666" i="12"/>
  <c r="K387" i="12"/>
  <c r="K555" i="12"/>
  <c r="K219" i="12"/>
  <c r="K557" i="12"/>
  <c r="K389" i="12"/>
  <c r="K221" i="12"/>
  <c r="K318" i="12"/>
  <c r="K654" i="12"/>
  <c r="K486" i="12"/>
  <c r="I305" i="12"/>
  <c r="I641" i="12"/>
  <c r="I473" i="12"/>
  <c r="I546" i="12"/>
  <c r="I378" i="12"/>
  <c r="I210" i="12"/>
  <c r="K546" i="12"/>
  <c r="K378" i="12"/>
  <c r="K210" i="12"/>
  <c r="K583" i="12"/>
  <c r="K247" i="12"/>
  <c r="K415" i="12"/>
  <c r="I388" i="12"/>
  <c r="I556" i="12"/>
  <c r="I220" i="12"/>
  <c r="K556" i="12"/>
  <c r="K220" i="12"/>
  <c r="K388" i="12"/>
  <c r="K581" i="12"/>
  <c r="K413" i="12"/>
  <c r="K245" i="12"/>
  <c r="I82" i="9"/>
  <c r="L77" i="12" s="1"/>
  <c r="F82" i="9"/>
  <c r="I77" i="12" s="1"/>
  <c r="I175" i="9"/>
  <c r="L170" i="12" s="1"/>
  <c r="F175" i="9"/>
  <c r="I170" i="12" s="1"/>
  <c r="I167" i="9"/>
  <c r="L162" i="12" s="1"/>
  <c r="F167" i="9"/>
  <c r="I162" i="12" s="1"/>
  <c r="I84" i="9"/>
  <c r="L79" i="12" s="1"/>
  <c r="F84" i="9"/>
  <c r="I79" i="12" s="1"/>
  <c r="I176" i="9"/>
  <c r="L171" i="12" s="1"/>
  <c r="F176" i="9"/>
  <c r="I171" i="12" s="1"/>
  <c r="I71" i="9"/>
  <c r="L66" i="12" s="1"/>
  <c r="F71" i="9"/>
  <c r="I66" i="12" s="1"/>
  <c r="J9" i="12"/>
  <c r="K340" i="12"/>
  <c r="K676" i="12"/>
  <c r="K508" i="12"/>
  <c r="I545" i="12"/>
  <c r="I377" i="12"/>
  <c r="I209" i="12"/>
  <c r="K317" i="12"/>
  <c r="K485" i="12"/>
  <c r="K653" i="12"/>
  <c r="I319" i="12"/>
  <c r="I655" i="12"/>
  <c r="I487" i="12"/>
  <c r="K223" i="12"/>
  <c r="K559" i="12"/>
  <c r="K391" i="12"/>
  <c r="K497" i="12"/>
  <c r="K329" i="12"/>
  <c r="K665" i="12"/>
  <c r="K675" i="12"/>
  <c r="K339" i="12"/>
  <c r="K507" i="12"/>
  <c r="I392" i="12"/>
  <c r="I224" i="12"/>
  <c r="I560" i="12"/>
  <c r="K656" i="12"/>
  <c r="K488" i="12"/>
  <c r="K320" i="12"/>
  <c r="K246" i="12"/>
  <c r="K582" i="12"/>
  <c r="K414" i="12"/>
  <c r="I317" i="12"/>
  <c r="I653" i="12"/>
  <c r="I485" i="12"/>
  <c r="K677" i="12"/>
  <c r="K509" i="12"/>
  <c r="K341" i="12"/>
  <c r="K343" i="12"/>
  <c r="K679" i="12"/>
  <c r="K511" i="12"/>
  <c r="K473" i="12"/>
  <c r="K305" i="12"/>
  <c r="K641" i="12"/>
  <c r="I81" i="9"/>
  <c r="L76" i="12" s="1"/>
  <c r="F81" i="9"/>
  <c r="I76" i="12" s="1"/>
  <c r="I80" i="9"/>
  <c r="L75" i="12" s="1"/>
  <c r="F80" i="9"/>
  <c r="I75" i="12" s="1"/>
  <c r="I181" i="9"/>
  <c r="L176" i="12" s="1"/>
  <c r="F181" i="9"/>
  <c r="I176" i="12" s="1"/>
  <c r="K377" i="12"/>
  <c r="K209" i="12"/>
  <c r="K545" i="12"/>
  <c r="I486" i="12"/>
  <c r="I318" i="12"/>
  <c r="I654" i="12"/>
  <c r="K558" i="12"/>
  <c r="K390" i="12"/>
  <c r="K222" i="12"/>
  <c r="K650" i="12"/>
  <c r="K314" i="12"/>
  <c r="K482" i="12"/>
  <c r="K306" i="12"/>
  <c r="K474" i="12"/>
  <c r="K642" i="12"/>
  <c r="K560" i="12"/>
  <c r="K392" i="12"/>
  <c r="K224" i="12"/>
  <c r="K411" i="12"/>
  <c r="K243" i="12"/>
  <c r="K579" i="12"/>
  <c r="H14" i="9"/>
  <c r="I650" i="12"/>
  <c r="I314" i="12"/>
  <c r="I482" i="12"/>
  <c r="K233" i="12"/>
  <c r="K569" i="12"/>
  <c r="K401" i="12"/>
  <c r="I390" i="12"/>
  <c r="I558" i="12"/>
  <c r="I222" i="12"/>
  <c r="I559" i="12"/>
  <c r="I391" i="12"/>
  <c r="I223" i="12"/>
  <c r="I185" i="12"/>
  <c r="I521" i="12"/>
  <c r="I353" i="12"/>
  <c r="I557" i="12"/>
  <c r="I389" i="12"/>
  <c r="I221" i="12"/>
  <c r="I656" i="12"/>
  <c r="I320" i="12"/>
  <c r="I488" i="12"/>
  <c r="K578" i="12"/>
  <c r="K242" i="12"/>
  <c r="K410" i="12"/>
  <c r="G9" i="12"/>
  <c r="T11" i="12" s="1"/>
  <c r="H340" i="12"/>
  <c r="H508" i="12"/>
  <c r="H676" i="12"/>
  <c r="H342" i="12"/>
  <c r="H510" i="12"/>
  <c r="H678" i="12"/>
  <c r="H344" i="12"/>
  <c r="H512" i="12"/>
  <c r="H680" i="12"/>
  <c r="H318" i="12"/>
  <c r="H486" i="12"/>
  <c r="H654" i="12"/>
  <c r="F314" i="12"/>
  <c r="F650" i="12"/>
  <c r="F482" i="12"/>
  <c r="F545" i="12"/>
  <c r="F377" i="12"/>
  <c r="F209" i="12"/>
  <c r="F655" i="12"/>
  <c r="F487" i="12"/>
  <c r="F319" i="12"/>
  <c r="F315" i="12"/>
  <c r="F651" i="12"/>
  <c r="F483" i="12"/>
  <c r="F560" i="12"/>
  <c r="F392" i="12"/>
  <c r="F224" i="12"/>
  <c r="F641" i="12"/>
  <c r="F473" i="12"/>
  <c r="F305" i="12"/>
  <c r="H218" i="12"/>
  <c r="H386" i="12"/>
  <c r="H554" i="12"/>
  <c r="H209" i="12"/>
  <c r="H377" i="12"/>
  <c r="H545" i="12"/>
  <c r="H248" i="12"/>
  <c r="H416" i="12"/>
  <c r="H584" i="12"/>
  <c r="H317" i="12"/>
  <c r="H485" i="12"/>
  <c r="H653" i="12"/>
  <c r="H219" i="12"/>
  <c r="H387" i="12"/>
  <c r="H555" i="12"/>
  <c r="F556" i="12"/>
  <c r="F388" i="12"/>
  <c r="F220" i="12"/>
  <c r="H329" i="12"/>
  <c r="H497" i="12"/>
  <c r="H665" i="12"/>
  <c r="F654" i="12"/>
  <c r="F486" i="12"/>
  <c r="F318" i="12"/>
  <c r="H221" i="12"/>
  <c r="H389" i="12"/>
  <c r="H557" i="12"/>
  <c r="F653" i="12"/>
  <c r="F485" i="12"/>
  <c r="F317" i="12"/>
  <c r="H305" i="12"/>
  <c r="H473" i="12"/>
  <c r="H641" i="12"/>
  <c r="H222" i="12"/>
  <c r="H390" i="12"/>
  <c r="H558" i="12"/>
  <c r="D14" i="9"/>
  <c r="H319" i="12"/>
  <c r="H487" i="12"/>
  <c r="H655" i="12"/>
  <c r="H244" i="12"/>
  <c r="H412" i="12"/>
  <c r="H580" i="12"/>
  <c r="H306" i="12"/>
  <c r="H474" i="12"/>
  <c r="H642" i="12"/>
  <c r="F557" i="12"/>
  <c r="F389" i="12"/>
  <c r="F221" i="12"/>
  <c r="H315" i="12"/>
  <c r="H483" i="12"/>
  <c r="H651" i="12"/>
  <c r="H316" i="12"/>
  <c r="H484" i="12"/>
  <c r="H652" i="12"/>
  <c r="F554" i="12"/>
  <c r="F386" i="12"/>
  <c r="F218" i="12"/>
  <c r="H314" i="12"/>
  <c r="H482" i="12"/>
  <c r="H650" i="12"/>
  <c r="H245" i="12"/>
  <c r="H413" i="12"/>
  <c r="H581" i="12"/>
  <c r="F558" i="12"/>
  <c r="F390" i="12"/>
  <c r="F222" i="12"/>
  <c r="H210" i="12"/>
  <c r="H378" i="12"/>
  <c r="H546" i="12"/>
  <c r="F642" i="12"/>
  <c r="F474" i="12"/>
  <c r="F306" i="12"/>
  <c r="H330" i="12"/>
  <c r="H498" i="12"/>
  <c r="H666" i="12"/>
  <c r="H247" i="12"/>
  <c r="H415" i="12"/>
  <c r="H583" i="12"/>
  <c r="H224" i="12"/>
  <c r="H392" i="12"/>
  <c r="H560" i="12"/>
  <c r="H242" i="12"/>
  <c r="H410" i="12"/>
  <c r="H578" i="12"/>
  <c r="H234" i="12"/>
  <c r="H402" i="12"/>
  <c r="H570" i="12"/>
  <c r="F559" i="12"/>
  <c r="F391" i="12"/>
  <c r="F223" i="12"/>
  <c r="H343" i="12"/>
  <c r="H511" i="12"/>
  <c r="H679" i="12"/>
  <c r="F546" i="12"/>
  <c r="F378" i="12"/>
  <c r="F210" i="12"/>
  <c r="H223" i="12"/>
  <c r="H391" i="12"/>
  <c r="H559" i="12"/>
  <c r="H185" i="12"/>
  <c r="H353" i="12"/>
  <c r="H521" i="12"/>
  <c r="F555" i="12"/>
  <c r="F387" i="12"/>
  <c r="F219" i="12"/>
  <c r="H243" i="12"/>
  <c r="H411" i="12"/>
  <c r="H579" i="12"/>
  <c r="F652" i="12"/>
  <c r="F484" i="12"/>
  <c r="F316" i="12"/>
  <c r="F656" i="12"/>
  <c r="F488" i="12"/>
  <c r="F320" i="12"/>
  <c r="H320" i="12"/>
  <c r="H488" i="12"/>
  <c r="H656" i="12"/>
  <c r="H233" i="12"/>
  <c r="H401" i="12"/>
  <c r="H569" i="12"/>
  <c r="H246" i="12"/>
  <c r="H414" i="12"/>
  <c r="H582" i="12"/>
  <c r="H220" i="12"/>
  <c r="H388" i="12"/>
  <c r="H556" i="12"/>
  <c r="H338" i="12"/>
  <c r="H506" i="12"/>
  <c r="H674" i="12"/>
  <c r="H341" i="12"/>
  <c r="H509" i="12"/>
  <c r="H677" i="12"/>
  <c r="H339" i="12"/>
  <c r="H507" i="12"/>
  <c r="H675" i="12"/>
  <c r="F6" i="7"/>
  <c r="C77" i="12"/>
  <c r="B82" i="9"/>
  <c r="F77" i="12" s="1"/>
  <c r="C65" i="12"/>
  <c r="B70" i="9"/>
  <c r="F65" i="12" s="1"/>
  <c r="C642" i="12"/>
  <c r="B633" i="15" s="1"/>
  <c r="C474" i="12"/>
  <c r="B465" i="15" s="1"/>
  <c r="C654" i="12"/>
  <c r="B645" i="15" s="1"/>
  <c r="C486" i="12"/>
  <c r="B477" i="15" s="1"/>
  <c r="C175" i="12"/>
  <c r="B180" i="9"/>
  <c r="F175" i="12" s="1"/>
  <c r="C484" i="12"/>
  <c r="B475" i="15" s="1"/>
  <c r="C652" i="12"/>
  <c r="B643" i="15" s="1"/>
  <c r="C557" i="12"/>
  <c r="B548" i="15" s="1"/>
  <c r="C389" i="12"/>
  <c r="B380" i="15" s="1"/>
  <c r="C554" i="12"/>
  <c r="B545" i="15" s="1"/>
  <c r="C386" i="12"/>
  <c r="B377" i="15" s="1"/>
  <c r="C76" i="12"/>
  <c r="B81" i="9"/>
  <c r="F76" i="12" s="1"/>
  <c r="C545" i="12"/>
  <c r="B536" i="15" s="1"/>
  <c r="C377" i="12"/>
  <c r="B368" i="15" s="1"/>
  <c r="C655" i="12"/>
  <c r="B646" i="15" s="1"/>
  <c r="C487" i="12"/>
  <c r="B478" i="15" s="1"/>
  <c r="C555" i="12"/>
  <c r="B546" i="15" s="1"/>
  <c r="C387" i="12"/>
  <c r="B378" i="15" s="1"/>
  <c r="C176" i="12"/>
  <c r="B181" i="9"/>
  <c r="F176" i="12" s="1"/>
  <c r="F5" i="7"/>
  <c r="C79" i="12"/>
  <c r="B84" i="9"/>
  <c r="F79" i="12" s="1"/>
  <c r="C651" i="12"/>
  <c r="B642" i="15" s="1"/>
  <c r="C483" i="12"/>
  <c r="B474" i="15" s="1"/>
  <c r="C173" i="12"/>
  <c r="B178" i="9"/>
  <c r="F173" i="12" s="1"/>
  <c r="C80" i="12"/>
  <c r="B85" i="9"/>
  <c r="F80" i="12" s="1"/>
  <c r="C161" i="12"/>
  <c r="B166" i="9"/>
  <c r="F161" i="12" s="1"/>
  <c r="C650" i="12"/>
  <c r="B641" i="15" s="1"/>
  <c r="C482" i="12"/>
  <c r="B473" i="15" s="1"/>
  <c r="C162" i="12"/>
  <c r="B167" i="9"/>
  <c r="F162" i="12" s="1"/>
  <c r="C172" i="12"/>
  <c r="B177" i="9"/>
  <c r="F172" i="12" s="1"/>
  <c r="C559" i="12"/>
  <c r="B550" i="15" s="1"/>
  <c r="C391" i="12"/>
  <c r="B382" i="15" s="1"/>
  <c r="C171" i="12"/>
  <c r="B176" i="9"/>
  <c r="F171" i="12" s="1"/>
  <c r="C653" i="12"/>
  <c r="B644" i="15" s="1"/>
  <c r="C485" i="12"/>
  <c r="B476" i="15" s="1"/>
  <c r="C392" i="12"/>
  <c r="B383" i="15" s="1"/>
  <c r="C560" i="12"/>
  <c r="B551" i="15" s="1"/>
  <c r="C641" i="12"/>
  <c r="B632" i="15" s="1"/>
  <c r="C473" i="12"/>
  <c r="B464" i="15" s="1"/>
  <c r="C66" i="12"/>
  <c r="B71" i="9"/>
  <c r="F66" i="12" s="1"/>
  <c r="C74" i="12"/>
  <c r="B79" i="9"/>
  <c r="F74" i="12" s="1"/>
  <c r="C558" i="12"/>
  <c r="B549" i="15" s="1"/>
  <c r="C390" i="12"/>
  <c r="B381" i="15" s="1"/>
  <c r="F3" i="7"/>
  <c r="C78" i="12"/>
  <c r="B83" i="9"/>
  <c r="F78" i="12" s="1"/>
  <c r="C556" i="12"/>
  <c r="B547" i="15" s="1"/>
  <c r="C388" i="12"/>
  <c r="B379" i="15" s="1"/>
  <c r="C170" i="12"/>
  <c r="B175" i="9"/>
  <c r="F170" i="12" s="1"/>
  <c r="C174" i="12"/>
  <c r="B179" i="9"/>
  <c r="F174" i="12" s="1"/>
  <c r="C75" i="12"/>
  <c r="B80" i="9"/>
  <c r="F75" i="12" s="1"/>
  <c r="C656" i="12"/>
  <c r="B647" i="15" s="1"/>
  <c r="C488" i="12"/>
  <c r="B479" i="15" s="1"/>
  <c r="F7" i="7"/>
  <c r="C546" i="12"/>
  <c r="B537" i="15" s="1"/>
  <c r="C378" i="12"/>
  <c r="B369" i="15" s="1"/>
  <c r="C233" i="12" l="1"/>
  <c r="B224" i="15" s="1"/>
  <c r="B56" i="15"/>
  <c r="C234" i="12"/>
  <c r="B225" i="15" s="1"/>
  <c r="B57" i="15"/>
  <c r="C339" i="12"/>
  <c r="B330" i="15" s="1"/>
  <c r="B162" i="15"/>
  <c r="C340" i="12"/>
  <c r="B331" i="15" s="1"/>
  <c r="B163" i="15"/>
  <c r="C248" i="12"/>
  <c r="B239" i="15" s="1"/>
  <c r="B71" i="15"/>
  <c r="C242" i="12"/>
  <c r="B233" i="15" s="1"/>
  <c r="B65" i="15"/>
  <c r="C330" i="12"/>
  <c r="B321" i="15" s="1"/>
  <c r="B153" i="15"/>
  <c r="C329" i="12"/>
  <c r="B320" i="15" s="1"/>
  <c r="B152" i="15"/>
  <c r="C341" i="12"/>
  <c r="B332" i="15" s="1"/>
  <c r="B164" i="15"/>
  <c r="C247" i="12"/>
  <c r="B238" i="15" s="1"/>
  <c r="B70" i="15"/>
  <c r="C342" i="12"/>
  <c r="B333" i="15" s="1"/>
  <c r="B165" i="15"/>
  <c r="C243" i="12"/>
  <c r="B234" i="15" s="1"/>
  <c r="B66" i="15"/>
  <c r="C338" i="12"/>
  <c r="B329" i="15" s="1"/>
  <c r="B161" i="15"/>
  <c r="C246" i="12"/>
  <c r="B237" i="15" s="1"/>
  <c r="B69" i="15"/>
  <c r="C344" i="12"/>
  <c r="B335" i="15" s="1"/>
  <c r="B167" i="15"/>
  <c r="C244" i="12"/>
  <c r="B235" i="15" s="1"/>
  <c r="B67" i="15"/>
  <c r="C343" i="12"/>
  <c r="B334" i="15" s="1"/>
  <c r="B166" i="15"/>
  <c r="C245" i="12"/>
  <c r="B236" i="15" s="1"/>
  <c r="B68" i="15"/>
  <c r="Q413" i="12"/>
  <c r="G404" i="15" s="1"/>
  <c r="Q678" i="12"/>
  <c r="G669" i="15" s="1"/>
  <c r="Q344" i="12"/>
  <c r="G335" i="15" s="1"/>
  <c r="Q402" i="12"/>
  <c r="G393" i="15" s="1"/>
  <c r="Q581" i="12"/>
  <c r="G572" i="15" s="1"/>
  <c r="Q342" i="12"/>
  <c r="G333" i="15" s="1"/>
  <c r="Q233" i="12"/>
  <c r="G224" i="15" s="1"/>
  <c r="Q319" i="12"/>
  <c r="G310" i="15" s="1"/>
  <c r="Q234" i="12"/>
  <c r="G225" i="15" s="1"/>
  <c r="O390" i="12"/>
  <c r="E381" i="15" s="1"/>
  <c r="O315" i="12"/>
  <c r="E306" i="15" s="1"/>
  <c r="O558" i="12"/>
  <c r="E549" i="15" s="1"/>
  <c r="O483" i="12"/>
  <c r="E474" i="15" s="1"/>
  <c r="O222" i="12"/>
  <c r="E213" i="15" s="1"/>
  <c r="Q578" i="12"/>
  <c r="G569" i="15" s="1"/>
  <c r="G65" i="15"/>
  <c r="Q677" i="12"/>
  <c r="G668" i="15" s="1"/>
  <c r="G164" i="15"/>
  <c r="O486" i="12"/>
  <c r="E477" i="15" s="1"/>
  <c r="E141" i="15"/>
  <c r="O316" i="12"/>
  <c r="E307" i="15" s="1"/>
  <c r="O320" i="12"/>
  <c r="E311" i="15" s="1"/>
  <c r="E143" i="15"/>
  <c r="O485" i="12"/>
  <c r="E476" i="15" s="1"/>
  <c r="E140" i="15"/>
  <c r="Q642" i="12"/>
  <c r="G633" i="15" s="1"/>
  <c r="G129" i="15"/>
  <c r="Q545" i="12"/>
  <c r="G536" i="15" s="1"/>
  <c r="G32" i="15"/>
  <c r="O482" i="12"/>
  <c r="E473" i="15" s="1"/>
  <c r="E137" i="15"/>
  <c r="O386" i="12"/>
  <c r="E377" i="15" s="1"/>
  <c r="E41" i="15"/>
  <c r="O556" i="12"/>
  <c r="E547" i="15" s="1"/>
  <c r="E43" i="15"/>
  <c r="Q341" i="12"/>
  <c r="G332" i="15" s="1"/>
  <c r="O484" i="12"/>
  <c r="E475" i="15" s="1"/>
  <c r="O318" i="12"/>
  <c r="E309" i="15" s="1"/>
  <c r="O221" i="12"/>
  <c r="E212" i="15" s="1"/>
  <c r="E44" i="15"/>
  <c r="Q483" i="12"/>
  <c r="G474" i="15" s="1"/>
  <c r="G138" i="15"/>
  <c r="Q314" i="12"/>
  <c r="G305" i="15" s="1"/>
  <c r="G137" i="15"/>
  <c r="Q512" i="12"/>
  <c r="G503" i="15" s="1"/>
  <c r="Q569" i="12"/>
  <c r="G560" i="15" s="1"/>
  <c r="Q655" i="12"/>
  <c r="G646" i="15" s="1"/>
  <c r="Q242" i="12"/>
  <c r="G233" i="15" s="1"/>
  <c r="Q509" i="12"/>
  <c r="G500" i="15" s="1"/>
  <c r="O652" i="12"/>
  <c r="E643" i="15" s="1"/>
  <c r="O654" i="12"/>
  <c r="E645" i="15" s="1"/>
  <c r="Q511" i="12"/>
  <c r="G502" i="15" s="1"/>
  <c r="G166" i="15"/>
  <c r="Q652" i="12"/>
  <c r="G643" i="15" s="1"/>
  <c r="G139" i="15"/>
  <c r="Q558" i="12"/>
  <c r="G549" i="15" s="1"/>
  <c r="G45" i="15"/>
  <c r="Q222" i="12"/>
  <c r="G213" i="15" s="1"/>
  <c r="O389" i="12"/>
  <c r="E380" i="15" s="1"/>
  <c r="Q679" i="12"/>
  <c r="G670" i="15" s="1"/>
  <c r="O220" i="12"/>
  <c r="E211" i="15" s="1"/>
  <c r="O650" i="12"/>
  <c r="E641" i="15" s="1"/>
  <c r="O653" i="12"/>
  <c r="E644" i="15" s="1"/>
  <c r="Q209" i="12"/>
  <c r="G200" i="15" s="1"/>
  <c r="O66" i="12"/>
  <c r="E57" i="15" s="1"/>
  <c r="O79" i="12"/>
  <c r="E70" i="15" s="1"/>
  <c r="O170" i="12"/>
  <c r="E161" i="15" s="1"/>
  <c r="Q651" i="12"/>
  <c r="G642" i="15" s="1"/>
  <c r="O218" i="12"/>
  <c r="E209" i="15" s="1"/>
  <c r="Q474" i="12"/>
  <c r="G465" i="15" s="1"/>
  <c r="Q377" i="12"/>
  <c r="G368" i="15" s="1"/>
  <c r="O314" i="12"/>
  <c r="E305" i="15" s="1"/>
  <c r="O554" i="12"/>
  <c r="E545" i="15" s="1"/>
  <c r="O656" i="12"/>
  <c r="E647" i="15" s="1"/>
  <c r="O317" i="12"/>
  <c r="E308" i="15" s="1"/>
  <c r="O176" i="12"/>
  <c r="O76" i="12"/>
  <c r="E67" i="15" s="1"/>
  <c r="O173" i="12"/>
  <c r="E164" i="15" s="1"/>
  <c r="O174" i="12"/>
  <c r="O161" i="12"/>
  <c r="O175" i="12"/>
  <c r="E166" i="15" s="1"/>
  <c r="O78" i="12"/>
  <c r="Q484" i="12"/>
  <c r="G475" i="15" s="1"/>
  <c r="Q390" i="12"/>
  <c r="G381" i="15" s="1"/>
  <c r="P9" i="12"/>
  <c r="W11" i="12" s="1"/>
  <c r="W14" i="12" s="1"/>
  <c r="W15" i="12" s="1"/>
  <c r="O557" i="12"/>
  <c r="E548" i="15" s="1"/>
  <c r="Q315" i="12"/>
  <c r="G306" i="15" s="1"/>
  <c r="Q650" i="12"/>
  <c r="G641" i="15" s="1"/>
  <c r="O341" i="12"/>
  <c r="E332" i="15" s="1"/>
  <c r="Q583" i="12"/>
  <c r="G574" i="15" s="1"/>
  <c r="Q415" i="12"/>
  <c r="G406" i="15" s="1"/>
  <c r="Q247" i="12"/>
  <c r="G238" i="15" s="1"/>
  <c r="Q497" i="12"/>
  <c r="G488" i="15" s="1"/>
  <c r="Q665" i="12"/>
  <c r="G656" i="15" s="1"/>
  <c r="Q329" i="12"/>
  <c r="G320" i="15" s="1"/>
  <c r="O545" i="12"/>
  <c r="E536" i="15" s="1"/>
  <c r="O377" i="12"/>
  <c r="E368" i="15" s="1"/>
  <c r="O209" i="12"/>
  <c r="E200" i="15" s="1"/>
  <c r="O560" i="12"/>
  <c r="E551" i="15" s="1"/>
  <c r="O224" i="12"/>
  <c r="E215" i="15" s="1"/>
  <c r="O392" i="12"/>
  <c r="E383" i="15" s="1"/>
  <c r="O642" i="12"/>
  <c r="E633" i="15" s="1"/>
  <c r="O474" i="12"/>
  <c r="E465" i="15" s="1"/>
  <c r="O306" i="12"/>
  <c r="E297" i="15" s="1"/>
  <c r="Q554" i="12"/>
  <c r="G545" i="15" s="1"/>
  <c r="Q218" i="12"/>
  <c r="G209" i="15" s="1"/>
  <c r="Q386" i="12"/>
  <c r="G377" i="15" s="1"/>
  <c r="O234" i="12"/>
  <c r="E225" i="15" s="1"/>
  <c r="O583" i="12"/>
  <c r="E574" i="15" s="1"/>
  <c r="O247" i="12"/>
  <c r="E238" i="15" s="1"/>
  <c r="Q546" i="12"/>
  <c r="G537" i="15" s="1"/>
  <c r="Q378" i="12"/>
  <c r="G369" i="15" s="1"/>
  <c r="Q210" i="12"/>
  <c r="G201" i="15" s="1"/>
  <c r="Q579" i="12"/>
  <c r="G570" i="15" s="1"/>
  <c r="Q411" i="12"/>
  <c r="G402" i="15" s="1"/>
  <c r="Q243" i="12"/>
  <c r="G234" i="15" s="1"/>
  <c r="Q559" i="12"/>
  <c r="G550" i="15" s="1"/>
  <c r="Q223" i="12"/>
  <c r="G214" i="15" s="1"/>
  <c r="Q391" i="12"/>
  <c r="G382" i="15" s="1"/>
  <c r="Q676" i="12"/>
  <c r="G667" i="15" s="1"/>
  <c r="Q508" i="12"/>
  <c r="G499" i="15" s="1"/>
  <c r="Q340" i="12"/>
  <c r="G331" i="15" s="1"/>
  <c r="Q412" i="12"/>
  <c r="G403" i="15" s="1"/>
  <c r="Q580" i="12"/>
  <c r="G571" i="15" s="1"/>
  <c r="Q244" i="12"/>
  <c r="G235" i="15" s="1"/>
  <c r="Q557" i="12"/>
  <c r="G548" i="15" s="1"/>
  <c r="Q389" i="12"/>
  <c r="G380" i="15" s="1"/>
  <c r="Q221" i="12"/>
  <c r="G212" i="15" s="1"/>
  <c r="Q584" i="12"/>
  <c r="G575" i="15" s="1"/>
  <c r="Q416" i="12"/>
  <c r="G407" i="15" s="1"/>
  <c r="Q248" i="12"/>
  <c r="G239" i="15" s="1"/>
  <c r="Q654" i="12"/>
  <c r="G645" i="15" s="1"/>
  <c r="Q486" i="12"/>
  <c r="G477" i="15" s="1"/>
  <c r="Q318" i="12"/>
  <c r="G309" i="15" s="1"/>
  <c r="Q506" i="12"/>
  <c r="G497" i="15" s="1"/>
  <c r="Q674" i="12"/>
  <c r="G665" i="15" s="1"/>
  <c r="Q338" i="12"/>
  <c r="G329" i="15" s="1"/>
  <c r="O580" i="12"/>
  <c r="E571" i="15" s="1"/>
  <c r="O412" i="12"/>
  <c r="E403" i="15" s="1"/>
  <c r="O674" i="12"/>
  <c r="E665" i="15" s="1"/>
  <c r="O506" i="12"/>
  <c r="E497" i="15" s="1"/>
  <c r="O338" i="12"/>
  <c r="E329" i="15" s="1"/>
  <c r="O75" i="12"/>
  <c r="E66" i="15" s="1"/>
  <c r="O172" i="12"/>
  <c r="E163" i="15" s="1"/>
  <c r="O80" i="12"/>
  <c r="E71" i="15" s="1"/>
  <c r="O65" i="12"/>
  <c r="E56" i="15" s="1"/>
  <c r="O74" i="12"/>
  <c r="E65" i="15" s="1"/>
  <c r="O378" i="12"/>
  <c r="E369" i="15" s="1"/>
  <c r="O546" i="12"/>
  <c r="E537" i="15" s="1"/>
  <c r="O210" i="12"/>
  <c r="E201" i="15" s="1"/>
  <c r="Q560" i="12"/>
  <c r="G551" i="15" s="1"/>
  <c r="Q392" i="12"/>
  <c r="G383" i="15" s="1"/>
  <c r="Q224" i="12"/>
  <c r="G215" i="15" s="1"/>
  <c r="O487" i="12"/>
  <c r="E478" i="15" s="1"/>
  <c r="O655" i="12"/>
  <c r="E646" i="15" s="1"/>
  <c r="O319" i="12"/>
  <c r="E310" i="15" s="1"/>
  <c r="Q582" i="12"/>
  <c r="G573" i="15" s="1"/>
  <c r="Q246" i="12"/>
  <c r="G237" i="15" s="1"/>
  <c r="Q414" i="12"/>
  <c r="G405" i="15" s="1"/>
  <c r="Q555" i="12"/>
  <c r="G546" i="15" s="1"/>
  <c r="Q387" i="12"/>
  <c r="G378" i="15" s="1"/>
  <c r="Q219" i="12"/>
  <c r="G210" i="15" s="1"/>
  <c r="O171" i="12"/>
  <c r="E162" i="15" s="1"/>
  <c r="O162" i="12"/>
  <c r="E153" i="15" s="1"/>
  <c r="O77" i="12"/>
  <c r="E68" i="15" s="1"/>
  <c r="Q305" i="12"/>
  <c r="G296" i="15" s="1"/>
  <c r="Q641" i="12"/>
  <c r="G632" i="15" s="1"/>
  <c r="Q473" i="12"/>
  <c r="G464" i="15" s="1"/>
  <c r="O641" i="12"/>
  <c r="E632" i="15" s="1"/>
  <c r="O473" i="12"/>
  <c r="E464" i="15" s="1"/>
  <c r="O305" i="12"/>
  <c r="E296" i="15" s="1"/>
  <c r="Q675" i="12"/>
  <c r="G666" i="15" s="1"/>
  <c r="Q339" i="12"/>
  <c r="G330" i="15" s="1"/>
  <c r="Q507" i="12"/>
  <c r="G498" i="15" s="1"/>
  <c r="Q653" i="12"/>
  <c r="G644" i="15" s="1"/>
  <c r="Q485" i="12"/>
  <c r="G476" i="15" s="1"/>
  <c r="Q317" i="12"/>
  <c r="G308" i="15" s="1"/>
  <c r="Q656" i="12"/>
  <c r="G647" i="15" s="1"/>
  <c r="Q488" i="12"/>
  <c r="G479" i="15" s="1"/>
  <c r="Q320" i="12"/>
  <c r="G311" i="15" s="1"/>
  <c r="Q498" i="12"/>
  <c r="G489" i="15" s="1"/>
  <c r="Q666" i="12"/>
  <c r="G657" i="15" s="1"/>
  <c r="Q330" i="12"/>
  <c r="G321" i="15" s="1"/>
  <c r="O559" i="12"/>
  <c r="E550" i="15" s="1"/>
  <c r="O391" i="12"/>
  <c r="E382" i="15" s="1"/>
  <c r="O223" i="12"/>
  <c r="E214" i="15" s="1"/>
  <c r="E9" i="12"/>
  <c r="L579" i="12"/>
  <c r="L243" i="12"/>
  <c r="L411" i="12"/>
  <c r="L676" i="12"/>
  <c r="L508" i="12"/>
  <c r="L340" i="12"/>
  <c r="L584" i="12"/>
  <c r="L416" i="12"/>
  <c r="L248" i="12"/>
  <c r="L569" i="12"/>
  <c r="L401" i="12"/>
  <c r="L233" i="12"/>
  <c r="L578" i="12"/>
  <c r="L410" i="12"/>
  <c r="L242" i="12"/>
  <c r="K9" i="12"/>
  <c r="L675" i="12"/>
  <c r="L507" i="12"/>
  <c r="L339" i="12"/>
  <c r="L666" i="12"/>
  <c r="L498" i="12"/>
  <c r="L330" i="12"/>
  <c r="L581" i="12"/>
  <c r="L413" i="12"/>
  <c r="L245" i="12"/>
  <c r="L680" i="12"/>
  <c r="L512" i="12"/>
  <c r="L344" i="12"/>
  <c r="L580" i="12"/>
  <c r="L412" i="12"/>
  <c r="L244" i="12"/>
  <c r="L677" i="12"/>
  <c r="L509" i="12"/>
  <c r="L341" i="12"/>
  <c r="L678" i="12"/>
  <c r="L510" i="12"/>
  <c r="L342" i="12"/>
  <c r="L665" i="12"/>
  <c r="L329" i="12"/>
  <c r="L497" i="12"/>
  <c r="L679" i="12"/>
  <c r="L511" i="12"/>
  <c r="L343" i="12"/>
  <c r="L582" i="12"/>
  <c r="L414" i="12"/>
  <c r="L246" i="12"/>
  <c r="N9" i="12"/>
  <c r="L570" i="12"/>
  <c r="L402" i="12"/>
  <c r="L234" i="12"/>
  <c r="L583" i="12"/>
  <c r="L415" i="12"/>
  <c r="L247" i="12"/>
  <c r="L674" i="12"/>
  <c r="L506" i="12"/>
  <c r="L338" i="12"/>
  <c r="I512" i="12"/>
  <c r="I344" i="12"/>
  <c r="I680" i="12"/>
  <c r="I244" i="12"/>
  <c r="I580" i="12"/>
  <c r="I412" i="12"/>
  <c r="I507" i="12"/>
  <c r="I339" i="12"/>
  <c r="I675" i="12"/>
  <c r="I666" i="12"/>
  <c r="I330" i="12"/>
  <c r="I498" i="12"/>
  <c r="I581" i="12"/>
  <c r="I413" i="12"/>
  <c r="I245" i="12"/>
  <c r="F14" i="9"/>
  <c r="I341" i="12"/>
  <c r="I509" i="12"/>
  <c r="I677" i="12"/>
  <c r="I510" i="12"/>
  <c r="I678" i="12"/>
  <c r="I342" i="12"/>
  <c r="I584" i="12"/>
  <c r="I248" i="12"/>
  <c r="I416" i="12"/>
  <c r="I569" i="12"/>
  <c r="I401" i="12"/>
  <c r="I233" i="12"/>
  <c r="I410" i="12"/>
  <c r="I578" i="12"/>
  <c r="I242" i="12"/>
  <c r="I411" i="12"/>
  <c r="I243" i="12"/>
  <c r="I579" i="12"/>
  <c r="I234" i="12"/>
  <c r="I570" i="12"/>
  <c r="I402" i="12"/>
  <c r="I583" i="12"/>
  <c r="I415" i="12"/>
  <c r="I247" i="12"/>
  <c r="I338" i="12"/>
  <c r="I506" i="12"/>
  <c r="I674" i="12"/>
  <c r="I676" i="12"/>
  <c r="I340" i="12"/>
  <c r="I508" i="12"/>
  <c r="I665" i="12"/>
  <c r="I329" i="12"/>
  <c r="I497" i="12"/>
  <c r="I679" i="12"/>
  <c r="I511" i="12"/>
  <c r="I343" i="12"/>
  <c r="I246" i="12"/>
  <c r="I582" i="12"/>
  <c r="I414" i="12"/>
  <c r="W12" i="12"/>
  <c r="H9" i="12"/>
  <c r="U11" i="12" s="1"/>
  <c r="F339" i="12"/>
  <c r="F675" i="12"/>
  <c r="F507" i="12"/>
  <c r="F584" i="12"/>
  <c r="F416" i="12"/>
  <c r="F248" i="12"/>
  <c r="F570" i="12"/>
  <c r="F402" i="12"/>
  <c r="F234" i="12"/>
  <c r="F676" i="12"/>
  <c r="F508" i="12"/>
  <c r="F340" i="12"/>
  <c r="F579" i="12"/>
  <c r="F411" i="12"/>
  <c r="F243" i="12"/>
  <c r="F674" i="12"/>
  <c r="F506" i="12"/>
  <c r="F338" i="12"/>
  <c r="F582" i="12"/>
  <c r="F414" i="12"/>
  <c r="F246" i="12"/>
  <c r="F679" i="12"/>
  <c r="F511" i="12"/>
  <c r="F343" i="12"/>
  <c r="F680" i="12"/>
  <c r="F512" i="12"/>
  <c r="F344" i="12"/>
  <c r="F580" i="12"/>
  <c r="F412" i="12"/>
  <c r="F244" i="12"/>
  <c r="F581" i="12"/>
  <c r="F413" i="12"/>
  <c r="F245" i="12"/>
  <c r="F578" i="12"/>
  <c r="F410" i="12"/>
  <c r="F242" i="12"/>
  <c r="F330" i="12"/>
  <c r="F666" i="12"/>
  <c r="F498" i="12"/>
  <c r="F665" i="12"/>
  <c r="F497" i="12"/>
  <c r="F329" i="12"/>
  <c r="F583" i="12"/>
  <c r="F415" i="12"/>
  <c r="F247" i="12"/>
  <c r="F677" i="12"/>
  <c r="F509" i="12"/>
  <c r="F341" i="12"/>
  <c r="F678" i="12"/>
  <c r="F510" i="12"/>
  <c r="F342" i="12"/>
  <c r="F569" i="12"/>
  <c r="F401" i="12"/>
  <c r="F233" i="12"/>
  <c r="C674" i="12"/>
  <c r="B665" i="15" s="1"/>
  <c r="C506" i="12"/>
  <c r="B497" i="15" s="1"/>
  <c r="C678" i="12"/>
  <c r="B669" i="15" s="1"/>
  <c r="C510" i="12"/>
  <c r="B501" i="15" s="1"/>
  <c r="C677" i="12"/>
  <c r="B668" i="15" s="1"/>
  <c r="C509" i="12"/>
  <c r="B500" i="15" s="1"/>
  <c r="C578" i="12"/>
  <c r="B569" i="15" s="1"/>
  <c r="C410" i="12"/>
  <c r="B401" i="15" s="1"/>
  <c r="C666" i="12"/>
  <c r="B657" i="15" s="1"/>
  <c r="C498" i="12"/>
  <c r="B489" i="15" s="1"/>
  <c r="C579" i="12"/>
  <c r="B570" i="15" s="1"/>
  <c r="C411" i="12"/>
  <c r="B402" i="15" s="1"/>
  <c r="C582" i="12"/>
  <c r="B573" i="15" s="1"/>
  <c r="C414" i="12"/>
  <c r="B405" i="15" s="1"/>
  <c r="C508" i="12"/>
  <c r="B499" i="15" s="1"/>
  <c r="C676" i="12"/>
  <c r="B667" i="15" s="1"/>
  <c r="C584" i="12"/>
  <c r="B575" i="15" s="1"/>
  <c r="C416" i="12"/>
  <c r="B407" i="15" s="1"/>
  <c r="C570" i="12"/>
  <c r="B561" i="15" s="1"/>
  <c r="C402" i="12"/>
  <c r="B393" i="15" s="1"/>
  <c r="D9" i="13"/>
  <c r="C665" i="12"/>
  <c r="B656" i="15" s="1"/>
  <c r="C497" i="12"/>
  <c r="B488" i="15" s="1"/>
  <c r="C583" i="12"/>
  <c r="B574" i="15" s="1"/>
  <c r="C415" i="12"/>
  <c r="B406" i="15" s="1"/>
  <c r="C680" i="12"/>
  <c r="B671" i="15" s="1"/>
  <c r="C512" i="12"/>
  <c r="B503" i="15" s="1"/>
  <c r="C412" i="12"/>
  <c r="B403" i="15" s="1"/>
  <c r="C580" i="12"/>
  <c r="B571" i="15" s="1"/>
  <c r="C679" i="12"/>
  <c r="B670" i="15" s="1"/>
  <c r="C511" i="12"/>
  <c r="B502" i="15" s="1"/>
  <c r="B14" i="9"/>
  <c r="C581" i="12"/>
  <c r="B572" i="15" s="1"/>
  <c r="C413" i="12"/>
  <c r="B404" i="15" s="1"/>
  <c r="C675" i="12"/>
  <c r="B666" i="15" s="1"/>
  <c r="C507" i="12"/>
  <c r="B498" i="15" s="1"/>
  <c r="C569" i="12"/>
  <c r="B560" i="15" s="1"/>
  <c r="C401" i="12"/>
  <c r="B392" i="15" s="1"/>
  <c r="C9" i="12" l="1"/>
  <c r="O677" i="12"/>
  <c r="E668" i="15" s="1"/>
  <c r="O343" i="12"/>
  <c r="E334" i="15" s="1"/>
  <c r="O244" i="12"/>
  <c r="E235" i="15" s="1"/>
  <c r="O570" i="12"/>
  <c r="E561" i="15" s="1"/>
  <c r="O511" i="12"/>
  <c r="E502" i="15" s="1"/>
  <c r="O414" i="12"/>
  <c r="E405" i="15" s="1"/>
  <c r="E69" i="15"/>
  <c r="O679" i="12"/>
  <c r="E670" i="15" s="1"/>
  <c r="O329" i="12"/>
  <c r="E320" i="15" s="1"/>
  <c r="E152" i="15"/>
  <c r="O512" i="12"/>
  <c r="E503" i="15" s="1"/>
  <c r="E167" i="15"/>
  <c r="O246" i="12"/>
  <c r="E237" i="15" s="1"/>
  <c r="O415" i="12"/>
  <c r="E406" i="15" s="1"/>
  <c r="O402" i="12"/>
  <c r="E393" i="15" s="1"/>
  <c r="O582" i="12"/>
  <c r="E573" i="15" s="1"/>
  <c r="O509" i="12"/>
  <c r="E500" i="15" s="1"/>
  <c r="O678" i="12"/>
  <c r="E669" i="15" s="1"/>
  <c r="E165" i="15"/>
  <c r="O665" i="12"/>
  <c r="E656" i="15" s="1"/>
  <c r="O342" i="12"/>
  <c r="E333" i="15" s="1"/>
  <c r="O680" i="12"/>
  <c r="E671" i="15" s="1"/>
  <c r="O497" i="12"/>
  <c r="E488" i="15" s="1"/>
  <c r="O510" i="12"/>
  <c r="E501" i="15" s="1"/>
  <c r="O344" i="12"/>
  <c r="E335" i="15" s="1"/>
  <c r="Q9" i="12"/>
  <c r="X11" i="12" s="1"/>
  <c r="X14" i="12" s="1"/>
  <c r="X15" i="12" s="1"/>
  <c r="O581" i="12"/>
  <c r="E572" i="15" s="1"/>
  <c r="O245" i="12"/>
  <c r="E236" i="15" s="1"/>
  <c r="O413" i="12"/>
  <c r="E404" i="15" s="1"/>
  <c r="O569" i="12"/>
  <c r="E560" i="15" s="1"/>
  <c r="O401" i="12"/>
  <c r="E392" i="15" s="1"/>
  <c r="O233" i="12"/>
  <c r="E224" i="15" s="1"/>
  <c r="O666" i="12"/>
  <c r="E657" i="15" s="1"/>
  <c r="O498" i="12"/>
  <c r="E489" i="15" s="1"/>
  <c r="O330" i="12"/>
  <c r="E321" i="15" s="1"/>
  <c r="O584" i="12"/>
  <c r="E575" i="15" s="1"/>
  <c r="O416" i="12"/>
  <c r="E407" i="15" s="1"/>
  <c r="O248" i="12"/>
  <c r="E239" i="15" s="1"/>
  <c r="O675" i="12"/>
  <c r="E666" i="15" s="1"/>
  <c r="O507" i="12"/>
  <c r="E498" i="15" s="1"/>
  <c r="O339" i="12"/>
  <c r="E330" i="15" s="1"/>
  <c r="O508" i="12"/>
  <c r="E499" i="15" s="1"/>
  <c r="O676" i="12"/>
  <c r="E667" i="15" s="1"/>
  <c r="O340" i="12"/>
  <c r="E331" i="15" s="1"/>
  <c r="O410" i="12"/>
  <c r="E401" i="15" s="1"/>
  <c r="O578" i="12"/>
  <c r="E569" i="15" s="1"/>
  <c r="O242" i="12"/>
  <c r="E233" i="15" s="1"/>
  <c r="O579" i="12"/>
  <c r="E570" i="15" s="1"/>
  <c r="O411" i="12"/>
  <c r="E402" i="15" s="1"/>
  <c r="O243" i="12"/>
  <c r="E234" i="15" s="1"/>
  <c r="L9" i="12"/>
  <c r="I9" i="12"/>
  <c r="C26" i="14"/>
  <c r="F9" i="12"/>
  <c r="I11" i="7"/>
  <c r="J12" i="7"/>
  <c r="K13" i="7"/>
  <c r="I15" i="7"/>
  <c r="J16" i="7"/>
  <c r="K17" i="7"/>
  <c r="I19" i="7"/>
  <c r="J20" i="7"/>
  <c r="K21" i="7"/>
  <c r="I23" i="7"/>
  <c r="J24" i="7"/>
  <c r="K25" i="7"/>
  <c r="I27" i="7"/>
  <c r="J28" i="7"/>
  <c r="K29" i="7"/>
  <c r="I31" i="7"/>
  <c r="J32" i="7"/>
  <c r="K33" i="7"/>
  <c r="I35" i="7"/>
  <c r="J36" i="7"/>
  <c r="K37" i="7"/>
  <c r="I39" i="7"/>
  <c r="J40" i="7"/>
  <c r="K41" i="7"/>
  <c r="I43" i="7"/>
  <c r="J44" i="7"/>
  <c r="K45" i="7"/>
  <c r="I47" i="7"/>
  <c r="J48" i="7"/>
  <c r="K49" i="7"/>
  <c r="I51" i="7"/>
  <c r="J52" i="7"/>
  <c r="K53" i="7"/>
  <c r="I55" i="7"/>
  <c r="J56" i="7"/>
  <c r="K57" i="7"/>
  <c r="I59" i="7"/>
  <c r="J60" i="7"/>
  <c r="K61" i="7"/>
  <c r="I63" i="7"/>
  <c r="J64" i="7"/>
  <c r="K65" i="7"/>
  <c r="I67" i="7"/>
  <c r="J11" i="7"/>
  <c r="K12" i="7"/>
  <c r="I14" i="7"/>
  <c r="J15" i="7"/>
  <c r="K16" i="7"/>
  <c r="I18" i="7"/>
  <c r="J19" i="7"/>
  <c r="K20" i="7"/>
  <c r="I22" i="7"/>
  <c r="J23" i="7"/>
  <c r="K24" i="7"/>
  <c r="I26" i="7"/>
  <c r="J27" i="7"/>
  <c r="K28" i="7"/>
  <c r="I30" i="7"/>
  <c r="J31" i="7"/>
  <c r="K32" i="7"/>
  <c r="I34" i="7"/>
  <c r="J35" i="7"/>
  <c r="K36" i="7"/>
  <c r="I38" i="7"/>
  <c r="J39" i="7"/>
  <c r="K40" i="7"/>
  <c r="I42" i="7"/>
  <c r="J43" i="7"/>
  <c r="K44" i="7"/>
  <c r="I46" i="7"/>
  <c r="J47" i="7"/>
  <c r="K48" i="7"/>
  <c r="I50" i="7"/>
  <c r="J51" i="7"/>
  <c r="K52" i="7"/>
  <c r="I54" i="7"/>
  <c r="J55" i="7"/>
  <c r="K56" i="7"/>
  <c r="I58" i="7"/>
  <c r="J59" i="7"/>
  <c r="K60" i="7"/>
  <c r="I62" i="7"/>
  <c r="J63" i="7"/>
  <c r="K64" i="7"/>
  <c r="I66" i="7"/>
  <c r="J67" i="7"/>
  <c r="K68" i="7"/>
  <c r="I70" i="7"/>
  <c r="J71" i="7"/>
  <c r="K72" i="7"/>
  <c r="I74" i="7"/>
  <c r="J75" i="7"/>
  <c r="K76" i="7"/>
  <c r="I78" i="7"/>
  <c r="J79" i="7"/>
  <c r="K80" i="7"/>
  <c r="I82" i="7"/>
  <c r="J83" i="7"/>
  <c r="K84" i="7"/>
  <c r="I86" i="7"/>
  <c r="J87" i="7"/>
  <c r="K88" i="7"/>
  <c r="I90" i="7"/>
  <c r="J91" i="7"/>
  <c r="K92" i="7"/>
  <c r="I94" i="7"/>
  <c r="J95" i="7"/>
  <c r="K96" i="7"/>
  <c r="I98" i="7"/>
  <c r="J99" i="7"/>
  <c r="K100" i="7"/>
  <c r="I102" i="7"/>
  <c r="J103" i="7"/>
  <c r="K104" i="7"/>
  <c r="I106" i="7"/>
  <c r="J107" i="7"/>
  <c r="K108" i="7"/>
  <c r="I110" i="7"/>
  <c r="J111" i="7"/>
  <c r="K112" i="7"/>
  <c r="I114" i="7"/>
  <c r="J115" i="7"/>
  <c r="K116" i="7"/>
  <c r="I118" i="7"/>
  <c r="J119" i="7"/>
  <c r="K120" i="7"/>
  <c r="I122" i="7"/>
  <c r="J123" i="7"/>
  <c r="K11" i="7"/>
  <c r="I12" i="7"/>
  <c r="K14" i="7"/>
  <c r="J17" i="7"/>
  <c r="I20" i="7"/>
  <c r="K22" i="7"/>
  <c r="J25" i="7"/>
  <c r="I28" i="7"/>
  <c r="K30" i="7"/>
  <c r="J33" i="7"/>
  <c r="I36" i="7"/>
  <c r="K38" i="7"/>
  <c r="J41" i="7"/>
  <c r="I44" i="7"/>
  <c r="K46" i="7"/>
  <c r="J49" i="7"/>
  <c r="I52" i="7"/>
  <c r="K54" i="7"/>
  <c r="J57" i="7"/>
  <c r="I60" i="7"/>
  <c r="K62" i="7"/>
  <c r="J65" i="7"/>
  <c r="I68" i="7"/>
  <c r="K69" i="7"/>
  <c r="K71" i="7"/>
  <c r="J73" i="7"/>
  <c r="I75" i="7"/>
  <c r="I77" i="7"/>
  <c r="K78" i="7"/>
  <c r="J80" i="7"/>
  <c r="J82" i="7"/>
  <c r="I84" i="7"/>
  <c r="K85" i="7"/>
  <c r="K87" i="7"/>
  <c r="J89" i="7"/>
  <c r="I91" i="7"/>
  <c r="I93" i="7"/>
  <c r="K94" i="7"/>
  <c r="J96" i="7"/>
  <c r="J98" i="7"/>
  <c r="I100" i="7"/>
  <c r="K101" i="7"/>
  <c r="K103" i="7"/>
  <c r="J105" i="7"/>
  <c r="I107" i="7"/>
  <c r="I109" i="7"/>
  <c r="K110" i="7"/>
  <c r="J112" i="7"/>
  <c r="J114" i="7"/>
  <c r="I116" i="7"/>
  <c r="K117" i="7"/>
  <c r="K119" i="7"/>
  <c r="J121" i="7"/>
  <c r="I123" i="7"/>
  <c r="K124" i="7"/>
  <c r="I126" i="7"/>
  <c r="J127" i="7"/>
  <c r="K128" i="7"/>
  <c r="I130" i="7"/>
  <c r="J131" i="7"/>
  <c r="K132" i="7"/>
  <c r="I134" i="7"/>
  <c r="J135" i="7"/>
  <c r="K136" i="7"/>
  <c r="I138" i="7"/>
  <c r="J139" i="7"/>
  <c r="K140" i="7"/>
  <c r="I142" i="7"/>
  <c r="J143" i="7"/>
  <c r="K144" i="7"/>
  <c r="I146" i="7"/>
  <c r="J147" i="7"/>
  <c r="K148" i="7"/>
  <c r="I150" i="7"/>
  <c r="J151" i="7"/>
  <c r="K152" i="7"/>
  <c r="I154" i="7"/>
  <c r="J155" i="7"/>
  <c r="K156" i="7"/>
  <c r="I158" i="7"/>
  <c r="J159" i="7"/>
  <c r="K160" i="7"/>
  <c r="I162" i="7"/>
  <c r="J163" i="7"/>
  <c r="K164" i="7"/>
  <c r="I166" i="7"/>
  <c r="I13" i="7"/>
  <c r="K15" i="7"/>
  <c r="J18" i="7"/>
  <c r="J13" i="7"/>
  <c r="K18" i="7"/>
  <c r="J22" i="7"/>
  <c r="J26" i="7"/>
  <c r="J29" i="7"/>
  <c r="I33" i="7"/>
  <c r="I37" i="7"/>
  <c r="I40" i="7"/>
  <c r="K43" i="7"/>
  <c r="K47" i="7"/>
  <c r="K50" i="7"/>
  <c r="J54" i="7"/>
  <c r="J58" i="7"/>
  <c r="J61" i="7"/>
  <c r="I65" i="7"/>
  <c r="J68" i="7"/>
  <c r="K70" i="7"/>
  <c r="I73" i="7"/>
  <c r="K75" i="7"/>
  <c r="K77" i="7"/>
  <c r="I80" i="7"/>
  <c r="K82" i="7"/>
  <c r="I85" i="7"/>
  <c r="I87" i="7"/>
  <c r="K89" i="7"/>
  <c r="I92" i="7"/>
  <c r="J94" i="7"/>
  <c r="I97" i="7"/>
  <c r="I99" i="7"/>
  <c r="J101" i="7"/>
  <c r="I104" i="7"/>
  <c r="J106" i="7"/>
  <c r="J108" i="7"/>
  <c r="I111" i="7"/>
  <c r="J113" i="7"/>
  <c r="K115" i="7"/>
  <c r="J118" i="7"/>
  <c r="J120" i="7"/>
  <c r="K122" i="7"/>
  <c r="I125" i="7"/>
  <c r="K126" i="7"/>
  <c r="J128" i="7"/>
  <c r="J130" i="7"/>
  <c r="I132" i="7"/>
  <c r="K133" i="7"/>
  <c r="K135" i="7"/>
  <c r="J137" i="7"/>
  <c r="I139" i="7"/>
  <c r="I141" i="7"/>
  <c r="K142" i="7"/>
  <c r="J144" i="7"/>
  <c r="J146" i="7"/>
  <c r="I148" i="7"/>
  <c r="K149" i="7"/>
  <c r="K151" i="7"/>
  <c r="J153" i="7"/>
  <c r="I155" i="7"/>
  <c r="I157" i="7"/>
  <c r="K158" i="7"/>
  <c r="J160" i="7"/>
  <c r="J162" i="7"/>
  <c r="I164" i="7"/>
  <c r="K165" i="7"/>
  <c r="J167" i="7"/>
  <c r="K168" i="7"/>
  <c r="I170" i="7"/>
  <c r="J171" i="7"/>
  <c r="K172" i="7"/>
  <c r="I174" i="7"/>
  <c r="J175" i="7"/>
  <c r="K176" i="7"/>
  <c r="J10" i="7"/>
  <c r="J14" i="7"/>
  <c r="K23" i="7"/>
  <c r="K26" i="7"/>
  <c r="J30" i="7"/>
  <c r="J34" i="7"/>
  <c r="J37" i="7"/>
  <c r="I41" i="7"/>
  <c r="I45" i="7"/>
  <c r="I48" i="7"/>
  <c r="K51" i="7"/>
  <c r="K55" i="7"/>
  <c r="K58" i="7"/>
  <c r="J62" i="7"/>
  <c r="I69" i="7"/>
  <c r="I71" i="7"/>
  <c r="K73" i="7"/>
  <c r="I76" i="7"/>
  <c r="J78" i="7"/>
  <c r="I81" i="7"/>
  <c r="J85" i="7"/>
  <c r="I88" i="7"/>
  <c r="J90" i="7"/>
  <c r="I95" i="7"/>
  <c r="K99" i="7"/>
  <c r="J102" i="7"/>
  <c r="K106" i="7"/>
  <c r="J109" i="7"/>
  <c r="K113" i="7"/>
  <c r="J116" i="7"/>
  <c r="I121" i="7"/>
  <c r="J125" i="7"/>
  <c r="I127" i="7"/>
  <c r="K130" i="7"/>
  <c r="J132" i="7"/>
  <c r="I136" i="7"/>
  <c r="K139" i="7"/>
  <c r="I143" i="7"/>
  <c r="I145" i="7"/>
  <c r="J148" i="7"/>
  <c r="I152" i="7"/>
  <c r="K153" i="7"/>
  <c r="J157" i="7"/>
  <c r="I161" i="7"/>
  <c r="J164" i="7"/>
  <c r="K167" i="7"/>
  <c r="I169" i="7"/>
  <c r="I173" i="7"/>
  <c r="K175" i="7"/>
  <c r="K10" i="7"/>
  <c r="J38" i="7"/>
  <c r="K66" i="7"/>
  <c r="J74" i="7"/>
  <c r="J81" i="7"/>
  <c r="J88" i="7"/>
  <c r="K95" i="7"/>
  <c r="K102" i="7"/>
  <c r="K107" i="7"/>
  <c r="K114" i="7"/>
  <c r="I117" i="7"/>
  <c r="I124" i="7"/>
  <c r="K127" i="7"/>
  <c r="I131" i="7"/>
  <c r="J136" i="7"/>
  <c r="K141" i="7"/>
  <c r="I147" i="7"/>
  <c r="K150" i="7"/>
  <c r="I156" i="7"/>
  <c r="J161" i="7"/>
  <c r="K166" i="7"/>
  <c r="J169" i="7"/>
  <c r="J173" i="7"/>
  <c r="I176" i="7"/>
  <c r="I17" i="7"/>
  <c r="K35" i="7"/>
  <c r="J46" i="7"/>
  <c r="I57" i="7"/>
  <c r="K67" i="7"/>
  <c r="K74" i="7"/>
  <c r="K81" i="7"/>
  <c r="K86" i="7"/>
  <c r="K93" i="7"/>
  <c r="K98" i="7"/>
  <c r="K105" i="7"/>
  <c r="I113" i="7"/>
  <c r="J117" i="7"/>
  <c r="J124" i="7"/>
  <c r="K129" i="7"/>
  <c r="J133" i="7"/>
  <c r="K138" i="7"/>
  <c r="K145" i="7"/>
  <c r="I153" i="7"/>
  <c r="J158" i="7"/>
  <c r="K163" i="7"/>
  <c r="J168" i="7"/>
  <c r="J172" i="7"/>
  <c r="I175" i="7"/>
  <c r="K19" i="7"/>
  <c r="J66" i="7"/>
  <c r="I83" i="7"/>
  <c r="J92" i="7"/>
  <c r="J97" i="7"/>
  <c r="J104" i="7"/>
  <c r="K111" i="7"/>
  <c r="K118" i="7"/>
  <c r="K123" i="7"/>
  <c r="I129" i="7"/>
  <c r="J134" i="7"/>
  <c r="K137" i="7"/>
  <c r="J141" i="7"/>
  <c r="K146" i="7"/>
  <c r="J150" i="7"/>
  <c r="K155" i="7"/>
  <c r="I159" i="7"/>
  <c r="K162" i="7"/>
  <c r="J166" i="7"/>
  <c r="J170" i="7"/>
  <c r="K171" i="7"/>
  <c r="J174" i="7"/>
  <c r="I177" i="7"/>
  <c r="J45" i="7"/>
  <c r="J69" i="7"/>
  <c r="I79" i="7"/>
  <c r="J86" i="7"/>
  <c r="K90" i="7"/>
  <c r="K97" i="7"/>
  <c r="I105" i="7"/>
  <c r="I112" i="7"/>
  <c r="I119" i="7"/>
  <c r="K125" i="7"/>
  <c r="I133" i="7"/>
  <c r="J138" i="7"/>
  <c r="K143" i="7"/>
  <c r="I149" i="7"/>
  <c r="J154" i="7"/>
  <c r="K159" i="7"/>
  <c r="I163" i="7"/>
  <c r="I168" i="7"/>
  <c r="K170" i="7"/>
  <c r="K174" i="7"/>
  <c r="I10" i="7"/>
  <c r="I25" i="7"/>
  <c r="I32" i="7"/>
  <c r="K42" i="7"/>
  <c r="J53" i="7"/>
  <c r="I64" i="7"/>
  <c r="J70" i="7"/>
  <c r="J77" i="7"/>
  <c r="J84" i="7"/>
  <c r="K91" i="7"/>
  <c r="I101" i="7"/>
  <c r="I108" i="7"/>
  <c r="I120" i="7"/>
  <c r="J126" i="7"/>
  <c r="K131" i="7"/>
  <c r="I137" i="7"/>
  <c r="J142" i="7"/>
  <c r="K147" i="7"/>
  <c r="I151" i="7"/>
  <c r="K154" i="7"/>
  <c r="I160" i="7"/>
  <c r="J165" i="7"/>
  <c r="K169" i="7"/>
  <c r="K173" i="7"/>
  <c r="K177" i="7"/>
  <c r="I16" i="7"/>
  <c r="I21" i="7"/>
  <c r="I24" i="7"/>
  <c r="K27" i="7"/>
  <c r="K31" i="7"/>
  <c r="K34" i="7"/>
  <c r="J42" i="7"/>
  <c r="I49" i="7"/>
  <c r="I53" i="7"/>
  <c r="I56" i="7"/>
  <c r="K59" i="7"/>
  <c r="K63" i="7"/>
  <c r="I72" i="7"/>
  <c r="J76" i="7"/>
  <c r="K83" i="7"/>
  <c r="J93" i="7"/>
  <c r="J100" i="7"/>
  <c r="K109" i="7"/>
  <c r="K121" i="7"/>
  <c r="J129" i="7"/>
  <c r="K134" i="7"/>
  <c r="I140" i="7"/>
  <c r="J145" i="7"/>
  <c r="J152" i="7"/>
  <c r="K157" i="7"/>
  <c r="I165" i="7"/>
  <c r="I172" i="7"/>
  <c r="J177" i="7"/>
  <c r="J21" i="7"/>
  <c r="I29" i="7"/>
  <c r="K39" i="7"/>
  <c r="J50" i="7"/>
  <c r="I61" i="7"/>
  <c r="J72" i="7"/>
  <c r="K79" i="7"/>
  <c r="I89" i="7"/>
  <c r="I96" i="7"/>
  <c r="I103" i="7"/>
  <c r="J110" i="7"/>
  <c r="I115" i="7"/>
  <c r="J122" i="7"/>
  <c r="I128" i="7"/>
  <c r="I135" i="7"/>
  <c r="J140" i="7"/>
  <c r="I144" i="7"/>
  <c r="J149" i="7"/>
  <c r="J156" i="7"/>
  <c r="K161" i="7"/>
  <c r="I167" i="7"/>
  <c r="I171" i="7"/>
  <c r="J176" i="7"/>
  <c r="B6" i="9"/>
  <c r="AC11" i="12" l="1"/>
  <c r="X12" i="12"/>
  <c r="O9" i="12"/>
  <c r="S11" i="12"/>
  <c r="D26" i="14"/>
  <c r="E26" i="14" s="1"/>
  <c r="K3" i="7"/>
  <c r="I3" i="7"/>
  <c r="J7" i="7"/>
  <c r="P17" i="9"/>
  <c r="P95" i="9"/>
  <c r="P32" i="9"/>
  <c r="P94" i="9"/>
  <c r="O109" i="9"/>
  <c r="N16" i="9"/>
  <c r="P107" i="9"/>
  <c r="O22" i="9"/>
  <c r="N101" i="9"/>
  <c r="P19" i="9"/>
  <c r="P20" i="9"/>
  <c r="O36" i="9"/>
  <c r="O107" i="9"/>
  <c r="O97" i="9"/>
  <c r="N89" i="9"/>
  <c r="N23" i="9"/>
  <c r="P25" i="9"/>
  <c r="N100" i="9"/>
  <c r="O99" i="9"/>
  <c r="P38" i="9"/>
  <c r="O103" i="9"/>
  <c r="P28" i="9"/>
  <c r="N99" i="9"/>
  <c r="O95" i="9"/>
  <c r="N108" i="9"/>
  <c r="N105" i="9"/>
  <c r="N39" i="9"/>
  <c r="P37" i="9"/>
  <c r="N96" i="9"/>
  <c r="O39" i="9"/>
  <c r="P18" i="9"/>
  <c r="O26" i="9"/>
  <c r="N29" i="9"/>
  <c r="P89" i="9"/>
  <c r="O92" i="9"/>
  <c r="N111" i="9"/>
  <c r="N94" i="9"/>
  <c r="O33" i="9"/>
  <c r="O94" i="9"/>
  <c r="O24" i="9"/>
  <c r="P110" i="9"/>
  <c r="O29" i="9"/>
  <c r="P88" i="9"/>
  <c r="P26" i="9"/>
  <c r="O30" i="9"/>
  <c r="N21" i="9"/>
  <c r="O19" i="9"/>
  <c r="P16" i="9"/>
  <c r="N103" i="9"/>
  <c r="N106" i="9"/>
  <c r="N92" i="9"/>
  <c r="P31" i="9"/>
  <c r="O23" i="9"/>
  <c r="O89" i="9"/>
  <c r="N20" i="9"/>
  <c r="N110" i="9"/>
  <c r="O102" i="9"/>
  <c r="N18" i="9"/>
  <c r="O96" i="9"/>
  <c r="N19" i="9"/>
  <c r="N34" i="9"/>
  <c r="N26" i="9"/>
  <c r="N90" i="9"/>
  <c r="N22" i="9"/>
  <c r="O101" i="9"/>
  <c r="N88" i="9"/>
  <c r="N98" i="9"/>
  <c r="P34" i="9"/>
  <c r="O34" i="9"/>
  <c r="P100" i="9"/>
  <c r="P105" i="9"/>
  <c r="O108" i="9"/>
  <c r="N27" i="9"/>
  <c r="N28" i="9"/>
  <c r="N25" i="9"/>
  <c r="N107" i="9"/>
  <c r="P29" i="9"/>
  <c r="N104" i="9"/>
  <c r="O111" i="9"/>
  <c r="O90" i="9"/>
  <c r="O38" i="9"/>
  <c r="N33" i="9"/>
  <c r="N30" i="9"/>
  <c r="O100" i="9"/>
  <c r="N35" i="9"/>
  <c r="P62" i="9"/>
  <c r="P27" i="9"/>
  <c r="P101" i="9"/>
  <c r="P90" i="9"/>
  <c r="O105" i="9"/>
  <c r="N36" i="9"/>
  <c r="P103" i="9"/>
  <c r="N17" i="9"/>
  <c r="P93" i="9"/>
  <c r="O88" i="9"/>
  <c r="N31" i="9"/>
  <c r="P33" i="9"/>
  <c r="P111" i="9"/>
  <c r="O104" i="9"/>
  <c r="P102" i="9"/>
  <c r="O21" i="9"/>
  <c r="N32" i="9"/>
  <c r="N38" i="9"/>
  <c r="O98" i="9"/>
  <c r="N93" i="9"/>
  <c r="O91" i="9"/>
  <c r="P24" i="9"/>
  <c r="O28" i="9"/>
  <c r="P35" i="9"/>
  <c r="O27" i="9"/>
  <c r="N24" i="9"/>
  <c r="N37" i="9"/>
  <c r="P98" i="9"/>
  <c r="O25" i="9"/>
  <c r="P109" i="9"/>
  <c r="O110" i="9"/>
  <c r="P39" i="9"/>
  <c r="N102" i="9"/>
  <c r="N97" i="9"/>
  <c r="P106" i="9"/>
  <c r="O17" i="9"/>
  <c r="N109" i="9"/>
  <c r="O31" i="9"/>
  <c r="P91" i="9"/>
  <c r="P97" i="9"/>
  <c r="P30" i="9"/>
  <c r="P92" i="9"/>
  <c r="O32" i="9"/>
  <c r="N91" i="9"/>
  <c r="P99" i="9"/>
  <c r="P36" i="9"/>
  <c r="O93" i="9"/>
  <c r="P104" i="9"/>
  <c r="O37" i="9"/>
  <c r="O35" i="9"/>
  <c r="P23" i="9"/>
  <c r="O106" i="9"/>
  <c r="O20" i="9"/>
  <c r="O16" i="9"/>
  <c r="P22" i="9"/>
  <c r="P96" i="9"/>
  <c r="P21" i="9"/>
  <c r="O18" i="9"/>
  <c r="N95" i="9"/>
  <c r="P108" i="9"/>
  <c r="O124" i="9"/>
  <c r="N131" i="9"/>
  <c r="O147" i="9"/>
  <c r="P169" i="9"/>
  <c r="P144" i="9"/>
  <c r="O179" i="9"/>
  <c r="N55" i="9"/>
  <c r="N144" i="9"/>
  <c r="P122" i="9"/>
  <c r="P176" i="9"/>
  <c r="P132" i="9"/>
  <c r="N148" i="9"/>
  <c r="P162" i="9"/>
  <c r="O165" i="9"/>
  <c r="O66" i="9"/>
  <c r="O168" i="9"/>
  <c r="P55" i="9"/>
  <c r="N42" i="9"/>
  <c r="O177" i="9"/>
  <c r="P118" i="9"/>
  <c r="O76" i="9"/>
  <c r="O138" i="9"/>
  <c r="O118" i="9"/>
  <c r="O140" i="9"/>
  <c r="P116" i="9"/>
  <c r="N159" i="9"/>
  <c r="O114" i="9"/>
  <c r="O173" i="9"/>
  <c r="O181" i="9"/>
  <c r="P181" i="9"/>
  <c r="N130" i="9"/>
  <c r="O121" i="9"/>
  <c r="P182" i="9"/>
  <c r="P114" i="9"/>
  <c r="P156" i="9"/>
  <c r="P119" i="9"/>
  <c r="P142" i="9"/>
  <c r="P130" i="9"/>
  <c r="P150" i="9"/>
  <c r="P178" i="9"/>
  <c r="P148" i="9"/>
  <c r="O57" i="9"/>
  <c r="P83" i="9"/>
  <c r="O50" i="9"/>
  <c r="O169" i="9"/>
  <c r="O47" i="9"/>
  <c r="P171" i="9"/>
  <c r="O170" i="9"/>
  <c r="N147" i="9"/>
  <c r="N61" i="9"/>
  <c r="O115" i="9"/>
  <c r="N116" i="9"/>
  <c r="N53" i="9"/>
  <c r="P172" i="9"/>
  <c r="N128" i="9"/>
  <c r="P121" i="9"/>
  <c r="N41" i="9"/>
  <c r="P175" i="9"/>
  <c r="O82" i="9"/>
  <c r="O131" i="9"/>
  <c r="P154" i="9"/>
  <c r="P165" i="9"/>
  <c r="P157" i="9"/>
  <c r="O46" i="9"/>
  <c r="O65" i="9"/>
  <c r="O71" i="9"/>
  <c r="N145" i="9"/>
  <c r="O150" i="9"/>
  <c r="O53" i="9"/>
  <c r="O79" i="9"/>
  <c r="P153" i="9"/>
  <c r="O166" i="9"/>
  <c r="P155" i="9"/>
  <c r="N45" i="9"/>
  <c r="P129" i="9"/>
  <c r="N132" i="9"/>
  <c r="N58" i="9"/>
  <c r="O81" i="9"/>
  <c r="P56" i="9"/>
  <c r="N57" i="9"/>
  <c r="O152" i="9"/>
  <c r="N48" i="9"/>
  <c r="P149" i="9"/>
  <c r="O146" i="9"/>
  <c r="N124" i="9"/>
  <c r="N51" i="9"/>
  <c r="O174" i="9"/>
  <c r="P138" i="9"/>
  <c r="O176" i="9"/>
  <c r="P80" i="9"/>
  <c r="N146" i="9"/>
  <c r="O129" i="9"/>
  <c r="O83" i="9"/>
  <c r="O137" i="9"/>
  <c r="O77" i="9"/>
  <c r="N43" i="9"/>
  <c r="P58" i="9"/>
  <c r="O113" i="9"/>
  <c r="P136" i="9"/>
  <c r="O67" i="9"/>
  <c r="P86" i="9"/>
  <c r="P59" i="9"/>
  <c r="P183" i="9"/>
  <c r="P139" i="9"/>
  <c r="N150" i="9"/>
  <c r="N133" i="9"/>
  <c r="N137" i="9"/>
  <c r="O167" i="9"/>
  <c r="P45" i="9"/>
  <c r="P65" i="9"/>
  <c r="N115" i="9"/>
  <c r="N136" i="9"/>
  <c r="O119" i="9"/>
  <c r="O164" i="9"/>
  <c r="O48" i="9"/>
  <c r="N114" i="9"/>
  <c r="O141" i="9"/>
  <c r="P57" i="9"/>
  <c r="O62" i="9"/>
  <c r="P60" i="9"/>
  <c r="O84" i="9"/>
  <c r="P71" i="9"/>
  <c r="O156" i="9"/>
  <c r="O163" i="9"/>
  <c r="P69" i="9"/>
  <c r="O56" i="9"/>
  <c r="P160" i="9"/>
  <c r="N143" i="9"/>
  <c r="P133" i="9"/>
  <c r="N120" i="9"/>
  <c r="N138" i="9"/>
  <c r="P131" i="9"/>
  <c r="O117" i="9"/>
  <c r="P78" i="9"/>
  <c r="O151" i="9"/>
  <c r="P117" i="9"/>
  <c r="N153" i="9"/>
  <c r="P48" i="9"/>
  <c r="O143" i="9"/>
  <c r="O40" i="9"/>
  <c r="P167" i="9"/>
  <c r="N122" i="9"/>
  <c r="O136" i="9"/>
  <c r="O61" i="9"/>
  <c r="O154" i="9"/>
  <c r="P140" i="9"/>
  <c r="P49" i="9"/>
  <c r="P147" i="9"/>
  <c r="P64" i="9"/>
  <c r="O69" i="9"/>
  <c r="P63" i="9"/>
  <c r="O145" i="9"/>
  <c r="P164" i="9"/>
  <c r="N119" i="9"/>
  <c r="O112" i="9"/>
  <c r="N129" i="9"/>
  <c r="N134" i="9"/>
  <c r="N125" i="9"/>
  <c r="O153" i="9"/>
  <c r="N142" i="9"/>
  <c r="N60" i="9"/>
  <c r="N154" i="9"/>
  <c r="P137" i="9"/>
  <c r="P40" i="9"/>
  <c r="N151" i="9"/>
  <c r="P123" i="9"/>
  <c r="O155" i="9"/>
  <c r="O60" i="9"/>
  <c r="N139" i="9"/>
  <c r="O85" i="9"/>
  <c r="P87" i="9"/>
  <c r="P46" i="9"/>
  <c r="P84" i="9"/>
  <c r="P82" i="9"/>
  <c r="P47" i="9"/>
  <c r="P77" i="9"/>
  <c r="P180" i="9"/>
  <c r="O148" i="9"/>
  <c r="N63" i="9"/>
  <c r="P124" i="9"/>
  <c r="N118" i="9"/>
  <c r="N52" i="9"/>
  <c r="O161" i="9"/>
  <c r="P72" i="9"/>
  <c r="N113" i="9"/>
  <c r="P43" i="9"/>
  <c r="N141" i="9"/>
  <c r="N156" i="9"/>
  <c r="O175" i="9"/>
  <c r="P75" i="9"/>
  <c r="P126" i="9"/>
  <c r="O42" i="9"/>
  <c r="O87" i="9"/>
  <c r="N112" i="9"/>
  <c r="O158" i="9"/>
  <c r="O160" i="9"/>
  <c r="N121" i="9"/>
  <c r="O44" i="9"/>
  <c r="O133" i="9"/>
  <c r="P51" i="9"/>
  <c r="O180" i="9"/>
  <c r="O80" i="9"/>
  <c r="P68" i="9"/>
  <c r="O182" i="9"/>
  <c r="P113" i="9"/>
  <c r="O162" i="9"/>
  <c r="N40" i="9"/>
  <c r="O123" i="9"/>
  <c r="P115" i="9"/>
  <c r="N149" i="9"/>
  <c r="N46" i="9"/>
  <c r="P67" i="9"/>
  <c r="O128" i="9"/>
  <c r="N157" i="9"/>
  <c r="N135" i="9"/>
  <c r="P41" i="9"/>
  <c r="P81" i="9"/>
  <c r="O122" i="9"/>
  <c r="P85" i="9"/>
  <c r="P53" i="9"/>
  <c r="O54" i="9"/>
  <c r="P52" i="9"/>
  <c r="P70" i="9"/>
  <c r="O171" i="9"/>
  <c r="O127" i="9"/>
  <c r="O130" i="9"/>
  <c r="P158" i="9"/>
  <c r="P61" i="9"/>
  <c r="P50" i="9"/>
  <c r="N155" i="9"/>
  <c r="P128" i="9"/>
  <c r="N59" i="9"/>
  <c r="P163" i="9"/>
  <c r="O135" i="9"/>
  <c r="P134" i="9"/>
  <c r="O45" i="9"/>
  <c r="P166" i="9"/>
  <c r="N158" i="9"/>
  <c r="P170" i="9"/>
  <c r="N127" i="9"/>
  <c r="P173" i="9"/>
  <c r="O68" i="9"/>
  <c r="N126" i="9"/>
  <c r="O73" i="9"/>
  <c r="O159" i="9"/>
  <c r="P146" i="9"/>
  <c r="O142" i="9"/>
  <c r="O149" i="9"/>
  <c r="O51" i="9"/>
  <c r="P135" i="9"/>
  <c r="P76" i="9"/>
  <c r="O52" i="9"/>
  <c r="P79" i="9"/>
  <c r="P161" i="9"/>
  <c r="O41" i="9"/>
  <c r="O132" i="9"/>
  <c r="P168" i="9"/>
  <c r="N50" i="9"/>
  <c r="N47" i="9"/>
  <c r="P42" i="9"/>
  <c r="O43" i="9"/>
  <c r="P179" i="9"/>
  <c r="N54" i="9"/>
  <c r="P120" i="9"/>
  <c r="P141" i="9"/>
  <c r="P66" i="9"/>
  <c r="N123" i="9"/>
  <c r="O157" i="9"/>
  <c r="P74" i="9"/>
  <c r="P145" i="9"/>
  <c r="P54" i="9"/>
  <c r="P151" i="9"/>
  <c r="O86" i="9"/>
  <c r="O172" i="9"/>
  <c r="P159" i="9"/>
  <c r="O72" i="9"/>
  <c r="O116" i="9"/>
  <c r="N152" i="9"/>
  <c r="N56" i="9"/>
  <c r="P112" i="9"/>
  <c r="N117" i="9"/>
  <c r="N44" i="9"/>
  <c r="O78" i="9"/>
  <c r="P127" i="9"/>
  <c r="O126" i="9"/>
  <c r="O64" i="9"/>
  <c r="O70" i="9"/>
  <c r="P143" i="9"/>
  <c r="P152" i="9"/>
  <c r="N62" i="9"/>
  <c r="O144" i="9"/>
  <c r="P73" i="9"/>
  <c r="P177" i="9"/>
  <c r="O134" i="9"/>
  <c r="P174" i="9"/>
  <c r="O120" i="9"/>
  <c r="O75" i="9"/>
  <c r="O58" i="9"/>
  <c r="O74" i="9"/>
  <c r="O139" i="9"/>
  <c r="O183" i="9"/>
  <c r="N49" i="9"/>
  <c r="P44" i="9"/>
  <c r="O49" i="9"/>
  <c r="O59" i="9"/>
  <c r="N140" i="9"/>
  <c r="O125" i="9"/>
  <c r="O55" i="9"/>
  <c r="O63" i="9"/>
  <c r="P125" i="9"/>
  <c r="O178" i="9"/>
  <c r="N182" i="9"/>
  <c r="N160" i="9"/>
  <c r="N168" i="9"/>
  <c r="N78" i="9"/>
  <c r="N164" i="9"/>
  <c r="N171" i="9"/>
  <c r="N174" i="9"/>
  <c r="N161" i="9"/>
  <c r="N71" i="9"/>
  <c r="N166" i="9"/>
  <c r="N165" i="9"/>
  <c r="N179" i="9"/>
  <c r="N83" i="9"/>
  <c r="N172" i="9"/>
  <c r="N67" i="9"/>
  <c r="N75" i="9"/>
  <c r="N162" i="9"/>
  <c r="N82" i="9"/>
  <c r="N176" i="9"/>
  <c r="N70" i="9"/>
  <c r="N163" i="9"/>
  <c r="N175" i="9"/>
  <c r="N66" i="9"/>
  <c r="N84" i="9"/>
  <c r="N74" i="9"/>
  <c r="N170" i="9"/>
  <c r="N80" i="9"/>
  <c r="N73" i="9"/>
  <c r="N79" i="9"/>
  <c r="N183" i="9"/>
  <c r="N65" i="9"/>
  <c r="N178" i="9"/>
  <c r="N177" i="9"/>
  <c r="N81" i="9"/>
  <c r="N85" i="9"/>
  <c r="N69" i="9"/>
  <c r="N86" i="9"/>
  <c r="N64" i="9"/>
  <c r="N76" i="9"/>
  <c r="N72" i="9"/>
  <c r="N68" i="9"/>
  <c r="N180" i="9"/>
  <c r="N77" i="9"/>
  <c r="N169" i="9"/>
  <c r="N181" i="9"/>
  <c r="N173" i="9"/>
  <c r="N167" i="9"/>
  <c r="N87" i="9"/>
  <c r="K7" i="7"/>
  <c r="J6" i="7"/>
  <c r="I5" i="7"/>
  <c r="I6" i="7"/>
  <c r="K5" i="7"/>
  <c r="J5" i="7"/>
  <c r="K6" i="7"/>
  <c r="J3" i="7"/>
  <c r="I7" i="7"/>
  <c r="V11" i="12" l="1"/>
  <c r="V12" i="12" s="1"/>
  <c r="P14" i="9"/>
  <c r="O14" i="9"/>
  <c r="N14" i="9"/>
  <c r="R169" i="9"/>
  <c r="R178" i="9"/>
  <c r="R75" i="9"/>
  <c r="R78" i="9"/>
  <c r="R126" i="9"/>
  <c r="R40" i="9"/>
  <c r="R63" i="9"/>
  <c r="R137" i="9"/>
  <c r="R146" i="9"/>
  <c r="R145" i="9"/>
  <c r="R95" i="9"/>
  <c r="R31" i="9"/>
  <c r="R107" i="9"/>
  <c r="R22" i="9"/>
  <c r="R19" i="9"/>
  <c r="R110" i="9"/>
  <c r="R111" i="9"/>
  <c r="R23" i="9"/>
  <c r="R167" i="9"/>
  <c r="R80" i="9"/>
  <c r="R176" i="9"/>
  <c r="R165" i="9"/>
  <c r="R174" i="9"/>
  <c r="R168" i="9"/>
  <c r="R140" i="9"/>
  <c r="R49" i="9"/>
  <c r="R62" i="9"/>
  <c r="R44" i="9"/>
  <c r="R152" i="9"/>
  <c r="R50" i="9"/>
  <c r="R158" i="9"/>
  <c r="R155" i="9"/>
  <c r="R157" i="9"/>
  <c r="R149" i="9"/>
  <c r="R112" i="9"/>
  <c r="R52" i="9"/>
  <c r="R154" i="9"/>
  <c r="R125" i="9"/>
  <c r="R119" i="9"/>
  <c r="R122" i="9"/>
  <c r="R120" i="9"/>
  <c r="R133" i="9"/>
  <c r="R51" i="9"/>
  <c r="R48" i="9"/>
  <c r="R45" i="9"/>
  <c r="R61" i="9"/>
  <c r="R159" i="9"/>
  <c r="R42" i="9"/>
  <c r="R131" i="9"/>
  <c r="R97" i="9"/>
  <c r="R24" i="9"/>
  <c r="R38" i="9"/>
  <c r="R36" i="9"/>
  <c r="R30" i="9"/>
  <c r="R25" i="9"/>
  <c r="R98" i="9"/>
  <c r="R90" i="9"/>
  <c r="R20" i="9"/>
  <c r="R92" i="9"/>
  <c r="R39" i="9"/>
  <c r="R99" i="9"/>
  <c r="R89" i="9"/>
  <c r="R87" i="9"/>
  <c r="R69" i="9"/>
  <c r="R84" i="9"/>
  <c r="R179" i="9"/>
  <c r="R56" i="9"/>
  <c r="R54" i="9"/>
  <c r="R135" i="9"/>
  <c r="R141" i="9"/>
  <c r="R115" i="9"/>
  <c r="R37" i="9"/>
  <c r="R77" i="9"/>
  <c r="R85" i="9"/>
  <c r="R66" i="9"/>
  <c r="R173" i="9"/>
  <c r="R180" i="9"/>
  <c r="R64" i="9"/>
  <c r="R81" i="9"/>
  <c r="R183" i="9"/>
  <c r="R170" i="9"/>
  <c r="R175" i="9"/>
  <c r="R82" i="9"/>
  <c r="R172" i="9"/>
  <c r="R166" i="9"/>
  <c r="R171" i="9"/>
  <c r="R160" i="9"/>
  <c r="R117" i="9"/>
  <c r="R121" i="9"/>
  <c r="R113" i="9"/>
  <c r="R118" i="9"/>
  <c r="R139" i="9"/>
  <c r="R151" i="9"/>
  <c r="R60" i="9"/>
  <c r="R134" i="9"/>
  <c r="R153" i="9"/>
  <c r="R150" i="9"/>
  <c r="R124" i="9"/>
  <c r="R58" i="9"/>
  <c r="R41" i="9"/>
  <c r="R53" i="9"/>
  <c r="R147" i="9"/>
  <c r="R109" i="9"/>
  <c r="R102" i="9"/>
  <c r="R32" i="9"/>
  <c r="R33" i="9"/>
  <c r="R104" i="9"/>
  <c r="R28" i="9"/>
  <c r="R88" i="9"/>
  <c r="R26" i="9"/>
  <c r="R18" i="9"/>
  <c r="R106" i="9"/>
  <c r="R21" i="9"/>
  <c r="R105" i="9"/>
  <c r="R100" i="9"/>
  <c r="R16" i="9"/>
  <c r="R72" i="9"/>
  <c r="R73" i="9"/>
  <c r="R70" i="9"/>
  <c r="R161" i="9"/>
  <c r="R123" i="9"/>
  <c r="R47" i="9"/>
  <c r="R46" i="9"/>
  <c r="R138" i="9"/>
  <c r="R128" i="9"/>
  <c r="R130" i="9"/>
  <c r="R55" i="9"/>
  <c r="R76" i="9"/>
  <c r="R65" i="9"/>
  <c r="R67" i="9"/>
  <c r="R181" i="9"/>
  <c r="R68" i="9"/>
  <c r="R86" i="9"/>
  <c r="R177" i="9"/>
  <c r="R79" i="9"/>
  <c r="R74" i="9"/>
  <c r="R163" i="9"/>
  <c r="R162" i="9"/>
  <c r="R83" i="9"/>
  <c r="R71" i="9"/>
  <c r="R164" i="9"/>
  <c r="R182" i="9"/>
  <c r="R127" i="9"/>
  <c r="R59" i="9"/>
  <c r="R156" i="9"/>
  <c r="R142" i="9"/>
  <c r="R129" i="9"/>
  <c r="R143" i="9"/>
  <c r="R114" i="9"/>
  <c r="R136" i="9"/>
  <c r="R43" i="9"/>
  <c r="R57" i="9"/>
  <c r="R132" i="9"/>
  <c r="R116" i="9"/>
  <c r="R148" i="9"/>
  <c r="R144" i="9"/>
  <c r="R91" i="9"/>
  <c r="R93" i="9"/>
  <c r="R17" i="9"/>
  <c r="R35" i="9"/>
  <c r="R27" i="9"/>
  <c r="R34" i="9"/>
  <c r="R103" i="9"/>
  <c r="R94" i="9"/>
  <c r="R29" i="9"/>
  <c r="R96" i="9"/>
  <c r="R108" i="9"/>
  <c r="R101" i="9"/>
  <c r="O13" i="9"/>
  <c r="N13" i="9"/>
  <c r="P13" i="9"/>
  <c r="V14" i="12" l="1"/>
  <c r="V15" i="12" s="1"/>
  <c r="AA11" i="12"/>
  <c r="R13" i="9"/>
  <c r="I14" i="9" l="1"/>
  <c r="K14" i="9"/>
  <c r="J14" i="9"/>
  <c r="C5" i="16" l="1"/>
  <c r="C8" i="16" s="1"/>
  <c r="C9" i="16" s="1"/>
  <c r="D5" i="16" l="1"/>
  <c r="D8" i="16" s="1"/>
  <c r="D9" i="16" s="1"/>
  <c r="E5" i="16"/>
  <c r="E8" i="16" s="1"/>
  <c r="E9" i="16" s="1"/>
  <c r="F6" i="16" l="1"/>
  <c r="F8" i="16" s="1"/>
  <c r="F9" i="1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tc={5995CCAB-D764-4940-A7F4-F76F2D10B07C}</author>
  </authors>
  <commentList>
    <comment ref="E25" authorId="0" shapeId="0" xr:uid="{5995CCAB-D764-4940-A7F4-F76F2D10B07C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value is used for the residential WSHP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Peter North</author>
  </authors>
  <commentList>
    <comment ref="W13" authorId="0" shapeId="0" xr:uid="{1291E5DB-F8CB-EA4D-95A9-6F42944AFBEC}">
      <text>
        <r>
          <rPr>
            <b/>
            <sz val="10"/>
            <color rgb="FF000000"/>
            <rFont val="Tahoma"/>
            <family val="2"/>
          </rPr>
          <t>Peter North: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Heat can come from ambient air using AW h/x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Peter North</author>
  </authors>
  <commentList>
    <comment ref="A7" authorId="0" shapeId="0" xr:uid="{D385456A-30AE-2A42-9379-EE178194A5D4}">
      <text>
        <r>
          <rPr>
            <sz val="10"/>
            <color rgb="FF000000"/>
            <rFont val="Tahoma"/>
            <family val="2"/>
          </rPr>
          <t>Home heat demand minus compressor power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<sst xmlns="http://schemas.openxmlformats.org/spreadsheetml/2006/main" count="449" uniqueCount="191">
  <si>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</si>
  <si>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</si>
  <si>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</si>
  <si>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</si>
  <si>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</si>
  <si>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</si>
  <si>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</si>
  <si>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</si>
  <si>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</si>
  <si>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</si>
  <si>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</si>
  <si>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</si>
  <si>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</si>
  <si>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</si>
  <si>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Days per month</t>
  </si>
  <si>
    <t>[x]</t>
  </si>
  <si>
    <t>Long-term mean 1991-2020</t>
  </si>
  <si>
    <t>Year</t>
  </si>
  <si>
    <t>Total heating degree days</t>
  </si>
  <si>
    <t>December</t>
  </si>
  <si>
    <t>November</t>
  </si>
  <si>
    <t>October</t>
  </si>
  <si>
    <t>September</t>
  </si>
  <si>
    <t>August</t>
  </si>
  <si>
    <t>July</t>
  </si>
  <si>
    <t>June</t>
  </si>
  <si>
    <t>April</t>
  </si>
  <si>
    <t>March</t>
  </si>
  <si>
    <t>February</t>
  </si>
  <si>
    <t>January</t>
  </si>
  <si>
    <t>Column1</t>
  </si>
  <si>
    <t>[x] is used to indicate data not available</t>
  </si>
  <si>
    <t>Freeze panes are active on this sheet, to turn off freeze panes select 'view' then 'freeze panes' then 'unfreeze panes' or use [Alt W, F] </t>
  </si>
  <si>
    <t>Some cells refer to notes which can be found on the notes worksheet</t>
  </si>
  <si>
    <t>This worksheet contains one table</t>
  </si>
  <si>
    <t>Table 1.1.9 mean heating degree days in Great Britain, [note 1][note 2][note 3][note 4]</t>
  </si>
  <si>
    <t>% annual degree-days</t>
  </si>
  <si>
    <t>Annual Heat Demand
 (kWh/a)</t>
  </si>
  <si>
    <t>Monthly heat demand
(kWh/month)</t>
  </si>
  <si>
    <t>Hour of Day</t>
  </si>
  <si>
    <t>Heating system operating hours</t>
  </si>
  <si>
    <t>weekend</t>
  </si>
  <si>
    <t>weekday</t>
  </si>
  <si>
    <t>Monthly Total</t>
  </si>
  <si>
    <t>Check sum</t>
  </si>
  <si>
    <t>Chedk sum</t>
  </si>
  <si>
    <t>Check Sum</t>
  </si>
  <si>
    <t>Month Total</t>
  </si>
  <si>
    <t>Total/Check Sum</t>
  </si>
  <si>
    <t>Degree-days per month</t>
  </si>
  <si>
    <t>% Annual Degree-days</t>
  </si>
  <si>
    <t>Winter
(Dec to Feb)</t>
  </si>
  <si>
    <t>Spring/Autumn
(Mar to May, Sep to Nov)</t>
  </si>
  <si>
    <t>Summer
(Jun to Aug)</t>
  </si>
  <si>
    <t>Operating Hours per Month</t>
  </si>
  <si>
    <t>Number of Days</t>
  </si>
  <si>
    <t>kWh for period</t>
  </si>
  <si>
    <t>Period</t>
  </si>
  <si>
    <t>kWh/h when heating called</t>
  </si>
  <si>
    <t>Hour</t>
  </si>
  <si>
    <t>Weekend</t>
  </si>
  <si>
    <t>Weekday</t>
  </si>
  <si>
    <t>Weighted</t>
  </si>
  <si>
    <r>
      <t xml:space="preserve">Mean Heating Days 1991 to 2020 </t>
    </r>
    <r>
      <rPr>
        <b/>
        <i/>
        <sz val="12"/>
        <color theme="1"/>
        <rFont val="Aptos Narrow"/>
        <scheme val="minor"/>
      </rPr>
      <t>Source: DUKES</t>
    </r>
  </si>
  <si>
    <t>Boiler Running</t>
  </si>
  <si>
    <t>Time</t>
  </si>
  <si>
    <t>Count</t>
  </si>
  <si>
    <t>Wednesday</t>
  </si>
  <si>
    <t>Thursday</t>
  </si>
  <si>
    <t>Friday</t>
  </si>
  <si>
    <t>Saturday</t>
  </si>
  <si>
    <t>Sunday</t>
  </si>
  <si>
    <t>Monday</t>
  </si>
  <si>
    <t>Tueday</t>
  </si>
  <si>
    <t>Day</t>
  </si>
  <si>
    <t>WE/WD</t>
  </si>
  <si>
    <t>Winter</t>
  </si>
  <si>
    <t>Summer</t>
  </si>
  <si>
    <t>Spring/Autumn</t>
  </si>
  <si>
    <t>Source</t>
  </si>
  <si>
    <t>Met Office (1990 - 2020)</t>
  </si>
  <si>
    <t>55°C</t>
  </si>
  <si>
    <t>45°C</t>
  </si>
  <si>
    <t>35°C</t>
  </si>
  <si>
    <t>Average Air Temperature (°C)</t>
  </si>
  <si>
    <t>Mean Degree-Days 
(k.days)</t>
  </si>
  <si>
    <t>HP CoP @ Supply Temp
Applies to ASHP and  WSHP</t>
  </si>
  <si>
    <t>CoP</t>
  </si>
  <si>
    <t>(kWh)</t>
  </si>
  <si>
    <t>Residential Water Source Heat Pump Electricity Consumption, P (kWh)</t>
  </si>
  <si>
    <r>
      <t>P = (Q</t>
    </r>
    <r>
      <rPr>
        <i/>
        <vertAlign val="subscript"/>
        <sz val="12"/>
        <color theme="1"/>
        <rFont val="Aptos Narrow (Body)"/>
      </rPr>
      <t>h</t>
    </r>
    <r>
      <rPr>
        <i/>
        <sz val="11"/>
        <color theme="1"/>
        <rFont val="Aptos Narrow (Body)"/>
      </rPr>
      <t>+</t>
    </r>
    <r>
      <rPr>
        <i/>
        <sz val="12"/>
        <color theme="1"/>
        <rFont val="Aptos Narrow"/>
        <scheme val="minor"/>
      </rPr>
      <t xml:space="preserve"> P)/CoP</t>
    </r>
  </si>
  <si>
    <t>Notes:</t>
  </si>
  <si>
    <t>- kWh Input from Simulink output</t>
  </si>
  <si>
    <t>- Residential space heating system water temperature 35°C</t>
  </si>
  <si>
    <t>Max</t>
  </si>
  <si>
    <t>Min</t>
  </si>
  <si>
    <t>Average</t>
  </si>
  <si>
    <t>No of Homes</t>
  </si>
  <si>
    <t>Individual Home Heat Demand (kWh)</t>
  </si>
  <si>
    <t>Number of Homes</t>
  </si>
  <si>
    <t>(kW)</t>
  </si>
  <si>
    <t>Data Centre Total Heat Released = Total Home Demand</t>
  </si>
  <si>
    <t>Total Heat Demand (kWh)</t>
  </si>
  <si>
    <t>Heat Required (kWh)</t>
  </si>
  <si>
    <t>Total Power Demand (kWh)</t>
  </si>
  <si>
    <t>No Home</t>
  </si>
  <si>
    <t>Total kWh</t>
  </si>
  <si>
    <t>Run</t>
  </si>
  <si>
    <r>
      <t>Q</t>
    </r>
    <r>
      <rPr>
        <b/>
        <i/>
        <vertAlign val="subscript"/>
        <sz val="12"/>
        <color theme="1"/>
        <rFont val="Aptos"/>
      </rPr>
      <t>h</t>
    </r>
  </si>
  <si>
    <r>
      <t>Q</t>
    </r>
    <r>
      <rPr>
        <b/>
        <i/>
        <vertAlign val="subscript"/>
        <sz val="12"/>
        <color theme="1"/>
        <rFont val="Aptos"/>
      </rPr>
      <t>c</t>
    </r>
  </si>
  <si>
    <r>
      <rPr>
        <b/>
        <i/>
        <sz val="12"/>
        <color theme="1"/>
        <rFont val="Aptos"/>
      </rPr>
      <t>Q</t>
    </r>
    <r>
      <rPr>
        <b/>
        <i/>
        <vertAlign val="subscript"/>
        <sz val="12"/>
        <color theme="1"/>
        <rFont val="Aptos"/>
      </rPr>
      <t>h</t>
    </r>
    <r>
      <rPr>
        <b/>
        <sz val="12"/>
        <color theme="1"/>
        <rFont val="Aptos"/>
      </rPr>
      <t xml:space="preserve"> + </t>
    </r>
    <r>
      <rPr>
        <b/>
        <i/>
        <sz val="12"/>
        <color theme="1"/>
        <rFont val="Aptos"/>
      </rPr>
      <t>Q</t>
    </r>
    <r>
      <rPr>
        <b/>
        <i/>
        <vertAlign val="subscript"/>
        <sz val="12"/>
        <color theme="1"/>
        <rFont val="Aptos"/>
      </rPr>
      <t>c</t>
    </r>
  </si>
  <si>
    <t>Heat</t>
  </si>
  <si>
    <t>Cool</t>
  </si>
  <si>
    <t>Qh</t>
  </si>
  <si>
    <t>Qc</t>
  </si>
  <si>
    <t>Net supply</t>
  </si>
  <si>
    <t>Released</t>
  </si>
  <si>
    <t>Required</t>
  </si>
  <si>
    <t>Cold Sink</t>
  </si>
  <si>
    <t>Hot sink</t>
  </si>
  <si>
    <t>Hot SinkBalance</t>
  </si>
  <si>
    <t>Cold Sink Balance</t>
  </si>
  <si>
    <t>Heating</t>
  </si>
  <si>
    <t>Cooling</t>
  </si>
  <si>
    <t>Cond</t>
  </si>
  <si>
    <t>Evap</t>
  </si>
  <si>
    <t xml:space="preserve">    ___________    ___________    ___________    ___________</t>
  </si>
  <si>
    <t xml:space="preserve">      -124472       975903.3      -1284384.2          0    </t>
  </si>
  <si>
    <t>c_kWh_cool    Qc_kWh_heat    Qh_kWh_cool    Qh_kWh_heat</t>
  </si>
  <si>
    <t>Slope</t>
  </si>
  <si>
    <t>Revised CoPs</t>
  </si>
  <si>
    <t>Individual ASHP Power (kWh)</t>
  </si>
  <si>
    <t>Commercial ASHP Qh,Qc</t>
  </si>
  <si>
    <t>ASHP and WSHP, Outlet 35ºC</t>
  </si>
  <si>
    <t xml:space="preserve"> Individual ASHP CoP </t>
  </si>
  <si>
    <t>Individual  WSHP at W20W35</t>
  </si>
  <si>
    <t>W20W35</t>
  </si>
  <si>
    <t>Total (kWh)</t>
  </si>
  <si>
    <t>Individual WSHP Power (kWh)</t>
  </si>
  <si>
    <t>Counterfactual Individual ASHP Power</t>
  </si>
  <si>
    <t>Individual Home Four Weekly Demand (kWh per 672 hours per home)</t>
  </si>
  <si>
    <t>Home Heat Demand (kWh)</t>
  </si>
  <si>
    <t>Homes</t>
  </si>
  <si>
    <t xml:space="preserve">Total MWh per </t>
  </si>
  <si>
    <t>(MWh)</t>
  </si>
  <si>
    <t>HHDW</t>
  </si>
  <si>
    <t>HHDS</t>
  </si>
  <si>
    <t>HPPS</t>
  </si>
  <si>
    <t>HPPW</t>
  </si>
  <si>
    <t>HPPS_A</t>
  </si>
  <si>
    <t>HHDS_A</t>
  </si>
  <si>
    <t>Individual WSHP at W10W35</t>
  </si>
  <si>
    <t>Individual WSHP at W0W35</t>
  </si>
  <si>
    <t>Daikin datasheet</t>
  </si>
  <si>
    <t>Interpolation</t>
  </si>
  <si>
    <t>W10W35</t>
  </si>
  <si>
    <t>Hot Network</t>
  </si>
  <si>
    <t>Cold Network</t>
  </si>
  <si>
    <t>Large ASHPs</t>
  </si>
  <si>
    <t>Rating Condition</t>
  </si>
  <si>
    <t>% Demand</t>
  </si>
  <si>
    <t>Individual WSHP Calculations</t>
  </si>
  <si>
    <t>kWh</t>
  </si>
  <si>
    <t>(per 672 hours)</t>
  </si>
  <si>
    <r>
      <t>Supplied to Q</t>
    </r>
    <r>
      <rPr>
        <vertAlign val="subscript"/>
        <sz val="12"/>
        <color theme="1"/>
        <rFont val="Aptos Narrow (Body)"/>
      </rPr>
      <t>evap, h</t>
    </r>
  </si>
  <si>
    <r>
      <t>Supplied to Q</t>
    </r>
    <r>
      <rPr>
        <vertAlign val="subscript"/>
        <sz val="12"/>
        <color theme="1"/>
        <rFont val="Aptos Narrow (Body)"/>
      </rPr>
      <t>evap, c</t>
    </r>
  </si>
  <si>
    <r>
      <t>% Q</t>
    </r>
    <r>
      <rPr>
        <vertAlign val="subscript"/>
        <sz val="12"/>
        <color theme="1"/>
        <rFont val="Aptos Narrow (Body)"/>
      </rPr>
      <t>evap, h</t>
    </r>
  </si>
  <si>
    <r>
      <t>% Q</t>
    </r>
    <r>
      <rPr>
        <vertAlign val="subscript"/>
        <sz val="12"/>
        <color theme="1"/>
        <rFont val="Aptos Narrow (Body)"/>
      </rPr>
      <t>evap, c</t>
    </r>
  </si>
  <si>
    <t>Total heat supplied</t>
  </si>
  <si>
    <t>Heat Supplied</t>
  </si>
  <si>
    <t>Proportion</t>
  </si>
  <si>
    <t>Apr_26_HHD_winter_v1_0</t>
  </si>
  <si>
    <t>Apr_26_HHD_summer_v1_0</t>
  </si>
  <si>
    <t xml:space="preserve"> Apr_26_HHD_spring_atumun_v1_0 </t>
  </si>
  <si>
    <t>Proportioned across Evaporators</t>
  </si>
  <si>
    <t>Simulink Workspace File</t>
  </si>
  <si>
    <t>Performance evaluation of air-source heat pump based on a</t>
  </si>
  <si>
    <t>pressure drop embedded model</t>
  </si>
  <si>
    <t>Tim Koopman , Tingting Zhu *, Wilko Rohlfs</t>
  </si>
  <si>
    <t>Per 4 weeks</t>
  </si>
  <si>
    <t>Total Per Year</t>
  </si>
  <si>
    <t>ASHP</t>
  </si>
  <si>
    <t>DC weekly heat release</t>
  </si>
  <si>
    <t>MWh</t>
  </si>
  <si>
    <t>DC seasonal heat release</t>
  </si>
  <si>
    <t>WSHP Power</t>
  </si>
  <si>
    <t>Network Heat Supplied</t>
  </si>
  <si>
    <t>Per season</t>
  </si>
  <si>
    <t>Home seasonal heat supplied</t>
  </si>
  <si>
    <t>Unused DC heat</t>
  </si>
  <si>
    <t>Weeks per 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</si>
</sst>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£&quot;* #,##0.00_);_(&quot;£&quot;* \(#,##0.00\);_(&quot;£&quot;* &quot;-&quot;??_);_(@_)"/>
    <numFmt numFmtId="43" formatCode="_(* #,##0.00_);_(* \(#,##0.00\);_(* &quot;-&quot;??_);_(@_)"/>
    <numFmt numFmtId="164" formatCode="#,##0.0;\-#,##0.0"/>
    <numFmt numFmtId="165" formatCode="0.0"/>
    <numFmt numFmtId="166" formatCode="[$-F800]dddd\,\ mmmm\ dd\,\ yyyy"/>
    <numFmt numFmtId="167" formatCode="dd:hh"/>
    <numFmt numFmtId="168" formatCode="_(* #,##0_);_(* \(#,##0\);_(* &quot;-&quot;??_);_(@_)"/>
    <numFmt numFmtId="169" formatCode="0.000"/>
    <numFmt numFmtId="170" formatCode="_(* #,##0.0_);_(* \(#,##0.0\);_(* &quot;-&quot;??_);_(@_)"/>
    <numFmt numFmtId="171" formatCode="0.0%"/>
  </numFmts>
  <fonts count="3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"/>
    </font>
    <font>
      <b/>
      <sz val="12"/>
      <color rgb="FF000000"/>
      <name val="Aptos"/>
    </font>
    <font>
      <sz val="12"/>
      <color rgb="FF000000"/>
      <name val="Aptos"/>
    </font>
    <font>
      <sz val="12"/>
      <name val="Aptos Narrow"/>
      <family val="2"/>
      <scheme val="minor"/>
    </font>
    <font>
      <sz val="10"/>
      <name val="Arial"/>
      <family val="2"/>
    </font>
    <font>
      <b/>
      <sz val="12"/>
      <name val="Aptos Narrow"/>
      <family val="2"/>
      <scheme val="minor"/>
    </font>
    <font>
      <b/>
      <sz val="22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  <font>
      <b/>
      <i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sz val="16"/>
      <color rgb="FF474747"/>
      <name val="Helvetica Neue"/>
      <family val="2"/>
    </font>
    <font>
      <i/>
      <sz val="12"/>
      <color theme="1"/>
      <name val="Aptos Narrow"/>
      <scheme val="minor"/>
    </font>
    <font>
      <i/>
      <sz val="11"/>
      <color theme="1"/>
      <name val="Aptos Narrow (Body)"/>
    </font>
    <font>
      <i/>
      <vertAlign val="subscript"/>
      <sz val="12"/>
      <color theme="1"/>
      <name val="Aptos Narrow (Body)"/>
    </font>
    <font>
      <sz val="12"/>
      <color theme="0" tint="-0.34998626667073579"/>
      <name val="Aptos Narrow"/>
      <scheme val="minor"/>
    </font>
    <font>
      <sz val="12"/>
      <color theme="1"/>
      <name val="Aptos"/>
    </font>
    <font>
      <sz val="12"/>
      <color theme="1"/>
      <name val="Aptos Display"/>
      <scheme val="major"/>
    </font>
    <font>
      <sz val="14"/>
      <color rgb="FF0A0A0A"/>
      <name val="Courier New"/>
      <family val="1"/>
    </font>
    <font>
      <b/>
      <i/>
      <sz val="12"/>
      <color theme="1"/>
      <name val="Aptos"/>
    </font>
    <font>
      <b/>
      <i/>
      <vertAlign val="subscript"/>
      <sz val="12"/>
      <color theme="1"/>
      <name val="Aptos"/>
    </font>
    <font>
      <b/>
      <sz val="12"/>
      <color theme="0" tint="-0.34998626667073579"/>
      <name val="Aptos Narrow"/>
      <scheme val="minor"/>
    </font>
    <font>
      <b/>
      <sz val="12"/>
      <color theme="0" tint="-0.499984740745262"/>
      <name val="Aptos Narrow"/>
      <scheme val="minor"/>
    </font>
    <font>
      <sz val="12"/>
      <color theme="0" tint="-0.499984740745262"/>
      <name val="Aptos Narrow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vertAlign val="subscript"/>
      <sz val="12"/>
      <color theme="1"/>
      <name val="Aptos Narrow (Body)"/>
    </font>
    <font>
      <sz val="8"/>
      <color theme="1"/>
      <name val="Aptos Narrow"/>
      <family val="2"/>
      <scheme val="minor"/>
    </font>
    <font>
      <sz val="8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1" fillId="0" borderId="0">
      <alignment vertical="center" wrapText="1"/>
    </xf>
    <xf numFmtId="0" fontId="8" fillId="0" borderId="0"/>
    <xf numFmtId="0" fontId="10" fillId="0" borderId="0" applyNumberFormat="0" applyFill="0" applyProtection="0">
      <alignment vertical="center"/>
    </xf>
    <xf numFmtId="0" fontId="15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55">
    <xf numFmtId="0" fontId="0" fillId="0" borderId="0" xfId="0"/>
    <xf numFmtId="0" fontId="1" fillId="0" borderId="0" xfId="2" applyAlignment="1">
      <alignment vertical="center"/>
    </xf>
    <xf numFmtId="164" fontId="1" fillId="0" borderId="0" xfId="2" applyNumberFormat="1" applyAlignment="1">
      <alignment vertical="center"/>
    </xf>
    <xf numFmtId="164" fontId="1" fillId="0" borderId="0" xfId="2" applyNumberFormat="1" applyAlignment="1">
      <alignment horizontal="right" vertical="center" wrapText="1"/>
    </xf>
    <xf numFmtId="164" fontId="7" fillId="3" borderId="0" xfId="2" applyNumberFormat="1" applyFont="1" applyFill="1" applyAlignment="1">
      <alignment horizontal="right" vertical="center" wrapText="1"/>
    </xf>
    <xf numFmtId="0" fontId="9" fillId="3" borderId="1" xfId="3" applyFont="1" applyFill="1" applyBorder="1" applyAlignment="1">
      <alignment horizontal="left"/>
    </xf>
    <xf numFmtId="0" fontId="9" fillId="3" borderId="1" xfId="3" applyFont="1" applyFill="1" applyBorder="1" applyAlignment="1">
      <alignment horizontal="left" vertical="top"/>
    </xf>
    <xf numFmtId="164" fontId="1" fillId="0" borderId="2" xfId="2" applyNumberFormat="1" applyBorder="1" applyAlignment="1">
      <alignment horizontal="right" vertical="center" wrapText="1"/>
    </xf>
    <xf numFmtId="164" fontId="1" fillId="0" borderId="3" xfId="2" applyNumberFormat="1" applyBorder="1" applyAlignment="1">
      <alignment horizontal="right" vertical="center" wrapText="1"/>
    </xf>
    <xf numFmtId="0" fontId="9" fillId="3" borderId="4" xfId="3" applyFont="1" applyFill="1" applyBorder="1" applyAlignment="1">
      <alignment horizontal="left"/>
    </xf>
    <xf numFmtId="0" fontId="3" fillId="0" borderId="0" xfId="2" applyFont="1" applyAlignment="1">
      <alignment vertical="center"/>
    </xf>
    <xf numFmtId="0" fontId="9" fillId="3" borderId="2" xfId="3" applyFont="1" applyFill="1" applyBorder="1" applyAlignment="1">
      <alignment horizontal="center" vertical="center"/>
    </xf>
    <xf numFmtId="0" fontId="9" fillId="3" borderId="3" xfId="3" applyFont="1" applyFill="1" applyBorder="1" applyAlignment="1">
      <alignment horizontal="center" vertical="top" wrapText="1"/>
    </xf>
    <xf numFmtId="0" fontId="9" fillId="3" borderId="3" xfId="3" applyFont="1" applyFill="1" applyBorder="1" applyAlignment="1">
      <alignment horizontal="center" vertical="center"/>
    </xf>
    <xf numFmtId="0" fontId="2" fillId="3" borderId="4" xfId="3" applyFont="1" applyFill="1" applyBorder="1"/>
    <xf numFmtId="0" fontId="8" fillId="0" borderId="0" xfId="3"/>
    <xf numFmtId="0" fontId="10" fillId="0" borderId="0" xfId="4">
      <alignment vertical="center"/>
    </xf>
    <xf numFmtId="0" fontId="0" fillId="0" borderId="0" xfId="0" applyAlignment="1">
      <alignment horizontal="center"/>
    </xf>
    <xf numFmtId="0" fontId="5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65" fontId="6" fillId="2" borderId="4" xfId="0" applyNumberFormat="1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0" fillId="0" borderId="0" xfId="0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165" fontId="0" fillId="0" borderId="4" xfId="0" applyNumberFormat="1" applyBorder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wrapText="1"/>
    </xf>
    <xf numFmtId="9" fontId="0" fillId="0" borderId="4" xfId="1" applyFont="1" applyBorder="1" applyAlignment="1">
      <alignment horizontal="center" vertical="center"/>
    </xf>
    <xf numFmtId="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" fontId="0" fillId="0" borderId="0" xfId="0" applyNumberFormat="1"/>
    <xf numFmtId="0" fontId="11" fillId="0" borderId="0" xfId="0" applyFont="1" applyAlignment="1">
      <alignment horizontal="center"/>
    </xf>
    <xf numFmtId="166" fontId="0" fillId="0" borderId="0" xfId="0" applyNumberFormat="1"/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0" fontId="9" fillId="4" borderId="1" xfId="3" applyFont="1" applyFill="1" applyBorder="1" applyAlignment="1">
      <alignment horizontal="left"/>
    </xf>
    <xf numFmtId="164" fontId="7" fillId="4" borderId="0" xfId="2" applyNumberFormat="1" applyFont="1" applyFill="1" applyAlignment="1">
      <alignment horizontal="right" vertical="center" wrapText="1"/>
    </xf>
    <xf numFmtId="164" fontId="1" fillId="4" borderId="0" xfId="2" applyNumberFormat="1" applyFill="1" applyAlignment="1">
      <alignment horizontal="right" vertical="center" wrapText="1"/>
    </xf>
    <xf numFmtId="9" fontId="0" fillId="0" borderId="0" xfId="0" applyNumberFormat="1"/>
    <xf numFmtId="1" fontId="11" fillId="0" borderId="0" xfId="0" applyNumberFormat="1" applyFont="1" applyAlignment="1">
      <alignment horizontal="center" wrapText="1"/>
    </xf>
    <xf numFmtId="0" fontId="11" fillId="0" borderId="0" xfId="0" applyFont="1" applyAlignment="1">
      <alignment horizontal="right"/>
    </xf>
    <xf numFmtId="0" fontId="11" fillId="0" borderId="0" xfId="0" applyFont="1" applyAlignment="1">
      <alignment horizontal="left"/>
    </xf>
    <xf numFmtId="165" fontId="0" fillId="0" borderId="0" xfId="0" applyNumberFormat="1" applyAlignment="1">
      <alignment horizontal="right"/>
    </xf>
    <xf numFmtId="165" fontId="13" fillId="0" borderId="0" xfId="0" applyNumberFormat="1" applyFont="1" applyAlignment="1">
      <alignment horizontal="center" wrapText="1"/>
    </xf>
    <xf numFmtId="14" fontId="0" fillId="0" borderId="0" xfId="0" applyNumberFormat="1"/>
    <xf numFmtId="167" fontId="0" fillId="0" borderId="0" xfId="0" applyNumberFormat="1"/>
    <xf numFmtId="20" fontId="0" fillId="0" borderId="0" xfId="0" applyNumberFormat="1"/>
    <xf numFmtId="0" fontId="11" fillId="0" borderId="0" xfId="0" applyFont="1" applyAlignment="1">
      <alignment horizontal="center" vertical="center"/>
    </xf>
    <xf numFmtId="165" fontId="11" fillId="0" borderId="0" xfId="0" applyNumberFormat="1" applyFont="1"/>
    <xf numFmtId="2" fontId="0" fillId="0" borderId="0" xfId="0" applyNumberFormat="1"/>
    <xf numFmtId="0" fontId="15" fillId="0" borderId="0" xfId="5"/>
    <xf numFmtId="0" fontId="0" fillId="0" borderId="0" xfId="0" applyAlignment="1">
      <alignment horizontal="right"/>
    </xf>
    <xf numFmtId="0" fontId="16" fillId="0" borderId="0" xfId="0" applyFont="1"/>
    <xf numFmtId="0" fontId="13" fillId="0" borderId="0" xfId="0" applyFont="1" applyAlignment="1">
      <alignment horizontal="center"/>
    </xf>
    <xf numFmtId="165" fontId="13" fillId="0" borderId="0" xfId="0" applyNumberFormat="1" applyFont="1" applyAlignment="1">
      <alignment horizontal="center"/>
    </xf>
    <xf numFmtId="0" fontId="11" fillId="0" borderId="0" xfId="0" quotePrefix="1" applyFont="1"/>
    <xf numFmtId="165" fontId="11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  <xf numFmtId="168" fontId="11" fillId="0" borderId="0" xfId="6" applyNumberFormat="1" applyFont="1"/>
    <xf numFmtId="165" fontId="0" fillId="0" borderId="0" xfId="6" applyNumberFormat="1" applyFont="1"/>
    <xf numFmtId="1" fontId="13" fillId="0" borderId="0" xfId="0" applyNumberFormat="1" applyFont="1" applyAlignment="1">
      <alignment horizontal="center"/>
    </xf>
    <xf numFmtId="168" fontId="11" fillId="0" borderId="0" xfId="6" applyNumberFormat="1" applyFont="1" applyAlignment="1">
      <alignment horizontal="center"/>
    </xf>
    <xf numFmtId="0" fontId="0" fillId="0" borderId="5" xfId="0" applyBorder="1"/>
    <xf numFmtId="169" fontId="0" fillId="0" borderId="0" xfId="0" applyNumberFormat="1"/>
    <xf numFmtId="0" fontId="13" fillId="0" borderId="5" xfId="0" applyFont="1" applyBorder="1" applyAlignment="1">
      <alignment horizontal="center"/>
    </xf>
    <xf numFmtId="0" fontId="20" fillId="0" borderId="0" xfId="0" applyFont="1"/>
    <xf numFmtId="0" fontId="20" fillId="0" borderId="0" xfId="0" applyFont="1" applyAlignment="1">
      <alignment horizontal="center"/>
    </xf>
    <xf numFmtId="2" fontId="13" fillId="0" borderId="0" xfId="0" applyNumberFormat="1" applyFont="1" applyAlignment="1">
      <alignment horizontal="center"/>
    </xf>
    <xf numFmtId="0" fontId="21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3" fontId="0" fillId="0" borderId="0" xfId="0" applyNumberFormat="1"/>
    <xf numFmtId="0" fontId="22" fillId="0" borderId="8" xfId="0" applyFont="1" applyBorder="1" applyAlignment="1">
      <alignment horizontal="center" vertical="center" wrapText="1"/>
    </xf>
    <xf numFmtId="3" fontId="6" fillId="0" borderId="7" xfId="0" applyNumberFormat="1" applyFont="1" applyBorder="1" applyAlignment="1">
      <alignment horizontal="center" vertical="center" wrapText="1"/>
    </xf>
    <xf numFmtId="0" fontId="23" fillId="0" borderId="0" xfId="0" applyFont="1"/>
    <xf numFmtId="0" fontId="21" fillId="0" borderId="0" xfId="0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0" fontId="0" fillId="0" borderId="9" xfId="0" applyBorder="1"/>
    <xf numFmtId="0" fontId="0" fillId="0" borderId="10" xfId="0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43" fontId="0" fillId="0" borderId="0" xfId="6" applyFont="1"/>
    <xf numFmtId="170" fontId="0" fillId="0" borderId="0" xfId="6" applyNumberFormat="1" applyFont="1"/>
    <xf numFmtId="168" fontId="0" fillId="0" borderId="0" xfId="6" applyNumberFormat="1" applyFont="1"/>
    <xf numFmtId="0" fontId="26" fillId="0" borderId="0" xfId="0" applyFont="1" applyAlignment="1">
      <alignment wrapText="1"/>
    </xf>
    <xf numFmtId="0" fontId="20" fillId="0" borderId="0" xfId="0" applyFont="1" applyAlignment="1">
      <alignment horizontal="right"/>
    </xf>
    <xf numFmtId="165" fontId="20" fillId="0" borderId="0" xfId="0" applyNumberFormat="1" applyFont="1"/>
    <xf numFmtId="0" fontId="0" fillId="0" borderId="0" xfId="0" applyAlignment="1">
      <alignment horizontal="left"/>
    </xf>
    <xf numFmtId="0" fontId="26" fillId="0" borderId="0" xfId="0" applyFont="1" applyAlignment="1">
      <alignment horizontal="right"/>
    </xf>
    <xf numFmtId="165" fontId="26" fillId="0" borderId="0" xfId="0" applyNumberFormat="1" applyFont="1" applyAlignment="1">
      <alignment horizontal="center"/>
    </xf>
    <xf numFmtId="0" fontId="26" fillId="0" borderId="0" xfId="0" applyFont="1"/>
    <xf numFmtId="0" fontId="26" fillId="0" borderId="0" xfId="0" applyFont="1" applyAlignment="1">
      <alignment horizontal="center"/>
    </xf>
    <xf numFmtId="2" fontId="26" fillId="0" borderId="0" xfId="0" applyNumberFormat="1" applyFont="1" applyAlignment="1">
      <alignment horizontal="right" indent="1"/>
    </xf>
    <xf numFmtId="2" fontId="20" fillId="0" borderId="0" xfId="0" applyNumberFormat="1" applyFont="1"/>
    <xf numFmtId="165" fontId="0" fillId="0" borderId="5" xfId="0" applyNumberFormat="1" applyBorder="1"/>
    <xf numFmtId="0" fontId="27" fillId="0" borderId="0" xfId="0" applyFont="1"/>
    <xf numFmtId="0" fontId="27" fillId="0" borderId="0" xfId="0" applyFont="1" applyAlignment="1">
      <alignment horizontal="center"/>
    </xf>
    <xf numFmtId="165" fontId="27" fillId="0" borderId="0" xfId="0" applyNumberFormat="1" applyFont="1" applyAlignment="1">
      <alignment horizontal="center"/>
    </xf>
    <xf numFmtId="2" fontId="28" fillId="0" borderId="0" xfId="0" applyNumberFormat="1" applyFont="1"/>
    <xf numFmtId="168" fontId="28" fillId="0" borderId="0" xfId="6" applyNumberFormat="1" applyFont="1"/>
    <xf numFmtId="0" fontId="27" fillId="0" borderId="0" xfId="0" applyFont="1" applyAlignment="1">
      <alignment horizontal="center" wrapText="1"/>
    </xf>
    <xf numFmtId="0" fontId="28" fillId="0" borderId="0" xfId="0" applyFont="1"/>
    <xf numFmtId="44" fontId="13" fillId="0" borderId="0" xfId="7" applyFont="1" applyAlignment="1">
      <alignment horizontal="center"/>
    </xf>
    <xf numFmtId="1" fontId="11" fillId="0" borderId="0" xfId="0" applyNumberFormat="1" applyFont="1" applyAlignment="1">
      <alignment horizontal="center"/>
    </xf>
    <xf numFmtId="2" fontId="13" fillId="0" borderId="0" xfId="0" applyNumberFormat="1" applyFont="1"/>
    <xf numFmtId="0" fontId="13" fillId="0" borderId="0" xfId="0" applyFont="1"/>
    <xf numFmtId="0" fontId="13" fillId="0" borderId="0" xfId="0" applyFont="1" applyAlignment="1">
      <alignment horizontal="right"/>
    </xf>
    <xf numFmtId="2" fontId="13" fillId="0" borderId="0" xfId="0" applyNumberFormat="1" applyFont="1" applyAlignment="1">
      <alignment horizontal="right"/>
    </xf>
    <xf numFmtId="0" fontId="20" fillId="0" borderId="5" xfId="0" applyFont="1" applyBorder="1" applyAlignment="1">
      <alignment horizontal="center"/>
    </xf>
    <xf numFmtId="2" fontId="0" fillId="0" borderId="5" xfId="0" applyNumberFormat="1" applyBorder="1"/>
    <xf numFmtId="9" fontId="0" fillId="0" borderId="0" xfId="1" applyFont="1"/>
    <xf numFmtId="43" fontId="0" fillId="0" borderId="0" xfId="0" applyNumberFormat="1"/>
    <xf numFmtId="171" fontId="0" fillId="0" borderId="0" xfId="1" applyNumberFormat="1" applyFont="1"/>
    <xf numFmtId="165" fontId="11" fillId="0" borderId="0" xfId="0" applyNumberFormat="1" applyFont="1" applyAlignment="1">
      <alignment horizontal="right"/>
    </xf>
    <xf numFmtId="165" fontId="13" fillId="0" borderId="0" xfId="0" applyNumberFormat="1" applyFont="1" applyAlignment="1">
      <alignment horizontal="right"/>
    </xf>
    <xf numFmtId="168" fontId="0" fillId="0" borderId="0" xfId="6" applyNumberFormat="1" applyFont="1" applyAlignment="1">
      <alignment horizontal="center"/>
    </xf>
    <xf numFmtId="168" fontId="0" fillId="0" borderId="0" xfId="6" applyNumberFormat="1" applyFont="1" applyAlignment="1">
      <alignment horizontal="right"/>
    </xf>
    <xf numFmtId="168" fontId="32" fillId="0" borderId="0" xfId="6" applyNumberFormat="1" applyFont="1" applyAlignment="1">
      <alignment horizontal="left" vertical="top" wrapText="1"/>
    </xf>
    <xf numFmtId="168" fontId="0" fillId="0" borderId="0" xfId="6" applyNumberFormat="1" applyFont="1" applyAlignment="1">
      <alignment horizontal="right" vertical="top"/>
    </xf>
    <xf numFmtId="1" fontId="0" fillId="0" borderId="0" xfId="6" applyNumberFormat="1" applyFont="1"/>
    <xf numFmtId="168" fontId="33" fillId="0" borderId="0" xfId="0" applyNumberFormat="1" applyFont="1" applyAlignment="1">
      <alignment horizontal="left" vertical="top" wrapText="1"/>
    </xf>
    <xf numFmtId="9" fontId="13" fillId="0" borderId="0" xfId="0" applyNumberFormat="1" applyFont="1" applyAlignment="1">
      <alignment horizontal="center"/>
    </xf>
    <xf numFmtId="165" fontId="28" fillId="0" borderId="0" xfId="0" applyNumberFormat="1" applyFont="1" applyAlignment="1">
      <alignment horizontal="center" wrapText="1"/>
    </xf>
    <xf numFmtId="2" fontId="28" fillId="0" borderId="5" xfId="0" applyNumberFormat="1" applyFont="1" applyBorder="1"/>
    <xf numFmtId="165" fontId="28" fillId="0" borderId="0" xfId="0" applyNumberFormat="1" applyFont="1"/>
    <xf numFmtId="169" fontId="28" fillId="0" borderId="0" xfId="0" applyNumberFormat="1" applyFont="1"/>
    <xf numFmtId="165" fontId="13" fillId="0" borderId="0" xfId="0" applyNumberFormat="1" applyFont="1"/>
    <xf numFmtId="0" fontId="11" fillId="0" borderId="0" xfId="0" applyFont="1" applyAlignment="1">
      <alignment horizontal="center"/>
    </xf>
    <xf numFmtId="165" fontId="11" fillId="0" borderId="0" xfId="0" applyNumberFormat="1" applyFont="1" applyAlignment="1">
      <alignment horizontal="center"/>
    </xf>
    <xf numFmtId="168" fontId="11" fillId="0" borderId="0" xfId="6" applyNumberFormat="1" applyFont="1" applyAlignment="1">
      <alignment horizontal="center"/>
    </xf>
    <xf numFmtId="0" fontId="17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1" fontId="11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 wrapText="1"/>
    </xf>
    <xf numFmtId="44" fontId="27" fillId="0" borderId="4" xfId="7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168" fontId="0" fillId="0" borderId="0" xfId="0" applyNumberFormat="1"/>
    <xf numFmtId="0" fontId="13" fillId="0" borderId="5" xfId="0" applyFont="1" applyBorder="1"/>
    <xf numFmtId="1" fontId="0" fillId="0" borderId="3" xfId="0" applyNumberFormat="1" applyBorder="1"/>
    <xf numFmtId="9" fontId="0" fillId="5" borderId="0" xfId="1" applyFont="1" applyFill="1"/>
  </cellXfs>
  <cellStyles count="8">
    <cellStyle name="Comma" xfId="6" builtinId="3"/>
    <cellStyle name="Currency" xfId="7" builtinId="4"/>
    <cellStyle name="Heading 1 2" xfId="4" xr:uid="{B53B60CB-866C-9C43-B74B-E9A7A1BC0A1C}"/>
    <cellStyle name="Hyperlink" xfId="5" builtinId="8"/>
    <cellStyle name="Normal" xfId="0" builtinId="0"/>
    <cellStyle name="Normal 2" xfId="3" xr:uid="{76B78353-D83E-2844-AB14-E33C91E02F7A}"/>
    <cellStyle name="Normal 4" xfId="2" xr:uid="{65B18455-DC12-8C44-8144-4A33DD38CEAC}"/>
    <cellStyle name="Per cent" xfId="1" builtinId="5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164" formatCode="#,##0.0;\-#,##0.0"/>
      <fill>
        <patternFill patternType="solid">
          <fgColor indexed="64"/>
          <bgColor indexed="9"/>
        </patternFill>
      </fill>
      <alignment horizontal="right" vertical="center" textRotation="0" wrapText="1" indent="0" justifyLastLine="0" shrinkToFit="0" readingOrder="0"/>
    </dxf>
    <dxf>
      <numFmt numFmtId="164" formatCode="#,##0.0;\-#,##0.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164" formatCode="#,##0.0;\-#,##0.0"/>
      <fill>
        <patternFill patternType="solid">
          <fgColor indexed="64"/>
          <bgColor indexed="9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164" formatCode="#,##0.0;\-#,##0.0"/>
      <fill>
        <patternFill patternType="solid">
          <fgColor indexed="64"/>
          <bgColor indexed="9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164" formatCode="#,##0.0;\-#,##0.0"/>
      <fill>
        <patternFill patternType="solid">
          <fgColor indexed="64"/>
          <bgColor indexed="9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164" formatCode="#,##0.0;\-#,##0.0"/>
      <fill>
        <patternFill patternType="solid">
          <fgColor indexed="64"/>
          <bgColor indexed="9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164" formatCode="#,##0.0;\-#,##0.0"/>
      <fill>
        <patternFill patternType="solid">
          <fgColor indexed="64"/>
          <bgColor indexed="9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164" formatCode="#,##0.0;\-#,##0.0"/>
      <fill>
        <patternFill patternType="solid">
          <fgColor indexed="64"/>
          <bgColor indexed="9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164" formatCode="#,##0.0;\-#,##0.0"/>
      <fill>
        <patternFill patternType="solid">
          <fgColor indexed="64"/>
          <bgColor indexed="9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164" formatCode="#,##0.0;\-#,##0.0"/>
      <fill>
        <patternFill patternType="solid">
          <fgColor indexed="64"/>
          <bgColor indexed="9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164" formatCode="#,##0.0;\-#,##0.0"/>
      <fill>
        <patternFill patternType="solid">
          <fgColor indexed="64"/>
          <bgColor indexed="9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164" formatCode="#,##0.0;\-#,##0.0"/>
      <fill>
        <patternFill patternType="solid">
          <fgColor indexed="64"/>
          <bgColor indexed="9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164" formatCode="#,##0.0;\-#,##0.0"/>
      <fill>
        <patternFill patternType="solid">
          <fgColor indexed="64"/>
          <bgColor indexed="9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164" formatCode="#,##0.0;\-#,##0.0"/>
      <fill>
        <patternFill patternType="solid">
          <fgColor indexed="64"/>
          <bgColor indexed="9"/>
        </patternFill>
      </fill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solid">
          <fgColor indexed="64"/>
          <bgColor indexed="9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0"/>
      <c:perspective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cene3d>
          <a:camera prst="orthographicFront"/>
          <a:lightRig rig="threePt" dir="t"/>
        </a:scene3d>
        <a:sp3d prstMaterial="dkEdge"/>
      </c:spPr>
    </c:sideWall>
    <c:backWall>
      <c:thickness val="0"/>
      <c:spPr>
        <a:noFill/>
        <a:ln>
          <a:noFill/>
        </a:ln>
        <a:effectLst/>
        <a:scene3d>
          <a:camera prst="orthographicFront"/>
          <a:lightRig rig="threePt" dir="t"/>
        </a:scene3d>
        <a:sp3d prstMaterial="dkEdge"/>
      </c:spPr>
    </c:backWall>
    <c:plotArea>
      <c:layout>
        <c:manualLayout>
          <c:layoutTarget val="inner"/>
          <c:xMode val="edge"/>
          <c:yMode val="edge"/>
          <c:x val="7.7242388726566413E-2"/>
          <c:y val="1.2193963823936324E-2"/>
          <c:w val="0.7842249833860282"/>
          <c:h val="0.80404861833308572"/>
        </c:manualLayout>
      </c:layout>
      <c:line3DChart>
        <c:grouping val="standard"/>
        <c:varyColors val="0"/>
        <c:ser>
          <c:idx val="5"/>
          <c:order val="0"/>
          <c:tx>
            <c:v>Summer Weekday</c:v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cat>
            <c:numRef>
              <c:f>'Daily Heat Demand Matrix (2)'!$B$6:$B$29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'Daily Heat Demand Matrix (2)'!$J$6:$J$29</c:f>
              <c:numCache>
                <c:formatCode>0.0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0.32981104388639787</c:v>
                </c:pt>
                <c:pt idx="7">
                  <c:v>0.32981104388639787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0.32981104388639787</c:v>
                </c:pt>
                <c:pt idx="16">
                  <c:v>0.32981104388639787</c:v>
                </c:pt>
                <c:pt idx="17">
                  <c:v>0.32981104388639787</c:v>
                </c:pt>
                <c:pt idx="18">
                  <c:v>0.32981104388639787</c:v>
                </c:pt>
                <c:pt idx="19">
                  <c:v>0.32981104388639787</c:v>
                </c:pt>
                <c:pt idx="20">
                  <c:v>0.32981104388639787</c:v>
                </c:pt>
                <c:pt idx="21">
                  <c:v>0.32981104388639787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A1-E84D-BE66-4EA65F8BD2CA}"/>
            </c:ext>
          </c:extLst>
        </c:ser>
        <c:ser>
          <c:idx val="4"/>
          <c:order val="1"/>
          <c:tx>
            <c:v>Summer Weekend</c:v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cat>
            <c:numRef>
              <c:f>'Daily Heat Demand Matrix (2)'!$B$6:$B$29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'Daily Heat Demand Matrix (2)'!$F$6:$F$29</c:f>
              <c:numCache>
                <c:formatCode>0.0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0.32981104388639787</c:v>
                </c:pt>
                <c:pt idx="7">
                  <c:v>0.32981104388639787</c:v>
                </c:pt>
                <c:pt idx="8">
                  <c:v>0.32981104388639787</c:v>
                </c:pt>
                <c:pt idx="9">
                  <c:v>0.32981104388639787</c:v>
                </c:pt>
                <c:pt idx="10">
                  <c:v>0.32981104388639787</c:v>
                </c:pt>
                <c:pt idx="11">
                  <c:v>0.32981104388639787</c:v>
                </c:pt>
                <c:pt idx="12">
                  <c:v>0.32981104388639787</c:v>
                </c:pt>
                <c:pt idx="13">
                  <c:v>0.32981104388639787</c:v>
                </c:pt>
                <c:pt idx="14">
                  <c:v>0.32981104388639787</c:v>
                </c:pt>
                <c:pt idx="15">
                  <c:v>0.32981104388639787</c:v>
                </c:pt>
                <c:pt idx="16">
                  <c:v>0.32981104388639787</c:v>
                </c:pt>
                <c:pt idx="17">
                  <c:v>0.32981104388639787</c:v>
                </c:pt>
                <c:pt idx="18">
                  <c:v>0.32981104388639787</c:v>
                </c:pt>
                <c:pt idx="19">
                  <c:v>0.32981104388639787</c:v>
                </c:pt>
                <c:pt idx="20">
                  <c:v>0.32981104388639787</c:v>
                </c:pt>
                <c:pt idx="21">
                  <c:v>0.32981104388639787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A1-E84D-BE66-4EA65F8BD2CA}"/>
            </c:ext>
          </c:extLst>
        </c:ser>
        <c:ser>
          <c:idx val="3"/>
          <c:order val="2"/>
          <c:tx>
            <c:v>Spring/Autumn Weekday</c:v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cat>
            <c:numRef>
              <c:f>'Daily Heat Demand Matrix (2)'!$B$6:$B$29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'Daily Heat Demand Matrix (2)'!$I$6:$I$29</c:f>
              <c:numCache>
                <c:formatCode>0.0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1.8717327794185254</c:v>
                </c:pt>
                <c:pt idx="7">
                  <c:v>1.8717327794185254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1.8717327794185254</c:v>
                </c:pt>
                <c:pt idx="16">
                  <c:v>1.8717327794185254</c:v>
                </c:pt>
                <c:pt idx="17">
                  <c:v>1.8717327794185254</c:v>
                </c:pt>
                <c:pt idx="18">
                  <c:v>1.8717327794185254</c:v>
                </c:pt>
                <c:pt idx="19">
                  <c:v>1.8717327794185254</c:v>
                </c:pt>
                <c:pt idx="20">
                  <c:v>1.8717327794185254</c:v>
                </c:pt>
                <c:pt idx="21">
                  <c:v>1.8717327794185254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A1-E84D-BE66-4EA65F8BD2CA}"/>
            </c:ext>
          </c:extLst>
        </c:ser>
        <c:ser>
          <c:idx val="2"/>
          <c:order val="3"/>
          <c:tx>
            <c:v>Spring/Autumm Weekend</c:v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cat>
            <c:numRef>
              <c:f>'Daily Heat Demand Matrix (2)'!$B$6:$B$29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'Daily Heat Demand Matrix (2)'!$E$6:$E$29</c:f>
              <c:numCache>
                <c:formatCode>0.0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1.8717327794185254</c:v>
                </c:pt>
                <c:pt idx="7">
                  <c:v>1.8717327794185254</c:v>
                </c:pt>
                <c:pt idx="8">
                  <c:v>1.8717327794185254</c:v>
                </c:pt>
                <c:pt idx="9">
                  <c:v>1.8717327794185254</c:v>
                </c:pt>
                <c:pt idx="10">
                  <c:v>1.8717327794185254</c:v>
                </c:pt>
                <c:pt idx="11">
                  <c:v>1.8717327794185254</c:v>
                </c:pt>
                <c:pt idx="12">
                  <c:v>1.8717327794185254</c:v>
                </c:pt>
                <c:pt idx="13">
                  <c:v>1.8717327794185254</c:v>
                </c:pt>
                <c:pt idx="14">
                  <c:v>1.8717327794185254</c:v>
                </c:pt>
                <c:pt idx="15">
                  <c:v>1.8717327794185254</c:v>
                </c:pt>
                <c:pt idx="16">
                  <c:v>1.8717327794185254</c:v>
                </c:pt>
                <c:pt idx="17">
                  <c:v>1.8717327794185254</c:v>
                </c:pt>
                <c:pt idx="18">
                  <c:v>1.8717327794185254</c:v>
                </c:pt>
                <c:pt idx="19">
                  <c:v>1.8717327794185254</c:v>
                </c:pt>
                <c:pt idx="20">
                  <c:v>1.8717327794185254</c:v>
                </c:pt>
                <c:pt idx="21">
                  <c:v>1.8717327794185254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CA1-E84D-BE66-4EA65F8BD2CA}"/>
            </c:ext>
          </c:extLst>
        </c:ser>
        <c:ser>
          <c:idx val="1"/>
          <c:order val="4"/>
          <c:tx>
            <c:v>Winter Weekday</c:v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numRef>
              <c:f>'Daily Heat Demand Matrix (2)'!$B$6:$B$29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'Daily Heat Demand Matrix (2)'!$H$6:$H$29</c:f>
              <c:numCache>
                <c:formatCode>0.0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3.4332694957598457</c:v>
                </c:pt>
                <c:pt idx="7">
                  <c:v>3.4332694957598457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3.4332694957598457</c:v>
                </c:pt>
                <c:pt idx="16">
                  <c:v>3.4332694957598457</c:v>
                </c:pt>
                <c:pt idx="17">
                  <c:v>3.4332694957598457</c:v>
                </c:pt>
                <c:pt idx="18">
                  <c:v>3.4332694957598457</c:v>
                </c:pt>
                <c:pt idx="19">
                  <c:v>3.4332694957598457</c:v>
                </c:pt>
                <c:pt idx="20">
                  <c:v>3.4332694957598457</c:v>
                </c:pt>
                <c:pt idx="21">
                  <c:v>3.4332694957598457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CA1-E84D-BE66-4EA65F8BD2CA}"/>
            </c:ext>
          </c:extLst>
        </c:ser>
        <c:ser>
          <c:idx val="0"/>
          <c:order val="5"/>
          <c:tx>
            <c:v>Winter Weekend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numRef>
              <c:f>'Daily Heat Demand Matrix (2)'!$B$6:$B$29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'Daily Heat Demand Matrix (2)'!$D$6:$D$29</c:f>
              <c:numCache>
                <c:formatCode>0.0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3.4332694957598457</c:v>
                </c:pt>
                <c:pt idx="7">
                  <c:v>3.4332694957598457</c:v>
                </c:pt>
                <c:pt idx="8">
                  <c:v>3.4332694957598457</c:v>
                </c:pt>
                <c:pt idx="9">
                  <c:v>3.4332694957598457</c:v>
                </c:pt>
                <c:pt idx="10">
                  <c:v>3.4332694957598457</c:v>
                </c:pt>
                <c:pt idx="11">
                  <c:v>3.4332694957598457</c:v>
                </c:pt>
                <c:pt idx="12">
                  <c:v>3.4332694957598457</c:v>
                </c:pt>
                <c:pt idx="13">
                  <c:v>3.4332694957598457</c:v>
                </c:pt>
                <c:pt idx="14">
                  <c:v>3.4332694957598457</c:v>
                </c:pt>
                <c:pt idx="15">
                  <c:v>3.4332694957598457</c:v>
                </c:pt>
                <c:pt idx="16">
                  <c:v>3.4332694957598457</c:v>
                </c:pt>
                <c:pt idx="17">
                  <c:v>3.4332694957598457</c:v>
                </c:pt>
                <c:pt idx="18">
                  <c:v>3.4332694957598457</c:v>
                </c:pt>
                <c:pt idx="19">
                  <c:v>3.4332694957598457</c:v>
                </c:pt>
                <c:pt idx="20">
                  <c:v>3.4332694957598457</c:v>
                </c:pt>
                <c:pt idx="21">
                  <c:v>3.4332694957598457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CA1-E84D-BE66-4EA65F8BD2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4125328"/>
        <c:axId val="774127040"/>
        <c:axId val="602037984"/>
      </c:line3DChart>
      <c:catAx>
        <c:axId val="774125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Hours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127040"/>
        <c:crosses val="autoZero"/>
        <c:auto val="1"/>
        <c:lblAlgn val="ctr"/>
        <c:lblOffset val="100"/>
        <c:noMultiLvlLbl val="0"/>
      </c:catAx>
      <c:valAx>
        <c:axId val="77412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kW     </a:t>
                </a:r>
              </a:p>
            </c:rich>
          </c:tx>
          <c:layout>
            <c:manualLayout>
              <c:xMode val="edge"/>
              <c:yMode val="edge"/>
              <c:x val="4.7888515214370559E-4"/>
              <c:y val="0.349421334125687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125328"/>
        <c:crosses val="autoZero"/>
        <c:crossBetween val="between"/>
      </c:valAx>
      <c:serAx>
        <c:axId val="60203798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127040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Heat Demand</a:t>
            </a:r>
            <a:r>
              <a:rPr lang="en-GB" b="1" baseline="0"/>
              <a:t> (kWh)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2144181221407798E-2"/>
          <c:y val="1.0542264270708963E-2"/>
          <c:w val="0.91077498681995206"/>
          <c:h val="0.79975350250124688"/>
        </c:manualLayout>
      </c:layout>
      <c:line3DChart>
        <c:grouping val="standard"/>
        <c:varyColors val="0"/>
        <c:ser>
          <c:idx val="0"/>
          <c:order val="0"/>
          <c:tx>
            <c:strRef>
              <c:f>HomeHeatDemand!$F$2</c:f>
              <c:strCache>
                <c:ptCount val="1"/>
                <c:pt idx="0">
                  <c:v>Winter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HomeHeatDemand!$C$10:$C$177</c:f>
              <c:strCache>
                <c:ptCount val="168"/>
                <c:pt idx="0">
                  <c:v>Wednesday</c:v>
                </c:pt>
                <c:pt idx="1">
                  <c:v>Wednesday</c:v>
                </c:pt>
                <c:pt idx="2">
                  <c:v>Wednesday</c:v>
                </c:pt>
                <c:pt idx="3">
                  <c:v>Wednesday</c:v>
                </c:pt>
                <c:pt idx="4">
                  <c:v>Wednesday</c:v>
                </c:pt>
                <c:pt idx="5">
                  <c:v>Wednesday</c:v>
                </c:pt>
                <c:pt idx="6">
                  <c:v>Wednesday</c:v>
                </c:pt>
                <c:pt idx="7">
                  <c:v>Wednesday</c:v>
                </c:pt>
                <c:pt idx="8">
                  <c:v>Wednesday</c:v>
                </c:pt>
                <c:pt idx="9">
                  <c:v>Wednesday</c:v>
                </c:pt>
                <c:pt idx="10">
                  <c:v>Wednesday</c:v>
                </c:pt>
                <c:pt idx="11">
                  <c:v>Wednesday</c:v>
                </c:pt>
                <c:pt idx="12">
                  <c:v>Wednesday</c:v>
                </c:pt>
                <c:pt idx="13">
                  <c:v>Wednesday</c:v>
                </c:pt>
                <c:pt idx="14">
                  <c:v>Wednesday</c:v>
                </c:pt>
                <c:pt idx="15">
                  <c:v>Wednesday</c:v>
                </c:pt>
                <c:pt idx="16">
                  <c:v>Wednesday</c:v>
                </c:pt>
                <c:pt idx="17">
                  <c:v>Wednesday</c:v>
                </c:pt>
                <c:pt idx="18">
                  <c:v>Wednesday</c:v>
                </c:pt>
                <c:pt idx="19">
                  <c:v>Wednesday</c:v>
                </c:pt>
                <c:pt idx="20">
                  <c:v>Wednesday</c:v>
                </c:pt>
                <c:pt idx="21">
                  <c:v>Wednesday</c:v>
                </c:pt>
                <c:pt idx="22">
                  <c:v>Wednesday</c:v>
                </c:pt>
                <c:pt idx="23">
                  <c:v>Wednesday</c:v>
                </c:pt>
                <c:pt idx="24">
                  <c:v>Thursday</c:v>
                </c:pt>
                <c:pt idx="25">
                  <c:v>Thursday</c:v>
                </c:pt>
                <c:pt idx="26">
                  <c:v>Thursday</c:v>
                </c:pt>
                <c:pt idx="27">
                  <c:v>Thursday</c:v>
                </c:pt>
                <c:pt idx="28">
                  <c:v>Thursday</c:v>
                </c:pt>
                <c:pt idx="29">
                  <c:v>Thursday</c:v>
                </c:pt>
                <c:pt idx="30">
                  <c:v>Thursday</c:v>
                </c:pt>
                <c:pt idx="31">
                  <c:v>Thursday</c:v>
                </c:pt>
                <c:pt idx="32">
                  <c:v>Thursday</c:v>
                </c:pt>
                <c:pt idx="33">
                  <c:v>Thursday</c:v>
                </c:pt>
                <c:pt idx="34">
                  <c:v>Thursday</c:v>
                </c:pt>
                <c:pt idx="35">
                  <c:v>Thursday</c:v>
                </c:pt>
                <c:pt idx="36">
                  <c:v>Thursday</c:v>
                </c:pt>
                <c:pt idx="37">
                  <c:v>Thursday</c:v>
                </c:pt>
                <c:pt idx="38">
                  <c:v>Thursday</c:v>
                </c:pt>
                <c:pt idx="39">
                  <c:v>Thursday</c:v>
                </c:pt>
                <c:pt idx="40">
                  <c:v>Thursday</c:v>
                </c:pt>
                <c:pt idx="41">
                  <c:v>Thursday</c:v>
                </c:pt>
                <c:pt idx="42">
                  <c:v>Thursday</c:v>
                </c:pt>
                <c:pt idx="43">
                  <c:v>Thursday</c:v>
                </c:pt>
                <c:pt idx="44">
                  <c:v>Thursday</c:v>
                </c:pt>
                <c:pt idx="45">
                  <c:v>Thursday</c:v>
                </c:pt>
                <c:pt idx="46">
                  <c:v>Thursday</c:v>
                </c:pt>
                <c:pt idx="47">
                  <c:v>Thursday</c:v>
                </c:pt>
                <c:pt idx="48">
                  <c:v>Friday</c:v>
                </c:pt>
                <c:pt idx="49">
                  <c:v>Friday</c:v>
                </c:pt>
                <c:pt idx="50">
                  <c:v>Friday</c:v>
                </c:pt>
                <c:pt idx="51">
                  <c:v>Friday</c:v>
                </c:pt>
                <c:pt idx="52">
                  <c:v>Friday</c:v>
                </c:pt>
                <c:pt idx="53">
                  <c:v>Friday</c:v>
                </c:pt>
                <c:pt idx="54">
                  <c:v>Friday</c:v>
                </c:pt>
                <c:pt idx="55">
                  <c:v>Friday</c:v>
                </c:pt>
                <c:pt idx="56">
                  <c:v>Friday</c:v>
                </c:pt>
                <c:pt idx="57">
                  <c:v>Friday</c:v>
                </c:pt>
                <c:pt idx="58">
                  <c:v>Friday</c:v>
                </c:pt>
                <c:pt idx="59">
                  <c:v>Friday</c:v>
                </c:pt>
                <c:pt idx="60">
                  <c:v>Friday</c:v>
                </c:pt>
                <c:pt idx="61">
                  <c:v>Friday</c:v>
                </c:pt>
                <c:pt idx="62">
                  <c:v>Friday</c:v>
                </c:pt>
                <c:pt idx="63">
                  <c:v>Friday</c:v>
                </c:pt>
                <c:pt idx="64">
                  <c:v>Friday</c:v>
                </c:pt>
                <c:pt idx="65">
                  <c:v>Friday</c:v>
                </c:pt>
                <c:pt idx="66">
                  <c:v>Friday</c:v>
                </c:pt>
                <c:pt idx="67">
                  <c:v>Friday</c:v>
                </c:pt>
                <c:pt idx="68">
                  <c:v>Friday</c:v>
                </c:pt>
                <c:pt idx="69">
                  <c:v>Friday</c:v>
                </c:pt>
                <c:pt idx="70">
                  <c:v>Friday</c:v>
                </c:pt>
                <c:pt idx="71">
                  <c:v>Friday</c:v>
                </c:pt>
                <c:pt idx="72">
                  <c:v>Saturday</c:v>
                </c:pt>
                <c:pt idx="73">
                  <c:v>Saturday</c:v>
                </c:pt>
                <c:pt idx="74">
                  <c:v>Saturday</c:v>
                </c:pt>
                <c:pt idx="75">
                  <c:v>Saturday</c:v>
                </c:pt>
                <c:pt idx="76">
                  <c:v>Saturday</c:v>
                </c:pt>
                <c:pt idx="77">
                  <c:v>Saturday</c:v>
                </c:pt>
                <c:pt idx="78">
                  <c:v>Saturday</c:v>
                </c:pt>
                <c:pt idx="79">
                  <c:v>Saturday</c:v>
                </c:pt>
                <c:pt idx="80">
                  <c:v>Saturday</c:v>
                </c:pt>
                <c:pt idx="81">
                  <c:v>Saturday</c:v>
                </c:pt>
                <c:pt idx="82">
                  <c:v>Saturday</c:v>
                </c:pt>
                <c:pt idx="83">
                  <c:v>Saturday</c:v>
                </c:pt>
                <c:pt idx="84">
                  <c:v>Saturday</c:v>
                </c:pt>
                <c:pt idx="85">
                  <c:v>Saturday</c:v>
                </c:pt>
                <c:pt idx="86">
                  <c:v>Saturday</c:v>
                </c:pt>
                <c:pt idx="87">
                  <c:v>Saturday</c:v>
                </c:pt>
                <c:pt idx="88">
                  <c:v>Saturday</c:v>
                </c:pt>
                <c:pt idx="89">
                  <c:v>Saturday</c:v>
                </c:pt>
                <c:pt idx="90">
                  <c:v>Saturday</c:v>
                </c:pt>
                <c:pt idx="91">
                  <c:v>Saturday</c:v>
                </c:pt>
                <c:pt idx="92">
                  <c:v>Saturday</c:v>
                </c:pt>
                <c:pt idx="93">
                  <c:v>Saturday</c:v>
                </c:pt>
                <c:pt idx="94">
                  <c:v>Saturday</c:v>
                </c:pt>
                <c:pt idx="95">
                  <c:v>Saturday</c:v>
                </c:pt>
                <c:pt idx="96">
                  <c:v>Sunday</c:v>
                </c:pt>
                <c:pt idx="97">
                  <c:v>Sunday</c:v>
                </c:pt>
                <c:pt idx="98">
                  <c:v>Sunday</c:v>
                </c:pt>
                <c:pt idx="99">
                  <c:v>Sunday</c:v>
                </c:pt>
                <c:pt idx="100">
                  <c:v>Sunday</c:v>
                </c:pt>
                <c:pt idx="101">
                  <c:v>Sunday</c:v>
                </c:pt>
                <c:pt idx="102">
                  <c:v>Sunday</c:v>
                </c:pt>
                <c:pt idx="103">
                  <c:v>Sunday</c:v>
                </c:pt>
                <c:pt idx="104">
                  <c:v>Sunday</c:v>
                </c:pt>
                <c:pt idx="105">
                  <c:v>Sunday</c:v>
                </c:pt>
                <c:pt idx="106">
                  <c:v>Sunday</c:v>
                </c:pt>
                <c:pt idx="107">
                  <c:v>Sunday</c:v>
                </c:pt>
                <c:pt idx="108">
                  <c:v>Sunday</c:v>
                </c:pt>
                <c:pt idx="109">
                  <c:v>Sunday</c:v>
                </c:pt>
                <c:pt idx="110">
                  <c:v>Sunday</c:v>
                </c:pt>
                <c:pt idx="111">
                  <c:v>Sunday</c:v>
                </c:pt>
                <c:pt idx="112">
                  <c:v>Sunday</c:v>
                </c:pt>
                <c:pt idx="113">
                  <c:v>Sunday</c:v>
                </c:pt>
                <c:pt idx="114">
                  <c:v>Sunday</c:v>
                </c:pt>
                <c:pt idx="115">
                  <c:v>Sunday</c:v>
                </c:pt>
                <c:pt idx="116">
                  <c:v>Sunday</c:v>
                </c:pt>
                <c:pt idx="117">
                  <c:v>Sunday</c:v>
                </c:pt>
                <c:pt idx="118">
                  <c:v>Sunday</c:v>
                </c:pt>
                <c:pt idx="119">
                  <c:v>Sunday</c:v>
                </c:pt>
                <c:pt idx="120">
                  <c:v>Monday</c:v>
                </c:pt>
                <c:pt idx="121">
                  <c:v>Monday</c:v>
                </c:pt>
                <c:pt idx="122">
                  <c:v>Monday</c:v>
                </c:pt>
                <c:pt idx="123">
                  <c:v>Monday</c:v>
                </c:pt>
                <c:pt idx="124">
                  <c:v>Monday</c:v>
                </c:pt>
                <c:pt idx="125">
                  <c:v>Monday</c:v>
                </c:pt>
                <c:pt idx="126">
                  <c:v>Monday</c:v>
                </c:pt>
                <c:pt idx="127">
                  <c:v>Monday</c:v>
                </c:pt>
                <c:pt idx="128">
                  <c:v>Monday</c:v>
                </c:pt>
                <c:pt idx="129">
                  <c:v>Monday</c:v>
                </c:pt>
                <c:pt idx="130">
                  <c:v>Monday</c:v>
                </c:pt>
                <c:pt idx="131">
                  <c:v>Monday</c:v>
                </c:pt>
                <c:pt idx="132">
                  <c:v>Monday</c:v>
                </c:pt>
                <c:pt idx="133">
                  <c:v>Monday</c:v>
                </c:pt>
                <c:pt idx="134">
                  <c:v>Monday</c:v>
                </c:pt>
                <c:pt idx="135">
                  <c:v>Monday</c:v>
                </c:pt>
                <c:pt idx="136">
                  <c:v>Monday</c:v>
                </c:pt>
                <c:pt idx="137">
                  <c:v>Monday</c:v>
                </c:pt>
                <c:pt idx="138">
                  <c:v>Monday</c:v>
                </c:pt>
                <c:pt idx="139">
                  <c:v>Monday</c:v>
                </c:pt>
                <c:pt idx="140">
                  <c:v>Monday</c:v>
                </c:pt>
                <c:pt idx="141">
                  <c:v>Monday</c:v>
                </c:pt>
                <c:pt idx="142">
                  <c:v>Monday</c:v>
                </c:pt>
                <c:pt idx="143">
                  <c:v>Monday</c:v>
                </c:pt>
                <c:pt idx="144">
                  <c:v>Tueday</c:v>
                </c:pt>
                <c:pt idx="145">
                  <c:v>Tueday</c:v>
                </c:pt>
                <c:pt idx="146">
                  <c:v>Tueday</c:v>
                </c:pt>
                <c:pt idx="147">
                  <c:v>Tueday</c:v>
                </c:pt>
                <c:pt idx="148">
                  <c:v>Tueday</c:v>
                </c:pt>
                <c:pt idx="149">
                  <c:v>Tueday</c:v>
                </c:pt>
                <c:pt idx="150">
                  <c:v>Tueday</c:v>
                </c:pt>
                <c:pt idx="151">
                  <c:v>Tueday</c:v>
                </c:pt>
                <c:pt idx="152">
                  <c:v>Tueday</c:v>
                </c:pt>
                <c:pt idx="153">
                  <c:v>Tueday</c:v>
                </c:pt>
                <c:pt idx="154">
                  <c:v>Tueday</c:v>
                </c:pt>
                <c:pt idx="155">
                  <c:v>Tueday</c:v>
                </c:pt>
                <c:pt idx="156">
                  <c:v>Tueday</c:v>
                </c:pt>
                <c:pt idx="157">
                  <c:v>Tueday</c:v>
                </c:pt>
                <c:pt idx="158">
                  <c:v>Tueday</c:v>
                </c:pt>
                <c:pt idx="159">
                  <c:v>Tueday</c:v>
                </c:pt>
                <c:pt idx="160">
                  <c:v>Tueday</c:v>
                </c:pt>
                <c:pt idx="161">
                  <c:v>Tueday</c:v>
                </c:pt>
                <c:pt idx="162">
                  <c:v>Tueday</c:v>
                </c:pt>
                <c:pt idx="163">
                  <c:v>Tueday</c:v>
                </c:pt>
                <c:pt idx="164">
                  <c:v>Tueday</c:v>
                </c:pt>
                <c:pt idx="165">
                  <c:v>Tueday</c:v>
                </c:pt>
                <c:pt idx="166">
                  <c:v>Tueday</c:v>
                </c:pt>
                <c:pt idx="167">
                  <c:v>Tueday</c:v>
                </c:pt>
              </c:strCache>
            </c:strRef>
          </c:cat>
          <c:val>
            <c:numRef>
              <c:f>HomeHeatDemand!$F$10:$F$177</c:f>
              <c:numCache>
                <c:formatCode>0.0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3.4332694957598457</c:v>
                </c:pt>
                <c:pt idx="7">
                  <c:v>3.4332694957598457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3.4332694957598457</c:v>
                </c:pt>
                <c:pt idx="16">
                  <c:v>3.4332694957598457</c:v>
                </c:pt>
                <c:pt idx="17">
                  <c:v>3.4332694957598457</c:v>
                </c:pt>
                <c:pt idx="18">
                  <c:v>3.4332694957598457</c:v>
                </c:pt>
                <c:pt idx="19">
                  <c:v>3.4332694957598457</c:v>
                </c:pt>
                <c:pt idx="20">
                  <c:v>3.4332694957598457</c:v>
                </c:pt>
                <c:pt idx="21">
                  <c:v>3.4332694957598457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3.4332694957598457</c:v>
                </c:pt>
                <c:pt idx="31">
                  <c:v>3.4332694957598457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3.4332694957598457</c:v>
                </c:pt>
                <c:pt idx="40">
                  <c:v>3.4332694957598457</c:v>
                </c:pt>
                <c:pt idx="41">
                  <c:v>3.4332694957598457</c:v>
                </c:pt>
                <c:pt idx="42">
                  <c:v>3.4332694957598457</c:v>
                </c:pt>
                <c:pt idx="43">
                  <c:v>3.4332694957598457</c:v>
                </c:pt>
                <c:pt idx="44">
                  <c:v>3.4332694957598457</c:v>
                </c:pt>
                <c:pt idx="45">
                  <c:v>3.4332694957598457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3.4332694957598457</c:v>
                </c:pt>
                <c:pt idx="55">
                  <c:v>3.4332694957598457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3.4332694957598457</c:v>
                </c:pt>
                <c:pt idx="64">
                  <c:v>3.4332694957598457</c:v>
                </c:pt>
                <c:pt idx="65">
                  <c:v>3.4332694957598457</c:v>
                </c:pt>
                <c:pt idx="66">
                  <c:v>3.4332694957598457</c:v>
                </c:pt>
                <c:pt idx="67">
                  <c:v>3.4332694957598457</c:v>
                </c:pt>
                <c:pt idx="68">
                  <c:v>3.4332694957598457</c:v>
                </c:pt>
                <c:pt idx="69">
                  <c:v>3.4332694957598457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3.4332694957598457</c:v>
                </c:pt>
                <c:pt idx="79">
                  <c:v>3.4332694957598457</c:v>
                </c:pt>
                <c:pt idx="80">
                  <c:v>3.4332694957598457</c:v>
                </c:pt>
                <c:pt idx="81">
                  <c:v>3.4332694957598457</c:v>
                </c:pt>
                <c:pt idx="82">
                  <c:v>3.4332694957598457</c:v>
                </c:pt>
                <c:pt idx="83">
                  <c:v>3.4332694957598457</c:v>
                </c:pt>
                <c:pt idx="84">
                  <c:v>3.4332694957598457</c:v>
                </c:pt>
                <c:pt idx="85">
                  <c:v>3.4332694957598457</c:v>
                </c:pt>
                <c:pt idx="86">
                  <c:v>3.4332694957598457</c:v>
                </c:pt>
                <c:pt idx="87">
                  <c:v>3.4332694957598457</c:v>
                </c:pt>
                <c:pt idx="88">
                  <c:v>3.4332694957598457</c:v>
                </c:pt>
                <c:pt idx="89">
                  <c:v>3.4332694957598457</c:v>
                </c:pt>
                <c:pt idx="90">
                  <c:v>3.4332694957598457</c:v>
                </c:pt>
                <c:pt idx="91">
                  <c:v>3.4332694957598457</c:v>
                </c:pt>
                <c:pt idx="92">
                  <c:v>3.4332694957598457</c:v>
                </c:pt>
                <c:pt idx="93">
                  <c:v>3.4332694957598457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3.4332694957598457</c:v>
                </c:pt>
                <c:pt idx="103">
                  <c:v>3.4332694957598457</c:v>
                </c:pt>
                <c:pt idx="104">
                  <c:v>3.4332694957598457</c:v>
                </c:pt>
                <c:pt idx="105">
                  <c:v>3.4332694957598457</c:v>
                </c:pt>
                <c:pt idx="106">
                  <c:v>3.4332694957598457</c:v>
                </c:pt>
                <c:pt idx="107">
                  <c:v>3.4332694957598457</c:v>
                </c:pt>
                <c:pt idx="108">
                  <c:v>3.4332694957598457</c:v>
                </c:pt>
                <c:pt idx="109">
                  <c:v>3.4332694957598457</c:v>
                </c:pt>
                <c:pt idx="110">
                  <c:v>3.4332694957598457</c:v>
                </c:pt>
                <c:pt idx="111">
                  <c:v>3.4332694957598457</c:v>
                </c:pt>
                <c:pt idx="112">
                  <c:v>3.4332694957598457</c:v>
                </c:pt>
                <c:pt idx="113">
                  <c:v>3.4332694957598457</c:v>
                </c:pt>
                <c:pt idx="114">
                  <c:v>3.4332694957598457</c:v>
                </c:pt>
                <c:pt idx="115">
                  <c:v>3.4332694957598457</c:v>
                </c:pt>
                <c:pt idx="116">
                  <c:v>3.4332694957598457</c:v>
                </c:pt>
                <c:pt idx="117">
                  <c:v>3.4332694957598457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3.4332694957598457</c:v>
                </c:pt>
                <c:pt idx="127">
                  <c:v>3.4332694957598457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3.4332694957598457</c:v>
                </c:pt>
                <c:pt idx="136">
                  <c:v>3.4332694957598457</c:v>
                </c:pt>
                <c:pt idx="137">
                  <c:v>3.4332694957598457</c:v>
                </c:pt>
                <c:pt idx="138">
                  <c:v>3.4332694957598457</c:v>
                </c:pt>
                <c:pt idx="139">
                  <c:v>3.4332694957598457</c:v>
                </c:pt>
                <c:pt idx="140">
                  <c:v>3.4332694957598457</c:v>
                </c:pt>
                <c:pt idx="141">
                  <c:v>3.4332694957598457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3.4332694957598457</c:v>
                </c:pt>
                <c:pt idx="151">
                  <c:v>3.4332694957598457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3.4332694957598457</c:v>
                </c:pt>
                <c:pt idx="160">
                  <c:v>3.4332694957598457</c:v>
                </c:pt>
                <c:pt idx="161">
                  <c:v>3.4332694957598457</c:v>
                </c:pt>
                <c:pt idx="162">
                  <c:v>3.4332694957598457</c:v>
                </c:pt>
                <c:pt idx="163">
                  <c:v>3.4332694957598457</c:v>
                </c:pt>
                <c:pt idx="164">
                  <c:v>3.4332694957598457</c:v>
                </c:pt>
                <c:pt idx="165">
                  <c:v>3.4332694957598457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03-794C-BAA1-C883D68BD48B}"/>
            </c:ext>
          </c:extLst>
        </c:ser>
        <c:ser>
          <c:idx val="1"/>
          <c:order val="1"/>
          <c:tx>
            <c:strRef>
              <c:f>HomeHeatDemand!$G$2</c:f>
              <c:strCache>
                <c:ptCount val="1"/>
                <c:pt idx="0">
                  <c:v>Spring/Autumn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strRef>
              <c:f>HomeHeatDemand!$C$10:$C$177</c:f>
              <c:strCache>
                <c:ptCount val="168"/>
                <c:pt idx="0">
                  <c:v>Wednesday</c:v>
                </c:pt>
                <c:pt idx="1">
                  <c:v>Wednesday</c:v>
                </c:pt>
                <c:pt idx="2">
                  <c:v>Wednesday</c:v>
                </c:pt>
                <c:pt idx="3">
                  <c:v>Wednesday</c:v>
                </c:pt>
                <c:pt idx="4">
                  <c:v>Wednesday</c:v>
                </c:pt>
                <c:pt idx="5">
                  <c:v>Wednesday</c:v>
                </c:pt>
                <c:pt idx="6">
                  <c:v>Wednesday</c:v>
                </c:pt>
                <c:pt idx="7">
                  <c:v>Wednesday</c:v>
                </c:pt>
                <c:pt idx="8">
                  <c:v>Wednesday</c:v>
                </c:pt>
                <c:pt idx="9">
                  <c:v>Wednesday</c:v>
                </c:pt>
                <c:pt idx="10">
                  <c:v>Wednesday</c:v>
                </c:pt>
                <c:pt idx="11">
                  <c:v>Wednesday</c:v>
                </c:pt>
                <c:pt idx="12">
                  <c:v>Wednesday</c:v>
                </c:pt>
                <c:pt idx="13">
                  <c:v>Wednesday</c:v>
                </c:pt>
                <c:pt idx="14">
                  <c:v>Wednesday</c:v>
                </c:pt>
                <c:pt idx="15">
                  <c:v>Wednesday</c:v>
                </c:pt>
                <c:pt idx="16">
                  <c:v>Wednesday</c:v>
                </c:pt>
                <c:pt idx="17">
                  <c:v>Wednesday</c:v>
                </c:pt>
                <c:pt idx="18">
                  <c:v>Wednesday</c:v>
                </c:pt>
                <c:pt idx="19">
                  <c:v>Wednesday</c:v>
                </c:pt>
                <c:pt idx="20">
                  <c:v>Wednesday</c:v>
                </c:pt>
                <c:pt idx="21">
                  <c:v>Wednesday</c:v>
                </c:pt>
                <c:pt idx="22">
                  <c:v>Wednesday</c:v>
                </c:pt>
                <c:pt idx="23">
                  <c:v>Wednesday</c:v>
                </c:pt>
                <c:pt idx="24">
                  <c:v>Thursday</c:v>
                </c:pt>
                <c:pt idx="25">
                  <c:v>Thursday</c:v>
                </c:pt>
                <c:pt idx="26">
                  <c:v>Thursday</c:v>
                </c:pt>
                <c:pt idx="27">
                  <c:v>Thursday</c:v>
                </c:pt>
                <c:pt idx="28">
                  <c:v>Thursday</c:v>
                </c:pt>
                <c:pt idx="29">
                  <c:v>Thursday</c:v>
                </c:pt>
                <c:pt idx="30">
                  <c:v>Thursday</c:v>
                </c:pt>
                <c:pt idx="31">
                  <c:v>Thursday</c:v>
                </c:pt>
                <c:pt idx="32">
                  <c:v>Thursday</c:v>
                </c:pt>
                <c:pt idx="33">
                  <c:v>Thursday</c:v>
                </c:pt>
                <c:pt idx="34">
                  <c:v>Thursday</c:v>
                </c:pt>
                <c:pt idx="35">
                  <c:v>Thursday</c:v>
                </c:pt>
                <c:pt idx="36">
                  <c:v>Thursday</c:v>
                </c:pt>
                <c:pt idx="37">
                  <c:v>Thursday</c:v>
                </c:pt>
                <c:pt idx="38">
                  <c:v>Thursday</c:v>
                </c:pt>
                <c:pt idx="39">
                  <c:v>Thursday</c:v>
                </c:pt>
                <c:pt idx="40">
                  <c:v>Thursday</c:v>
                </c:pt>
                <c:pt idx="41">
                  <c:v>Thursday</c:v>
                </c:pt>
                <c:pt idx="42">
                  <c:v>Thursday</c:v>
                </c:pt>
                <c:pt idx="43">
                  <c:v>Thursday</c:v>
                </c:pt>
                <c:pt idx="44">
                  <c:v>Thursday</c:v>
                </c:pt>
                <c:pt idx="45">
                  <c:v>Thursday</c:v>
                </c:pt>
                <c:pt idx="46">
                  <c:v>Thursday</c:v>
                </c:pt>
                <c:pt idx="47">
                  <c:v>Thursday</c:v>
                </c:pt>
                <c:pt idx="48">
                  <c:v>Friday</c:v>
                </c:pt>
                <c:pt idx="49">
                  <c:v>Friday</c:v>
                </c:pt>
                <c:pt idx="50">
                  <c:v>Friday</c:v>
                </c:pt>
                <c:pt idx="51">
                  <c:v>Friday</c:v>
                </c:pt>
                <c:pt idx="52">
                  <c:v>Friday</c:v>
                </c:pt>
                <c:pt idx="53">
                  <c:v>Friday</c:v>
                </c:pt>
                <c:pt idx="54">
                  <c:v>Friday</c:v>
                </c:pt>
                <c:pt idx="55">
                  <c:v>Friday</c:v>
                </c:pt>
                <c:pt idx="56">
                  <c:v>Friday</c:v>
                </c:pt>
                <c:pt idx="57">
                  <c:v>Friday</c:v>
                </c:pt>
                <c:pt idx="58">
                  <c:v>Friday</c:v>
                </c:pt>
                <c:pt idx="59">
                  <c:v>Friday</c:v>
                </c:pt>
                <c:pt idx="60">
                  <c:v>Friday</c:v>
                </c:pt>
                <c:pt idx="61">
                  <c:v>Friday</c:v>
                </c:pt>
                <c:pt idx="62">
                  <c:v>Friday</c:v>
                </c:pt>
                <c:pt idx="63">
                  <c:v>Friday</c:v>
                </c:pt>
                <c:pt idx="64">
                  <c:v>Friday</c:v>
                </c:pt>
                <c:pt idx="65">
                  <c:v>Friday</c:v>
                </c:pt>
                <c:pt idx="66">
                  <c:v>Friday</c:v>
                </c:pt>
                <c:pt idx="67">
                  <c:v>Friday</c:v>
                </c:pt>
                <c:pt idx="68">
                  <c:v>Friday</c:v>
                </c:pt>
                <c:pt idx="69">
                  <c:v>Friday</c:v>
                </c:pt>
                <c:pt idx="70">
                  <c:v>Friday</c:v>
                </c:pt>
                <c:pt idx="71">
                  <c:v>Friday</c:v>
                </c:pt>
                <c:pt idx="72">
                  <c:v>Saturday</c:v>
                </c:pt>
                <c:pt idx="73">
                  <c:v>Saturday</c:v>
                </c:pt>
                <c:pt idx="74">
                  <c:v>Saturday</c:v>
                </c:pt>
                <c:pt idx="75">
                  <c:v>Saturday</c:v>
                </c:pt>
                <c:pt idx="76">
                  <c:v>Saturday</c:v>
                </c:pt>
                <c:pt idx="77">
                  <c:v>Saturday</c:v>
                </c:pt>
                <c:pt idx="78">
                  <c:v>Saturday</c:v>
                </c:pt>
                <c:pt idx="79">
                  <c:v>Saturday</c:v>
                </c:pt>
                <c:pt idx="80">
                  <c:v>Saturday</c:v>
                </c:pt>
                <c:pt idx="81">
                  <c:v>Saturday</c:v>
                </c:pt>
                <c:pt idx="82">
                  <c:v>Saturday</c:v>
                </c:pt>
                <c:pt idx="83">
                  <c:v>Saturday</c:v>
                </c:pt>
                <c:pt idx="84">
                  <c:v>Saturday</c:v>
                </c:pt>
                <c:pt idx="85">
                  <c:v>Saturday</c:v>
                </c:pt>
                <c:pt idx="86">
                  <c:v>Saturday</c:v>
                </c:pt>
                <c:pt idx="87">
                  <c:v>Saturday</c:v>
                </c:pt>
                <c:pt idx="88">
                  <c:v>Saturday</c:v>
                </c:pt>
                <c:pt idx="89">
                  <c:v>Saturday</c:v>
                </c:pt>
                <c:pt idx="90">
                  <c:v>Saturday</c:v>
                </c:pt>
                <c:pt idx="91">
                  <c:v>Saturday</c:v>
                </c:pt>
                <c:pt idx="92">
                  <c:v>Saturday</c:v>
                </c:pt>
                <c:pt idx="93">
                  <c:v>Saturday</c:v>
                </c:pt>
                <c:pt idx="94">
                  <c:v>Saturday</c:v>
                </c:pt>
                <c:pt idx="95">
                  <c:v>Saturday</c:v>
                </c:pt>
                <c:pt idx="96">
                  <c:v>Sunday</c:v>
                </c:pt>
                <c:pt idx="97">
                  <c:v>Sunday</c:v>
                </c:pt>
                <c:pt idx="98">
                  <c:v>Sunday</c:v>
                </c:pt>
                <c:pt idx="99">
                  <c:v>Sunday</c:v>
                </c:pt>
                <c:pt idx="100">
                  <c:v>Sunday</c:v>
                </c:pt>
                <c:pt idx="101">
                  <c:v>Sunday</c:v>
                </c:pt>
                <c:pt idx="102">
                  <c:v>Sunday</c:v>
                </c:pt>
                <c:pt idx="103">
                  <c:v>Sunday</c:v>
                </c:pt>
                <c:pt idx="104">
                  <c:v>Sunday</c:v>
                </c:pt>
                <c:pt idx="105">
                  <c:v>Sunday</c:v>
                </c:pt>
                <c:pt idx="106">
                  <c:v>Sunday</c:v>
                </c:pt>
                <c:pt idx="107">
                  <c:v>Sunday</c:v>
                </c:pt>
                <c:pt idx="108">
                  <c:v>Sunday</c:v>
                </c:pt>
                <c:pt idx="109">
                  <c:v>Sunday</c:v>
                </c:pt>
                <c:pt idx="110">
                  <c:v>Sunday</c:v>
                </c:pt>
                <c:pt idx="111">
                  <c:v>Sunday</c:v>
                </c:pt>
                <c:pt idx="112">
                  <c:v>Sunday</c:v>
                </c:pt>
                <c:pt idx="113">
                  <c:v>Sunday</c:v>
                </c:pt>
                <c:pt idx="114">
                  <c:v>Sunday</c:v>
                </c:pt>
                <c:pt idx="115">
                  <c:v>Sunday</c:v>
                </c:pt>
                <c:pt idx="116">
                  <c:v>Sunday</c:v>
                </c:pt>
                <c:pt idx="117">
                  <c:v>Sunday</c:v>
                </c:pt>
                <c:pt idx="118">
                  <c:v>Sunday</c:v>
                </c:pt>
                <c:pt idx="119">
                  <c:v>Sunday</c:v>
                </c:pt>
                <c:pt idx="120">
                  <c:v>Monday</c:v>
                </c:pt>
                <c:pt idx="121">
                  <c:v>Monday</c:v>
                </c:pt>
                <c:pt idx="122">
                  <c:v>Monday</c:v>
                </c:pt>
                <c:pt idx="123">
                  <c:v>Monday</c:v>
                </c:pt>
                <c:pt idx="124">
                  <c:v>Monday</c:v>
                </c:pt>
                <c:pt idx="125">
                  <c:v>Monday</c:v>
                </c:pt>
                <c:pt idx="126">
                  <c:v>Monday</c:v>
                </c:pt>
                <c:pt idx="127">
                  <c:v>Monday</c:v>
                </c:pt>
                <c:pt idx="128">
                  <c:v>Monday</c:v>
                </c:pt>
                <c:pt idx="129">
                  <c:v>Monday</c:v>
                </c:pt>
                <c:pt idx="130">
                  <c:v>Monday</c:v>
                </c:pt>
                <c:pt idx="131">
                  <c:v>Monday</c:v>
                </c:pt>
                <c:pt idx="132">
                  <c:v>Monday</c:v>
                </c:pt>
                <c:pt idx="133">
                  <c:v>Monday</c:v>
                </c:pt>
                <c:pt idx="134">
                  <c:v>Monday</c:v>
                </c:pt>
                <c:pt idx="135">
                  <c:v>Monday</c:v>
                </c:pt>
                <c:pt idx="136">
                  <c:v>Monday</c:v>
                </c:pt>
                <c:pt idx="137">
                  <c:v>Monday</c:v>
                </c:pt>
                <c:pt idx="138">
                  <c:v>Monday</c:v>
                </c:pt>
                <c:pt idx="139">
                  <c:v>Monday</c:v>
                </c:pt>
                <c:pt idx="140">
                  <c:v>Monday</c:v>
                </c:pt>
                <c:pt idx="141">
                  <c:v>Monday</c:v>
                </c:pt>
                <c:pt idx="142">
                  <c:v>Monday</c:v>
                </c:pt>
                <c:pt idx="143">
                  <c:v>Monday</c:v>
                </c:pt>
                <c:pt idx="144">
                  <c:v>Tueday</c:v>
                </c:pt>
                <c:pt idx="145">
                  <c:v>Tueday</c:v>
                </c:pt>
                <c:pt idx="146">
                  <c:v>Tueday</c:v>
                </c:pt>
                <c:pt idx="147">
                  <c:v>Tueday</c:v>
                </c:pt>
                <c:pt idx="148">
                  <c:v>Tueday</c:v>
                </c:pt>
                <c:pt idx="149">
                  <c:v>Tueday</c:v>
                </c:pt>
                <c:pt idx="150">
                  <c:v>Tueday</c:v>
                </c:pt>
                <c:pt idx="151">
                  <c:v>Tueday</c:v>
                </c:pt>
                <c:pt idx="152">
                  <c:v>Tueday</c:v>
                </c:pt>
                <c:pt idx="153">
                  <c:v>Tueday</c:v>
                </c:pt>
                <c:pt idx="154">
                  <c:v>Tueday</c:v>
                </c:pt>
                <c:pt idx="155">
                  <c:v>Tueday</c:v>
                </c:pt>
                <c:pt idx="156">
                  <c:v>Tueday</c:v>
                </c:pt>
                <c:pt idx="157">
                  <c:v>Tueday</c:v>
                </c:pt>
                <c:pt idx="158">
                  <c:v>Tueday</c:v>
                </c:pt>
                <c:pt idx="159">
                  <c:v>Tueday</c:v>
                </c:pt>
                <c:pt idx="160">
                  <c:v>Tueday</c:v>
                </c:pt>
                <c:pt idx="161">
                  <c:v>Tueday</c:v>
                </c:pt>
                <c:pt idx="162">
                  <c:v>Tueday</c:v>
                </c:pt>
                <c:pt idx="163">
                  <c:v>Tueday</c:v>
                </c:pt>
                <c:pt idx="164">
                  <c:v>Tueday</c:v>
                </c:pt>
                <c:pt idx="165">
                  <c:v>Tueday</c:v>
                </c:pt>
                <c:pt idx="166">
                  <c:v>Tueday</c:v>
                </c:pt>
                <c:pt idx="167">
                  <c:v>Tueday</c:v>
                </c:pt>
              </c:strCache>
            </c:strRef>
          </c:cat>
          <c:val>
            <c:numRef>
              <c:f>HomeHeatDemand!$G$10:$G$177</c:f>
              <c:numCache>
                <c:formatCode>0.0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1.8717327794185254</c:v>
                </c:pt>
                <c:pt idx="7">
                  <c:v>1.8717327794185254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1.8717327794185254</c:v>
                </c:pt>
                <c:pt idx="16">
                  <c:v>1.8717327794185254</c:v>
                </c:pt>
                <c:pt idx="17">
                  <c:v>1.8717327794185254</c:v>
                </c:pt>
                <c:pt idx="18">
                  <c:v>1.8717327794185254</c:v>
                </c:pt>
                <c:pt idx="19">
                  <c:v>1.8717327794185254</c:v>
                </c:pt>
                <c:pt idx="20">
                  <c:v>1.8717327794185254</c:v>
                </c:pt>
                <c:pt idx="21">
                  <c:v>1.8717327794185254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1.8717327794185254</c:v>
                </c:pt>
                <c:pt idx="31">
                  <c:v>1.8717327794185254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1.8717327794185254</c:v>
                </c:pt>
                <c:pt idx="40">
                  <c:v>1.8717327794185254</c:v>
                </c:pt>
                <c:pt idx="41">
                  <c:v>1.8717327794185254</c:v>
                </c:pt>
                <c:pt idx="42">
                  <c:v>1.8717327794185254</c:v>
                </c:pt>
                <c:pt idx="43">
                  <c:v>1.8717327794185254</c:v>
                </c:pt>
                <c:pt idx="44">
                  <c:v>1.8717327794185254</c:v>
                </c:pt>
                <c:pt idx="45">
                  <c:v>1.8717327794185254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1.8717327794185254</c:v>
                </c:pt>
                <c:pt idx="55">
                  <c:v>1.8717327794185254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1.8717327794185254</c:v>
                </c:pt>
                <c:pt idx="64">
                  <c:v>1.8717327794185254</c:v>
                </c:pt>
                <c:pt idx="65">
                  <c:v>1.8717327794185254</c:v>
                </c:pt>
                <c:pt idx="66">
                  <c:v>1.8717327794185254</c:v>
                </c:pt>
                <c:pt idx="67">
                  <c:v>1.8717327794185254</c:v>
                </c:pt>
                <c:pt idx="68">
                  <c:v>1.8717327794185254</c:v>
                </c:pt>
                <c:pt idx="69">
                  <c:v>1.8717327794185254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1.8717327794185254</c:v>
                </c:pt>
                <c:pt idx="79">
                  <c:v>1.8717327794185254</c:v>
                </c:pt>
                <c:pt idx="80">
                  <c:v>1.8717327794185254</c:v>
                </c:pt>
                <c:pt idx="81">
                  <c:v>1.8717327794185254</c:v>
                </c:pt>
                <c:pt idx="82">
                  <c:v>1.8717327794185254</c:v>
                </c:pt>
                <c:pt idx="83">
                  <c:v>1.8717327794185254</c:v>
                </c:pt>
                <c:pt idx="84">
                  <c:v>1.8717327794185254</c:v>
                </c:pt>
                <c:pt idx="85">
                  <c:v>1.8717327794185254</c:v>
                </c:pt>
                <c:pt idx="86">
                  <c:v>1.8717327794185254</c:v>
                </c:pt>
                <c:pt idx="87">
                  <c:v>1.8717327794185254</c:v>
                </c:pt>
                <c:pt idx="88">
                  <c:v>1.8717327794185254</c:v>
                </c:pt>
                <c:pt idx="89">
                  <c:v>1.8717327794185254</c:v>
                </c:pt>
                <c:pt idx="90">
                  <c:v>1.8717327794185254</c:v>
                </c:pt>
                <c:pt idx="91">
                  <c:v>1.8717327794185254</c:v>
                </c:pt>
                <c:pt idx="92">
                  <c:v>1.8717327794185254</c:v>
                </c:pt>
                <c:pt idx="93">
                  <c:v>1.8717327794185254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1.8717327794185254</c:v>
                </c:pt>
                <c:pt idx="103">
                  <c:v>1.8717327794185254</c:v>
                </c:pt>
                <c:pt idx="104">
                  <c:v>1.8717327794185254</c:v>
                </c:pt>
                <c:pt idx="105">
                  <c:v>1.8717327794185254</c:v>
                </c:pt>
                <c:pt idx="106">
                  <c:v>1.8717327794185254</c:v>
                </c:pt>
                <c:pt idx="107">
                  <c:v>1.8717327794185254</c:v>
                </c:pt>
                <c:pt idx="108">
                  <c:v>1.8717327794185254</c:v>
                </c:pt>
                <c:pt idx="109">
                  <c:v>1.8717327794185254</c:v>
                </c:pt>
                <c:pt idx="110">
                  <c:v>1.8717327794185254</c:v>
                </c:pt>
                <c:pt idx="111">
                  <c:v>1.8717327794185254</c:v>
                </c:pt>
                <c:pt idx="112">
                  <c:v>1.8717327794185254</c:v>
                </c:pt>
                <c:pt idx="113">
                  <c:v>1.8717327794185254</c:v>
                </c:pt>
                <c:pt idx="114">
                  <c:v>1.8717327794185254</c:v>
                </c:pt>
                <c:pt idx="115">
                  <c:v>1.8717327794185254</c:v>
                </c:pt>
                <c:pt idx="116">
                  <c:v>1.8717327794185254</c:v>
                </c:pt>
                <c:pt idx="117">
                  <c:v>1.8717327794185254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1.8717327794185254</c:v>
                </c:pt>
                <c:pt idx="127">
                  <c:v>1.8717327794185254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1.8717327794185254</c:v>
                </c:pt>
                <c:pt idx="136">
                  <c:v>1.8717327794185254</c:v>
                </c:pt>
                <c:pt idx="137">
                  <c:v>1.8717327794185254</c:v>
                </c:pt>
                <c:pt idx="138">
                  <c:v>1.8717327794185254</c:v>
                </c:pt>
                <c:pt idx="139">
                  <c:v>1.8717327794185254</c:v>
                </c:pt>
                <c:pt idx="140">
                  <c:v>1.8717327794185254</c:v>
                </c:pt>
                <c:pt idx="141">
                  <c:v>1.8717327794185254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1.8717327794185254</c:v>
                </c:pt>
                <c:pt idx="151">
                  <c:v>1.8717327794185254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1.8717327794185254</c:v>
                </c:pt>
                <c:pt idx="160">
                  <c:v>1.8717327794185254</c:v>
                </c:pt>
                <c:pt idx="161">
                  <c:v>1.8717327794185254</c:v>
                </c:pt>
                <c:pt idx="162">
                  <c:v>1.8717327794185254</c:v>
                </c:pt>
                <c:pt idx="163">
                  <c:v>1.8717327794185254</c:v>
                </c:pt>
                <c:pt idx="164">
                  <c:v>1.8717327794185254</c:v>
                </c:pt>
                <c:pt idx="165">
                  <c:v>1.8717327794185254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03-794C-BAA1-C883D68BD48B}"/>
            </c:ext>
          </c:extLst>
        </c:ser>
        <c:ser>
          <c:idx val="2"/>
          <c:order val="2"/>
          <c:tx>
            <c:strRef>
              <c:f>HomeHeatDemand!$H$2</c:f>
              <c:strCache>
                <c:ptCount val="1"/>
                <c:pt idx="0">
                  <c:v>Summer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cat>
            <c:strRef>
              <c:f>HomeHeatDemand!$C$10:$C$177</c:f>
              <c:strCache>
                <c:ptCount val="168"/>
                <c:pt idx="0">
                  <c:v>Wednesday</c:v>
                </c:pt>
                <c:pt idx="1">
                  <c:v>Wednesday</c:v>
                </c:pt>
                <c:pt idx="2">
                  <c:v>Wednesday</c:v>
                </c:pt>
                <c:pt idx="3">
                  <c:v>Wednesday</c:v>
                </c:pt>
                <c:pt idx="4">
                  <c:v>Wednesday</c:v>
                </c:pt>
                <c:pt idx="5">
                  <c:v>Wednesday</c:v>
                </c:pt>
                <c:pt idx="6">
                  <c:v>Wednesday</c:v>
                </c:pt>
                <c:pt idx="7">
                  <c:v>Wednesday</c:v>
                </c:pt>
                <c:pt idx="8">
                  <c:v>Wednesday</c:v>
                </c:pt>
                <c:pt idx="9">
                  <c:v>Wednesday</c:v>
                </c:pt>
                <c:pt idx="10">
                  <c:v>Wednesday</c:v>
                </c:pt>
                <c:pt idx="11">
                  <c:v>Wednesday</c:v>
                </c:pt>
                <c:pt idx="12">
                  <c:v>Wednesday</c:v>
                </c:pt>
                <c:pt idx="13">
                  <c:v>Wednesday</c:v>
                </c:pt>
                <c:pt idx="14">
                  <c:v>Wednesday</c:v>
                </c:pt>
                <c:pt idx="15">
                  <c:v>Wednesday</c:v>
                </c:pt>
                <c:pt idx="16">
                  <c:v>Wednesday</c:v>
                </c:pt>
                <c:pt idx="17">
                  <c:v>Wednesday</c:v>
                </c:pt>
                <c:pt idx="18">
                  <c:v>Wednesday</c:v>
                </c:pt>
                <c:pt idx="19">
                  <c:v>Wednesday</c:v>
                </c:pt>
                <c:pt idx="20">
                  <c:v>Wednesday</c:v>
                </c:pt>
                <c:pt idx="21">
                  <c:v>Wednesday</c:v>
                </c:pt>
                <c:pt idx="22">
                  <c:v>Wednesday</c:v>
                </c:pt>
                <c:pt idx="23">
                  <c:v>Wednesday</c:v>
                </c:pt>
                <c:pt idx="24">
                  <c:v>Thursday</c:v>
                </c:pt>
                <c:pt idx="25">
                  <c:v>Thursday</c:v>
                </c:pt>
                <c:pt idx="26">
                  <c:v>Thursday</c:v>
                </c:pt>
                <c:pt idx="27">
                  <c:v>Thursday</c:v>
                </c:pt>
                <c:pt idx="28">
                  <c:v>Thursday</c:v>
                </c:pt>
                <c:pt idx="29">
                  <c:v>Thursday</c:v>
                </c:pt>
                <c:pt idx="30">
                  <c:v>Thursday</c:v>
                </c:pt>
                <c:pt idx="31">
                  <c:v>Thursday</c:v>
                </c:pt>
                <c:pt idx="32">
                  <c:v>Thursday</c:v>
                </c:pt>
                <c:pt idx="33">
                  <c:v>Thursday</c:v>
                </c:pt>
                <c:pt idx="34">
                  <c:v>Thursday</c:v>
                </c:pt>
                <c:pt idx="35">
                  <c:v>Thursday</c:v>
                </c:pt>
                <c:pt idx="36">
                  <c:v>Thursday</c:v>
                </c:pt>
                <c:pt idx="37">
                  <c:v>Thursday</c:v>
                </c:pt>
                <c:pt idx="38">
                  <c:v>Thursday</c:v>
                </c:pt>
                <c:pt idx="39">
                  <c:v>Thursday</c:v>
                </c:pt>
                <c:pt idx="40">
                  <c:v>Thursday</c:v>
                </c:pt>
                <c:pt idx="41">
                  <c:v>Thursday</c:v>
                </c:pt>
                <c:pt idx="42">
                  <c:v>Thursday</c:v>
                </c:pt>
                <c:pt idx="43">
                  <c:v>Thursday</c:v>
                </c:pt>
                <c:pt idx="44">
                  <c:v>Thursday</c:v>
                </c:pt>
                <c:pt idx="45">
                  <c:v>Thursday</c:v>
                </c:pt>
                <c:pt idx="46">
                  <c:v>Thursday</c:v>
                </c:pt>
                <c:pt idx="47">
                  <c:v>Thursday</c:v>
                </c:pt>
                <c:pt idx="48">
                  <c:v>Friday</c:v>
                </c:pt>
                <c:pt idx="49">
                  <c:v>Friday</c:v>
                </c:pt>
                <c:pt idx="50">
                  <c:v>Friday</c:v>
                </c:pt>
                <c:pt idx="51">
                  <c:v>Friday</c:v>
                </c:pt>
                <c:pt idx="52">
                  <c:v>Friday</c:v>
                </c:pt>
                <c:pt idx="53">
                  <c:v>Friday</c:v>
                </c:pt>
                <c:pt idx="54">
                  <c:v>Friday</c:v>
                </c:pt>
                <c:pt idx="55">
                  <c:v>Friday</c:v>
                </c:pt>
                <c:pt idx="56">
                  <c:v>Friday</c:v>
                </c:pt>
                <c:pt idx="57">
                  <c:v>Friday</c:v>
                </c:pt>
                <c:pt idx="58">
                  <c:v>Friday</c:v>
                </c:pt>
                <c:pt idx="59">
                  <c:v>Friday</c:v>
                </c:pt>
                <c:pt idx="60">
                  <c:v>Friday</c:v>
                </c:pt>
                <c:pt idx="61">
                  <c:v>Friday</c:v>
                </c:pt>
                <c:pt idx="62">
                  <c:v>Friday</c:v>
                </c:pt>
                <c:pt idx="63">
                  <c:v>Friday</c:v>
                </c:pt>
                <c:pt idx="64">
                  <c:v>Friday</c:v>
                </c:pt>
                <c:pt idx="65">
                  <c:v>Friday</c:v>
                </c:pt>
                <c:pt idx="66">
                  <c:v>Friday</c:v>
                </c:pt>
                <c:pt idx="67">
                  <c:v>Friday</c:v>
                </c:pt>
                <c:pt idx="68">
                  <c:v>Friday</c:v>
                </c:pt>
                <c:pt idx="69">
                  <c:v>Friday</c:v>
                </c:pt>
                <c:pt idx="70">
                  <c:v>Friday</c:v>
                </c:pt>
                <c:pt idx="71">
                  <c:v>Friday</c:v>
                </c:pt>
                <c:pt idx="72">
                  <c:v>Saturday</c:v>
                </c:pt>
                <c:pt idx="73">
                  <c:v>Saturday</c:v>
                </c:pt>
                <c:pt idx="74">
                  <c:v>Saturday</c:v>
                </c:pt>
                <c:pt idx="75">
                  <c:v>Saturday</c:v>
                </c:pt>
                <c:pt idx="76">
                  <c:v>Saturday</c:v>
                </c:pt>
                <c:pt idx="77">
                  <c:v>Saturday</c:v>
                </c:pt>
                <c:pt idx="78">
                  <c:v>Saturday</c:v>
                </c:pt>
                <c:pt idx="79">
                  <c:v>Saturday</c:v>
                </c:pt>
                <c:pt idx="80">
                  <c:v>Saturday</c:v>
                </c:pt>
                <c:pt idx="81">
                  <c:v>Saturday</c:v>
                </c:pt>
                <c:pt idx="82">
                  <c:v>Saturday</c:v>
                </c:pt>
                <c:pt idx="83">
                  <c:v>Saturday</c:v>
                </c:pt>
                <c:pt idx="84">
                  <c:v>Saturday</c:v>
                </c:pt>
                <c:pt idx="85">
                  <c:v>Saturday</c:v>
                </c:pt>
                <c:pt idx="86">
                  <c:v>Saturday</c:v>
                </c:pt>
                <c:pt idx="87">
                  <c:v>Saturday</c:v>
                </c:pt>
                <c:pt idx="88">
                  <c:v>Saturday</c:v>
                </c:pt>
                <c:pt idx="89">
                  <c:v>Saturday</c:v>
                </c:pt>
                <c:pt idx="90">
                  <c:v>Saturday</c:v>
                </c:pt>
                <c:pt idx="91">
                  <c:v>Saturday</c:v>
                </c:pt>
                <c:pt idx="92">
                  <c:v>Saturday</c:v>
                </c:pt>
                <c:pt idx="93">
                  <c:v>Saturday</c:v>
                </c:pt>
                <c:pt idx="94">
                  <c:v>Saturday</c:v>
                </c:pt>
                <c:pt idx="95">
                  <c:v>Saturday</c:v>
                </c:pt>
                <c:pt idx="96">
                  <c:v>Sunday</c:v>
                </c:pt>
                <c:pt idx="97">
                  <c:v>Sunday</c:v>
                </c:pt>
                <c:pt idx="98">
                  <c:v>Sunday</c:v>
                </c:pt>
                <c:pt idx="99">
                  <c:v>Sunday</c:v>
                </c:pt>
                <c:pt idx="100">
                  <c:v>Sunday</c:v>
                </c:pt>
                <c:pt idx="101">
                  <c:v>Sunday</c:v>
                </c:pt>
                <c:pt idx="102">
                  <c:v>Sunday</c:v>
                </c:pt>
                <c:pt idx="103">
                  <c:v>Sunday</c:v>
                </c:pt>
                <c:pt idx="104">
                  <c:v>Sunday</c:v>
                </c:pt>
                <c:pt idx="105">
                  <c:v>Sunday</c:v>
                </c:pt>
                <c:pt idx="106">
                  <c:v>Sunday</c:v>
                </c:pt>
                <c:pt idx="107">
                  <c:v>Sunday</c:v>
                </c:pt>
                <c:pt idx="108">
                  <c:v>Sunday</c:v>
                </c:pt>
                <c:pt idx="109">
                  <c:v>Sunday</c:v>
                </c:pt>
                <c:pt idx="110">
                  <c:v>Sunday</c:v>
                </c:pt>
                <c:pt idx="111">
                  <c:v>Sunday</c:v>
                </c:pt>
                <c:pt idx="112">
                  <c:v>Sunday</c:v>
                </c:pt>
                <c:pt idx="113">
                  <c:v>Sunday</c:v>
                </c:pt>
                <c:pt idx="114">
                  <c:v>Sunday</c:v>
                </c:pt>
                <c:pt idx="115">
                  <c:v>Sunday</c:v>
                </c:pt>
                <c:pt idx="116">
                  <c:v>Sunday</c:v>
                </c:pt>
                <c:pt idx="117">
                  <c:v>Sunday</c:v>
                </c:pt>
                <c:pt idx="118">
                  <c:v>Sunday</c:v>
                </c:pt>
                <c:pt idx="119">
                  <c:v>Sunday</c:v>
                </c:pt>
                <c:pt idx="120">
                  <c:v>Monday</c:v>
                </c:pt>
                <c:pt idx="121">
                  <c:v>Monday</c:v>
                </c:pt>
                <c:pt idx="122">
                  <c:v>Monday</c:v>
                </c:pt>
                <c:pt idx="123">
                  <c:v>Monday</c:v>
                </c:pt>
                <c:pt idx="124">
                  <c:v>Monday</c:v>
                </c:pt>
                <c:pt idx="125">
                  <c:v>Monday</c:v>
                </c:pt>
                <c:pt idx="126">
                  <c:v>Monday</c:v>
                </c:pt>
                <c:pt idx="127">
                  <c:v>Monday</c:v>
                </c:pt>
                <c:pt idx="128">
                  <c:v>Monday</c:v>
                </c:pt>
                <c:pt idx="129">
                  <c:v>Monday</c:v>
                </c:pt>
                <c:pt idx="130">
                  <c:v>Monday</c:v>
                </c:pt>
                <c:pt idx="131">
                  <c:v>Monday</c:v>
                </c:pt>
                <c:pt idx="132">
                  <c:v>Monday</c:v>
                </c:pt>
                <c:pt idx="133">
                  <c:v>Monday</c:v>
                </c:pt>
                <c:pt idx="134">
                  <c:v>Monday</c:v>
                </c:pt>
                <c:pt idx="135">
                  <c:v>Monday</c:v>
                </c:pt>
                <c:pt idx="136">
                  <c:v>Monday</c:v>
                </c:pt>
                <c:pt idx="137">
                  <c:v>Monday</c:v>
                </c:pt>
                <c:pt idx="138">
                  <c:v>Monday</c:v>
                </c:pt>
                <c:pt idx="139">
                  <c:v>Monday</c:v>
                </c:pt>
                <c:pt idx="140">
                  <c:v>Monday</c:v>
                </c:pt>
                <c:pt idx="141">
                  <c:v>Monday</c:v>
                </c:pt>
                <c:pt idx="142">
                  <c:v>Monday</c:v>
                </c:pt>
                <c:pt idx="143">
                  <c:v>Monday</c:v>
                </c:pt>
                <c:pt idx="144">
                  <c:v>Tueday</c:v>
                </c:pt>
                <c:pt idx="145">
                  <c:v>Tueday</c:v>
                </c:pt>
                <c:pt idx="146">
                  <c:v>Tueday</c:v>
                </c:pt>
                <c:pt idx="147">
                  <c:v>Tueday</c:v>
                </c:pt>
                <c:pt idx="148">
                  <c:v>Tueday</c:v>
                </c:pt>
                <c:pt idx="149">
                  <c:v>Tueday</c:v>
                </c:pt>
                <c:pt idx="150">
                  <c:v>Tueday</c:v>
                </c:pt>
                <c:pt idx="151">
                  <c:v>Tueday</c:v>
                </c:pt>
                <c:pt idx="152">
                  <c:v>Tueday</c:v>
                </c:pt>
                <c:pt idx="153">
                  <c:v>Tueday</c:v>
                </c:pt>
                <c:pt idx="154">
                  <c:v>Tueday</c:v>
                </c:pt>
                <c:pt idx="155">
                  <c:v>Tueday</c:v>
                </c:pt>
                <c:pt idx="156">
                  <c:v>Tueday</c:v>
                </c:pt>
                <c:pt idx="157">
                  <c:v>Tueday</c:v>
                </c:pt>
                <c:pt idx="158">
                  <c:v>Tueday</c:v>
                </c:pt>
                <c:pt idx="159">
                  <c:v>Tueday</c:v>
                </c:pt>
                <c:pt idx="160">
                  <c:v>Tueday</c:v>
                </c:pt>
                <c:pt idx="161">
                  <c:v>Tueday</c:v>
                </c:pt>
                <c:pt idx="162">
                  <c:v>Tueday</c:v>
                </c:pt>
                <c:pt idx="163">
                  <c:v>Tueday</c:v>
                </c:pt>
                <c:pt idx="164">
                  <c:v>Tueday</c:v>
                </c:pt>
                <c:pt idx="165">
                  <c:v>Tueday</c:v>
                </c:pt>
                <c:pt idx="166">
                  <c:v>Tueday</c:v>
                </c:pt>
                <c:pt idx="167">
                  <c:v>Tueday</c:v>
                </c:pt>
              </c:strCache>
            </c:strRef>
          </c:cat>
          <c:val>
            <c:numRef>
              <c:f>HomeHeatDemand!$H$10:$H$177</c:f>
              <c:numCache>
                <c:formatCode>0.0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0.32981104388639787</c:v>
                </c:pt>
                <c:pt idx="7">
                  <c:v>0.32981104388639787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0.32981104388639787</c:v>
                </c:pt>
                <c:pt idx="16">
                  <c:v>0.32981104388639787</c:v>
                </c:pt>
                <c:pt idx="17">
                  <c:v>0.32981104388639787</c:v>
                </c:pt>
                <c:pt idx="18">
                  <c:v>0.32981104388639787</c:v>
                </c:pt>
                <c:pt idx="19">
                  <c:v>0.32981104388639787</c:v>
                </c:pt>
                <c:pt idx="20">
                  <c:v>0.32981104388639787</c:v>
                </c:pt>
                <c:pt idx="21">
                  <c:v>0.32981104388639787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0.32981104388639787</c:v>
                </c:pt>
                <c:pt idx="31">
                  <c:v>0.32981104388639787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0.32981104388639787</c:v>
                </c:pt>
                <c:pt idx="40">
                  <c:v>0.32981104388639787</c:v>
                </c:pt>
                <c:pt idx="41">
                  <c:v>0.32981104388639787</c:v>
                </c:pt>
                <c:pt idx="42">
                  <c:v>0.32981104388639787</c:v>
                </c:pt>
                <c:pt idx="43">
                  <c:v>0.32981104388639787</c:v>
                </c:pt>
                <c:pt idx="44">
                  <c:v>0.32981104388639787</c:v>
                </c:pt>
                <c:pt idx="45">
                  <c:v>0.32981104388639787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0.32981104388639787</c:v>
                </c:pt>
                <c:pt idx="55">
                  <c:v>0.32981104388639787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0.32981104388639787</c:v>
                </c:pt>
                <c:pt idx="64">
                  <c:v>0.32981104388639787</c:v>
                </c:pt>
                <c:pt idx="65">
                  <c:v>0.32981104388639787</c:v>
                </c:pt>
                <c:pt idx="66">
                  <c:v>0.32981104388639787</c:v>
                </c:pt>
                <c:pt idx="67">
                  <c:v>0.32981104388639787</c:v>
                </c:pt>
                <c:pt idx="68">
                  <c:v>0.32981104388639787</c:v>
                </c:pt>
                <c:pt idx="69">
                  <c:v>0.32981104388639787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0.32981104388639787</c:v>
                </c:pt>
                <c:pt idx="79">
                  <c:v>0.32981104388639787</c:v>
                </c:pt>
                <c:pt idx="80">
                  <c:v>0.32981104388639787</c:v>
                </c:pt>
                <c:pt idx="81">
                  <c:v>0.32981104388639787</c:v>
                </c:pt>
                <c:pt idx="82">
                  <c:v>0.32981104388639787</c:v>
                </c:pt>
                <c:pt idx="83">
                  <c:v>0.32981104388639787</c:v>
                </c:pt>
                <c:pt idx="84">
                  <c:v>0.32981104388639787</c:v>
                </c:pt>
                <c:pt idx="85">
                  <c:v>0.32981104388639787</c:v>
                </c:pt>
                <c:pt idx="86">
                  <c:v>0.32981104388639787</c:v>
                </c:pt>
                <c:pt idx="87">
                  <c:v>0.32981104388639787</c:v>
                </c:pt>
                <c:pt idx="88">
                  <c:v>0.32981104388639787</c:v>
                </c:pt>
                <c:pt idx="89">
                  <c:v>0.32981104388639787</c:v>
                </c:pt>
                <c:pt idx="90">
                  <c:v>0.32981104388639787</c:v>
                </c:pt>
                <c:pt idx="91">
                  <c:v>0.32981104388639787</c:v>
                </c:pt>
                <c:pt idx="92">
                  <c:v>0.32981104388639787</c:v>
                </c:pt>
                <c:pt idx="93">
                  <c:v>0.32981104388639787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0.32981104388639787</c:v>
                </c:pt>
                <c:pt idx="103">
                  <c:v>0.32981104388639787</c:v>
                </c:pt>
                <c:pt idx="104">
                  <c:v>0.32981104388639787</c:v>
                </c:pt>
                <c:pt idx="105">
                  <c:v>0.32981104388639787</c:v>
                </c:pt>
                <c:pt idx="106">
                  <c:v>0.32981104388639787</c:v>
                </c:pt>
                <c:pt idx="107">
                  <c:v>0.32981104388639787</c:v>
                </c:pt>
                <c:pt idx="108">
                  <c:v>0.32981104388639787</c:v>
                </c:pt>
                <c:pt idx="109">
                  <c:v>0.32981104388639787</c:v>
                </c:pt>
                <c:pt idx="110">
                  <c:v>0.32981104388639787</c:v>
                </c:pt>
                <c:pt idx="111">
                  <c:v>0.32981104388639787</c:v>
                </c:pt>
                <c:pt idx="112">
                  <c:v>0.32981104388639787</c:v>
                </c:pt>
                <c:pt idx="113">
                  <c:v>0.32981104388639787</c:v>
                </c:pt>
                <c:pt idx="114">
                  <c:v>0.32981104388639787</c:v>
                </c:pt>
                <c:pt idx="115">
                  <c:v>0.32981104388639787</c:v>
                </c:pt>
                <c:pt idx="116">
                  <c:v>0.32981104388639787</c:v>
                </c:pt>
                <c:pt idx="117">
                  <c:v>0.32981104388639787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0.32981104388639787</c:v>
                </c:pt>
                <c:pt idx="127">
                  <c:v>0.32981104388639787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0.32981104388639787</c:v>
                </c:pt>
                <c:pt idx="136">
                  <c:v>0.32981104388639787</c:v>
                </c:pt>
                <c:pt idx="137">
                  <c:v>0.32981104388639787</c:v>
                </c:pt>
                <c:pt idx="138">
                  <c:v>0.32981104388639787</c:v>
                </c:pt>
                <c:pt idx="139">
                  <c:v>0.32981104388639787</c:v>
                </c:pt>
                <c:pt idx="140">
                  <c:v>0.32981104388639787</c:v>
                </c:pt>
                <c:pt idx="141">
                  <c:v>0.32981104388639787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0.32981104388639787</c:v>
                </c:pt>
                <c:pt idx="151">
                  <c:v>0.32981104388639787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0.32981104388639787</c:v>
                </c:pt>
                <c:pt idx="160">
                  <c:v>0.32981104388639787</c:v>
                </c:pt>
                <c:pt idx="161">
                  <c:v>0.32981104388639787</c:v>
                </c:pt>
                <c:pt idx="162">
                  <c:v>0.32981104388639787</c:v>
                </c:pt>
                <c:pt idx="163">
                  <c:v>0.32981104388639787</c:v>
                </c:pt>
                <c:pt idx="164">
                  <c:v>0.32981104388639787</c:v>
                </c:pt>
                <c:pt idx="165">
                  <c:v>0.32981104388639787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03-794C-BAA1-C883D68BD4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196256"/>
        <c:axId val="248361264"/>
        <c:axId val="150124352"/>
      </c:line3DChart>
      <c:catAx>
        <c:axId val="145196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361264"/>
        <c:crosses val="autoZero"/>
        <c:auto val="1"/>
        <c:lblAlgn val="ctr"/>
        <c:lblOffset val="100"/>
        <c:noMultiLvlLbl val="0"/>
      </c:catAx>
      <c:valAx>
        <c:axId val="24836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96256"/>
        <c:crosses val="autoZero"/>
        <c:crossBetween val="between"/>
      </c:valAx>
      <c:serAx>
        <c:axId val="150124352"/>
        <c:scaling>
          <c:orientation val="minMax"/>
        </c:scaling>
        <c:delete val="1"/>
        <c:axPos val="b"/>
        <c:majorTickMark val="out"/>
        <c:minorTickMark val="none"/>
        <c:tickLblPos val="nextTo"/>
        <c:crossAx val="248361264"/>
        <c:crosses val="autoZero"/>
      </c:ser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8105406370639955"/>
          <c:y val="0.86396330497075591"/>
          <c:w val="0.36028208137049822"/>
          <c:h val="0.124520380249973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'No Homes Calcs for Report'!$H$5</c:f>
              <c:strCache>
                <c:ptCount val="1"/>
                <c:pt idx="0">
                  <c:v>Qh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'No Homes Calcs for Report'!$G$7:$G$14</c:f>
              <c:numCache>
                <c:formatCode>General</c:formatCode>
                <c:ptCount val="8"/>
                <c:pt idx="0">
                  <c:v>2400</c:v>
                </c:pt>
                <c:pt idx="1">
                  <c:v>2500</c:v>
                </c:pt>
                <c:pt idx="2">
                  <c:v>2600</c:v>
                </c:pt>
                <c:pt idx="3">
                  <c:v>2700</c:v>
                </c:pt>
                <c:pt idx="4">
                  <c:v>2800</c:v>
                </c:pt>
                <c:pt idx="5">
                  <c:v>2900</c:v>
                </c:pt>
                <c:pt idx="6">
                  <c:v>3000</c:v>
                </c:pt>
                <c:pt idx="7">
                  <c:v>3200</c:v>
                </c:pt>
              </c:numCache>
            </c:numRef>
          </c:cat>
          <c:val>
            <c:numRef>
              <c:f>'No Homes Calcs for Report'!$H$7:$H$13</c:f>
              <c:numCache>
                <c:formatCode>General</c:formatCode>
                <c:ptCount val="7"/>
                <c:pt idx="0">
                  <c:v>3418</c:v>
                </c:pt>
                <c:pt idx="1">
                  <c:v>2810</c:v>
                </c:pt>
                <c:pt idx="2">
                  <c:v>1797</c:v>
                </c:pt>
                <c:pt idx="3">
                  <c:v>1534</c:v>
                </c:pt>
                <c:pt idx="4">
                  <c:v>2151</c:v>
                </c:pt>
                <c:pt idx="5">
                  <c:v>2142</c:v>
                </c:pt>
                <c:pt idx="6">
                  <c:v>1834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506-084B-9F60-1060403C7C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4597791"/>
        <c:axId val="994599519"/>
      </c:lineChart>
      <c:catAx>
        <c:axId val="9945977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non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cap="none" baseline="0"/>
                  <a:t>Number of Homes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599519"/>
        <c:crossesAt val="0"/>
        <c:auto val="1"/>
        <c:lblAlgn val="ctr"/>
        <c:lblOffset val="100"/>
        <c:noMultiLvlLbl val="0"/>
      </c:catAx>
      <c:valAx>
        <c:axId val="99459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0" i="0" u="none" strike="noStrike" kern="1200" cap="non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cap="none" baseline="0"/>
                  <a:t>Qh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900" b="0" i="0" u="none" strike="noStrike" kern="1200" cap="non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597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'Total kWh'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'No Homes Calcs for Report'!$Q$5</c:f>
              <c:strCache>
                <c:ptCount val="1"/>
                <c:pt idx="0">
                  <c:v>Total kWh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1"/>
            <c:trendlineLbl>
              <c:layout>
                <c:manualLayout>
                  <c:x val="-6.4805555555555602E-2"/>
                  <c:y val="0.148258603091280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'No Homes Calcs for Report'!$G$7:$G$13</c:f>
              <c:numCache>
                <c:formatCode>General</c:formatCode>
                <c:ptCount val="7"/>
                <c:pt idx="0">
                  <c:v>2400</c:v>
                </c:pt>
                <c:pt idx="1">
                  <c:v>2500</c:v>
                </c:pt>
                <c:pt idx="2">
                  <c:v>2600</c:v>
                </c:pt>
                <c:pt idx="3">
                  <c:v>2700</c:v>
                </c:pt>
                <c:pt idx="4">
                  <c:v>2800</c:v>
                </c:pt>
                <c:pt idx="5">
                  <c:v>2900</c:v>
                </c:pt>
                <c:pt idx="6">
                  <c:v>3000</c:v>
                </c:pt>
              </c:numCache>
            </c:numRef>
          </c:xVal>
          <c:yVal>
            <c:numRef>
              <c:f>'No Homes Calcs for Report'!$H$7:$H$13</c:f>
              <c:numCache>
                <c:formatCode>General</c:formatCode>
                <c:ptCount val="7"/>
                <c:pt idx="0">
                  <c:v>3418</c:v>
                </c:pt>
                <c:pt idx="1">
                  <c:v>2810</c:v>
                </c:pt>
                <c:pt idx="2">
                  <c:v>1797</c:v>
                </c:pt>
                <c:pt idx="3">
                  <c:v>1534</c:v>
                </c:pt>
                <c:pt idx="4">
                  <c:v>2151</c:v>
                </c:pt>
                <c:pt idx="5">
                  <c:v>2142</c:v>
                </c:pt>
                <c:pt idx="6">
                  <c:v>1834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B7-344D-B285-97F763C61B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6814767"/>
        <c:axId val="1066816479"/>
      </c:scatterChart>
      <c:valAx>
        <c:axId val="1066814767"/>
        <c:scaling>
          <c:orientation val="minMax"/>
          <c:max val="3000"/>
          <c:min val="2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No Home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816479"/>
        <c:crosses val="autoZero"/>
        <c:crossBetween val="midCat"/>
      </c:valAx>
      <c:valAx>
        <c:axId val="1066816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Total 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814767"/>
        <c:crosses val="autoZero"/>
        <c:crossBetween val="midCat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climatedataportal.metoffice.gov.uk/datasets/TheMetOffice::annual-heating-degree-days-projections-12km/explore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1131454</xdr:colOff>
      <xdr:row>13</xdr:row>
      <xdr:rowOff>80819</xdr:rowOff>
    </xdr:from>
    <xdr:to>
      <xdr:col>14</xdr:col>
      <xdr:colOff>602672</xdr:colOff>
      <xdr:row>33</xdr:row>
      <xdr:rowOff>176407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664A1D-649A-2F71-1A57-1CA82EBEA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80454" y="3463637"/>
          <a:ext cx="7772400" cy="4910043"/>
        </a:xfrm>
        <a:prstGeom prst="rect">
          <a:avLst/>
        </a:prstGeom>
      </xdr:spPr>
    </xdr:pic>
    <xdr:clientData/>
  </xdr:twoCellAnchor>
  <xdr:twoCellAnchor>
    <xdr:from>
      <xdr:col>0</xdr:col>
      <xdr:colOff>785091</xdr:colOff>
      <xdr:row>45</xdr:row>
      <xdr:rowOff>46183</xdr:rowOff>
    </xdr:from>
    <xdr:to>
      <xdr:col>3</xdr:col>
      <xdr:colOff>1108364</xdr:colOff>
      <xdr:row>53</xdr:row>
      <xdr:rowOff>127001</xdr:rowOff>
    </xdr:to>
    <xdr:sp macro="" textlink="">
      <xdr:nvSpPr>
        <xdr:cNvPr id="3" name="TextBox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CC6203A-159B-E0A6-5B03-2B64494F71A3}"/>
            </a:ext>
          </a:extLst>
        </xdr:cNvPr>
        <xdr:cNvSpPr txBox="1"/>
      </xdr:nvSpPr>
      <xdr:spPr>
        <a:xfrm>
          <a:off x="785091" y="10575638"/>
          <a:ext cx="4468091" cy="174336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Degree</a:t>
          </a:r>
          <a:r>
            <a:rPr lang="en-GB" sz="16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Days: the s</a:t>
          </a:r>
          <a:r>
            <a:rPr lang="en-GB" sz="1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um of the number of degrees the daily average temperature is below 15.5°C each day (Source</a:t>
          </a:r>
          <a:r>
            <a:rPr lang="en-GB" sz="16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UK Met Office)</a:t>
          </a:r>
          <a:endParaRPr lang="en-GB" sz="1600"/>
        </a:p>
      </xdr:txBody>
    </xdr:sp>
    <xdr:clientData/>
  </xdr:twoCellAnchor>
  <xdr:twoCellAnchor editAs="oneCell">
    <xdr:from>
      <xdr:col>6</xdr:col>
      <xdr:colOff>831275</xdr:colOff>
      <xdr:row>33</xdr:row>
      <xdr:rowOff>34637</xdr:rowOff>
    </xdr:from>
    <xdr:to>
      <xdr:col>10</xdr:col>
      <xdr:colOff>1051793</xdr:colOff>
      <xdr:row>53</xdr:row>
      <xdr:rowOff>148822</xdr:rowOff>
    </xdr:to>
    <xdr:pic>
      <xdr:nvPicPr>
        <xdr:cNvPr id="4" name="Picture 3" descr="A graph with a line and a red line&#10;&#10;AI-generated content may be incorrect.">
          <a:extLst>
            <a:ext uri="{FF2B5EF4-FFF2-40B4-BE49-F238E27FC236}">
              <a16:creationId xmlns:a16="http://schemas.microsoft.com/office/drawing/2014/main" id="{0D64B5CE-D455-B33B-2F1C-AC7A4071B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67093" y="8231910"/>
          <a:ext cx="5727700" cy="4316730"/>
        </a:xfrm>
        <a:prstGeom prst="rect">
          <a:avLst/>
        </a:prstGeom>
      </xdr:spPr>
    </xdr:pic>
    <xdr:clientData/>
  </xdr:twoCellAnchor>
  <xdr:twoCellAnchor>
    <xdr:from>
      <xdr:col>6</xdr:col>
      <xdr:colOff>496455</xdr:colOff>
      <xdr:row>28</xdr:row>
      <xdr:rowOff>46182</xdr:rowOff>
    </xdr:from>
    <xdr:to>
      <xdr:col>8</xdr:col>
      <xdr:colOff>392545</xdr:colOff>
      <xdr:row>33</xdr:row>
      <xdr:rowOff>150091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87DAB56F-9646-B8E7-AEB5-0D436E5F99CB}"/>
            </a:ext>
          </a:extLst>
        </xdr:cNvPr>
        <xdr:cNvCxnSpPr/>
      </xdr:nvCxnSpPr>
      <xdr:spPr>
        <a:xfrm>
          <a:off x="8832273" y="7204364"/>
          <a:ext cx="2609272" cy="11430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6350</xdr:colOff>
      <xdr:row>2</xdr:row>
      <xdr:rowOff>965200</xdr:rowOff>
    </xdr:from>
    <xdr:to>
      <xdr:col>26</xdr:col>
      <xdr:colOff>800100</xdr:colOff>
      <xdr:row>31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1862B8-029A-0F4C-9324-A210BDC24E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582734</xdr:colOff>
      <xdr:row>1</xdr:row>
      <xdr:rowOff>58615</xdr:rowOff>
    </xdr:from>
    <xdr:to>
      <xdr:col>22</xdr:col>
      <xdr:colOff>322385</xdr:colOff>
      <xdr:row>40</xdr:row>
      <xdr:rowOff>172915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33BBC6-5862-C125-D5CC-BBEA05E3AD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698500</xdr:colOff>
      <xdr:row>14</xdr:row>
      <xdr:rowOff>190500</xdr:rowOff>
    </xdr:from>
    <xdr:to>
      <xdr:col>11</xdr:col>
      <xdr:colOff>169333</xdr:colOff>
      <xdr:row>35</xdr:row>
      <xdr:rowOff>76200</xdr:rowOff>
    </xdr:to>
    <xdr:graphicFrame macro="">
      <xdr:nvGraphicFramePr>
        <xdr:cNvPr id="2" name="Chart 1" descr="Chart type: Scatter. Field: Number of Homes and Field: å Qc (kWh) appear highly correlated.&#10;&#10;Description automatically generated">
          <a:extLst>
            <a:ext uri="{FF2B5EF4-FFF2-40B4-BE49-F238E27FC236}">
              <a16:creationId xmlns:a16="http://schemas.microsoft.com/office/drawing/2014/main" id="{8F218DD5-FCD1-EBB2-22C5-4F5E6BDA24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647700</xdr:colOff>
      <xdr:row>18</xdr:row>
      <xdr:rowOff>148167</xdr:rowOff>
    </xdr:from>
    <xdr:to>
      <xdr:col>17</xdr:col>
      <xdr:colOff>241300</xdr:colOff>
      <xdr:row>32</xdr:row>
      <xdr:rowOff>46567</xdr:rowOff>
    </xdr:to>
    <xdr:graphicFrame macro="">
      <xdr:nvGraphicFramePr>
        <xdr:cNvPr id="3" name="Chart 2" descr="Chart type: Scatter. 'Total kWh'&#10;&#10;Description automatically generated">
          <a:extLst>
            <a:ext uri="{FF2B5EF4-FFF2-40B4-BE49-F238E27FC236}">
              <a16:creationId xmlns:a16="http://schemas.microsoft.com/office/drawing/2014/main" id="{0924AB03-B1B5-3BAE-1280-5107EE100B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peterknorth/Documents/MATLAB/2601%20Jan%20Files/260709%20Data%20Centre%20Heat%20and%20Power%20Demand%20revised%20v1.3.xlsx" TargetMode="External"/><Relationship Id="rId1" Type="http://schemas.openxmlformats.org/officeDocument/2006/relationships/externalLinkPath" Target="260709%20Data%20Centre%20Heat%20and%20Power%20Demand%20revised%20v1.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C Cooler Duty"/>
      <sheetName val="Thermal Store Sizing"/>
      <sheetName val="R410a Enthalpy"/>
      <sheetName val="Winter Energy Calcs"/>
      <sheetName val="DC Cooler Heat Released"/>
      <sheetName val="DC Cooler Power "/>
      <sheetName val="Four-Weekly Cooler Duty &amp; Power"/>
      <sheetName val="Split Condenser"/>
      <sheetName val="Split Evaporator"/>
      <sheetName val="NTU Calcs"/>
      <sheetName val="Calcs Cold Sink Secondary Sid"/>
    </sheetNames>
    <sheetDataSet>
      <sheetData sheetId="0"/>
      <sheetData sheetId="1"/>
      <sheetData sheetId="2"/>
      <sheetData sheetId="3"/>
      <sheetData sheetId="4">
        <row r="3">
          <cell r="J3">
            <v>656.38016456043965</v>
          </cell>
          <cell r="K3">
            <v>705.63792164632241</v>
          </cell>
          <cell r="L3">
            <v>756.81866909524354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peter north" id="{D80E8D93-6E02-494C-86C3-80AC075D6201}" userId="865517399bea734e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E01297-0143-494C-960F-359A6E133947}" name="Table_1.1.8_Mean_heating_degree_days_in_Great_Britain" displayName="Table_1.1.8_Mean_heating_degree_days_in_Great_Britain" ref="A6:O30" totalsRowShown="0" headerRowDxfId="18" dataDxfId="16" headerRowBorderDxfId="17" tableBorderDxfId="15">
  <autoFilter ref="A6:O30" xr:uid="{586A1BF4-7ADA-475F-BD00-F2EA6DE9E72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7190992D-4733-4F8E-9634-6A897F687CC2}" name="Column1" dataDxfId="14"/>
    <tableColumn id="2" xr3:uid="{D75C8FA7-135A-4F6A-97D6-B308E7D8C474}" name="January" dataDxfId="13" dataCellStyle="Normal 4"/>
    <tableColumn id="3" xr3:uid="{DD562B59-A0D4-464A-8713-61400B1D3C81}" name="February" dataDxfId="12" dataCellStyle="Normal 4"/>
    <tableColumn id="4" xr3:uid="{71ECF8E3-2F48-4F3D-BEA7-9AA07B8AA38C}" name="March" dataDxfId="11" dataCellStyle="Normal 4"/>
    <tableColumn id="5" xr3:uid="{B303E0D0-0551-47E7-AFE7-83F35CDB2D2A}" name="April" dataDxfId="10" dataCellStyle="Normal 4"/>
    <tableColumn id="6" xr3:uid="{265895CF-4E74-4C4C-B440-406D37D0287A}" name="May" dataDxfId="9" dataCellStyle="Normal 4"/>
    <tableColumn id="7" xr3:uid="{00E0F0E0-7D86-47F2-93E2-93252145AE83}" name="June" dataDxfId="8" dataCellStyle="Normal 4"/>
    <tableColumn id="8" xr3:uid="{F2A57323-9366-43CE-8AF5-46EA12AC31F2}" name="July" dataDxfId="7" dataCellStyle="Normal 4"/>
    <tableColumn id="9" xr3:uid="{CDC5FA6A-BF2C-4460-9A57-CCF2D87E28F6}" name="August" dataDxfId="6" dataCellStyle="Normal 4"/>
    <tableColumn id="10" xr3:uid="{D505F846-E6AF-472F-AC23-BDE8BA8A4A5C}" name="September" dataDxfId="5" dataCellStyle="Normal 4"/>
    <tableColumn id="11" xr3:uid="{AAB7FF19-8923-4718-BC2F-832931996362}" name="October" dataDxfId="4" dataCellStyle="Normal 4"/>
    <tableColumn id="12" xr3:uid="{43A70526-6F88-4E1E-BF5A-5051809D8584}" name="November" dataDxfId="3" dataCellStyle="Normal 4"/>
    <tableColumn id="13" xr3:uid="{4FDC9500-1373-419E-9C66-E92460520824}" name="December" dataDxfId="2" dataCellStyle="Normal 4"/>
    <tableColumn id="15" xr3:uid="{E2E1E537-EDA7-407D-8025-EF50B6FFA171}" name="Total heating degree days" dataDxfId="1" dataCellStyle="Normal 4"/>
    <tableColumn id="14" xr3:uid="{DE7439D7-CA52-42D5-8735-AF464DC454A1}" name="Year" dataDxfId="0" dataCellStyle="Normal 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5" dT="2025-11-24T15:46:38.09" personId="{D80E8D93-6E02-494C-86C3-80AC075D6201}" id="{5995CCAB-D764-4940-A7F4-F76F2D10B07C}">
    <text>This value is used for the residential WSHP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hyperlink" Target="https://www.metoffice.gov.uk/research/climate/maps-and-data/location-specific-long-term-averages/gcpsvg3nc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93703-0D3F-824B-8421-D587DE25084E}">
  <sheetPr codeName="Sheet1"/>
  <dimension ref="A1:O32"/>
  <sheetViews>
    <sheetView showGridLines="0" zoomScaleNormal="100" workbookViewId="0">
      <pane xSplit="1" ySplit="7" topLeftCell="B8" activePane="bottomRight" state="frozen"/>
      <selection pane="topRight"/>
      <selection pane="bottomLeft"/>
      <selection pane="bottomRight" activeCell="D35" sqref="D35"/>
    </sheetView>
  </sheetViews>
  <sheetFormatPr baseColWidth="10" defaultColWidth="8.6640625" defaultRowHeight="16" x14ac:dyDescent="0.2"/>
  <cols>
    <col min="1" max="1" width="26.1640625" style="1" customWidth="1"/>
    <col min="2" max="2" width="10.6640625" style="1" customWidth="1"/>
    <col min="3" max="3" width="10.83203125" style="1" customWidth="1"/>
    <col min="4" max="9" width="10.6640625" style="1" customWidth="1"/>
    <col min="10" max="10" width="12.6640625" style="1" customWidth="1"/>
    <col min="11" max="11" width="10.6640625" style="1" customWidth="1"/>
    <col min="12" max="12" width="12.33203125" style="1" customWidth="1"/>
    <col min="13" max="14" width="12" style="1" customWidth="1"/>
    <col min="15" max="15" width="10.6640625" style="1" customWidth="1"/>
    <col min="16" max="16384" width="8.6640625" style="1"/>
  </cols>
  <sheetData>
    <row r="1" spans="1:15" s="15" customFormat="1" ht="29" x14ac:dyDescent="0.15">
      <c r="A1" s="16" t="s">
        <v>35</v>
      </c>
    </row>
    <row r="2" spans="1:15" ht="20.25" customHeight="1" x14ac:dyDescent="0.2">
      <c r="A2" s="1" t="s">
        <v>34</v>
      </c>
    </row>
    <row r="3" spans="1:15" ht="20.25" customHeight="1" x14ac:dyDescent="0.2">
      <c r="A3" s="1" t="s">
        <v>33</v>
      </c>
    </row>
    <row r="4" spans="1:15" ht="20.25" customHeight="1" x14ac:dyDescent="0.2">
      <c r="A4" s="1" t="s">
        <v>32</v>
      </c>
    </row>
    <row r="5" spans="1:15" ht="20.25" customHeight="1" x14ac:dyDescent="0.2">
      <c r="A5" s="1" t="s">
        <v>31</v>
      </c>
    </row>
    <row r="6" spans="1:15" s="10" customFormat="1" ht="34" x14ac:dyDescent="0.2">
      <c r="A6" s="14" t="s">
        <v>30</v>
      </c>
      <c r="B6" s="13" t="s">
        <v>29</v>
      </c>
      <c r="C6" s="13" t="s">
        <v>28</v>
      </c>
      <c r="D6" s="13" t="s">
        <v>27</v>
      </c>
      <c r="E6" s="13" t="s">
        <v>26</v>
      </c>
      <c r="F6" s="13" t="s">
        <v>5</v>
      </c>
      <c r="G6" s="13" t="s">
        <v>25</v>
      </c>
      <c r="H6" s="13" t="s">
        <v>24</v>
      </c>
      <c r="I6" s="13" t="s">
        <v>23</v>
      </c>
      <c r="J6" s="13" t="s">
        <v>22</v>
      </c>
      <c r="K6" s="13" t="s">
        <v>21</v>
      </c>
      <c r="L6" s="13" t="s">
        <v>20</v>
      </c>
      <c r="M6" s="13" t="s">
        <v>19</v>
      </c>
      <c r="N6" s="12" t="s">
        <v>18</v>
      </c>
      <c r="O6" s="11" t="s">
        <v>17</v>
      </c>
    </row>
    <row r="7" spans="1:15" x14ac:dyDescent="0.2">
      <c r="A7" s="9" t="s">
        <v>16</v>
      </c>
      <c r="B7" s="8">
        <v>10.591253174857798</v>
      </c>
      <c r="C7" s="8">
        <v>10.331654475190337</v>
      </c>
      <c r="D7" s="8">
        <v>8.7443241018453985</v>
      </c>
      <c r="E7" s="8">
        <v>6.6107303211084236</v>
      </c>
      <c r="F7" s="8">
        <v>3.8731421840134557</v>
      </c>
      <c r="G7" s="8">
        <v>1.7088802014572992</v>
      </c>
      <c r="H7" s="8">
        <v>0.61067221367065916</v>
      </c>
      <c r="I7" s="8">
        <v>0.67392994146732943</v>
      </c>
      <c r="J7" s="8">
        <v>1.9294968501006471</v>
      </c>
      <c r="K7" s="8">
        <v>4.6426106976911479</v>
      </c>
      <c r="L7" s="8">
        <v>7.9338588991331989</v>
      </c>
      <c r="M7" s="8">
        <v>10.331529013493649</v>
      </c>
      <c r="N7" s="8">
        <v>2060.8495282163362</v>
      </c>
      <c r="O7" s="7">
        <v>5.6422985029879156</v>
      </c>
    </row>
    <row r="8" spans="1:15" x14ac:dyDescent="0.2">
      <c r="A8" s="5">
        <v>2002</v>
      </c>
      <c r="B8" s="3">
        <v>9.455041747239477</v>
      </c>
      <c r="C8" s="3">
        <v>8.2790041102274099</v>
      </c>
      <c r="D8" s="3">
        <v>7.8466091298571605</v>
      </c>
      <c r="E8" s="3">
        <v>6.1168274902816684</v>
      </c>
      <c r="F8" s="3">
        <v>3.6002923851557616</v>
      </c>
      <c r="G8" s="3">
        <v>1.3671052551176583</v>
      </c>
      <c r="H8" s="3">
        <v>0.63602622640153139</v>
      </c>
      <c r="I8" s="3">
        <v>8.5639504976170025E-2</v>
      </c>
      <c r="J8" s="3">
        <v>1.2452144170829895</v>
      </c>
      <c r="K8" s="3">
        <v>5.2310035846055047</v>
      </c>
      <c r="L8" s="3">
        <v>6.7108433602176794</v>
      </c>
      <c r="M8" s="3">
        <v>9.542275041000245</v>
      </c>
      <c r="N8" s="3">
        <v>1823.3153469636786</v>
      </c>
      <c r="O8" s="3">
        <v>4.9953845122292568</v>
      </c>
    </row>
    <row r="9" spans="1:15" x14ac:dyDescent="0.2">
      <c r="A9" s="5">
        <v>2003</v>
      </c>
      <c r="B9" s="3">
        <v>10.583783167042997</v>
      </c>
      <c r="C9" s="3">
        <v>11.06162742014263</v>
      </c>
      <c r="D9" s="3">
        <v>7.6807725053850504</v>
      </c>
      <c r="E9" s="3">
        <v>5.6197319835061332</v>
      </c>
      <c r="F9" s="3">
        <v>3.649882106159998</v>
      </c>
      <c r="G9" s="3">
        <v>0.26655458000435928</v>
      </c>
      <c r="H9" s="3">
        <v>3.9558572720613069E-2</v>
      </c>
      <c r="I9" s="3">
        <v>0.26349746088018244</v>
      </c>
      <c r="J9" s="3">
        <v>1.5473196897161459</v>
      </c>
      <c r="K9" s="3">
        <v>6.0769335876160122</v>
      </c>
      <c r="L9" s="3">
        <v>7.1494594263980735</v>
      </c>
      <c r="M9" s="3">
        <v>10.467831531966835</v>
      </c>
      <c r="N9" s="3">
        <v>1948.8475650376577</v>
      </c>
      <c r="O9" s="3">
        <v>5.3393083973634452</v>
      </c>
    </row>
    <row r="10" spans="1:15" x14ac:dyDescent="0.2">
      <c r="A10" s="5">
        <v>2004</v>
      </c>
      <c r="B10" s="3">
        <v>10.00956672683952</v>
      </c>
      <c r="C10" s="3">
        <v>9.9152095952137227</v>
      </c>
      <c r="D10" s="3">
        <v>8.8604548696951504</v>
      </c>
      <c r="E10" s="3">
        <v>5.9427110435528787</v>
      </c>
      <c r="F10" s="3">
        <v>3.4151525701072969</v>
      </c>
      <c r="G10" s="3">
        <v>1.0315925886068056</v>
      </c>
      <c r="H10" s="3">
        <v>0.6771505253289295</v>
      </c>
      <c r="I10" s="3">
        <v>0.21989246551281239</v>
      </c>
      <c r="J10" s="3">
        <v>1.2194097241869677</v>
      </c>
      <c r="K10" s="3">
        <v>4.9349599347058239</v>
      </c>
      <c r="L10" s="3">
        <v>7.4830386296224001</v>
      </c>
      <c r="M10" s="3">
        <v>9.7566090598885538</v>
      </c>
      <c r="N10" s="3">
        <v>1931.9310085546904</v>
      </c>
      <c r="O10" s="3">
        <v>5.2785000233734714</v>
      </c>
    </row>
    <row r="11" spans="1:15" x14ac:dyDescent="0.2">
      <c r="A11" s="5">
        <v>2005</v>
      </c>
      <c r="B11" s="3">
        <v>9.1392715575632941</v>
      </c>
      <c r="C11" s="3">
        <v>10.952183841082846</v>
      </c>
      <c r="D11" s="3">
        <v>8.2363157765522228</v>
      </c>
      <c r="E11" s="3">
        <v>6.6824914377959965</v>
      </c>
      <c r="F11" s="3">
        <v>4.3252552580393617</v>
      </c>
      <c r="G11" s="3">
        <v>1.2577341170979559</v>
      </c>
      <c r="H11" s="3">
        <v>0.2678686639314079</v>
      </c>
      <c r="I11" s="3">
        <v>0.3119047534081244</v>
      </c>
      <c r="J11" s="3">
        <v>1.2117618965387014</v>
      </c>
      <c r="K11" s="3">
        <v>2.555704116890734</v>
      </c>
      <c r="L11" s="3">
        <v>9.0616929923939775</v>
      </c>
      <c r="M11" s="3">
        <v>10.671470468301399</v>
      </c>
      <c r="N11" s="3">
        <v>1953.8130693004014</v>
      </c>
      <c r="O11" s="3">
        <v>5.3529125186312365</v>
      </c>
    </row>
    <row r="12" spans="1:15" x14ac:dyDescent="0.2">
      <c r="A12" s="5">
        <v>2006</v>
      </c>
      <c r="B12" s="3">
        <v>10.979999993654989</v>
      </c>
      <c r="C12" s="3">
        <v>11.332142855776473</v>
      </c>
      <c r="D12" s="3">
        <v>10.506544979599845</v>
      </c>
      <c r="E12" s="3">
        <v>7.0039035156433123</v>
      </c>
      <c r="F12" s="3">
        <v>3.6689209473305113</v>
      </c>
      <c r="G12" s="3">
        <v>0.64526315781108112</v>
      </c>
      <c r="H12" s="3">
        <v>4.5540796963836686E-3</v>
      </c>
      <c r="I12" s="3">
        <v>0.256253537068519</v>
      </c>
      <c r="J12" s="3">
        <v>0.2554678362573588</v>
      </c>
      <c r="K12" s="3">
        <v>2.7219864176571384</v>
      </c>
      <c r="L12" s="3">
        <v>7.4257530673088317</v>
      </c>
      <c r="M12" s="3">
        <v>9.1236323335215062</v>
      </c>
      <c r="N12" s="3">
        <v>1932.3302882167545</v>
      </c>
      <c r="O12" s="3">
        <v>5.2940555841554922</v>
      </c>
    </row>
    <row r="13" spans="1:15" x14ac:dyDescent="0.2">
      <c r="A13" s="5">
        <v>2007</v>
      </c>
      <c r="B13" s="3">
        <v>8.5841777910938024</v>
      </c>
      <c r="C13" s="3">
        <v>9.4508458652554506</v>
      </c>
      <c r="D13" s="3">
        <v>8.3802207130730242</v>
      </c>
      <c r="E13" s="3">
        <v>4.3097213622291921</v>
      </c>
      <c r="F13" s="3">
        <v>3.654329371816758</v>
      </c>
      <c r="G13" s="3">
        <v>0.91665147345486275</v>
      </c>
      <c r="H13" s="3">
        <v>0.5370967741934165</v>
      </c>
      <c r="I13" s="3">
        <v>0.51813364055305777</v>
      </c>
      <c r="J13" s="3">
        <v>2.1388849206348066</v>
      </c>
      <c r="K13" s="3">
        <v>4.5029953917047072</v>
      </c>
      <c r="L13" s="3">
        <v>7.9624285714283021</v>
      </c>
      <c r="M13" s="3">
        <v>10.463863287250886</v>
      </c>
      <c r="N13" s="3">
        <v>1860.3196001198226</v>
      </c>
      <c r="O13" s="3">
        <v>5.0967660277255415</v>
      </c>
    </row>
    <row r="14" spans="1:15" x14ac:dyDescent="0.2">
      <c r="A14" s="5">
        <v>2008</v>
      </c>
      <c r="B14" s="3">
        <v>9.1267281105990907</v>
      </c>
      <c r="C14" s="3">
        <v>10.135878489444217</v>
      </c>
      <c r="D14" s="3">
        <v>9.4043778801843292</v>
      </c>
      <c r="E14" s="3">
        <v>7.5553174606959113</v>
      </c>
      <c r="F14" s="3">
        <v>2.552688172042993</v>
      </c>
      <c r="G14" s="3">
        <v>1.5995948203843133</v>
      </c>
      <c r="H14" s="3">
        <v>0.45021950036376657</v>
      </c>
      <c r="I14" s="3">
        <v>0.22311827956972485</v>
      </c>
      <c r="J14" s="3">
        <v>1.9839682539680601</v>
      </c>
      <c r="K14" s="3">
        <v>5.7529685099848402</v>
      </c>
      <c r="L14" s="3">
        <v>8.5224603174603537</v>
      </c>
      <c r="M14" s="3">
        <v>11.780030721966433</v>
      </c>
      <c r="N14" s="3">
        <v>2101.7747681851879</v>
      </c>
      <c r="O14" s="3">
        <v>5.7425540114349394</v>
      </c>
    </row>
    <row r="15" spans="1:15" x14ac:dyDescent="0.2">
      <c r="A15" s="6">
        <v>2009</v>
      </c>
      <c r="B15" s="3">
        <v>12.200998463901682</v>
      </c>
      <c r="C15" s="3">
        <v>11.143792517006805</v>
      </c>
      <c r="D15" s="3">
        <v>8.5715053763440707</v>
      </c>
      <c r="E15" s="3">
        <v>5.7938095238095331</v>
      </c>
      <c r="F15" s="3">
        <v>3.577803379416332</v>
      </c>
      <c r="G15" s="3">
        <v>1.5675396825396066</v>
      </c>
      <c r="H15" s="3">
        <v>0.2410138248846273</v>
      </c>
      <c r="I15" s="3">
        <v>0.20721966205838516</v>
      </c>
      <c r="J15" s="3">
        <v>1.463253968253954</v>
      </c>
      <c r="K15" s="3">
        <v>4.0167434715826191</v>
      </c>
      <c r="L15" s="3">
        <v>7.0784920634917343</v>
      </c>
      <c r="M15" s="3">
        <v>12.414592933947899</v>
      </c>
      <c r="N15" s="3">
        <v>2067.2452380952395</v>
      </c>
      <c r="O15" s="3">
        <v>5.6636855838225744</v>
      </c>
    </row>
    <row r="16" spans="1:15" x14ac:dyDescent="0.2">
      <c r="A16" s="5">
        <v>2010</v>
      </c>
      <c r="B16" s="3">
        <v>14.004992319508448</v>
      </c>
      <c r="C16" s="3">
        <v>12.749829931972792</v>
      </c>
      <c r="D16" s="3">
        <v>9.402073732718879</v>
      </c>
      <c r="E16" s="3">
        <v>6.6230158730158628</v>
      </c>
      <c r="F16" s="3">
        <v>4.9456221198156873</v>
      </c>
      <c r="G16" s="3">
        <v>0.96150793650783828</v>
      </c>
      <c r="H16" s="3">
        <v>5.5453149001483529E-2</v>
      </c>
      <c r="I16" s="3">
        <v>0.65192012288787826</v>
      </c>
      <c r="J16" s="3">
        <v>1.7657142857144268</v>
      </c>
      <c r="K16" s="3">
        <v>5.1019969278031363</v>
      </c>
      <c r="L16" s="3">
        <v>10.121031746031884</v>
      </c>
      <c r="M16" s="3">
        <v>15.77019969278008</v>
      </c>
      <c r="N16" s="3">
        <v>2489.0333333333219</v>
      </c>
      <c r="O16" s="3">
        <v>6.8192694063926629</v>
      </c>
    </row>
    <row r="17" spans="1:15" x14ac:dyDescent="0.2">
      <c r="A17" s="5">
        <v>2011</v>
      </c>
      <c r="B17" s="3">
        <v>11.644009216589861</v>
      </c>
      <c r="C17" s="3">
        <v>9.153401360544219</v>
      </c>
      <c r="D17" s="3">
        <v>8.7389400921658993</v>
      </c>
      <c r="E17" s="3">
        <v>3.8340476190476185</v>
      </c>
      <c r="F17" s="3">
        <v>3.2774961597542243</v>
      </c>
      <c r="G17" s="3">
        <v>1.8910317460317458</v>
      </c>
      <c r="H17" s="3">
        <v>0.50176651305683528</v>
      </c>
      <c r="I17" s="3">
        <v>0.81459293394777255</v>
      </c>
      <c r="J17" s="3">
        <v>1.0246825396825399</v>
      </c>
      <c r="K17" s="3">
        <v>3.4271889400921656</v>
      </c>
      <c r="L17" s="3">
        <v>5.9681746031746021</v>
      </c>
      <c r="M17" s="3">
        <v>9.5788018433179705</v>
      </c>
      <c r="N17" s="3">
        <v>1815.3</v>
      </c>
      <c r="O17" s="3">
        <v>4.9734246575342462</v>
      </c>
    </row>
    <row r="18" spans="1:15" x14ac:dyDescent="0.2">
      <c r="A18" s="5">
        <v>2012</v>
      </c>
      <c r="B18" s="3">
        <v>10.031259600614439</v>
      </c>
      <c r="C18" s="3">
        <v>11.111412151067327</v>
      </c>
      <c r="D18" s="3">
        <v>7.0460829499130417</v>
      </c>
      <c r="E18" s="3">
        <v>8.1605555555555558</v>
      </c>
      <c r="F18" s="3">
        <v>4.2368663594470046</v>
      </c>
      <c r="G18" s="3">
        <v>2.1284126984126983</v>
      </c>
      <c r="H18" s="3">
        <v>0.84485407066052176</v>
      </c>
      <c r="I18" s="3">
        <v>0.25745007680491544</v>
      </c>
      <c r="J18" s="3">
        <v>2.5852380952380947</v>
      </c>
      <c r="K18" s="3">
        <v>5.9881720430107528</v>
      </c>
      <c r="L18" s="3">
        <v>8.8489682539682537</v>
      </c>
      <c r="M18" s="3">
        <v>10.664669738863285</v>
      </c>
      <c r="N18" s="3">
        <v>2185.0761904949236</v>
      </c>
      <c r="O18" s="3">
        <v>5.9701535259424139</v>
      </c>
    </row>
    <row r="19" spans="1:15" x14ac:dyDescent="0.2">
      <c r="A19" s="5">
        <v>2013</v>
      </c>
      <c r="B19" s="3">
        <v>11.574423963133643</v>
      </c>
      <c r="C19" s="3">
        <v>12.118622448979592</v>
      </c>
      <c r="D19" s="3">
        <v>12.547311827956989</v>
      </c>
      <c r="E19" s="3">
        <v>8.0898412698412692</v>
      </c>
      <c r="F19" s="3">
        <v>4.948233486943165</v>
      </c>
      <c r="G19" s="3">
        <v>1.6752380952380952</v>
      </c>
      <c r="H19" s="3">
        <v>0.12342549923195084</v>
      </c>
      <c r="I19" s="3">
        <v>0.11405529953917053</v>
      </c>
      <c r="J19" s="3">
        <v>1.9122222222222229</v>
      </c>
      <c r="K19" s="3">
        <v>3.0975422427035331</v>
      </c>
      <c r="L19" s="3">
        <v>9.1303174603174604</v>
      </c>
      <c r="M19" s="3">
        <v>9.1036866359447011</v>
      </c>
      <c r="N19" s="3">
        <v>2250.3190476190475</v>
      </c>
      <c r="O19" s="3">
        <v>6.1652576647097188</v>
      </c>
    </row>
    <row r="20" spans="1:15" x14ac:dyDescent="0.2">
      <c r="A20" s="5">
        <v>2014</v>
      </c>
      <c r="B20" s="3">
        <v>9.8506144393241204</v>
      </c>
      <c r="C20" s="3">
        <v>9.2295068027210885</v>
      </c>
      <c r="D20" s="3">
        <v>7.9397849462365624</v>
      </c>
      <c r="E20" s="3">
        <v>5.3889682539682537</v>
      </c>
      <c r="F20" s="3">
        <v>3.2512288786482331</v>
      </c>
      <c r="G20" s="3">
        <v>0.63563492063492055</v>
      </c>
      <c r="H20" s="3">
        <v>8.3870967741935532E-2</v>
      </c>
      <c r="I20" s="3">
        <v>0.83863287250384044</v>
      </c>
      <c r="J20" s="3">
        <v>0.92865079365079428</v>
      </c>
      <c r="K20" s="3">
        <v>3.2535330261136712</v>
      </c>
      <c r="L20" s="3">
        <v>7.0870634920634927</v>
      </c>
      <c r="M20" s="3">
        <v>10.013056835637483</v>
      </c>
      <c r="N20" s="3">
        <v>1771.7880952380951</v>
      </c>
      <c r="O20" s="3">
        <v>4.8542139595564251</v>
      </c>
    </row>
    <row r="21" spans="1:15" x14ac:dyDescent="0.2">
      <c r="A21" s="5">
        <v>2015</v>
      </c>
      <c r="B21" s="3">
        <v>10.72281105990783</v>
      </c>
      <c r="C21" s="3">
        <v>11.210204081632652</v>
      </c>
      <c r="D21" s="3">
        <v>9.1687403993855607</v>
      </c>
      <c r="E21" s="3">
        <v>6.4137301587301589</v>
      </c>
      <c r="F21" s="3">
        <v>4.636405529953918</v>
      </c>
      <c r="G21" s="3">
        <v>1.8558730158730148</v>
      </c>
      <c r="H21" s="3">
        <v>0.66344086021505366</v>
      </c>
      <c r="I21" s="3">
        <v>0.4288018433179725</v>
      </c>
      <c r="J21" s="3">
        <v>2.7533333333333343</v>
      </c>
      <c r="K21" s="3">
        <v>4.6278033794162825</v>
      </c>
      <c r="L21" s="3">
        <v>6.0074206349206341</v>
      </c>
      <c r="M21" s="3">
        <v>5.9920506912442386</v>
      </c>
      <c r="N21" s="3">
        <v>1948.238095238095</v>
      </c>
      <c r="O21" s="3">
        <v>5.3376386170906711</v>
      </c>
    </row>
    <row r="22" spans="1:15" x14ac:dyDescent="0.2">
      <c r="A22" s="5">
        <v>2016</v>
      </c>
      <c r="B22" s="3">
        <v>9.8184715821812585</v>
      </c>
      <c r="C22" s="3">
        <v>10.425451559934315</v>
      </c>
      <c r="D22" s="3">
        <v>9.3937019969278008</v>
      </c>
      <c r="E22" s="3">
        <v>7.9959523809523825</v>
      </c>
      <c r="F22" s="3">
        <v>3.4156682027649765</v>
      </c>
      <c r="G22" s="3">
        <v>0.92309523809523764</v>
      </c>
      <c r="H22" s="3">
        <v>0.36881720430107523</v>
      </c>
      <c r="I22" s="3">
        <v>0.14170506912442388</v>
      </c>
      <c r="J22" s="3">
        <v>0.70761904761904715</v>
      </c>
      <c r="K22" s="3">
        <v>4.6210445468509977</v>
      </c>
      <c r="L22" s="3">
        <v>9.6557936507936475</v>
      </c>
      <c r="M22" s="3">
        <v>9.033410138248847</v>
      </c>
      <c r="N22" s="3">
        <v>2021.3892857142855</v>
      </c>
      <c r="O22" s="3">
        <v>5.5229215456674465</v>
      </c>
    </row>
    <row r="23" spans="1:15" x14ac:dyDescent="0.2">
      <c r="A23" s="5">
        <v>2017</v>
      </c>
      <c r="B23" s="3">
        <v>11.171735791090629</v>
      </c>
      <c r="C23" s="3">
        <v>9.2789115646258491</v>
      </c>
      <c r="D23" s="3">
        <v>7.0117511520737317</v>
      </c>
      <c r="E23" s="3">
        <v>6.4827380952380969</v>
      </c>
      <c r="F23" s="3">
        <v>2.9191244239631322</v>
      </c>
      <c r="G23" s="3">
        <v>0.72150793650793665</v>
      </c>
      <c r="H23" s="3">
        <v>7.6728110599078497E-2</v>
      </c>
      <c r="I23" s="3">
        <v>0.5165898617511524</v>
      </c>
      <c r="J23" s="3">
        <v>2.0709523809523809</v>
      </c>
      <c r="K23" s="3">
        <v>3.1966973886328729</v>
      </c>
      <c r="L23" s="3">
        <v>8.5047619047619065</v>
      </c>
      <c r="M23" s="3">
        <v>10.448771121351767</v>
      </c>
      <c r="N23" s="3">
        <v>1888.7916666666665</v>
      </c>
      <c r="O23" s="3">
        <v>5.1747716894977165</v>
      </c>
    </row>
    <row r="24" spans="1:15" x14ac:dyDescent="0.2">
      <c r="A24" s="5">
        <v>2018</v>
      </c>
      <c r="B24" s="3">
        <v>10.249308755760369</v>
      </c>
      <c r="C24" s="3">
        <v>12.413435374149657</v>
      </c>
      <c r="D24" s="3">
        <v>10.609447004608295</v>
      </c>
      <c r="E24" s="3">
        <v>6.0026984126984102</v>
      </c>
      <c r="F24" s="3">
        <v>2.754915514592934</v>
      </c>
      <c r="G24" s="3">
        <v>0.48944444444444435</v>
      </c>
      <c r="H24" s="3">
        <v>0</v>
      </c>
      <c r="I24" s="3">
        <v>0.54001536098310277</v>
      </c>
      <c r="J24" s="3">
        <v>2.0773809523809521</v>
      </c>
      <c r="K24" s="3">
        <v>4.8794930875576039</v>
      </c>
      <c r="L24" s="3">
        <v>7.2673015873015876</v>
      </c>
      <c r="M24" s="3">
        <v>8.6860215053763419</v>
      </c>
      <c r="N24" s="3">
        <v>1991.9761904761904</v>
      </c>
      <c r="O24" s="3">
        <v>5.4574690150032614</v>
      </c>
    </row>
    <row r="25" spans="1:15" x14ac:dyDescent="0.2">
      <c r="A25" s="6">
        <v>2019</v>
      </c>
      <c r="B25" s="3">
        <v>11.263594470046081</v>
      </c>
      <c r="C25" s="3">
        <v>8.6149659863945569</v>
      </c>
      <c r="D25" s="3">
        <v>7.5813364055299539</v>
      </c>
      <c r="E25" s="3">
        <v>6.4292857142857143</v>
      </c>
      <c r="F25" s="3">
        <v>4.3245007680491563</v>
      </c>
      <c r="G25" s="3">
        <v>1.6428571428571432</v>
      </c>
      <c r="H25" s="3">
        <v>9.5161290322580444E-2</v>
      </c>
      <c r="I25" s="3">
        <v>0.20143241167434719</v>
      </c>
      <c r="J25" s="3">
        <v>1.3948412698412698</v>
      </c>
      <c r="K25" s="3">
        <v>5.3662826420890939</v>
      </c>
      <c r="L25" s="3">
        <v>9.0429365079365063</v>
      </c>
      <c r="M25" s="3">
        <v>9.4574500768049141</v>
      </c>
      <c r="N25" s="3">
        <v>1983.4991666666665</v>
      </c>
      <c r="O25" s="3">
        <v>5.4342442922374428</v>
      </c>
    </row>
    <row r="26" spans="1:15" x14ac:dyDescent="0.2">
      <c r="A26" s="5">
        <v>2020</v>
      </c>
      <c r="B26" s="3">
        <v>8.8195852534562214</v>
      </c>
      <c r="C26" s="3">
        <v>9.114942528735634</v>
      </c>
      <c r="D26" s="3">
        <v>8.7072964669738884</v>
      </c>
      <c r="E26" s="3">
        <v>5.1767444444444441</v>
      </c>
      <c r="F26" s="3">
        <v>3.0698924731182808</v>
      </c>
      <c r="G26" s="3">
        <v>1.2620634920634923</v>
      </c>
      <c r="H26" s="3">
        <v>0.585560675883257</v>
      </c>
      <c r="I26" s="3">
        <v>0.51374807987711202</v>
      </c>
      <c r="J26" s="3">
        <v>1.963888888888889</v>
      </c>
      <c r="K26" s="3">
        <v>5.0464669738863277</v>
      </c>
      <c r="L26" s="3">
        <v>6.763809523809523</v>
      </c>
      <c r="M26" s="3">
        <v>10.225268817204302</v>
      </c>
      <c r="N26" s="3">
        <v>1865.3309047619048</v>
      </c>
      <c r="O26" s="3">
        <v>5.0965325266718713</v>
      </c>
    </row>
    <row r="27" spans="1:15" x14ac:dyDescent="0.2">
      <c r="A27" s="5">
        <v>2021</v>
      </c>
      <c r="B27" s="3">
        <v>12.208448540706609</v>
      </c>
      <c r="C27" s="3">
        <v>10.369217687074832</v>
      </c>
      <c r="D27" s="3">
        <v>8.1552227342549912</v>
      </c>
      <c r="E27" s="3">
        <v>8.9489682539682551</v>
      </c>
      <c r="F27" s="3">
        <v>5.3797235023041479</v>
      </c>
      <c r="G27" s="3">
        <v>0.6237301587301588</v>
      </c>
      <c r="H27" s="3">
        <v>2.3041474654377798E-2</v>
      </c>
      <c r="I27" s="3">
        <v>0.19915514592933936</v>
      </c>
      <c r="J27" s="3">
        <v>0.64071428571428535</v>
      </c>
      <c r="K27" s="3">
        <v>3.4640552995391709</v>
      </c>
      <c r="L27" s="3">
        <v>7.6604761904761896</v>
      </c>
      <c r="M27" s="3">
        <v>9.1078341013824868</v>
      </c>
      <c r="N27" s="3">
        <v>2021.2166666666669</v>
      </c>
      <c r="O27" s="3">
        <v>5.5375799086757995</v>
      </c>
    </row>
    <row r="28" spans="1:15" x14ac:dyDescent="0.2">
      <c r="A28" s="5">
        <v>2022</v>
      </c>
      <c r="B28" s="3">
        <v>10.295391705069123</v>
      </c>
      <c r="C28" s="3">
        <v>8.6647108843537417</v>
      </c>
      <c r="D28" s="3">
        <v>7.782488479262673</v>
      </c>
      <c r="E28" s="3">
        <v>6.3655555555555559</v>
      </c>
      <c r="F28" s="3">
        <v>2.5079877112135178</v>
      </c>
      <c r="G28" s="3">
        <v>0.91404761904761889</v>
      </c>
      <c r="H28" s="3">
        <v>9.1321044546851041E-2</v>
      </c>
      <c r="I28" s="3">
        <v>1.4516129032258214E-2</v>
      </c>
      <c r="J28" s="3">
        <v>1.7496825396825395</v>
      </c>
      <c r="K28" s="3">
        <v>2.7664362519201222</v>
      </c>
      <c r="L28" s="3">
        <v>6.4169047619047621</v>
      </c>
      <c r="M28" s="3">
        <v>11.508141321044546</v>
      </c>
      <c r="N28" s="3">
        <v>1789.952380952381</v>
      </c>
      <c r="O28" s="3">
        <v>4.9039791258969343</v>
      </c>
    </row>
    <row r="29" spans="1:15" x14ac:dyDescent="0.2">
      <c r="A29" s="41">
        <v>2023</v>
      </c>
      <c r="B29" s="42">
        <v>10.24408602150538</v>
      </c>
      <c r="C29" s="42">
        <v>8.8522108843537417</v>
      </c>
      <c r="D29" s="42">
        <v>8.523041474654379</v>
      </c>
      <c r="E29" s="42">
        <v>6.8684920634920639</v>
      </c>
      <c r="F29" s="42">
        <v>2.9149001536098313</v>
      </c>
      <c r="G29" s="42">
        <v>0.59984126984126962</v>
      </c>
      <c r="H29" s="43">
        <v>0.26228878648233517</v>
      </c>
      <c r="I29" s="43">
        <v>0.41789554531490003</v>
      </c>
      <c r="J29" s="43">
        <v>0.57984126984127016</v>
      </c>
      <c r="K29" s="43">
        <v>3.6403993855606758</v>
      </c>
      <c r="L29" s="43">
        <v>7.9692063492063498</v>
      </c>
      <c r="M29" s="43">
        <v>8.5650537634408614</v>
      </c>
      <c r="N29" s="43">
        <v>1799.9809523809524</v>
      </c>
      <c r="O29" s="3">
        <v>4.9314546640574042</v>
      </c>
    </row>
    <row r="30" spans="1:15" ht="17" x14ac:dyDescent="0.2">
      <c r="A30" s="5">
        <v>2024</v>
      </c>
      <c r="B30" s="4">
        <v>10.496850998463904</v>
      </c>
      <c r="C30" s="4">
        <v>7.8528735632183917</v>
      </c>
      <c r="D30" s="4">
        <v>7.6412442396313374</v>
      </c>
      <c r="E30" s="4">
        <v>6.033888888888888</v>
      </c>
      <c r="F30" s="4">
        <v>1.7907066052227338</v>
      </c>
      <c r="G30" s="4">
        <v>1.7500793650793649</v>
      </c>
      <c r="H30" s="3" t="s">
        <v>15</v>
      </c>
      <c r="I30" s="3" t="s">
        <v>15</v>
      </c>
      <c r="J30" s="3" t="s">
        <v>15</v>
      </c>
      <c r="K30" s="3" t="s">
        <v>15</v>
      </c>
      <c r="L30" s="3" t="s">
        <v>15</v>
      </c>
      <c r="M30" s="3" t="s">
        <v>15</v>
      </c>
      <c r="N30" s="3" t="s">
        <v>15</v>
      </c>
      <c r="O30" s="3" t="s">
        <v>15</v>
      </c>
    </row>
    <row r="32" spans="1:15" x14ac:dyDescent="0.2">
      <c r="B32" s="2"/>
      <c r="M32" s="2"/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01048-1C80-1141-AE8B-75C36BBAA214}">
  <sheetPr codeName="Sheet2"/>
  <dimension ref="A3:O59"/>
  <sheetViews>
    <sheetView topLeftCell="A22" zoomScale="110" zoomScaleNormal="110" workbookViewId="0">
      <selection activeCell="K60" sqref="K60"/>
    </sheetView>
  </sheetViews>
  <sheetFormatPr baseColWidth="10" defaultRowHeight="16" x14ac:dyDescent="0.2"/>
  <cols>
    <col min="1" max="1" width="10.83203125" customWidth="1"/>
    <col min="2" max="2" width="25.1640625" customWidth="1"/>
    <col min="3" max="7" width="18.33203125" bestFit="1" customWidth="1"/>
    <col min="8" max="8" width="17.33203125" bestFit="1" customWidth="1"/>
    <col min="9" max="10" width="18.33203125" bestFit="1" customWidth="1"/>
    <col min="11" max="11" width="17.33203125" bestFit="1" customWidth="1"/>
    <col min="12" max="14" width="18.33203125" bestFit="1" customWidth="1"/>
    <col min="15" max="15" width="13.1640625" bestFit="1" customWidth="1"/>
  </cols>
  <sheetData>
    <row r="3" spans="2:15" ht="34" x14ac:dyDescent="0.2">
      <c r="B3" s="25" t="s">
        <v>37</v>
      </c>
      <c r="C3" s="26">
        <v>7527</v>
      </c>
    </row>
    <row r="5" spans="2:15" x14ac:dyDescent="0.2">
      <c r="B5" s="29" t="s">
        <v>63</v>
      </c>
    </row>
    <row r="6" spans="2:15" ht="17" x14ac:dyDescent="0.2">
      <c r="B6" s="18" t="s">
        <v>0</v>
      </c>
      <c r="C6" s="19" t="s">
        <v>1</v>
      </c>
      <c r="D6" s="19" t="s">
        <v>2</v>
      </c>
      <c r="E6" s="19" t="s">
        <v>3</v>
      </c>
      <c r="F6" s="19" t="s">
        <v>4</v>
      </c>
      <c r="G6" s="19" t="s">
        <v>5</v>
      </c>
      <c r="H6" s="19" t="s">
        <v>6</v>
      </c>
      <c r="I6" s="20" t="s">
        <v>7</v>
      </c>
      <c r="J6" s="20" t="s">
        <v>8</v>
      </c>
      <c r="K6" s="20" t="s">
        <v>9</v>
      </c>
      <c r="L6" s="20" t="s">
        <v>10</v>
      </c>
      <c r="M6" s="20" t="s">
        <v>11</v>
      </c>
      <c r="N6" s="20" t="s">
        <v>12</v>
      </c>
      <c r="O6" s="20" t="s">
        <v>13</v>
      </c>
    </row>
    <row r="7" spans="2:15" s="17" customFormat="1" ht="31" customHeight="1" x14ac:dyDescent="0.2">
      <c r="B7" s="24" t="s">
        <v>85</v>
      </c>
      <c r="C7" s="21">
        <f>Table_1.1.8_Mean_heating_degree_days_in_Great_Britain[[#This Row],[January]]</f>
        <v>10.591253174857798</v>
      </c>
      <c r="D7" s="21">
        <f>Table_1.1.8_Mean_heating_degree_days_in_Great_Britain[[#This Row],[February]]</f>
        <v>10.331654475190337</v>
      </c>
      <c r="E7" s="21">
        <f>Table_1.1.8_Mean_heating_degree_days_in_Great_Britain[[#This Row],[March]]</f>
        <v>8.7443241018453985</v>
      </c>
      <c r="F7" s="21">
        <f>Table_1.1.8_Mean_heating_degree_days_in_Great_Britain[[#This Row],[April]]</f>
        <v>6.6107303211084236</v>
      </c>
      <c r="G7" s="21">
        <f>Table_1.1.8_Mean_heating_degree_days_in_Great_Britain[[#This Row],[May]]</f>
        <v>3.8731421840134557</v>
      </c>
      <c r="H7" s="21">
        <f>Table_1.1.8_Mean_heating_degree_days_in_Great_Britain[[#This Row],[June]]</f>
        <v>1.7088802014572992</v>
      </c>
      <c r="I7" s="21">
        <f>Table_1.1.8_Mean_heating_degree_days_in_Great_Britain[[#This Row],[July]]</f>
        <v>0.61067221367065916</v>
      </c>
      <c r="J7" s="21">
        <f>Table_1.1.8_Mean_heating_degree_days_in_Great_Britain[[#This Row],[August]]</f>
        <v>0.67392994146732943</v>
      </c>
      <c r="K7" s="21">
        <f>Table_1.1.8_Mean_heating_degree_days_in_Great_Britain[[#This Row],[September]]</f>
        <v>1.9294968501006471</v>
      </c>
      <c r="L7" s="21">
        <f>Table_1.1.8_Mean_heating_degree_days_in_Great_Britain[[#This Row],[October]]</f>
        <v>4.6426106976911479</v>
      </c>
      <c r="M7" s="21">
        <f>Table_1.1.8_Mean_heating_degree_days_in_Great_Britain[[#This Row],[November]]</f>
        <v>7.9338588991331989</v>
      </c>
      <c r="N7" s="21">
        <f>Table_1.1.8_Mean_heating_degree_days_in_Great_Britain[[#This Row],[December]]</f>
        <v>10.331529013493649</v>
      </c>
      <c r="O7" s="21"/>
    </row>
    <row r="8" spans="2:15" ht="17" x14ac:dyDescent="0.2">
      <c r="B8" s="19" t="s">
        <v>14</v>
      </c>
      <c r="C8" s="22">
        <v>31</v>
      </c>
      <c r="D8" s="22">
        <v>28</v>
      </c>
      <c r="E8" s="22">
        <v>31</v>
      </c>
      <c r="F8" s="22">
        <v>30</v>
      </c>
      <c r="G8" s="22">
        <v>31</v>
      </c>
      <c r="H8" s="22">
        <v>30</v>
      </c>
      <c r="I8" s="23">
        <v>31</v>
      </c>
      <c r="J8" s="23">
        <v>31</v>
      </c>
      <c r="K8" s="23">
        <v>30</v>
      </c>
      <c r="L8" s="23">
        <v>31</v>
      </c>
      <c r="M8" s="23">
        <v>30</v>
      </c>
      <c r="N8" s="23">
        <v>31</v>
      </c>
      <c r="O8" s="23">
        <f>SUM(C8:N8)</f>
        <v>365</v>
      </c>
    </row>
    <row r="9" spans="2:15" s="26" customFormat="1" ht="17" x14ac:dyDescent="0.2">
      <c r="B9" s="27" t="s">
        <v>49</v>
      </c>
      <c r="C9" s="28">
        <f>C7*C8</f>
        <v>328.32884842059173</v>
      </c>
      <c r="D9" s="28">
        <f t="shared" ref="D9:N9" si="0">D7*D8</f>
        <v>289.28632530532946</v>
      </c>
      <c r="E9" s="28">
        <f t="shared" si="0"/>
        <v>271.07404715720736</v>
      </c>
      <c r="F9" s="28">
        <f t="shared" si="0"/>
        <v>198.32190963325272</v>
      </c>
      <c r="G9" s="28">
        <f t="shared" si="0"/>
        <v>120.06740770441712</v>
      </c>
      <c r="H9" s="28">
        <f t="shared" si="0"/>
        <v>51.26640604371898</v>
      </c>
      <c r="I9" s="28">
        <f t="shared" si="0"/>
        <v>18.930838623790432</v>
      </c>
      <c r="J9" s="28">
        <f t="shared" si="0"/>
        <v>20.891828185487213</v>
      </c>
      <c r="K9" s="28">
        <f t="shared" si="0"/>
        <v>57.884905503019411</v>
      </c>
      <c r="L9" s="28">
        <f t="shared" si="0"/>
        <v>143.92093162842559</v>
      </c>
      <c r="M9" s="28">
        <f t="shared" si="0"/>
        <v>238.01576697399597</v>
      </c>
      <c r="N9" s="28">
        <f t="shared" si="0"/>
        <v>320.2773994183031</v>
      </c>
      <c r="O9" s="28">
        <f>SUM(C9:N9)</f>
        <v>2058.2666145975386</v>
      </c>
    </row>
    <row r="10" spans="2:15" s="26" customFormat="1" ht="17" x14ac:dyDescent="0.2">
      <c r="B10" s="27" t="s">
        <v>36</v>
      </c>
      <c r="C10" s="31">
        <f>C9/$O$9</f>
        <v>0.15951716171852268</v>
      </c>
      <c r="D10" s="31">
        <f t="shared" ref="D10:N10" si="1">D9/$O$9</f>
        <v>0.14054851944527838</v>
      </c>
      <c r="E10" s="31">
        <f t="shared" si="1"/>
        <v>0.1317001622796139</v>
      </c>
      <c r="F10" s="31">
        <f t="shared" si="1"/>
        <v>9.6353848537756817E-2</v>
      </c>
      <c r="G10" s="31">
        <f t="shared" si="1"/>
        <v>5.8334234667598885E-2</v>
      </c>
      <c r="H10" s="31">
        <f t="shared" si="1"/>
        <v>2.4907563325436009E-2</v>
      </c>
      <c r="I10" s="31">
        <f t="shared" si="1"/>
        <v>9.1974666884892652E-3</v>
      </c>
      <c r="J10" s="31">
        <f t="shared" si="1"/>
        <v>1.0150205049879934E-2</v>
      </c>
      <c r="K10" s="31">
        <f t="shared" si="1"/>
        <v>2.8123132879137664E-2</v>
      </c>
      <c r="L10" s="31">
        <f t="shared" si="1"/>
        <v>6.9923366879546381E-2</v>
      </c>
      <c r="M10" s="31">
        <f t="shared" si="1"/>
        <v>0.11563893874872774</v>
      </c>
      <c r="N10" s="31">
        <f t="shared" si="1"/>
        <v>0.15560539978001259</v>
      </c>
      <c r="O10" s="32">
        <f>SUM(C10:N10)</f>
        <v>1.0000000000000004</v>
      </c>
    </row>
    <row r="11" spans="2:15" s="26" customFormat="1" ht="34" x14ac:dyDescent="0.2">
      <c r="B11" s="27" t="s">
        <v>38</v>
      </c>
      <c r="C11" s="34">
        <f t="shared" ref="C11:N11" si="2">$C$3*C10</f>
        <v>1200.6856762553202</v>
      </c>
      <c r="D11" s="34">
        <f t="shared" si="2"/>
        <v>1057.9087058646103</v>
      </c>
      <c r="E11" s="34">
        <f t="shared" si="2"/>
        <v>991.30712147865381</v>
      </c>
      <c r="F11" s="34">
        <f t="shared" si="2"/>
        <v>725.25541794369553</v>
      </c>
      <c r="G11" s="34">
        <f t="shared" si="2"/>
        <v>439.08178434301681</v>
      </c>
      <c r="H11" s="34">
        <f t="shared" si="2"/>
        <v>187.47922915055685</v>
      </c>
      <c r="I11" s="34">
        <f t="shared" si="2"/>
        <v>69.229331764258703</v>
      </c>
      <c r="J11" s="34">
        <f t="shared" si="2"/>
        <v>76.400593410446263</v>
      </c>
      <c r="K11" s="34">
        <f t="shared" si="2"/>
        <v>211.68282118126919</v>
      </c>
      <c r="L11" s="34">
        <f t="shared" si="2"/>
        <v>526.31318250234563</v>
      </c>
      <c r="M11" s="34">
        <f t="shared" si="2"/>
        <v>870.41429196167371</v>
      </c>
      <c r="N11" s="34">
        <f t="shared" si="2"/>
        <v>1171.2418441441548</v>
      </c>
      <c r="O11" s="33">
        <f>SUM(C11:N11)</f>
        <v>7527.0000000000009</v>
      </c>
    </row>
    <row r="12" spans="2:15" s="26" customFormat="1" ht="17" x14ac:dyDescent="0.2">
      <c r="B12" s="27" t="s">
        <v>58</v>
      </c>
      <c r="C12" s="28">
        <f>C11/'Heat System Daily Operation'!AH10</f>
        <v>3.5107768311559071</v>
      </c>
      <c r="D12" s="28">
        <f>D11/'Heat System Daily Operation'!AI10</f>
        <v>3.4347685255344489</v>
      </c>
      <c r="E12" s="28">
        <f>E11/'Heat System Daily Operation'!AJ10</f>
        <v>2.9591257357571754</v>
      </c>
      <c r="F12" s="28">
        <f>F11/'Heat System Daily Operation'!AK10</f>
        <v>2.1331041704226341</v>
      </c>
      <c r="G12" s="28">
        <f>G11/'Heat System Daily Operation'!AL10</f>
        <v>1.3106918935612442</v>
      </c>
      <c r="H12" s="28">
        <f>H11/'Heat System Daily Operation'!AM10</f>
        <v>0.57508965997103323</v>
      </c>
      <c r="I12" s="28">
        <f>I11/'Heat System Daily Operation'!AN10</f>
        <v>0.19836484746205932</v>
      </c>
      <c r="J12" s="28">
        <f>J11/'Heat System Daily Operation'!AO10</f>
        <v>0.22806147286700376</v>
      </c>
      <c r="K12" s="28">
        <f>K11/'Heat System Daily Operation'!AP10</f>
        <v>0.63568414769149906</v>
      </c>
      <c r="L12" s="28">
        <f>L11/'Heat System Daily Operation'!AQ10</f>
        <v>1.5389274342173849</v>
      </c>
      <c r="M12" s="28">
        <f>M11/'Heat System Daily Operation'!AR10</f>
        <v>2.6699824906799807</v>
      </c>
      <c r="N12" s="28">
        <f>N11/'Heat System Daily Operation'!AS10</f>
        <v>3.3559938227626214</v>
      </c>
      <c r="O12" s="33"/>
    </row>
    <row r="13" spans="2:15" x14ac:dyDescent="0.2">
      <c r="C13">
        <f>C11/(C8*24)</f>
        <v>1.6138248336765058</v>
      </c>
    </row>
    <row r="14" spans="2:15" s="36" customFormat="1" ht="51" x14ac:dyDescent="0.2">
      <c r="B14" s="47" t="s">
        <v>57</v>
      </c>
      <c r="C14" s="45" t="s">
        <v>51</v>
      </c>
      <c r="D14" s="25" t="s">
        <v>52</v>
      </c>
      <c r="E14" s="25" t="s">
        <v>53</v>
      </c>
      <c r="F14" s="36" t="s">
        <v>46</v>
      </c>
      <c r="H14" s="36" t="s">
        <v>79</v>
      </c>
    </row>
    <row r="15" spans="2:15" x14ac:dyDescent="0.2">
      <c r="B15" s="29" t="str">
        <f>B7</f>
        <v>Mean Degree-Days 
(k.days)</v>
      </c>
      <c r="C15" s="40">
        <f>AVERAGE(C7,D7,N7)</f>
        <v>10.418145554513927</v>
      </c>
      <c r="D15" s="40">
        <f>AVERAGE(E7,F7,G7,K7,L7,M7)</f>
        <v>5.6223605089820454</v>
      </c>
      <c r="E15" s="40">
        <f>AVERAGE(H7,I7,J7)</f>
        <v>0.99782745219842928</v>
      </c>
    </row>
    <row r="16" spans="2:15" x14ac:dyDescent="0.2">
      <c r="B16" s="29" t="s">
        <v>50</v>
      </c>
      <c r="C16" s="44">
        <f>C10+D10+N10</f>
        <v>0.45567108094381364</v>
      </c>
      <c r="D16" s="44">
        <f>SUM(E10:G10)+SUM(K10:M10)</f>
        <v>0.50007368399238139</v>
      </c>
      <c r="E16" s="44">
        <f>SUM(H10:J10)</f>
        <v>4.4255235063805208E-2</v>
      </c>
      <c r="F16" s="44">
        <f>SUM(C16:E16)</f>
        <v>1.0000000000000002</v>
      </c>
    </row>
    <row r="17" spans="1:8" x14ac:dyDescent="0.2">
      <c r="B17" s="29" t="s">
        <v>55</v>
      </c>
      <c r="C17">
        <f>N8+C8+D8</f>
        <v>90</v>
      </c>
      <c r="D17">
        <f>SUM(E8:G8)+SUM(K8:M8)</f>
        <v>183</v>
      </c>
      <c r="E17">
        <f>SUM(H8:J8)</f>
        <v>92</v>
      </c>
      <c r="F17">
        <f>SUM(C17:E17)</f>
        <v>365</v>
      </c>
    </row>
    <row r="18" spans="1:8" x14ac:dyDescent="0.2">
      <c r="B18" s="29" t="s">
        <v>56</v>
      </c>
      <c r="C18" s="35">
        <f>C11+D11+N11</f>
        <v>3429.8362262640858</v>
      </c>
      <c r="D18" s="35">
        <f>SUM(E11:G11)+SUM(K11:M11)</f>
        <v>3764.0546194106546</v>
      </c>
      <c r="E18" s="35">
        <f>SUM(H11:J11)</f>
        <v>333.10915432526184</v>
      </c>
      <c r="F18">
        <f>SUM(C18:E18)</f>
        <v>7527.0000000000018</v>
      </c>
      <c r="G18" t="b">
        <f>IF(F18=C3, TRUE,FALSE)</f>
        <v>1</v>
      </c>
    </row>
    <row r="19" spans="1:8" x14ac:dyDescent="0.2">
      <c r="B19" s="29" t="str">
        <f>B12</f>
        <v>kWh/h when heating called</v>
      </c>
      <c r="C19" s="48">
        <f>C18/('Heat System Daily Operation'!AH10+'Heat System Daily Operation'!AI10+'Heat System Daily Operation'!AS10)</f>
        <v>3.4332694957598457</v>
      </c>
      <c r="D19" s="48">
        <f>D18/('Heat System Daily Operation'!AJ10+'Heat System Daily Operation'!AK10+'Heat System Daily Operation'!AL10+'Heat System Daily Operation'!AP10+'Heat System Daily Operation'!AQ10+'Heat System Daily Operation'!AR10)</f>
        <v>1.8717327794185254</v>
      </c>
      <c r="E19" s="48">
        <f>E18/SUM('Heat System Daily Operation'!AM10:AO10)</f>
        <v>0.32981104388639787</v>
      </c>
    </row>
    <row r="20" spans="1:8" x14ac:dyDescent="0.2">
      <c r="C20" s="40"/>
    </row>
    <row r="21" spans="1:8" x14ac:dyDescent="0.2">
      <c r="B21" s="29" t="s">
        <v>84</v>
      </c>
      <c r="C21" s="40">
        <f>AVERAGE(8.79,8.42,8.98)</f>
        <v>8.73</v>
      </c>
      <c r="D21" s="40">
        <f>AVERAGE(11.73,15,18.37,20.22,15.81,11.47)</f>
        <v>15.433333333333332</v>
      </c>
      <c r="E21" s="40">
        <f>AVERAGE(21.57,23.89,23.4)</f>
        <v>22.953333333333333</v>
      </c>
      <c r="H21" s="56" t="s">
        <v>80</v>
      </c>
    </row>
    <row r="22" spans="1:8" ht="34" x14ac:dyDescent="0.2">
      <c r="A22" s="71"/>
      <c r="B22" s="90" t="s">
        <v>86</v>
      </c>
      <c r="C22" s="71"/>
      <c r="D22" s="71"/>
      <c r="E22" s="71"/>
    </row>
    <row r="23" spans="1:8" x14ac:dyDescent="0.2">
      <c r="A23" s="71"/>
      <c r="B23" s="91" t="s">
        <v>81</v>
      </c>
      <c r="C23" s="71">
        <v>2.9</v>
      </c>
      <c r="D23" s="71">
        <v>3.3</v>
      </c>
      <c r="E23" s="71">
        <v>3.4</v>
      </c>
    </row>
    <row r="24" spans="1:8" x14ac:dyDescent="0.2">
      <c r="A24" s="71"/>
      <c r="B24" s="91" t="s">
        <v>82</v>
      </c>
      <c r="C24" s="71">
        <v>3.5</v>
      </c>
      <c r="D24" s="92">
        <v>4</v>
      </c>
      <c r="E24" s="71">
        <v>4.2</v>
      </c>
    </row>
    <row r="25" spans="1:8" x14ac:dyDescent="0.2">
      <c r="A25" s="71"/>
      <c r="B25" s="91" t="s">
        <v>83</v>
      </c>
      <c r="C25" s="71">
        <v>4.5</v>
      </c>
      <c r="D25" s="71">
        <v>5.0999999999999996</v>
      </c>
      <c r="E25" s="71">
        <v>5.4</v>
      </c>
    </row>
    <row r="26" spans="1:8" x14ac:dyDescent="0.2">
      <c r="A26" s="71"/>
      <c r="B26" s="91"/>
      <c r="C26" s="71"/>
      <c r="D26" s="71"/>
      <c r="E26" s="71"/>
    </row>
    <row r="27" spans="1:8" x14ac:dyDescent="0.2">
      <c r="B27" s="47" t="s">
        <v>130</v>
      </c>
      <c r="C27" s="133" t="s">
        <v>133</v>
      </c>
      <c r="D27" s="133"/>
      <c r="E27" s="133"/>
    </row>
    <row r="28" spans="1:8" x14ac:dyDescent="0.2">
      <c r="B28" s="57" t="str">
        <f>B21</f>
        <v>Average Air Temperature (°C)</v>
      </c>
      <c r="C28">
        <v>7</v>
      </c>
      <c r="D28" s="40">
        <f>D21</f>
        <v>15.433333333333332</v>
      </c>
      <c r="E28" s="40">
        <f>E21</f>
        <v>22.953333333333333</v>
      </c>
      <c r="F28" s="57" t="s">
        <v>129</v>
      </c>
      <c r="G28" s="93">
        <v>9.1999999999999998E-2</v>
      </c>
    </row>
    <row r="29" spans="1:8" x14ac:dyDescent="0.2">
      <c r="B29" s="57" t="s">
        <v>134</v>
      </c>
      <c r="C29">
        <v>4.5999999999999996</v>
      </c>
      <c r="D29" s="40">
        <f>$C$29+($G$28*(D21-$C$28))</f>
        <v>5.3758666666666661</v>
      </c>
      <c r="E29" s="40">
        <f>$C$29+($G$28*(E21-$C$28))</f>
        <v>6.0677066666666661</v>
      </c>
    </row>
    <row r="30" spans="1:8" x14ac:dyDescent="0.2">
      <c r="B30" s="57" t="s">
        <v>132</v>
      </c>
      <c r="C30" s="40">
        <f>C29</f>
        <v>4.5999999999999996</v>
      </c>
      <c r="D30" s="40">
        <f>D29</f>
        <v>5.3758666666666661</v>
      </c>
      <c r="E30" s="40">
        <f>E29</f>
        <v>6.0677066666666661</v>
      </c>
    </row>
    <row r="31" spans="1:8" x14ac:dyDescent="0.2">
      <c r="B31" s="57" t="s">
        <v>135</v>
      </c>
      <c r="C31">
        <v>9.5</v>
      </c>
      <c r="D31">
        <f>C31</f>
        <v>9.5</v>
      </c>
      <c r="E31">
        <f>D31</f>
        <v>9.5</v>
      </c>
      <c r="F31" t="s">
        <v>153</v>
      </c>
    </row>
    <row r="32" spans="1:8" x14ac:dyDescent="0.2">
      <c r="B32" s="57" t="s">
        <v>151</v>
      </c>
      <c r="C32" s="40">
        <f>(C31-C33)/2+C33</f>
        <v>7.12</v>
      </c>
      <c r="D32" s="40">
        <f>C32</f>
        <v>7.12</v>
      </c>
      <c r="E32" s="40">
        <f>D32</f>
        <v>7.12</v>
      </c>
      <c r="F32" t="s">
        <v>154</v>
      </c>
    </row>
    <row r="33" spans="2:6" x14ac:dyDescent="0.2">
      <c r="B33" s="57" t="s">
        <v>152</v>
      </c>
      <c r="C33">
        <v>4.74</v>
      </c>
      <c r="F33" t="str">
        <f>F31</f>
        <v>Daikin datasheet</v>
      </c>
    </row>
    <row r="34" spans="2:6" ht="20" x14ac:dyDescent="0.2">
      <c r="B34" s="58"/>
    </row>
    <row r="56" spans="9:9" x14ac:dyDescent="0.2">
      <c r="I56" t="s">
        <v>176</v>
      </c>
    </row>
    <row r="57" spans="9:9" x14ac:dyDescent="0.2">
      <c r="I57" t="s">
        <v>177</v>
      </c>
    </row>
    <row r="58" spans="9:9" x14ac:dyDescent="0.2">
      <c r="I58" t="s">
        <v>178</v>
      </c>
    </row>
    <row r="59" spans="9:9" x14ac:dyDescent="0.2">
      <c r="I59">
        <v>2024</v>
      </c>
    </row>
  </sheetData>
  <mergeCells count="1">
    <mergeCell ref="C27:E27"/>
  </mergeCells>
  <hyperlinks>
    <hyperlink ref="H21" r:id="rId1" xr:uid="{0E0058E0-134B-F94F-AEFB-603DEDFA3278}"/>
  </hyperlinks>
  <pageMargins left="0.7" right="0.7" top="0.75" bottom="0.75" header="0.3" footer="0.3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91D1B-335C-DD47-8525-3CCD09656FBA}">
  <sheetPr codeName="Sheet3"/>
  <dimension ref="D4:AT377"/>
  <sheetViews>
    <sheetView topLeftCell="A18" zoomScale="80" zoomScaleNormal="80" workbookViewId="0">
      <selection activeCell="D9" sqref="D9"/>
    </sheetView>
  </sheetViews>
  <sheetFormatPr baseColWidth="10" defaultRowHeight="16" x14ac:dyDescent="0.2"/>
  <cols>
    <col min="3" max="3" width="12.6640625" customWidth="1"/>
    <col min="4" max="4" width="31.33203125" customWidth="1"/>
    <col min="5" max="5" width="31.33203125" style="17" customWidth="1"/>
    <col min="6" max="29" width="10.83203125" style="17"/>
    <col min="31" max="31" width="12.1640625" customWidth="1"/>
  </cols>
  <sheetData>
    <row r="4" spans="4:46" x14ac:dyDescent="0.2">
      <c r="D4" s="30"/>
      <c r="E4" s="46" t="s">
        <v>39</v>
      </c>
      <c r="F4" s="17">
        <v>1</v>
      </c>
      <c r="G4" s="17">
        <v>2</v>
      </c>
      <c r="H4" s="17">
        <v>3</v>
      </c>
      <c r="I4" s="17">
        <v>4</v>
      </c>
      <c r="J4" s="17">
        <v>5</v>
      </c>
      <c r="K4" s="17">
        <v>6</v>
      </c>
      <c r="L4" s="17">
        <v>7</v>
      </c>
      <c r="M4" s="17">
        <v>8</v>
      </c>
      <c r="N4" s="17">
        <v>9</v>
      </c>
      <c r="O4" s="17">
        <v>10</v>
      </c>
      <c r="P4" s="17">
        <v>11</v>
      </c>
      <c r="Q4" s="17">
        <v>12</v>
      </c>
      <c r="R4" s="17">
        <v>13</v>
      </c>
      <c r="S4" s="17">
        <v>14</v>
      </c>
      <c r="T4" s="17">
        <v>15</v>
      </c>
      <c r="U4" s="17">
        <v>16</v>
      </c>
      <c r="V4" s="17">
        <v>17</v>
      </c>
      <c r="W4" s="17">
        <v>18</v>
      </c>
      <c r="X4" s="17">
        <v>19</v>
      </c>
      <c r="Y4" s="17">
        <v>20</v>
      </c>
      <c r="Z4" s="17">
        <v>21</v>
      </c>
      <c r="AA4" s="17">
        <v>22</v>
      </c>
      <c r="AB4" s="17">
        <v>23</v>
      </c>
      <c r="AC4" s="17">
        <v>24</v>
      </c>
    </row>
    <row r="5" spans="4:46" x14ac:dyDescent="0.2">
      <c r="D5" t="s">
        <v>40</v>
      </c>
      <c r="E5" s="17" t="s">
        <v>41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1</v>
      </c>
      <c r="M5" s="17">
        <v>1</v>
      </c>
      <c r="N5" s="17">
        <v>1</v>
      </c>
      <c r="O5" s="17">
        <v>1</v>
      </c>
      <c r="P5" s="17">
        <v>1</v>
      </c>
      <c r="Q5" s="17">
        <v>1</v>
      </c>
      <c r="R5" s="17">
        <v>1</v>
      </c>
      <c r="S5" s="17">
        <v>1</v>
      </c>
      <c r="T5" s="17">
        <v>1</v>
      </c>
      <c r="U5" s="17">
        <v>1</v>
      </c>
      <c r="V5" s="17">
        <v>1</v>
      </c>
      <c r="W5" s="17">
        <v>1</v>
      </c>
      <c r="X5" s="17">
        <v>1</v>
      </c>
      <c r="Y5" s="17">
        <v>1</v>
      </c>
      <c r="Z5" s="17">
        <v>1</v>
      </c>
      <c r="AA5" s="17">
        <v>1</v>
      </c>
      <c r="AB5" s="17">
        <v>0</v>
      </c>
    </row>
    <row r="6" spans="4:46" x14ac:dyDescent="0.2">
      <c r="E6" s="17" t="s">
        <v>42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1</v>
      </c>
      <c r="M6" s="17">
        <v>1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1</v>
      </c>
      <c r="V6" s="17">
        <v>1</v>
      </c>
      <c r="W6" s="17">
        <v>1</v>
      </c>
      <c r="X6" s="17">
        <v>1</v>
      </c>
      <c r="Y6" s="17">
        <v>1</v>
      </c>
      <c r="Z6" s="17">
        <v>1</v>
      </c>
      <c r="AA6" s="17">
        <v>1</v>
      </c>
      <c r="AB6" s="17">
        <v>0</v>
      </c>
      <c r="AC6" s="17">
        <v>0</v>
      </c>
    </row>
    <row r="7" spans="4:46" x14ac:dyDescent="0.2">
      <c r="AJ7" s="29"/>
      <c r="AK7" s="29"/>
      <c r="AL7" s="29"/>
      <c r="AM7" s="29"/>
      <c r="AN7" s="29"/>
      <c r="AO7" s="29"/>
      <c r="AP7" s="29"/>
      <c r="AQ7" s="29"/>
      <c r="AR7" s="29"/>
    </row>
    <row r="8" spans="4:46" x14ac:dyDescent="0.2">
      <c r="AD8" s="29" t="s">
        <v>13</v>
      </c>
      <c r="AE8" s="29" t="s">
        <v>43</v>
      </c>
      <c r="AH8" s="29" t="s">
        <v>54</v>
      </c>
      <c r="AI8" s="29"/>
      <c r="AJ8" s="29"/>
      <c r="AK8" s="29"/>
      <c r="AL8" s="29"/>
      <c r="AM8" s="29"/>
      <c r="AN8" s="29"/>
      <c r="AO8" s="29"/>
      <c r="AP8" s="29"/>
      <c r="AQ8" s="29"/>
      <c r="AR8" s="29"/>
    </row>
    <row r="9" spans="4:46" x14ac:dyDescent="0.2">
      <c r="D9" s="37">
        <v>44927</v>
      </c>
      <c r="E9" s="17" t="str">
        <f>IF(WEEKDAY(D9, 2)&lt;6, "weekday", "weekend")</f>
        <v>weekend</v>
      </c>
      <c r="F9" s="17">
        <f>IF($E9=$E$5,(F$5),(F$6))</f>
        <v>0</v>
      </c>
      <c r="G9" s="17">
        <f t="shared" ref="G9:AC9" si="0">IF($E9=$E$5,(G$5),(G$6))</f>
        <v>0</v>
      </c>
      <c r="H9" s="17">
        <f t="shared" si="0"/>
        <v>0</v>
      </c>
      <c r="I9" s="17">
        <f t="shared" si="0"/>
        <v>0</v>
      </c>
      <c r="J9" s="17">
        <f t="shared" si="0"/>
        <v>0</v>
      </c>
      <c r="K9" s="17">
        <f t="shared" si="0"/>
        <v>0</v>
      </c>
      <c r="L9" s="17">
        <f t="shared" si="0"/>
        <v>1</v>
      </c>
      <c r="M9" s="17">
        <f t="shared" si="0"/>
        <v>1</v>
      </c>
      <c r="N9" s="17">
        <f t="shared" si="0"/>
        <v>1</v>
      </c>
      <c r="O9" s="17">
        <f t="shared" si="0"/>
        <v>1</v>
      </c>
      <c r="P9" s="17">
        <f t="shared" si="0"/>
        <v>1</v>
      </c>
      <c r="Q9" s="17">
        <f t="shared" si="0"/>
        <v>1</v>
      </c>
      <c r="R9" s="17">
        <f t="shared" si="0"/>
        <v>1</v>
      </c>
      <c r="S9" s="17">
        <f t="shared" si="0"/>
        <v>1</v>
      </c>
      <c r="T9" s="17">
        <f t="shared" si="0"/>
        <v>1</v>
      </c>
      <c r="U9" s="17">
        <f t="shared" si="0"/>
        <v>1</v>
      </c>
      <c r="V9" s="17">
        <f t="shared" si="0"/>
        <v>1</v>
      </c>
      <c r="W9" s="17">
        <f t="shared" si="0"/>
        <v>1</v>
      </c>
      <c r="X9" s="17">
        <f t="shared" si="0"/>
        <v>1</v>
      </c>
      <c r="Y9" s="17">
        <f t="shared" si="0"/>
        <v>1</v>
      </c>
      <c r="Z9" s="17">
        <f t="shared" si="0"/>
        <v>1</v>
      </c>
      <c r="AA9" s="17">
        <f t="shared" si="0"/>
        <v>1</v>
      </c>
      <c r="AB9" s="17">
        <f t="shared" si="0"/>
        <v>0</v>
      </c>
      <c r="AC9" s="17">
        <f t="shared" si="0"/>
        <v>0</v>
      </c>
      <c r="AD9" s="17">
        <f>SUM(F9:AC9)</f>
        <v>16</v>
      </c>
      <c r="AE9" t="s">
        <v>1</v>
      </c>
      <c r="AF9" s="17">
        <f>SUM(AD9:AD39)</f>
        <v>342</v>
      </c>
      <c r="AH9" s="29" t="str" cm="1">
        <f t="array" ref="AH9:AS10">TRANSPOSE(AE9:AF20)</f>
        <v>Jan</v>
      </c>
      <c r="AI9" s="29" t="str">
        <v>Feb</v>
      </c>
      <c r="AJ9" s="29" t="str">
        <v>Mar</v>
      </c>
      <c r="AK9" s="29" t="str">
        <v>Apr</v>
      </c>
      <c r="AL9" s="29" t="str">
        <v>May</v>
      </c>
      <c r="AM9" s="29" t="str">
        <v>Jun</v>
      </c>
      <c r="AN9" s="29" t="str">
        <v>Jul</v>
      </c>
      <c r="AO9" s="29" t="str">
        <v>Aug</v>
      </c>
      <c r="AP9" s="29" t="str">
        <v>Sep</v>
      </c>
      <c r="AQ9" s="29" t="str">
        <v>Oct</v>
      </c>
      <c r="AR9" s="29" t="str">
        <v>Nov</v>
      </c>
      <c r="AS9" s="29" t="str">
        <v>Dec</v>
      </c>
      <c r="AT9" s="29" t="s">
        <v>13</v>
      </c>
    </row>
    <row r="10" spans="4:46" x14ac:dyDescent="0.2">
      <c r="D10" s="37">
        <v>44928</v>
      </c>
      <c r="E10" s="17" t="str">
        <f t="shared" ref="E10:E73" si="1">IF(WEEKDAY(D10, 2)&lt;6, "weekday", "weekend")</f>
        <v>weekday</v>
      </c>
      <c r="F10" s="17">
        <f t="shared" ref="F10:U25" si="2">IF($E10=$E$5,(F$5),(F$6))</f>
        <v>0</v>
      </c>
      <c r="G10" s="17">
        <f t="shared" si="2"/>
        <v>0</v>
      </c>
      <c r="H10" s="17">
        <f t="shared" si="2"/>
        <v>0</v>
      </c>
      <c r="I10" s="17">
        <f t="shared" si="2"/>
        <v>0</v>
      </c>
      <c r="J10" s="17">
        <f t="shared" si="2"/>
        <v>0</v>
      </c>
      <c r="K10" s="17">
        <f t="shared" si="2"/>
        <v>0</v>
      </c>
      <c r="L10" s="17">
        <f t="shared" si="2"/>
        <v>1</v>
      </c>
      <c r="M10" s="17">
        <f t="shared" si="2"/>
        <v>1</v>
      </c>
      <c r="N10" s="17">
        <f t="shared" si="2"/>
        <v>0</v>
      </c>
      <c r="O10" s="17">
        <f t="shared" si="2"/>
        <v>0</v>
      </c>
      <c r="P10" s="17">
        <f t="shared" si="2"/>
        <v>0</v>
      </c>
      <c r="Q10" s="17">
        <f t="shared" si="2"/>
        <v>0</v>
      </c>
      <c r="R10" s="17">
        <f t="shared" si="2"/>
        <v>0</v>
      </c>
      <c r="S10" s="17">
        <f t="shared" si="2"/>
        <v>0</v>
      </c>
      <c r="T10" s="17">
        <f t="shared" si="2"/>
        <v>0</v>
      </c>
      <c r="U10" s="17">
        <f t="shared" si="2"/>
        <v>1</v>
      </c>
      <c r="V10" s="17">
        <f t="shared" ref="V10:AC24" si="3">IF($E10=$E$5,(V$5),(V$6))</f>
        <v>1</v>
      </c>
      <c r="W10" s="17">
        <f t="shared" si="3"/>
        <v>1</v>
      </c>
      <c r="X10" s="17">
        <f t="shared" si="3"/>
        <v>1</v>
      </c>
      <c r="Y10" s="17">
        <f t="shared" si="3"/>
        <v>1</v>
      </c>
      <c r="Z10" s="17">
        <f t="shared" si="3"/>
        <v>1</v>
      </c>
      <c r="AA10" s="17">
        <f t="shared" si="3"/>
        <v>1</v>
      </c>
      <c r="AB10" s="17">
        <f t="shared" si="3"/>
        <v>0</v>
      </c>
      <c r="AC10" s="17">
        <f t="shared" si="3"/>
        <v>0</v>
      </c>
      <c r="AD10" s="17">
        <f t="shared" ref="AD10:AD73" si="4">SUM(F10:AC10)</f>
        <v>9</v>
      </c>
      <c r="AE10" t="s">
        <v>2</v>
      </c>
      <c r="AF10" s="17">
        <f>SUM(AD40:AD67)</f>
        <v>308</v>
      </c>
      <c r="AH10">
        <v>342</v>
      </c>
      <c r="AI10">
        <v>308</v>
      </c>
      <c r="AJ10">
        <v>335</v>
      </c>
      <c r="AK10">
        <v>340</v>
      </c>
      <c r="AL10">
        <v>335</v>
      </c>
      <c r="AM10">
        <v>326</v>
      </c>
      <c r="AN10">
        <v>349</v>
      </c>
      <c r="AO10">
        <v>335</v>
      </c>
      <c r="AP10">
        <v>333</v>
      </c>
      <c r="AQ10">
        <v>342</v>
      </c>
      <c r="AR10">
        <v>326</v>
      </c>
      <c r="AS10">
        <v>349</v>
      </c>
      <c r="AT10">
        <f>SUM(AH10:AS10)</f>
        <v>4020</v>
      </c>
    </row>
    <row r="11" spans="4:46" x14ac:dyDescent="0.2">
      <c r="D11" s="37">
        <v>44929</v>
      </c>
      <c r="E11" s="17" t="str">
        <f t="shared" si="1"/>
        <v>weekday</v>
      </c>
      <c r="F11" s="17">
        <f t="shared" si="2"/>
        <v>0</v>
      </c>
      <c r="G11" s="17">
        <f t="shared" si="2"/>
        <v>0</v>
      </c>
      <c r="H11" s="17">
        <f t="shared" si="2"/>
        <v>0</v>
      </c>
      <c r="I11" s="17">
        <f t="shared" si="2"/>
        <v>0</v>
      </c>
      <c r="J11" s="17">
        <f t="shared" si="2"/>
        <v>0</v>
      </c>
      <c r="K11" s="17">
        <f t="shared" si="2"/>
        <v>0</v>
      </c>
      <c r="L11" s="17">
        <f t="shared" si="2"/>
        <v>1</v>
      </c>
      <c r="M11" s="17">
        <f t="shared" si="2"/>
        <v>1</v>
      </c>
      <c r="N11" s="17">
        <f t="shared" si="2"/>
        <v>0</v>
      </c>
      <c r="O11" s="17">
        <f t="shared" si="2"/>
        <v>0</v>
      </c>
      <c r="P11" s="17">
        <f t="shared" si="2"/>
        <v>0</v>
      </c>
      <c r="Q11" s="17">
        <f t="shared" si="2"/>
        <v>0</v>
      </c>
      <c r="R11" s="17">
        <f t="shared" si="2"/>
        <v>0</v>
      </c>
      <c r="S11" s="17">
        <f t="shared" si="2"/>
        <v>0</v>
      </c>
      <c r="T11" s="17">
        <f t="shared" si="2"/>
        <v>0</v>
      </c>
      <c r="U11" s="17">
        <f t="shared" si="2"/>
        <v>1</v>
      </c>
      <c r="V11" s="17">
        <f t="shared" si="3"/>
        <v>1</v>
      </c>
      <c r="W11" s="17">
        <f t="shared" si="3"/>
        <v>1</v>
      </c>
      <c r="X11" s="17">
        <f t="shared" si="3"/>
        <v>1</v>
      </c>
      <c r="Y11" s="17">
        <f t="shared" si="3"/>
        <v>1</v>
      </c>
      <c r="Z11" s="17">
        <f t="shared" si="3"/>
        <v>1</v>
      </c>
      <c r="AA11" s="17">
        <f t="shared" si="3"/>
        <v>1</v>
      </c>
      <c r="AB11" s="17">
        <f t="shared" si="3"/>
        <v>0</v>
      </c>
      <c r="AC11" s="17">
        <f t="shared" si="3"/>
        <v>0</v>
      </c>
      <c r="AD11" s="17">
        <f t="shared" si="4"/>
        <v>9</v>
      </c>
      <c r="AE11" t="s">
        <v>3</v>
      </c>
      <c r="AF11" s="17">
        <f>SUM(AD68:AD98)</f>
        <v>335</v>
      </c>
    </row>
    <row r="12" spans="4:46" x14ac:dyDescent="0.2">
      <c r="D12" s="37">
        <v>44930</v>
      </c>
      <c r="E12" s="17" t="str">
        <f t="shared" si="1"/>
        <v>weekday</v>
      </c>
      <c r="F12" s="17">
        <f t="shared" si="2"/>
        <v>0</v>
      </c>
      <c r="G12" s="17">
        <f t="shared" si="2"/>
        <v>0</v>
      </c>
      <c r="H12" s="17">
        <f t="shared" si="2"/>
        <v>0</v>
      </c>
      <c r="I12" s="17">
        <f t="shared" si="2"/>
        <v>0</v>
      </c>
      <c r="J12" s="17">
        <f t="shared" si="2"/>
        <v>0</v>
      </c>
      <c r="K12" s="17">
        <f t="shared" si="2"/>
        <v>0</v>
      </c>
      <c r="L12" s="17">
        <f t="shared" si="2"/>
        <v>1</v>
      </c>
      <c r="M12" s="17">
        <f t="shared" si="2"/>
        <v>1</v>
      </c>
      <c r="N12" s="17">
        <f t="shared" si="2"/>
        <v>0</v>
      </c>
      <c r="O12" s="17">
        <f t="shared" si="2"/>
        <v>0</v>
      </c>
      <c r="P12" s="17">
        <f t="shared" si="2"/>
        <v>0</v>
      </c>
      <c r="Q12" s="17">
        <f t="shared" si="2"/>
        <v>0</v>
      </c>
      <c r="R12" s="17">
        <f t="shared" si="2"/>
        <v>0</v>
      </c>
      <c r="S12" s="17">
        <f t="shared" si="2"/>
        <v>0</v>
      </c>
      <c r="T12" s="17">
        <f t="shared" si="2"/>
        <v>0</v>
      </c>
      <c r="U12" s="17">
        <f t="shared" si="2"/>
        <v>1</v>
      </c>
      <c r="V12" s="17">
        <f t="shared" si="3"/>
        <v>1</v>
      </c>
      <c r="W12" s="17">
        <f t="shared" si="3"/>
        <v>1</v>
      </c>
      <c r="X12" s="17">
        <f t="shared" si="3"/>
        <v>1</v>
      </c>
      <c r="Y12" s="17">
        <f t="shared" si="3"/>
        <v>1</v>
      </c>
      <c r="Z12" s="17">
        <f t="shared" si="3"/>
        <v>1</v>
      </c>
      <c r="AA12" s="17">
        <f t="shared" si="3"/>
        <v>1</v>
      </c>
      <c r="AB12" s="17">
        <f t="shared" si="3"/>
        <v>0</v>
      </c>
      <c r="AC12" s="17">
        <f t="shared" si="3"/>
        <v>0</v>
      </c>
      <c r="AD12" s="17">
        <f t="shared" si="4"/>
        <v>9</v>
      </c>
      <c r="AE12" t="s">
        <v>4</v>
      </c>
      <c r="AF12" s="17">
        <f>SUM(AD99:AD128)</f>
        <v>340</v>
      </c>
    </row>
    <row r="13" spans="4:46" x14ac:dyDescent="0.2">
      <c r="D13" s="37">
        <v>44931</v>
      </c>
      <c r="E13" s="17" t="str">
        <f t="shared" si="1"/>
        <v>weekday</v>
      </c>
      <c r="F13" s="17">
        <f t="shared" si="2"/>
        <v>0</v>
      </c>
      <c r="G13" s="17">
        <f t="shared" si="2"/>
        <v>0</v>
      </c>
      <c r="H13" s="17">
        <f t="shared" si="2"/>
        <v>0</v>
      </c>
      <c r="I13" s="17">
        <f t="shared" si="2"/>
        <v>0</v>
      </c>
      <c r="J13" s="17">
        <f t="shared" si="2"/>
        <v>0</v>
      </c>
      <c r="K13" s="17">
        <f t="shared" si="2"/>
        <v>0</v>
      </c>
      <c r="L13" s="17">
        <f t="shared" si="2"/>
        <v>1</v>
      </c>
      <c r="M13" s="17">
        <f t="shared" si="2"/>
        <v>1</v>
      </c>
      <c r="N13" s="17">
        <f t="shared" si="2"/>
        <v>0</v>
      </c>
      <c r="O13" s="17">
        <f t="shared" si="2"/>
        <v>0</v>
      </c>
      <c r="P13" s="17">
        <f t="shared" si="2"/>
        <v>0</v>
      </c>
      <c r="Q13" s="17">
        <f t="shared" si="2"/>
        <v>0</v>
      </c>
      <c r="R13" s="17">
        <f t="shared" si="2"/>
        <v>0</v>
      </c>
      <c r="S13" s="17">
        <f t="shared" si="2"/>
        <v>0</v>
      </c>
      <c r="T13" s="17">
        <f t="shared" si="2"/>
        <v>0</v>
      </c>
      <c r="U13" s="17">
        <f t="shared" si="2"/>
        <v>1</v>
      </c>
      <c r="V13" s="17">
        <f t="shared" si="3"/>
        <v>1</v>
      </c>
      <c r="W13" s="17">
        <f t="shared" si="3"/>
        <v>1</v>
      </c>
      <c r="X13" s="17">
        <f t="shared" si="3"/>
        <v>1</v>
      </c>
      <c r="Y13" s="17">
        <f t="shared" si="3"/>
        <v>1</v>
      </c>
      <c r="Z13" s="17">
        <f t="shared" si="3"/>
        <v>1</v>
      </c>
      <c r="AA13" s="17">
        <f t="shared" si="3"/>
        <v>1</v>
      </c>
      <c r="AB13" s="17">
        <f t="shared" si="3"/>
        <v>0</v>
      </c>
      <c r="AC13" s="17">
        <f t="shared" si="3"/>
        <v>0</v>
      </c>
      <c r="AD13" s="17">
        <f t="shared" si="4"/>
        <v>9</v>
      </c>
      <c r="AE13" t="s">
        <v>5</v>
      </c>
      <c r="AF13" s="17">
        <f>SUM(AD129:AD159)</f>
        <v>335</v>
      </c>
    </row>
    <row r="14" spans="4:46" x14ac:dyDescent="0.2">
      <c r="D14" s="37">
        <v>44932</v>
      </c>
      <c r="E14" s="17" t="str">
        <f t="shared" si="1"/>
        <v>weekday</v>
      </c>
      <c r="F14" s="17">
        <f t="shared" si="2"/>
        <v>0</v>
      </c>
      <c r="G14" s="17">
        <f t="shared" si="2"/>
        <v>0</v>
      </c>
      <c r="H14" s="17">
        <f t="shared" si="2"/>
        <v>0</v>
      </c>
      <c r="I14" s="17">
        <f t="shared" si="2"/>
        <v>0</v>
      </c>
      <c r="J14" s="17">
        <f t="shared" si="2"/>
        <v>0</v>
      </c>
      <c r="K14" s="17">
        <f t="shared" si="2"/>
        <v>0</v>
      </c>
      <c r="L14" s="17">
        <f t="shared" si="2"/>
        <v>1</v>
      </c>
      <c r="M14" s="17">
        <f t="shared" si="2"/>
        <v>1</v>
      </c>
      <c r="N14" s="17">
        <f t="shared" si="2"/>
        <v>0</v>
      </c>
      <c r="O14" s="17">
        <f t="shared" si="2"/>
        <v>0</v>
      </c>
      <c r="P14" s="17">
        <f t="shared" si="2"/>
        <v>0</v>
      </c>
      <c r="Q14" s="17">
        <f t="shared" si="2"/>
        <v>0</v>
      </c>
      <c r="R14" s="17">
        <f t="shared" si="2"/>
        <v>0</v>
      </c>
      <c r="S14" s="17">
        <f t="shared" si="2"/>
        <v>0</v>
      </c>
      <c r="T14" s="17">
        <f t="shared" si="2"/>
        <v>0</v>
      </c>
      <c r="U14" s="17">
        <f t="shared" si="2"/>
        <v>1</v>
      </c>
      <c r="V14" s="17">
        <f t="shared" si="3"/>
        <v>1</v>
      </c>
      <c r="W14" s="17">
        <f t="shared" si="3"/>
        <v>1</v>
      </c>
      <c r="X14" s="17">
        <f t="shared" si="3"/>
        <v>1</v>
      </c>
      <c r="Y14" s="17">
        <f t="shared" si="3"/>
        <v>1</v>
      </c>
      <c r="Z14" s="17">
        <f t="shared" si="3"/>
        <v>1</v>
      </c>
      <c r="AA14" s="17">
        <f t="shared" si="3"/>
        <v>1</v>
      </c>
      <c r="AB14" s="17">
        <f t="shared" si="3"/>
        <v>0</v>
      </c>
      <c r="AC14" s="17">
        <f t="shared" si="3"/>
        <v>0</v>
      </c>
      <c r="AD14" s="17">
        <f t="shared" si="4"/>
        <v>9</v>
      </c>
      <c r="AE14" t="s">
        <v>6</v>
      </c>
      <c r="AF14" s="17">
        <f>SUM(AD160:AD189)</f>
        <v>326</v>
      </c>
    </row>
    <row r="15" spans="4:46" x14ac:dyDescent="0.2">
      <c r="D15" s="37">
        <v>44933</v>
      </c>
      <c r="E15" s="17" t="str">
        <f t="shared" si="1"/>
        <v>weekend</v>
      </c>
      <c r="F15" s="17">
        <f t="shared" si="2"/>
        <v>0</v>
      </c>
      <c r="G15" s="17">
        <f t="shared" si="2"/>
        <v>0</v>
      </c>
      <c r="H15" s="17">
        <f t="shared" si="2"/>
        <v>0</v>
      </c>
      <c r="I15" s="17">
        <f t="shared" si="2"/>
        <v>0</v>
      </c>
      <c r="J15" s="17">
        <f t="shared" si="2"/>
        <v>0</v>
      </c>
      <c r="K15" s="17">
        <f t="shared" si="2"/>
        <v>0</v>
      </c>
      <c r="L15" s="17">
        <f t="shared" si="2"/>
        <v>1</v>
      </c>
      <c r="M15" s="17">
        <f t="shared" si="2"/>
        <v>1</v>
      </c>
      <c r="N15" s="17">
        <f t="shared" si="2"/>
        <v>1</v>
      </c>
      <c r="O15" s="17">
        <f t="shared" si="2"/>
        <v>1</v>
      </c>
      <c r="P15" s="17">
        <f t="shared" si="2"/>
        <v>1</v>
      </c>
      <c r="Q15" s="17">
        <f t="shared" si="2"/>
        <v>1</v>
      </c>
      <c r="R15" s="17">
        <f t="shared" si="2"/>
        <v>1</v>
      </c>
      <c r="S15" s="17">
        <f t="shared" si="2"/>
        <v>1</v>
      </c>
      <c r="T15" s="17">
        <f t="shared" si="2"/>
        <v>1</v>
      </c>
      <c r="U15" s="17">
        <f t="shared" si="2"/>
        <v>1</v>
      </c>
      <c r="V15" s="17">
        <f t="shared" si="3"/>
        <v>1</v>
      </c>
      <c r="W15" s="17">
        <f t="shared" si="3"/>
        <v>1</v>
      </c>
      <c r="X15" s="17">
        <f t="shared" si="3"/>
        <v>1</v>
      </c>
      <c r="Y15" s="17">
        <f t="shared" si="3"/>
        <v>1</v>
      </c>
      <c r="Z15" s="17">
        <f t="shared" si="3"/>
        <v>1</v>
      </c>
      <c r="AA15" s="17">
        <f t="shared" si="3"/>
        <v>1</v>
      </c>
      <c r="AB15" s="17">
        <f t="shared" si="3"/>
        <v>0</v>
      </c>
      <c r="AC15" s="17">
        <f t="shared" si="3"/>
        <v>0</v>
      </c>
      <c r="AD15" s="17">
        <f t="shared" si="4"/>
        <v>16</v>
      </c>
      <c r="AE15" t="s">
        <v>7</v>
      </c>
      <c r="AF15" s="17">
        <f>SUM(AD190:AD220)</f>
        <v>349</v>
      </c>
    </row>
    <row r="16" spans="4:46" x14ac:dyDescent="0.2">
      <c r="D16" s="37">
        <v>44934</v>
      </c>
      <c r="E16" s="17" t="str">
        <f t="shared" si="1"/>
        <v>weekend</v>
      </c>
      <c r="F16" s="17">
        <f t="shared" si="2"/>
        <v>0</v>
      </c>
      <c r="G16" s="17">
        <f t="shared" si="2"/>
        <v>0</v>
      </c>
      <c r="H16" s="17">
        <f t="shared" si="2"/>
        <v>0</v>
      </c>
      <c r="I16" s="17">
        <f t="shared" si="2"/>
        <v>0</v>
      </c>
      <c r="J16" s="17">
        <f t="shared" si="2"/>
        <v>0</v>
      </c>
      <c r="K16" s="17">
        <f t="shared" si="2"/>
        <v>0</v>
      </c>
      <c r="L16" s="17">
        <f t="shared" si="2"/>
        <v>1</v>
      </c>
      <c r="M16" s="17">
        <f t="shared" si="2"/>
        <v>1</v>
      </c>
      <c r="N16" s="17">
        <f t="shared" si="2"/>
        <v>1</v>
      </c>
      <c r="O16" s="17">
        <f t="shared" si="2"/>
        <v>1</v>
      </c>
      <c r="P16" s="17">
        <f t="shared" si="2"/>
        <v>1</v>
      </c>
      <c r="Q16" s="17">
        <f t="shared" si="2"/>
        <v>1</v>
      </c>
      <c r="R16" s="17">
        <f t="shared" si="2"/>
        <v>1</v>
      </c>
      <c r="S16" s="17">
        <f t="shared" si="2"/>
        <v>1</v>
      </c>
      <c r="T16" s="17">
        <f t="shared" si="2"/>
        <v>1</v>
      </c>
      <c r="U16" s="17">
        <f t="shared" si="2"/>
        <v>1</v>
      </c>
      <c r="V16" s="17">
        <f t="shared" si="3"/>
        <v>1</v>
      </c>
      <c r="W16" s="17">
        <f t="shared" si="3"/>
        <v>1</v>
      </c>
      <c r="X16" s="17">
        <f t="shared" si="3"/>
        <v>1</v>
      </c>
      <c r="Y16" s="17">
        <f t="shared" si="3"/>
        <v>1</v>
      </c>
      <c r="Z16" s="17">
        <f t="shared" si="3"/>
        <v>1</v>
      </c>
      <c r="AA16" s="17">
        <f t="shared" si="3"/>
        <v>1</v>
      </c>
      <c r="AB16" s="17">
        <f t="shared" si="3"/>
        <v>0</v>
      </c>
      <c r="AC16" s="17">
        <f t="shared" si="3"/>
        <v>0</v>
      </c>
      <c r="AD16" s="17">
        <f t="shared" si="4"/>
        <v>16</v>
      </c>
      <c r="AE16" t="s">
        <v>8</v>
      </c>
      <c r="AF16" s="17">
        <f>SUM(AD221:AD251)</f>
        <v>335</v>
      </c>
    </row>
    <row r="17" spans="4:32" x14ac:dyDescent="0.2">
      <c r="D17" s="37">
        <v>44935</v>
      </c>
      <c r="E17" s="17" t="str">
        <f t="shared" si="1"/>
        <v>weekday</v>
      </c>
      <c r="F17" s="17">
        <f t="shared" si="2"/>
        <v>0</v>
      </c>
      <c r="G17" s="17">
        <f t="shared" si="2"/>
        <v>0</v>
      </c>
      <c r="H17" s="17">
        <f t="shared" si="2"/>
        <v>0</v>
      </c>
      <c r="I17" s="17">
        <f t="shared" si="2"/>
        <v>0</v>
      </c>
      <c r="J17" s="17">
        <f t="shared" si="2"/>
        <v>0</v>
      </c>
      <c r="K17" s="17">
        <f t="shared" si="2"/>
        <v>0</v>
      </c>
      <c r="L17" s="17">
        <f t="shared" si="2"/>
        <v>1</v>
      </c>
      <c r="M17" s="17">
        <f t="shared" si="2"/>
        <v>1</v>
      </c>
      <c r="N17" s="17">
        <f t="shared" si="2"/>
        <v>0</v>
      </c>
      <c r="O17" s="17">
        <f t="shared" si="2"/>
        <v>0</v>
      </c>
      <c r="P17" s="17">
        <f t="shared" si="2"/>
        <v>0</v>
      </c>
      <c r="Q17" s="17">
        <f t="shared" si="2"/>
        <v>0</v>
      </c>
      <c r="R17" s="17">
        <f t="shared" si="2"/>
        <v>0</v>
      </c>
      <c r="S17" s="17">
        <f t="shared" si="2"/>
        <v>0</v>
      </c>
      <c r="T17" s="17">
        <f t="shared" si="2"/>
        <v>0</v>
      </c>
      <c r="U17" s="17">
        <f t="shared" si="2"/>
        <v>1</v>
      </c>
      <c r="V17" s="17">
        <f t="shared" si="3"/>
        <v>1</v>
      </c>
      <c r="W17" s="17">
        <f t="shared" si="3"/>
        <v>1</v>
      </c>
      <c r="X17" s="17">
        <f t="shared" si="3"/>
        <v>1</v>
      </c>
      <c r="Y17" s="17">
        <f t="shared" si="3"/>
        <v>1</v>
      </c>
      <c r="Z17" s="17">
        <f t="shared" si="3"/>
        <v>1</v>
      </c>
      <c r="AA17" s="17">
        <f t="shared" si="3"/>
        <v>1</v>
      </c>
      <c r="AB17" s="17">
        <f t="shared" si="3"/>
        <v>0</v>
      </c>
      <c r="AC17" s="17">
        <f t="shared" si="3"/>
        <v>0</v>
      </c>
      <c r="AD17" s="17">
        <f t="shared" si="4"/>
        <v>9</v>
      </c>
      <c r="AE17" t="s">
        <v>9</v>
      </c>
      <c r="AF17" s="17">
        <f>SUM(AD252:AD281)</f>
        <v>333</v>
      </c>
    </row>
    <row r="18" spans="4:32" x14ac:dyDescent="0.2">
      <c r="D18" s="37">
        <v>44936</v>
      </c>
      <c r="E18" s="17" t="str">
        <f t="shared" si="1"/>
        <v>weekday</v>
      </c>
      <c r="F18" s="17">
        <f t="shared" si="2"/>
        <v>0</v>
      </c>
      <c r="G18" s="17">
        <f t="shared" si="2"/>
        <v>0</v>
      </c>
      <c r="H18" s="17">
        <f t="shared" si="2"/>
        <v>0</v>
      </c>
      <c r="I18" s="17">
        <f t="shared" si="2"/>
        <v>0</v>
      </c>
      <c r="J18" s="17">
        <f t="shared" si="2"/>
        <v>0</v>
      </c>
      <c r="K18" s="17">
        <f t="shared" si="2"/>
        <v>0</v>
      </c>
      <c r="L18" s="17">
        <f t="shared" si="2"/>
        <v>1</v>
      </c>
      <c r="M18" s="17">
        <f t="shared" si="2"/>
        <v>1</v>
      </c>
      <c r="N18" s="17">
        <f t="shared" si="2"/>
        <v>0</v>
      </c>
      <c r="O18" s="17">
        <f t="shared" si="2"/>
        <v>0</v>
      </c>
      <c r="P18" s="17">
        <f t="shared" si="2"/>
        <v>0</v>
      </c>
      <c r="Q18" s="17">
        <f t="shared" si="2"/>
        <v>0</v>
      </c>
      <c r="R18" s="17">
        <f t="shared" si="2"/>
        <v>0</v>
      </c>
      <c r="S18" s="17">
        <f t="shared" si="2"/>
        <v>0</v>
      </c>
      <c r="T18" s="17">
        <f t="shared" si="2"/>
        <v>0</v>
      </c>
      <c r="U18" s="17">
        <f t="shared" si="2"/>
        <v>1</v>
      </c>
      <c r="V18" s="17">
        <f t="shared" si="3"/>
        <v>1</v>
      </c>
      <c r="W18" s="17">
        <f t="shared" si="3"/>
        <v>1</v>
      </c>
      <c r="X18" s="17">
        <f t="shared" si="3"/>
        <v>1</v>
      </c>
      <c r="Y18" s="17">
        <f t="shared" si="3"/>
        <v>1</v>
      </c>
      <c r="Z18" s="17">
        <f t="shared" si="3"/>
        <v>1</v>
      </c>
      <c r="AA18" s="17">
        <f t="shared" si="3"/>
        <v>1</v>
      </c>
      <c r="AB18" s="17">
        <f t="shared" si="3"/>
        <v>0</v>
      </c>
      <c r="AC18" s="17">
        <f t="shared" si="3"/>
        <v>0</v>
      </c>
      <c r="AD18" s="17">
        <f t="shared" si="4"/>
        <v>9</v>
      </c>
      <c r="AE18" t="s">
        <v>10</v>
      </c>
      <c r="AF18" s="17">
        <f>SUM(AD282:AD312)</f>
        <v>342</v>
      </c>
    </row>
    <row r="19" spans="4:32" x14ac:dyDescent="0.2">
      <c r="D19" s="37">
        <v>44937</v>
      </c>
      <c r="E19" s="17" t="str">
        <f t="shared" si="1"/>
        <v>weekday</v>
      </c>
      <c r="F19" s="17">
        <f t="shared" si="2"/>
        <v>0</v>
      </c>
      <c r="G19" s="17">
        <f t="shared" si="2"/>
        <v>0</v>
      </c>
      <c r="H19" s="17">
        <f t="shared" si="2"/>
        <v>0</v>
      </c>
      <c r="I19" s="17">
        <f t="shared" si="2"/>
        <v>0</v>
      </c>
      <c r="J19" s="17">
        <f t="shared" si="2"/>
        <v>0</v>
      </c>
      <c r="K19" s="17">
        <f t="shared" si="2"/>
        <v>0</v>
      </c>
      <c r="L19" s="17">
        <f t="shared" si="2"/>
        <v>1</v>
      </c>
      <c r="M19" s="17">
        <f t="shared" si="2"/>
        <v>1</v>
      </c>
      <c r="N19" s="17">
        <f t="shared" si="2"/>
        <v>0</v>
      </c>
      <c r="O19" s="17">
        <f t="shared" si="2"/>
        <v>0</v>
      </c>
      <c r="P19" s="17">
        <f t="shared" si="2"/>
        <v>0</v>
      </c>
      <c r="Q19" s="17">
        <f t="shared" si="2"/>
        <v>0</v>
      </c>
      <c r="R19" s="17">
        <f t="shared" si="2"/>
        <v>0</v>
      </c>
      <c r="S19" s="17">
        <f t="shared" si="2"/>
        <v>0</v>
      </c>
      <c r="T19" s="17">
        <f t="shared" si="2"/>
        <v>0</v>
      </c>
      <c r="U19" s="17">
        <f t="shared" si="2"/>
        <v>1</v>
      </c>
      <c r="V19" s="17">
        <f t="shared" si="3"/>
        <v>1</v>
      </c>
      <c r="W19" s="17">
        <f t="shared" si="3"/>
        <v>1</v>
      </c>
      <c r="X19" s="17">
        <f t="shared" si="3"/>
        <v>1</v>
      </c>
      <c r="Y19" s="17">
        <f t="shared" si="3"/>
        <v>1</v>
      </c>
      <c r="Z19" s="17">
        <f t="shared" si="3"/>
        <v>1</v>
      </c>
      <c r="AA19" s="17">
        <f t="shared" si="3"/>
        <v>1</v>
      </c>
      <c r="AB19" s="17">
        <f t="shared" si="3"/>
        <v>0</v>
      </c>
      <c r="AC19" s="17">
        <f t="shared" si="3"/>
        <v>0</v>
      </c>
      <c r="AD19" s="17">
        <f t="shared" si="4"/>
        <v>9</v>
      </c>
      <c r="AE19" t="s">
        <v>11</v>
      </c>
      <c r="AF19" s="17">
        <f>SUM(AD313:AD342)</f>
        <v>326</v>
      </c>
    </row>
    <row r="20" spans="4:32" x14ac:dyDescent="0.2">
      <c r="D20" s="37">
        <v>44938</v>
      </c>
      <c r="E20" s="17" t="str">
        <f t="shared" si="1"/>
        <v>weekday</v>
      </c>
      <c r="F20" s="17">
        <f t="shared" si="2"/>
        <v>0</v>
      </c>
      <c r="G20" s="17">
        <f t="shared" si="2"/>
        <v>0</v>
      </c>
      <c r="H20" s="17">
        <f t="shared" si="2"/>
        <v>0</v>
      </c>
      <c r="I20" s="17">
        <f t="shared" si="2"/>
        <v>0</v>
      </c>
      <c r="J20" s="17">
        <f t="shared" si="2"/>
        <v>0</v>
      </c>
      <c r="K20" s="17">
        <f t="shared" si="2"/>
        <v>0</v>
      </c>
      <c r="L20" s="17">
        <f t="shared" si="2"/>
        <v>1</v>
      </c>
      <c r="M20" s="17">
        <f t="shared" si="2"/>
        <v>1</v>
      </c>
      <c r="N20" s="17">
        <f t="shared" si="2"/>
        <v>0</v>
      </c>
      <c r="O20" s="17">
        <f t="shared" si="2"/>
        <v>0</v>
      </c>
      <c r="P20" s="17">
        <f t="shared" si="2"/>
        <v>0</v>
      </c>
      <c r="Q20" s="17">
        <f t="shared" si="2"/>
        <v>0</v>
      </c>
      <c r="R20" s="17">
        <f t="shared" si="2"/>
        <v>0</v>
      </c>
      <c r="S20" s="17">
        <f t="shared" si="2"/>
        <v>0</v>
      </c>
      <c r="T20" s="17">
        <f t="shared" si="2"/>
        <v>0</v>
      </c>
      <c r="U20" s="17">
        <f t="shared" si="2"/>
        <v>1</v>
      </c>
      <c r="V20" s="17">
        <f t="shared" si="3"/>
        <v>1</v>
      </c>
      <c r="W20" s="17">
        <f t="shared" si="3"/>
        <v>1</v>
      </c>
      <c r="X20" s="17">
        <f t="shared" si="3"/>
        <v>1</v>
      </c>
      <c r="Y20" s="17">
        <f t="shared" si="3"/>
        <v>1</v>
      </c>
      <c r="Z20" s="17">
        <f t="shared" si="3"/>
        <v>1</v>
      </c>
      <c r="AA20" s="17">
        <f t="shared" si="3"/>
        <v>1</v>
      </c>
      <c r="AB20" s="17">
        <f t="shared" si="3"/>
        <v>0</v>
      </c>
      <c r="AC20" s="17">
        <f t="shared" si="3"/>
        <v>0</v>
      </c>
      <c r="AD20" s="17">
        <f t="shared" si="4"/>
        <v>9</v>
      </c>
      <c r="AE20" t="s">
        <v>12</v>
      </c>
      <c r="AF20" s="17">
        <f>SUM(AD343:AD373)</f>
        <v>349</v>
      </c>
    </row>
    <row r="21" spans="4:32" x14ac:dyDescent="0.2">
      <c r="D21" s="37">
        <v>44939</v>
      </c>
      <c r="E21" s="17" t="str">
        <f t="shared" si="1"/>
        <v>weekday</v>
      </c>
      <c r="F21" s="17">
        <f t="shared" si="2"/>
        <v>0</v>
      </c>
      <c r="G21" s="17">
        <f t="shared" si="2"/>
        <v>0</v>
      </c>
      <c r="H21" s="17">
        <f t="shared" si="2"/>
        <v>0</v>
      </c>
      <c r="I21" s="17">
        <f t="shared" si="2"/>
        <v>0</v>
      </c>
      <c r="J21" s="17">
        <f t="shared" si="2"/>
        <v>0</v>
      </c>
      <c r="K21" s="17">
        <f t="shared" si="2"/>
        <v>0</v>
      </c>
      <c r="L21" s="17">
        <f t="shared" si="2"/>
        <v>1</v>
      </c>
      <c r="M21" s="17">
        <f t="shared" si="2"/>
        <v>1</v>
      </c>
      <c r="N21" s="17">
        <f t="shared" si="2"/>
        <v>0</v>
      </c>
      <c r="O21" s="17">
        <f t="shared" si="2"/>
        <v>0</v>
      </c>
      <c r="P21" s="17">
        <f t="shared" si="2"/>
        <v>0</v>
      </c>
      <c r="Q21" s="17">
        <f t="shared" si="2"/>
        <v>0</v>
      </c>
      <c r="R21" s="17">
        <f t="shared" si="2"/>
        <v>0</v>
      </c>
      <c r="S21" s="17">
        <f t="shared" si="2"/>
        <v>0</v>
      </c>
      <c r="T21" s="17">
        <f t="shared" si="2"/>
        <v>0</v>
      </c>
      <c r="U21" s="17">
        <f t="shared" si="2"/>
        <v>1</v>
      </c>
      <c r="V21" s="17">
        <f t="shared" si="3"/>
        <v>1</v>
      </c>
      <c r="W21" s="17">
        <f t="shared" si="3"/>
        <v>1</v>
      </c>
      <c r="X21" s="17">
        <f t="shared" si="3"/>
        <v>1</v>
      </c>
      <c r="Y21" s="17">
        <f t="shared" si="3"/>
        <v>1</v>
      </c>
      <c r="Z21" s="17">
        <f t="shared" si="3"/>
        <v>1</v>
      </c>
      <c r="AA21" s="17">
        <f t="shared" si="3"/>
        <v>1</v>
      </c>
      <c r="AB21" s="17">
        <f t="shared" si="3"/>
        <v>0</v>
      </c>
      <c r="AC21" s="17">
        <f t="shared" si="3"/>
        <v>0</v>
      </c>
      <c r="AD21" s="17">
        <f t="shared" si="4"/>
        <v>9</v>
      </c>
      <c r="AE21" s="29" t="s">
        <v>13</v>
      </c>
      <c r="AF21">
        <f>SUM(AF9:AF20)</f>
        <v>4020</v>
      </c>
    </row>
    <row r="22" spans="4:32" x14ac:dyDescent="0.2">
      <c r="D22" s="37">
        <v>44940</v>
      </c>
      <c r="E22" s="17" t="str">
        <f t="shared" si="1"/>
        <v>weekend</v>
      </c>
      <c r="F22" s="17">
        <f t="shared" si="2"/>
        <v>0</v>
      </c>
      <c r="G22" s="17">
        <f t="shared" si="2"/>
        <v>0</v>
      </c>
      <c r="H22" s="17">
        <f t="shared" si="2"/>
        <v>0</v>
      </c>
      <c r="I22" s="17">
        <f t="shared" si="2"/>
        <v>0</v>
      </c>
      <c r="J22" s="17">
        <f t="shared" si="2"/>
        <v>0</v>
      </c>
      <c r="K22" s="17">
        <f t="shared" si="2"/>
        <v>0</v>
      </c>
      <c r="L22" s="17">
        <f t="shared" si="2"/>
        <v>1</v>
      </c>
      <c r="M22" s="17">
        <f t="shared" si="2"/>
        <v>1</v>
      </c>
      <c r="N22" s="17">
        <f t="shared" si="2"/>
        <v>1</v>
      </c>
      <c r="O22" s="17">
        <f t="shared" si="2"/>
        <v>1</v>
      </c>
      <c r="P22" s="17">
        <f t="shared" si="2"/>
        <v>1</v>
      </c>
      <c r="Q22" s="17">
        <f t="shared" si="2"/>
        <v>1</v>
      </c>
      <c r="R22" s="17">
        <f t="shared" si="2"/>
        <v>1</v>
      </c>
      <c r="S22" s="17">
        <f t="shared" si="2"/>
        <v>1</v>
      </c>
      <c r="T22" s="17">
        <f t="shared" si="2"/>
        <v>1</v>
      </c>
      <c r="U22" s="17">
        <f t="shared" si="2"/>
        <v>1</v>
      </c>
      <c r="V22" s="17">
        <f t="shared" si="3"/>
        <v>1</v>
      </c>
      <c r="W22" s="17">
        <f t="shared" si="3"/>
        <v>1</v>
      </c>
      <c r="X22" s="17">
        <f t="shared" si="3"/>
        <v>1</v>
      </c>
      <c r="Y22" s="17">
        <f t="shared" si="3"/>
        <v>1</v>
      </c>
      <c r="Z22" s="17">
        <f t="shared" si="3"/>
        <v>1</v>
      </c>
      <c r="AA22" s="17">
        <f t="shared" si="3"/>
        <v>1</v>
      </c>
      <c r="AB22" s="17">
        <f t="shared" si="3"/>
        <v>0</v>
      </c>
      <c r="AC22" s="17">
        <f t="shared" si="3"/>
        <v>0</v>
      </c>
      <c r="AD22" s="17">
        <f t="shared" si="4"/>
        <v>16</v>
      </c>
      <c r="AE22" s="29" t="s">
        <v>44</v>
      </c>
      <c r="AF22">
        <f>SUM(F9:AC373)</f>
        <v>4020</v>
      </c>
    </row>
    <row r="23" spans="4:32" x14ac:dyDescent="0.2">
      <c r="D23" s="37">
        <v>44941</v>
      </c>
      <c r="E23" s="17" t="str">
        <f t="shared" si="1"/>
        <v>weekend</v>
      </c>
      <c r="F23" s="17">
        <f t="shared" si="2"/>
        <v>0</v>
      </c>
      <c r="G23" s="17">
        <f t="shared" si="2"/>
        <v>0</v>
      </c>
      <c r="H23" s="17">
        <f t="shared" si="2"/>
        <v>0</v>
      </c>
      <c r="I23" s="17">
        <f t="shared" si="2"/>
        <v>0</v>
      </c>
      <c r="J23" s="17">
        <f t="shared" si="2"/>
        <v>0</v>
      </c>
      <c r="K23" s="17">
        <f t="shared" si="2"/>
        <v>0</v>
      </c>
      <c r="L23" s="17">
        <f t="shared" si="2"/>
        <v>1</v>
      </c>
      <c r="M23" s="17">
        <f t="shared" si="2"/>
        <v>1</v>
      </c>
      <c r="N23" s="17">
        <f t="shared" si="2"/>
        <v>1</v>
      </c>
      <c r="O23" s="17">
        <f t="shared" si="2"/>
        <v>1</v>
      </c>
      <c r="P23" s="17">
        <f t="shared" si="2"/>
        <v>1</v>
      </c>
      <c r="Q23" s="17">
        <f t="shared" si="2"/>
        <v>1</v>
      </c>
      <c r="R23" s="17">
        <f t="shared" si="2"/>
        <v>1</v>
      </c>
      <c r="S23" s="17">
        <f t="shared" si="2"/>
        <v>1</v>
      </c>
      <c r="T23" s="17">
        <f t="shared" si="2"/>
        <v>1</v>
      </c>
      <c r="U23" s="17">
        <f t="shared" si="2"/>
        <v>1</v>
      </c>
      <c r="V23" s="17">
        <f t="shared" si="3"/>
        <v>1</v>
      </c>
      <c r="W23" s="17">
        <f t="shared" si="3"/>
        <v>1</v>
      </c>
      <c r="X23" s="17">
        <f t="shared" si="3"/>
        <v>1</v>
      </c>
      <c r="Y23" s="17">
        <f t="shared" si="3"/>
        <v>1</v>
      </c>
      <c r="Z23" s="17">
        <f t="shared" si="3"/>
        <v>1</v>
      </c>
      <c r="AA23" s="17">
        <f t="shared" si="3"/>
        <v>1</v>
      </c>
      <c r="AB23" s="17">
        <f t="shared" si="3"/>
        <v>0</v>
      </c>
      <c r="AC23" s="17">
        <f t="shared" si="3"/>
        <v>0</v>
      </c>
      <c r="AD23" s="17">
        <f t="shared" si="4"/>
        <v>16</v>
      </c>
      <c r="AE23" s="29" t="s">
        <v>45</v>
      </c>
      <c r="AF23">
        <f>AD374</f>
        <v>4020</v>
      </c>
    </row>
    <row r="24" spans="4:32" x14ac:dyDescent="0.2">
      <c r="D24" s="37">
        <v>44942</v>
      </c>
      <c r="E24" s="17" t="str">
        <f t="shared" si="1"/>
        <v>weekday</v>
      </c>
      <c r="F24" s="17">
        <f t="shared" si="2"/>
        <v>0</v>
      </c>
      <c r="G24" s="17">
        <f t="shared" si="2"/>
        <v>0</v>
      </c>
      <c r="H24" s="17">
        <f t="shared" si="2"/>
        <v>0</v>
      </c>
      <c r="I24" s="17">
        <f t="shared" si="2"/>
        <v>0</v>
      </c>
      <c r="J24" s="17">
        <f t="shared" si="2"/>
        <v>0</v>
      </c>
      <c r="K24" s="17">
        <f t="shared" si="2"/>
        <v>0</v>
      </c>
      <c r="L24" s="17">
        <f t="shared" si="2"/>
        <v>1</v>
      </c>
      <c r="M24" s="17">
        <f t="shared" si="2"/>
        <v>1</v>
      </c>
      <c r="N24" s="17">
        <f t="shared" si="2"/>
        <v>0</v>
      </c>
      <c r="O24" s="17">
        <f t="shared" si="2"/>
        <v>0</v>
      </c>
      <c r="P24" s="17">
        <f t="shared" si="2"/>
        <v>0</v>
      </c>
      <c r="Q24" s="17">
        <f t="shared" si="2"/>
        <v>0</v>
      </c>
      <c r="R24" s="17">
        <f t="shared" si="2"/>
        <v>0</v>
      </c>
      <c r="S24" s="17">
        <f t="shared" si="2"/>
        <v>0</v>
      </c>
      <c r="T24" s="17">
        <f t="shared" si="2"/>
        <v>0</v>
      </c>
      <c r="U24" s="17">
        <f t="shared" si="2"/>
        <v>1</v>
      </c>
      <c r="V24" s="17">
        <f t="shared" si="3"/>
        <v>1</v>
      </c>
      <c r="W24" s="17">
        <f t="shared" si="3"/>
        <v>1</v>
      </c>
      <c r="X24" s="17">
        <f t="shared" si="3"/>
        <v>1</v>
      </c>
      <c r="Y24" s="17">
        <f t="shared" si="3"/>
        <v>1</v>
      </c>
      <c r="Z24" s="17">
        <f t="shared" si="3"/>
        <v>1</v>
      </c>
      <c r="AA24" s="17">
        <f t="shared" si="3"/>
        <v>1</v>
      </c>
      <c r="AB24" s="17">
        <f t="shared" si="3"/>
        <v>0</v>
      </c>
      <c r="AC24" s="17">
        <f t="shared" si="3"/>
        <v>0</v>
      </c>
      <c r="AD24" s="17">
        <f t="shared" si="4"/>
        <v>9</v>
      </c>
    </row>
    <row r="25" spans="4:32" x14ac:dyDescent="0.2">
      <c r="D25" s="37">
        <v>44943</v>
      </c>
      <c r="E25" s="17" t="str">
        <f t="shared" si="1"/>
        <v>weekday</v>
      </c>
      <c r="F25" s="17">
        <f t="shared" si="2"/>
        <v>0</v>
      </c>
      <c r="G25" s="17">
        <f t="shared" si="2"/>
        <v>0</v>
      </c>
      <c r="H25" s="17">
        <f t="shared" si="2"/>
        <v>0</v>
      </c>
      <c r="I25" s="17">
        <f t="shared" si="2"/>
        <v>0</v>
      </c>
      <c r="J25" s="17">
        <f t="shared" si="2"/>
        <v>0</v>
      </c>
      <c r="K25" s="17">
        <f t="shared" si="2"/>
        <v>0</v>
      </c>
      <c r="L25" s="17">
        <f t="shared" si="2"/>
        <v>1</v>
      </c>
      <c r="M25" s="17">
        <f t="shared" si="2"/>
        <v>1</v>
      </c>
      <c r="N25" s="17">
        <f t="shared" si="2"/>
        <v>0</v>
      </c>
      <c r="O25" s="17">
        <f t="shared" si="2"/>
        <v>0</v>
      </c>
      <c r="P25" s="17">
        <f t="shared" si="2"/>
        <v>0</v>
      </c>
      <c r="Q25" s="17">
        <f t="shared" si="2"/>
        <v>0</v>
      </c>
      <c r="R25" s="17">
        <f t="shared" si="2"/>
        <v>0</v>
      </c>
      <c r="S25" s="17">
        <f t="shared" si="2"/>
        <v>0</v>
      </c>
      <c r="T25" s="17">
        <f t="shared" si="2"/>
        <v>0</v>
      </c>
      <c r="U25" s="17">
        <f t="shared" ref="U25:AC40" si="5">IF($E25=$E$5,(U$5),(U$6))</f>
        <v>1</v>
      </c>
      <c r="V25" s="17">
        <f t="shared" si="5"/>
        <v>1</v>
      </c>
      <c r="W25" s="17">
        <f t="shared" si="5"/>
        <v>1</v>
      </c>
      <c r="X25" s="17">
        <f t="shared" si="5"/>
        <v>1</v>
      </c>
      <c r="Y25" s="17">
        <f t="shared" si="5"/>
        <v>1</v>
      </c>
      <c r="Z25" s="17">
        <f t="shared" si="5"/>
        <v>1</v>
      </c>
      <c r="AA25" s="17">
        <f t="shared" si="5"/>
        <v>1</v>
      </c>
      <c r="AB25" s="17">
        <f t="shared" si="5"/>
        <v>0</v>
      </c>
      <c r="AC25" s="17">
        <f t="shared" si="5"/>
        <v>0</v>
      </c>
      <c r="AD25" s="17">
        <f t="shared" si="4"/>
        <v>9</v>
      </c>
    </row>
    <row r="26" spans="4:32" x14ac:dyDescent="0.2">
      <c r="D26" s="37">
        <v>44944</v>
      </c>
      <c r="E26" s="17" t="str">
        <f t="shared" si="1"/>
        <v>weekday</v>
      </c>
      <c r="F26" s="17">
        <f t="shared" ref="F26:U41" si="6">IF($E26=$E$5,(F$5),(F$6))</f>
        <v>0</v>
      </c>
      <c r="G26" s="17">
        <f t="shared" si="6"/>
        <v>0</v>
      </c>
      <c r="H26" s="17">
        <f t="shared" si="6"/>
        <v>0</v>
      </c>
      <c r="I26" s="17">
        <f t="shared" si="6"/>
        <v>0</v>
      </c>
      <c r="J26" s="17">
        <f t="shared" si="6"/>
        <v>0</v>
      </c>
      <c r="K26" s="17">
        <f t="shared" si="6"/>
        <v>0</v>
      </c>
      <c r="L26" s="17">
        <f t="shared" si="6"/>
        <v>1</v>
      </c>
      <c r="M26" s="17">
        <f t="shared" si="6"/>
        <v>1</v>
      </c>
      <c r="N26" s="17">
        <f t="shared" si="6"/>
        <v>0</v>
      </c>
      <c r="O26" s="17">
        <f t="shared" si="6"/>
        <v>0</v>
      </c>
      <c r="P26" s="17">
        <f t="shared" si="6"/>
        <v>0</v>
      </c>
      <c r="Q26" s="17">
        <f t="shared" si="6"/>
        <v>0</v>
      </c>
      <c r="R26" s="17">
        <f t="shared" si="6"/>
        <v>0</v>
      </c>
      <c r="S26" s="17">
        <f t="shared" si="6"/>
        <v>0</v>
      </c>
      <c r="T26" s="17">
        <f t="shared" si="6"/>
        <v>0</v>
      </c>
      <c r="U26" s="17">
        <f t="shared" si="6"/>
        <v>1</v>
      </c>
      <c r="V26" s="17">
        <f t="shared" si="5"/>
        <v>1</v>
      </c>
      <c r="W26" s="17">
        <f t="shared" si="5"/>
        <v>1</v>
      </c>
      <c r="X26" s="17">
        <f t="shared" si="5"/>
        <v>1</v>
      </c>
      <c r="Y26" s="17">
        <f t="shared" si="5"/>
        <v>1</v>
      </c>
      <c r="Z26" s="17">
        <f t="shared" si="5"/>
        <v>1</v>
      </c>
      <c r="AA26" s="17">
        <f t="shared" si="5"/>
        <v>1</v>
      </c>
      <c r="AB26" s="17">
        <f t="shared" si="5"/>
        <v>0</v>
      </c>
      <c r="AC26" s="17">
        <f t="shared" si="5"/>
        <v>0</v>
      </c>
      <c r="AD26" s="17">
        <f t="shared" si="4"/>
        <v>9</v>
      </c>
    </row>
    <row r="27" spans="4:32" x14ac:dyDescent="0.2">
      <c r="D27" s="37">
        <v>44945</v>
      </c>
      <c r="E27" s="17" t="str">
        <f t="shared" si="1"/>
        <v>weekday</v>
      </c>
      <c r="F27" s="17">
        <f t="shared" si="6"/>
        <v>0</v>
      </c>
      <c r="G27" s="17">
        <f t="shared" si="6"/>
        <v>0</v>
      </c>
      <c r="H27" s="17">
        <f t="shared" si="6"/>
        <v>0</v>
      </c>
      <c r="I27" s="17">
        <f t="shared" si="6"/>
        <v>0</v>
      </c>
      <c r="J27" s="17">
        <f t="shared" si="6"/>
        <v>0</v>
      </c>
      <c r="K27" s="17">
        <f t="shared" si="6"/>
        <v>0</v>
      </c>
      <c r="L27" s="17">
        <f t="shared" si="6"/>
        <v>1</v>
      </c>
      <c r="M27" s="17">
        <f t="shared" si="6"/>
        <v>1</v>
      </c>
      <c r="N27" s="17">
        <f t="shared" si="6"/>
        <v>0</v>
      </c>
      <c r="O27" s="17">
        <f t="shared" si="6"/>
        <v>0</v>
      </c>
      <c r="P27" s="17">
        <f t="shared" si="6"/>
        <v>0</v>
      </c>
      <c r="Q27" s="17">
        <f t="shared" si="6"/>
        <v>0</v>
      </c>
      <c r="R27" s="17">
        <f t="shared" si="6"/>
        <v>0</v>
      </c>
      <c r="S27" s="17">
        <f t="shared" si="6"/>
        <v>0</v>
      </c>
      <c r="T27" s="17">
        <f t="shared" si="6"/>
        <v>0</v>
      </c>
      <c r="U27" s="17">
        <f t="shared" si="6"/>
        <v>1</v>
      </c>
      <c r="V27" s="17">
        <f t="shared" si="5"/>
        <v>1</v>
      </c>
      <c r="W27" s="17">
        <f t="shared" si="5"/>
        <v>1</v>
      </c>
      <c r="X27" s="17">
        <f t="shared" si="5"/>
        <v>1</v>
      </c>
      <c r="Y27" s="17">
        <f t="shared" si="5"/>
        <v>1</v>
      </c>
      <c r="Z27" s="17">
        <f t="shared" si="5"/>
        <v>1</v>
      </c>
      <c r="AA27" s="17">
        <f t="shared" si="5"/>
        <v>1</v>
      </c>
      <c r="AB27" s="17">
        <f t="shared" si="5"/>
        <v>0</v>
      </c>
      <c r="AC27" s="17">
        <f t="shared" si="5"/>
        <v>0</v>
      </c>
      <c r="AD27" s="17">
        <f t="shared" si="4"/>
        <v>9</v>
      </c>
    </row>
    <row r="28" spans="4:32" x14ac:dyDescent="0.2">
      <c r="D28" s="37">
        <v>44946</v>
      </c>
      <c r="E28" s="17" t="str">
        <f t="shared" si="1"/>
        <v>weekday</v>
      </c>
      <c r="F28" s="17">
        <f t="shared" si="6"/>
        <v>0</v>
      </c>
      <c r="G28" s="17">
        <f t="shared" si="6"/>
        <v>0</v>
      </c>
      <c r="H28" s="17">
        <f t="shared" si="6"/>
        <v>0</v>
      </c>
      <c r="I28" s="17">
        <f t="shared" si="6"/>
        <v>0</v>
      </c>
      <c r="J28" s="17">
        <f t="shared" si="6"/>
        <v>0</v>
      </c>
      <c r="K28" s="17">
        <f t="shared" si="6"/>
        <v>0</v>
      </c>
      <c r="L28" s="17">
        <f t="shared" si="6"/>
        <v>1</v>
      </c>
      <c r="M28" s="17">
        <f t="shared" si="6"/>
        <v>1</v>
      </c>
      <c r="N28" s="17">
        <f t="shared" si="6"/>
        <v>0</v>
      </c>
      <c r="O28" s="17">
        <f t="shared" si="6"/>
        <v>0</v>
      </c>
      <c r="P28" s="17">
        <f t="shared" si="6"/>
        <v>0</v>
      </c>
      <c r="Q28" s="17">
        <f t="shared" si="6"/>
        <v>0</v>
      </c>
      <c r="R28" s="17">
        <f t="shared" si="6"/>
        <v>0</v>
      </c>
      <c r="S28" s="17">
        <f t="shared" si="6"/>
        <v>0</v>
      </c>
      <c r="T28" s="17">
        <f t="shared" si="6"/>
        <v>0</v>
      </c>
      <c r="U28" s="17">
        <f t="shared" si="6"/>
        <v>1</v>
      </c>
      <c r="V28" s="17">
        <f t="shared" si="5"/>
        <v>1</v>
      </c>
      <c r="W28" s="17">
        <f t="shared" si="5"/>
        <v>1</v>
      </c>
      <c r="X28" s="17">
        <f t="shared" si="5"/>
        <v>1</v>
      </c>
      <c r="Y28" s="17">
        <f t="shared" si="5"/>
        <v>1</v>
      </c>
      <c r="Z28" s="17">
        <f t="shared" si="5"/>
        <v>1</v>
      </c>
      <c r="AA28" s="17">
        <f t="shared" si="5"/>
        <v>1</v>
      </c>
      <c r="AB28" s="17">
        <f t="shared" si="5"/>
        <v>0</v>
      </c>
      <c r="AC28" s="17">
        <f t="shared" si="5"/>
        <v>0</v>
      </c>
      <c r="AD28" s="17">
        <f t="shared" si="4"/>
        <v>9</v>
      </c>
    </row>
    <row r="29" spans="4:32" x14ac:dyDescent="0.2">
      <c r="D29" s="37">
        <v>44947</v>
      </c>
      <c r="E29" s="17" t="str">
        <f t="shared" si="1"/>
        <v>weekend</v>
      </c>
      <c r="F29" s="17">
        <f t="shared" si="6"/>
        <v>0</v>
      </c>
      <c r="G29" s="17">
        <f t="shared" si="6"/>
        <v>0</v>
      </c>
      <c r="H29" s="17">
        <f t="shared" si="6"/>
        <v>0</v>
      </c>
      <c r="I29" s="17">
        <f t="shared" si="6"/>
        <v>0</v>
      </c>
      <c r="J29" s="17">
        <f t="shared" si="6"/>
        <v>0</v>
      </c>
      <c r="K29" s="17">
        <f t="shared" si="6"/>
        <v>0</v>
      </c>
      <c r="L29" s="17">
        <f t="shared" si="6"/>
        <v>1</v>
      </c>
      <c r="M29" s="17">
        <f t="shared" si="6"/>
        <v>1</v>
      </c>
      <c r="N29" s="17">
        <f t="shared" si="6"/>
        <v>1</v>
      </c>
      <c r="O29" s="17">
        <f t="shared" si="6"/>
        <v>1</v>
      </c>
      <c r="P29" s="17">
        <f t="shared" si="6"/>
        <v>1</v>
      </c>
      <c r="Q29" s="17">
        <f t="shared" si="6"/>
        <v>1</v>
      </c>
      <c r="R29" s="17">
        <f t="shared" si="6"/>
        <v>1</v>
      </c>
      <c r="S29" s="17">
        <f t="shared" si="6"/>
        <v>1</v>
      </c>
      <c r="T29" s="17">
        <f t="shared" si="6"/>
        <v>1</v>
      </c>
      <c r="U29" s="17">
        <f t="shared" si="6"/>
        <v>1</v>
      </c>
      <c r="V29" s="17">
        <f t="shared" si="5"/>
        <v>1</v>
      </c>
      <c r="W29" s="17">
        <f t="shared" si="5"/>
        <v>1</v>
      </c>
      <c r="X29" s="17">
        <f t="shared" si="5"/>
        <v>1</v>
      </c>
      <c r="Y29" s="17">
        <f t="shared" si="5"/>
        <v>1</v>
      </c>
      <c r="Z29" s="17">
        <f t="shared" si="5"/>
        <v>1</v>
      </c>
      <c r="AA29" s="17">
        <f t="shared" si="5"/>
        <v>1</v>
      </c>
      <c r="AB29" s="17">
        <f t="shared" si="5"/>
        <v>0</v>
      </c>
      <c r="AC29" s="17">
        <f t="shared" si="5"/>
        <v>0</v>
      </c>
      <c r="AD29" s="17">
        <f t="shared" si="4"/>
        <v>16</v>
      </c>
    </row>
    <row r="30" spans="4:32" x14ac:dyDescent="0.2">
      <c r="D30" s="37">
        <v>44948</v>
      </c>
      <c r="E30" s="17" t="str">
        <f t="shared" si="1"/>
        <v>weekend</v>
      </c>
      <c r="F30" s="17">
        <f t="shared" si="6"/>
        <v>0</v>
      </c>
      <c r="G30" s="17">
        <f t="shared" si="6"/>
        <v>0</v>
      </c>
      <c r="H30" s="17">
        <f t="shared" si="6"/>
        <v>0</v>
      </c>
      <c r="I30" s="17">
        <f t="shared" si="6"/>
        <v>0</v>
      </c>
      <c r="J30" s="17">
        <f t="shared" si="6"/>
        <v>0</v>
      </c>
      <c r="K30" s="17">
        <f t="shared" si="6"/>
        <v>0</v>
      </c>
      <c r="L30" s="17">
        <f t="shared" si="6"/>
        <v>1</v>
      </c>
      <c r="M30" s="17">
        <f t="shared" si="6"/>
        <v>1</v>
      </c>
      <c r="N30" s="17">
        <f t="shared" si="6"/>
        <v>1</v>
      </c>
      <c r="O30" s="17">
        <f t="shared" si="6"/>
        <v>1</v>
      </c>
      <c r="P30" s="17">
        <f t="shared" si="6"/>
        <v>1</v>
      </c>
      <c r="Q30" s="17">
        <f t="shared" si="6"/>
        <v>1</v>
      </c>
      <c r="R30" s="17">
        <f t="shared" si="6"/>
        <v>1</v>
      </c>
      <c r="S30" s="17">
        <f t="shared" si="6"/>
        <v>1</v>
      </c>
      <c r="T30" s="17">
        <f t="shared" si="6"/>
        <v>1</v>
      </c>
      <c r="U30" s="17">
        <f t="shared" si="6"/>
        <v>1</v>
      </c>
      <c r="V30" s="17">
        <f t="shared" si="5"/>
        <v>1</v>
      </c>
      <c r="W30" s="17">
        <f t="shared" si="5"/>
        <v>1</v>
      </c>
      <c r="X30" s="17">
        <f t="shared" si="5"/>
        <v>1</v>
      </c>
      <c r="Y30" s="17">
        <f t="shared" si="5"/>
        <v>1</v>
      </c>
      <c r="Z30" s="17">
        <f t="shared" si="5"/>
        <v>1</v>
      </c>
      <c r="AA30" s="17">
        <f t="shared" si="5"/>
        <v>1</v>
      </c>
      <c r="AB30" s="17">
        <f t="shared" si="5"/>
        <v>0</v>
      </c>
      <c r="AC30" s="17">
        <f t="shared" si="5"/>
        <v>0</v>
      </c>
      <c r="AD30" s="17">
        <f t="shared" si="4"/>
        <v>16</v>
      </c>
    </row>
    <row r="31" spans="4:32" x14ac:dyDescent="0.2">
      <c r="D31" s="37">
        <v>44949</v>
      </c>
      <c r="E31" s="17" t="str">
        <f t="shared" si="1"/>
        <v>weekday</v>
      </c>
      <c r="F31" s="17">
        <f t="shared" si="6"/>
        <v>0</v>
      </c>
      <c r="G31" s="17">
        <f t="shared" si="6"/>
        <v>0</v>
      </c>
      <c r="H31" s="17">
        <f t="shared" si="6"/>
        <v>0</v>
      </c>
      <c r="I31" s="17">
        <f t="shared" si="6"/>
        <v>0</v>
      </c>
      <c r="J31" s="17">
        <f t="shared" si="6"/>
        <v>0</v>
      </c>
      <c r="K31" s="17">
        <f t="shared" si="6"/>
        <v>0</v>
      </c>
      <c r="L31" s="17">
        <f t="shared" si="6"/>
        <v>1</v>
      </c>
      <c r="M31" s="17">
        <f t="shared" si="6"/>
        <v>1</v>
      </c>
      <c r="N31" s="17">
        <f t="shared" si="6"/>
        <v>0</v>
      </c>
      <c r="O31" s="17">
        <f t="shared" si="6"/>
        <v>0</v>
      </c>
      <c r="P31" s="17">
        <f t="shared" si="6"/>
        <v>0</v>
      </c>
      <c r="Q31" s="17">
        <f t="shared" si="6"/>
        <v>0</v>
      </c>
      <c r="R31" s="17">
        <f t="shared" si="6"/>
        <v>0</v>
      </c>
      <c r="S31" s="17">
        <f t="shared" si="6"/>
        <v>0</v>
      </c>
      <c r="T31" s="17">
        <f t="shared" si="6"/>
        <v>0</v>
      </c>
      <c r="U31" s="17">
        <f t="shared" si="6"/>
        <v>1</v>
      </c>
      <c r="V31" s="17">
        <f t="shared" si="5"/>
        <v>1</v>
      </c>
      <c r="W31" s="17">
        <f t="shared" si="5"/>
        <v>1</v>
      </c>
      <c r="X31" s="17">
        <f t="shared" si="5"/>
        <v>1</v>
      </c>
      <c r="Y31" s="17">
        <f t="shared" si="5"/>
        <v>1</v>
      </c>
      <c r="Z31" s="17">
        <f t="shared" si="5"/>
        <v>1</v>
      </c>
      <c r="AA31" s="17">
        <f t="shared" si="5"/>
        <v>1</v>
      </c>
      <c r="AB31" s="17">
        <f t="shared" si="5"/>
        <v>0</v>
      </c>
      <c r="AC31" s="17">
        <f t="shared" si="5"/>
        <v>0</v>
      </c>
      <c r="AD31" s="17">
        <f t="shared" si="4"/>
        <v>9</v>
      </c>
    </row>
    <row r="32" spans="4:32" x14ac:dyDescent="0.2">
      <c r="D32" s="37">
        <v>44950</v>
      </c>
      <c r="E32" s="17" t="str">
        <f t="shared" si="1"/>
        <v>weekday</v>
      </c>
      <c r="F32" s="17">
        <f t="shared" si="6"/>
        <v>0</v>
      </c>
      <c r="G32" s="17">
        <f t="shared" si="6"/>
        <v>0</v>
      </c>
      <c r="H32" s="17">
        <f t="shared" si="6"/>
        <v>0</v>
      </c>
      <c r="I32" s="17">
        <f t="shared" si="6"/>
        <v>0</v>
      </c>
      <c r="J32" s="17">
        <f t="shared" si="6"/>
        <v>0</v>
      </c>
      <c r="K32" s="17">
        <f t="shared" si="6"/>
        <v>0</v>
      </c>
      <c r="L32" s="17">
        <f t="shared" si="6"/>
        <v>1</v>
      </c>
      <c r="M32" s="17">
        <f t="shared" si="6"/>
        <v>1</v>
      </c>
      <c r="N32" s="17">
        <f t="shared" si="6"/>
        <v>0</v>
      </c>
      <c r="O32" s="17">
        <f t="shared" si="6"/>
        <v>0</v>
      </c>
      <c r="P32" s="17">
        <f t="shared" si="6"/>
        <v>0</v>
      </c>
      <c r="Q32" s="17">
        <f t="shared" si="6"/>
        <v>0</v>
      </c>
      <c r="R32" s="17">
        <f t="shared" si="6"/>
        <v>0</v>
      </c>
      <c r="S32" s="17">
        <f t="shared" si="6"/>
        <v>0</v>
      </c>
      <c r="T32" s="17">
        <f t="shared" si="6"/>
        <v>0</v>
      </c>
      <c r="U32" s="17">
        <f t="shared" si="6"/>
        <v>1</v>
      </c>
      <c r="V32" s="17">
        <f t="shared" si="5"/>
        <v>1</v>
      </c>
      <c r="W32" s="17">
        <f t="shared" si="5"/>
        <v>1</v>
      </c>
      <c r="X32" s="17">
        <f t="shared" si="5"/>
        <v>1</v>
      </c>
      <c r="Y32" s="17">
        <f t="shared" si="5"/>
        <v>1</v>
      </c>
      <c r="Z32" s="17">
        <f t="shared" si="5"/>
        <v>1</v>
      </c>
      <c r="AA32" s="17">
        <f t="shared" si="5"/>
        <v>1</v>
      </c>
      <c r="AB32" s="17">
        <f t="shared" si="5"/>
        <v>0</v>
      </c>
      <c r="AC32" s="17">
        <f t="shared" si="5"/>
        <v>0</v>
      </c>
      <c r="AD32" s="17">
        <f t="shared" si="4"/>
        <v>9</v>
      </c>
    </row>
    <row r="33" spans="4:30" x14ac:dyDescent="0.2">
      <c r="D33" s="37">
        <v>44951</v>
      </c>
      <c r="E33" s="17" t="str">
        <f t="shared" si="1"/>
        <v>weekday</v>
      </c>
      <c r="F33" s="17">
        <f t="shared" si="6"/>
        <v>0</v>
      </c>
      <c r="G33" s="17">
        <f t="shared" si="6"/>
        <v>0</v>
      </c>
      <c r="H33" s="17">
        <f t="shared" si="6"/>
        <v>0</v>
      </c>
      <c r="I33" s="17">
        <f t="shared" si="6"/>
        <v>0</v>
      </c>
      <c r="J33" s="17">
        <f t="shared" si="6"/>
        <v>0</v>
      </c>
      <c r="K33" s="17">
        <f t="shared" si="6"/>
        <v>0</v>
      </c>
      <c r="L33" s="17">
        <f t="shared" si="6"/>
        <v>1</v>
      </c>
      <c r="M33" s="17">
        <f t="shared" si="6"/>
        <v>1</v>
      </c>
      <c r="N33" s="17">
        <f t="shared" si="6"/>
        <v>0</v>
      </c>
      <c r="O33" s="17">
        <f t="shared" si="6"/>
        <v>0</v>
      </c>
      <c r="P33" s="17">
        <f t="shared" si="6"/>
        <v>0</v>
      </c>
      <c r="Q33" s="17">
        <f t="shared" si="6"/>
        <v>0</v>
      </c>
      <c r="R33" s="17">
        <f t="shared" si="6"/>
        <v>0</v>
      </c>
      <c r="S33" s="17">
        <f t="shared" si="6"/>
        <v>0</v>
      </c>
      <c r="T33" s="17">
        <f t="shared" si="6"/>
        <v>0</v>
      </c>
      <c r="U33" s="17">
        <f t="shared" si="6"/>
        <v>1</v>
      </c>
      <c r="V33" s="17">
        <f t="shared" si="5"/>
        <v>1</v>
      </c>
      <c r="W33" s="17">
        <f t="shared" si="5"/>
        <v>1</v>
      </c>
      <c r="X33" s="17">
        <f t="shared" si="5"/>
        <v>1</v>
      </c>
      <c r="Y33" s="17">
        <f t="shared" si="5"/>
        <v>1</v>
      </c>
      <c r="Z33" s="17">
        <f t="shared" si="5"/>
        <v>1</v>
      </c>
      <c r="AA33" s="17">
        <f t="shared" si="5"/>
        <v>1</v>
      </c>
      <c r="AB33" s="17">
        <f t="shared" si="5"/>
        <v>0</v>
      </c>
      <c r="AC33" s="17">
        <f t="shared" si="5"/>
        <v>0</v>
      </c>
      <c r="AD33" s="17">
        <f t="shared" si="4"/>
        <v>9</v>
      </c>
    </row>
    <row r="34" spans="4:30" x14ac:dyDescent="0.2">
      <c r="D34" s="37">
        <v>44952</v>
      </c>
      <c r="E34" s="17" t="str">
        <f t="shared" si="1"/>
        <v>weekday</v>
      </c>
      <c r="F34" s="17">
        <f t="shared" si="6"/>
        <v>0</v>
      </c>
      <c r="G34" s="17">
        <f t="shared" si="6"/>
        <v>0</v>
      </c>
      <c r="H34" s="17">
        <f t="shared" si="6"/>
        <v>0</v>
      </c>
      <c r="I34" s="17">
        <f t="shared" si="6"/>
        <v>0</v>
      </c>
      <c r="J34" s="17">
        <f t="shared" si="6"/>
        <v>0</v>
      </c>
      <c r="K34" s="17">
        <f t="shared" si="6"/>
        <v>0</v>
      </c>
      <c r="L34" s="17">
        <f t="shared" si="6"/>
        <v>1</v>
      </c>
      <c r="M34" s="17">
        <f t="shared" si="6"/>
        <v>1</v>
      </c>
      <c r="N34" s="17">
        <f t="shared" si="6"/>
        <v>0</v>
      </c>
      <c r="O34" s="17">
        <f t="shared" si="6"/>
        <v>0</v>
      </c>
      <c r="P34" s="17">
        <f t="shared" si="6"/>
        <v>0</v>
      </c>
      <c r="Q34" s="17">
        <f t="shared" si="6"/>
        <v>0</v>
      </c>
      <c r="R34" s="17">
        <f t="shared" si="6"/>
        <v>0</v>
      </c>
      <c r="S34" s="17">
        <f t="shared" si="6"/>
        <v>0</v>
      </c>
      <c r="T34" s="17">
        <f t="shared" si="6"/>
        <v>0</v>
      </c>
      <c r="U34" s="17">
        <f t="shared" si="6"/>
        <v>1</v>
      </c>
      <c r="V34" s="17">
        <f t="shared" si="5"/>
        <v>1</v>
      </c>
      <c r="W34" s="17">
        <f t="shared" si="5"/>
        <v>1</v>
      </c>
      <c r="X34" s="17">
        <f t="shared" si="5"/>
        <v>1</v>
      </c>
      <c r="Y34" s="17">
        <f t="shared" si="5"/>
        <v>1</v>
      </c>
      <c r="Z34" s="17">
        <f t="shared" si="5"/>
        <v>1</v>
      </c>
      <c r="AA34" s="17">
        <f t="shared" si="5"/>
        <v>1</v>
      </c>
      <c r="AB34" s="17">
        <f t="shared" si="5"/>
        <v>0</v>
      </c>
      <c r="AC34" s="17">
        <f t="shared" si="5"/>
        <v>0</v>
      </c>
      <c r="AD34" s="17">
        <f t="shared" si="4"/>
        <v>9</v>
      </c>
    </row>
    <row r="35" spans="4:30" x14ac:dyDescent="0.2">
      <c r="D35" s="37">
        <v>44953</v>
      </c>
      <c r="E35" s="17" t="str">
        <f t="shared" si="1"/>
        <v>weekday</v>
      </c>
      <c r="F35" s="17">
        <f t="shared" si="6"/>
        <v>0</v>
      </c>
      <c r="G35" s="17">
        <f t="shared" si="6"/>
        <v>0</v>
      </c>
      <c r="H35" s="17">
        <f t="shared" si="6"/>
        <v>0</v>
      </c>
      <c r="I35" s="17">
        <f t="shared" si="6"/>
        <v>0</v>
      </c>
      <c r="J35" s="17">
        <f t="shared" si="6"/>
        <v>0</v>
      </c>
      <c r="K35" s="17">
        <f t="shared" si="6"/>
        <v>0</v>
      </c>
      <c r="L35" s="17">
        <f t="shared" si="6"/>
        <v>1</v>
      </c>
      <c r="M35" s="17">
        <f t="shared" si="6"/>
        <v>1</v>
      </c>
      <c r="N35" s="17">
        <f t="shared" si="6"/>
        <v>0</v>
      </c>
      <c r="O35" s="17">
        <f t="shared" si="6"/>
        <v>0</v>
      </c>
      <c r="P35" s="17">
        <f t="shared" si="6"/>
        <v>0</v>
      </c>
      <c r="Q35" s="17">
        <f t="shared" si="6"/>
        <v>0</v>
      </c>
      <c r="R35" s="17">
        <f t="shared" si="6"/>
        <v>0</v>
      </c>
      <c r="S35" s="17">
        <f t="shared" si="6"/>
        <v>0</v>
      </c>
      <c r="T35" s="17">
        <f t="shared" si="6"/>
        <v>0</v>
      </c>
      <c r="U35" s="17">
        <f t="shared" si="6"/>
        <v>1</v>
      </c>
      <c r="V35" s="17">
        <f t="shared" si="5"/>
        <v>1</v>
      </c>
      <c r="W35" s="17">
        <f t="shared" si="5"/>
        <v>1</v>
      </c>
      <c r="X35" s="17">
        <f t="shared" si="5"/>
        <v>1</v>
      </c>
      <c r="Y35" s="17">
        <f t="shared" si="5"/>
        <v>1</v>
      </c>
      <c r="Z35" s="17">
        <f t="shared" si="5"/>
        <v>1</v>
      </c>
      <c r="AA35" s="17">
        <f t="shared" si="5"/>
        <v>1</v>
      </c>
      <c r="AB35" s="17">
        <f t="shared" si="5"/>
        <v>0</v>
      </c>
      <c r="AC35" s="17">
        <f t="shared" si="5"/>
        <v>0</v>
      </c>
      <c r="AD35" s="17">
        <f t="shared" si="4"/>
        <v>9</v>
      </c>
    </row>
    <row r="36" spans="4:30" x14ac:dyDescent="0.2">
      <c r="D36" s="37">
        <v>44954</v>
      </c>
      <c r="E36" s="17" t="str">
        <f t="shared" si="1"/>
        <v>weekend</v>
      </c>
      <c r="F36" s="17">
        <f t="shared" si="6"/>
        <v>0</v>
      </c>
      <c r="G36" s="17">
        <f t="shared" si="6"/>
        <v>0</v>
      </c>
      <c r="H36" s="17">
        <f t="shared" si="6"/>
        <v>0</v>
      </c>
      <c r="I36" s="17">
        <f t="shared" si="6"/>
        <v>0</v>
      </c>
      <c r="J36" s="17">
        <f t="shared" si="6"/>
        <v>0</v>
      </c>
      <c r="K36" s="17">
        <f t="shared" si="6"/>
        <v>0</v>
      </c>
      <c r="L36" s="17">
        <f t="shared" si="6"/>
        <v>1</v>
      </c>
      <c r="M36" s="17">
        <f t="shared" si="6"/>
        <v>1</v>
      </c>
      <c r="N36" s="17">
        <f t="shared" si="6"/>
        <v>1</v>
      </c>
      <c r="O36" s="17">
        <f t="shared" si="6"/>
        <v>1</v>
      </c>
      <c r="P36" s="17">
        <f t="shared" si="6"/>
        <v>1</v>
      </c>
      <c r="Q36" s="17">
        <f t="shared" si="6"/>
        <v>1</v>
      </c>
      <c r="R36" s="17">
        <f t="shared" si="6"/>
        <v>1</v>
      </c>
      <c r="S36" s="17">
        <f t="shared" si="6"/>
        <v>1</v>
      </c>
      <c r="T36" s="17">
        <f t="shared" si="6"/>
        <v>1</v>
      </c>
      <c r="U36" s="17">
        <f t="shared" si="6"/>
        <v>1</v>
      </c>
      <c r="V36" s="17">
        <f t="shared" si="5"/>
        <v>1</v>
      </c>
      <c r="W36" s="17">
        <f t="shared" si="5"/>
        <v>1</v>
      </c>
      <c r="X36" s="17">
        <f t="shared" si="5"/>
        <v>1</v>
      </c>
      <c r="Y36" s="17">
        <f t="shared" si="5"/>
        <v>1</v>
      </c>
      <c r="Z36" s="17">
        <f t="shared" si="5"/>
        <v>1</v>
      </c>
      <c r="AA36" s="17">
        <f t="shared" si="5"/>
        <v>1</v>
      </c>
      <c r="AB36" s="17">
        <f t="shared" si="5"/>
        <v>0</v>
      </c>
      <c r="AC36" s="17">
        <f t="shared" si="5"/>
        <v>0</v>
      </c>
      <c r="AD36" s="17">
        <f t="shared" si="4"/>
        <v>16</v>
      </c>
    </row>
    <row r="37" spans="4:30" x14ac:dyDescent="0.2">
      <c r="D37" s="37">
        <v>44955</v>
      </c>
      <c r="E37" s="17" t="str">
        <f t="shared" si="1"/>
        <v>weekend</v>
      </c>
      <c r="F37" s="17">
        <f t="shared" si="6"/>
        <v>0</v>
      </c>
      <c r="G37" s="17">
        <f t="shared" si="6"/>
        <v>0</v>
      </c>
      <c r="H37" s="17">
        <f t="shared" si="6"/>
        <v>0</v>
      </c>
      <c r="I37" s="17">
        <f t="shared" si="6"/>
        <v>0</v>
      </c>
      <c r="J37" s="17">
        <f t="shared" si="6"/>
        <v>0</v>
      </c>
      <c r="K37" s="17">
        <f t="shared" si="6"/>
        <v>0</v>
      </c>
      <c r="L37" s="17">
        <f t="shared" si="6"/>
        <v>1</v>
      </c>
      <c r="M37" s="17">
        <f t="shared" si="6"/>
        <v>1</v>
      </c>
      <c r="N37" s="17">
        <f t="shared" si="6"/>
        <v>1</v>
      </c>
      <c r="O37" s="17">
        <f t="shared" si="6"/>
        <v>1</v>
      </c>
      <c r="P37" s="17">
        <f t="shared" si="6"/>
        <v>1</v>
      </c>
      <c r="Q37" s="17">
        <f t="shared" si="6"/>
        <v>1</v>
      </c>
      <c r="R37" s="17">
        <f t="shared" si="6"/>
        <v>1</v>
      </c>
      <c r="S37" s="17">
        <f t="shared" si="6"/>
        <v>1</v>
      </c>
      <c r="T37" s="17">
        <f t="shared" si="6"/>
        <v>1</v>
      </c>
      <c r="U37" s="17">
        <f t="shared" si="6"/>
        <v>1</v>
      </c>
      <c r="V37" s="17">
        <f t="shared" si="5"/>
        <v>1</v>
      </c>
      <c r="W37" s="17">
        <f t="shared" si="5"/>
        <v>1</v>
      </c>
      <c r="X37" s="17">
        <f t="shared" si="5"/>
        <v>1</v>
      </c>
      <c r="Y37" s="17">
        <f t="shared" si="5"/>
        <v>1</v>
      </c>
      <c r="Z37" s="17">
        <f t="shared" si="5"/>
        <v>1</v>
      </c>
      <c r="AA37" s="17">
        <f t="shared" si="5"/>
        <v>1</v>
      </c>
      <c r="AB37" s="17">
        <f t="shared" si="5"/>
        <v>0</v>
      </c>
      <c r="AC37" s="17">
        <f t="shared" si="5"/>
        <v>0</v>
      </c>
      <c r="AD37" s="17">
        <f t="shared" si="4"/>
        <v>16</v>
      </c>
    </row>
    <row r="38" spans="4:30" x14ac:dyDescent="0.2">
      <c r="D38" s="37">
        <v>44956</v>
      </c>
      <c r="E38" s="17" t="str">
        <f t="shared" si="1"/>
        <v>weekday</v>
      </c>
      <c r="F38" s="17">
        <f t="shared" si="6"/>
        <v>0</v>
      </c>
      <c r="G38" s="17">
        <f t="shared" si="6"/>
        <v>0</v>
      </c>
      <c r="H38" s="17">
        <f t="shared" si="6"/>
        <v>0</v>
      </c>
      <c r="I38" s="17">
        <f t="shared" si="6"/>
        <v>0</v>
      </c>
      <c r="J38" s="17">
        <f t="shared" si="6"/>
        <v>0</v>
      </c>
      <c r="K38" s="17">
        <f t="shared" si="6"/>
        <v>0</v>
      </c>
      <c r="L38" s="17">
        <f t="shared" si="6"/>
        <v>1</v>
      </c>
      <c r="M38" s="17">
        <f t="shared" si="6"/>
        <v>1</v>
      </c>
      <c r="N38" s="17">
        <f t="shared" si="6"/>
        <v>0</v>
      </c>
      <c r="O38" s="17">
        <f t="shared" si="6"/>
        <v>0</v>
      </c>
      <c r="P38" s="17">
        <f t="shared" si="6"/>
        <v>0</v>
      </c>
      <c r="Q38" s="17">
        <f t="shared" si="6"/>
        <v>0</v>
      </c>
      <c r="R38" s="17">
        <f t="shared" si="6"/>
        <v>0</v>
      </c>
      <c r="S38" s="17">
        <f t="shared" si="6"/>
        <v>0</v>
      </c>
      <c r="T38" s="17">
        <f t="shared" si="6"/>
        <v>0</v>
      </c>
      <c r="U38" s="17">
        <f t="shared" si="6"/>
        <v>1</v>
      </c>
      <c r="V38" s="17">
        <f t="shared" si="5"/>
        <v>1</v>
      </c>
      <c r="W38" s="17">
        <f t="shared" si="5"/>
        <v>1</v>
      </c>
      <c r="X38" s="17">
        <f t="shared" si="5"/>
        <v>1</v>
      </c>
      <c r="Y38" s="17">
        <f t="shared" si="5"/>
        <v>1</v>
      </c>
      <c r="Z38" s="17">
        <f t="shared" si="5"/>
        <v>1</v>
      </c>
      <c r="AA38" s="17">
        <f t="shared" si="5"/>
        <v>1</v>
      </c>
      <c r="AB38" s="17">
        <f t="shared" si="5"/>
        <v>0</v>
      </c>
      <c r="AC38" s="17">
        <f t="shared" si="5"/>
        <v>0</v>
      </c>
      <c r="AD38" s="17">
        <f t="shared" si="4"/>
        <v>9</v>
      </c>
    </row>
    <row r="39" spans="4:30" x14ac:dyDescent="0.2">
      <c r="D39" s="37">
        <v>44957</v>
      </c>
      <c r="E39" s="17" t="str">
        <f t="shared" si="1"/>
        <v>weekday</v>
      </c>
      <c r="F39" s="17">
        <f t="shared" si="6"/>
        <v>0</v>
      </c>
      <c r="G39" s="17">
        <f t="shared" si="6"/>
        <v>0</v>
      </c>
      <c r="H39" s="17">
        <f t="shared" si="6"/>
        <v>0</v>
      </c>
      <c r="I39" s="17">
        <f t="shared" si="6"/>
        <v>0</v>
      </c>
      <c r="J39" s="17">
        <f t="shared" si="6"/>
        <v>0</v>
      </c>
      <c r="K39" s="17">
        <f t="shared" si="6"/>
        <v>0</v>
      </c>
      <c r="L39" s="17">
        <f t="shared" si="6"/>
        <v>1</v>
      </c>
      <c r="M39" s="17">
        <f t="shared" si="6"/>
        <v>1</v>
      </c>
      <c r="N39" s="17">
        <f t="shared" si="6"/>
        <v>0</v>
      </c>
      <c r="O39" s="17">
        <f t="shared" si="6"/>
        <v>0</v>
      </c>
      <c r="P39" s="17">
        <f t="shared" si="6"/>
        <v>0</v>
      </c>
      <c r="Q39" s="17">
        <f t="shared" si="6"/>
        <v>0</v>
      </c>
      <c r="R39" s="17">
        <f t="shared" si="6"/>
        <v>0</v>
      </c>
      <c r="S39" s="17">
        <f t="shared" si="6"/>
        <v>0</v>
      </c>
      <c r="T39" s="17">
        <f t="shared" si="6"/>
        <v>0</v>
      </c>
      <c r="U39" s="17">
        <f t="shared" si="6"/>
        <v>1</v>
      </c>
      <c r="V39" s="17">
        <f t="shared" si="5"/>
        <v>1</v>
      </c>
      <c r="W39" s="17">
        <f t="shared" si="5"/>
        <v>1</v>
      </c>
      <c r="X39" s="17">
        <f t="shared" si="5"/>
        <v>1</v>
      </c>
      <c r="Y39" s="17">
        <f t="shared" si="5"/>
        <v>1</v>
      </c>
      <c r="Z39" s="17">
        <f t="shared" si="5"/>
        <v>1</v>
      </c>
      <c r="AA39" s="17">
        <f t="shared" si="5"/>
        <v>1</v>
      </c>
      <c r="AB39" s="17">
        <f t="shared" si="5"/>
        <v>0</v>
      </c>
      <c r="AC39" s="17">
        <f t="shared" si="5"/>
        <v>0</v>
      </c>
      <c r="AD39" s="17">
        <f t="shared" si="4"/>
        <v>9</v>
      </c>
    </row>
    <row r="40" spans="4:30" x14ac:dyDescent="0.2">
      <c r="D40" s="37">
        <v>44958</v>
      </c>
      <c r="E40" s="17" t="str">
        <f t="shared" si="1"/>
        <v>weekday</v>
      </c>
      <c r="F40" s="17">
        <f t="shared" si="6"/>
        <v>0</v>
      </c>
      <c r="G40" s="17">
        <f t="shared" si="6"/>
        <v>0</v>
      </c>
      <c r="H40" s="17">
        <f t="shared" si="6"/>
        <v>0</v>
      </c>
      <c r="I40" s="17">
        <f t="shared" si="6"/>
        <v>0</v>
      </c>
      <c r="J40" s="17">
        <f t="shared" si="6"/>
        <v>0</v>
      </c>
      <c r="K40" s="17">
        <f t="shared" si="6"/>
        <v>0</v>
      </c>
      <c r="L40" s="17">
        <f t="shared" si="6"/>
        <v>1</v>
      </c>
      <c r="M40" s="17">
        <f t="shared" si="6"/>
        <v>1</v>
      </c>
      <c r="N40" s="17">
        <f t="shared" si="6"/>
        <v>0</v>
      </c>
      <c r="O40" s="17">
        <f t="shared" si="6"/>
        <v>0</v>
      </c>
      <c r="P40" s="17">
        <f t="shared" si="6"/>
        <v>0</v>
      </c>
      <c r="Q40" s="17">
        <f t="shared" si="6"/>
        <v>0</v>
      </c>
      <c r="R40" s="17">
        <f t="shared" si="6"/>
        <v>0</v>
      </c>
      <c r="S40" s="17">
        <f t="shared" si="6"/>
        <v>0</v>
      </c>
      <c r="T40" s="17">
        <f t="shared" si="6"/>
        <v>0</v>
      </c>
      <c r="U40" s="17">
        <f t="shared" si="6"/>
        <v>1</v>
      </c>
      <c r="V40" s="17">
        <f t="shared" si="5"/>
        <v>1</v>
      </c>
      <c r="W40" s="17">
        <f t="shared" si="5"/>
        <v>1</v>
      </c>
      <c r="X40" s="17">
        <f t="shared" si="5"/>
        <v>1</v>
      </c>
      <c r="Y40" s="17">
        <f t="shared" si="5"/>
        <v>1</v>
      </c>
      <c r="Z40" s="17">
        <f t="shared" si="5"/>
        <v>1</v>
      </c>
      <c r="AA40" s="17">
        <f t="shared" si="5"/>
        <v>1</v>
      </c>
      <c r="AB40" s="17">
        <f t="shared" si="5"/>
        <v>0</v>
      </c>
      <c r="AC40" s="17">
        <f t="shared" si="5"/>
        <v>0</v>
      </c>
      <c r="AD40" s="17">
        <f t="shared" si="4"/>
        <v>9</v>
      </c>
    </row>
    <row r="41" spans="4:30" x14ac:dyDescent="0.2">
      <c r="D41" s="37">
        <v>44959</v>
      </c>
      <c r="E41" s="17" t="str">
        <f t="shared" si="1"/>
        <v>weekday</v>
      </c>
      <c r="F41" s="17">
        <f t="shared" si="6"/>
        <v>0</v>
      </c>
      <c r="G41" s="17">
        <f t="shared" si="6"/>
        <v>0</v>
      </c>
      <c r="H41" s="17">
        <f t="shared" si="6"/>
        <v>0</v>
      </c>
      <c r="I41" s="17">
        <f t="shared" si="6"/>
        <v>0</v>
      </c>
      <c r="J41" s="17">
        <f t="shared" si="6"/>
        <v>0</v>
      </c>
      <c r="K41" s="17">
        <f t="shared" si="6"/>
        <v>0</v>
      </c>
      <c r="L41" s="17">
        <f t="shared" si="6"/>
        <v>1</v>
      </c>
      <c r="M41" s="17">
        <f t="shared" si="6"/>
        <v>1</v>
      </c>
      <c r="N41" s="17">
        <f t="shared" si="6"/>
        <v>0</v>
      </c>
      <c r="O41" s="17">
        <f t="shared" si="6"/>
        <v>0</v>
      </c>
      <c r="P41" s="17">
        <f t="shared" si="6"/>
        <v>0</v>
      </c>
      <c r="Q41" s="17">
        <f t="shared" si="6"/>
        <v>0</v>
      </c>
      <c r="R41" s="17">
        <f t="shared" si="6"/>
        <v>0</v>
      </c>
      <c r="S41" s="17">
        <f t="shared" si="6"/>
        <v>0</v>
      </c>
      <c r="T41" s="17">
        <f t="shared" si="6"/>
        <v>0</v>
      </c>
      <c r="U41" s="17">
        <f t="shared" ref="U41:AC56" si="7">IF($E41=$E$5,(U$5),(U$6))</f>
        <v>1</v>
      </c>
      <c r="V41" s="17">
        <f t="shared" si="7"/>
        <v>1</v>
      </c>
      <c r="W41" s="17">
        <f t="shared" si="7"/>
        <v>1</v>
      </c>
      <c r="X41" s="17">
        <f t="shared" si="7"/>
        <v>1</v>
      </c>
      <c r="Y41" s="17">
        <f t="shared" si="7"/>
        <v>1</v>
      </c>
      <c r="Z41" s="17">
        <f t="shared" si="7"/>
        <v>1</v>
      </c>
      <c r="AA41" s="17">
        <f t="shared" si="7"/>
        <v>1</v>
      </c>
      <c r="AB41" s="17">
        <f t="shared" si="7"/>
        <v>0</v>
      </c>
      <c r="AC41" s="17">
        <f t="shared" si="7"/>
        <v>0</v>
      </c>
      <c r="AD41" s="17">
        <f t="shared" si="4"/>
        <v>9</v>
      </c>
    </row>
    <row r="42" spans="4:30" x14ac:dyDescent="0.2">
      <c r="D42" s="37">
        <v>44960</v>
      </c>
      <c r="E42" s="17" t="str">
        <f t="shared" si="1"/>
        <v>weekday</v>
      </c>
      <c r="F42" s="17">
        <f t="shared" ref="F42:U57" si="8">IF($E42=$E$5,(F$5),(F$6))</f>
        <v>0</v>
      </c>
      <c r="G42" s="17">
        <f t="shared" si="8"/>
        <v>0</v>
      </c>
      <c r="H42" s="17">
        <f t="shared" si="8"/>
        <v>0</v>
      </c>
      <c r="I42" s="17">
        <f t="shared" si="8"/>
        <v>0</v>
      </c>
      <c r="J42" s="17">
        <f t="shared" si="8"/>
        <v>0</v>
      </c>
      <c r="K42" s="17">
        <f t="shared" si="8"/>
        <v>0</v>
      </c>
      <c r="L42" s="17">
        <f t="shared" si="8"/>
        <v>1</v>
      </c>
      <c r="M42" s="17">
        <f t="shared" si="8"/>
        <v>1</v>
      </c>
      <c r="N42" s="17">
        <f t="shared" si="8"/>
        <v>0</v>
      </c>
      <c r="O42" s="17">
        <f t="shared" si="8"/>
        <v>0</v>
      </c>
      <c r="P42" s="17">
        <f t="shared" si="8"/>
        <v>0</v>
      </c>
      <c r="Q42" s="17">
        <f t="shared" si="8"/>
        <v>0</v>
      </c>
      <c r="R42" s="17">
        <f t="shared" si="8"/>
        <v>0</v>
      </c>
      <c r="S42" s="17">
        <f t="shared" si="8"/>
        <v>0</v>
      </c>
      <c r="T42" s="17">
        <f t="shared" si="8"/>
        <v>0</v>
      </c>
      <c r="U42" s="17">
        <f t="shared" si="8"/>
        <v>1</v>
      </c>
      <c r="V42" s="17">
        <f t="shared" si="7"/>
        <v>1</v>
      </c>
      <c r="W42" s="17">
        <f t="shared" si="7"/>
        <v>1</v>
      </c>
      <c r="X42" s="17">
        <f t="shared" si="7"/>
        <v>1</v>
      </c>
      <c r="Y42" s="17">
        <f t="shared" si="7"/>
        <v>1</v>
      </c>
      <c r="Z42" s="17">
        <f t="shared" si="7"/>
        <v>1</v>
      </c>
      <c r="AA42" s="17">
        <f t="shared" si="7"/>
        <v>1</v>
      </c>
      <c r="AB42" s="17">
        <f t="shared" si="7"/>
        <v>0</v>
      </c>
      <c r="AC42" s="17">
        <f t="shared" si="7"/>
        <v>0</v>
      </c>
      <c r="AD42" s="17">
        <f t="shared" si="4"/>
        <v>9</v>
      </c>
    </row>
    <row r="43" spans="4:30" x14ac:dyDescent="0.2">
      <c r="D43" s="37">
        <v>44961</v>
      </c>
      <c r="E43" s="17" t="str">
        <f t="shared" si="1"/>
        <v>weekend</v>
      </c>
      <c r="F43" s="17">
        <f t="shared" si="8"/>
        <v>0</v>
      </c>
      <c r="G43" s="17">
        <f t="shared" si="8"/>
        <v>0</v>
      </c>
      <c r="H43" s="17">
        <f t="shared" si="8"/>
        <v>0</v>
      </c>
      <c r="I43" s="17">
        <f t="shared" si="8"/>
        <v>0</v>
      </c>
      <c r="J43" s="17">
        <f t="shared" si="8"/>
        <v>0</v>
      </c>
      <c r="K43" s="17">
        <f t="shared" si="8"/>
        <v>0</v>
      </c>
      <c r="L43" s="17">
        <f t="shared" si="8"/>
        <v>1</v>
      </c>
      <c r="M43" s="17">
        <f t="shared" si="8"/>
        <v>1</v>
      </c>
      <c r="N43" s="17">
        <f t="shared" si="8"/>
        <v>1</v>
      </c>
      <c r="O43" s="17">
        <f t="shared" si="8"/>
        <v>1</v>
      </c>
      <c r="P43" s="17">
        <f t="shared" si="8"/>
        <v>1</v>
      </c>
      <c r="Q43" s="17">
        <f t="shared" si="8"/>
        <v>1</v>
      </c>
      <c r="R43" s="17">
        <f t="shared" si="8"/>
        <v>1</v>
      </c>
      <c r="S43" s="17">
        <f t="shared" si="8"/>
        <v>1</v>
      </c>
      <c r="T43" s="17">
        <f t="shared" si="8"/>
        <v>1</v>
      </c>
      <c r="U43" s="17">
        <f t="shared" si="8"/>
        <v>1</v>
      </c>
      <c r="V43" s="17">
        <f t="shared" si="7"/>
        <v>1</v>
      </c>
      <c r="W43" s="17">
        <f t="shared" si="7"/>
        <v>1</v>
      </c>
      <c r="X43" s="17">
        <f t="shared" si="7"/>
        <v>1</v>
      </c>
      <c r="Y43" s="17">
        <f t="shared" si="7"/>
        <v>1</v>
      </c>
      <c r="Z43" s="17">
        <f t="shared" si="7"/>
        <v>1</v>
      </c>
      <c r="AA43" s="17">
        <f t="shared" si="7"/>
        <v>1</v>
      </c>
      <c r="AB43" s="17">
        <f t="shared" si="7"/>
        <v>0</v>
      </c>
      <c r="AC43" s="17">
        <f t="shared" si="7"/>
        <v>0</v>
      </c>
      <c r="AD43" s="17">
        <f t="shared" si="4"/>
        <v>16</v>
      </c>
    </row>
    <row r="44" spans="4:30" x14ac:dyDescent="0.2">
      <c r="D44" s="37">
        <v>44962</v>
      </c>
      <c r="E44" s="17" t="str">
        <f t="shared" si="1"/>
        <v>weekend</v>
      </c>
      <c r="F44" s="17">
        <f t="shared" si="8"/>
        <v>0</v>
      </c>
      <c r="G44" s="17">
        <f t="shared" si="8"/>
        <v>0</v>
      </c>
      <c r="H44" s="17">
        <f t="shared" si="8"/>
        <v>0</v>
      </c>
      <c r="I44" s="17">
        <f t="shared" si="8"/>
        <v>0</v>
      </c>
      <c r="J44" s="17">
        <f t="shared" si="8"/>
        <v>0</v>
      </c>
      <c r="K44" s="17">
        <f t="shared" si="8"/>
        <v>0</v>
      </c>
      <c r="L44" s="17">
        <f t="shared" si="8"/>
        <v>1</v>
      </c>
      <c r="M44" s="17">
        <f t="shared" si="8"/>
        <v>1</v>
      </c>
      <c r="N44" s="17">
        <f t="shared" si="8"/>
        <v>1</v>
      </c>
      <c r="O44" s="17">
        <f t="shared" si="8"/>
        <v>1</v>
      </c>
      <c r="P44" s="17">
        <f t="shared" si="8"/>
        <v>1</v>
      </c>
      <c r="Q44" s="17">
        <f t="shared" si="8"/>
        <v>1</v>
      </c>
      <c r="R44" s="17">
        <f t="shared" si="8"/>
        <v>1</v>
      </c>
      <c r="S44" s="17">
        <f t="shared" si="8"/>
        <v>1</v>
      </c>
      <c r="T44" s="17">
        <f t="shared" si="8"/>
        <v>1</v>
      </c>
      <c r="U44" s="17">
        <f t="shared" si="8"/>
        <v>1</v>
      </c>
      <c r="V44" s="17">
        <f t="shared" si="7"/>
        <v>1</v>
      </c>
      <c r="W44" s="17">
        <f t="shared" si="7"/>
        <v>1</v>
      </c>
      <c r="X44" s="17">
        <f t="shared" si="7"/>
        <v>1</v>
      </c>
      <c r="Y44" s="17">
        <f t="shared" si="7"/>
        <v>1</v>
      </c>
      <c r="Z44" s="17">
        <f t="shared" si="7"/>
        <v>1</v>
      </c>
      <c r="AA44" s="17">
        <f t="shared" si="7"/>
        <v>1</v>
      </c>
      <c r="AB44" s="17">
        <f t="shared" si="7"/>
        <v>0</v>
      </c>
      <c r="AC44" s="17">
        <f t="shared" si="7"/>
        <v>0</v>
      </c>
      <c r="AD44" s="17">
        <f t="shared" si="4"/>
        <v>16</v>
      </c>
    </row>
    <row r="45" spans="4:30" x14ac:dyDescent="0.2">
      <c r="D45" s="37">
        <v>44963</v>
      </c>
      <c r="E45" s="17" t="str">
        <f t="shared" si="1"/>
        <v>weekday</v>
      </c>
      <c r="F45" s="17">
        <f t="shared" si="8"/>
        <v>0</v>
      </c>
      <c r="G45" s="17">
        <f t="shared" si="8"/>
        <v>0</v>
      </c>
      <c r="H45" s="17">
        <f t="shared" si="8"/>
        <v>0</v>
      </c>
      <c r="I45" s="17">
        <f t="shared" si="8"/>
        <v>0</v>
      </c>
      <c r="J45" s="17">
        <f t="shared" si="8"/>
        <v>0</v>
      </c>
      <c r="K45" s="17">
        <f t="shared" si="8"/>
        <v>0</v>
      </c>
      <c r="L45" s="17">
        <f t="shared" si="8"/>
        <v>1</v>
      </c>
      <c r="M45" s="17">
        <f t="shared" si="8"/>
        <v>1</v>
      </c>
      <c r="N45" s="17">
        <f t="shared" si="8"/>
        <v>0</v>
      </c>
      <c r="O45" s="17">
        <f t="shared" si="8"/>
        <v>0</v>
      </c>
      <c r="P45" s="17">
        <f t="shared" si="8"/>
        <v>0</v>
      </c>
      <c r="Q45" s="17">
        <f t="shared" si="8"/>
        <v>0</v>
      </c>
      <c r="R45" s="17">
        <f t="shared" si="8"/>
        <v>0</v>
      </c>
      <c r="S45" s="17">
        <f t="shared" si="8"/>
        <v>0</v>
      </c>
      <c r="T45" s="17">
        <f t="shared" si="8"/>
        <v>0</v>
      </c>
      <c r="U45" s="17">
        <f t="shared" si="8"/>
        <v>1</v>
      </c>
      <c r="V45" s="17">
        <f t="shared" si="7"/>
        <v>1</v>
      </c>
      <c r="W45" s="17">
        <f t="shared" si="7"/>
        <v>1</v>
      </c>
      <c r="X45" s="17">
        <f t="shared" si="7"/>
        <v>1</v>
      </c>
      <c r="Y45" s="17">
        <f t="shared" si="7"/>
        <v>1</v>
      </c>
      <c r="Z45" s="17">
        <f t="shared" si="7"/>
        <v>1</v>
      </c>
      <c r="AA45" s="17">
        <f t="shared" si="7"/>
        <v>1</v>
      </c>
      <c r="AB45" s="17">
        <f t="shared" si="7"/>
        <v>0</v>
      </c>
      <c r="AC45" s="17">
        <f t="shared" si="7"/>
        <v>0</v>
      </c>
      <c r="AD45" s="17">
        <f t="shared" si="4"/>
        <v>9</v>
      </c>
    </row>
    <row r="46" spans="4:30" x14ac:dyDescent="0.2">
      <c r="D46" s="37">
        <v>44964</v>
      </c>
      <c r="E46" s="17" t="str">
        <f t="shared" si="1"/>
        <v>weekday</v>
      </c>
      <c r="F46" s="17">
        <f t="shared" si="8"/>
        <v>0</v>
      </c>
      <c r="G46" s="17">
        <f t="shared" si="8"/>
        <v>0</v>
      </c>
      <c r="H46" s="17">
        <f t="shared" si="8"/>
        <v>0</v>
      </c>
      <c r="I46" s="17">
        <f t="shared" si="8"/>
        <v>0</v>
      </c>
      <c r="J46" s="17">
        <f t="shared" si="8"/>
        <v>0</v>
      </c>
      <c r="K46" s="17">
        <f t="shared" si="8"/>
        <v>0</v>
      </c>
      <c r="L46" s="17">
        <f t="shared" si="8"/>
        <v>1</v>
      </c>
      <c r="M46" s="17">
        <f t="shared" si="8"/>
        <v>1</v>
      </c>
      <c r="N46" s="17">
        <f t="shared" si="8"/>
        <v>0</v>
      </c>
      <c r="O46" s="17">
        <f t="shared" si="8"/>
        <v>0</v>
      </c>
      <c r="P46" s="17">
        <f t="shared" si="8"/>
        <v>0</v>
      </c>
      <c r="Q46" s="17">
        <f t="shared" si="8"/>
        <v>0</v>
      </c>
      <c r="R46" s="17">
        <f t="shared" si="8"/>
        <v>0</v>
      </c>
      <c r="S46" s="17">
        <f t="shared" si="8"/>
        <v>0</v>
      </c>
      <c r="T46" s="17">
        <f t="shared" si="8"/>
        <v>0</v>
      </c>
      <c r="U46" s="17">
        <f t="shared" si="8"/>
        <v>1</v>
      </c>
      <c r="V46" s="17">
        <f t="shared" si="7"/>
        <v>1</v>
      </c>
      <c r="W46" s="17">
        <f t="shared" si="7"/>
        <v>1</v>
      </c>
      <c r="X46" s="17">
        <f t="shared" si="7"/>
        <v>1</v>
      </c>
      <c r="Y46" s="17">
        <f t="shared" si="7"/>
        <v>1</v>
      </c>
      <c r="Z46" s="17">
        <f t="shared" si="7"/>
        <v>1</v>
      </c>
      <c r="AA46" s="17">
        <f t="shared" si="7"/>
        <v>1</v>
      </c>
      <c r="AB46" s="17">
        <f t="shared" si="7"/>
        <v>0</v>
      </c>
      <c r="AC46" s="17">
        <f t="shared" si="7"/>
        <v>0</v>
      </c>
      <c r="AD46" s="17">
        <f t="shared" si="4"/>
        <v>9</v>
      </c>
    </row>
    <row r="47" spans="4:30" x14ac:dyDescent="0.2">
      <c r="D47" s="37">
        <v>44965</v>
      </c>
      <c r="E47" s="17" t="str">
        <f t="shared" si="1"/>
        <v>weekday</v>
      </c>
      <c r="F47" s="17">
        <f t="shared" si="8"/>
        <v>0</v>
      </c>
      <c r="G47" s="17">
        <f t="shared" si="8"/>
        <v>0</v>
      </c>
      <c r="H47" s="17">
        <f t="shared" si="8"/>
        <v>0</v>
      </c>
      <c r="I47" s="17">
        <f t="shared" si="8"/>
        <v>0</v>
      </c>
      <c r="J47" s="17">
        <f t="shared" si="8"/>
        <v>0</v>
      </c>
      <c r="K47" s="17">
        <f t="shared" si="8"/>
        <v>0</v>
      </c>
      <c r="L47" s="17">
        <f t="shared" si="8"/>
        <v>1</v>
      </c>
      <c r="M47" s="17">
        <f t="shared" si="8"/>
        <v>1</v>
      </c>
      <c r="N47" s="17">
        <f t="shared" si="8"/>
        <v>0</v>
      </c>
      <c r="O47" s="17">
        <f t="shared" si="8"/>
        <v>0</v>
      </c>
      <c r="P47" s="17">
        <f t="shared" si="8"/>
        <v>0</v>
      </c>
      <c r="Q47" s="17">
        <f t="shared" si="8"/>
        <v>0</v>
      </c>
      <c r="R47" s="17">
        <f t="shared" si="8"/>
        <v>0</v>
      </c>
      <c r="S47" s="17">
        <f t="shared" si="8"/>
        <v>0</v>
      </c>
      <c r="T47" s="17">
        <f t="shared" si="8"/>
        <v>0</v>
      </c>
      <c r="U47" s="17">
        <f t="shared" si="8"/>
        <v>1</v>
      </c>
      <c r="V47" s="17">
        <f t="shared" si="7"/>
        <v>1</v>
      </c>
      <c r="W47" s="17">
        <f t="shared" si="7"/>
        <v>1</v>
      </c>
      <c r="X47" s="17">
        <f t="shared" si="7"/>
        <v>1</v>
      </c>
      <c r="Y47" s="17">
        <f t="shared" si="7"/>
        <v>1</v>
      </c>
      <c r="Z47" s="17">
        <f t="shared" si="7"/>
        <v>1</v>
      </c>
      <c r="AA47" s="17">
        <f t="shared" si="7"/>
        <v>1</v>
      </c>
      <c r="AB47" s="17">
        <f t="shared" si="7"/>
        <v>0</v>
      </c>
      <c r="AC47" s="17">
        <f t="shared" si="7"/>
        <v>0</v>
      </c>
      <c r="AD47" s="17">
        <f t="shared" si="4"/>
        <v>9</v>
      </c>
    </row>
    <row r="48" spans="4:30" x14ac:dyDescent="0.2">
      <c r="D48" s="37">
        <v>44966</v>
      </c>
      <c r="E48" s="17" t="str">
        <f t="shared" si="1"/>
        <v>weekday</v>
      </c>
      <c r="F48" s="17">
        <f t="shared" si="8"/>
        <v>0</v>
      </c>
      <c r="G48" s="17">
        <f t="shared" si="8"/>
        <v>0</v>
      </c>
      <c r="H48" s="17">
        <f t="shared" si="8"/>
        <v>0</v>
      </c>
      <c r="I48" s="17">
        <f t="shared" si="8"/>
        <v>0</v>
      </c>
      <c r="J48" s="17">
        <f t="shared" si="8"/>
        <v>0</v>
      </c>
      <c r="K48" s="17">
        <f t="shared" si="8"/>
        <v>0</v>
      </c>
      <c r="L48" s="17">
        <f t="shared" si="8"/>
        <v>1</v>
      </c>
      <c r="M48" s="17">
        <f t="shared" si="8"/>
        <v>1</v>
      </c>
      <c r="N48" s="17">
        <f t="shared" si="8"/>
        <v>0</v>
      </c>
      <c r="O48" s="17">
        <f t="shared" si="8"/>
        <v>0</v>
      </c>
      <c r="P48" s="17">
        <f t="shared" si="8"/>
        <v>0</v>
      </c>
      <c r="Q48" s="17">
        <f t="shared" si="8"/>
        <v>0</v>
      </c>
      <c r="R48" s="17">
        <f t="shared" si="8"/>
        <v>0</v>
      </c>
      <c r="S48" s="17">
        <f t="shared" si="8"/>
        <v>0</v>
      </c>
      <c r="T48" s="17">
        <f t="shared" si="8"/>
        <v>0</v>
      </c>
      <c r="U48" s="17">
        <f t="shared" si="8"/>
        <v>1</v>
      </c>
      <c r="V48" s="17">
        <f t="shared" si="7"/>
        <v>1</v>
      </c>
      <c r="W48" s="17">
        <f t="shared" si="7"/>
        <v>1</v>
      </c>
      <c r="X48" s="17">
        <f t="shared" si="7"/>
        <v>1</v>
      </c>
      <c r="Y48" s="17">
        <f t="shared" si="7"/>
        <v>1</v>
      </c>
      <c r="Z48" s="17">
        <f t="shared" si="7"/>
        <v>1</v>
      </c>
      <c r="AA48" s="17">
        <f t="shared" si="7"/>
        <v>1</v>
      </c>
      <c r="AB48" s="17">
        <f t="shared" si="7"/>
        <v>0</v>
      </c>
      <c r="AC48" s="17">
        <f t="shared" si="7"/>
        <v>0</v>
      </c>
      <c r="AD48" s="17">
        <f t="shared" si="4"/>
        <v>9</v>
      </c>
    </row>
    <row r="49" spans="4:30" x14ac:dyDescent="0.2">
      <c r="D49" s="37">
        <v>44967</v>
      </c>
      <c r="E49" s="17" t="str">
        <f t="shared" si="1"/>
        <v>weekday</v>
      </c>
      <c r="F49" s="17">
        <f t="shared" si="8"/>
        <v>0</v>
      </c>
      <c r="G49" s="17">
        <f t="shared" si="8"/>
        <v>0</v>
      </c>
      <c r="H49" s="17">
        <f t="shared" si="8"/>
        <v>0</v>
      </c>
      <c r="I49" s="17">
        <f t="shared" si="8"/>
        <v>0</v>
      </c>
      <c r="J49" s="17">
        <f t="shared" si="8"/>
        <v>0</v>
      </c>
      <c r="K49" s="17">
        <f t="shared" si="8"/>
        <v>0</v>
      </c>
      <c r="L49" s="17">
        <f t="shared" si="8"/>
        <v>1</v>
      </c>
      <c r="M49" s="17">
        <f t="shared" si="8"/>
        <v>1</v>
      </c>
      <c r="N49" s="17">
        <f t="shared" si="8"/>
        <v>0</v>
      </c>
      <c r="O49" s="17">
        <f t="shared" si="8"/>
        <v>0</v>
      </c>
      <c r="P49" s="17">
        <f t="shared" si="8"/>
        <v>0</v>
      </c>
      <c r="Q49" s="17">
        <f t="shared" si="8"/>
        <v>0</v>
      </c>
      <c r="R49" s="17">
        <f t="shared" si="8"/>
        <v>0</v>
      </c>
      <c r="S49" s="17">
        <f t="shared" si="8"/>
        <v>0</v>
      </c>
      <c r="T49" s="17">
        <f t="shared" si="8"/>
        <v>0</v>
      </c>
      <c r="U49" s="17">
        <f t="shared" si="8"/>
        <v>1</v>
      </c>
      <c r="V49" s="17">
        <f t="shared" si="7"/>
        <v>1</v>
      </c>
      <c r="W49" s="17">
        <f t="shared" si="7"/>
        <v>1</v>
      </c>
      <c r="X49" s="17">
        <f t="shared" si="7"/>
        <v>1</v>
      </c>
      <c r="Y49" s="17">
        <f t="shared" si="7"/>
        <v>1</v>
      </c>
      <c r="Z49" s="17">
        <f t="shared" si="7"/>
        <v>1</v>
      </c>
      <c r="AA49" s="17">
        <f t="shared" si="7"/>
        <v>1</v>
      </c>
      <c r="AB49" s="17">
        <f t="shared" si="7"/>
        <v>0</v>
      </c>
      <c r="AC49" s="17">
        <f t="shared" si="7"/>
        <v>0</v>
      </c>
      <c r="AD49" s="17">
        <f t="shared" si="4"/>
        <v>9</v>
      </c>
    </row>
    <row r="50" spans="4:30" x14ac:dyDescent="0.2">
      <c r="D50" s="37">
        <v>44968</v>
      </c>
      <c r="E50" s="17" t="str">
        <f t="shared" si="1"/>
        <v>weekend</v>
      </c>
      <c r="F50" s="17">
        <f t="shared" si="8"/>
        <v>0</v>
      </c>
      <c r="G50" s="17">
        <f t="shared" si="8"/>
        <v>0</v>
      </c>
      <c r="H50" s="17">
        <f t="shared" si="8"/>
        <v>0</v>
      </c>
      <c r="I50" s="17">
        <f t="shared" si="8"/>
        <v>0</v>
      </c>
      <c r="J50" s="17">
        <f t="shared" si="8"/>
        <v>0</v>
      </c>
      <c r="K50" s="17">
        <f t="shared" si="8"/>
        <v>0</v>
      </c>
      <c r="L50" s="17">
        <f t="shared" si="8"/>
        <v>1</v>
      </c>
      <c r="M50" s="17">
        <f t="shared" si="8"/>
        <v>1</v>
      </c>
      <c r="N50" s="17">
        <f t="shared" si="8"/>
        <v>1</v>
      </c>
      <c r="O50" s="17">
        <f t="shared" si="8"/>
        <v>1</v>
      </c>
      <c r="P50" s="17">
        <f t="shared" si="8"/>
        <v>1</v>
      </c>
      <c r="Q50" s="17">
        <f t="shared" si="8"/>
        <v>1</v>
      </c>
      <c r="R50" s="17">
        <f t="shared" si="8"/>
        <v>1</v>
      </c>
      <c r="S50" s="17">
        <f t="shared" si="8"/>
        <v>1</v>
      </c>
      <c r="T50" s="17">
        <f t="shared" si="8"/>
        <v>1</v>
      </c>
      <c r="U50" s="17">
        <f t="shared" si="8"/>
        <v>1</v>
      </c>
      <c r="V50" s="17">
        <f t="shared" si="7"/>
        <v>1</v>
      </c>
      <c r="W50" s="17">
        <f t="shared" si="7"/>
        <v>1</v>
      </c>
      <c r="X50" s="17">
        <f t="shared" si="7"/>
        <v>1</v>
      </c>
      <c r="Y50" s="17">
        <f t="shared" si="7"/>
        <v>1</v>
      </c>
      <c r="Z50" s="17">
        <f t="shared" si="7"/>
        <v>1</v>
      </c>
      <c r="AA50" s="17">
        <f t="shared" si="7"/>
        <v>1</v>
      </c>
      <c r="AB50" s="17">
        <f t="shared" si="7"/>
        <v>0</v>
      </c>
      <c r="AC50" s="17">
        <f t="shared" si="7"/>
        <v>0</v>
      </c>
      <c r="AD50" s="17">
        <f t="shared" si="4"/>
        <v>16</v>
      </c>
    </row>
    <row r="51" spans="4:30" x14ac:dyDescent="0.2">
      <c r="D51" s="37">
        <v>44969</v>
      </c>
      <c r="E51" s="17" t="str">
        <f t="shared" si="1"/>
        <v>weekend</v>
      </c>
      <c r="F51" s="17">
        <f t="shared" si="8"/>
        <v>0</v>
      </c>
      <c r="G51" s="17">
        <f t="shared" si="8"/>
        <v>0</v>
      </c>
      <c r="H51" s="17">
        <f t="shared" si="8"/>
        <v>0</v>
      </c>
      <c r="I51" s="17">
        <f t="shared" si="8"/>
        <v>0</v>
      </c>
      <c r="J51" s="17">
        <f t="shared" si="8"/>
        <v>0</v>
      </c>
      <c r="K51" s="17">
        <f t="shared" si="8"/>
        <v>0</v>
      </c>
      <c r="L51" s="17">
        <f t="shared" si="8"/>
        <v>1</v>
      </c>
      <c r="M51" s="17">
        <f t="shared" si="8"/>
        <v>1</v>
      </c>
      <c r="N51" s="17">
        <f t="shared" si="8"/>
        <v>1</v>
      </c>
      <c r="O51" s="17">
        <f t="shared" si="8"/>
        <v>1</v>
      </c>
      <c r="P51" s="17">
        <f t="shared" si="8"/>
        <v>1</v>
      </c>
      <c r="Q51" s="17">
        <f t="shared" si="8"/>
        <v>1</v>
      </c>
      <c r="R51" s="17">
        <f t="shared" si="8"/>
        <v>1</v>
      </c>
      <c r="S51" s="17">
        <f t="shared" si="8"/>
        <v>1</v>
      </c>
      <c r="T51" s="17">
        <f t="shared" si="8"/>
        <v>1</v>
      </c>
      <c r="U51" s="17">
        <f t="shared" si="8"/>
        <v>1</v>
      </c>
      <c r="V51" s="17">
        <f t="shared" si="7"/>
        <v>1</v>
      </c>
      <c r="W51" s="17">
        <f t="shared" si="7"/>
        <v>1</v>
      </c>
      <c r="X51" s="17">
        <f t="shared" si="7"/>
        <v>1</v>
      </c>
      <c r="Y51" s="17">
        <f t="shared" si="7"/>
        <v>1</v>
      </c>
      <c r="Z51" s="17">
        <f t="shared" si="7"/>
        <v>1</v>
      </c>
      <c r="AA51" s="17">
        <f t="shared" si="7"/>
        <v>1</v>
      </c>
      <c r="AB51" s="17">
        <f t="shared" si="7"/>
        <v>0</v>
      </c>
      <c r="AC51" s="17">
        <f t="shared" si="7"/>
        <v>0</v>
      </c>
      <c r="AD51" s="17">
        <f t="shared" si="4"/>
        <v>16</v>
      </c>
    </row>
    <row r="52" spans="4:30" x14ac:dyDescent="0.2">
      <c r="D52" s="37">
        <v>44970</v>
      </c>
      <c r="E52" s="17" t="str">
        <f t="shared" si="1"/>
        <v>weekday</v>
      </c>
      <c r="F52" s="17">
        <f t="shared" si="8"/>
        <v>0</v>
      </c>
      <c r="G52" s="17">
        <f t="shared" si="8"/>
        <v>0</v>
      </c>
      <c r="H52" s="17">
        <f t="shared" si="8"/>
        <v>0</v>
      </c>
      <c r="I52" s="17">
        <f t="shared" si="8"/>
        <v>0</v>
      </c>
      <c r="J52" s="17">
        <f t="shared" si="8"/>
        <v>0</v>
      </c>
      <c r="K52" s="17">
        <f t="shared" si="8"/>
        <v>0</v>
      </c>
      <c r="L52" s="17">
        <f t="shared" si="8"/>
        <v>1</v>
      </c>
      <c r="M52" s="17">
        <f t="shared" si="8"/>
        <v>1</v>
      </c>
      <c r="N52" s="17">
        <f t="shared" si="8"/>
        <v>0</v>
      </c>
      <c r="O52" s="17">
        <f t="shared" si="8"/>
        <v>0</v>
      </c>
      <c r="P52" s="17">
        <f t="shared" si="8"/>
        <v>0</v>
      </c>
      <c r="Q52" s="17">
        <f t="shared" si="8"/>
        <v>0</v>
      </c>
      <c r="R52" s="17">
        <f t="shared" si="8"/>
        <v>0</v>
      </c>
      <c r="S52" s="17">
        <f t="shared" si="8"/>
        <v>0</v>
      </c>
      <c r="T52" s="17">
        <f t="shared" si="8"/>
        <v>0</v>
      </c>
      <c r="U52" s="17">
        <f t="shared" si="8"/>
        <v>1</v>
      </c>
      <c r="V52" s="17">
        <f t="shared" si="7"/>
        <v>1</v>
      </c>
      <c r="W52" s="17">
        <f t="shared" si="7"/>
        <v>1</v>
      </c>
      <c r="X52" s="17">
        <f t="shared" si="7"/>
        <v>1</v>
      </c>
      <c r="Y52" s="17">
        <f t="shared" si="7"/>
        <v>1</v>
      </c>
      <c r="Z52" s="17">
        <f t="shared" si="7"/>
        <v>1</v>
      </c>
      <c r="AA52" s="17">
        <f t="shared" si="7"/>
        <v>1</v>
      </c>
      <c r="AB52" s="17">
        <f t="shared" si="7"/>
        <v>0</v>
      </c>
      <c r="AC52" s="17">
        <f t="shared" si="7"/>
        <v>0</v>
      </c>
      <c r="AD52" s="17">
        <f t="shared" si="4"/>
        <v>9</v>
      </c>
    </row>
    <row r="53" spans="4:30" x14ac:dyDescent="0.2">
      <c r="D53" s="37">
        <v>44971</v>
      </c>
      <c r="E53" s="17" t="str">
        <f t="shared" si="1"/>
        <v>weekday</v>
      </c>
      <c r="F53" s="17">
        <f t="shared" si="8"/>
        <v>0</v>
      </c>
      <c r="G53" s="17">
        <f t="shared" si="8"/>
        <v>0</v>
      </c>
      <c r="H53" s="17">
        <f t="shared" si="8"/>
        <v>0</v>
      </c>
      <c r="I53" s="17">
        <f t="shared" si="8"/>
        <v>0</v>
      </c>
      <c r="J53" s="17">
        <f t="shared" si="8"/>
        <v>0</v>
      </c>
      <c r="K53" s="17">
        <f t="shared" si="8"/>
        <v>0</v>
      </c>
      <c r="L53" s="17">
        <f t="shared" si="8"/>
        <v>1</v>
      </c>
      <c r="M53" s="17">
        <f t="shared" si="8"/>
        <v>1</v>
      </c>
      <c r="N53" s="17">
        <f t="shared" si="8"/>
        <v>0</v>
      </c>
      <c r="O53" s="17">
        <f t="shared" si="8"/>
        <v>0</v>
      </c>
      <c r="P53" s="17">
        <f t="shared" si="8"/>
        <v>0</v>
      </c>
      <c r="Q53" s="17">
        <f t="shared" si="8"/>
        <v>0</v>
      </c>
      <c r="R53" s="17">
        <f t="shared" si="8"/>
        <v>0</v>
      </c>
      <c r="S53" s="17">
        <f t="shared" si="8"/>
        <v>0</v>
      </c>
      <c r="T53" s="17">
        <f t="shared" si="8"/>
        <v>0</v>
      </c>
      <c r="U53" s="17">
        <f t="shared" si="8"/>
        <v>1</v>
      </c>
      <c r="V53" s="17">
        <f t="shared" si="7"/>
        <v>1</v>
      </c>
      <c r="W53" s="17">
        <f t="shared" si="7"/>
        <v>1</v>
      </c>
      <c r="X53" s="17">
        <f t="shared" si="7"/>
        <v>1</v>
      </c>
      <c r="Y53" s="17">
        <f t="shared" si="7"/>
        <v>1</v>
      </c>
      <c r="Z53" s="17">
        <f t="shared" si="7"/>
        <v>1</v>
      </c>
      <c r="AA53" s="17">
        <f t="shared" si="7"/>
        <v>1</v>
      </c>
      <c r="AB53" s="17">
        <f t="shared" si="7"/>
        <v>0</v>
      </c>
      <c r="AC53" s="17">
        <f t="shared" si="7"/>
        <v>0</v>
      </c>
      <c r="AD53" s="17">
        <f t="shared" si="4"/>
        <v>9</v>
      </c>
    </row>
    <row r="54" spans="4:30" x14ac:dyDescent="0.2">
      <c r="D54" s="37">
        <v>44972</v>
      </c>
      <c r="E54" s="17" t="str">
        <f t="shared" si="1"/>
        <v>weekday</v>
      </c>
      <c r="F54" s="17">
        <f t="shared" si="8"/>
        <v>0</v>
      </c>
      <c r="G54" s="17">
        <f t="shared" si="8"/>
        <v>0</v>
      </c>
      <c r="H54" s="17">
        <f t="shared" si="8"/>
        <v>0</v>
      </c>
      <c r="I54" s="17">
        <f t="shared" si="8"/>
        <v>0</v>
      </c>
      <c r="J54" s="17">
        <f t="shared" si="8"/>
        <v>0</v>
      </c>
      <c r="K54" s="17">
        <f t="shared" si="8"/>
        <v>0</v>
      </c>
      <c r="L54" s="17">
        <f t="shared" si="8"/>
        <v>1</v>
      </c>
      <c r="M54" s="17">
        <f t="shared" si="8"/>
        <v>1</v>
      </c>
      <c r="N54" s="17">
        <f t="shared" si="8"/>
        <v>0</v>
      </c>
      <c r="O54" s="17">
        <f t="shared" si="8"/>
        <v>0</v>
      </c>
      <c r="P54" s="17">
        <f t="shared" si="8"/>
        <v>0</v>
      </c>
      <c r="Q54" s="17">
        <f t="shared" si="8"/>
        <v>0</v>
      </c>
      <c r="R54" s="17">
        <f t="shared" si="8"/>
        <v>0</v>
      </c>
      <c r="S54" s="17">
        <f t="shared" si="8"/>
        <v>0</v>
      </c>
      <c r="T54" s="17">
        <f t="shared" si="8"/>
        <v>0</v>
      </c>
      <c r="U54" s="17">
        <f t="shared" si="8"/>
        <v>1</v>
      </c>
      <c r="V54" s="17">
        <f t="shared" si="7"/>
        <v>1</v>
      </c>
      <c r="W54" s="17">
        <f t="shared" si="7"/>
        <v>1</v>
      </c>
      <c r="X54" s="17">
        <f t="shared" si="7"/>
        <v>1</v>
      </c>
      <c r="Y54" s="17">
        <f t="shared" si="7"/>
        <v>1</v>
      </c>
      <c r="Z54" s="17">
        <f t="shared" si="7"/>
        <v>1</v>
      </c>
      <c r="AA54" s="17">
        <f t="shared" si="7"/>
        <v>1</v>
      </c>
      <c r="AB54" s="17">
        <f t="shared" si="7"/>
        <v>0</v>
      </c>
      <c r="AC54" s="17">
        <f t="shared" si="7"/>
        <v>0</v>
      </c>
      <c r="AD54" s="17">
        <f t="shared" si="4"/>
        <v>9</v>
      </c>
    </row>
    <row r="55" spans="4:30" x14ac:dyDescent="0.2">
      <c r="D55" s="37">
        <v>44973</v>
      </c>
      <c r="E55" s="17" t="str">
        <f t="shared" si="1"/>
        <v>weekday</v>
      </c>
      <c r="F55" s="17">
        <f t="shared" si="8"/>
        <v>0</v>
      </c>
      <c r="G55" s="17">
        <f t="shared" si="8"/>
        <v>0</v>
      </c>
      <c r="H55" s="17">
        <f t="shared" si="8"/>
        <v>0</v>
      </c>
      <c r="I55" s="17">
        <f t="shared" si="8"/>
        <v>0</v>
      </c>
      <c r="J55" s="17">
        <f t="shared" si="8"/>
        <v>0</v>
      </c>
      <c r="K55" s="17">
        <f t="shared" si="8"/>
        <v>0</v>
      </c>
      <c r="L55" s="17">
        <f t="shared" si="8"/>
        <v>1</v>
      </c>
      <c r="M55" s="17">
        <f t="shared" si="8"/>
        <v>1</v>
      </c>
      <c r="N55" s="17">
        <f t="shared" si="8"/>
        <v>0</v>
      </c>
      <c r="O55" s="17">
        <f t="shared" si="8"/>
        <v>0</v>
      </c>
      <c r="P55" s="17">
        <f t="shared" si="8"/>
        <v>0</v>
      </c>
      <c r="Q55" s="17">
        <f t="shared" si="8"/>
        <v>0</v>
      </c>
      <c r="R55" s="17">
        <f t="shared" si="8"/>
        <v>0</v>
      </c>
      <c r="S55" s="17">
        <f t="shared" si="8"/>
        <v>0</v>
      </c>
      <c r="T55" s="17">
        <f t="shared" si="8"/>
        <v>0</v>
      </c>
      <c r="U55" s="17">
        <f t="shared" si="8"/>
        <v>1</v>
      </c>
      <c r="V55" s="17">
        <f t="shared" si="7"/>
        <v>1</v>
      </c>
      <c r="W55" s="17">
        <f t="shared" si="7"/>
        <v>1</v>
      </c>
      <c r="X55" s="17">
        <f t="shared" si="7"/>
        <v>1</v>
      </c>
      <c r="Y55" s="17">
        <f t="shared" si="7"/>
        <v>1</v>
      </c>
      <c r="Z55" s="17">
        <f t="shared" si="7"/>
        <v>1</v>
      </c>
      <c r="AA55" s="17">
        <f t="shared" si="7"/>
        <v>1</v>
      </c>
      <c r="AB55" s="17">
        <f t="shared" si="7"/>
        <v>0</v>
      </c>
      <c r="AC55" s="17">
        <f t="shared" si="7"/>
        <v>0</v>
      </c>
      <c r="AD55" s="17">
        <f t="shared" si="4"/>
        <v>9</v>
      </c>
    </row>
    <row r="56" spans="4:30" x14ac:dyDescent="0.2">
      <c r="D56" s="37">
        <v>44974</v>
      </c>
      <c r="E56" s="17" t="str">
        <f t="shared" si="1"/>
        <v>weekday</v>
      </c>
      <c r="F56" s="17">
        <f t="shared" si="8"/>
        <v>0</v>
      </c>
      <c r="G56" s="17">
        <f t="shared" si="8"/>
        <v>0</v>
      </c>
      <c r="H56" s="17">
        <f t="shared" si="8"/>
        <v>0</v>
      </c>
      <c r="I56" s="17">
        <f t="shared" si="8"/>
        <v>0</v>
      </c>
      <c r="J56" s="17">
        <f t="shared" si="8"/>
        <v>0</v>
      </c>
      <c r="K56" s="17">
        <f t="shared" si="8"/>
        <v>0</v>
      </c>
      <c r="L56" s="17">
        <f t="shared" si="8"/>
        <v>1</v>
      </c>
      <c r="M56" s="17">
        <f t="shared" si="8"/>
        <v>1</v>
      </c>
      <c r="N56" s="17">
        <f t="shared" si="8"/>
        <v>0</v>
      </c>
      <c r="O56" s="17">
        <f t="shared" si="8"/>
        <v>0</v>
      </c>
      <c r="P56" s="17">
        <f t="shared" si="8"/>
        <v>0</v>
      </c>
      <c r="Q56" s="17">
        <f t="shared" si="8"/>
        <v>0</v>
      </c>
      <c r="R56" s="17">
        <f t="shared" si="8"/>
        <v>0</v>
      </c>
      <c r="S56" s="17">
        <f t="shared" si="8"/>
        <v>0</v>
      </c>
      <c r="T56" s="17">
        <f t="shared" si="8"/>
        <v>0</v>
      </c>
      <c r="U56" s="17">
        <f t="shared" si="8"/>
        <v>1</v>
      </c>
      <c r="V56" s="17">
        <f t="shared" si="7"/>
        <v>1</v>
      </c>
      <c r="W56" s="17">
        <f t="shared" si="7"/>
        <v>1</v>
      </c>
      <c r="X56" s="17">
        <f t="shared" si="7"/>
        <v>1</v>
      </c>
      <c r="Y56" s="17">
        <f t="shared" si="7"/>
        <v>1</v>
      </c>
      <c r="Z56" s="17">
        <f t="shared" si="7"/>
        <v>1</v>
      </c>
      <c r="AA56" s="17">
        <f t="shared" si="7"/>
        <v>1</v>
      </c>
      <c r="AB56" s="17">
        <f t="shared" si="7"/>
        <v>0</v>
      </c>
      <c r="AC56" s="17">
        <f t="shared" si="7"/>
        <v>0</v>
      </c>
      <c r="AD56" s="17">
        <f t="shared" si="4"/>
        <v>9</v>
      </c>
    </row>
    <row r="57" spans="4:30" x14ac:dyDescent="0.2">
      <c r="D57" s="37">
        <v>44975</v>
      </c>
      <c r="E57" s="17" t="str">
        <f t="shared" si="1"/>
        <v>weekend</v>
      </c>
      <c r="F57" s="17">
        <f t="shared" si="8"/>
        <v>0</v>
      </c>
      <c r="G57" s="17">
        <f t="shared" si="8"/>
        <v>0</v>
      </c>
      <c r="H57" s="17">
        <f t="shared" si="8"/>
        <v>0</v>
      </c>
      <c r="I57" s="17">
        <f t="shared" si="8"/>
        <v>0</v>
      </c>
      <c r="J57" s="17">
        <f t="shared" si="8"/>
        <v>0</v>
      </c>
      <c r="K57" s="17">
        <f t="shared" si="8"/>
        <v>0</v>
      </c>
      <c r="L57" s="17">
        <f t="shared" si="8"/>
        <v>1</v>
      </c>
      <c r="M57" s="17">
        <f t="shared" si="8"/>
        <v>1</v>
      </c>
      <c r="N57" s="17">
        <f t="shared" si="8"/>
        <v>1</v>
      </c>
      <c r="O57" s="17">
        <f t="shared" si="8"/>
        <v>1</v>
      </c>
      <c r="P57" s="17">
        <f t="shared" si="8"/>
        <v>1</v>
      </c>
      <c r="Q57" s="17">
        <f t="shared" si="8"/>
        <v>1</v>
      </c>
      <c r="R57" s="17">
        <f t="shared" si="8"/>
        <v>1</v>
      </c>
      <c r="S57" s="17">
        <f t="shared" si="8"/>
        <v>1</v>
      </c>
      <c r="T57" s="17">
        <f t="shared" si="8"/>
        <v>1</v>
      </c>
      <c r="U57" s="17">
        <f t="shared" ref="U57:AC72" si="9">IF($E57=$E$5,(U$5),(U$6))</f>
        <v>1</v>
      </c>
      <c r="V57" s="17">
        <f t="shared" si="9"/>
        <v>1</v>
      </c>
      <c r="W57" s="17">
        <f t="shared" si="9"/>
        <v>1</v>
      </c>
      <c r="X57" s="17">
        <f t="shared" si="9"/>
        <v>1</v>
      </c>
      <c r="Y57" s="17">
        <f t="shared" si="9"/>
        <v>1</v>
      </c>
      <c r="Z57" s="17">
        <f t="shared" si="9"/>
        <v>1</v>
      </c>
      <c r="AA57" s="17">
        <f t="shared" si="9"/>
        <v>1</v>
      </c>
      <c r="AB57" s="17">
        <f t="shared" si="9"/>
        <v>0</v>
      </c>
      <c r="AC57" s="17">
        <f t="shared" si="9"/>
        <v>0</v>
      </c>
      <c r="AD57" s="17">
        <f t="shared" si="4"/>
        <v>16</v>
      </c>
    </row>
    <row r="58" spans="4:30" x14ac:dyDescent="0.2">
      <c r="D58" s="37">
        <v>44976</v>
      </c>
      <c r="E58" s="17" t="str">
        <f t="shared" si="1"/>
        <v>weekend</v>
      </c>
      <c r="F58" s="17">
        <f t="shared" ref="F58:U73" si="10">IF($E58=$E$5,(F$5),(F$6))</f>
        <v>0</v>
      </c>
      <c r="G58" s="17">
        <f t="shared" si="10"/>
        <v>0</v>
      </c>
      <c r="H58" s="17">
        <f t="shared" si="10"/>
        <v>0</v>
      </c>
      <c r="I58" s="17">
        <f t="shared" si="10"/>
        <v>0</v>
      </c>
      <c r="J58" s="17">
        <f t="shared" si="10"/>
        <v>0</v>
      </c>
      <c r="K58" s="17">
        <f t="shared" si="10"/>
        <v>0</v>
      </c>
      <c r="L58" s="17">
        <f t="shared" si="10"/>
        <v>1</v>
      </c>
      <c r="M58" s="17">
        <f t="shared" si="10"/>
        <v>1</v>
      </c>
      <c r="N58" s="17">
        <f t="shared" si="10"/>
        <v>1</v>
      </c>
      <c r="O58" s="17">
        <f t="shared" si="10"/>
        <v>1</v>
      </c>
      <c r="P58" s="17">
        <f t="shared" si="10"/>
        <v>1</v>
      </c>
      <c r="Q58" s="17">
        <f t="shared" si="10"/>
        <v>1</v>
      </c>
      <c r="R58" s="17">
        <f t="shared" si="10"/>
        <v>1</v>
      </c>
      <c r="S58" s="17">
        <f t="shared" si="10"/>
        <v>1</v>
      </c>
      <c r="T58" s="17">
        <f t="shared" si="10"/>
        <v>1</v>
      </c>
      <c r="U58" s="17">
        <f t="shared" si="10"/>
        <v>1</v>
      </c>
      <c r="V58" s="17">
        <f t="shared" si="9"/>
        <v>1</v>
      </c>
      <c r="W58" s="17">
        <f t="shared" si="9"/>
        <v>1</v>
      </c>
      <c r="X58" s="17">
        <f t="shared" si="9"/>
        <v>1</v>
      </c>
      <c r="Y58" s="17">
        <f t="shared" si="9"/>
        <v>1</v>
      </c>
      <c r="Z58" s="17">
        <f t="shared" si="9"/>
        <v>1</v>
      </c>
      <c r="AA58" s="17">
        <f t="shared" si="9"/>
        <v>1</v>
      </c>
      <c r="AB58" s="17">
        <f t="shared" si="9"/>
        <v>0</v>
      </c>
      <c r="AC58" s="17">
        <f t="shared" si="9"/>
        <v>0</v>
      </c>
      <c r="AD58" s="17">
        <f t="shared" si="4"/>
        <v>16</v>
      </c>
    </row>
    <row r="59" spans="4:30" x14ac:dyDescent="0.2">
      <c r="D59" s="37">
        <v>44977</v>
      </c>
      <c r="E59" s="17" t="str">
        <f t="shared" si="1"/>
        <v>weekday</v>
      </c>
      <c r="F59" s="17">
        <f t="shared" si="10"/>
        <v>0</v>
      </c>
      <c r="G59" s="17">
        <f t="shared" si="10"/>
        <v>0</v>
      </c>
      <c r="H59" s="17">
        <f t="shared" si="10"/>
        <v>0</v>
      </c>
      <c r="I59" s="17">
        <f t="shared" si="10"/>
        <v>0</v>
      </c>
      <c r="J59" s="17">
        <f t="shared" si="10"/>
        <v>0</v>
      </c>
      <c r="K59" s="17">
        <f t="shared" si="10"/>
        <v>0</v>
      </c>
      <c r="L59" s="17">
        <f t="shared" si="10"/>
        <v>1</v>
      </c>
      <c r="M59" s="17">
        <f t="shared" si="10"/>
        <v>1</v>
      </c>
      <c r="N59" s="17">
        <f t="shared" si="10"/>
        <v>0</v>
      </c>
      <c r="O59" s="17">
        <f t="shared" si="10"/>
        <v>0</v>
      </c>
      <c r="P59" s="17">
        <f t="shared" si="10"/>
        <v>0</v>
      </c>
      <c r="Q59" s="17">
        <f t="shared" si="10"/>
        <v>0</v>
      </c>
      <c r="R59" s="17">
        <f t="shared" si="10"/>
        <v>0</v>
      </c>
      <c r="S59" s="17">
        <f t="shared" si="10"/>
        <v>0</v>
      </c>
      <c r="T59" s="17">
        <f t="shared" si="10"/>
        <v>0</v>
      </c>
      <c r="U59" s="17">
        <f t="shared" si="10"/>
        <v>1</v>
      </c>
      <c r="V59" s="17">
        <f t="shared" si="9"/>
        <v>1</v>
      </c>
      <c r="W59" s="17">
        <f t="shared" si="9"/>
        <v>1</v>
      </c>
      <c r="X59" s="17">
        <f t="shared" si="9"/>
        <v>1</v>
      </c>
      <c r="Y59" s="17">
        <f t="shared" si="9"/>
        <v>1</v>
      </c>
      <c r="Z59" s="17">
        <f t="shared" si="9"/>
        <v>1</v>
      </c>
      <c r="AA59" s="17">
        <f t="shared" si="9"/>
        <v>1</v>
      </c>
      <c r="AB59" s="17">
        <f t="shared" si="9"/>
        <v>0</v>
      </c>
      <c r="AC59" s="17">
        <f t="shared" si="9"/>
        <v>0</v>
      </c>
      <c r="AD59" s="17">
        <f t="shared" si="4"/>
        <v>9</v>
      </c>
    </row>
    <row r="60" spans="4:30" x14ac:dyDescent="0.2">
      <c r="D60" s="37">
        <v>44978</v>
      </c>
      <c r="E60" s="17" t="str">
        <f t="shared" si="1"/>
        <v>weekday</v>
      </c>
      <c r="F60" s="17">
        <f t="shared" si="10"/>
        <v>0</v>
      </c>
      <c r="G60" s="17">
        <f t="shared" si="10"/>
        <v>0</v>
      </c>
      <c r="H60" s="17">
        <f t="shared" si="10"/>
        <v>0</v>
      </c>
      <c r="I60" s="17">
        <f t="shared" si="10"/>
        <v>0</v>
      </c>
      <c r="J60" s="17">
        <f t="shared" si="10"/>
        <v>0</v>
      </c>
      <c r="K60" s="17">
        <f t="shared" si="10"/>
        <v>0</v>
      </c>
      <c r="L60" s="17">
        <f t="shared" si="10"/>
        <v>1</v>
      </c>
      <c r="M60" s="17">
        <f t="shared" si="10"/>
        <v>1</v>
      </c>
      <c r="N60" s="17">
        <f t="shared" si="10"/>
        <v>0</v>
      </c>
      <c r="O60" s="17">
        <f t="shared" si="10"/>
        <v>0</v>
      </c>
      <c r="P60" s="17">
        <f t="shared" si="10"/>
        <v>0</v>
      </c>
      <c r="Q60" s="17">
        <f t="shared" si="10"/>
        <v>0</v>
      </c>
      <c r="R60" s="17">
        <f t="shared" si="10"/>
        <v>0</v>
      </c>
      <c r="S60" s="17">
        <f t="shared" si="10"/>
        <v>0</v>
      </c>
      <c r="T60" s="17">
        <f t="shared" si="10"/>
        <v>0</v>
      </c>
      <c r="U60" s="17">
        <f t="shared" si="10"/>
        <v>1</v>
      </c>
      <c r="V60" s="17">
        <f t="shared" si="9"/>
        <v>1</v>
      </c>
      <c r="W60" s="17">
        <f t="shared" si="9"/>
        <v>1</v>
      </c>
      <c r="X60" s="17">
        <f t="shared" si="9"/>
        <v>1</v>
      </c>
      <c r="Y60" s="17">
        <f t="shared" si="9"/>
        <v>1</v>
      </c>
      <c r="Z60" s="17">
        <f t="shared" si="9"/>
        <v>1</v>
      </c>
      <c r="AA60" s="17">
        <f t="shared" si="9"/>
        <v>1</v>
      </c>
      <c r="AB60" s="17">
        <f t="shared" si="9"/>
        <v>0</v>
      </c>
      <c r="AC60" s="17">
        <f t="shared" si="9"/>
        <v>0</v>
      </c>
      <c r="AD60" s="17">
        <f t="shared" si="4"/>
        <v>9</v>
      </c>
    </row>
    <row r="61" spans="4:30" x14ac:dyDescent="0.2">
      <c r="D61" s="37">
        <v>44979</v>
      </c>
      <c r="E61" s="17" t="str">
        <f t="shared" si="1"/>
        <v>weekday</v>
      </c>
      <c r="F61" s="17">
        <f t="shared" si="10"/>
        <v>0</v>
      </c>
      <c r="G61" s="17">
        <f t="shared" si="10"/>
        <v>0</v>
      </c>
      <c r="H61" s="17">
        <f t="shared" si="10"/>
        <v>0</v>
      </c>
      <c r="I61" s="17">
        <f t="shared" si="10"/>
        <v>0</v>
      </c>
      <c r="J61" s="17">
        <f t="shared" si="10"/>
        <v>0</v>
      </c>
      <c r="K61" s="17">
        <f t="shared" si="10"/>
        <v>0</v>
      </c>
      <c r="L61" s="17">
        <f t="shared" si="10"/>
        <v>1</v>
      </c>
      <c r="M61" s="17">
        <f t="shared" si="10"/>
        <v>1</v>
      </c>
      <c r="N61" s="17">
        <f t="shared" si="10"/>
        <v>0</v>
      </c>
      <c r="O61" s="17">
        <f t="shared" si="10"/>
        <v>0</v>
      </c>
      <c r="P61" s="17">
        <f t="shared" si="10"/>
        <v>0</v>
      </c>
      <c r="Q61" s="17">
        <f t="shared" si="10"/>
        <v>0</v>
      </c>
      <c r="R61" s="17">
        <f t="shared" si="10"/>
        <v>0</v>
      </c>
      <c r="S61" s="17">
        <f t="shared" si="10"/>
        <v>0</v>
      </c>
      <c r="T61" s="17">
        <f t="shared" si="10"/>
        <v>0</v>
      </c>
      <c r="U61" s="17">
        <f t="shared" si="10"/>
        <v>1</v>
      </c>
      <c r="V61" s="17">
        <f t="shared" si="9"/>
        <v>1</v>
      </c>
      <c r="W61" s="17">
        <f t="shared" si="9"/>
        <v>1</v>
      </c>
      <c r="X61" s="17">
        <f t="shared" si="9"/>
        <v>1</v>
      </c>
      <c r="Y61" s="17">
        <f t="shared" si="9"/>
        <v>1</v>
      </c>
      <c r="Z61" s="17">
        <f t="shared" si="9"/>
        <v>1</v>
      </c>
      <c r="AA61" s="17">
        <f t="shared" si="9"/>
        <v>1</v>
      </c>
      <c r="AB61" s="17">
        <f t="shared" si="9"/>
        <v>0</v>
      </c>
      <c r="AC61" s="17">
        <f t="shared" si="9"/>
        <v>0</v>
      </c>
      <c r="AD61" s="17">
        <f t="shared" si="4"/>
        <v>9</v>
      </c>
    </row>
    <row r="62" spans="4:30" x14ac:dyDescent="0.2">
      <c r="D62" s="37">
        <v>44980</v>
      </c>
      <c r="E62" s="17" t="str">
        <f t="shared" si="1"/>
        <v>weekday</v>
      </c>
      <c r="F62" s="17">
        <f t="shared" si="10"/>
        <v>0</v>
      </c>
      <c r="G62" s="17">
        <f t="shared" si="10"/>
        <v>0</v>
      </c>
      <c r="H62" s="17">
        <f t="shared" si="10"/>
        <v>0</v>
      </c>
      <c r="I62" s="17">
        <f t="shared" si="10"/>
        <v>0</v>
      </c>
      <c r="J62" s="17">
        <f t="shared" si="10"/>
        <v>0</v>
      </c>
      <c r="K62" s="17">
        <f t="shared" si="10"/>
        <v>0</v>
      </c>
      <c r="L62" s="17">
        <f t="shared" si="10"/>
        <v>1</v>
      </c>
      <c r="M62" s="17">
        <f t="shared" si="10"/>
        <v>1</v>
      </c>
      <c r="N62" s="17">
        <f t="shared" si="10"/>
        <v>0</v>
      </c>
      <c r="O62" s="17">
        <f t="shared" si="10"/>
        <v>0</v>
      </c>
      <c r="P62" s="17">
        <f t="shared" si="10"/>
        <v>0</v>
      </c>
      <c r="Q62" s="17">
        <f t="shared" si="10"/>
        <v>0</v>
      </c>
      <c r="R62" s="17">
        <f t="shared" si="10"/>
        <v>0</v>
      </c>
      <c r="S62" s="17">
        <f t="shared" si="10"/>
        <v>0</v>
      </c>
      <c r="T62" s="17">
        <f t="shared" si="10"/>
        <v>0</v>
      </c>
      <c r="U62" s="17">
        <f t="shared" si="10"/>
        <v>1</v>
      </c>
      <c r="V62" s="17">
        <f t="shared" si="9"/>
        <v>1</v>
      </c>
      <c r="W62" s="17">
        <f t="shared" si="9"/>
        <v>1</v>
      </c>
      <c r="X62" s="17">
        <f t="shared" si="9"/>
        <v>1</v>
      </c>
      <c r="Y62" s="17">
        <f t="shared" si="9"/>
        <v>1</v>
      </c>
      <c r="Z62" s="17">
        <f t="shared" si="9"/>
        <v>1</v>
      </c>
      <c r="AA62" s="17">
        <f t="shared" si="9"/>
        <v>1</v>
      </c>
      <c r="AB62" s="17">
        <f t="shared" si="9"/>
        <v>0</v>
      </c>
      <c r="AC62" s="17">
        <f t="shared" si="9"/>
        <v>0</v>
      </c>
      <c r="AD62" s="17">
        <f t="shared" si="4"/>
        <v>9</v>
      </c>
    </row>
    <row r="63" spans="4:30" x14ac:dyDescent="0.2">
      <c r="D63" s="37">
        <v>44981</v>
      </c>
      <c r="E63" s="17" t="str">
        <f t="shared" si="1"/>
        <v>weekday</v>
      </c>
      <c r="F63" s="17">
        <f t="shared" si="10"/>
        <v>0</v>
      </c>
      <c r="G63" s="17">
        <f t="shared" si="10"/>
        <v>0</v>
      </c>
      <c r="H63" s="17">
        <f t="shared" si="10"/>
        <v>0</v>
      </c>
      <c r="I63" s="17">
        <f t="shared" si="10"/>
        <v>0</v>
      </c>
      <c r="J63" s="17">
        <f t="shared" si="10"/>
        <v>0</v>
      </c>
      <c r="K63" s="17">
        <f t="shared" si="10"/>
        <v>0</v>
      </c>
      <c r="L63" s="17">
        <f t="shared" si="10"/>
        <v>1</v>
      </c>
      <c r="M63" s="17">
        <f t="shared" si="10"/>
        <v>1</v>
      </c>
      <c r="N63" s="17">
        <f t="shared" si="10"/>
        <v>0</v>
      </c>
      <c r="O63" s="17">
        <f t="shared" si="10"/>
        <v>0</v>
      </c>
      <c r="P63" s="17">
        <f t="shared" si="10"/>
        <v>0</v>
      </c>
      <c r="Q63" s="17">
        <f t="shared" si="10"/>
        <v>0</v>
      </c>
      <c r="R63" s="17">
        <f t="shared" si="10"/>
        <v>0</v>
      </c>
      <c r="S63" s="17">
        <f t="shared" si="10"/>
        <v>0</v>
      </c>
      <c r="T63" s="17">
        <f t="shared" si="10"/>
        <v>0</v>
      </c>
      <c r="U63" s="17">
        <f t="shared" si="10"/>
        <v>1</v>
      </c>
      <c r="V63" s="17">
        <f t="shared" si="9"/>
        <v>1</v>
      </c>
      <c r="W63" s="17">
        <f t="shared" si="9"/>
        <v>1</v>
      </c>
      <c r="X63" s="17">
        <f t="shared" si="9"/>
        <v>1</v>
      </c>
      <c r="Y63" s="17">
        <f t="shared" si="9"/>
        <v>1</v>
      </c>
      <c r="Z63" s="17">
        <f t="shared" si="9"/>
        <v>1</v>
      </c>
      <c r="AA63" s="17">
        <f t="shared" si="9"/>
        <v>1</v>
      </c>
      <c r="AB63" s="17">
        <f t="shared" si="9"/>
        <v>0</v>
      </c>
      <c r="AC63" s="17">
        <f t="shared" si="9"/>
        <v>0</v>
      </c>
      <c r="AD63" s="17">
        <f t="shared" si="4"/>
        <v>9</v>
      </c>
    </row>
    <row r="64" spans="4:30" x14ac:dyDescent="0.2">
      <c r="D64" s="37">
        <v>44982</v>
      </c>
      <c r="E64" s="17" t="str">
        <f t="shared" si="1"/>
        <v>weekend</v>
      </c>
      <c r="F64" s="17">
        <f t="shared" si="10"/>
        <v>0</v>
      </c>
      <c r="G64" s="17">
        <f t="shared" si="10"/>
        <v>0</v>
      </c>
      <c r="H64" s="17">
        <f t="shared" si="10"/>
        <v>0</v>
      </c>
      <c r="I64" s="17">
        <f t="shared" si="10"/>
        <v>0</v>
      </c>
      <c r="J64" s="17">
        <f t="shared" si="10"/>
        <v>0</v>
      </c>
      <c r="K64" s="17">
        <f t="shared" si="10"/>
        <v>0</v>
      </c>
      <c r="L64" s="17">
        <f t="shared" si="10"/>
        <v>1</v>
      </c>
      <c r="M64" s="17">
        <f t="shared" si="10"/>
        <v>1</v>
      </c>
      <c r="N64" s="17">
        <f t="shared" si="10"/>
        <v>1</v>
      </c>
      <c r="O64" s="17">
        <f t="shared" si="10"/>
        <v>1</v>
      </c>
      <c r="P64" s="17">
        <f t="shared" si="10"/>
        <v>1</v>
      </c>
      <c r="Q64" s="17">
        <f t="shared" si="10"/>
        <v>1</v>
      </c>
      <c r="R64" s="17">
        <f t="shared" si="10"/>
        <v>1</v>
      </c>
      <c r="S64" s="17">
        <f t="shared" si="10"/>
        <v>1</v>
      </c>
      <c r="T64" s="17">
        <f t="shared" si="10"/>
        <v>1</v>
      </c>
      <c r="U64" s="17">
        <f t="shared" si="10"/>
        <v>1</v>
      </c>
      <c r="V64" s="17">
        <f t="shared" si="9"/>
        <v>1</v>
      </c>
      <c r="W64" s="17">
        <f t="shared" si="9"/>
        <v>1</v>
      </c>
      <c r="X64" s="17">
        <f t="shared" si="9"/>
        <v>1</v>
      </c>
      <c r="Y64" s="17">
        <f t="shared" si="9"/>
        <v>1</v>
      </c>
      <c r="Z64" s="17">
        <f t="shared" si="9"/>
        <v>1</v>
      </c>
      <c r="AA64" s="17">
        <f t="shared" si="9"/>
        <v>1</v>
      </c>
      <c r="AB64" s="17">
        <f t="shared" si="9"/>
        <v>0</v>
      </c>
      <c r="AC64" s="17">
        <f t="shared" si="9"/>
        <v>0</v>
      </c>
      <c r="AD64" s="17">
        <f t="shared" si="4"/>
        <v>16</v>
      </c>
    </row>
    <row r="65" spans="4:30" x14ac:dyDescent="0.2">
      <c r="D65" s="37">
        <v>44983</v>
      </c>
      <c r="E65" s="17" t="str">
        <f t="shared" si="1"/>
        <v>weekend</v>
      </c>
      <c r="F65" s="17">
        <f t="shared" si="10"/>
        <v>0</v>
      </c>
      <c r="G65" s="17">
        <f t="shared" si="10"/>
        <v>0</v>
      </c>
      <c r="H65" s="17">
        <f t="shared" si="10"/>
        <v>0</v>
      </c>
      <c r="I65" s="17">
        <f t="shared" si="10"/>
        <v>0</v>
      </c>
      <c r="J65" s="17">
        <f t="shared" si="10"/>
        <v>0</v>
      </c>
      <c r="K65" s="17">
        <f t="shared" si="10"/>
        <v>0</v>
      </c>
      <c r="L65" s="17">
        <f t="shared" si="10"/>
        <v>1</v>
      </c>
      <c r="M65" s="17">
        <f t="shared" si="10"/>
        <v>1</v>
      </c>
      <c r="N65" s="17">
        <f t="shared" si="10"/>
        <v>1</v>
      </c>
      <c r="O65" s="17">
        <f t="shared" si="10"/>
        <v>1</v>
      </c>
      <c r="P65" s="17">
        <f t="shared" si="10"/>
        <v>1</v>
      </c>
      <c r="Q65" s="17">
        <f t="shared" si="10"/>
        <v>1</v>
      </c>
      <c r="R65" s="17">
        <f t="shared" si="10"/>
        <v>1</v>
      </c>
      <c r="S65" s="17">
        <f t="shared" si="10"/>
        <v>1</v>
      </c>
      <c r="T65" s="17">
        <f t="shared" si="10"/>
        <v>1</v>
      </c>
      <c r="U65" s="17">
        <f t="shared" si="10"/>
        <v>1</v>
      </c>
      <c r="V65" s="17">
        <f t="shared" si="9"/>
        <v>1</v>
      </c>
      <c r="W65" s="17">
        <f t="shared" si="9"/>
        <v>1</v>
      </c>
      <c r="X65" s="17">
        <f t="shared" si="9"/>
        <v>1</v>
      </c>
      <c r="Y65" s="17">
        <f t="shared" si="9"/>
        <v>1</v>
      </c>
      <c r="Z65" s="17">
        <f t="shared" si="9"/>
        <v>1</v>
      </c>
      <c r="AA65" s="17">
        <f t="shared" si="9"/>
        <v>1</v>
      </c>
      <c r="AB65" s="17">
        <f t="shared" si="9"/>
        <v>0</v>
      </c>
      <c r="AC65" s="17">
        <f t="shared" si="9"/>
        <v>0</v>
      </c>
      <c r="AD65" s="17">
        <f t="shared" si="4"/>
        <v>16</v>
      </c>
    </row>
    <row r="66" spans="4:30" x14ac:dyDescent="0.2">
      <c r="D66" s="37">
        <v>44984</v>
      </c>
      <c r="E66" s="17" t="str">
        <f t="shared" si="1"/>
        <v>weekday</v>
      </c>
      <c r="F66" s="17">
        <f t="shared" si="10"/>
        <v>0</v>
      </c>
      <c r="G66" s="17">
        <f t="shared" si="10"/>
        <v>0</v>
      </c>
      <c r="H66" s="17">
        <f t="shared" si="10"/>
        <v>0</v>
      </c>
      <c r="I66" s="17">
        <f t="shared" si="10"/>
        <v>0</v>
      </c>
      <c r="J66" s="17">
        <f t="shared" si="10"/>
        <v>0</v>
      </c>
      <c r="K66" s="17">
        <f t="shared" si="10"/>
        <v>0</v>
      </c>
      <c r="L66" s="17">
        <f t="shared" si="10"/>
        <v>1</v>
      </c>
      <c r="M66" s="17">
        <f t="shared" si="10"/>
        <v>1</v>
      </c>
      <c r="N66" s="17">
        <f t="shared" si="10"/>
        <v>0</v>
      </c>
      <c r="O66" s="17">
        <f t="shared" si="10"/>
        <v>0</v>
      </c>
      <c r="P66" s="17">
        <f t="shared" si="10"/>
        <v>0</v>
      </c>
      <c r="Q66" s="17">
        <f t="shared" si="10"/>
        <v>0</v>
      </c>
      <c r="R66" s="17">
        <f t="shared" si="10"/>
        <v>0</v>
      </c>
      <c r="S66" s="17">
        <f t="shared" si="10"/>
        <v>0</v>
      </c>
      <c r="T66" s="17">
        <f t="shared" si="10"/>
        <v>0</v>
      </c>
      <c r="U66" s="17">
        <f t="shared" si="10"/>
        <v>1</v>
      </c>
      <c r="V66" s="17">
        <f t="shared" si="9"/>
        <v>1</v>
      </c>
      <c r="W66" s="17">
        <f t="shared" si="9"/>
        <v>1</v>
      </c>
      <c r="X66" s="17">
        <f t="shared" si="9"/>
        <v>1</v>
      </c>
      <c r="Y66" s="17">
        <f t="shared" si="9"/>
        <v>1</v>
      </c>
      <c r="Z66" s="17">
        <f t="shared" si="9"/>
        <v>1</v>
      </c>
      <c r="AA66" s="17">
        <f t="shared" si="9"/>
        <v>1</v>
      </c>
      <c r="AB66" s="17">
        <f t="shared" si="9"/>
        <v>0</v>
      </c>
      <c r="AC66" s="17">
        <f t="shared" si="9"/>
        <v>0</v>
      </c>
      <c r="AD66" s="17">
        <f t="shared" si="4"/>
        <v>9</v>
      </c>
    </row>
    <row r="67" spans="4:30" x14ac:dyDescent="0.2">
      <c r="D67" s="37">
        <v>44985</v>
      </c>
      <c r="E67" s="17" t="str">
        <f t="shared" si="1"/>
        <v>weekday</v>
      </c>
      <c r="F67" s="17">
        <f t="shared" si="10"/>
        <v>0</v>
      </c>
      <c r="G67" s="17">
        <f t="shared" si="10"/>
        <v>0</v>
      </c>
      <c r="H67" s="17">
        <f t="shared" si="10"/>
        <v>0</v>
      </c>
      <c r="I67" s="17">
        <f t="shared" si="10"/>
        <v>0</v>
      </c>
      <c r="J67" s="17">
        <f t="shared" si="10"/>
        <v>0</v>
      </c>
      <c r="K67" s="17">
        <f t="shared" si="10"/>
        <v>0</v>
      </c>
      <c r="L67" s="17">
        <f t="shared" si="10"/>
        <v>1</v>
      </c>
      <c r="M67" s="17">
        <f t="shared" si="10"/>
        <v>1</v>
      </c>
      <c r="N67" s="17">
        <f t="shared" si="10"/>
        <v>0</v>
      </c>
      <c r="O67" s="17">
        <f t="shared" si="10"/>
        <v>0</v>
      </c>
      <c r="P67" s="17">
        <f t="shared" si="10"/>
        <v>0</v>
      </c>
      <c r="Q67" s="17">
        <f t="shared" si="10"/>
        <v>0</v>
      </c>
      <c r="R67" s="17">
        <f t="shared" si="10"/>
        <v>0</v>
      </c>
      <c r="S67" s="17">
        <f t="shared" si="10"/>
        <v>0</v>
      </c>
      <c r="T67" s="17">
        <f t="shared" si="10"/>
        <v>0</v>
      </c>
      <c r="U67" s="17">
        <f t="shared" si="10"/>
        <v>1</v>
      </c>
      <c r="V67" s="17">
        <f t="shared" si="9"/>
        <v>1</v>
      </c>
      <c r="W67" s="17">
        <f t="shared" si="9"/>
        <v>1</v>
      </c>
      <c r="X67" s="17">
        <f t="shared" si="9"/>
        <v>1</v>
      </c>
      <c r="Y67" s="17">
        <f t="shared" si="9"/>
        <v>1</v>
      </c>
      <c r="Z67" s="17">
        <f t="shared" si="9"/>
        <v>1</v>
      </c>
      <c r="AA67" s="17">
        <f t="shared" si="9"/>
        <v>1</v>
      </c>
      <c r="AB67" s="17">
        <f t="shared" si="9"/>
        <v>0</v>
      </c>
      <c r="AC67" s="17">
        <f t="shared" si="9"/>
        <v>0</v>
      </c>
      <c r="AD67" s="17">
        <f t="shared" si="4"/>
        <v>9</v>
      </c>
    </row>
    <row r="68" spans="4:30" x14ac:dyDescent="0.2">
      <c r="D68" s="37">
        <v>44986</v>
      </c>
      <c r="E68" s="17" t="str">
        <f t="shared" si="1"/>
        <v>weekday</v>
      </c>
      <c r="F68" s="17">
        <f t="shared" si="10"/>
        <v>0</v>
      </c>
      <c r="G68" s="17">
        <f t="shared" si="10"/>
        <v>0</v>
      </c>
      <c r="H68" s="17">
        <f t="shared" si="10"/>
        <v>0</v>
      </c>
      <c r="I68" s="17">
        <f t="shared" si="10"/>
        <v>0</v>
      </c>
      <c r="J68" s="17">
        <f t="shared" si="10"/>
        <v>0</v>
      </c>
      <c r="K68" s="17">
        <f t="shared" si="10"/>
        <v>0</v>
      </c>
      <c r="L68" s="17">
        <f t="shared" si="10"/>
        <v>1</v>
      </c>
      <c r="M68" s="17">
        <f t="shared" si="10"/>
        <v>1</v>
      </c>
      <c r="N68" s="17">
        <f t="shared" si="10"/>
        <v>0</v>
      </c>
      <c r="O68" s="17">
        <f t="shared" si="10"/>
        <v>0</v>
      </c>
      <c r="P68" s="17">
        <f t="shared" si="10"/>
        <v>0</v>
      </c>
      <c r="Q68" s="17">
        <f t="shared" si="10"/>
        <v>0</v>
      </c>
      <c r="R68" s="17">
        <f t="shared" si="10"/>
        <v>0</v>
      </c>
      <c r="S68" s="17">
        <f t="shared" si="10"/>
        <v>0</v>
      </c>
      <c r="T68" s="17">
        <f t="shared" si="10"/>
        <v>0</v>
      </c>
      <c r="U68" s="17">
        <f t="shared" si="10"/>
        <v>1</v>
      </c>
      <c r="V68" s="17">
        <f t="shared" si="9"/>
        <v>1</v>
      </c>
      <c r="W68" s="17">
        <f t="shared" si="9"/>
        <v>1</v>
      </c>
      <c r="X68" s="17">
        <f t="shared" si="9"/>
        <v>1</v>
      </c>
      <c r="Y68" s="17">
        <f t="shared" si="9"/>
        <v>1</v>
      </c>
      <c r="Z68" s="17">
        <f t="shared" si="9"/>
        <v>1</v>
      </c>
      <c r="AA68" s="17">
        <f t="shared" si="9"/>
        <v>1</v>
      </c>
      <c r="AB68" s="17">
        <f t="shared" si="9"/>
        <v>0</v>
      </c>
      <c r="AC68" s="17">
        <f t="shared" si="9"/>
        <v>0</v>
      </c>
      <c r="AD68" s="17">
        <f t="shared" si="4"/>
        <v>9</v>
      </c>
    </row>
    <row r="69" spans="4:30" x14ac:dyDescent="0.2">
      <c r="D69" s="37">
        <v>44987</v>
      </c>
      <c r="E69" s="17" t="str">
        <f t="shared" si="1"/>
        <v>weekday</v>
      </c>
      <c r="F69" s="17">
        <f t="shared" si="10"/>
        <v>0</v>
      </c>
      <c r="G69" s="17">
        <f t="shared" si="10"/>
        <v>0</v>
      </c>
      <c r="H69" s="17">
        <f t="shared" si="10"/>
        <v>0</v>
      </c>
      <c r="I69" s="17">
        <f t="shared" si="10"/>
        <v>0</v>
      </c>
      <c r="J69" s="17">
        <f t="shared" si="10"/>
        <v>0</v>
      </c>
      <c r="K69" s="17">
        <f t="shared" si="10"/>
        <v>0</v>
      </c>
      <c r="L69" s="17">
        <f t="shared" si="10"/>
        <v>1</v>
      </c>
      <c r="M69" s="17">
        <f t="shared" si="10"/>
        <v>1</v>
      </c>
      <c r="N69" s="17">
        <f t="shared" si="10"/>
        <v>0</v>
      </c>
      <c r="O69" s="17">
        <f t="shared" si="10"/>
        <v>0</v>
      </c>
      <c r="P69" s="17">
        <f t="shared" si="10"/>
        <v>0</v>
      </c>
      <c r="Q69" s="17">
        <f t="shared" si="10"/>
        <v>0</v>
      </c>
      <c r="R69" s="17">
        <f t="shared" si="10"/>
        <v>0</v>
      </c>
      <c r="S69" s="17">
        <f t="shared" si="10"/>
        <v>0</v>
      </c>
      <c r="T69" s="17">
        <f t="shared" si="10"/>
        <v>0</v>
      </c>
      <c r="U69" s="17">
        <f t="shared" si="10"/>
        <v>1</v>
      </c>
      <c r="V69" s="17">
        <f t="shared" si="9"/>
        <v>1</v>
      </c>
      <c r="W69" s="17">
        <f t="shared" si="9"/>
        <v>1</v>
      </c>
      <c r="X69" s="17">
        <f t="shared" si="9"/>
        <v>1</v>
      </c>
      <c r="Y69" s="17">
        <f t="shared" si="9"/>
        <v>1</v>
      </c>
      <c r="Z69" s="17">
        <f t="shared" si="9"/>
        <v>1</v>
      </c>
      <c r="AA69" s="17">
        <f t="shared" si="9"/>
        <v>1</v>
      </c>
      <c r="AB69" s="17">
        <f t="shared" si="9"/>
        <v>0</v>
      </c>
      <c r="AC69" s="17">
        <f t="shared" si="9"/>
        <v>0</v>
      </c>
      <c r="AD69" s="17">
        <f t="shared" si="4"/>
        <v>9</v>
      </c>
    </row>
    <row r="70" spans="4:30" x14ac:dyDescent="0.2">
      <c r="D70" s="37">
        <v>44988</v>
      </c>
      <c r="E70" s="17" t="str">
        <f t="shared" si="1"/>
        <v>weekday</v>
      </c>
      <c r="F70" s="17">
        <f t="shared" si="10"/>
        <v>0</v>
      </c>
      <c r="G70" s="17">
        <f t="shared" si="10"/>
        <v>0</v>
      </c>
      <c r="H70" s="17">
        <f t="shared" si="10"/>
        <v>0</v>
      </c>
      <c r="I70" s="17">
        <f t="shared" si="10"/>
        <v>0</v>
      </c>
      <c r="J70" s="17">
        <f t="shared" si="10"/>
        <v>0</v>
      </c>
      <c r="K70" s="17">
        <f t="shared" si="10"/>
        <v>0</v>
      </c>
      <c r="L70" s="17">
        <f t="shared" si="10"/>
        <v>1</v>
      </c>
      <c r="M70" s="17">
        <f t="shared" si="10"/>
        <v>1</v>
      </c>
      <c r="N70" s="17">
        <f t="shared" si="10"/>
        <v>0</v>
      </c>
      <c r="O70" s="17">
        <f t="shared" si="10"/>
        <v>0</v>
      </c>
      <c r="P70" s="17">
        <f t="shared" si="10"/>
        <v>0</v>
      </c>
      <c r="Q70" s="17">
        <f t="shared" si="10"/>
        <v>0</v>
      </c>
      <c r="R70" s="17">
        <f t="shared" si="10"/>
        <v>0</v>
      </c>
      <c r="S70" s="17">
        <f t="shared" si="10"/>
        <v>0</v>
      </c>
      <c r="T70" s="17">
        <f t="shared" si="10"/>
        <v>0</v>
      </c>
      <c r="U70" s="17">
        <f t="shared" si="10"/>
        <v>1</v>
      </c>
      <c r="V70" s="17">
        <f t="shared" si="9"/>
        <v>1</v>
      </c>
      <c r="W70" s="17">
        <f t="shared" si="9"/>
        <v>1</v>
      </c>
      <c r="X70" s="17">
        <f t="shared" si="9"/>
        <v>1</v>
      </c>
      <c r="Y70" s="17">
        <f t="shared" si="9"/>
        <v>1</v>
      </c>
      <c r="Z70" s="17">
        <f t="shared" si="9"/>
        <v>1</v>
      </c>
      <c r="AA70" s="17">
        <f t="shared" si="9"/>
        <v>1</v>
      </c>
      <c r="AB70" s="17">
        <f t="shared" si="9"/>
        <v>0</v>
      </c>
      <c r="AC70" s="17">
        <f t="shared" si="9"/>
        <v>0</v>
      </c>
      <c r="AD70" s="17">
        <f t="shared" si="4"/>
        <v>9</v>
      </c>
    </row>
    <row r="71" spans="4:30" x14ac:dyDescent="0.2">
      <c r="D71" s="37">
        <v>44989</v>
      </c>
      <c r="E71" s="17" t="str">
        <f t="shared" si="1"/>
        <v>weekend</v>
      </c>
      <c r="F71" s="17">
        <f t="shared" si="10"/>
        <v>0</v>
      </c>
      <c r="G71" s="17">
        <f t="shared" si="10"/>
        <v>0</v>
      </c>
      <c r="H71" s="17">
        <f t="shared" si="10"/>
        <v>0</v>
      </c>
      <c r="I71" s="17">
        <f t="shared" si="10"/>
        <v>0</v>
      </c>
      <c r="J71" s="17">
        <f t="shared" si="10"/>
        <v>0</v>
      </c>
      <c r="K71" s="17">
        <f t="shared" si="10"/>
        <v>0</v>
      </c>
      <c r="L71" s="17">
        <f t="shared" si="10"/>
        <v>1</v>
      </c>
      <c r="M71" s="17">
        <f t="shared" si="10"/>
        <v>1</v>
      </c>
      <c r="N71" s="17">
        <f t="shared" si="10"/>
        <v>1</v>
      </c>
      <c r="O71" s="17">
        <f t="shared" si="10"/>
        <v>1</v>
      </c>
      <c r="P71" s="17">
        <f t="shared" si="10"/>
        <v>1</v>
      </c>
      <c r="Q71" s="17">
        <f t="shared" si="10"/>
        <v>1</v>
      </c>
      <c r="R71" s="17">
        <f t="shared" si="10"/>
        <v>1</v>
      </c>
      <c r="S71" s="17">
        <f t="shared" si="10"/>
        <v>1</v>
      </c>
      <c r="T71" s="17">
        <f t="shared" si="10"/>
        <v>1</v>
      </c>
      <c r="U71" s="17">
        <f t="shared" si="10"/>
        <v>1</v>
      </c>
      <c r="V71" s="17">
        <f t="shared" si="9"/>
        <v>1</v>
      </c>
      <c r="W71" s="17">
        <f t="shared" si="9"/>
        <v>1</v>
      </c>
      <c r="X71" s="17">
        <f t="shared" si="9"/>
        <v>1</v>
      </c>
      <c r="Y71" s="17">
        <f t="shared" si="9"/>
        <v>1</v>
      </c>
      <c r="Z71" s="17">
        <f t="shared" si="9"/>
        <v>1</v>
      </c>
      <c r="AA71" s="17">
        <f t="shared" si="9"/>
        <v>1</v>
      </c>
      <c r="AB71" s="17">
        <f t="shared" si="9"/>
        <v>0</v>
      </c>
      <c r="AC71" s="17">
        <f t="shared" si="9"/>
        <v>0</v>
      </c>
      <c r="AD71" s="17">
        <f t="shared" si="4"/>
        <v>16</v>
      </c>
    </row>
    <row r="72" spans="4:30" x14ac:dyDescent="0.2">
      <c r="D72" s="37">
        <v>44990</v>
      </c>
      <c r="E72" s="17" t="str">
        <f t="shared" si="1"/>
        <v>weekend</v>
      </c>
      <c r="F72" s="17">
        <f t="shared" si="10"/>
        <v>0</v>
      </c>
      <c r="G72" s="17">
        <f t="shared" si="10"/>
        <v>0</v>
      </c>
      <c r="H72" s="17">
        <f t="shared" si="10"/>
        <v>0</v>
      </c>
      <c r="I72" s="17">
        <f t="shared" si="10"/>
        <v>0</v>
      </c>
      <c r="J72" s="17">
        <f t="shared" si="10"/>
        <v>0</v>
      </c>
      <c r="K72" s="17">
        <f t="shared" si="10"/>
        <v>0</v>
      </c>
      <c r="L72" s="17">
        <f t="shared" si="10"/>
        <v>1</v>
      </c>
      <c r="M72" s="17">
        <f t="shared" si="10"/>
        <v>1</v>
      </c>
      <c r="N72" s="17">
        <f t="shared" si="10"/>
        <v>1</v>
      </c>
      <c r="O72" s="17">
        <f t="shared" si="10"/>
        <v>1</v>
      </c>
      <c r="P72" s="17">
        <f t="shared" si="10"/>
        <v>1</v>
      </c>
      <c r="Q72" s="17">
        <f t="shared" si="10"/>
        <v>1</v>
      </c>
      <c r="R72" s="17">
        <f t="shared" si="10"/>
        <v>1</v>
      </c>
      <c r="S72" s="17">
        <f t="shared" si="10"/>
        <v>1</v>
      </c>
      <c r="T72" s="17">
        <f t="shared" si="10"/>
        <v>1</v>
      </c>
      <c r="U72" s="17">
        <f t="shared" si="10"/>
        <v>1</v>
      </c>
      <c r="V72" s="17">
        <f t="shared" si="9"/>
        <v>1</v>
      </c>
      <c r="W72" s="17">
        <f t="shared" si="9"/>
        <v>1</v>
      </c>
      <c r="X72" s="17">
        <f t="shared" si="9"/>
        <v>1</v>
      </c>
      <c r="Y72" s="17">
        <f t="shared" si="9"/>
        <v>1</v>
      </c>
      <c r="Z72" s="17">
        <f t="shared" si="9"/>
        <v>1</v>
      </c>
      <c r="AA72" s="17">
        <f t="shared" si="9"/>
        <v>1</v>
      </c>
      <c r="AB72" s="17">
        <f t="shared" si="9"/>
        <v>0</v>
      </c>
      <c r="AC72" s="17">
        <f t="shared" si="9"/>
        <v>0</v>
      </c>
      <c r="AD72" s="17">
        <f t="shared" si="4"/>
        <v>16</v>
      </c>
    </row>
    <row r="73" spans="4:30" x14ac:dyDescent="0.2">
      <c r="D73" s="37">
        <v>44991</v>
      </c>
      <c r="E73" s="17" t="str">
        <f t="shared" si="1"/>
        <v>weekday</v>
      </c>
      <c r="F73" s="17">
        <f t="shared" si="10"/>
        <v>0</v>
      </c>
      <c r="G73" s="17">
        <f t="shared" si="10"/>
        <v>0</v>
      </c>
      <c r="H73" s="17">
        <f t="shared" si="10"/>
        <v>0</v>
      </c>
      <c r="I73" s="17">
        <f t="shared" si="10"/>
        <v>0</v>
      </c>
      <c r="J73" s="17">
        <f t="shared" si="10"/>
        <v>0</v>
      </c>
      <c r="K73" s="17">
        <f t="shared" si="10"/>
        <v>0</v>
      </c>
      <c r="L73" s="17">
        <f t="shared" si="10"/>
        <v>1</v>
      </c>
      <c r="M73" s="17">
        <f t="shared" si="10"/>
        <v>1</v>
      </c>
      <c r="N73" s="17">
        <f t="shared" si="10"/>
        <v>0</v>
      </c>
      <c r="O73" s="17">
        <f t="shared" si="10"/>
        <v>0</v>
      </c>
      <c r="P73" s="17">
        <f t="shared" si="10"/>
        <v>0</v>
      </c>
      <c r="Q73" s="17">
        <f t="shared" si="10"/>
        <v>0</v>
      </c>
      <c r="R73" s="17">
        <f t="shared" si="10"/>
        <v>0</v>
      </c>
      <c r="S73" s="17">
        <f t="shared" si="10"/>
        <v>0</v>
      </c>
      <c r="T73" s="17">
        <f t="shared" si="10"/>
        <v>0</v>
      </c>
      <c r="U73" s="17">
        <f t="shared" ref="U73:AC88" si="11">IF($E73=$E$5,(U$5),(U$6))</f>
        <v>1</v>
      </c>
      <c r="V73" s="17">
        <f t="shared" si="11"/>
        <v>1</v>
      </c>
      <c r="W73" s="17">
        <f t="shared" si="11"/>
        <v>1</v>
      </c>
      <c r="X73" s="17">
        <f t="shared" si="11"/>
        <v>1</v>
      </c>
      <c r="Y73" s="17">
        <f t="shared" si="11"/>
        <v>1</v>
      </c>
      <c r="Z73" s="17">
        <f t="shared" si="11"/>
        <v>1</v>
      </c>
      <c r="AA73" s="17">
        <f t="shared" si="11"/>
        <v>1</v>
      </c>
      <c r="AB73" s="17">
        <f t="shared" si="11"/>
        <v>0</v>
      </c>
      <c r="AC73" s="17">
        <f t="shared" si="11"/>
        <v>0</v>
      </c>
      <c r="AD73" s="17">
        <f t="shared" si="4"/>
        <v>9</v>
      </c>
    </row>
    <row r="74" spans="4:30" x14ac:dyDescent="0.2">
      <c r="D74" s="37">
        <v>44992</v>
      </c>
      <c r="E74" s="17" t="str">
        <f t="shared" ref="E74:E137" si="12">IF(WEEKDAY(D74, 2)&lt;6, "weekday", "weekend")</f>
        <v>weekday</v>
      </c>
      <c r="F74" s="17">
        <f t="shared" ref="F74:U89" si="13">IF($E74=$E$5,(F$5),(F$6))</f>
        <v>0</v>
      </c>
      <c r="G74" s="17">
        <f t="shared" si="13"/>
        <v>0</v>
      </c>
      <c r="H74" s="17">
        <f t="shared" si="13"/>
        <v>0</v>
      </c>
      <c r="I74" s="17">
        <f t="shared" si="13"/>
        <v>0</v>
      </c>
      <c r="J74" s="17">
        <f t="shared" si="13"/>
        <v>0</v>
      </c>
      <c r="K74" s="17">
        <f t="shared" si="13"/>
        <v>0</v>
      </c>
      <c r="L74" s="17">
        <f t="shared" si="13"/>
        <v>1</v>
      </c>
      <c r="M74" s="17">
        <f t="shared" si="13"/>
        <v>1</v>
      </c>
      <c r="N74" s="17">
        <f t="shared" si="13"/>
        <v>0</v>
      </c>
      <c r="O74" s="17">
        <f t="shared" si="13"/>
        <v>0</v>
      </c>
      <c r="P74" s="17">
        <f t="shared" si="13"/>
        <v>0</v>
      </c>
      <c r="Q74" s="17">
        <f t="shared" si="13"/>
        <v>0</v>
      </c>
      <c r="R74" s="17">
        <f t="shared" si="13"/>
        <v>0</v>
      </c>
      <c r="S74" s="17">
        <f t="shared" si="13"/>
        <v>0</v>
      </c>
      <c r="T74" s="17">
        <f t="shared" si="13"/>
        <v>0</v>
      </c>
      <c r="U74" s="17">
        <f t="shared" si="13"/>
        <v>1</v>
      </c>
      <c r="V74" s="17">
        <f t="shared" si="11"/>
        <v>1</v>
      </c>
      <c r="W74" s="17">
        <f t="shared" si="11"/>
        <v>1</v>
      </c>
      <c r="X74" s="17">
        <f t="shared" si="11"/>
        <v>1</v>
      </c>
      <c r="Y74" s="17">
        <f t="shared" si="11"/>
        <v>1</v>
      </c>
      <c r="Z74" s="17">
        <f t="shared" si="11"/>
        <v>1</v>
      </c>
      <c r="AA74" s="17">
        <f t="shared" si="11"/>
        <v>1</v>
      </c>
      <c r="AB74" s="17">
        <f t="shared" si="11"/>
        <v>0</v>
      </c>
      <c r="AC74" s="17">
        <f t="shared" si="11"/>
        <v>0</v>
      </c>
      <c r="AD74" s="17">
        <f t="shared" ref="AD74:AD137" si="14">SUM(F74:AC74)</f>
        <v>9</v>
      </c>
    </row>
    <row r="75" spans="4:30" x14ac:dyDescent="0.2">
      <c r="D75" s="37">
        <v>44993</v>
      </c>
      <c r="E75" s="17" t="str">
        <f t="shared" si="12"/>
        <v>weekday</v>
      </c>
      <c r="F75" s="17">
        <f t="shared" si="13"/>
        <v>0</v>
      </c>
      <c r="G75" s="17">
        <f t="shared" si="13"/>
        <v>0</v>
      </c>
      <c r="H75" s="17">
        <f t="shared" si="13"/>
        <v>0</v>
      </c>
      <c r="I75" s="17">
        <f t="shared" si="13"/>
        <v>0</v>
      </c>
      <c r="J75" s="17">
        <f t="shared" si="13"/>
        <v>0</v>
      </c>
      <c r="K75" s="17">
        <f t="shared" si="13"/>
        <v>0</v>
      </c>
      <c r="L75" s="17">
        <f t="shared" si="13"/>
        <v>1</v>
      </c>
      <c r="M75" s="17">
        <f t="shared" si="13"/>
        <v>1</v>
      </c>
      <c r="N75" s="17">
        <f t="shared" si="13"/>
        <v>0</v>
      </c>
      <c r="O75" s="17">
        <f t="shared" si="13"/>
        <v>0</v>
      </c>
      <c r="P75" s="17">
        <f t="shared" si="13"/>
        <v>0</v>
      </c>
      <c r="Q75" s="17">
        <f t="shared" si="13"/>
        <v>0</v>
      </c>
      <c r="R75" s="17">
        <f t="shared" si="13"/>
        <v>0</v>
      </c>
      <c r="S75" s="17">
        <f t="shared" si="13"/>
        <v>0</v>
      </c>
      <c r="T75" s="17">
        <f t="shared" si="13"/>
        <v>0</v>
      </c>
      <c r="U75" s="17">
        <f t="shared" si="13"/>
        <v>1</v>
      </c>
      <c r="V75" s="17">
        <f t="shared" si="11"/>
        <v>1</v>
      </c>
      <c r="W75" s="17">
        <f t="shared" si="11"/>
        <v>1</v>
      </c>
      <c r="X75" s="17">
        <f t="shared" si="11"/>
        <v>1</v>
      </c>
      <c r="Y75" s="17">
        <f t="shared" si="11"/>
        <v>1</v>
      </c>
      <c r="Z75" s="17">
        <f t="shared" si="11"/>
        <v>1</v>
      </c>
      <c r="AA75" s="17">
        <f t="shared" si="11"/>
        <v>1</v>
      </c>
      <c r="AB75" s="17">
        <f t="shared" si="11"/>
        <v>0</v>
      </c>
      <c r="AC75" s="17">
        <f t="shared" si="11"/>
        <v>0</v>
      </c>
      <c r="AD75" s="17">
        <f t="shared" si="14"/>
        <v>9</v>
      </c>
    </row>
    <row r="76" spans="4:30" x14ac:dyDescent="0.2">
      <c r="D76" s="37">
        <v>44994</v>
      </c>
      <c r="E76" s="17" t="str">
        <f t="shared" si="12"/>
        <v>weekday</v>
      </c>
      <c r="F76" s="17">
        <f t="shared" si="13"/>
        <v>0</v>
      </c>
      <c r="G76" s="17">
        <f t="shared" si="13"/>
        <v>0</v>
      </c>
      <c r="H76" s="17">
        <f t="shared" si="13"/>
        <v>0</v>
      </c>
      <c r="I76" s="17">
        <f t="shared" si="13"/>
        <v>0</v>
      </c>
      <c r="J76" s="17">
        <f t="shared" si="13"/>
        <v>0</v>
      </c>
      <c r="K76" s="17">
        <f t="shared" si="13"/>
        <v>0</v>
      </c>
      <c r="L76" s="17">
        <f t="shared" si="13"/>
        <v>1</v>
      </c>
      <c r="M76" s="17">
        <f t="shared" si="13"/>
        <v>1</v>
      </c>
      <c r="N76" s="17">
        <f t="shared" si="13"/>
        <v>0</v>
      </c>
      <c r="O76" s="17">
        <f t="shared" si="13"/>
        <v>0</v>
      </c>
      <c r="P76" s="17">
        <f t="shared" si="13"/>
        <v>0</v>
      </c>
      <c r="Q76" s="17">
        <f t="shared" si="13"/>
        <v>0</v>
      </c>
      <c r="R76" s="17">
        <f t="shared" si="13"/>
        <v>0</v>
      </c>
      <c r="S76" s="17">
        <f t="shared" si="13"/>
        <v>0</v>
      </c>
      <c r="T76" s="17">
        <f t="shared" si="13"/>
        <v>0</v>
      </c>
      <c r="U76" s="17">
        <f t="shared" si="13"/>
        <v>1</v>
      </c>
      <c r="V76" s="17">
        <f t="shared" si="11"/>
        <v>1</v>
      </c>
      <c r="W76" s="17">
        <f t="shared" si="11"/>
        <v>1</v>
      </c>
      <c r="X76" s="17">
        <f t="shared" si="11"/>
        <v>1</v>
      </c>
      <c r="Y76" s="17">
        <f t="shared" si="11"/>
        <v>1</v>
      </c>
      <c r="Z76" s="17">
        <f t="shared" si="11"/>
        <v>1</v>
      </c>
      <c r="AA76" s="17">
        <f t="shared" si="11"/>
        <v>1</v>
      </c>
      <c r="AB76" s="17">
        <f t="shared" si="11"/>
        <v>0</v>
      </c>
      <c r="AC76" s="17">
        <f t="shared" si="11"/>
        <v>0</v>
      </c>
      <c r="AD76" s="17">
        <f t="shared" si="14"/>
        <v>9</v>
      </c>
    </row>
    <row r="77" spans="4:30" x14ac:dyDescent="0.2">
      <c r="D77" s="37">
        <v>44995</v>
      </c>
      <c r="E77" s="17" t="str">
        <f t="shared" si="12"/>
        <v>weekday</v>
      </c>
      <c r="F77" s="17">
        <f t="shared" si="13"/>
        <v>0</v>
      </c>
      <c r="G77" s="17">
        <f t="shared" si="13"/>
        <v>0</v>
      </c>
      <c r="H77" s="17">
        <f t="shared" si="13"/>
        <v>0</v>
      </c>
      <c r="I77" s="17">
        <f t="shared" si="13"/>
        <v>0</v>
      </c>
      <c r="J77" s="17">
        <f t="shared" si="13"/>
        <v>0</v>
      </c>
      <c r="K77" s="17">
        <f t="shared" si="13"/>
        <v>0</v>
      </c>
      <c r="L77" s="17">
        <f t="shared" si="13"/>
        <v>1</v>
      </c>
      <c r="M77" s="17">
        <f t="shared" si="13"/>
        <v>1</v>
      </c>
      <c r="N77" s="17">
        <f t="shared" si="13"/>
        <v>0</v>
      </c>
      <c r="O77" s="17">
        <f t="shared" si="13"/>
        <v>0</v>
      </c>
      <c r="P77" s="17">
        <f t="shared" si="13"/>
        <v>0</v>
      </c>
      <c r="Q77" s="17">
        <f t="shared" si="13"/>
        <v>0</v>
      </c>
      <c r="R77" s="17">
        <f t="shared" si="13"/>
        <v>0</v>
      </c>
      <c r="S77" s="17">
        <f t="shared" si="13"/>
        <v>0</v>
      </c>
      <c r="T77" s="17">
        <f t="shared" si="13"/>
        <v>0</v>
      </c>
      <c r="U77" s="17">
        <f t="shared" si="13"/>
        <v>1</v>
      </c>
      <c r="V77" s="17">
        <f t="shared" si="11"/>
        <v>1</v>
      </c>
      <c r="W77" s="17">
        <f t="shared" si="11"/>
        <v>1</v>
      </c>
      <c r="X77" s="17">
        <f t="shared" si="11"/>
        <v>1</v>
      </c>
      <c r="Y77" s="17">
        <f t="shared" si="11"/>
        <v>1</v>
      </c>
      <c r="Z77" s="17">
        <f t="shared" si="11"/>
        <v>1</v>
      </c>
      <c r="AA77" s="17">
        <f t="shared" si="11"/>
        <v>1</v>
      </c>
      <c r="AB77" s="17">
        <f t="shared" si="11"/>
        <v>0</v>
      </c>
      <c r="AC77" s="17">
        <f t="shared" si="11"/>
        <v>0</v>
      </c>
      <c r="AD77" s="17">
        <f t="shared" si="14"/>
        <v>9</v>
      </c>
    </row>
    <row r="78" spans="4:30" x14ac:dyDescent="0.2">
      <c r="D78" s="37">
        <v>44996</v>
      </c>
      <c r="E78" s="17" t="str">
        <f t="shared" si="12"/>
        <v>weekend</v>
      </c>
      <c r="F78" s="17">
        <f t="shared" si="13"/>
        <v>0</v>
      </c>
      <c r="G78" s="17">
        <f t="shared" si="13"/>
        <v>0</v>
      </c>
      <c r="H78" s="17">
        <f t="shared" si="13"/>
        <v>0</v>
      </c>
      <c r="I78" s="17">
        <f t="shared" si="13"/>
        <v>0</v>
      </c>
      <c r="J78" s="17">
        <f t="shared" si="13"/>
        <v>0</v>
      </c>
      <c r="K78" s="17">
        <f t="shared" si="13"/>
        <v>0</v>
      </c>
      <c r="L78" s="17">
        <f t="shared" si="13"/>
        <v>1</v>
      </c>
      <c r="M78" s="17">
        <f t="shared" si="13"/>
        <v>1</v>
      </c>
      <c r="N78" s="17">
        <f t="shared" si="13"/>
        <v>1</v>
      </c>
      <c r="O78" s="17">
        <f t="shared" si="13"/>
        <v>1</v>
      </c>
      <c r="P78" s="17">
        <f t="shared" si="13"/>
        <v>1</v>
      </c>
      <c r="Q78" s="17">
        <f t="shared" si="13"/>
        <v>1</v>
      </c>
      <c r="R78" s="17">
        <f t="shared" si="13"/>
        <v>1</v>
      </c>
      <c r="S78" s="17">
        <f t="shared" si="13"/>
        <v>1</v>
      </c>
      <c r="T78" s="17">
        <f t="shared" si="13"/>
        <v>1</v>
      </c>
      <c r="U78" s="17">
        <f t="shared" si="13"/>
        <v>1</v>
      </c>
      <c r="V78" s="17">
        <f t="shared" si="11"/>
        <v>1</v>
      </c>
      <c r="W78" s="17">
        <f t="shared" si="11"/>
        <v>1</v>
      </c>
      <c r="X78" s="17">
        <f t="shared" si="11"/>
        <v>1</v>
      </c>
      <c r="Y78" s="17">
        <f t="shared" si="11"/>
        <v>1</v>
      </c>
      <c r="Z78" s="17">
        <f t="shared" si="11"/>
        <v>1</v>
      </c>
      <c r="AA78" s="17">
        <f t="shared" si="11"/>
        <v>1</v>
      </c>
      <c r="AB78" s="17">
        <f t="shared" si="11"/>
        <v>0</v>
      </c>
      <c r="AC78" s="17">
        <f t="shared" si="11"/>
        <v>0</v>
      </c>
      <c r="AD78" s="17">
        <f t="shared" si="14"/>
        <v>16</v>
      </c>
    </row>
    <row r="79" spans="4:30" x14ac:dyDescent="0.2">
      <c r="D79" s="37">
        <v>44997</v>
      </c>
      <c r="E79" s="17" t="str">
        <f t="shared" si="12"/>
        <v>weekend</v>
      </c>
      <c r="F79" s="17">
        <f t="shared" si="13"/>
        <v>0</v>
      </c>
      <c r="G79" s="17">
        <f t="shared" si="13"/>
        <v>0</v>
      </c>
      <c r="H79" s="17">
        <f t="shared" si="13"/>
        <v>0</v>
      </c>
      <c r="I79" s="17">
        <f t="shared" si="13"/>
        <v>0</v>
      </c>
      <c r="J79" s="17">
        <f t="shared" si="13"/>
        <v>0</v>
      </c>
      <c r="K79" s="17">
        <f t="shared" si="13"/>
        <v>0</v>
      </c>
      <c r="L79" s="17">
        <f t="shared" si="13"/>
        <v>1</v>
      </c>
      <c r="M79" s="17">
        <f t="shared" si="13"/>
        <v>1</v>
      </c>
      <c r="N79" s="17">
        <f t="shared" si="13"/>
        <v>1</v>
      </c>
      <c r="O79" s="17">
        <f t="shared" si="13"/>
        <v>1</v>
      </c>
      <c r="P79" s="17">
        <f t="shared" si="13"/>
        <v>1</v>
      </c>
      <c r="Q79" s="17">
        <f t="shared" si="13"/>
        <v>1</v>
      </c>
      <c r="R79" s="17">
        <f t="shared" si="13"/>
        <v>1</v>
      </c>
      <c r="S79" s="17">
        <f t="shared" si="13"/>
        <v>1</v>
      </c>
      <c r="T79" s="17">
        <f t="shared" si="13"/>
        <v>1</v>
      </c>
      <c r="U79" s="17">
        <f t="shared" si="13"/>
        <v>1</v>
      </c>
      <c r="V79" s="17">
        <f t="shared" si="11"/>
        <v>1</v>
      </c>
      <c r="W79" s="17">
        <f t="shared" si="11"/>
        <v>1</v>
      </c>
      <c r="X79" s="17">
        <f t="shared" si="11"/>
        <v>1</v>
      </c>
      <c r="Y79" s="17">
        <f t="shared" si="11"/>
        <v>1</v>
      </c>
      <c r="Z79" s="17">
        <f t="shared" si="11"/>
        <v>1</v>
      </c>
      <c r="AA79" s="17">
        <f t="shared" si="11"/>
        <v>1</v>
      </c>
      <c r="AB79" s="17">
        <f t="shared" si="11"/>
        <v>0</v>
      </c>
      <c r="AC79" s="17">
        <f t="shared" si="11"/>
        <v>0</v>
      </c>
      <c r="AD79" s="17">
        <f t="shared" si="14"/>
        <v>16</v>
      </c>
    </row>
    <row r="80" spans="4:30" x14ac:dyDescent="0.2">
      <c r="D80" s="37">
        <v>44998</v>
      </c>
      <c r="E80" s="17" t="str">
        <f t="shared" si="12"/>
        <v>weekday</v>
      </c>
      <c r="F80" s="17">
        <f t="shared" si="13"/>
        <v>0</v>
      </c>
      <c r="G80" s="17">
        <f t="shared" si="13"/>
        <v>0</v>
      </c>
      <c r="H80" s="17">
        <f t="shared" si="13"/>
        <v>0</v>
      </c>
      <c r="I80" s="17">
        <f t="shared" si="13"/>
        <v>0</v>
      </c>
      <c r="J80" s="17">
        <f t="shared" si="13"/>
        <v>0</v>
      </c>
      <c r="K80" s="17">
        <f t="shared" si="13"/>
        <v>0</v>
      </c>
      <c r="L80" s="17">
        <f t="shared" si="13"/>
        <v>1</v>
      </c>
      <c r="M80" s="17">
        <f t="shared" si="13"/>
        <v>1</v>
      </c>
      <c r="N80" s="17">
        <f t="shared" si="13"/>
        <v>0</v>
      </c>
      <c r="O80" s="17">
        <f t="shared" si="13"/>
        <v>0</v>
      </c>
      <c r="P80" s="17">
        <f t="shared" si="13"/>
        <v>0</v>
      </c>
      <c r="Q80" s="17">
        <f t="shared" si="13"/>
        <v>0</v>
      </c>
      <c r="R80" s="17">
        <f t="shared" si="13"/>
        <v>0</v>
      </c>
      <c r="S80" s="17">
        <f t="shared" si="13"/>
        <v>0</v>
      </c>
      <c r="T80" s="17">
        <f t="shared" si="13"/>
        <v>0</v>
      </c>
      <c r="U80" s="17">
        <f t="shared" si="13"/>
        <v>1</v>
      </c>
      <c r="V80" s="17">
        <f t="shared" si="11"/>
        <v>1</v>
      </c>
      <c r="W80" s="17">
        <f t="shared" si="11"/>
        <v>1</v>
      </c>
      <c r="X80" s="17">
        <f t="shared" si="11"/>
        <v>1</v>
      </c>
      <c r="Y80" s="17">
        <f t="shared" si="11"/>
        <v>1</v>
      </c>
      <c r="Z80" s="17">
        <f t="shared" si="11"/>
        <v>1</v>
      </c>
      <c r="AA80" s="17">
        <f t="shared" si="11"/>
        <v>1</v>
      </c>
      <c r="AB80" s="17">
        <f t="shared" si="11"/>
        <v>0</v>
      </c>
      <c r="AC80" s="17">
        <f t="shared" si="11"/>
        <v>0</v>
      </c>
      <c r="AD80" s="17">
        <f t="shared" si="14"/>
        <v>9</v>
      </c>
    </row>
    <row r="81" spans="4:30" x14ac:dyDescent="0.2">
      <c r="D81" s="37">
        <v>44999</v>
      </c>
      <c r="E81" s="17" t="str">
        <f t="shared" si="12"/>
        <v>weekday</v>
      </c>
      <c r="F81" s="17">
        <f t="shared" si="13"/>
        <v>0</v>
      </c>
      <c r="G81" s="17">
        <f t="shared" si="13"/>
        <v>0</v>
      </c>
      <c r="H81" s="17">
        <f t="shared" si="13"/>
        <v>0</v>
      </c>
      <c r="I81" s="17">
        <f t="shared" si="13"/>
        <v>0</v>
      </c>
      <c r="J81" s="17">
        <f t="shared" si="13"/>
        <v>0</v>
      </c>
      <c r="K81" s="17">
        <f t="shared" si="13"/>
        <v>0</v>
      </c>
      <c r="L81" s="17">
        <f t="shared" si="13"/>
        <v>1</v>
      </c>
      <c r="M81" s="17">
        <f t="shared" si="13"/>
        <v>1</v>
      </c>
      <c r="N81" s="17">
        <f t="shared" si="13"/>
        <v>0</v>
      </c>
      <c r="O81" s="17">
        <f t="shared" si="13"/>
        <v>0</v>
      </c>
      <c r="P81" s="17">
        <f t="shared" si="13"/>
        <v>0</v>
      </c>
      <c r="Q81" s="17">
        <f t="shared" si="13"/>
        <v>0</v>
      </c>
      <c r="R81" s="17">
        <f t="shared" si="13"/>
        <v>0</v>
      </c>
      <c r="S81" s="17">
        <f t="shared" si="13"/>
        <v>0</v>
      </c>
      <c r="T81" s="17">
        <f t="shared" si="13"/>
        <v>0</v>
      </c>
      <c r="U81" s="17">
        <f t="shared" si="13"/>
        <v>1</v>
      </c>
      <c r="V81" s="17">
        <f t="shared" si="11"/>
        <v>1</v>
      </c>
      <c r="W81" s="17">
        <f t="shared" si="11"/>
        <v>1</v>
      </c>
      <c r="X81" s="17">
        <f t="shared" si="11"/>
        <v>1</v>
      </c>
      <c r="Y81" s="17">
        <f t="shared" si="11"/>
        <v>1</v>
      </c>
      <c r="Z81" s="17">
        <f t="shared" si="11"/>
        <v>1</v>
      </c>
      <c r="AA81" s="17">
        <f t="shared" si="11"/>
        <v>1</v>
      </c>
      <c r="AB81" s="17">
        <f t="shared" si="11"/>
        <v>0</v>
      </c>
      <c r="AC81" s="17">
        <f t="shared" si="11"/>
        <v>0</v>
      </c>
      <c r="AD81" s="17">
        <f t="shared" si="14"/>
        <v>9</v>
      </c>
    </row>
    <row r="82" spans="4:30" x14ac:dyDescent="0.2">
      <c r="D82" s="37">
        <v>45000</v>
      </c>
      <c r="E82" s="17" t="str">
        <f t="shared" si="12"/>
        <v>weekday</v>
      </c>
      <c r="F82" s="17">
        <f t="shared" si="13"/>
        <v>0</v>
      </c>
      <c r="G82" s="17">
        <f t="shared" si="13"/>
        <v>0</v>
      </c>
      <c r="H82" s="17">
        <f t="shared" si="13"/>
        <v>0</v>
      </c>
      <c r="I82" s="17">
        <f t="shared" si="13"/>
        <v>0</v>
      </c>
      <c r="J82" s="17">
        <f t="shared" si="13"/>
        <v>0</v>
      </c>
      <c r="K82" s="17">
        <f t="shared" si="13"/>
        <v>0</v>
      </c>
      <c r="L82" s="17">
        <f t="shared" si="13"/>
        <v>1</v>
      </c>
      <c r="M82" s="17">
        <f t="shared" si="13"/>
        <v>1</v>
      </c>
      <c r="N82" s="17">
        <f t="shared" si="13"/>
        <v>0</v>
      </c>
      <c r="O82" s="17">
        <f t="shared" si="13"/>
        <v>0</v>
      </c>
      <c r="P82" s="17">
        <f t="shared" si="13"/>
        <v>0</v>
      </c>
      <c r="Q82" s="17">
        <f t="shared" si="13"/>
        <v>0</v>
      </c>
      <c r="R82" s="17">
        <f t="shared" si="13"/>
        <v>0</v>
      </c>
      <c r="S82" s="17">
        <f t="shared" si="13"/>
        <v>0</v>
      </c>
      <c r="T82" s="17">
        <f t="shared" si="13"/>
        <v>0</v>
      </c>
      <c r="U82" s="17">
        <f t="shared" si="13"/>
        <v>1</v>
      </c>
      <c r="V82" s="17">
        <f t="shared" si="11"/>
        <v>1</v>
      </c>
      <c r="W82" s="17">
        <f t="shared" si="11"/>
        <v>1</v>
      </c>
      <c r="X82" s="17">
        <f t="shared" si="11"/>
        <v>1</v>
      </c>
      <c r="Y82" s="17">
        <f t="shared" si="11"/>
        <v>1</v>
      </c>
      <c r="Z82" s="17">
        <f t="shared" si="11"/>
        <v>1</v>
      </c>
      <c r="AA82" s="17">
        <f t="shared" si="11"/>
        <v>1</v>
      </c>
      <c r="AB82" s="17">
        <f t="shared" si="11"/>
        <v>0</v>
      </c>
      <c r="AC82" s="17">
        <f t="shared" si="11"/>
        <v>0</v>
      </c>
      <c r="AD82" s="17">
        <f t="shared" si="14"/>
        <v>9</v>
      </c>
    </row>
    <row r="83" spans="4:30" x14ac:dyDescent="0.2">
      <c r="D83" s="37">
        <v>45001</v>
      </c>
      <c r="E83" s="17" t="str">
        <f t="shared" si="12"/>
        <v>weekday</v>
      </c>
      <c r="F83" s="17">
        <f t="shared" si="13"/>
        <v>0</v>
      </c>
      <c r="G83" s="17">
        <f t="shared" si="13"/>
        <v>0</v>
      </c>
      <c r="H83" s="17">
        <f t="shared" si="13"/>
        <v>0</v>
      </c>
      <c r="I83" s="17">
        <f t="shared" si="13"/>
        <v>0</v>
      </c>
      <c r="J83" s="17">
        <f t="shared" si="13"/>
        <v>0</v>
      </c>
      <c r="K83" s="17">
        <f t="shared" si="13"/>
        <v>0</v>
      </c>
      <c r="L83" s="17">
        <f t="shared" si="13"/>
        <v>1</v>
      </c>
      <c r="M83" s="17">
        <f t="shared" si="13"/>
        <v>1</v>
      </c>
      <c r="N83" s="17">
        <f t="shared" si="13"/>
        <v>0</v>
      </c>
      <c r="O83" s="17">
        <f t="shared" si="13"/>
        <v>0</v>
      </c>
      <c r="P83" s="17">
        <f t="shared" si="13"/>
        <v>0</v>
      </c>
      <c r="Q83" s="17">
        <f t="shared" si="13"/>
        <v>0</v>
      </c>
      <c r="R83" s="17">
        <f t="shared" si="13"/>
        <v>0</v>
      </c>
      <c r="S83" s="17">
        <f t="shared" si="13"/>
        <v>0</v>
      </c>
      <c r="T83" s="17">
        <f t="shared" si="13"/>
        <v>0</v>
      </c>
      <c r="U83" s="17">
        <f t="shared" si="13"/>
        <v>1</v>
      </c>
      <c r="V83" s="17">
        <f t="shared" si="11"/>
        <v>1</v>
      </c>
      <c r="W83" s="17">
        <f t="shared" si="11"/>
        <v>1</v>
      </c>
      <c r="X83" s="17">
        <f t="shared" si="11"/>
        <v>1</v>
      </c>
      <c r="Y83" s="17">
        <f t="shared" si="11"/>
        <v>1</v>
      </c>
      <c r="Z83" s="17">
        <f t="shared" si="11"/>
        <v>1</v>
      </c>
      <c r="AA83" s="17">
        <f t="shared" si="11"/>
        <v>1</v>
      </c>
      <c r="AB83" s="17">
        <f t="shared" si="11"/>
        <v>0</v>
      </c>
      <c r="AC83" s="17">
        <f t="shared" si="11"/>
        <v>0</v>
      </c>
      <c r="AD83" s="17">
        <f t="shared" si="14"/>
        <v>9</v>
      </c>
    </row>
    <row r="84" spans="4:30" x14ac:dyDescent="0.2">
      <c r="D84" s="37">
        <v>45002</v>
      </c>
      <c r="E84" s="17" t="str">
        <f t="shared" si="12"/>
        <v>weekday</v>
      </c>
      <c r="F84" s="17">
        <f t="shared" si="13"/>
        <v>0</v>
      </c>
      <c r="G84" s="17">
        <f t="shared" si="13"/>
        <v>0</v>
      </c>
      <c r="H84" s="17">
        <f t="shared" si="13"/>
        <v>0</v>
      </c>
      <c r="I84" s="17">
        <f t="shared" si="13"/>
        <v>0</v>
      </c>
      <c r="J84" s="17">
        <f t="shared" si="13"/>
        <v>0</v>
      </c>
      <c r="K84" s="17">
        <f t="shared" si="13"/>
        <v>0</v>
      </c>
      <c r="L84" s="17">
        <f t="shared" si="13"/>
        <v>1</v>
      </c>
      <c r="M84" s="17">
        <f t="shared" si="13"/>
        <v>1</v>
      </c>
      <c r="N84" s="17">
        <f t="shared" si="13"/>
        <v>0</v>
      </c>
      <c r="O84" s="17">
        <f t="shared" si="13"/>
        <v>0</v>
      </c>
      <c r="P84" s="17">
        <f t="shared" si="13"/>
        <v>0</v>
      </c>
      <c r="Q84" s="17">
        <f t="shared" si="13"/>
        <v>0</v>
      </c>
      <c r="R84" s="17">
        <f t="shared" si="13"/>
        <v>0</v>
      </c>
      <c r="S84" s="17">
        <f t="shared" si="13"/>
        <v>0</v>
      </c>
      <c r="T84" s="17">
        <f t="shared" si="13"/>
        <v>0</v>
      </c>
      <c r="U84" s="17">
        <f t="shared" si="13"/>
        <v>1</v>
      </c>
      <c r="V84" s="17">
        <f t="shared" si="11"/>
        <v>1</v>
      </c>
      <c r="W84" s="17">
        <f t="shared" si="11"/>
        <v>1</v>
      </c>
      <c r="X84" s="17">
        <f t="shared" si="11"/>
        <v>1</v>
      </c>
      <c r="Y84" s="17">
        <f t="shared" si="11"/>
        <v>1</v>
      </c>
      <c r="Z84" s="17">
        <f t="shared" si="11"/>
        <v>1</v>
      </c>
      <c r="AA84" s="17">
        <f t="shared" si="11"/>
        <v>1</v>
      </c>
      <c r="AB84" s="17">
        <f t="shared" si="11"/>
        <v>0</v>
      </c>
      <c r="AC84" s="17">
        <f t="shared" si="11"/>
        <v>0</v>
      </c>
      <c r="AD84" s="17">
        <f t="shared" si="14"/>
        <v>9</v>
      </c>
    </row>
    <row r="85" spans="4:30" x14ac:dyDescent="0.2">
      <c r="D85" s="37">
        <v>45003</v>
      </c>
      <c r="E85" s="17" t="str">
        <f t="shared" si="12"/>
        <v>weekend</v>
      </c>
      <c r="F85" s="17">
        <f t="shared" si="13"/>
        <v>0</v>
      </c>
      <c r="G85" s="17">
        <f t="shared" si="13"/>
        <v>0</v>
      </c>
      <c r="H85" s="17">
        <f t="shared" si="13"/>
        <v>0</v>
      </c>
      <c r="I85" s="17">
        <f t="shared" si="13"/>
        <v>0</v>
      </c>
      <c r="J85" s="17">
        <f t="shared" si="13"/>
        <v>0</v>
      </c>
      <c r="K85" s="17">
        <f t="shared" si="13"/>
        <v>0</v>
      </c>
      <c r="L85" s="17">
        <f t="shared" si="13"/>
        <v>1</v>
      </c>
      <c r="M85" s="17">
        <f t="shared" si="13"/>
        <v>1</v>
      </c>
      <c r="N85" s="17">
        <f t="shared" si="13"/>
        <v>1</v>
      </c>
      <c r="O85" s="17">
        <f t="shared" si="13"/>
        <v>1</v>
      </c>
      <c r="P85" s="17">
        <f t="shared" si="13"/>
        <v>1</v>
      </c>
      <c r="Q85" s="17">
        <f t="shared" si="13"/>
        <v>1</v>
      </c>
      <c r="R85" s="17">
        <f t="shared" si="13"/>
        <v>1</v>
      </c>
      <c r="S85" s="17">
        <f t="shared" si="13"/>
        <v>1</v>
      </c>
      <c r="T85" s="17">
        <f t="shared" si="13"/>
        <v>1</v>
      </c>
      <c r="U85" s="17">
        <f t="shared" si="13"/>
        <v>1</v>
      </c>
      <c r="V85" s="17">
        <f t="shared" si="11"/>
        <v>1</v>
      </c>
      <c r="W85" s="17">
        <f t="shared" si="11"/>
        <v>1</v>
      </c>
      <c r="X85" s="17">
        <f t="shared" si="11"/>
        <v>1</v>
      </c>
      <c r="Y85" s="17">
        <f t="shared" si="11"/>
        <v>1</v>
      </c>
      <c r="Z85" s="17">
        <f t="shared" si="11"/>
        <v>1</v>
      </c>
      <c r="AA85" s="17">
        <f t="shared" si="11"/>
        <v>1</v>
      </c>
      <c r="AB85" s="17">
        <f t="shared" si="11"/>
        <v>0</v>
      </c>
      <c r="AC85" s="17">
        <f t="shared" si="11"/>
        <v>0</v>
      </c>
      <c r="AD85" s="17">
        <f t="shared" si="14"/>
        <v>16</v>
      </c>
    </row>
    <row r="86" spans="4:30" x14ac:dyDescent="0.2">
      <c r="D86" s="37">
        <v>45004</v>
      </c>
      <c r="E86" s="17" t="str">
        <f t="shared" si="12"/>
        <v>weekend</v>
      </c>
      <c r="F86" s="17">
        <f t="shared" si="13"/>
        <v>0</v>
      </c>
      <c r="G86" s="17">
        <f t="shared" si="13"/>
        <v>0</v>
      </c>
      <c r="H86" s="17">
        <f t="shared" si="13"/>
        <v>0</v>
      </c>
      <c r="I86" s="17">
        <f t="shared" si="13"/>
        <v>0</v>
      </c>
      <c r="J86" s="17">
        <f t="shared" si="13"/>
        <v>0</v>
      </c>
      <c r="K86" s="17">
        <f t="shared" si="13"/>
        <v>0</v>
      </c>
      <c r="L86" s="17">
        <f t="shared" si="13"/>
        <v>1</v>
      </c>
      <c r="M86" s="17">
        <f t="shared" si="13"/>
        <v>1</v>
      </c>
      <c r="N86" s="17">
        <f t="shared" si="13"/>
        <v>1</v>
      </c>
      <c r="O86" s="17">
        <f t="shared" si="13"/>
        <v>1</v>
      </c>
      <c r="P86" s="17">
        <f t="shared" si="13"/>
        <v>1</v>
      </c>
      <c r="Q86" s="17">
        <f t="shared" si="13"/>
        <v>1</v>
      </c>
      <c r="R86" s="17">
        <f t="shared" si="13"/>
        <v>1</v>
      </c>
      <c r="S86" s="17">
        <f t="shared" si="13"/>
        <v>1</v>
      </c>
      <c r="T86" s="17">
        <f t="shared" si="13"/>
        <v>1</v>
      </c>
      <c r="U86" s="17">
        <f t="shared" si="13"/>
        <v>1</v>
      </c>
      <c r="V86" s="17">
        <f t="shared" si="11"/>
        <v>1</v>
      </c>
      <c r="W86" s="17">
        <f t="shared" si="11"/>
        <v>1</v>
      </c>
      <c r="X86" s="17">
        <f t="shared" si="11"/>
        <v>1</v>
      </c>
      <c r="Y86" s="17">
        <f t="shared" si="11"/>
        <v>1</v>
      </c>
      <c r="Z86" s="17">
        <f t="shared" si="11"/>
        <v>1</v>
      </c>
      <c r="AA86" s="17">
        <f t="shared" si="11"/>
        <v>1</v>
      </c>
      <c r="AB86" s="17">
        <f t="shared" si="11"/>
        <v>0</v>
      </c>
      <c r="AC86" s="17">
        <f t="shared" si="11"/>
        <v>0</v>
      </c>
      <c r="AD86" s="17">
        <f t="shared" si="14"/>
        <v>16</v>
      </c>
    </row>
    <row r="87" spans="4:30" x14ac:dyDescent="0.2">
      <c r="D87" s="37">
        <v>45005</v>
      </c>
      <c r="E87" s="17" t="str">
        <f t="shared" si="12"/>
        <v>weekday</v>
      </c>
      <c r="F87" s="17">
        <f t="shared" si="13"/>
        <v>0</v>
      </c>
      <c r="G87" s="17">
        <f t="shared" si="13"/>
        <v>0</v>
      </c>
      <c r="H87" s="17">
        <f t="shared" si="13"/>
        <v>0</v>
      </c>
      <c r="I87" s="17">
        <f t="shared" si="13"/>
        <v>0</v>
      </c>
      <c r="J87" s="17">
        <f t="shared" si="13"/>
        <v>0</v>
      </c>
      <c r="K87" s="17">
        <f t="shared" si="13"/>
        <v>0</v>
      </c>
      <c r="L87" s="17">
        <f t="shared" si="13"/>
        <v>1</v>
      </c>
      <c r="M87" s="17">
        <f t="shared" si="13"/>
        <v>1</v>
      </c>
      <c r="N87" s="17">
        <f t="shared" si="13"/>
        <v>0</v>
      </c>
      <c r="O87" s="17">
        <f t="shared" si="13"/>
        <v>0</v>
      </c>
      <c r="P87" s="17">
        <f t="shared" si="13"/>
        <v>0</v>
      </c>
      <c r="Q87" s="17">
        <f t="shared" si="13"/>
        <v>0</v>
      </c>
      <c r="R87" s="17">
        <f t="shared" si="13"/>
        <v>0</v>
      </c>
      <c r="S87" s="17">
        <f t="shared" si="13"/>
        <v>0</v>
      </c>
      <c r="T87" s="17">
        <f t="shared" si="13"/>
        <v>0</v>
      </c>
      <c r="U87" s="17">
        <f t="shared" si="13"/>
        <v>1</v>
      </c>
      <c r="V87" s="17">
        <f t="shared" si="11"/>
        <v>1</v>
      </c>
      <c r="W87" s="17">
        <f t="shared" si="11"/>
        <v>1</v>
      </c>
      <c r="X87" s="17">
        <f t="shared" si="11"/>
        <v>1</v>
      </c>
      <c r="Y87" s="17">
        <f t="shared" si="11"/>
        <v>1</v>
      </c>
      <c r="Z87" s="17">
        <f t="shared" si="11"/>
        <v>1</v>
      </c>
      <c r="AA87" s="17">
        <f t="shared" si="11"/>
        <v>1</v>
      </c>
      <c r="AB87" s="17">
        <f t="shared" si="11"/>
        <v>0</v>
      </c>
      <c r="AC87" s="17">
        <f t="shared" si="11"/>
        <v>0</v>
      </c>
      <c r="AD87" s="17">
        <f t="shared" si="14"/>
        <v>9</v>
      </c>
    </row>
    <row r="88" spans="4:30" x14ac:dyDescent="0.2">
      <c r="D88" s="37">
        <v>45006</v>
      </c>
      <c r="E88" s="17" t="str">
        <f t="shared" si="12"/>
        <v>weekday</v>
      </c>
      <c r="F88" s="17">
        <f t="shared" si="13"/>
        <v>0</v>
      </c>
      <c r="G88" s="17">
        <f t="shared" si="13"/>
        <v>0</v>
      </c>
      <c r="H88" s="17">
        <f t="shared" si="13"/>
        <v>0</v>
      </c>
      <c r="I88" s="17">
        <f t="shared" si="13"/>
        <v>0</v>
      </c>
      <c r="J88" s="17">
        <f t="shared" si="13"/>
        <v>0</v>
      </c>
      <c r="K88" s="17">
        <f t="shared" si="13"/>
        <v>0</v>
      </c>
      <c r="L88" s="17">
        <f t="shared" si="13"/>
        <v>1</v>
      </c>
      <c r="M88" s="17">
        <f t="shared" si="13"/>
        <v>1</v>
      </c>
      <c r="N88" s="17">
        <f t="shared" si="13"/>
        <v>0</v>
      </c>
      <c r="O88" s="17">
        <f t="shared" si="13"/>
        <v>0</v>
      </c>
      <c r="P88" s="17">
        <f t="shared" si="13"/>
        <v>0</v>
      </c>
      <c r="Q88" s="17">
        <f t="shared" si="13"/>
        <v>0</v>
      </c>
      <c r="R88" s="17">
        <f t="shared" si="13"/>
        <v>0</v>
      </c>
      <c r="S88" s="17">
        <f t="shared" si="13"/>
        <v>0</v>
      </c>
      <c r="T88" s="17">
        <f t="shared" si="13"/>
        <v>0</v>
      </c>
      <c r="U88" s="17">
        <f t="shared" si="13"/>
        <v>1</v>
      </c>
      <c r="V88" s="17">
        <f t="shared" si="11"/>
        <v>1</v>
      </c>
      <c r="W88" s="17">
        <f t="shared" si="11"/>
        <v>1</v>
      </c>
      <c r="X88" s="17">
        <f t="shared" si="11"/>
        <v>1</v>
      </c>
      <c r="Y88" s="17">
        <f t="shared" si="11"/>
        <v>1</v>
      </c>
      <c r="Z88" s="17">
        <f t="shared" si="11"/>
        <v>1</v>
      </c>
      <c r="AA88" s="17">
        <f t="shared" si="11"/>
        <v>1</v>
      </c>
      <c r="AB88" s="17">
        <f t="shared" si="11"/>
        <v>0</v>
      </c>
      <c r="AC88" s="17">
        <f t="shared" si="11"/>
        <v>0</v>
      </c>
      <c r="AD88" s="17">
        <f t="shared" si="14"/>
        <v>9</v>
      </c>
    </row>
    <row r="89" spans="4:30" x14ac:dyDescent="0.2">
      <c r="D89" s="37">
        <v>45007</v>
      </c>
      <c r="E89" s="17" t="str">
        <f t="shared" si="12"/>
        <v>weekday</v>
      </c>
      <c r="F89" s="17">
        <f t="shared" si="13"/>
        <v>0</v>
      </c>
      <c r="G89" s="17">
        <f t="shared" si="13"/>
        <v>0</v>
      </c>
      <c r="H89" s="17">
        <f t="shared" si="13"/>
        <v>0</v>
      </c>
      <c r="I89" s="17">
        <f t="shared" si="13"/>
        <v>0</v>
      </c>
      <c r="J89" s="17">
        <f t="shared" si="13"/>
        <v>0</v>
      </c>
      <c r="K89" s="17">
        <f t="shared" si="13"/>
        <v>0</v>
      </c>
      <c r="L89" s="17">
        <f t="shared" si="13"/>
        <v>1</v>
      </c>
      <c r="M89" s="17">
        <f t="shared" si="13"/>
        <v>1</v>
      </c>
      <c r="N89" s="17">
        <f t="shared" si="13"/>
        <v>0</v>
      </c>
      <c r="O89" s="17">
        <f t="shared" si="13"/>
        <v>0</v>
      </c>
      <c r="P89" s="17">
        <f t="shared" si="13"/>
        <v>0</v>
      </c>
      <c r="Q89" s="17">
        <f t="shared" si="13"/>
        <v>0</v>
      </c>
      <c r="R89" s="17">
        <f t="shared" si="13"/>
        <v>0</v>
      </c>
      <c r="S89" s="17">
        <f t="shared" si="13"/>
        <v>0</v>
      </c>
      <c r="T89" s="17">
        <f t="shared" si="13"/>
        <v>0</v>
      </c>
      <c r="U89" s="17">
        <f t="shared" ref="U89:AC104" si="15">IF($E89=$E$5,(U$5),(U$6))</f>
        <v>1</v>
      </c>
      <c r="V89" s="17">
        <f t="shared" si="15"/>
        <v>1</v>
      </c>
      <c r="W89" s="17">
        <f t="shared" si="15"/>
        <v>1</v>
      </c>
      <c r="X89" s="17">
        <f t="shared" si="15"/>
        <v>1</v>
      </c>
      <c r="Y89" s="17">
        <f t="shared" si="15"/>
        <v>1</v>
      </c>
      <c r="Z89" s="17">
        <f t="shared" si="15"/>
        <v>1</v>
      </c>
      <c r="AA89" s="17">
        <f t="shared" si="15"/>
        <v>1</v>
      </c>
      <c r="AB89" s="17">
        <f t="shared" si="15"/>
        <v>0</v>
      </c>
      <c r="AC89" s="17">
        <f t="shared" si="15"/>
        <v>0</v>
      </c>
      <c r="AD89" s="17">
        <f t="shared" si="14"/>
        <v>9</v>
      </c>
    </row>
    <row r="90" spans="4:30" x14ac:dyDescent="0.2">
      <c r="D90" s="37">
        <v>45008</v>
      </c>
      <c r="E90" s="17" t="str">
        <f t="shared" si="12"/>
        <v>weekday</v>
      </c>
      <c r="F90" s="17">
        <f t="shared" ref="F90:U105" si="16">IF($E90=$E$5,(F$5),(F$6))</f>
        <v>0</v>
      </c>
      <c r="G90" s="17">
        <f t="shared" si="16"/>
        <v>0</v>
      </c>
      <c r="H90" s="17">
        <f t="shared" si="16"/>
        <v>0</v>
      </c>
      <c r="I90" s="17">
        <f t="shared" si="16"/>
        <v>0</v>
      </c>
      <c r="J90" s="17">
        <f t="shared" si="16"/>
        <v>0</v>
      </c>
      <c r="K90" s="17">
        <f t="shared" si="16"/>
        <v>0</v>
      </c>
      <c r="L90" s="17">
        <f t="shared" si="16"/>
        <v>1</v>
      </c>
      <c r="M90" s="17">
        <f t="shared" si="16"/>
        <v>1</v>
      </c>
      <c r="N90" s="17">
        <f t="shared" si="16"/>
        <v>0</v>
      </c>
      <c r="O90" s="17">
        <f t="shared" si="16"/>
        <v>0</v>
      </c>
      <c r="P90" s="17">
        <f t="shared" si="16"/>
        <v>0</v>
      </c>
      <c r="Q90" s="17">
        <f t="shared" si="16"/>
        <v>0</v>
      </c>
      <c r="R90" s="17">
        <f t="shared" si="16"/>
        <v>0</v>
      </c>
      <c r="S90" s="17">
        <f t="shared" si="16"/>
        <v>0</v>
      </c>
      <c r="T90" s="17">
        <f t="shared" si="16"/>
        <v>0</v>
      </c>
      <c r="U90" s="17">
        <f t="shared" si="16"/>
        <v>1</v>
      </c>
      <c r="V90" s="17">
        <f t="shared" si="15"/>
        <v>1</v>
      </c>
      <c r="W90" s="17">
        <f t="shared" si="15"/>
        <v>1</v>
      </c>
      <c r="X90" s="17">
        <f t="shared" si="15"/>
        <v>1</v>
      </c>
      <c r="Y90" s="17">
        <f t="shared" si="15"/>
        <v>1</v>
      </c>
      <c r="Z90" s="17">
        <f t="shared" si="15"/>
        <v>1</v>
      </c>
      <c r="AA90" s="17">
        <f t="shared" si="15"/>
        <v>1</v>
      </c>
      <c r="AB90" s="17">
        <f t="shared" si="15"/>
        <v>0</v>
      </c>
      <c r="AC90" s="17">
        <f t="shared" si="15"/>
        <v>0</v>
      </c>
      <c r="AD90" s="17">
        <f t="shared" si="14"/>
        <v>9</v>
      </c>
    </row>
    <row r="91" spans="4:30" x14ac:dyDescent="0.2">
      <c r="D91" s="37">
        <v>45009</v>
      </c>
      <c r="E91" s="17" t="str">
        <f t="shared" si="12"/>
        <v>weekday</v>
      </c>
      <c r="F91" s="17">
        <f t="shared" si="16"/>
        <v>0</v>
      </c>
      <c r="G91" s="17">
        <f t="shared" si="16"/>
        <v>0</v>
      </c>
      <c r="H91" s="17">
        <f t="shared" si="16"/>
        <v>0</v>
      </c>
      <c r="I91" s="17">
        <f t="shared" si="16"/>
        <v>0</v>
      </c>
      <c r="J91" s="17">
        <f t="shared" si="16"/>
        <v>0</v>
      </c>
      <c r="K91" s="17">
        <f t="shared" si="16"/>
        <v>0</v>
      </c>
      <c r="L91" s="17">
        <f t="shared" si="16"/>
        <v>1</v>
      </c>
      <c r="M91" s="17">
        <f t="shared" si="16"/>
        <v>1</v>
      </c>
      <c r="N91" s="17">
        <f t="shared" si="16"/>
        <v>0</v>
      </c>
      <c r="O91" s="17">
        <f t="shared" si="16"/>
        <v>0</v>
      </c>
      <c r="P91" s="17">
        <f t="shared" si="16"/>
        <v>0</v>
      </c>
      <c r="Q91" s="17">
        <f t="shared" si="16"/>
        <v>0</v>
      </c>
      <c r="R91" s="17">
        <f t="shared" si="16"/>
        <v>0</v>
      </c>
      <c r="S91" s="17">
        <f t="shared" si="16"/>
        <v>0</v>
      </c>
      <c r="T91" s="17">
        <f t="shared" si="16"/>
        <v>0</v>
      </c>
      <c r="U91" s="17">
        <f t="shared" si="16"/>
        <v>1</v>
      </c>
      <c r="V91" s="17">
        <f t="shared" si="15"/>
        <v>1</v>
      </c>
      <c r="W91" s="17">
        <f t="shared" si="15"/>
        <v>1</v>
      </c>
      <c r="X91" s="17">
        <f t="shared" si="15"/>
        <v>1</v>
      </c>
      <c r="Y91" s="17">
        <f t="shared" si="15"/>
        <v>1</v>
      </c>
      <c r="Z91" s="17">
        <f t="shared" si="15"/>
        <v>1</v>
      </c>
      <c r="AA91" s="17">
        <f t="shared" si="15"/>
        <v>1</v>
      </c>
      <c r="AB91" s="17">
        <f t="shared" si="15"/>
        <v>0</v>
      </c>
      <c r="AC91" s="17">
        <f t="shared" si="15"/>
        <v>0</v>
      </c>
      <c r="AD91" s="17">
        <f t="shared" si="14"/>
        <v>9</v>
      </c>
    </row>
    <row r="92" spans="4:30" x14ac:dyDescent="0.2">
      <c r="D92" s="37">
        <v>45010</v>
      </c>
      <c r="E92" s="17" t="str">
        <f t="shared" si="12"/>
        <v>weekend</v>
      </c>
      <c r="F92" s="17">
        <f t="shared" si="16"/>
        <v>0</v>
      </c>
      <c r="G92" s="17">
        <f t="shared" si="16"/>
        <v>0</v>
      </c>
      <c r="H92" s="17">
        <f t="shared" si="16"/>
        <v>0</v>
      </c>
      <c r="I92" s="17">
        <f t="shared" si="16"/>
        <v>0</v>
      </c>
      <c r="J92" s="17">
        <f t="shared" si="16"/>
        <v>0</v>
      </c>
      <c r="K92" s="17">
        <f t="shared" si="16"/>
        <v>0</v>
      </c>
      <c r="L92" s="17">
        <f t="shared" si="16"/>
        <v>1</v>
      </c>
      <c r="M92" s="17">
        <f t="shared" si="16"/>
        <v>1</v>
      </c>
      <c r="N92" s="17">
        <f t="shared" si="16"/>
        <v>1</v>
      </c>
      <c r="O92" s="17">
        <f t="shared" si="16"/>
        <v>1</v>
      </c>
      <c r="P92" s="17">
        <f t="shared" si="16"/>
        <v>1</v>
      </c>
      <c r="Q92" s="17">
        <f t="shared" si="16"/>
        <v>1</v>
      </c>
      <c r="R92" s="17">
        <f t="shared" si="16"/>
        <v>1</v>
      </c>
      <c r="S92" s="17">
        <f t="shared" si="16"/>
        <v>1</v>
      </c>
      <c r="T92" s="17">
        <f t="shared" si="16"/>
        <v>1</v>
      </c>
      <c r="U92" s="17">
        <f t="shared" si="16"/>
        <v>1</v>
      </c>
      <c r="V92" s="17">
        <f t="shared" si="15"/>
        <v>1</v>
      </c>
      <c r="W92" s="17">
        <f t="shared" si="15"/>
        <v>1</v>
      </c>
      <c r="X92" s="17">
        <f t="shared" si="15"/>
        <v>1</v>
      </c>
      <c r="Y92" s="17">
        <f t="shared" si="15"/>
        <v>1</v>
      </c>
      <c r="Z92" s="17">
        <f t="shared" si="15"/>
        <v>1</v>
      </c>
      <c r="AA92" s="17">
        <f t="shared" si="15"/>
        <v>1</v>
      </c>
      <c r="AB92" s="17">
        <f t="shared" si="15"/>
        <v>0</v>
      </c>
      <c r="AC92" s="17">
        <f t="shared" si="15"/>
        <v>0</v>
      </c>
      <c r="AD92" s="17">
        <f t="shared" si="14"/>
        <v>16</v>
      </c>
    </row>
    <row r="93" spans="4:30" x14ac:dyDescent="0.2">
      <c r="D93" s="37">
        <v>45011</v>
      </c>
      <c r="E93" s="17" t="str">
        <f t="shared" si="12"/>
        <v>weekend</v>
      </c>
      <c r="F93" s="17">
        <f t="shared" si="16"/>
        <v>0</v>
      </c>
      <c r="G93" s="17">
        <f t="shared" si="16"/>
        <v>0</v>
      </c>
      <c r="H93" s="17">
        <f t="shared" si="16"/>
        <v>0</v>
      </c>
      <c r="I93" s="17">
        <f t="shared" si="16"/>
        <v>0</v>
      </c>
      <c r="J93" s="17">
        <f t="shared" si="16"/>
        <v>0</v>
      </c>
      <c r="K93" s="17">
        <f t="shared" si="16"/>
        <v>0</v>
      </c>
      <c r="L93" s="17">
        <f t="shared" si="16"/>
        <v>1</v>
      </c>
      <c r="M93" s="17">
        <f t="shared" si="16"/>
        <v>1</v>
      </c>
      <c r="N93" s="17">
        <f t="shared" si="16"/>
        <v>1</v>
      </c>
      <c r="O93" s="17">
        <f t="shared" si="16"/>
        <v>1</v>
      </c>
      <c r="P93" s="17">
        <f t="shared" si="16"/>
        <v>1</v>
      </c>
      <c r="Q93" s="17">
        <f t="shared" si="16"/>
        <v>1</v>
      </c>
      <c r="R93" s="17">
        <f t="shared" si="16"/>
        <v>1</v>
      </c>
      <c r="S93" s="17">
        <f t="shared" si="16"/>
        <v>1</v>
      </c>
      <c r="T93" s="17">
        <f t="shared" si="16"/>
        <v>1</v>
      </c>
      <c r="U93" s="17">
        <f t="shared" si="16"/>
        <v>1</v>
      </c>
      <c r="V93" s="17">
        <f t="shared" si="15"/>
        <v>1</v>
      </c>
      <c r="W93" s="17">
        <f t="shared" si="15"/>
        <v>1</v>
      </c>
      <c r="X93" s="17">
        <f t="shared" si="15"/>
        <v>1</v>
      </c>
      <c r="Y93" s="17">
        <f t="shared" si="15"/>
        <v>1</v>
      </c>
      <c r="Z93" s="17">
        <f t="shared" si="15"/>
        <v>1</v>
      </c>
      <c r="AA93" s="17">
        <f t="shared" si="15"/>
        <v>1</v>
      </c>
      <c r="AB93" s="17">
        <f t="shared" si="15"/>
        <v>0</v>
      </c>
      <c r="AC93" s="17">
        <f t="shared" si="15"/>
        <v>0</v>
      </c>
      <c r="AD93" s="17">
        <f t="shared" si="14"/>
        <v>16</v>
      </c>
    </row>
    <row r="94" spans="4:30" x14ac:dyDescent="0.2">
      <c r="D94" s="37">
        <v>45012</v>
      </c>
      <c r="E94" s="17" t="str">
        <f t="shared" si="12"/>
        <v>weekday</v>
      </c>
      <c r="F94" s="17">
        <f t="shared" si="16"/>
        <v>0</v>
      </c>
      <c r="G94" s="17">
        <f t="shared" si="16"/>
        <v>0</v>
      </c>
      <c r="H94" s="17">
        <f t="shared" si="16"/>
        <v>0</v>
      </c>
      <c r="I94" s="17">
        <f t="shared" si="16"/>
        <v>0</v>
      </c>
      <c r="J94" s="17">
        <f t="shared" si="16"/>
        <v>0</v>
      </c>
      <c r="K94" s="17">
        <f t="shared" si="16"/>
        <v>0</v>
      </c>
      <c r="L94" s="17">
        <f t="shared" si="16"/>
        <v>1</v>
      </c>
      <c r="M94" s="17">
        <f t="shared" si="16"/>
        <v>1</v>
      </c>
      <c r="N94" s="17">
        <f t="shared" si="16"/>
        <v>0</v>
      </c>
      <c r="O94" s="17">
        <f t="shared" si="16"/>
        <v>0</v>
      </c>
      <c r="P94" s="17">
        <f t="shared" si="16"/>
        <v>0</v>
      </c>
      <c r="Q94" s="17">
        <f t="shared" si="16"/>
        <v>0</v>
      </c>
      <c r="R94" s="17">
        <f t="shared" si="16"/>
        <v>0</v>
      </c>
      <c r="S94" s="17">
        <f t="shared" si="16"/>
        <v>0</v>
      </c>
      <c r="T94" s="17">
        <f t="shared" si="16"/>
        <v>0</v>
      </c>
      <c r="U94" s="17">
        <f t="shared" si="16"/>
        <v>1</v>
      </c>
      <c r="V94" s="17">
        <f t="shared" si="15"/>
        <v>1</v>
      </c>
      <c r="W94" s="17">
        <f t="shared" si="15"/>
        <v>1</v>
      </c>
      <c r="X94" s="17">
        <f t="shared" si="15"/>
        <v>1</v>
      </c>
      <c r="Y94" s="17">
        <f t="shared" si="15"/>
        <v>1</v>
      </c>
      <c r="Z94" s="17">
        <f t="shared" si="15"/>
        <v>1</v>
      </c>
      <c r="AA94" s="17">
        <f t="shared" si="15"/>
        <v>1</v>
      </c>
      <c r="AB94" s="17">
        <f t="shared" si="15"/>
        <v>0</v>
      </c>
      <c r="AC94" s="17">
        <f t="shared" si="15"/>
        <v>0</v>
      </c>
      <c r="AD94" s="17">
        <f t="shared" si="14"/>
        <v>9</v>
      </c>
    </row>
    <row r="95" spans="4:30" x14ac:dyDescent="0.2">
      <c r="D95" s="37">
        <v>45013</v>
      </c>
      <c r="E95" s="17" t="str">
        <f t="shared" si="12"/>
        <v>weekday</v>
      </c>
      <c r="F95" s="17">
        <f t="shared" si="16"/>
        <v>0</v>
      </c>
      <c r="G95" s="17">
        <f t="shared" si="16"/>
        <v>0</v>
      </c>
      <c r="H95" s="17">
        <f t="shared" si="16"/>
        <v>0</v>
      </c>
      <c r="I95" s="17">
        <f t="shared" si="16"/>
        <v>0</v>
      </c>
      <c r="J95" s="17">
        <f t="shared" si="16"/>
        <v>0</v>
      </c>
      <c r="K95" s="17">
        <f t="shared" si="16"/>
        <v>0</v>
      </c>
      <c r="L95" s="17">
        <f t="shared" si="16"/>
        <v>1</v>
      </c>
      <c r="M95" s="17">
        <f t="shared" si="16"/>
        <v>1</v>
      </c>
      <c r="N95" s="17">
        <f t="shared" si="16"/>
        <v>0</v>
      </c>
      <c r="O95" s="17">
        <f t="shared" si="16"/>
        <v>0</v>
      </c>
      <c r="P95" s="17">
        <f t="shared" si="16"/>
        <v>0</v>
      </c>
      <c r="Q95" s="17">
        <f t="shared" si="16"/>
        <v>0</v>
      </c>
      <c r="R95" s="17">
        <f t="shared" si="16"/>
        <v>0</v>
      </c>
      <c r="S95" s="17">
        <f t="shared" si="16"/>
        <v>0</v>
      </c>
      <c r="T95" s="17">
        <f t="shared" si="16"/>
        <v>0</v>
      </c>
      <c r="U95" s="17">
        <f t="shared" si="16"/>
        <v>1</v>
      </c>
      <c r="V95" s="17">
        <f t="shared" si="15"/>
        <v>1</v>
      </c>
      <c r="W95" s="17">
        <f t="shared" si="15"/>
        <v>1</v>
      </c>
      <c r="X95" s="17">
        <f t="shared" si="15"/>
        <v>1</v>
      </c>
      <c r="Y95" s="17">
        <f t="shared" si="15"/>
        <v>1</v>
      </c>
      <c r="Z95" s="17">
        <f t="shared" si="15"/>
        <v>1</v>
      </c>
      <c r="AA95" s="17">
        <f t="shared" si="15"/>
        <v>1</v>
      </c>
      <c r="AB95" s="17">
        <f t="shared" si="15"/>
        <v>0</v>
      </c>
      <c r="AC95" s="17">
        <f t="shared" si="15"/>
        <v>0</v>
      </c>
      <c r="AD95" s="17">
        <f t="shared" si="14"/>
        <v>9</v>
      </c>
    </row>
    <row r="96" spans="4:30" x14ac:dyDescent="0.2">
      <c r="D96" s="37">
        <v>45014</v>
      </c>
      <c r="E96" s="17" t="str">
        <f t="shared" si="12"/>
        <v>weekday</v>
      </c>
      <c r="F96" s="17">
        <f t="shared" si="16"/>
        <v>0</v>
      </c>
      <c r="G96" s="17">
        <f t="shared" si="16"/>
        <v>0</v>
      </c>
      <c r="H96" s="17">
        <f t="shared" si="16"/>
        <v>0</v>
      </c>
      <c r="I96" s="17">
        <f t="shared" si="16"/>
        <v>0</v>
      </c>
      <c r="J96" s="17">
        <f t="shared" si="16"/>
        <v>0</v>
      </c>
      <c r="K96" s="17">
        <f t="shared" si="16"/>
        <v>0</v>
      </c>
      <c r="L96" s="17">
        <f t="shared" si="16"/>
        <v>1</v>
      </c>
      <c r="M96" s="17">
        <f t="shared" si="16"/>
        <v>1</v>
      </c>
      <c r="N96" s="17">
        <f t="shared" si="16"/>
        <v>0</v>
      </c>
      <c r="O96" s="17">
        <f t="shared" si="16"/>
        <v>0</v>
      </c>
      <c r="P96" s="17">
        <f t="shared" si="16"/>
        <v>0</v>
      </c>
      <c r="Q96" s="17">
        <f t="shared" si="16"/>
        <v>0</v>
      </c>
      <c r="R96" s="17">
        <f t="shared" si="16"/>
        <v>0</v>
      </c>
      <c r="S96" s="17">
        <f t="shared" si="16"/>
        <v>0</v>
      </c>
      <c r="T96" s="17">
        <f t="shared" si="16"/>
        <v>0</v>
      </c>
      <c r="U96" s="17">
        <f t="shared" si="16"/>
        <v>1</v>
      </c>
      <c r="V96" s="17">
        <f t="shared" si="15"/>
        <v>1</v>
      </c>
      <c r="W96" s="17">
        <f t="shared" si="15"/>
        <v>1</v>
      </c>
      <c r="X96" s="17">
        <f t="shared" si="15"/>
        <v>1</v>
      </c>
      <c r="Y96" s="17">
        <f t="shared" si="15"/>
        <v>1</v>
      </c>
      <c r="Z96" s="17">
        <f t="shared" si="15"/>
        <v>1</v>
      </c>
      <c r="AA96" s="17">
        <f t="shared" si="15"/>
        <v>1</v>
      </c>
      <c r="AB96" s="17">
        <f t="shared" si="15"/>
        <v>0</v>
      </c>
      <c r="AC96" s="17">
        <f t="shared" si="15"/>
        <v>0</v>
      </c>
      <c r="AD96" s="17">
        <f t="shared" si="14"/>
        <v>9</v>
      </c>
    </row>
    <row r="97" spans="4:30" x14ac:dyDescent="0.2">
      <c r="D97" s="37">
        <v>45015</v>
      </c>
      <c r="E97" s="17" t="str">
        <f t="shared" si="12"/>
        <v>weekday</v>
      </c>
      <c r="F97" s="17">
        <f t="shared" si="16"/>
        <v>0</v>
      </c>
      <c r="G97" s="17">
        <f t="shared" si="16"/>
        <v>0</v>
      </c>
      <c r="H97" s="17">
        <f t="shared" si="16"/>
        <v>0</v>
      </c>
      <c r="I97" s="17">
        <f t="shared" si="16"/>
        <v>0</v>
      </c>
      <c r="J97" s="17">
        <f t="shared" si="16"/>
        <v>0</v>
      </c>
      <c r="K97" s="17">
        <f t="shared" si="16"/>
        <v>0</v>
      </c>
      <c r="L97" s="17">
        <f t="shared" si="16"/>
        <v>1</v>
      </c>
      <c r="M97" s="17">
        <f t="shared" si="16"/>
        <v>1</v>
      </c>
      <c r="N97" s="17">
        <f t="shared" si="16"/>
        <v>0</v>
      </c>
      <c r="O97" s="17">
        <f t="shared" si="16"/>
        <v>0</v>
      </c>
      <c r="P97" s="17">
        <f t="shared" si="16"/>
        <v>0</v>
      </c>
      <c r="Q97" s="17">
        <f t="shared" si="16"/>
        <v>0</v>
      </c>
      <c r="R97" s="17">
        <f t="shared" si="16"/>
        <v>0</v>
      </c>
      <c r="S97" s="17">
        <f t="shared" si="16"/>
        <v>0</v>
      </c>
      <c r="T97" s="17">
        <f t="shared" si="16"/>
        <v>0</v>
      </c>
      <c r="U97" s="17">
        <f t="shared" si="16"/>
        <v>1</v>
      </c>
      <c r="V97" s="17">
        <f t="shared" si="15"/>
        <v>1</v>
      </c>
      <c r="W97" s="17">
        <f t="shared" si="15"/>
        <v>1</v>
      </c>
      <c r="X97" s="17">
        <f t="shared" si="15"/>
        <v>1</v>
      </c>
      <c r="Y97" s="17">
        <f t="shared" si="15"/>
        <v>1</v>
      </c>
      <c r="Z97" s="17">
        <f t="shared" si="15"/>
        <v>1</v>
      </c>
      <c r="AA97" s="17">
        <f t="shared" si="15"/>
        <v>1</v>
      </c>
      <c r="AB97" s="17">
        <f t="shared" si="15"/>
        <v>0</v>
      </c>
      <c r="AC97" s="17">
        <f t="shared" si="15"/>
        <v>0</v>
      </c>
      <c r="AD97" s="17">
        <f t="shared" si="14"/>
        <v>9</v>
      </c>
    </row>
    <row r="98" spans="4:30" x14ac:dyDescent="0.2">
      <c r="D98" s="37">
        <v>45016</v>
      </c>
      <c r="E98" s="17" t="str">
        <f t="shared" si="12"/>
        <v>weekday</v>
      </c>
      <c r="F98" s="17">
        <f t="shared" si="16"/>
        <v>0</v>
      </c>
      <c r="G98" s="17">
        <f t="shared" si="16"/>
        <v>0</v>
      </c>
      <c r="H98" s="17">
        <f t="shared" si="16"/>
        <v>0</v>
      </c>
      <c r="I98" s="17">
        <f t="shared" si="16"/>
        <v>0</v>
      </c>
      <c r="J98" s="17">
        <f t="shared" si="16"/>
        <v>0</v>
      </c>
      <c r="K98" s="17">
        <f t="shared" si="16"/>
        <v>0</v>
      </c>
      <c r="L98" s="17">
        <f t="shared" si="16"/>
        <v>1</v>
      </c>
      <c r="M98" s="17">
        <f t="shared" si="16"/>
        <v>1</v>
      </c>
      <c r="N98" s="17">
        <f t="shared" si="16"/>
        <v>0</v>
      </c>
      <c r="O98" s="17">
        <f t="shared" si="16"/>
        <v>0</v>
      </c>
      <c r="P98" s="17">
        <f t="shared" si="16"/>
        <v>0</v>
      </c>
      <c r="Q98" s="17">
        <f t="shared" si="16"/>
        <v>0</v>
      </c>
      <c r="R98" s="17">
        <f t="shared" si="16"/>
        <v>0</v>
      </c>
      <c r="S98" s="17">
        <f t="shared" si="16"/>
        <v>0</v>
      </c>
      <c r="T98" s="17">
        <f t="shared" si="16"/>
        <v>0</v>
      </c>
      <c r="U98" s="17">
        <f t="shared" si="16"/>
        <v>1</v>
      </c>
      <c r="V98" s="17">
        <f t="shared" si="15"/>
        <v>1</v>
      </c>
      <c r="W98" s="17">
        <f t="shared" si="15"/>
        <v>1</v>
      </c>
      <c r="X98" s="17">
        <f t="shared" si="15"/>
        <v>1</v>
      </c>
      <c r="Y98" s="17">
        <f t="shared" si="15"/>
        <v>1</v>
      </c>
      <c r="Z98" s="17">
        <f t="shared" si="15"/>
        <v>1</v>
      </c>
      <c r="AA98" s="17">
        <f t="shared" si="15"/>
        <v>1</v>
      </c>
      <c r="AB98" s="17">
        <f t="shared" si="15"/>
        <v>0</v>
      </c>
      <c r="AC98" s="17">
        <f t="shared" si="15"/>
        <v>0</v>
      </c>
      <c r="AD98" s="17">
        <f t="shared" si="14"/>
        <v>9</v>
      </c>
    </row>
    <row r="99" spans="4:30" x14ac:dyDescent="0.2">
      <c r="D99" s="37">
        <v>45017</v>
      </c>
      <c r="E99" s="17" t="str">
        <f t="shared" si="12"/>
        <v>weekend</v>
      </c>
      <c r="F99" s="17">
        <f t="shared" si="16"/>
        <v>0</v>
      </c>
      <c r="G99" s="17">
        <f t="shared" si="16"/>
        <v>0</v>
      </c>
      <c r="H99" s="17">
        <f t="shared" si="16"/>
        <v>0</v>
      </c>
      <c r="I99" s="17">
        <f t="shared" si="16"/>
        <v>0</v>
      </c>
      <c r="J99" s="17">
        <f t="shared" si="16"/>
        <v>0</v>
      </c>
      <c r="K99" s="17">
        <f t="shared" si="16"/>
        <v>0</v>
      </c>
      <c r="L99" s="17">
        <f t="shared" si="16"/>
        <v>1</v>
      </c>
      <c r="M99" s="17">
        <f t="shared" si="16"/>
        <v>1</v>
      </c>
      <c r="N99" s="17">
        <f t="shared" si="16"/>
        <v>1</v>
      </c>
      <c r="O99" s="17">
        <f t="shared" si="16"/>
        <v>1</v>
      </c>
      <c r="P99" s="17">
        <f t="shared" si="16"/>
        <v>1</v>
      </c>
      <c r="Q99" s="17">
        <f t="shared" si="16"/>
        <v>1</v>
      </c>
      <c r="R99" s="17">
        <f t="shared" si="16"/>
        <v>1</v>
      </c>
      <c r="S99" s="17">
        <f t="shared" si="16"/>
        <v>1</v>
      </c>
      <c r="T99" s="17">
        <f t="shared" si="16"/>
        <v>1</v>
      </c>
      <c r="U99" s="17">
        <f t="shared" si="16"/>
        <v>1</v>
      </c>
      <c r="V99" s="17">
        <f t="shared" si="15"/>
        <v>1</v>
      </c>
      <c r="W99" s="17">
        <f t="shared" si="15"/>
        <v>1</v>
      </c>
      <c r="X99" s="17">
        <f t="shared" si="15"/>
        <v>1</v>
      </c>
      <c r="Y99" s="17">
        <f t="shared" si="15"/>
        <v>1</v>
      </c>
      <c r="Z99" s="17">
        <f t="shared" si="15"/>
        <v>1</v>
      </c>
      <c r="AA99" s="17">
        <f t="shared" si="15"/>
        <v>1</v>
      </c>
      <c r="AB99" s="17">
        <f t="shared" si="15"/>
        <v>0</v>
      </c>
      <c r="AC99" s="17">
        <f t="shared" si="15"/>
        <v>0</v>
      </c>
      <c r="AD99" s="17">
        <f t="shared" si="14"/>
        <v>16</v>
      </c>
    </row>
    <row r="100" spans="4:30" x14ac:dyDescent="0.2">
      <c r="D100" s="37">
        <v>45018</v>
      </c>
      <c r="E100" s="17" t="str">
        <f t="shared" si="12"/>
        <v>weekend</v>
      </c>
      <c r="F100" s="17">
        <f t="shared" si="16"/>
        <v>0</v>
      </c>
      <c r="G100" s="17">
        <f t="shared" si="16"/>
        <v>0</v>
      </c>
      <c r="H100" s="17">
        <f t="shared" si="16"/>
        <v>0</v>
      </c>
      <c r="I100" s="17">
        <f t="shared" si="16"/>
        <v>0</v>
      </c>
      <c r="J100" s="17">
        <f t="shared" si="16"/>
        <v>0</v>
      </c>
      <c r="K100" s="17">
        <f t="shared" si="16"/>
        <v>0</v>
      </c>
      <c r="L100" s="17">
        <f t="shared" si="16"/>
        <v>1</v>
      </c>
      <c r="M100" s="17">
        <f t="shared" si="16"/>
        <v>1</v>
      </c>
      <c r="N100" s="17">
        <f t="shared" si="16"/>
        <v>1</v>
      </c>
      <c r="O100" s="17">
        <f t="shared" si="16"/>
        <v>1</v>
      </c>
      <c r="P100" s="17">
        <f t="shared" si="16"/>
        <v>1</v>
      </c>
      <c r="Q100" s="17">
        <f t="shared" si="16"/>
        <v>1</v>
      </c>
      <c r="R100" s="17">
        <f t="shared" si="16"/>
        <v>1</v>
      </c>
      <c r="S100" s="17">
        <f t="shared" si="16"/>
        <v>1</v>
      </c>
      <c r="T100" s="17">
        <f t="shared" si="16"/>
        <v>1</v>
      </c>
      <c r="U100" s="17">
        <f t="shared" si="16"/>
        <v>1</v>
      </c>
      <c r="V100" s="17">
        <f t="shared" si="15"/>
        <v>1</v>
      </c>
      <c r="W100" s="17">
        <f t="shared" si="15"/>
        <v>1</v>
      </c>
      <c r="X100" s="17">
        <f t="shared" si="15"/>
        <v>1</v>
      </c>
      <c r="Y100" s="17">
        <f t="shared" si="15"/>
        <v>1</v>
      </c>
      <c r="Z100" s="17">
        <f t="shared" si="15"/>
        <v>1</v>
      </c>
      <c r="AA100" s="17">
        <f t="shared" si="15"/>
        <v>1</v>
      </c>
      <c r="AB100" s="17">
        <f t="shared" si="15"/>
        <v>0</v>
      </c>
      <c r="AC100" s="17">
        <f t="shared" si="15"/>
        <v>0</v>
      </c>
      <c r="AD100" s="17">
        <f t="shared" si="14"/>
        <v>16</v>
      </c>
    </row>
    <row r="101" spans="4:30" x14ac:dyDescent="0.2">
      <c r="D101" s="37">
        <v>45019</v>
      </c>
      <c r="E101" s="17" t="str">
        <f t="shared" si="12"/>
        <v>weekday</v>
      </c>
      <c r="F101" s="17">
        <f t="shared" si="16"/>
        <v>0</v>
      </c>
      <c r="G101" s="17">
        <f t="shared" si="16"/>
        <v>0</v>
      </c>
      <c r="H101" s="17">
        <f t="shared" si="16"/>
        <v>0</v>
      </c>
      <c r="I101" s="17">
        <f t="shared" si="16"/>
        <v>0</v>
      </c>
      <c r="J101" s="17">
        <f t="shared" si="16"/>
        <v>0</v>
      </c>
      <c r="K101" s="17">
        <f t="shared" si="16"/>
        <v>0</v>
      </c>
      <c r="L101" s="17">
        <f t="shared" si="16"/>
        <v>1</v>
      </c>
      <c r="M101" s="17">
        <f t="shared" si="16"/>
        <v>1</v>
      </c>
      <c r="N101" s="17">
        <f t="shared" si="16"/>
        <v>0</v>
      </c>
      <c r="O101" s="17">
        <f t="shared" si="16"/>
        <v>0</v>
      </c>
      <c r="P101" s="17">
        <f t="shared" si="16"/>
        <v>0</v>
      </c>
      <c r="Q101" s="17">
        <f t="shared" si="16"/>
        <v>0</v>
      </c>
      <c r="R101" s="17">
        <f t="shared" si="16"/>
        <v>0</v>
      </c>
      <c r="S101" s="17">
        <f t="shared" si="16"/>
        <v>0</v>
      </c>
      <c r="T101" s="17">
        <f t="shared" si="16"/>
        <v>0</v>
      </c>
      <c r="U101" s="17">
        <f t="shared" si="16"/>
        <v>1</v>
      </c>
      <c r="V101" s="17">
        <f t="shared" si="15"/>
        <v>1</v>
      </c>
      <c r="W101" s="17">
        <f t="shared" si="15"/>
        <v>1</v>
      </c>
      <c r="X101" s="17">
        <f t="shared" si="15"/>
        <v>1</v>
      </c>
      <c r="Y101" s="17">
        <f t="shared" si="15"/>
        <v>1</v>
      </c>
      <c r="Z101" s="17">
        <f t="shared" si="15"/>
        <v>1</v>
      </c>
      <c r="AA101" s="17">
        <f t="shared" si="15"/>
        <v>1</v>
      </c>
      <c r="AB101" s="17">
        <f t="shared" si="15"/>
        <v>0</v>
      </c>
      <c r="AC101" s="17">
        <f t="shared" si="15"/>
        <v>0</v>
      </c>
      <c r="AD101" s="17">
        <f t="shared" si="14"/>
        <v>9</v>
      </c>
    </row>
    <row r="102" spans="4:30" x14ac:dyDescent="0.2">
      <c r="D102" s="37">
        <v>45020</v>
      </c>
      <c r="E102" s="17" t="str">
        <f t="shared" si="12"/>
        <v>weekday</v>
      </c>
      <c r="F102" s="17">
        <f t="shared" si="16"/>
        <v>0</v>
      </c>
      <c r="G102" s="17">
        <f t="shared" si="16"/>
        <v>0</v>
      </c>
      <c r="H102" s="17">
        <f t="shared" si="16"/>
        <v>0</v>
      </c>
      <c r="I102" s="17">
        <f t="shared" si="16"/>
        <v>0</v>
      </c>
      <c r="J102" s="17">
        <f t="shared" si="16"/>
        <v>0</v>
      </c>
      <c r="K102" s="17">
        <f t="shared" si="16"/>
        <v>0</v>
      </c>
      <c r="L102" s="17">
        <f t="shared" si="16"/>
        <v>1</v>
      </c>
      <c r="M102" s="17">
        <f t="shared" si="16"/>
        <v>1</v>
      </c>
      <c r="N102" s="17">
        <f t="shared" si="16"/>
        <v>0</v>
      </c>
      <c r="O102" s="17">
        <f t="shared" si="16"/>
        <v>0</v>
      </c>
      <c r="P102" s="17">
        <f t="shared" si="16"/>
        <v>0</v>
      </c>
      <c r="Q102" s="17">
        <f t="shared" si="16"/>
        <v>0</v>
      </c>
      <c r="R102" s="17">
        <f t="shared" si="16"/>
        <v>0</v>
      </c>
      <c r="S102" s="17">
        <f t="shared" si="16"/>
        <v>0</v>
      </c>
      <c r="T102" s="17">
        <f t="shared" si="16"/>
        <v>0</v>
      </c>
      <c r="U102" s="17">
        <f t="shared" si="16"/>
        <v>1</v>
      </c>
      <c r="V102" s="17">
        <f t="shared" si="15"/>
        <v>1</v>
      </c>
      <c r="W102" s="17">
        <f t="shared" si="15"/>
        <v>1</v>
      </c>
      <c r="X102" s="17">
        <f t="shared" si="15"/>
        <v>1</v>
      </c>
      <c r="Y102" s="17">
        <f t="shared" si="15"/>
        <v>1</v>
      </c>
      <c r="Z102" s="17">
        <f t="shared" si="15"/>
        <v>1</v>
      </c>
      <c r="AA102" s="17">
        <f t="shared" si="15"/>
        <v>1</v>
      </c>
      <c r="AB102" s="17">
        <f t="shared" si="15"/>
        <v>0</v>
      </c>
      <c r="AC102" s="17">
        <f t="shared" si="15"/>
        <v>0</v>
      </c>
      <c r="AD102" s="17">
        <f t="shared" si="14"/>
        <v>9</v>
      </c>
    </row>
    <row r="103" spans="4:30" x14ac:dyDescent="0.2">
      <c r="D103" s="37">
        <v>45021</v>
      </c>
      <c r="E103" s="17" t="str">
        <f t="shared" si="12"/>
        <v>weekday</v>
      </c>
      <c r="F103" s="17">
        <f t="shared" si="16"/>
        <v>0</v>
      </c>
      <c r="G103" s="17">
        <f t="shared" si="16"/>
        <v>0</v>
      </c>
      <c r="H103" s="17">
        <f t="shared" si="16"/>
        <v>0</v>
      </c>
      <c r="I103" s="17">
        <f t="shared" si="16"/>
        <v>0</v>
      </c>
      <c r="J103" s="17">
        <f t="shared" si="16"/>
        <v>0</v>
      </c>
      <c r="K103" s="17">
        <f t="shared" si="16"/>
        <v>0</v>
      </c>
      <c r="L103" s="17">
        <f t="shared" si="16"/>
        <v>1</v>
      </c>
      <c r="M103" s="17">
        <f t="shared" si="16"/>
        <v>1</v>
      </c>
      <c r="N103" s="17">
        <f t="shared" si="16"/>
        <v>0</v>
      </c>
      <c r="O103" s="17">
        <f t="shared" si="16"/>
        <v>0</v>
      </c>
      <c r="P103" s="17">
        <f t="shared" si="16"/>
        <v>0</v>
      </c>
      <c r="Q103" s="17">
        <f t="shared" si="16"/>
        <v>0</v>
      </c>
      <c r="R103" s="17">
        <f t="shared" si="16"/>
        <v>0</v>
      </c>
      <c r="S103" s="17">
        <f t="shared" si="16"/>
        <v>0</v>
      </c>
      <c r="T103" s="17">
        <f t="shared" si="16"/>
        <v>0</v>
      </c>
      <c r="U103" s="17">
        <f t="shared" si="16"/>
        <v>1</v>
      </c>
      <c r="V103" s="17">
        <f t="shared" si="15"/>
        <v>1</v>
      </c>
      <c r="W103" s="17">
        <f t="shared" si="15"/>
        <v>1</v>
      </c>
      <c r="X103" s="17">
        <f t="shared" si="15"/>
        <v>1</v>
      </c>
      <c r="Y103" s="17">
        <f t="shared" si="15"/>
        <v>1</v>
      </c>
      <c r="Z103" s="17">
        <f t="shared" si="15"/>
        <v>1</v>
      </c>
      <c r="AA103" s="17">
        <f t="shared" si="15"/>
        <v>1</v>
      </c>
      <c r="AB103" s="17">
        <f t="shared" si="15"/>
        <v>0</v>
      </c>
      <c r="AC103" s="17">
        <f t="shared" si="15"/>
        <v>0</v>
      </c>
      <c r="AD103" s="17">
        <f t="shared" si="14"/>
        <v>9</v>
      </c>
    </row>
    <row r="104" spans="4:30" x14ac:dyDescent="0.2">
      <c r="D104" s="37">
        <v>45022</v>
      </c>
      <c r="E104" s="17" t="str">
        <f t="shared" si="12"/>
        <v>weekday</v>
      </c>
      <c r="F104" s="17">
        <f t="shared" si="16"/>
        <v>0</v>
      </c>
      <c r="G104" s="17">
        <f t="shared" si="16"/>
        <v>0</v>
      </c>
      <c r="H104" s="17">
        <f t="shared" si="16"/>
        <v>0</v>
      </c>
      <c r="I104" s="17">
        <f t="shared" si="16"/>
        <v>0</v>
      </c>
      <c r="J104" s="17">
        <f t="shared" si="16"/>
        <v>0</v>
      </c>
      <c r="K104" s="17">
        <f t="shared" si="16"/>
        <v>0</v>
      </c>
      <c r="L104" s="17">
        <f t="shared" si="16"/>
        <v>1</v>
      </c>
      <c r="M104" s="17">
        <f t="shared" si="16"/>
        <v>1</v>
      </c>
      <c r="N104" s="17">
        <f t="shared" si="16"/>
        <v>0</v>
      </c>
      <c r="O104" s="17">
        <f t="shared" si="16"/>
        <v>0</v>
      </c>
      <c r="P104" s="17">
        <f t="shared" si="16"/>
        <v>0</v>
      </c>
      <c r="Q104" s="17">
        <f t="shared" si="16"/>
        <v>0</v>
      </c>
      <c r="R104" s="17">
        <f t="shared" si="16"/>
        <v>0</v>
      </c>
      <c r="S104" s="17">
        <f t="shared" si="16"/>
        <v>0</v>
      </c>
      <c r="T104" s="17">
        <f t="shared" si="16"/>
        <v>0</v>
      </c>
      <c r="U104" s="17">
        <f t="shared" si="16"/>
        <v>1</v>
      </c>
      <c r="V104" s="17">
        <f t="shared" si="15"/>
        <v>1</v>
      </c>
      <c r="W104" s="17">
        <f t="shared" si="15"/>
        <v>1</v>
      </c>
      <c r="X104" s="17">
        <f t="shared" si="15"/>
        <v>1</v>
      </c>
      <c r="Y104" s="17">
        <f t="shared" si="15"/>
        <v>1</v>
      </c>
      <c r="Z104" s="17">
        <f t="shared" si="15"/>
        <v>1</v>
      </c>
      <c r="AA104" s="17">
        <f t="shared" si="15"/>
        <v>1</v>
      </c>
      <c r="AB104" s="17">
        <f t="shared" si="15"/>
        <v>0</v>
      </c>
      <c r="AC104" s="17">
        <f t="shared" si="15"/>
        <v>0</v>
      </c>
      <c r="AD104" s="17">
        <f t="shared" si="14"/>
        <v>9</v>
      </c>
    </row>
    <row r="105" spans="4:30" x14ac:dyDescent="0.2">
      <c r="D105" s="37">
        <v>45023</v>
      </c>
      <c r="E105" s="17" t="str">
        <f t="shared" si="12"/>
        <v>weekday</v>
      </c>
      <c r="F105" s="17">
        <f t="shared" si="16"/>
        <v>0</v>
      </c>
      <c r="G105" s="17">
        <f t="shared" si="16"/>
        <v>0</v>
      </c>
      <c r="H105" s="17">
        <f t="shared" si="16"/>
        <v>0</v>
      </c>
      <c r="I105" s="17">
        <f t="shared" si="16"/>
        <v>0</v>
      </c>
      <c r="J105" s="17">
        <f t="shared" si="16"/>
        <v>0</v>
      </c>
      <c r="K105" s="17">
        <f t="shared" si="16"/>
        <v>0</v>
      </c>
      <c r="L105" s="17">
        <f t="shared" si="16"/>
        <v>1</v>
      </c>
      <c r="M105" s="17">
        <f t="shared" si="16"/>
        <v>1</v>
      </c>
      <c r="N105" s="17">
        <f t="shared" si="16"/>
        <v>0</v>
      </c>
      <c r="O105" s="17">
        <f t="shared" si="16"/>
        <v>0</v>
      </c>
      <c r="P105" s="17">
        <f t="shared" si="16"/>
        <v>0</v>
      </c>
      <c r="Q105" s="17">
        <f t="shared" si="16"/>
        <v>0</v>
      </c>
      <c r="R105" s="17">
        <f t="shared" si="16"/>
        <v>0</v>
      </c>
      <c r="S105" s="17">
        <f t="shared" si="16"/>
        <v>0</v>
      </c>
      <c r="T105" s="17">
        <f t="shared" si="16"/>
        <v>0</v>
      </c>
      <c r="U105" s="17">
        <f t="shared" ref="U105:AC120" si="17">IF($E105=$E$5,(U$5),(U$6))</f>
        <v>1</v>
      </c>
      <c r="V105" s="17">
        <f t="shared" si="17"/>
        <v>1</v>
      </c>
      <c r="W105" s="17">
        <f t="shared" si="17"/>
        <v>1</v>
      </c>
      <c r="X105" s="17">
        <f t="shared" si="17"/>
        <v>1</v>
      </c>
      <c r="Y105" s="17">
        <f t="shared" si="17"/>
        <v>1</v>
      </c>
      <c r="Z105" s="17">
        <f t="shared" si="17"/>
        <v>1</v>
      </c>
      <c r="AA105" s="17">
        <f t="shared" si="17"/>
        <v>1</v>
      </c>
      <c r="AB105" s="17">
        <f t="shared" si="17"/>
        <v>0</v>
      </c>
      <c r="AC105" s="17">
        <f t="shared" si="17"/>
        <v>0</v>
      </c>
      <c r="AD105" s="17">
        <f t="shared" si="14"/>
        <v>9</v>
      </c>
    </row>
    <row r="106" spans="4:30" x14ac:dyDescent="0.2">
      <c r="D106" s="37">
        <v>45024</v>
      </c>
      <c r="E106" s="17" t="str">
        <f t="shared" si="12"/>
        <v>weekend</v>
      </c>
      <c r="F106" s="17">
        <f t="shared" ref="F106:U121" si="18">IF($E106=$E$5,(F$5),(F$6))</f>
        <v>0</v>
      </c>
      <c r="G106" s="17">
        <f t="shared" si="18"/>
        <v>0</v>
      </c>
      <c r="H106" s="17">
        <f t="shared" si="18"/>
        <v>0</v>
      </c>
      <c r="I106" s="17">
        <f t="shared" si="18"/>
        <v>0</v>
      </c>
      <c r="J106" s="17">
        <f t="shared" si="18"/>
        <v>0</v>
      </c>
      <c r="K106" s="17">
        <f t="shared" si="18"/>
        <v>0</v>
      </c>
      <c r="L106" s="17">
        <f t="shared" si="18"/>
        <v>1</v>
      </c>
      <c r="M106" s="17">
        <f t="shared" si="18"/>
        <v>1</v>
      </c>
      <c r="N106" s="17">
        <f t="shared" si="18"/>
        <v>1</v>
      </c>
      <c r="O106" s="17">
        <f t="shared" si="18"/>
        <v>1</v>
      </c>
      <c r="P106" s="17">
        <f t="shared" si="18"/>
        <v>1</v>
      </c>
      <c r="Q106" s="17">
        <f t="shared" si="18"/>
        <v>1</v>
      </c>
      <c r="R106" s="17">
        <f t="shared" si="18"/>
        <v>1</v>
      </c>
      <c r="S106" s="17">
        <f t="shared" si="18"/>
        <v>1</v>
      </c>
      <c r="T106" s="17">
        <f t="shared" si="18"/>
        <v>1</v>
      </c>
      <c r="U106" s="17">
        <f t="shared" si="18"/>
        <v>1</v>
      </c>
      <c r="V106" s="17">
        <f t="shared" si="17"/>
        <v>1</v>
      </c>
      <c r="W106" s="17">
        <f t="shared" si="17"/>
        <v>1</v>
      </c>
      <c r="X106" s="17">
        <f t="shared" si="17"/>
        <v>1</v>
      </c>
      <c r="Y106" s="17">
        <f t="shared" si="17"/>
        <v>1</v>
      </c>
      <c r="Z106" s="17">
        <f t="shared" si="17"/>
        <v>1</v>
      </c>
      <c r="AA106" s="17">
        <f t="shared" si="17"/>
        <v>1</v>
      </c>
      <c r="AB106" s="17">
        <f t="shared" si="17"/>
        <v>0</v>
      </c>
      <c r="AC106" s="17">
        <f t="shared" si="17"/>
        <v>0</v>
      </c>
      <c r="AD106" s="17">
        <f t="shared" si="14"/>
        <v>16</v>
      </c>
    </row>
    <row r="107" spans="4:30" x14ac:dyDescent="0.2">
      <c r="D107" s="37">
        <v>45025</v>
      </c>
      <c r="E107" s="17" t="str">
        <f t="shared" si="12"/>
        <v>weekend</v>
      </c>
      <c r="F107" s="17">
        <f t="shared" si="18"/>
        <v>0</v>
      </c>
      <c r="G107" s="17">
        <f t="shared" si="18"/>
        <v>0</v>
      </c>
      <c r="H107" s="17">
        <f t="shared" si="18"/>
        <v>0</v>
      </c>
      <c r="I107" s="17">
        <f t="shared" si="18"/>
        <v>0</v>
      </c>
      <c r="J107" s="17">
        <f t="shared" si="18"/>
        <v>0</v>
      </c>
      <c r="K107" s="17">
        <f t="shared" si="18"/>
        <v>0</v>
      </c>
      <c r="L107" s="17">
        <f t="shared" si="18"/>
        <v>1</v>
      </c>
      <c r="M107" s="17">
        <f t="shared" si="18"/>
        <v>1</v>
      </c>
      <c r="N107" s="17">
        <f t="shared" si="18"/>
        <v>1</v>
      </c>
      <c r="O107" s="17">
        <f t="shared" si="18"/>
        <v>1</v>
      </c>
      <c r="P107" s="17">
        <f t="shared" si="18"/>
        <v>1</v>
      </c>
      <c r="Q107" s="17">
        <f t="shared" si="18"/>
        <v>1</v>
      </c>
      <c r="R107" s="17">
        <f t="shared" si="18"/>
        <v>1</v>
      </c>
      <c r="S107" s="17">
        <f t="shared" si="18"/>
        <v>1</v>
      </c>
      <c r="T107" s="17">
        <f t="shared" si="18"/>
        <v>1</v>
      </c>
      <c r="U107" s="17">
        <f t="shared" si="18"/>
        <v>1</v>
      </c>
      <c r="V107" s="17">
        <f t="shared" si="17"/>
        <v>1</v>
      </c>
      <c r="W107" s="17">
        <f t="shared" si="17"/>
        <v>1</v>
      </c>
      <c r="X107" s="17">
        <f t="shared" si="17"/>
        <v>1</v>
      </c>
      <c r="Y107" s="17">
        <f t="shared" si="17"/>
        <v>1</v>
      </c>
      <c r="Z107" s="17">
        <f t="shared" si="17"/>
        <v>1</v>
      </c>
      <c r="AA107" s="17">
        <f t="shared" si="17"/>
        <v>1</v>
      </c>
      <c r="AB107" s="17">
        <f t="shared" si="17"/>
        <v>0</v>
      </c>
      <c r="AC107" s="17">
        <f t="shared" si="17"/>
        <v>0</v>
      </c>
      <c r="AD107" s="17">
        <f t="shared" si="14"/>
        <v>16</v>
      </c>
    </row>
    <row r="108" spans="4:30" x14ac:dyDescent="0.2">
      <c r="D108" s="37">
        <v>45026</v>
      </c>
      <c r="E108" s="17" t="str">
        <f t="shared" si="12"/>
        <v>weekday</v>
      </c>
      <c r="F108" s="17">
        <f t="shared" si="18"/>
        <v>0</v>
      </c>
      <c r="G108" s="17">
        <f t="shared" si="18"/>
        <v>0</v>
      </c>
      <c r="H108" s="17">
        <f t="shared" si="18"/>
        <v>0</v>
      </c>
      <c r="I108" s="17">
        <f t="shared" si="18"/>
        <v>0</v>
      </c>
      <c r="J108" s="17">
        <f t="shared" si="18"/>
        <v>0</v>
      </c>
      <c r="K108" s="17">
        <f t="shared" si="18"/>
        <v>0</v>
      </c>
      <c r="L108" s="17">
        <f t="shared" si="18"/>
        <v>1</v>
      </c>
      <c r="M108" s="17">
        <f t="shared" si="18"/>
        <v>1</v>
      </c>
      <c r="N108" s="17">
        <f t="shared" si="18"/>
        <v>0</v>
      </c>
      <c r="O108" s="17">
        <f t="shared" si="18"/>
        <v>0</v>
      </c>
      <c r="P108" s="17">
        <f t="shared" si="18"/>
        <v>0</v>
      </c>
      <c r="Q108" s="17">
        <f t="shared" si="18"/>
        <v>0</v>
      </c>
      <c r="R108" s="17">
        <f t="shared" si="18"/>
        <v>0</v>
      </c>
      <c r="S108" s="17">
        <f t="shared" si="18"/>
        <v>0</v>
      </c>
      <c r="T108" s="17">
        <f t="shared" si="18"/>
        <v>0</v>
      </c>
      <c r="U108" s="17">
        <f t="shared" si="18"/>
        <v>1</v>
      </c>
      <c r="V108" s="17">
        <f t="shared" si="17"/>
        <v>1</v>
      </c>
      <c r="W108" s="17">
        <f t="shared" si="17"/>
        <v>1</v>
      </c>
      <c r="X108" s="17">
        <f t="shared" si="17"/>
        <v>1</v>
      </c>
      <c r="Y108" s="17">
        <f t="shared" si="17"/>
        <v>1</v>
      </c>
      <c r="Z108" s="17">
        <f t="shared" si="17"/>
        <v>1</v>
      </c>
      <c r="AA108" s="17">
        <f t="shared" si="17"/>
        <v>1</v>
      </c>
      <c r="AB108" s="17">
        <f t="shared" si="17"/>
        <v>0</v>
      </c>
      <c r="AC108" s="17">
        <f t="shared" si="17"/>
        <v>0</v>
      </c>
      <c r="AD108" s="17">
        <f t="shared" si="14"/>
        <v>9</v>
      </c>
    </row>
    <row r="109" spans="4:30" x14ac:dyDescent="0.2">
      <c r="D109" s="37">
        <v>45027</v>
      </c>
      <c r="E109" s="17" t="str">
        <f t="shared" si="12"/>
        <v>weekday</v>
      </c>
      <c r="F109" s="17">
        <f t="shared" si="18"/>
        <v>0</v>
      </c>
      <c r="G109" s="17">
        <f t="shared" si="18"/>
        <v>0</v>
      </c>
      <c r="H109" s="17">
        <f t="shared" si="18"/>
        <v>0</v>
      </c>
      <c r="I109" s="17">
        <f t="shared" si="18"/>
        <v>0</v>
      </c>
      <c r="J109" s="17">
        <f t="shared" si="18"/>
        <v>0</v>
      </c>
      <c r="K109" s="17">
        <f t="shared" si="18"/>
        <v>0</v>
      </c>
      <c r="L109" s="17">
        <f t="shared" si="18"/>
        <v>1</v>
      </c>
      <c r="M109" s="17">
        <f t="shared" si="18"/>
        <v>1</v>
      </c>
      <c r="N109" s="17">
        <f t="shared" si="18"/>
        <v>0</v>
      </c>
      <c r="O109" s="17">
        <f t="shared" si="18"/>
        <v>0</v>
      </c>
      <c r="P109" s="17">
        <f t="shared" si="18"/>
        <v>0</v>
      </c>
      <c r="Q109" s="17">
        <f t="shared" si="18"/>
        <v>0</v>
      </c>
      <c r="R109" s="17">
        <f t="shared" si="18"/>
        <v>0</v>
      </c>
      <c r="S109" s="17">
        <f t="shared" si="18"/>
        <v>0</v>
      </c>
      <c r="T109" s="17">
        <f t="shared" si="18"/>
        <v>0</v>
      </c>
      <c r="U109" s="17">
        <f t="shared" si="18"/>
        <v>1</v>
      </c>
      <c r="V109" s="17">
        <f t="shared" si="17"/>
        <v>1</v>
      </c>
      <c r="W109" s="17">
        <f t="shared" si="17"/>
        <v>1</v>
      </c>
      <c r="X109" s="17">
        <f t="shared" si="17"/>
        <v>1</v>
      </c>
      <c r="Y109" s="17">
        <f t="shared" si="17"/>
        <v>1</v>
      </c>
      <c r="Z109" s="17">
        <f t="shared" si="17"/>
        <v>1</v>
      </c>
      <c r="AA109" s="17">
        <f t="shared" si="17"/>
        <v>1</v>
      </c>
      <c r="AB109" s="17">
        <f t="shared" si="17"/>
        <v>0</v>
      </c>
      <c r="AC109" s="17">
        <f t="shared" si="17"/>
        <v>0</v>
      </c>
      <c r="AD109" s="17">
        <f t="shared" si="14"/>
        <v>9</v>
      </c>
    </row>
    <row r="110" spans="4:30" x14ac:dyDescent="0.2">
      <c r="D110" s="37">
        <v>45028</v>
      </c>
      <c r="E110" s="17" t="str">
        <f t="shared" si="12"/>
        <v>weekday</v>
      </c>
      <c r="F110" s="17">
        <f t="shared" si="18"/>
        <v>0</v>
      </c>
      <c r="G110" s="17">
        <f t="shared" si="18"/>
        <v>0</v>
      </c>
      <c r="H110" s="17">
        <f t="shared" si="18"/>
        <v>0</v>
      </c>
      <c r="I110" s="17">
        <f t="shared" si="18"/>
        <v>0</v>
      </c>
      <c r="J110" s="17">
        <f t="shared" si="18"/>
        <v>0</v>
      </c>
      <c r="K110" s="17">
        <f t="shared" si="18"/>
        <v>0</v>
      </c>
      <c r="L110" s="17">
        <f t="shared" si="18"/>
        <v>1</v>
      </c>
      <c r="M110" s="17">
        <f t="shared" si="18"/>
        <v>1</v>
      </c>
      <c r="N110" s="17">
        <f t="shared" si="18"/>
        <v>0</v>
      </c>
      <c r="O110" s="17">
        <f t="shared" si="18"/>
        <v>0</v>
      </c>
      <c r="P110" s="17">
        <f t="shared" si="18"/>
        <v>0</v>
      </c>
      <c r="Q110" s="17">
        <f t="shared" si="18"/>
        <v>0</v>
      </c>
      <c r="R110" s="17">
        <f t="shared" si="18"/>
        <v>0</v>
      </c>
      <c r="S110" s="17">
        <f t="shared" si="18"/>
        <v>0</v>
      </c>
      <c r="T110" s="17">
        <f t="shared" si="18"/>
        <v>0</v>
      </c>
      <c r="U110" s="17">
        <f t="shared" si="18"/>
        <v>1</v>
      </c>
      <c r="V110" s="17">
        <f t="shared" si="17"/>
        <v>1</v>
      </c>
      <c r="W110" s="17">
        <f t="shared" si="17"/>
        <v>1</v>
      </c>
      <c r="X110" s="17">
        <f t="shared" si="17"/>
        <v>1</v>
      </c>
      <c r="Y110" s="17">
        <f t="shared" si="17"/>
        <v>1</v>
      </c>
      <c r="Z110" s="17">
        <f t="shared" si="17"/>
        <v>1</v>
      </c>
      <c r="AA110" s="17">
        <f t="shared" si="17"/>
        <v>1</v>
      </c>
      <c r="AB110" s="17">
        <f t="shared" si="17"/>
        <v>0</v>
      </c>
      <c r="AC110" s="17">
        <f t="shared" si="17"/>
        <v>0</v>
      </c>
      <c r="AD110" s="17">
        <f t="shared" si="14"/>
        <v>9</v>
      </c>
    </row>
    <row r="111" spans="4:30" x14ac:dyDescent="0.2">
      <c r="D111" s="37">
        <v>45029</v>
      </c>
      <c r="E111" s="17" t="str">
        <f t="shared" si="12"/>
        <v>weekday</v>
      </c>
      <c r="F111" s="17">
        <f t="shared" si="18"/>
        <v>0</v>
      </c>
      <c r="G111" s="17">
        <f t="shared" si="18"/>
        <v>0</v>
      </c>
      <c r="H111" s="17">
        <f t="shared" si="18"/>
        <v>0</v>
      </c>
      <c r="I111" s="17">
        <f t="shared" si="18"/>
        <v>0</v>
      </c>
      <c r="J111" s="17">
        <f t="shared" si="18"/>
        <v>0</v>
      </c>
      <c r="K111" s="17">
        <f t="shared" si="18"/>
        <v>0</v>
      </c>
      <c r="L111" s="17">
        <f t="shared" si="18"/>
        <v>1</v>
      </c>
      <c r="M111" s="17">
        <f t="shared" si="18"/>
        <v>1</v>
      </c>
      <c r="N111" s="17">
        <f t="shared" si="18"/>
        <v>0</v>
      </c>
      <c r="O111" s="17">
        <f t="shared" si="18"/>
        <v>0</v>
      </c>
      <c r="P111" s="17">
        <f t="shared" si="18"/>
        <v>0</v>
      </c>
      <c r="Q111" s="17">
        <f t="shared" si="18"/>
        <v>0</v>
      </c>
      <c r="R111" s="17">
        <f t="shared" si="18"/>
        <v>0</v>
      </c>
      <c r="S111" s="17">
        <f t="shared" si="18"/>
        <v>0</v>
      </c>
      <c r="T111" s="17">
        <f t="shared" si="18"/>
        <v>0</v>
      </c>
      <c r="U111" s="17">
        <f t="shared" si="18"/>
        <v>1</v>
      </c>
      <c r="V111" s="17">
        <f t="shared" si="17"/>
        <v>1</v>
      </c>
      <c r="W111" s="17">
        <f t="shared" si="17"/>
        <v>1</v>
      </c>
      <c r="X111" s="17">
        <f t="shared" si="17"/>
        <v>1</v>
      </c>
      <c r="Y111" s="17">
        <f t="shared" si="17"/>
        <v>1</v>
      </c>
      <c r="Z111" s="17">
        <f t="shared" si="17"/>
        <v>1</v>
      </c>
      <c r="AA111" s="17">
        <f t="shared" si="17"/>
        <v>1</v>
      </c>
      <c r="AB111" s="17">
        <f t="shared" si="17"/>
        <v>0</v>
      </c>
      <c r="AC111" s="17">
        <f t="shared" si="17"/>
        <v>0</v>
      </c>
      <c r="AD111" s="17">
        <f t="shared" si="14"/>
        <v>9</v>
      </c>
    </row>
    <row r="112" spans="4:30" x14ac:dyDescent="0.2">
      <c r="D112" s="37">
        <v>45030</v>
      </c>
      <c r="E112" s="17" t="str">
        <f t="shared" si="12"/>
        <v>weekday</v>
      </c>
      <c r="F112" s="17">
        <f t="shared" si="18"/>
        <v>0</v>
      </c>
      <c r="G112" s="17">
        <f t="shared" si="18"/>
        <v>0</v>
      </c>
      <c r="H112" s="17">
        <f t="shared" si="18"/>
        <v>0</v>
      </c>
      <c r="I112" s="17">
        <f t="shared" si="18"/>
        <v>0</v>
      </c>
      <c r="J112" s="17">
        <f t="shared" si="18"/>
        <v>0</v>
      </c>
      <c r="K112" s="17">
        <f t="shared" si="18"/>
        <v>0</v>
      </c>
      <c r="L112" s="17">
        <f t="shared" si="18"/>
        <v>1</v>
      </c>
      <c r="M112" s="17">
        <f t="shared" si="18"/>
        <v>1</v>
      </c>
      <c r="N112" s="17">
        <f t="shared" si="18"/>
        <v>0</v>
      </c>
      <c r="O112" s="17">
        <f t="shared" si="18"/>
        <v>0</v>
      </c>
      <c r="P112" s="17">
        <f t="shared" si="18"/>
        <v>0</v>
      </c>
      <c r="Q112" s="17">
        <f t="shared" si="18"/>
        <v>0</v>
      </c>
      <c r="R112" s="17">
        <f t="shared" si="18"/>
        <v>0</v>
      </c>
      <c r="S112" s="17">
        <f t="shared" si="18"/>
        <v>0</v>
      </c>
      <c r="T112" s="17">
        <f t="shared" si="18"/>
        <v>0</v>
      </c>
      <c r="U112" s="17">
        <f t="shared" si="18"/>
        <v>1</v>
      </c>
      <c r="V112" s="17">
        <f t="shared" si="17"/>
        <v>1</v>
      </c>
      <c r="W112" s="17">
        <f t="shared" si="17"/>
        <v>1</v>
      </c>
      <c r="X112" s="17">
        <f t="shared" si="17"/>
        <v>1</v>
      </c>
      <c r="Y112" s="17">
        <f t="shared" si="17"/>
        <v>1</v>
      </c>
      <c r="Z112" s="17">
        <f t="shared" si="17"/>
        <v>1</v>
      </c>
      <c r="AA112" s="17">
        <f t="shared" si="17"/>
        <v>1</v>
      </c>
      <c r="AB112" s="17">
        <f t="shared" si="17"/>
        <v>0</v>
      </c>
      <c r="AC112" s="17">
        <f t="shared" si="17"/>
        <v>0</v>
      </c>
      <c r="AD112" s="17">
        <f t="shared" si="14"/>
        <v>9</v>
      </c>
    </row>
    <row r="113" spans="4:30" x14ac:dyDescent="0.2">
      <c r="D113" s="37">
        <v>45031</v>
      </c>
      <c r="E113" s="17" t="str">
        <f t="shared" si="12"/>
        <v>weekend</v>
      </c>
      <c r="F113" s="17">
        <f t="shared" si="18"/>
        <v>0</v>
      </c>
      <c r="G113" s="17">
        <f t="shared" si="18"/>
        <v>0</v>
      </c>
      <c r="H113" s="17">
        <f t="shared" si="18"/>
        <v>0</v>
      </c>
      <c r="I113" s="17">
        <f t="shared" si="18"/>
        <v>0</v>
      </c>
      <c r="J113" s="17">
        <f t="shared" si="18"/>
        <v>0</v>
      </c>
      <c r="K113" s="17">
        <f t="shared" si="18"/>
        <v>0</v>
      </c>
      <c r="L113" s="17">
        <f t="shared" si="18"/>
        <v>1</v>
      </c>
      <c r="M113" s="17">
        <f t="shared" si="18"/>
        <v>1</v>
      </c>
      <c r="N113" s="17">
        <f t="shared" si="18"/>
        <v>1</v>
      </c>
      <c r="O113" s="17">
        <f t="shared" si="18"/>
        <v>1</v>
      </c>
      <c r="P113" s="17">
        <f t="shared" si="18"/>
        <v>1</v>
      </c>
      <c r="Q113" s="17">
        <f t="shared" si="18"/>
        <v>1</v>
      </c>
      <c r="R113" s="17">
        <f t="shared" si="18"/>
        <v>1</v>
      </c>
      <c r="S113" s="17">
        <f t="shared" si="18"/>
        <v>1</v>
      </c>
      <c r="T113" s="17">
        <f t="shared" si="18"/>
        <v>1</v>
      </c>
      <c r="U113" s="17">
        <f t="shared" si="18"/>
        <v>1</v>
      </c>
      <c r="V113" s="17">
        <f t="shared" si="17"/>
        <v>1</v>
      </c>
      <c r="W113" s="17">
        <f t="shared" si="17"/>
        <v>1</v>
      </c>
      <c r="X113" s="17">
        <f t="shared" si="17"/>
        <v>1</v>
      </c>
      <c r="Y113" s="17">
        <f t="shared" si="17"/>
        <v>1</v>
      </c>
      <c r="Z113" s="17">
        <f t="shared" si="17"/>
        <v>1</v>
      </c>
      <c r="AA113" s="17">
        <f t="shared" si="17"/>
        <v>1</v>
      </c>
      <c r="AB113" s="17">
        <f t="shared" si="17"/>
        <v>0</v>
      </c>
      <c r="AC113" s="17">
        <f t="shared" si="17"/>
        <v>0</v>
      </c>
      <c r="AD113" s="17">
        <f t="shared" si="14"/>
        <v>16</v>
      </c>
    </row>
    <row r="114" spans="4:30" x14ac:dyDescent="0.2">
      <c r="D114" s="37">
        <v>45032</v>
      </c>
      <c r="E114" s="17" t="str">
        <f t="shared" si="12"/>
        <v>weekend</v>
      </c>
      <c r="F114" s="17">
        <f t="shared" si="18"/>
        <v>0</v>
      </c>
      <c r="G114" s="17">
        <f t="shared" si="18"/>
        <v>0</v>
      </c>
      <c r="H114" s="17">
        <f t="shared" si="18"/>
        <v>0</v>
      </c>
      <c r="I114" s="17">
        <f t="shared" si="18"/>
        <v>0</v>
      </c>
      <c r="J114" s="17">
        <f t="shared" si="18"/>
        <v>0</v>
      </c>
      <c r="K114" s="17">
        <f t="shared" si="18"/>
        <v>0</v>
      </c>
      <c r="L114" s="17">
        <f t="shared" si="18"/>
        <v>1</v>
      </c>
      <c r="M114" s="17">
        <f t="shared" si="18"/>
        <v>1</v>
      </c>
      <c r="N114" s="17">
        <f t="shared" si="18"/>
        <v>1</v>
      </c>
      <c r="O114" s="17">
        <f t="shared" si="18"/>
        <v>1</v>
      </c>
      <c r="P114" s="17">
        <f t="shared" si="18"/>
        <v>1</v>
      </c>
      <c r="Q114" s="17">
        <f t="shared" si="18"/>
        <v>1</v>
      </c>
      <c r="R114" s="17">
        <f t="shared" si="18"/>
        <v>1</v>
      </c>
      <c r="S114" s="17">
        <f t="shared" si="18"/>
        <v>1</v>
      </c>
      <c r="T114" s="17">
        <f t="shared" si="18"/>
        <v>1</v>
      </c>
      <c r="U114" s="17">
        <f t="shared" si="18"/>
        <v>1</v>
      </c>
      <c r="V114" s="17">
        <f t="shared" si="17"/>
        <v>1</v>
      </c>
      <c r="W114" s="17">
        <f t="shared" si="17"/>
        <v>1</v>
      </c>
      <c r="X114" s="17">
        <f t="shared" si="17"/>
        <v>1</v>
      </c>
      <c r="Y114" s="17">
        <f t="shared" si="17"/>
        <v>1</v>
      </c>
      <c r="Z114" s="17">
        <f t="shared" si="17"/>
        <v>1</v>
      </c>
      <c r="AA114" s="17">
        <f t="shared" si="17"/>
        <v>1</v>
      </c>
      <c r="AB114" s="17">
        <f t="shared" si="17"/>
        <v>0</v>
      </c>
      <c r="AC114" s="17">
        <f t="shared" si="17"/>
        <v>0</v>
      </c>
      <c r="AD114" s="17">
        <f t="shared" si="14"/>
        <v>16</v>
      </c>
    </row>
    <row r="115" spans="4:30" x14ac:dyDescent="0.2">
      <c r="D115" s="37">
        <v>45033</v>
      </c>
      <c r="E115" s="17" t="str">
        <f t="shared" si="12"/>
        <v>weekday</v>
      </c>
      <c r="F115" s="17">
        <f t="shared" si="18"/>
        <v>0</v>
      </c>
      <c r="G115" s="17">
        <f t="shared" si="18"/>
        <v>0</v>
      </c>
      <c r="H115" s="17">
        <f t="shared" si="18"/>
        <v>0</v>
      </c>
      <c r="I115" s="17">
        <f t="shared" si="18"/>
        <v>0</v>
      </c>
      <c r="J115" s="17">
        <f t="shared" si="18"/>
        <v>0</v>
      </c>
      <c r="K115" s="17">
        <f t="shared" si="18"/>
        <v>0</v>
      </c>
      <c r="L115" s="17">
        <f t="shared" si="18"/>
        <v>1</v>
      </c>
      <c r="M115" s="17">
        <f t="shared" si="18"/>
        <v>1</v>
      </c>
      <c r="N115" s="17">
        <f t="shared" si="18"/>
        <v>0</v>
      </c>
      <c r="O115" s="17">
        <f t="shared" si="18"/>
        <v>0</v>
      </c>
      <c r="P115" s="17">
        <f t="shared" si="18"/>
        <v>0</v>
      </c>
      <c r="Q115" s="17">
        <f t="shared" si="18"/>
        <v>0</v>
      </c>
      <c r="R115" s="17">
        <f t="shared" si="18"/>
        <v>0</v>
      </c>
      <c r="S115" s="17">
        <f t="shared" si="18"/>
        <v>0</v>
      </c>
      <c r="T115" s="17">
        <f t="shared" si="18"/>
        <v>0</v>
      </c>
      <c r="U115" s="17">
        <f t="shared" si="18"/>
        <v>1</v>
      </c>
      <c r="V115" s="17">
        <f t="shared" si="17"/>
        <v>1</v>
      </c>
      <c r="W115" s="17">
        <f t="shared" si="17"/>
        <v>1</v>
      </c>
      <c r="X115" s="17">
        <f t="shared" si="17"/>
        <v>1</v>
      </c>
      <c r="Y115" s="17">
        <f t="shared" si="17"/>
        <v>1</v>
      </c>
      <c r="Z115" s="17">
        <f t="shared" si="17"/>
        <v>1</v>
      </c>
      <c r="AA115" s="17">
        <f t="shared" si="17"/>
        <v>1</v>
      </c>
      <c r="AB115" s="17">
        <f t="shared" si="17"/>
        <v>0</v>
      </c>
      <c r="AC115" s="17">
        <f t="shared" si="17"/>
        <v>0</v>
      </c>
      <c r="AD115" s="17">
        <f t="shared" si="14"/>
        <v>9</v>
      </c>
    </row>
    <row r="116" spans="4:30" x14ac:dyDescent="0.2">
      <c r="D116" s="37">
        <v>45034</v>
      </c>
      <c r="E116" s="17" t="str">
        <f t="shared" si="12"/>
        <v>weekday</v>
      </c>
      <c r="F116" s="17">
        <f t="shared" si="18"/>
        <v>0</v>
      </c>
      <c r="G116" s="17">
        <f t="shared" si="18"/>
        <v>0</v>
      </c>
      <c r="H116" s="17">
        <f t="shared" si="18"/>
        <v>0</v>
      </c>
      <c r="I116" s="17">
        <f t="shared" si="18"/>
        <v>0</v>
      </c>
      <c r="J116" s="17">
        <f t="shared" si="18"/>
        <v>0</v>
      </c>
      <c r="K116" s="17">
        <f t="shared" si="18"/>
        <v>0</v>
      </c>
      <c r="L116" s="17">
        <f t="shared" si="18"/>
        <v>1</v>
      </c>
      <c r="M116" s="17">
        <f t="shared" si="18"/>
        <v>1</v>
      </c>
      <c r="N116" s="17">
        <f t="shared" si="18"/>
        <v>0</v>
      </c>
      <c r="O116" s="17">
        <f t="shared" si="18"/>
        <v>0</v>
      </c>
      <c r="P116" s="17">
        <f t="shared" si="18"/>
        <v>0</v>
      </c>
      <c r="Q116" s="17">
        <f t="shared" si="18"/>
        <v>0</v>
      </c>
      <c r="R116" s="17">
        <f t="shared" si="18"/>
        <v>0</v>
      </c>
      <c r="S116" s="17">
        <f t="shared" si="18"/>
        <v>0</v>
      </c>
      <c r="T116" s="17">
        <f t="shared" si="18"/>
        <v>0</v>
      </c>
      <c r="U116" s="17">
        <f t="shared" si="18"/>
        <v>1</v>
      </c>
      <c r="V116" s="17">
        <f t="shared" si="17"/>
        <v>1</v>
      </c>
      <c r="W116" s="17">
        <f t="shared" si="17"/>
        <v>1</v>
      </c>
      <c r="X116" s="17">
        <f t="shared" si="17"/>
        <v>1</v>
      </c>
      <c r="Y116" s="17">
        <f t="shared" si="17"/>
        <v>1</v>
      </c>
      <c r="Z116" s="17">
        <f t="shared" si="17"/>
        <v>1</v>
      </c>
      <c r="AA116" s="17">
        <f t="shared" si="17"/>
        <v>1</v>
      </c>
      <c r="AB116" s="17">
        <f t="shared" si="17"/>
        <v>0</v>
      </c>
      <c r="AC116" s="17">
        <f t="shared" si="17"/>
        <v>0</v>
      </c>
      <c r="AD116" s="17">
        <f t="shared" si="14"/>
        <v>9</v>
      </c>
    </row>
    <row r="117" spans="4:30" x14ac:dyDescent="0.2">
      <c r="D117" s="37">
        <v>45035</v>
      </c>
      <c r="E117" s="17" t="str">
        <f t="shared" si="12"/>
        <v>weekday</v>
      </c>
      <c r="F117" s="17">
        <f t="shared" si="18"/>
        <v>0</v>
      </c>
      <c r="G117" s="17">
        <f t="shared" si="18"/>
        <v>0</v>
      </c>
      <c r="H117" s="17">
        <f t="shared" si="18"/>
        <v>0</v>
      </c>
      <c r="I117" s="17">
        <f t="shared" si="18"/>
        <v>0</v>
      </c>
      <c r="J117" s="17">
        <f t="shared" si="18"/>
        <v>0</v>
      </c>
      <c r="K117" s="17">
        <f t="shared" si="18"/>
        <v>0</v>
      </c>
      <c r="L117" s="17">
        <f t="shared" si="18"/>
        <v>1</v>
      </c>
      <c r="M117" s="17">
        <f t="shared" si="18"/>
        <v>1</v>
      </c>
      <c r="N117" s="17">
        <f t="shared" si="18"/>
        <v>0</v>
      </c>
      <c r="O117" s="17">
        <f t="shared" si="18"/>
        <v>0</v>
      </c>
      <c r="P117" s="17">
        <f t="shared" si="18"/>
        <v>0</v>
      </c>
      <c r="Q117" s="17">
        <f t="shared" si="18"/>
        <v>0</v>
      </c>
      <c r="R117" s="17">
        <f t="shared" si="18"/>
        <v>0</v>
      </c>
      <c r="S117" s="17">
        <f t="shared" si="18"/>
        <v>0</v>
      </c>
      <c r="T117" s="17">
        <f t="shared" si="18"/>
        <v>0</v>
      </c>
      <c r="U117" s="17">
        <f t="shared" si="18"/>
        <v>1</v>
      </c>
      <c r="V117" s="17">
        <f t="shared" si="17"/>
        <v>1</v>
      </c>
      <c r="W117" s="17">
        <f t="shared" si="17"/>
        <v>1</v>
      </c>
      <c r="X117" s="17">
        <f t="shared" si="17"/>
        <v>1</v>
      </c>
      <c r="Y117" s="17">
        <f t="shared" si="17"/>
        <v>1</v>
      </c>
      <c r="Z117" s="17">
        <f t="shared" si="17"/>
        <v>1</v>
      </c>
      <c r="AA117" s="17">
        <f t="shared" si="17"/>
        <v>1</v>
      </c>
      <c r="AB117" s="17">
        <f t="shared" si="17"/>
        <v>0</v>
      </c>
      <c r="AC117" s="17">
        <f t="shared" si="17"/>
        <v>0</v>
      </c>
      <c r="AD117" s="17">
        <f t="shared" si="14"/>
        <v>9</v>
      </c>
    </row>
    <row r="118" spans="4:30" x14ac:dyDescent="0.2">
      <c r="D118" s="37">
        <v>45036</v>
      </c>
      <c r="E118" s="17" t="str">
        <f t="shared" si="12"/>
        <v>weekday</v>
      </c>
      <c r="F118" s="17">
        <f t="shared" si="18"/>
        <v>0</v>
      </c>
      <c r="G118" s="17">
        <f t="shared" si="18"/>
        <v>0</v>
      </c>
      <c r="H118" s="17">
        <f t="shared" si="18"/>
        <v>0</v>
      </c>
      <c r="I118" s="17">
        <f t="shared" si="18"/>
        <v>0</v>
      </c>
      <c r="J118" s="17">
        <f t="shared" si="18"/>
        <v>0</v>
      </c>
      <c r="K118" s="17">
        <f t="shared" si="18"/>
        <v>0</v>
      </c>
      <c r="L118" s="17">
        <f t="shared" si="18"/>
        <v>1</v>
      </c>
      <c r="M118" s="17">
        <f t="shared" si="18"/>
        <v>1</v>
      </c>
      <c r="N118" s="17">
        <f t="shared" si="18"/>
        <v>0</v>
      </c>
      <c r="O118" s="17">
        <f t="shared" si="18"/>
        <v>0</v>
      </c>
      <c r="P118" s="17">
        <f t="shared" si="18"/>
        <v>0</v>
      </c>
      <c r="Q118" s="17">
        <f t="shared" si="18"/>
        <v>0</v>
      </c>
      <c r="R118" s="17">
        <f t="shared" si="18"/>
        <v>0</v>
      </c>
      <c r="S118" s="17">
        <f t="shared" si="18"/>
        <v>0</v>
      </c>
      <c r="T118" s="17">
        <f t="shared" si="18"/>
        <v>0</v>
      </c>
      <c r="U118" s="17">
        <f t="shared" si="18"/>
        <v>1</v>
      </c>
      <c r="V118" s="17">
        <f t="shared" si="17"/>
        <v>1</v>
      </c>
      <c r="W118" s="17">
        <f t="shared" si="17"/>
        <v>1</v>
      </c>
      <c r="X118" s="17">
        <f t="shared" si="17"/>
        <v>1</v>
      </c>
      <c r="Y118" s="17">
        <f t="shared" si="17"/>
        <v>1</v>
      </c>
      <c r="Z118" s="17">
        <f t="shared" si="17"/>
        <v>1</v>
      </c>
      <c r="AA118" s="17">
        <f t="shared" si="17"/>
        <v>1</v>
      </c>
      <c r="AB118" s="17">
        <f t="shared" si="17"/>
        <v>0</v>
      </c>
      <c r="AC118" s="17">
        <f t="shared" si="17"/>
        <v>0</v>
      </c>
      <c r="AD118" s="17">
        <f t="shared" si="14"/>
        <v>9</v>
      </c>
    </row>
    <row r="119" spans="4:30" x14ac:dyDescent="0.2">
      <c r="D119" s="37">
        <v>45037</v>
      </c>
      <c r="E119" s="17" t="str">
        <f t="shared" si="12"/>
        <v>weekday</v>
      </c>
      <c r="F119" s="17">
        <f t="shared" si="18"/>
        <v>0</v>
      </c>
      <c r="G119" s="17">
        <f t="shared" si="18"/>
        <v>0</v>
      </c>
      <c r="H119" s="17">
        <f t="shared" si="18"/>
        <v>0</v>
      </c>
      <c r="I119" s="17">
        <f t="shared" si="18"/>
        <v>0</v>
      </c>
      <c r="J119" s="17">
        <f t="shared" si="18"/>
        <v>0</v>
      </c>
      <c r="K119" s="17">
        <f t="shared" si="18"/>
        <v>0</v>
      </c>
      <c r="L119" s="17">
        <f t="shared" si="18"/>
        <v>1</v>
      </c>
      <c r="M119" s="17">
        <f t="shared" si="18"/>
        <v>1</v>
      </c>
      <c r="N119" s="17">
        <f t="shared" si="18"/>
        <v>0</v>
      </c>
      <c r="O119" s="17">
        <f t="shared" si="18"/>
        <v>0</v>
      </c>
      <c r="P119" s="17">
        <f t="shared" si="18"/>
        <v>0</v>
      </c>
      <c r="Q119" s="17">
        <f t="shared" si="18"/>
        <v>0</v>
      </c>
      <c r="R119" s="17">
        <f t="shared" si="18"/>
        <v>0</v>
      </c>
      <c r="S119" s="17">
        <f t="shared" si="18"/>
        <v>0</v>
      </c>
      <c r="T119" s="17">
        <f t="shared" si="18"/>
        <v>0</v>
      </c>
      <c r="U119" s="17">
        <f t="shared" si="18"/>
        <v>1</v>
      </c>
      <c r="V119" s="17">
        <f t="shared" si="17"/>
        <v>1</v>
      </c>
      <c r="W119" s="17">
        <f t="shared" si="17"/>
        <v>1</v>
      </c>
      <c r="X119" s="17">
        <f t="shared" si="17"/>
        <v>1</v>
      </c>
      <c r="Y119" s="17">
        <f t="shared" si="17"/>
        <v>1</v>
      </c>
      <c r="Z119" s="17">
        <f t="shared" si="17"/>
        <v>1</v>
      </c>
      <c r="AA119" s="17">
        <f t="shared" si="17"/>
        <v>1</v>
      </c>
      <c r="AB119" s="17">
        <f t="shared" si="17"/>
        <v>0</v>
      </c>
      <c r="AC119" s="17">
        <f t="shared" si="17"/>
        <v>0</v>
      </c>
      <c r="AD119" s="17">
        <f t="shared" si="14"/>
        <v>9</v>
      </c>
    </row>
    <row r="120" spans="4:30" x14ac:dyDescent="0.2">
      <c r="D120" s="37">
        <v>45038</v>
      </c>
      <c r="E120" s="17" t="str">
        <f t="shared" si="12"/>
        <v>weekend</v>
      </c>
      <c r="F120" s="17">
        <f t="shared" si="18"/>
        <v>0</v>
      </c>
      <c r="G120" s="17">
        <f t="shared" si="18"/>
        <v>0</v>
      </c>
      <c r="H120" s="17">
        <f t="shared" si="18"/>
        <v>0</v>
      </c>
      <c r="I120" s="17">
        <f t="shared" si="18"/>
        <v>0</v>
      </c>
      <c r="J120" s="17">
        <f t="shared" si="18"/>
        <v>0</v>
      </c>
      <c r="K120" s="17">
        <f t="shared" si="18"/>
        <v>0</v>
      </c>
      <c r="L120" s="17">
        <f t="shared" si="18"/>
        <v>1</v>
      </c>
      <c r="M120" s="17">
        <f t="shared" si="18"/>
        <v>1</v>
      </c>
      <c r="N120" s="17">
        <f t="shared" si="18"/>
        <v>1</v>
      </c>
      <c r="O120" s="17">
        <f t="shared" si="18"/>
        <v>1</v>
      </c>
      <c r="P120" s="17">
        <f t="shared" si="18"/>
        <v>1</v>
      </c>
      <c r="Q120" s="17">
        <f t="shared" si="18"/>
        <v>1</v>
      </c>
      <c r="R120" s="17">
        <f t="shared" si="18"/>
        <v>1</v>
      </c>
      <c r="S120" s="17">
        <f t="shared" si="18"/>
        <v>1</v>
      </c>
      <c r="T120" s="17">
        <f t="shared" si="18"/>
        <v>1</v>
      </c>
      <c r="U120" s="17">
        <f t="shared" si="18"/>
        <v>1</v>
      </c>
      <c r="V120" s="17">
        <f t="shared" si="17"/>
        <v>1</v>
      </c>
      <c r="W120" s="17">
        <f t="shared" si="17"/>
        <v>1</v>
      </c>
      <c r="X120" s="17">
        <f t="shared" si="17"/>
        <v>1</v>
      </c>
      <c r="Y120" s="17">
        <f t="shared" si="17"/>
        <v>1</v>
      </c>
      <c r="Z120" s="17">
        <f t="shared" si="17"/>
        <v>1</v>
      </c>
      <c r="AA120" s="17">
        <f t="shared" si="17"/>
        <v>1</v>
      </c>
      <c r="AB120" s="17">
        <f t="shared" si="17"/>
        <v>0</v>
      </c>
      <c r="AC120" s="17">
        <f t="shared" si="17"/>
        <v>0</v>
      </c>
      <c r="AD120" s="17">
        <f t="shared" si="14"/>
        <v>16</v>
      </c>
    </row>
    <row r="121" spans="4:30" x14ac:dyDescent="0.2">
      <c r="D121" s="37">
        <v>45039</v>
      </c>
      <c r="E121" s="17" t="str">
        <f t="shared" si="12"/>
        <v>weekend</v>
      </c>
      <c r="F121" s="17">
        <f t="shared" si="18"/>
        <v>0</v>
      </c>
      <c r="G121" s="17">
        <f t="shared" si="18"/>
        <v>0</v>
      </c>
      <c r="H121" s="17">
        <f t="shared" si="18"/>
        <v>0</v>
      </c>
      <c r="I121" s="17">
        <f t="shared" si="18"/>
        <v>0</v>
      </c>
      <c r="J121" s="17">
        <f t="shared" si="18"/>
        <v>0</v>
      </c>
      <c r="K121" s="17">
        <f t="shared" si="18"/>
        <v>0</v>
      </c>
      <c r="L121" s="17">
        <f t="shared" si="18"/>
        <v>1</v>
      </c>
      <c r="M121" s="17">
        <f t="shared" si="18"/>
        <v>1</v>
      </c>
      <c r="N121" s="17">
        <f t="shared" si="18"/>
        <v>1</v>
      </c>
      <c r="O121" s="17">
        <f t="shared" si="18"/>
        <v>1</v>
      </c>
      <c r="P121" s="17">
        <f t="shared" si="18"/>
        <v>1</v>
      </c>
      <c r="Q121" s="17">
        <f t="shared" si="18"/>
        <v>1</v>
      </c>
      <c r="R121" s="17">
        <f t="shared" si="18"/>
        <v>1</v>
      </c>
      <c r="S121" s="17">
        <f t="shared" si="18"/>
        <v>1</v>
      </c>
      <c r="T121" s="17">
        <f t="shared" si="18"/>
        <v>1</v>
      </c>
      <c r="U121" s="17">
        <f t="shared" ref="U121:AC136" si="19">IF($E121=$E$5,(U$5),(U$6))</f>
        <v>1</v>
      </c>
      <c r="V121" s="17">
        <f t="shared" si="19"/>
        <v>1</v>
      </c>
      <c r="W121" s="17">
        <f t="shared" si="19"/>
        <v>1</v>
      </c>
      <c r="X121" s="17">
        <f t="shared" si="19"/>
        <v>1</v>
      </c>
      <c r="Y121" s="17">
        <f t="shared" si="19"/>
        <v>1</v>
      </c>
      <c r="Z121" s="17">
        <f t="shared" si="19"/>
        <v>1</v>
      </c>
      <c r="AA121" s="17">
        <f t="shared" si="19"/>
        <v>1</v>
      </c>
      <c r="AB121" s="17">
        <f t="shared" si="19"/>
        <v>0</v>
      </c>
      <c r="AC121" s="17">
        <f t="shared" si="19"/>
        <v>0</v>
      </c>
      <c r="AD121" s="17">
        <f t="shared" si="14"/>
        <v>16</v>
      </c>
    </row>
    <row r="122" spans="4:30" x14ac:dyDescent="0.2">
      <c r="D122" s="37">
        <v>45040</v>
      </c>
      <c r="E122" s="17" t="str">
        <f t="shared" si="12"/>
        <v>weekday</v>
      </c>
      <c r="F122" s="17">
        <f t="shared" ref="F122:U137" si="20">IF($E122=$E$5,(F$5),(F$6))</f>
        <v>0</v>
      </c>
      <c r="G122" s="17">
        <f t="shared" si="20"/>
        <v>0</v>
      </c>
      <c r="H122" s="17">
        <f t="shared" si="20"/>
        <v>0</v>
      </c>
      <c r="I122" s="17">
        <f t="shared" si="20"/>
        <v>0</v>
      </c>
      <c r="J122" s="17">
        <f t="shared" si="20"/>
        <v>0</v>
      </c>
      <c r="K122" s="17">
        <f t="shared" si="20"/>
        <v>0</v>
      </c>
      <c r="L122" s="17">
        <f t="shared" si="20"/>
        <v>1</v>
      </c>
      <c r="M122" s="17">
        <f t="shared" si="20"/>
        <v>1</v>
      </c>
      <c r="N122" s="17">
        <f t="shared" si="20"/>
        <v>0</v>
      </c>
      <c r="O122" s="17">
        <f t="shared" si="20"/>
        <v>0</v>
      </c>
      <c r="P122" s="17">
        <f t="shared" si="20"/>
        <v>0</v>
      </c>
      <c r="Q122" s="17">
        <f t="shared" si="20"/>
        <v>0</v>
      </c>
      <c r="R122" s="17">
        <f t="shared" si="20"/>
        <v>0</v>
      </c>
      <c r="S122" s="17">
        <f t="shared" si="20"/>
        <v>0</v>
      </c>
      <c r="T122" s="17">
        <f t="shared" si="20"/>
        <v>0</v>
      </c>
      <c r="U122" s="17">
        <f t="shared" si="20"/>
        <v>1</v>
      </c>
      <c r="V122" s="17">
        <f t="shared" si="19"/>
        <v>1</v>
      </c>
      <c r="W122" s="17">
        <f t="shared" si="19"/>
        <v>1</v>
      </c>
      <c r="X122" s="17">
        <f t="shared" si="19"/>
        <v>1</v>
      </c>
      <c r="Y122" s="17">
        <f t="shared" si="19"/>
        <v>1</v>
      </c>
      <c r="Z122" s="17">
        <f t="shared" si="19"/>
        <v>1</v>
      </c>
      <c r="AA122" s="17">
        <f t="shared" si="19"/>
        <v>1</v>
      </c>
      <c r="AB122" s="17">
        <f t="shared" si="19"/>
        <v>0</v>
      </c>
      <c r="AC122" s="17">
        <f t="shared" si="19"/>
        <v>0</v>
      </c>
      <c r="AD122" s="17">
        <f t="shared" si="14"/>
        <v>9</v>
      </c>
    </row>
    <row r="123" spans="4:30" x14ac:dyDescent="0.2">
      <c r="D123" s="37">
        <v>45041</v>
      </c>
      <c r="E123" s="17" t="str">
        <f t="shared" si="12"/>
        <v>weekday</v>
      </c>
      <c r="F123" s="17">
        <f t="shared" si="20"/>
        <v>0</v>
      </c>
      <c r="G123" s="17">
        <f t="shared" si="20"/>
        <v>0</v>
      </c>
      <c r="H123" s="17">
        <f t="shared" si="20"/>
        <v>0</v>
      </c>
      <c r="I123" s="17">
        <f t="shared" si="20"/>
        <v>0</v>
      </c>
      <c r="J123" s="17">
        <f t="shared" si="20"/>
        <v>0</v>
      </c>
      <c r="K123" s="17">
        <f t="shared" si="20"/>
        <v>0</v>
      </c>
      <c r="L123" s="17">
        <f t="shared" si="20"/>
        <v>1</v>
      </c>
      <c r="M123" s="17">
        <f t="shared" si="20"/>
        <v>1</v>
      </c>
      <c r="N123" s="17">
        <f t="shared" si="20"/>
        <v>0</v>
      </c>
      <c r="O123" s="17">
        <f t="shared" si="20"/>
        <v>0</v>
      </c>
      <c r="P123" s="17">
        <f t="shared" si="20"/>
        <v>0</v>
      </c>
      <c r="Q123" s="17">
        <f t="shared" si="20"/>
        <v>0</v>
      </c>
      <c r="R123" s="17">
        <f t="shared" si="20"/>
        <v>0</v>
      </c>
      <c r="S123" s="17">
        <f t="shared" si="20"/>
        <v>0</v>
      </c>
      <c r="T123" s="17">
        <f t="shared" si="20"/>
        <v>0</v>
      </c>
      <c r="U123" s="17">
        <f t="shared" si="20"/>
        <v>1</v>
      </c>
      <c r="V123" s="17">
        <f t="shared" si="19"/>
        <v>1</v>
      </c>
      <c r="W123" s="17">
        <f t="shared" si="19"/>
        <v>1</v>
      </c>
      <c r="X123" s="17">
        <f t="shared" si="19"/>
        <v>1</v>
      </c>
      <c r="Y123" s="17">
        <f t="shared" si="19"/>
        <v>1</v>
      </c>
      <c r="Z123" s="17">
        <f t="shared" si="19"/>
        <v>1</v>
      </c>
      <c r="AA123" s="17">
        <f t="shared" si="19"/>
        <v>1</v>
      </c>
      <c r="AB123" s="17">
        <f t="shared" si="19"/>
        <v>0</v>
      </c>
      <c r="AC123" s="17">
        <f t="shared" si="19"/>
        <v>0</v>
      </c>
      <c r="AD123" s="17">
        <f t="shared" si="14"/>
        <v>9</v>
      </c>
    </row>
    <row r="124" spans="4:30" x14ac:dyDescent="0.2">
      <c r="D124" s="37">
        <v>45042</v>
      </c>
      <c r="E124" s="17" t="str">
        <f t="shared" si="12"/>
        <v>weekday</v>
      </c>
      <c r="F124" s="17">
        <f t="shared" si="20"/>
        <v>0</v>
      </c>
      <c r="G124" s="17">
        <f t="shared" si="20"/>
        <v>0</v>
      </c>
      <c r="H124" s="17">
        <f t="shared" si="20"/>
        <v>0</v>
      </c>
      <c r="I124" s="17">
        <f t="shared" si="20"/>
        <v>0</v>
      </c>
      <c r="J124" s="17">
        <f t="shared" si="20"/>
        <v>0</v>
      </c>
      <c r="K124" s="17">
        <f t="shared" si="20"/>
        <v>0</v>
      </c>
      <c r="L124" s="17">
        <f t="shared" si="20"/>
        <v>1</v>
      </c>
      <c r="M124" s="17">
        <f t="shared" si="20"/>
        <v>1</v>
      </c>
      <c r="N124" s="17">
        <f t="shared" si="20"/>
        <v>0</v>
      </c>
      <c r="O124" s="17">
        <f t="shared" si="20"/>
        <v>0</v>
      </c>
      <c r="P124" s="17">
        <f t="shared" si="20"/>
        <v>0</v>
      </c>
      <c r="Q124" s="17">
        <f t="shared" si="20"/>
        <v>0</v>
      </c>
      <c r="R124" s="17">
        <f t="shared" si="20"/>
        <v>0</v>
      </c>
      <c r="S124" s="17">
        <f t="shared" si="20"/>
        <v>0</v>
      </c>
      <c r="T124" s="17">
        <f t="shared" si="20"/>
        <v>0</v>
      </c>
      <c r="U124" s="17">
        <f t="shared" si="20"/>
        <v>1</v>
      </c>
      <c r="V124" s="17">
        <f t="shared" si="19"/>
        <v>1</v>
      </c>
      <c r="W124" s="17">
        <f t="shared" si="19"/>
        <v>1</v>
      </c>
      <c r="X124" s="17">
        <f t="shared" si="19"/>
        <v>1</v>
      </c>
      <c r="Y124" s="17">
        <f t="shared" si="19"/>
        <v>1</v>
      </c>
      <c r="Z124" s="17">
        <f t="shared" si="19"/>
        <v>1</v>
      </c>
      <c r="AA124" s="17">
        <f t="shared" si="19"/>
        <v>1</v>
      </c>
      <c r="AB124" s="17">
        <f t="shared" si="19"/>
        <v>0</v>
      </c>
      <c r="AC124" s="17">
        <f t="shared" si="19"/>
        <v>0</v>
      </c>
      <c r="AD124" s="17">
        <f t="shared" si="14"/>
        <v>9</v>
      </c>
    </row>
    <row r="125" spans="4:30" x14ac:dyDescent="0.2">
      <c r="D125" s="37">
        <v>45043</v>
      </c>
      <c r="E125" s="17" t="str">
        <f t="shared" si="12"/>
        <v>weekday</v>
      </c>
      <c r="F125" s="17">
        <f t="shared" si="20"/>
        <v>0</v>
      </c>
      <c r="G125" s="17">
        <f t="shared" si="20"/>
        <v>0</v>
      </c>
      <c r="H125" s="17">
        <f t="shared" si="20"/>
        <v>0</v>
      </c>
      <c r="I125" s="17">
        <f t="shared" si="20"/>
        <v>0</v>
      </c>
      <c r="J125" s="17">
        <f t="shared" si="20"/>
        <v>0</v>
      </c>
      <c r="K125" s="17">
        <f t="shared" si="20"/>
        <v>0</v>
      </c>
      <c r="L125" s="17">
        <f t="shared" si="20"/>
        <v>1</v>
      </c>
      <c r="M125" s="17">
        <f t="shared" si="20"/>
        <v>1</v>
      </c>
      <c r="N125" s="17">
        <f t="shared" si="20"/>
        <v>0</v>
      </c>
      <c r="O125" s="17">
        <f t="shared" si="20"/>
        <v>0</v>
      </c>
      <c r="P125" s="17">
        <f t="shared" si="20"/>
        <v>0</v>
      </c>
      <c r="Q125" s="17">
        <f t="shared" si="20"/>
        <v>0</v>
      </c>
      <c r="R125" s="17">
        <f t="shared" si="20"/>
        <v>0</v>
      </c>
      <c r="S125" s="17">
        <f t="shared" si="20"/>
        <v>0</v>
      </c>
      <c r="T125" s="17">
        <f t="shared" si="20"/>
        <v>0</v>
      </c>
      <c r="U125" s="17">
        <f t="shared" si="20"/>
        <v>1</v>
      </c>
      <c r="V125" s="17">
        <f t="shared" si="19"/>
        <v>1</v>
      </c>
      <c r="W125" s="17">
        <f t="shared" si="19"/>
        <v>1</v>
      </c>
      <c r="X125" s="17">
        <f t="shared" si="19"/>
        <v>1</v>
      </c>
      <c r="Y125" s="17">
        <f t="shared" si="19"/>
        <v>1</v>
      </c>
      <c r="Z125" s="17">
        <f t="shared" si="19"/>
        <v>1</v>
      </c>
      <c r="AA125" s="17">
        <f t="shared" si="19"/>
        <v>1</v>
      </c>
      <c r="AB125" s="17">
        <f t="shared" si="19"/>
        <v>0</v>
      </c>
      <c r="AC125" s="17">
        <f t="shared" si="19"/>
        <v>0</v>
      </c>
      <c r="AD125" s="17">
        <f t="shared" si="14"/>
        <v>9</v>
      </c>
    </row>
    <row r="126" spans="4:30" x14ac:dyDescent="0.2">
      <c r="D126" s="37">
        <v>45044</v>
      </c>
      <c r="E126" s="17" t="str">
        <f t="shared" si="12"/>
        <v>weekday</v>
      </c>
      <c r="F126" s="17">
        <f t="shared" si="20"/>
        <v>0</v>
      </c>
      <c r="G126" s="17">
        <f t="shared" si="20"/>
        <v>0</v>
      </c>
      <c r="H126" s="17">
        <f t="shared" si="20"/>
        <v>0</v>
      </c>
      <c r="I126" s="17">
        <f t="shared" si="20"/>
        <v>0</v>
      </c>
      <c r="J126" s="17">
        <f t="shared" si="20"/>
        <v>0</v>
      </c>
      <c r="K126" s="17">
        <f t="shared" si="20"/>
        <v>0</v>
      </c>
      <c r="L126" s="17">
        <f t="shared" si="20"/>
        <v>1</v>
      </c>
      <c r="M126" s="17">
        <f t="shared" si="20"/>
        <v>1</v>
      </c>
      <c r="N126" s="17">
        <f t="shared" si="20"/>
        <v>0</v>
      </c>
      <c r="O126" s="17">
        <f t="shared" si="20"/>
        <v>0</v>
      </c>
      <c r="P126" s="17">
        <f t="shared" si="20"/>
        <v>0</v>
      </c>
      <c r="Q126" s="17">
        <f t="shared" si="20"/>
        <v>0</v>
      </c>
      <c r="R126" s="17">
        <f t="shared" si="20"/>
        <v>0</v>
      </c>
      <c r="S126" s="17">
        <f t="shared" si="20"/>
        <v>0</v>
      </c>
      <c r="T126" s="17">
        <f t="shared" si="20"/>
        <v>0</v>
      </c>
      <c r="U126" s="17">
        <f t="shared" si="20"/>
        <v>1</v>
      </c>
      <c r="V126" s="17">
        <f t="shared" si="19"/>
        <v>1</v>
      </c>
      <c r="W126" s="17">
        <f t="shared" si="19"/>
        <v>1</v>
      </c>
      <c r="X126" s="17">
        <f t="shared" si="19"/>
        <v>1</v>
      </c>
      <c r="Y126" s="17">
        <f t="shared" si="19"/>
        <v>1</v>
      </c>
      <c r="Z126" s="17">
        <f t="shared" si="19"/>
        <v>1</v>
      </c>
      <c r="AA126" s="17">
        <f t="shared" si="19"/>
        <v>1</v>
      </c>
      <c r="AB126" s="17">
        <f t="shared" si="19"/>
        <v>0</v>
      </c>
      <c r="AC126" s="17">
        <f t="shared" si="19"/>
        <v>0</v>
      </c>
      <c r="AD126" s="17">
        <f t="shared" si="14"/>
        <v>9</v>
      </c>
    </row>
    <row r="127" spans="4:30" x14ac:dyDescent="0.2">
      <c r="D127" s="37">
        <v>45045</v>
      </c>
      <c r="E127" s="17" t="str">
        <f t="shared" si="12"/>
        <v>weekend</v>
      </c>
      <c r="F127" s="17">
        <f t="shared" si="20"/>
        <v>0</v>
      </c>
      <c r="G127" s="17">
        <f t="shared" si="20"/>
        <v>0</v>
      </c>
      <c r="H127" s="17">
        <f t="shared" si="20"/>
        <v>0</v>
      </c>
      <c r="I127" s="17">
        <f t="shared" si="20"/>
        <v>0</v>
      </c>
      <c r="J127" s="17">
        <f t="shared" si="20"/>
        <v>0</v>
      </c>
      <c r="K127" s="17">
        <f t="shared" si="20"/>
        <v>0</v>
      </c>
      <c r="L127" s="17">
        <f t="shared" si="20"/>
        <v>1</v>
      </c>
      <c r="M127" s="17">
        <f t="shared" si="20"/>
        <v>1</v>
      </c>
      <c r="N127" s="17">
        <f t="shared" si="20"/>
        <v>1</v>
      </c>
      <c r="O127" s="17">
        <f t="shared" si="20"/>
        <v>1</v>
      </c>
      <c r="P127" s="17">
        <f t="shared" si="20"/>
        <v>1</v>
      </c>
      <c r="Q127" s="17">
        <f t="shared" si="20"/>
        <v>1</v>
      </c>
      <c r="R127" s="17">
        <f t="shared" si="20"/>
        <v>1</v>
      </c>
      <c r="S127" s="17">
        <f t="shared" si="20"/>
        <v>1</v>
      </c>
      <c r="T127" s="17">
        <f t="shared" si="20"/>
        <v>1</v>
      </c>
      <c r="U127" s="17">
        <f t="shared" si="20"/>
        <v>1</v>
      </c>
      <c r="V127" s="17">
        <f t="shared" si="19"/>
        <v>1</v>
      </c>
      <c r="W127" s="17">
        <f t="shared" si="19"/>
        <v>1</v>
      </c>
      <c r="X127" s="17">
        <f t="shared" si="19"/>
        <v>1</v>
      </c>
      <c r="Y127" s="17">
        <f t="shared" si="19"/>
        <v>1</v>
      </c>
      <c r="Z127" s="17">
        <f t="shared" si="19"/>
        <v>1</v>
      </c>
      <c r="AA127" s="17">
        <f t="shared" si="19"/>
        <v>1</v>
      </c>
      <c r="AB127" s="17">
        <f t="shared" si="19"/>
        <v>0</v>
      </c>
      <c r="AC127" s="17">
        <f t="shared" si="19"/>
        <v>0</v>
      </c>
      <c r="AD127" s="17">
        <f t="shared" si="14"/>
        <v>16</v>
      </c>
    </row>
    <row r="128" spans="4:30" x14ac:dyDescent="0.2">
      <c r="D128" s="37">
        <v>45046</v>
      </c>
      <c r="E128" s="17" t="str">
        <f t="shared" si="12"/>
        <v>weekend</v>
      </c>
      <c r="F128" s="17">
        <f t="shared" si="20"/>
        <v>0</v>
      </c>
      <c r="G128" s="17">
        <f t="shared" si="20"/>
        <v>0</v>
      </c>
      <c r="H128" s="17">
        <f t="shared" si="20"/>
        <v>0</v>
      </c>
      <c r="I128" s="17">
        <f t="shared" si="20"/>
        <v>0</v>
      </c>
      <c r="J128" s="17">
        <f t="shared" si="20"/>
        <v>0</v>
      </c>
      <c r="K128" s="17">
        <f t="shared" si="20"/>
        <v>0</v>
      </c>
      <c r="L128" s="17">
        <f t="shared" si="20"/>
        <v>1</v>
      </c>
      <c r="M128" s="17">
        <f t="shared" si="20"/>
        <v>1</v>
      </c>
      <c r="N128" s="17">
        <f t="shared" si="20"/>
        <v>1</v>
      </c>
      <c r="O128" s="17">
        <f t="shared" si="20"/>
        <v>1</v>
      </c>
      <c r="P128" s="17">
        <f t="shared" si="20"/>
        <v>1</v>
      </c>
      <c r="Q128" s="17">
        <f t="shared" si="20"/>
        <v>1</v>
      </c>
      <c r="R128" s="17">
        <f t="shared" si="20"/>
        <v>1</v>
      </c>
      <c r="S128" s="17">
        <f t="shared" si="20"/>
        <v>1</v>
      </c>
      <c r="T128" s="17">
        <f t="shared" si="20"/>
        <v>1</v>
      </c>
      <c r="U128" s="17">
        <f t="shared" si="20"/>
        <v>1</v>
      </c>
      <c r="V128" s="17">
        <f t="shared" si="19"/>
        <v>1</v>
      </c>
      <c r="W128" s="17">
        <f t="shared" si="19"/>
        <v>1</v>
      </c>
      <c r="X128" s="17">
        <f t="shared" si="19"/>
        <v>1</v>
      </c>
      <c r="Y128" s="17">
        <f t="shared" si="19"/>
        <v>1</v>
      </c>
      <c r="Z128" s="17">
        <f t="shared" si="19"/>
        <v>1</v>
      </c>
      <c r="AA128" s="17">
        <f t="shared" si="19"/>
        <v>1</v>
      </c>
      <c r="AB128" s="17">
        <f t="shared" si="19"/>
        <v>0</v>
      </c>
      <c r="AC128" s="17">
        <f t="shared" si="19"/>
        <v>0</v>
      </c>
      <c r="AD128" s="17">
        <f t="shared" si="14"/>
        <v>16</v>
      </c>
    </row>
    <row r="129" spans="4:30" x14ac:dyDescent="0.2">
      <c r="D129" s="37">
        <v>45047</v>
      </c>
      <c r="E129" s="17" t="str">
        <f t="shared" si="12"/>
        <v>weekday</v>
      </c>
      <c r="F129" s="17">
        <f t="shared" si="20"/>
        <v>0</v>
      </c>
      <c r="G129" s="17">
        <f t="shared" si="20"/>
        <v>0</v>
      </c>
      <c r="H129" s="17">
        <f t="shared" si="20"/>
        <v>0</v>
      </c>
      <c r="I129" s="17">
        <f t="shared" si="20"/>
        <v>0</v>
      </c>
      <c r="J129" s="17">
        <f t="shared" si="20"/>
        <v>0</v>
      </c>
      <c r="K129" s="17">
        <f t="shared" si="20"/>
        <v>0</v>
      </c>
      <c r="L129" s="17">
        <f t="shared" si="20"/>
        <v>1</v>
      </c>
      <c r="M129" s="17">
        <f t="shared" si="20"/>
        <v>1</v>
      </c>
      <c r="N129" s="17">
        <f t="shared" si="20"/>
        <v>0</v>
      </c>
      <c r="O129" s="17">
        <f t="shared" si="20"/>
        <v>0</v>
      </c>
      <c r="P129" s="17">
        <f t="shared" si="20"/>
        <v>0</v>
      </c>
      <c r="Q129" s="17">
        <f t="shared" si="20"/>
        <v>0</v>
      </c>
      <c r="R129" s="17">
        <f t="shared" si="20"/>
        <v>0</v>
      </c>
      <c r="S129" s="17">
        <f t="shared" si="20"/>
        <v>0</v>
      </c>
      <c r="T129" s="17">
        <f t="shared" si="20"/>
        <v>0</v>
      </c>
      <c r="U129" s="17">
        <f t="shared" si="20"/>
        <v>1</v>
      </c>
      <c r="V129" s="17">
        <f t="shared" si="19"/>
        <v>1</v>
      </c>
      <c r="W129" s="17">
        <f t="shared" si="19"/>
        <v>1</v>
      </c>
      <c r="X129" s="17">
        <f t="shared" si="19"/>
        <v>1</v>
      </c>
      <c r="Y129" s="17">
        <f t="shared" si="19"/>
        <v>1</v>
      </c>
      <c r="Z129" s="17">
        <f t="shared" si="19"/>
        <v>1</v>
      </c>
      <c r="AA129" s="17">
        <f t="shared" si="19"/>
        <v>1</v>
      </c>
      <c r="AB129" s="17">
        <f t="shared" si="19"/>
        <v>0</v>
      </c>
      <c r="AC129" s="17">
        <f t="shared" si="19"/>
        <v>0</v>
      </c>
      <c r="AD129" s="17">
        <f t="shared" si="14"/>
        <v>9</v>
      </c>
    </row>
    <row r="130" spans="4:30" x14ac:dyDescent="0.2">
      <c r="D130" s="37">
        <v>45048</v>
      </c>
      <c r="E130" s="17" t="str">
        <f t="shared" si="12"/>
        <v>weekday</v>
      </c>
      <c r="F130" s="17">
        <f t="shared" si="20"/>
        <v>0</v>
      </c>
      <c r="G130" s="17">
        <f t="shared" si="20"/>
        <v>0</v>
      </c>
      <c r="H130" s="17">
        <f t="shared" si="20"/>
        <v>0</v>
      </c>
      <c r="I130" s="17">
        <f t="shared" si="20"/>
        <v>0</v>
      </c>
      <c r="J130" s="17">
        <f t="shared" si="20"/>
        <v>0</v>
      </c>
      <c r="K130" s="17">
        <f t="shared" si="20"/>
        <v>0</v>
      </c>
      <c r="L130" s="17">
        <f t="shared" si="20"/>
        <v>1</v>
      </c>
      <c r="M130" s="17">
        <f t="shared" si="20"/>
        <v>1</v>
      </c>
      <c r="N130" s="17">
        <f t="shared" si="20"/>
        <v>0</v>
      </c>
      <c r="O130" s="17">
        <f t="shared" si="20"/>
        <v>0</v>
      </c>
      <c r="P130" s="17">
        <f t="shared" si="20"/>
        <v>0</v>
      </c>
      <c r="Q130" s="17">
        <f t="shared" si="20"/>
        <v>0</v>
      </c>
      <c r="R130" s="17">
        <f t="shared" si="20"/>
        <v>0</v>
      </c>
      <c r="S130" s="17">
        <f t="shared" si="20"/>
        <v>0</v>
      </c>
      <c r="T130" s="17">
        <f t="shared" si="20"/>
        <v>0</v>
      </c>
      <c r="U130" s="17">
        <f t="shared" si="20"/>
        <v>1</v>
      </c>
      <c r="V130" s="17">
        <f t="shared" si="19"/>
        <v>1</v>
      </c>
      <c r="W130" s="17">
        <f t="shared" si="19"/>
        <v>1</v>
      </c>
      <c r="X130" s="17">
        <f t="shared" si="19"/>
        <v>1</v>
      </c>
      <c r="Y130" s="17">
        <f t="shared" si="19"/>
        <v>1</v>
      </c>
      <c r="Z130" s="17">
        <f t="shared" si="19"/>
        <v>1</v>
      </c>
      <c r="AA130" s="17">
        <f t="shared" si="19"/>
        <v>1</v>
      </c>
      <c r="AB130" s="17">
        <f t="shared" si="19"/>
        <v>0</v>
      </c>
      <c r="AC130" s="17">
        <f t="shared" si="19"/>
        <v>0</v>
      </c>
      <c r="AD130" s="17">
        <f t="shared" si="14"/>
        <v>9</v>
      </c>
    </row>
    <row r="131" spans="4:30" x14ac:dyDescent="0.2">
      <c r="D131" s="37">
        <v>45049</v>
      </c>
      <c r="E131" s="17" t="str">
        <f t="shared" si="12"/>
        <v>weekday</v>
      </c>
      <c r="F131" s="17">
        <f t="shared" si="20"/>
        <v>0</v>
      </c>
      <c r="G131" s="17">
        <f t="shared" si="20"/>
        <v>0</v>
      </c>
      <c r="H131" s="17">
        <f t="shared" si="20"/>
        <v>0</v>
      </c>
      <c r="I131" s="17">
        <f t="shared" si="20"/>
        <v>0</v>
      </c>
      <c r="J131" s="17">
        <f t="shared" si="20"/>
        <v>0</v>
      </c>
      <c r="K131" s="17">
        <f t="shared" si="20"/>
        <v>0</v>
      </c>
      <c r="L131" s="17">
        <f t="shared" si="20"/>
        <v>1</v>
      </c>
      <c r="M131" s="17">
        <f t="shared" si="20"/>
        <v>1</v>
      </c>
      <c r="N131" s="17">
        <f t="shared" si="20"/>
        <v>0</v>
      </c>
      <c r="O131" s="17">
        <f t="shared" si="20"/>
        <v>0</v>
      </c>
      <c r="P131" s="17">
        <f t="shared" si="20"/>
        <v>0</v>
      </c>
      <c r="Q131" s="17">
        <f t="shared" si="20"/>
        <v>0</v>
      </c>
      <c r="R131" s="17">
        <f t="shared" si="20"/>
        <v>0</v>
      </c>
      <c r="S131" s="17">
        <f t="shared" si="20"/>
        <v>0</v>
      </c>
      <c r="T131" s="17">
        <f t="shared" si="20"/>
        <v>0</v>
      </c>
      <c r="U131" s="17">
        <f t="shared" si="20"/>
        <v>1</v>
      </c>
      <c r="V131" s="17">
        <f t="shared" si="19"/>
        <v>1</v>
      </c>
      <c r="W131" s="17">
        <f t="shared" si="19"/>
        <v>1</v>
      </c>
      <c r="X131" s="17">
        <f t="shared" si="19"/>
        <v>1</v>
      </c>
      <c r="Y131" s="17">
        <f t="shared" si="19"/>
        <v>1</v>
      </c>
      <c r="Z131" s="17">
        <f t="shared" si="19"/>
        <v>1</v>
      </c>
      <c r="AA131" s="17">
        <f t="shared" si="19"/>
        <v>1</v>
      </c>
      <c r="AB131" s="17">
        <f t="shared" si="19"/>
        <v>0</v>
      </c>
      <c r="AC131" s="17">
        <f t="shared" si="19"/>
        <v>0</v>
      </c>
      <c r="AD131" s="17">
        <f t="shared" si="14"/>
        <v>9</v>
      </c>
    </row>
    <row r="132" spans="4:30" x14ac:dyDescent="0.2">
      <c r="D132" s="37">
        <v>45050</v>
      </c>
      <c r="E132" s="17" t="str">
        <f t="shared" si="12"/>
        <v>weekday</v>
      </c>
      <c r="F132" s="17">
        <f t="shared" si="20"/>
        <v>0</v>
      </c>
      <c r="G132" s="17">
        <f t="shared" si="20"/>
        <v>0</v>
      </c>
      <c r="H132" s="17">
        <f t="shared" si="20"/>
        <v>0</v>
      </c>
      <c r="I132" s="17">
        <f t="shared" si="20"/>
        <v>0</v>
      </c>
      <c r="J132" s="17">
        <f t="shared" si="20"/>
        <v>0</v>
      </c>
      <c r="K132" s="17">
        <f t="shared" si="20"/>
        <v>0</v>
      </c>
      <c r="L132" s="17">
        <f t="shared" si="20"/>
        <v>1</v>
      </c>
      <c r="M132" s="17">
        <f t="shared" si="20"/>
        <v>1</v>
      </c>
      <c r="N132" s="17">
        <f t="shared" si="20"/>
        <v>0</v>
      </c>
      <c r="O132" s="17">
        <f t="shared" si="20"/>
        <v>0</v>
      </c>
      <c r="P132" s="17">
        <f t="shared" si="20"/>
        <v>0</v>
      </c>
      <c r="Q132" s="17">
        <f t="shared" si="20"/>
        <v>0</v>
      </c>
      <c r="R132" s="17">
        <f t="shared" si="20"/>
        <v>0</v>
      </c>
      <c r="S132" s="17">
        <f t="shared" si="20"/>
        <v>0</v>
      </c>
      <c r="T132" s="17">
        <f t="shared" si="20"/>
        <v>0</v>
      </c>
      <c r="U132" s="17">
        <f t="shared" si="20"/>
        <v>1</v>
      </c>
      <c r="V132" s="17">
        <f t="shared" si="19"/>
        <v>1</v>
      </c>
      <c r="W132" s="17">
        <f t="shared" si="19"/>
        <v>1</v>
      </c>
      <c r="X132" s="17">
        <f t="shared" si="19"/>
        <v>1</v>
      </c>
      <c r="Y132" s="17">
        <f t="shared" si="19"/>
        <v>1</v>
      </c>
      <c r="Z132" s="17">
        <f t="shared" si="19"/>
        <v>1</v>
      </c>
      <c r="AA132" s="17">
        <f t="shared" si="19"/>
        <v>1</v>
      </c>
      <c r="AB132" s="17">
        <f t="shared" si="19"/>
        <v>0</v>
      </c>
      <c r="AC132" s="17">
        <f t="shared" si="19"/>
        <v>0</v>
      </c>
      <c r="AD132" s="17">
        <f t="shared" si="14"/>
        <v>9</v>
      </c>
    </row>
    <row r="133" spans="4:30" x14ac:dyDescent="0.2">
      <c r="D133" s="37">
        <v>45051</v>
      </c>
      <c r="E133" s="17" t="str">
        <f t="shared" si="12"/>
        <v>weekday</v>
      </c>
      <c r="F133" s="17">
        <f t="shared" si="20"/>
        <v>0</v>
      </c>
      <c r="G133" s="17">
        <f t="shared" si="20"/>
        <v>0</v>
      </c>
      <c r="H133" s="17">
        <f t="shared" si="20"/>
        <v>0</v>
      </c>
      <c r="I133" s="17">
        <f t="shared" si="20"/>
        <v>0</v>
      </c>
      <c r="J133" s="17">
        <f t="shared" si="20"/>
        <v>0</v>
      </c>
      <c r="K133" s="17">
        <f t="shared" si="20"/>
        <v>0</v>
      </c>
      <c r="L133" s="17">
        <f t="shared" si="20"/>
        <v>1</v>
      </c>
      <c r="M133" s="17">
        <f t="shared" si="20"/>
        <v>1</v>
      </c>
      <c r="N133" s="17">
        <f t="shared" si="20"/>
        <v>0</v>
      </c>
      <c r="O133" s="17">
        <f t="shared" si="20"/>
        <v>0</v>
      </c>
      <c r="P133" s="17">
        <f t="shared" si="20"/>
        <v>0</v>
      </c>
      <c r="Q133" s="17">
        <f t="shared" si="20"/>
        <v>0</v>
      </c>
      <c r="R133" s="17">
        <f t="shared" si="20"/>
        <v>0</v>
      </c>
      <c r="S133" s="17">
        <f t="shared" si="20"/>
        <v>0</v>
      </c>
      <c r="T133" s="17">
        <f t="shared" si="20"/>
        <v>0</v>
      </c>
      <c r="U133" s="17">
        <f t="shared" si="20"/>
        <v>1</v>
      </c>
      <c r="V133" s="17">
        <f t="shared" si="19"/>
        <v>1</v>
      </c>
      <c r="W133" s="17">
        <f t="shared" si="19"/>
        <v>1</v>
      </c>
      <c r="X133" s="17">
        <f t="shared" si="19"/>
        <v>1</v>
      </c>
      <c r="Y133" s="17">
        <f t="shared" si="19"/>
        <v>1</v>
      </c>
      <c r="Z133" s="17">
        <f t="shared" si="19"/>
        <v>1</v>
      </c>
      <c r="AA133" s="17">
        <f t="shared" si="19"/>
        <v>1</v>
      </c>
      <c r="AB133" s="17">
        <f t="shared" si="19"/>
        <v>0</v>
      </c>
      <c r="AC133" s="17">
        <f t="shared" si="19"/>
        <v>0</v>
      </c>
      <c r="AD133" s="17">
        <f t="shared" si="14"/>
        <v>9</v>
      </c>
    </row>
    <row r="134" spans="4:30" x14ac:dyDescent="0.2">
      <c r="D134" s="37">
        <v>45052</v>
      </c>
      <c r="E134" s="17" t="str">
        <f t="shared" si="12"/>
        <v>weekend</v>
      </c>
      <c r="F134" s="17">
        <f t="shared" si="20"/>
        <v>0</v>
      </c>
      <c r="G134" s="17">
        <f t="shared" si="20"/>
        <v>0</v>
      </c>
      <c r="H134" s="17">
        <f t="shared" si="20"/>
        <v>0</v>
      </c>
      <c r="I134" s="17">
        <f t="shared" si="20"/>
        <v>0</v>
      </c>
      <c r="J134" s="17">
        <f t="shared" si="20"/>
        <v>0</v>
      </c>
      <c r="K134" s="17">
        <f t="shared" si="20"/>
        <v>0</v>
      </c>
      <c r="L134" s="17">
        <f t="shared" si="20"/>
        <v>1</v>
      </c>
      <c r="M134" s="17">
        <f t="shared" si="20"/>
        <v>1</v>
      </c>
      <c r="N134" s="17">
        <f t="shared" si="20"/>
        <v>1</v>
      </c>
      <c r="O134" s="17">
        <f t="shared" si="20"/>
        <v>1</v>
      </c>
      <c r="P134" s="17">
        <f t="shared" si="20"/>
        <v>1</v>
      </c>
      <c r="Q134" s="17">
        <f t="shared" si="20"/>
        <v>1</v>
      </c>
      <c r="R134" s="17">
        <f t="shared" si="20"/>
        <v>1</v>
      </c>
      <c r="S134" s="17">
        <f t="shared" si="20"/>
        <v>1</v>
      </c>
      <c r="T134" s="17">
        <f t="shared" si="20"/>
        <v>1</v>
      </c>
      <c r="U134" s="17">
        <f t="shared" si="20"/>
        <v>1</v>
      </c>
      <c r="V134" s="17">
        <f t="shared" si="19"/>
        <v>1</v>
      </c>
      <c r="W134" s="17">
        <f t="shared" si="19"/>
        <v>1</v>
      </c>
      <c r="X134" s="17">
        <f t="shared" si="19"/>
        <v>1</v>
      </c>
      <c r="Y134" s="17">
        <f t="shared" si="19"/>
        <v>1</v>
      </c>
      <c r="Z134" s="17">
        <f t="shared" si="19"/>
        <v>1</v>
      </c>
      <c r="AA134" s="17">
        <f t="shared" si="19"/>
        <v>1</v>
      </c>
      <c r="AB134" s="17">
        <f t="shared" si="19"/>
        <v>0</v>
      </c>
      <c r="AC134" s="17">
        <f t="shared" si="19"/>
        <v>0</v>
      </c>
      <c r="AD134" s="17">
        <f t="shared" si="14"/>
        <v>16</v>
      </c>
    </row>
    <row r="135" spans="4:30" x14ac:dyDescent="0.2">
      <c r="D135" s="37">
        <v>45053</v>
      </c>
      <c r="E135" s="17" t="str">
        <f t="shared" si="12"/>
        <v>weekend</v>
      </c>
      <c r="F135" s="17">
        <f t="shared" si="20"/>
        <v>0</v>
      </c>
      <c r="G135" s="17">
        <f t="shared" si="20"/>
        <v>0</v>
      </c>
      <c r="H135" s="17">
        <f t="shared" si="20"/>
        <v>0</v>
      </c>
      <c r="I135" s="17">
        <f t="shared" si="20"/>
        <v>0</v>
      </c>
      <c r="J135" s="17">
        <f t="shared" si="20"/>
        <v>0</v>
      </c>
      <c r="K135" s="17">
        <f t="shared" si="20"/>
        <v>0</v>
      </c>
      <c r="L135" s="17">
        <f t="shared" si="20"/>
        <v>1</v>
      </c>
      <c r="M135" s="17">
        <f t="shared" si="20"/>
        <v>1</v>
      </c>
      <c r="N135" s="17">
        <f t="shared" si="20"/>
        <v>1</v>
      </c>
      <c r="O135" s="17">
        <f t="shared" si="20"/>
        <v>1</v>
      </c>
      <c r="P135" s="17">
        <f t="shared" si="20"/>
        <v>1</v>
      </c>
      <c r="Q135" s="17">
        <f t="shared" si="20"/>
        <v>1</v>
      </c>
      <c r="R135" s="17">
        <f t="shared" si="20"/>
        <v>1</v>
      </c>
      <c r="S135" s="17">
        <f t="shared" si="20"/>
        <v>1</v>
      </c>
      <c r="T135" s="17">
        <f t="shared" si="20"/>
        <v>1</v>
      </c>
      <c r="U135" s="17">
        <f t="shared" si="20"/>
        <v>1</v>
      </c>
      <c r="V135" s="17">
        <f t="shared" si="19"/>
        <v>1</v>
      </c>
      <c r="W135" s="17">
        <f t="shared" si="19"/>
        <v>1</v>
      </c>
      <c r="X135" s="17">
        <f t="shared" si="19"/>
        <v>1</v>
      </c>
      <c r="Y135" s="17">
        <f t="shared" si="19"/>
        <v>1</v>
      </c>
      <c r="Z135" s="17">
        <f t="shared" si="19"/>
        <v>1</v>
      </c>
      <c r="AA135" s="17">
        <f t="shared" si="19"/>
        <v>1</v>
      </c>
      <c r="AB135" s="17">
        <f t="shared" si="19"/>
        <v>0</v>
      </c>
      <c r="AC135" s="17">
        <f t="shared" si="19"/>
        <v>0</v>
      </c>
      <c r="AD135" s="17">
        <f t="shared" si="14"/>
        <v>16</v>
      </c>
    </row>
    <row r="136" spans="4:30" x14ac:dyDescent="0.2">
      <c r="D136" s="37">
        <v>45054</v>
      </c>
      <c r="E136" s="17" t="str">
        <f t="shared" si="12"/>
        <v>weekday</v>
      </c>
      <c r="F136" s="17">
        <f t="shared" si="20"/>
        <v>0</v>
      </c>
      <c r="G136" s="17">
        <f t="shared" si="20"/>
        <v>0</v>
      </c>
      <c r="H136" s="17">
        <f t="shared" si="20"/>
        <v>0</v>
      </c>
      <c r="I136" s="17">
        <f t="shared" si="20"/>
        <v>0</v>
      </c>
      <c r="J136" s="17">
        <f t="shared" si="20"/>
        <v>0</v>
      </c>
      <c r="K136" s="17">
        <f t="shared" si="20"/>
        <v>0</v>
      </c>
      <c r="L136" s="17">
        <f t="shared" si="20"/>
        <v>1</v>
      </c>
      <c r="M136" s="17">
        <f t="shared" si="20"/>
        <v>1</v>
      </c>
      <c r="N136" s="17">
        <f t="shared" si="20"/>
        <v>0</v>
      </c>
      <c r="O136" s="17">
        <f t="shared" si="20"/>
        <v>0</v>
      </c>
      <c r="P136" s="17">
        <f t="shared" si="20"/>
        <v>0</v>
      </c>
      <c r="Q136" s="17">
        <f t="shared" si="20"/>
        <v>0</v>
      </c>
      <c r="R136" s="17">
        <f t="shared" si="20"/>
        <v>0</v>
      </c>
      <c r="S136" s="17">
        <f t="shared" si="20"/>
        <v>0</v>
      </c>
      <c r="T136" s="17">
        <f t="shared" si="20"/>
        <v>0</v>
      </c>
      <c r="U136" s="17">
        <f t="shared" si="20"/>
        <v>1</v>
      </c>
      <c r="V136" s="17">
        <f t="shared" si="19"/>
        <v>1</v>
      </c>
      <c r="W136" s="17">
        <f t="shared" si="19"/>
        <v>1</v>
      </c>
      <c r="X136" s="17">
        <f t="shared" si="19"/>
        <v>1</v>
      </c>
      <c r="Y136" s="17">
        <f t="shared" si="19"/>
        <v>1</v>
      </c>
      <c r="Z136" s="17">
        <f t="shared" si="19"/>
        <v>1</v>
      </c>
      <c r="AA136" s="17">
        <f t="shared" si="19"/>
        <v>1</v>
      </c>
      <c r="AB136" s="17">
        <f t="shared" si="19"/>
        <v>0</v>
      </c>
      <c r="AC136" s="17">
        <f t="shared" si="19"/>
        <v>0</v>
      </c>
      <c r="AD136" s="17">
        <f t="shared" si="14"/>
        <v>9</v>
      </c>
    </row>
    <row r="137" spans="4:30" x14ac:dyDescent="0.2">
      <c r="D137" s="37">
        <v>45055</v>
      </c>
      <c r="E137" s="17" t="str">
        <f t="shared" si="12"/>
        <v>weekday</v>
      </c>
      <c r="F137" s="17">
        <f t="shared" si="20"/>
        <v>0</v>
      </c>
      <c r="G137" s="17">
        <f t="shared" si="20"/>
        <v>0</v>
      </c>
      <c r="H137" s="17">
        <f t="shared" si="20"/>
        <v>0</v>
      </c>
      <c r="I137" s="17">
        <f t="shared" si="20"/>
        <v>0</v>
      </c>
      <c r="J137" s="17">
        <f t="shared" si="20"/>
        <v>0</v>
      </c>
      <c r="K137" s="17">
        <f t="shared" si="20"/>
        <v>0</v>
      </c>
      <c r="L137" s="17">
        <f t="shared" si="20"/>
        <v>1</v>
      </c>
      <c r="M137" s="17">
        <f t="shared" si="20"/>
        <v>1</v>
      </c>
      <c r="N137" s="17">
        <f t="shared" si="20"/>
        <v>0</v>
      </c>
      <c r="O137" s="17">
        <f t="shared" si="20"/>
        <v>0</v>
      </c>
      <c r="P137" s="17">
        <f t="shared" si="20"/>
        <v>0</v>
      </c>
      <c r="Q137" s="17">
        <f t="shared" si="20"/>
        <v>0</v>
      </c>
      <c r="R137" s="17">
        <f t="shared" si="20"/>
        <v>0</v>
      </c>
      <c r="S137" s="17">
        <f t="shared" si="20"/>
        <v>0</v>
      </c>
      <c r="T137" s="17">
        <f t="shared" si="20"/>
        <v>0</v>
      </c>
      <c r="U137" s="17">
        <f t="shared" ref="U137:AC152" si="21">IF($E137=$E$5,(U$5),(U$6))</f>
        <v>1</v>
      </c>
      <c r="V137" s="17">
        <f t="shared" si="21"/>
        <v>1</v>
      </c>
      <c r="W137" s="17">
        <f t="shared" si="21"/>
        <v>1</v>
      </c>
      <c r="X137" s="17">
        <f t="shared" si="21"/>
        <v>1</v>
      </c>
      <c r="Y137" s="17">
        <f t="shared" si="21"/>
        <v>1</v>
      </c>
      <c r="Z137" s="17">
        <f t="shared" si="21"/>
        <v>1</v>
      </c>
      <c r="AA137" s="17">
        <f t="shared" si="21"/>
        <v>1</v>
      </c>
      <c r="AB137" s="17">
        <f t="shared" si="21"/>
        <v>0</v>
      </c>
      <c r="AC137" s="17">
        <f t="shared" si="21"/>
        <v>0</v>
      </c>
      <c r="AD137" s="17">
        <f t="shared" si="14"/>
        <v>9</v>
      </c>
    </row>
    <row r="138" spans="4:30" x14ac:dyDescent="0.2">
      <c r="D138" s="37">
        <v>45056</v>
      </c>
      <c r="E138" s="17" t="str">
        <f t="shared" ref="E138:E201" si="22">IF(WEEKDAY(D138, 2)&lt;6, "weekday", "weekend")</f>
        <v>weekday</v>
      </c>
      <c r="F138" s="17">
        <f t="shared" ref="F138:U153" si="23">IF($E138=$E$5,(F$5),(F$6))</f>
        <v>0</v>
      </c>
      <c r="G138" s="17">
        <f t="shared" si="23"/>
        <v>0</v>
      </c>
      <c r="H138" s="17">
        <f t="shared" si="23"/>
        <v>0</v>
      </c>
      <c r="I138" s="17">
        <f t="shared" si="23"/>
        <v>0</v>
      </c>
      <c r="J138" s="17">
        <f t="shared" si="23"/>
        <v>0</v>
      </c>
      <c r="K138" s="17">
        <f t="shared" si="23"/>
        <v>0</v>
      </c>
      <c r="L138" s="17">
        <f t="shared" si="23"/>
        <v>1</v>
      </c>
      <c r="M138" s="17">
        <f t="shared" si="23"/>
        <v>1</v>
      </c>
      <c r="N138" s="17">
        <f t="shared" si="23"/>
        <v>0</v>
      </c>
      <c r="O138" s="17">
        <f t="shared" si="23"/>
        <v>0</v>
      </c>
      <c r="P138" s="17">
        <f t="shared" si="23"/>
        <v>0</v>
      </c>
      <c r="Q138" s="17">
        <f t="shared" si="23"/>
        <v>0</v>
      </c>
      <c r="R138" s="17">
        <f t="shared" si="23"/>
        <v>0</v>
      </c>
      <c r="S138" s="17">
        <f t="shared" si="23"/>
        <v>0</v>
      </c>
      <c r="T138" s="17">
        <f t="shared" si="23"/>
        <v>0</v>
      </c>
      <c r="U138" s="17">
        <f t="shared" si="23"/>
        <v>1</v>
      </c>
      <c r="V138" s="17">
        <f t="shared" si="21"/>
        <v>1</v>
      </c>
      <c r="W138" s="17">
        <f t="shared" si="21"/>
        <v>1</v>
      </c>
      <c r="X138" s="17">
        <f t="shared" si="21"/>
        <v>1</v>
      </c>
      <c r="Y138" s="17">
        <f t="shared" si="21"/>
        <v>1</v>
      </c>
      <c r="Z138" s="17">
        <f t="shared" si="21"/>
        <v>1</v>
      </c>
      <c r="AA138" s="17">
        <f t="shared" si="21"/>
        <v>1</v>
      </c>
      <c r="AB138" s="17">
        <f t="shared" si="21"/>
        <v>0</v>
      </c>
      <c r="AC138" s="17">
        <f t="shared" si="21"/>
        <v>0</v>
      </c>
      <c r="AD138" s="17">
        <f t="shared" ref="AD138:AD201" si="24">SUM(F138:AC138)</f>
        <v>9</v>
      </c>
    </row>
    <row r="139" spans="4:30" x14ac:dyDescent="0.2">
      <c r="D139" s="37">
        <v>45057</v>
      </c>
      <c r="E139" s="17" t="str">
        <f t="shared" si="22"/>
        <v>weekday</v>
      </c>
      <c r="F139" s="17">
        <f t="shared" si="23"/>
        <v>0</v>
      </c>
      <c r="G139" s="17">
        <f t="shared" si="23"/>
        <v>0</v>
      </c>
      <c r="H139" s="17">
        <f t="shared" si="23"/>
        <v>0</v>
      </c>
      <c r="I139" s="17">
        <f t="shared" si="23"/>
        <v>0</v>
      </c>
      <c r="J139" s="17">
        <f t="shared" si="23"/>
        <v>0</v>
      </c>
      <c r="K139" s="17">
        <f t="shared" si="23"/>
        <v>0</v>
      </c>
      <c r="L139" s="17">
        <f t="shared" si="23"/>
        <v>1</v>
      </c>
      <c r="M139" s="17">
        <f t="shared" si="23"/>
        <v>1</v>
      </c>
      <c r="N139" s="17">
        <f t="shared" si="23"/>
        <v>0</v>
      </c>
      <c r="O139" s="17">
        <f t="shared" si="23"/>
        <v>0</v>
      </c>
      <c r="P139" s="17">
        <f t="shared" si="23"/>
        <v>0</v>
      </c>
      <c r="Q139" s="17">
        <f t="shared" si="23"/>
        <v>0</v>
      </c>
      <c r="R139" s="17">
        <f t="shared" si="23"/>
        <v>0</v>
      </c>
      <c r="S139" s="17">
        <f t="shared" si="23"/>
        <v>0</v>
      </c>
      <c r="T139" s="17">
        <f t="shared" si="23"/>
        <v>0</v>
      </c>
      <c r="U139" s="17">
        <f t="shared" si="23"/>
        <v>1</v>
      </c>
      <c r="V139" s="17">
        <f t="shared" si="21"/>
        <v>1</v>
      </c>
      <c r="W139" s="17">
        <f t="shared" si="21"/>
        <v>1</v>
      </c>
      <c r="X139" s="17">
        <f t="shared" si="21"/>
        <v>1</v>
      </c>
      <c r="Y139" s="17">
        <f t="shared" si="21"/>
        <v>1</v>
      </c>
      <c r="Z139" s="17">
        <f t="shared" si="21"/>
        <v>1</v>
      </c>
      <c r="AA139" s="17">
        <f t="shared" si="21"/>
        <v>1</v>
      </c>
      <c r="AB139" s="17">
        <f t="shared" si="21"/>
        <v>0</v>
      </c>
      <c r="AC139" s="17">
        <f t="shared" si="21"/>
        <v>0</v>
      </c>
      <c r="AD139" s="17">
        <f t="shared" si="24"/>
        <v>9</v>
      </c>
    </row>
    <row r="140" spans="4:30" x14ac:dyDescent="0.2">
      <c r="D140" s="37">
        <v>45058</v>
      </c>
      <c r="E140" s="17" t="str">
        <f t="shared" si="22"/>
        <v>weekday</v>
      </c>
      <c r="F140" s="17">
        <f t="shared" si="23"/>
        <v>0</v>
      </c>
      <c r="G140" s="17">
        <f t="shared" si="23"/>
        <v>0</v>
      </c>
      <c r="H140" s="17">
        <f t="shared" si="23"/>
        <v>0</v>
      </c>
      <c r="I140" s="17">
        <f t="shared" si="23"/>
        <v>0</v>
      </c>
      <c r="J140" s="17">
        <f t="shared" si="23"/>
        <v>0</v>
      </c>
      <c r="K140" s="17">
        <f t="shared" si="23"/>
        <v>0</v>
      </c>
      <c r="L140" s="17">
        <f t="shared" si="23"/>
        <v>1</v>
      </c>
      <c r="M140" s="17">
        <f t="shared" si="23"/>
        <v>1</v>
      </c>
      <c r="N140" s="17">
        <f t="shared" si="23"/>
        <v>0</v>
      </c>
      <c r="O140" s="17">
        <f t="shared" si="23"/>
        <v>0</v>
      </c>
      <c r="P140" s="17">
        <f t="shared" si="23"/>
        <v>0</v>
      </c>
      <c r="Q140" s="17">
        <f t="shared" si="23"/>
        <v>0</v>
      </c>
      <c r="R140" s="17">
        <f t="shared" si="23"/>
        <v>0</v>
      </c>
      <c r="S140" s="17">
        <f t="shared" si="23"/>
        <v>0</v>
      </c>
      <c r="T140" s="17">
        <f t="shared" si="23"/>
        <v>0</v>
      </c>
      <c r="U140" s="17">
        <f t="shared" si="23"/>
        <v>1</v>
      </c>
      <c r="V140" s="17">
        <f t="shared" si="21"/>
        <v>1</v>
      </c>
      <c r="W140" s="17">
        <f t="shared" si="21"/>
        <v>1</v>
      </c>
      <c r="X140" s="17">
        <f t="shared" si="21"/>
        <v>1</v>
      </c>
      <c r="Y140" s="17">
        <f t="shared" si="21"/>
        <v>1</v>
      </c>
      <c r="Z140" s="17">
        <f t="shared" si="21"/>
        <v>1</v>
      </c>
      <c r="AA140" s="17">
        <f t="shared" si="21"/>
        <v>1</v>
      </c>
      <c r="AB140" s="17">
        <f t="shared" si="21"/>
        <v>0</v>
      </c>
      <c r="AC140" s="17">
        <f t="shared" si="21"/>
        <v>0</v>
      </c>
      <c r="AD140" s="17">
        <f t="shared" si="24"/>
        <v>9</v>
      </c>
    </row>
    <row r="141" spans="4:30" x14ac:dyDescent="0.2">
      <c r="D141" s="37">
        <v>45059</v>
      </c>
      <c r="E141" s="17" t="str">
        <f t="shared" si="22"/>
        <v>weekend</v>
      </c>
      <c r="F141" s="17">
        <f t="shared" si="23"/>
        <v>0</v>
      </c>
      <c r="G141" s="17">
        <f t="shared" si="23"/>
        <v>0</v>
      </c>
      <c r="H141" s="17">
        <f t="shared" si="23"/>
        <v>0</v>
      </c>
      <c r="I141" s="17">
        <f t="shared" si="23"/>
        <v>0</v>
      </c>
      <c r="J141" s="17">
        <f t="shared" si="23"/>
        <v>0</v>
      </c>
      <c r="K141" s="17">
        <f t="shared" si="23"/>
        <v>0</v>
      </c>
      <c r="L141" s="17">
        <f t="shared" si="23"/>
        <v>1</v>
      </c>
      <c r="M141" s="17">
        <f t="shared" si="23"/>
        <v>1</v>
      </c>
      <c r="N141" s="17">
        <f t="shared" si="23"/>
        <v>1</v>
      </c>
      <c r="O141" s="17">
        <f t="shared" si="23"/>
        <v>1</v>
      </c>
      <c r="P141" s="17">
        <f t="shared" si="23"/>
        <v>1</v>
      </c>
      <c r="Q141" s="17">
        <f t="shared" si="23"/>
        <v>1</v>
      </c>
      <c r="R141" s="17">
        <f t="shared" si="23"/>
        <v>1</v>
      </c>
      <c r="S141" s="17">
        <f t="shared" si="23"/>
        <v>1</v>
      </c>
      <c r="T141" s="17">
        <f t="shared" si="23"/>
        <v>1</v>
      </c>
      <c r="U141" s="17">
        <f t="shared" si="23"/>
        <v>1</v>
      </c>
      <c r="V141" s="17">
        <f t="shared" si="21"/>
        <v>1</v>
      </c>
      <c r="W141" s="17">
        <f t="shared" si="21"/>
        <v>1</v>
      </c>
      <c r="X141" s="17">
        <f t="shared" si="21"/>
        <v>1</v>
      </c>
      <c r="Y141" s="17">
        <f t="shared" si="21"/>
        <v>1</v>
      </c>
      <c r="Z141" s="17">
        <f t="shared" si="21"/>
        <v>1</v>
      </c>
      <c r="AA141" s="17">
        <f t="shared" si="21"/>
        <v>1</v>
      </c>
      <c r="AB141" s="17">
        <f t="shared" si="21"/>
        <v>0</v>
      </c>
      <c r="AC141" s="17">
        <f t="shared" si="21"/>
        <v>0</v>
      </c>
      <c r="AD141" s="17">
        <f t="shared" si="24"/>
        <v>16</v>
      </c>
    </row>
    <row r="142" spans="4:30" x14ac:dyDescent="0.2">
      <c r="D142" s="37">
        <v>45060</v>
      </c>
      <c r="E142" s="17" t="str">
        <f t="shared" si="22"/>
        <v>weekend</v>
      </c>
      <c r="F142" s="17">
        <f t="shared" si="23"/>
        <v>0</v>
      </c>
      <c r="G142" s="17">
        <f t="shared" si="23"/>
        <v>0</v>
      </c>
      <c r="H142" s="17">
        <f t="shared" si="23"/>
        <v>0</v>
      </c>
      <c r="I142" s="17">
        <f t="shared" si="23"/>
        <v>0</v>
      </c>
      <c r="J142" s="17">
        <f t="shared" si="23"/>
        <v>0</v>
      </c>
      <c r="K142" s="17">
        <f t="shared" si="23"/>
        <v>0</v>
      </c>
      <c r="L142" s="17">
        <f t="shared" si="23"/>
        <v>1</v>
      </c>
      <c r="M142" s="17">
        <f t="shared" si="23"/>
        <v>1</v>
      </c>
      <c r="N142" s="17">
        <f t="shared" si="23"/>
        <v>1</v>
      </c>
      <c r="O142" s="17">
        <f t="shared" si="23"/>
        <v>1</v>
      </c>
      <c r="P142" s="17">
        <f t="shared" si="23"/>
        <v>1</v>
      </c>
      <c r="Q142" s="17">
        <f t="shared" si="23"/>
        <v>1</v>
      </c>
      <c r="R142" s="17">
        <f t="shared" si="23"/>
        <v>1</v>
      </c>
      <c r="S142" s="17">
        <f t="shared" si="23"/>
        <v>1</v>
      </c>
      <c r="T142" s="17">
        <f t="shared" si="23"/>
        <v>1</v>
      </c>
      <c r="U142" s="17">
        <f t="shared" si="23"/>
        <v>1</v>
      </c>
      <c r="V142" s="17">
        <f t="shared" si="21"/>
        <v>1</v>
      </c>
      <c r="W142" s="17">
        <f t="shared" si="21"/>
        <v>1</v>
      </c>
      <c r="X142" s="17">
        <f t="shared" si="21"/>
        <v>1</v>
      </c>
      <c r="Y142" s="17">
        <f t="shared" si="21"/>
        <v>1</v>
      </c>
      <c r="Z142" s="17">
        <f t="shared" si="21"/>
        <v>1</v>
      </c>
      <c r="AA142" s="17">
        <f t="shared" si="21"/>
        <v>1</v>
      </c>
      <c r="AB142" s="17">
        <f t="shared" si="21"/>
        <v>0</v>
      </c>
      <c r="AC142" s="17">
        <f t="shared" si="21"/>
        <v>0</v>
      </c>
      <c r="AD142" s="17">
        <f t="shared" si="24"/>
        <v>16</v>
      </c>
    </row>
    <row r="143" spans="4:30" x14ac:dyDescent="0.2">
      <c r="D143" s="37">
        <v>45061</v>
      </c>
      <c r="E143" s="17" t="str">
        <f t="shared" si="22"/>
        <v>weekday</v>
      </c>
      <c r="F143" s="17">
        <f t="shared" si="23"/>
        <v>0</v>
      </c>
      <c r="G143" s="17">
        <f t="shared" si="23"/>
        <v>0</v>
      </c>
      <c r="H143" s="17">
        <f t="shared" si="23"/>
        <v>0</v>
      </c>
      <c r="I143" s="17">
        <f t="shared" si="23"/>
        <v>0</v>
      </c>
      <c r="J143" s="17">
        <f t="shared" si="23"/>
        <v>0</v>
      </c>
      <c r="K143" s="17">
        <f t="shared" si="23"/>
        <v>0</v>
      </c>
      <c r="L143" s="17">
        <f t="shared" si="23"/>
        <v>1</v>
      </c>
      <c r="M143" s="17">
        <f t="shared" si="23"/>
        <v>1</v>
      </c>
      <c r="N143" s="17">
        <f t="shared" si="23"/>
        <v>0</v>
      </c>
      <c r="O143" s="17">
        <f t="shared" si="23"/>
        <v>0</v>
      </c>
      <c r="P143" s="17">
        <f t="shared" si="23"/>
        <v>0</v>
      </c>
      <c r="Q143" s="17">
        <f t="shared" si="23"/>
        <v>0</v>
      </c>
      <c r="R143" s="17">
        <f t="shared" si="23"/>
        <v>0</v>
      </c>
      <c r="S143" s="17">
        <f t="shared" si="23"/>
        <v>0</v>
      </c>
      <c r="T143" s="17">
        <f t="shared" si="23"/>
        <v>0</v>
      </c>
      <c r="U143" s="17">
        <f t="shared" si="23"/>
        <v>1</v>
      </c>
      <c r="V143" s="17">
        <f t="shared" si="21"/>
        <v>1</v>
      </c>
      <c r="W143" s="17">
        <f t="shared" si="21"/>
        <v>1</v>
      </c>
      <c r="X143" s="17">
        <f t="shared" si="21"/>
        <v>1</v>
      </c>
      <c r="Y143" s="17">
        <f t="shared" si="21"/>
        <v>1</v>
      </c>
      <c r="Z143" s="17">
        <f t="shared" si="21"/>
        <v>1</v>
      </c>
      <c r="AA143" s="17">
        <f t="shared" si="21"/>
        <v>1</v>
      </c>
      <c r="AB143" s="17">
        <f t="shared" si="21"/>
        <v>0</v>
      </c>
      <c r="AC143" s="17">
        <f t="shared" si="21"/>
        <v>0</v>
      </c>
      <c r="AD143" s="17">
        <f t="shared" si="24"/>
        <v>9</v>
      </c>
    </row>
    <row r="144" spans="4:30" x14ac:dyDescent="0.2">
      <c r="D144" s="37">
        <v>45062</v>
      </c>
      <c r="E144" s="17" t="str">
        <f t="shared" si="22"/>
        <v>weekday</v>
      </c>
      <c r="F144" s="17">
        <f t="shared" si="23"/>
        <v>0</v>
      </c>
      <c r="G144" s="17">
        <f t="shared" si="23"/>
        <v>0</v>
      </c>
      <c r="H144" s="17">
        <f t="shared" si="23"/>
        <v>0</v>
      </c>
      <c r="I144" s="17">
        <f t="shared" si="23"/>
        <v>0</v>
      </c>
      <c r="J144" s="17">
        <f t="shared" si="23"/>
        <v>0</v>
      </c>
      <c r="K144" s="17">
        <f t="shared" si="23"/>
        <v>0</v>
      </c>
      <c r="L144" s="17">
        <f t="shared" si="23"/>
        <v>1</v>
      </c>
      <c r="M144" s="17">
        <f t="shared" si="23"/>
        <v>1</v>
      </c>
      <c r="N144" s="17">
        <f t="shared" si="23"/>
        <v>0</v>
      </c>
      <c r="O144" s="17">
        <f t="shared" si="23"/>
        <v>0</v>
      </c>
      <c r="P144" s="17">
        <f t="shared" si="23"/>
        <v>0</v>
      </c>
      <c r="Q144" s="17">
        <f t="shared" si="23"/>
        <v>0</v>
      </c>
      <c r="R144" s="17">
        <f t="shared" si="23"/>
        <v>0</v>
      </c>
      <c r="S144" s="17">
        <f t="shared" si="23"/>
        <v>0</v>
      </c>
      <c r="T144" s="17">
        <f t="shared" si="23"/>
        <v>0</v>
      </c>
      <c r="U144" s="17">
        <f t="shared" si="23"/>
        <v>1</v>
      </c>
      <c r="V144" s="17">
        <f t="shared" si="21"/>
        <v>1</v>
      </c>
      <c r="W144" s="17">
        <f t="shared" si="21"/>
        <v>1</v>
      </c>
      <c r="X144" s="17">
        <f t="shared" si="21"/>
        <v>1</v>
      </c>
      <c r="Y144" s="17">
        <f t="shared" si="21"/>
        <v>1</v>
      </c>
      <c r="Z144" s="17">
        <f t="shared" si="21"/>
        <v>1</v>
      </c>
      <c r="AA144" s="17">
        <f t="shared" si="21"/>
        <v>1</v>
      </c>
      <c r="AB144" s="17">
        <f t="shared" si="21"/>
        <v>0</v>
      </c>
      <c r="AC144" s="17">
        <f t="shared" si="21"/>
        <v>0</v>
      </c>
      <c r="AD144" s="17">
        <f t="shared" si="24"/>
        <v>9</v>
      </c>
    </row>
    <row r="145" spans="4:30" x14ac:dyDescent="0.2">
      <c r="D145" s="37">
        <v>45063</v>
      </c>
      <c r="E145" s="17" t="str">
        <f t="shared" si="22"/>
        <v>weekday</v>
      </c>
      <c r="F145" s="17">
        <f t="shared" si="23"/>
        <v>0</v>
      </c>
      <c r="G145" s="17">
        <f t="shared" si="23"/>
        <v>0</v>
      </c>
      <c r="H145" s="17">
        <f t="shared" si="23"/>
        <v>0</v>
      </c>
      <c r="I145" s="17">
        <f t="shared" si="23"/>
        <v>0</v>
      </c>
      <c r="J145" s="17">
        <f t="shared" si="23"/>
        <v>0</v>
      </c>
      <c r="K145" s="17">
        <f t="shared" si="23"/>
        <v>0</v>
      </c>
      <c r="L145" s="17">
        <f t="shared" si="23"/>
        <v>1</v>
      </c>
      <c r="M145" s="17">
        <f t="shared" si="23"/>
        <v>1</v>
      </c>
      <c r="N145" s="17">
        <f t="shared" si="23"/>
        <v>0</v>
      </c>
      <c r="O145" s="17">
        <f t="shared" si="23"/>
        <v>0</v>
      </c>
      <c r="P145" s="17">
        <f t="shared" si="23"/>
        <v>0</v>
      </c>
      <c r="Q145" s="17">
        <f t="shared" si="23"/>
        <v>0</v>
      </c>
      <c r="R145" s="17">
        <f t="shared" si="23"/>
        <v>0</v>
      </c>
      <c r="S145" s="17">
        <f t="shared" si="23"/>
        <v>0</v>
      </c>
      <c r="T145" s="17">
        <f t="shared" si="23"/>
        <v>0</v>
      </c>
      <c r="U145" s="17">
        <f t="shared" si="23"/>
        <v>1</v>
      </c>
      <c r="V145" s="17">
        <f t="shared" si="21"/>
        <v>1</v>
      </c>
      <c r="W145" s="17">
        <f t="shared" si="21"/>
        <v>1</v>
      </c>
      <c r="X145" s="17">
        <f t="shared" si="21"/>
        <v>1</v>
      </c>
      <c r="Y145" s="17">
        <f t="shared" si="21"/>
        <v>1</v>
      </c>
      <c r="Z145" s="17">
        <f t="shared" si="21"/>
        <v>1</v>
      </c>
      <c r="AA145" s="17">
        <f t="shared" si="21"/>
        <v>1</v>
      </c>
      <c r="AB145" s="17">
        <f t="shared" si="21"/>
        <v>0</v>
      </c>
      <c r="AC145" s="17">
        <f t="shared" si="21"/>
        <v>0</v>
      </c>
      <c r="AD145" s="17">
        <f t="shared" si="24"/>
        <v>9</v>
      </c>
    </row>
    <row r="146" spans="4:30" x14ac:dyDescent="0.2">
      <c r="D146" s="37">
        <v>45064</v>
      </c>
      <c r="E146" s="17" t="str">
        <f t="shared" si="22"/>
        <v>weekday</v>
      </c>
      <c r="F146" s="17">
        <f t="shared" si="23"/>
        <v>0</v>
      </c>
      <c r="G146" s="17">
        <f t="shared" si="23"/>
        <v>0</v>
      </c>
      <c r="H146" s="17">
        <f t="shared" si="23"/>
        <v>0</v>
      </c>
      <c r="I146" s="17">
        <f t="shared" si="23"/>
        <v>0</v>
      </c>
      <c r="J146" s="17">
        <f t="shared" si="23"/>
        <v>0</v>
      </c>
      <c r="K146" s="17">
        <f t="shared" si="23"/>
        <v>0</v>
      </c>
      <c r="L146" s="17">
        <f t="shared" si="23"/>
        <v>1</v>
      </c>
      <c r="M146" s="17">
        <f t="shared" si="23"/>
        <v>1</v>
      </c>
      <c r="N146" s="17">
        <f t="shared" si="23"/>
        <v>0</v>
      </c>
      <c r="O146" s="17">
        <f t="shared" si="23"/>
        <v>0</v>
      </c>
      <c r="P146" s="17">
        <f t="shared" si="23"/>
        <v>0</v>
      </c>
      <c r="Q146" s="17">
        <f t="shared" si="23"/>
        <v>0</v>
      </c>
      <c r="R146" s="17">
        <f t="shared" si="23"/>
        <v>0</v>
      </c>
      <c r="S146" s="17">
        <f t="shared" si="23"/>
        <v>0</v>
      </c>
      <c r="T146" s="17">
        <f t="shared" si="23"/>
        <v>0</v>
      </c>
      <c r="U146" s="17">
        <f t="shared" si="23"/>
        <v>1</v>
      </c>
      <c r="V146" s="17">
        <f t="shared" si="21"/>
        <v>1</v>
      </c>
      <c r="W146" s="17">
        <f t="shared" si="21"/>
        <v>1</v>
      </c>
      <c r="X146" s="17">
        <f t="shared" si="21"/>
        <v>1</v>
      </c>
      <c r="Y146" s="17">
        <f t="shared" si="21"/>
        <v>1</v>
      </c>
      <c r="Z146" s="17">
        <f t="shared" si="21"/>
        <v>1</v>
      </c>
      <c r="AA146" s="17">
        <f t="shared" si="21"/>
        <v>1</v>
      </c>
      <c r="AB146" s="17">
        <f t="shared" si="21"/>
        <v>0</v>
      </c>
      <c r="AC146" s="17">
        <f t="shared" si="21"/>
        <v>0</v>
      </c>
      <c r="AD146" s="17">
        <f t="shared" si="24"/>
        <v>9</v>
      </c>
    </row>
    <row r="147" spans="4:30" x14ac:dyDescent="0.2">
      <c r="D147" s="37">
        <v>45065</v>
      </c>
      <c r="E147" s="17" t="str">
        <f t="shared" si="22"/>
        <v>weekday</v>
      </c>
      <c r="F147" s="17">
        <f t="shared" si="23"/>
        <v>0</v>
      </c>
      <c r="G147" s="17">
        <f t="shared" si="23"/>
        <v>0</v>
      </c>
      <c r="H147" s="17">
        <f t="shared" si="23"/>
        <v>0</v>
      </c>
      <c r="I147" s="17">
        <f t="shared" si="23"/>
        <v>0</v>
      </c>
      <c r="J147" s="17">
        <f t="shared" si="23"/>
        <v>0</v>
      </c>
      <c r="K147" s="17">
        <f t="shared" si="23"/>
        <v>0</v>
      </c>
      <c r="L147" s="17">
        <f t="shared" si="23"/>
        <v>1</v>
      </c>
      <c r="M147" s="17">
        <f t="shared" si="23"/>
        <v>1</v>
      </c>
      <c r="N147" s="17">
        <f t="shared" si="23"/>
        <v>0</v>
      </c>
      <c r="O147" s="17">
        <f t="shared" si="23"/>
        <v>0</v>
      </c>
      <c r="P147" s="17">
        <f t="shared" si="23"/>
        <v>0</v>
      </c>
      <c r="Q147" s="17">
        <f t="shared" si="23"/>
        <v>0</v>
      </c>
      <c r="R147" s="17">
        <f t="shared" si="23"/>
        <v>0</v>
      </c>
      <c r="S147" s="17">
        <f t="shared" si="23"/>
        <v>0</v>
      </c>
      <c r="T147" s="17">
        <f t="shared" si="23"/>
        <v>0</v>
      </c>
      <c r="U147" s="17">
        <f t="shared" si="23"/>
        <v>1</v>
      </c>
      <c r="V147" s="17">
        <f t="shared" si="21"/>
        <v>1</v>
      </c>
      <c r="W147" s="17">
        <f t="shared" si="21"/>
        <v>1</v>
      </c>
      <c r="X147" s="17">
        <f t="shared" si="21"/>
        <v>1</v>
      </c>
      <c r="Y147" s="17">
        <f t="shared" si="21"/>
        <v>1</v>
      </c>
      <c r="Z147" s="17">
        <f t="shared" si="21"/>
        <v>1</v>
      </c>
      <c r="AA147" s="17">
        <f t="shared" si="21"/>
        <v>1</v>
      </c>
      <c r="AB147" s="17">
        <f t="shared" si="21"/>
        <v>0</v>
      </c>
      <c r="AC147" s="17">
        <f t="shared" si="21"/>
        <v>0</v>
      </c>
      <c r="AD147" s="17">
        <f t="shared" si="24"/>
        <v>9</v>
      </c>
    </row>
    <row r="148" spans="4:30" x14ac:dyDescent="0.2">
      <c r="D148" s="37">
        <v>45066</v>
      </c>
      <c r="E148" s="17" t="str">
        <f t="shared" si="22"/>
        <v>weekend</v>
      </c>
      <c r="F148" s="17">
        <f t="shared" si="23"/>
        <v>0</v>
      </c>
      <c r="G148" s="17">
        <f t="shared" si="23"/>
        <v>0</v>
      </c>
      <c r="H148" s="17">
        <f t="shared" si="23"/>
        <v>0</v>
      </c>
      <c r="I148" s="17">
        <f t="shared" si="23"/>
        <v>0</v>
      </c>
      <c r="J148" s="17">
        <f t="shared" si="23"/>
        <v>0</v>
      </c>
      <c r="K148" s="17">
        <f t="shared" si="23"/>
        <v>0</v>
      </c>
      <c r="L148" s="17">
        <f t="shared" si="23"/>
        <v>1</v>
      </c>
      <c r="M148" s="17">
        <f t="shared" si="23"/>
        <v>1</v>
      </c>
      <c r="N148" s="17">
        <f t="shared" si="23"/>
        <v>1</v>
      </c>
      <c r="O148" s="17">
        <f t="shared" si="23"/>
        <v>1</v>
      </c>
      <c r="P148" s="17">
        <f t="shared" si="23"/>
        <v>1</v>
      </c>
      <c r="Q148" s="17">
        <f t="shared" si="23"/>
        <v>1</v>
      </c>
      <c r="R148" s="17">
        <f t="shared" si="23"/>
        <v>1</v>
      </c>
      <c r="S148" s="17">
        <f t="shared" si="23"/>
        <v>1</v>
      </c>
      <c r="T148" s="17">
        <f t="shared" si="23"/>
        <v>1</v>
      </c>
      <c r="U148" s="17">
        <f t="shared" si="23"/>
        <v>1</v>
      </c>
      <c r="V148" s="17">
        <f t="shared" si="21"/>
        <v>1</v>
      </c>
      <c r="W148" s="17">
        <f t="shared" si="21"/>
        <v>1</v>
      </c>
      <c r="X148" s="17">
        <f t="shared" si="21"/>
        <v>1</v>
      </c>
      <c r="Y148" s="17">
        <f t="shared" si="21"/>
        <v>1</v>
      </c>
      <c r="Z148" s="17">
        <f t="shared" si="21"/>
        <v>1</v>
      </c>
      <c r="AA148" s="17">
        <f t="shared" si="21"/>
        <v>1</v>
      </c>
      <c r="AB148" s="17">
        <f t="shared" si="21"/>
        <v>0</v>
      </c>
      <c r="AC148" s="17">
        <f t="shared" si="21"/>
        <v>0</v>
      </c>
      <c r="AD148" s="17">
        <f t="shared" si="24"/>
        <v>16</v>
      </c>
    </row>
    <row r="149" spans="4:30" x14ac:dyDescent="0.2">
      <c r="D149" s="37">
        <v>45067</v>
      </c>
      <c r="E149" s="17" t="str">
        <f t="shared" si="22"/>
        <v>weekend</v>
      </c>
      <c r="F149" s="17">
        <f t="shared" si="23"/>
        <v>0</v>
      </c>
      <c r="G149" s="17">
        <f t="shared" si="23"/>
        <v>0</v>
      </c>
      <c r="H149" s="17">
        <f t="shared" si="23"/>
        <v>0</v>
      </c>
      <c r="I149" s="17">
        <f t="shared" si="23"/>
        <v>0</v>
      </c>
      <c r="J149" s="17">
        <f t="shared" si="23"/>
        <v>0</v>
      </c>
      <c r="K149" s="17">
        <f t="shared" si="23"/>
        <v>0</v>
      </c>
      <c r="L149" s="17">
        <f t="shared" si="23"/>
        <v>1</v>
      </c>
      <c r="M149" s="17">
        <f t="shared" si="23"/>
        <v>1</v>
      </c>
      <c r="N149" s="17">
        <f t="shared" si="23"/>
        <v>1</v>
      </c>
      <c r="O149" s="17">
        <f t="shared" si="23"/>
        <v>1</v>
      </c>
      <c r="P149" s="17">
        <f t="shared" si="23"/>
        <v>1</v>
      </c>
      <c r="Q149" s="17">
        <f t="shared" si="23"/>
        <v>1</v>
      </c>
      <c r="R149" s="17">
        <f t="shared" si="23"/>
        <v>1</v>
      </c>
      <c r="S149" s="17">
        <f t="shared" si="23"/>
        <v>1</v>
      </c>
      <c r="T149" s="17">
        <f t="shared" si="23"/>
        <v>1</v>
      </c>
      <c r="U149" s="17">
        <f t="shared" si="23"/>
        <v>1</v>
      </c>
      <c r="V149" s="17">
        <f t="shared" si="21"/>
        <v>1</v>
      </c>
      <c r="W149" s="17">
        <f t="shared" si="21"/>
        <v>1</v>
      </c>
      <c r="X149" s="17">
        <f t="shared" si="21"/>
        <v>1</v>
      </c>
      <c r="Y149" s="17">
        <f t="shared" si="21"/>
        <v>1</v>
      </c>
      <c r="Z149" s="17">
        <f t="shared" si="21"/>
        <v>1</v>
      </c>
      <c r="AA149" s="17">
        <f t="shared" si="21"/>
        <v>1</v>
      </c>
      <c r="AB149" s="17">
        <f t="shared" si="21"/>
        <v>0</v>
      </c>
      <c r="AC149" s="17">
        <f t="shared" si="21"/>
        <v>0</v>
      </c>
      <c r="AD149" s="17">
        <f t="shared" si="24"/>
        <v>16</v>
      </c>
    </row>
    <row r="150" spans="4:30" x14ac:dyDescent="0.2">
      <c r="D150" s="37">
        <v>45068</v>
      </c>
      <c r="E150" s="17" t="str">
        <f t="shared" si="22"/>
        <v>weekday</v>
      </c>
      <c r="F150" s="17">
        <f t="shared" si="23"/>
        <v>0</v>
      </c>
      <c r="G150" s="17">
        <f t="shared" si="23"/>
        <v>0</v>
      </c>
      <c r="H150" s="17">
        <f t="shared" si="23"/>
        <v>0</v>
      </c>
      <c r="I150" s="17">
        <f t="shared" si="23"/>
        <v>0</v>
      </c>
      <c r="J150" s="17">
        <f t="shared" si="23"/>
        <v>0</v>
      </c>
      <c r="K150" s="17">
        <f t="shared" si="23"/>
        <v>0</v>
      </c>
      <c r="L150" s="17">
        <f t="shared" si="23"/>
        <v>1</v>
      </c>
      <c r="M150" s="17">
        <f t="shared" si="23"/>
        <v>1</v>
      </c>
      <c r="N150" s="17">
        <f t="shared" si="23"/>
        <v>0</v>
      </c>
      <c r="O150" s="17">
        <f t="shared" si="23"/>
        <v>0</v>
      </c>
      <c r="P150" s="17">
        <f t="shared" si="23"/>
        <v>0</v>
      </c>
      <c r="Q150" s="17">
        <f t="shared" si="23"/>
        <v>0</v>
      </c>
      <c r="R150" s="17">
        <f t="shared" si="23"/>
        <v>0</v>
      </c>
      <c r="S150" s="17">
        <f t="shared" si="23"/>
        <v>0</v>
      </c>
      <c r="T150" s="17">
        <f t="shared" si="23"/>
        <v>0</v>
      </c>
      <c r="U150" s="17">
        <f t="shared" si="23"/>
        <v>1</v>
      </c>
      <c r="V150" s="17">
        <f t="shared" si="21"/>
        <v>1</v>
      </c>
      <c r="W150" s="17">
        <f t="shared" si="21"/>
        <v>1</v>
      </c>
      <c r="X150" s="17">
        <f t="shared" si="21"/>
        <v>1</v>
      </c>
      <c r="Y150" s="17">
        <f t="shared" si="21"/>
        <v>1</v>
      </c>
      <c r="Z150" s="17">
        <f t="shared" si="21"/>
        <v>1</v>
      </c>
      <c r="AA150" s="17">
        <f t="shared" si="21"/>
        <v>1</v>
      </c>
      <c r="AB150" s="17">
        <f t="shared" si="21"/>
        <v>0</v>
      </c>
      <c r="AC150" s="17">
        <f t="shared" si="21"/>
        <v>0</v>
      </c>
      <c r="AD150" s="17">
        <f t="shared" si="24"/>
        <v>9</v>
      </c>
    </row>
    <row r="151" spans="4:30" x14ac:dyDescent="0.2">
      <c r="D151" s="37">
        <v>45069</v>
      </c>
      <c r="E151" s="17" t="str">
        <f t="shared" si="22"/>
        <v>weekday</v>
      </c>
      <c r="F151" s="17">
        <f t="shared" si="23"/>
        <v>0</v>
      </c>
      <c r="G151" s="17">
        <f t="shared" si="23"/>
        <v>0</v>
      </c>
      <c r="H151" s="17">
        <f t="shared" si="23"/>
        <v>0</v>
      </c>
      <c r="I151" s="17">
        <f t="shared" si="23"/>
        <v>0</v>
      </c>
      <c r="J151" s="17">
        <f t="shared" si="23"/>
        <v>0</v>
      </c>
      <c r="K151" s="17">
        <f t="shared" si="23"/>
        <v>0</v>
      </c>
      <c r="L151" s="17">
        <f t="shared" si="23"/>
        <v>1</v>
      </c>
      <c r="M151" s="17">
        <f t="shared" si="23"/>
        <v>1</v>
      </c>
      <c r="N151" s="17">
        <f t="shared" si="23"/>
        <v>0</v>
      </c>
      <c r="O151" s="17">
        <f t="shared" si="23"/>
        <v>0</v>
      </c>
      <c r="P151" s="17">
        <f t="shared" si="23"/>
        <v>0</v>
      </c>
      <c r="Q151" s="17">
        <f t="shared" si="23"/>
        <v>0</v>
      </c>
      <c r="R151" s="17">
        <f t="shared" si="23"/>
        <v>0</v>
      </c>
      <c r="S151" s="17">
        <f t="shared" si="23"/>
        <v>0</v>
      </c>
      <c r="T151" s="17">
        <f t="shared" si="23"/>
        <v>0</v>
      </c>
      <c r="U151" s="17">
        <f t="shared" si="23"/>
        <v>1</v>
      </c>
      <c r="V151" s="17">
        <f t="shared" si="21"/>
        <v>1</v>
      </c>
      <c r="W151" s="17">
        <f t="shared" si="21"/>
        <v>1</v>
      </c>
      <c r="X151" s="17">
        <f t="shared" si="21"/>
        <v>1</v>
      </c>
      <c r="Y151" s="17">
        <f t="shared" si="21"/>
        <v>1</v>
      </c>
      <c r="Z151" s="17">
        <f t="shared" si="21"/>
        <v>1</v>
      </c>
      <c r="AA151" s="17">
        <f t="shared" si="21"/>
        <v>1</v>
      </c>
      <c r="AB151" s="17">
        <f t="shared" si="21"/>
        <v>0</v>
      </c>
      <c r="AC151" s="17">
        <f t="shared" si="21"/>
        <v>0</v>
      </c>
      <c r="AD151" s="17">
        <f t="shared" si="24"/>
        <v>9</v>
      </c>
    </row>
    <row r="152" spans="4:30" x14ac:dyDescent="0.2">
      <c r="D152" s="37">
        <v>45070</v>
      </c>
      <c r="E152" s="17" t="str">
        <f t="shared" si="22"/>
        <v>weekday</v>
      </c>
      <c r="F152" s="17">
        <f t="shared" si="23"/>
        <v>0</v>
      </c>
      <c r="G152" s="17">
        <f t="shared" si="23"/>
        <v>0</v>
      </c>
      <c r="H152" s="17">
        <f t="shared" si="23"/>
        <v>0</v>
      </c>
      <c r="I152" s="17">
        <f t="shared" si="23"/>
        <v>0</v>
      </c>
      <c r="J152" s="17">
        <f t="shared" si="23"/>
        <v>0</v>
      </c>
      <c r="K152" s="17">
        <f t="shared" si="23"/>
        <v>0</v>
      </c>
      <c r="L152" s="17">
        <f t="shared" si="23"/>
        <v>1</v>
      </c>
      <c r="M152" s="17">
        <f t="shared" si="23"/>
        <v>1</v>
      </c>
      <c r="N152" s="17">
        <f t="shared" si="23"/>
        <v>0</v>
      </c>
      <c r="O152" s="17">
        <f t="shared" si="23"/>
        <v>0</v>
      </c>
      <c r="P152" s="17">
        <f t="shared" si="23"/>
        <v>0</v>
      </c>
      <c r="Q152" s="17">
        <f t="shared" si="23"/>
        <v>0</v>
      </c>
      <c r="R152" s="17">
        <f t="shared" si="23"/>
        <v>0</v>
      </c>
      <c r="S152" s="17">
        <f t="shared" si="23"/>
        <v>0</v>
      </c>
      <c r="T152" s="17">
        <f t="shared" si="23"/>
        <v>0</v>
      </c>
      <c r="U152" s="17">
        <f t="shared" si="23"/>
        <v>1</v>
      </c>
      <c r="V152" s="17">
        <f t="shared" si="21"/>
        <v>1</v>
      </c>
      <c r="W152" s="17">
        <f t="shared" si="21"/>
        <v>1</v>
      </c>
      <c r="X152" s="17">
        <f t="shared" si="21"/>
        <v>1</v>
      </c>
      <c r="Y152" s="17">
        <f t="shared" si="21"/>
        <v>1</v>
      </c>
      <c r="Z152" s="17">
        <f t="shared" si="21"/>
        <v>1</v>
      </c>
      <c r="AA152" s="17">
        <f t="shared" si="21"/>
        <v>1</v>
      </c>
      <c r="AB152" s="17">
        <f t="shared" si="21"/>
        <v>0</v>
      </c>
      <c r="AC152" s="17">
        <f t="shared" si="21"/>
        <v>0</v>
      </c>
      <c r="AD152" s="17">
        <f t="shared" si="24"/>
        <v>9</v>
      </c>
    </row>
    <row r="153" spans="4:30" x14ac:dyDescent="0.2">
      <c r="D153" s="37">
        <v>45071</v>
      </c>
      <c r="E153" s="17" t="str">
        <f t="shared" si="22"/>
        <v>weekday</v>
      </c>
      <c r="F153" s="17">
        <f t="shared" si="23"/>
        <v>0</v>
      </c>
      <c r="G153" s="17">
        <f t="shared" si="23"/>
        <v>0</v>
      </c>
      <c r="H153" s="17">
        <f t="shared" si="23"/>
        <v>0</v>
      </c>
      <c r="I153" s="17">
        <f t="shared" si="23"/>
        <v>0</v>
      </c>
      <c r="J153" s="17">
        <f t="shared" si="23"/>
        <v>0</v>
      </c>
      <c r="K153" s="17">
        <f t="shared" si="23"/>
        <v>0</v>
      </c>
      <c r="L153" s="17">
        <f t="shared" si="23"/>
        <v>1</v>
      </c>
      <c r="M153" s="17">
        <f t="shared" si="23"/>
        <v>1</v>
      </c>
      <c r="N153" s="17">
        <f t="shared" si="23"/>
        <v>0</v>
      </c>
      <c r="O153" s="17">
        <f t="shared" si="23"/>
        <v>0</v>
      </c>
      <c r="P153" s="17">
        <f t="shared" si="23"/>
        <v>0</v>
      </c>
      <c r="Q153" s="17">
        <f t="shared" si="23"/>
        <v>0</v>
      </c>
      <c r="R153" s="17">
        <f t="shared" si="23"/>
        <v>0</v>
      </c>
      <c r="S153" s="17">
        <f t="shared" si="23"/>
        <v>0</v>
      </c>
      <c r="T153" s="17">
        <f t="shared" si="23"/>
        <v>0</v>
      </c>
      <c r="U153" s="17">
        <f t="shared" ref="U153:AC168" si="25">IF($E153=$E$5,(U$5),(U$6))</f>
        <v>1</v>
      </c>
      <c r="V153" s="17">
        <f t="shared" si="25"/>
        <v>1</v>
      </c>
      <c r="W153" s="17">
        <f t="shared" si="25"/>
        <v>1</v>
      </c>
      <c r="X153" s="17">
        <f t="shared" si="25"/>
        <v>1</v>
      </c>
      <c r="Y153" s="17">
        <f t="shared" si="25"/>
        <v>1</v>
      </c>
      <c r="Z153" s="17">
        <f t="shared" si="25"/>
        <v>1</v>
      </c>
      <c r="AA153" s="17">
        <f t="shared" si="25"/>
        <v>1</v>
      </c>
      <c r="AB153" s="17">
        <f t="shared" si="25"/>
        <v>0</v>
      </c>
      <c r="AC153" s="17">
        <f t="shared" si="25"/>
        <v>0</v>
      </c>
      <c r="AD153" s="17">
        <f t="shared" si="24"/>
        <v>9</v>
      </c>
    </row>
    <row r="154" spans="4:30" x14ac:dyDescent="0.2">
      <c r="D154" s="37">
        <v>45072</v>
      </c>
      <c r="E154" s="17" t="str">
        <f t="shared" si="22"/>
        <v>weekday</v>
      </c>
      <c r="F154" s="17">
        <f t="shared" ref="F154:U169" si="26">IF($E154=$E$5,(F$5),(F$6))</f>
        <v>0</v>
      </c>
      <c r="G154" s="17">
        <f t="shared" si="26"/>
        <v>0</v>
      </c>
      <c r="H154" s="17">
        <f t="shared" si="26"/>
        <v>0</v>
      </c>
      <c r="I154" s="17">
        <f t="shared" si="26"/>
        <v>0</v>
      </c>
      <c r="J154" s="17">
        <f t="shared" si="26"/>
        <v>0</v>
      </c>
      <c r="K154" s="17">
        <f t="shared" si="26"/>
        <v>0</v>
      </c>
      <c r="L154" s="17">
        <f t="shared" si="26"/>
        <v>1</v>
      </c>
      <c r="M154" s="17">
        <f t="shared" si="26"/>
        <v>1</v>
      </c>
      <c r="N154" s="17">
        <f t="shared" si="26"/>
        <v>0</v>
      </c>
      <c r="O154" s="17">
        <f t="shared" si="26"/>
        <v>0</v>
      </c>
      <c r="P154" s="17">
        <f t="shared" si="26"/>
        <v>0</v>
      </c>
      <c r="Q154" s="17">
        <f t="shared" si="26"/>
        <v>0</v>
      </c>
      <c r="R154" s="17">
        <f t="shared" si="26"/>
        <v>0</v>
      </c>
      <c r="S154" s="17">
        <f t="shared" si="26"/>
        <v>0</v>
      </c>
      <c r="T154" s="17">
        <f t="shared" si="26"/>
        <v>0</v>
      </c>
      <c r="U154" s="17">
        <f t="shared" si="26"/>
        <v>1</v>
      </c>
      <c r="V154" s="17">
        <f t="shared" si="25"/>
        <v>1</v>
      </c>
      <c r="W154" s="17">
        <f t="shared" si="25"/>
        <v>1</v>
      </c>
      <c r="X154" s="17">
        <f t="shared" si="25"/>
        <v>1</v>
      </c>
      <c r="Y154" s="17">
        <f t="shared" si="25"/>
        <v>1</v>
      </c>
      <c r="Z154" s="17">
        <f t="shared" si="25"/>
        <v>1</v>
      </c>
      <c r="AA154" s="17">
        <f t="shared" si="25"/>
        <v>1</v>
      </c>
      <c r="AB154" s="17">
        <f t="shared" si="25"/>
        <v>0</v>
      </c>
      <c r="AC154" s="17">
        <f t="shared" si="25"/>
        <v>0</v>
      </c>
      <c r="AD154" s="17">
        <f t="shared" si="24"/>
        <v>9</v>
      </c>
    </row>
    <row r="155" spans="4:30" x14ac:dyDescent="0.2">
      <c r="D155" s="37">
        <v>45073</v>
      </c>
      <c r="E155" s="17" t="str">
        <f t="shared" si="22"/>
        <v>weekend</v>
      </c>
      <c r="F155" s="17">
        <f t="shared" si="26"/>
        <v>0</v>
      </c>
      <c r="G155" s="17">
        <f t="shared" si="26"/>
        <v>0</v>
      </c>
      <c r="H155" s="17">
        <f t="shared" si="26"/>
        <v>0</v>
      </c>
      <c r="I155" s="17">
        <f t="shared" si="26"/>
        <v>0</v>
      </c>
      <c r="J155" s="17">
        <f t="shared" si="26"/>
        <v>0</v>
      </c>
      <c r="K155" s="17">
        <f t="shared" si="26"/>
        <v>0</v>
      </c>
      <c r="L155" s="17">
        <f t="shared" si="26"/>
        <v>1</v>
      </c>
      <c r="M155" s="17">
        <f t="shared" si="26"/>
        <v>1</v>
      </c>
      <c r="N155" s="17">
        <f t="shared" si="26"/>
        <v>1</v>
      </c>
      <c r="O155" s="17">
        <f t="shared" si="26"/>
        <v>1</v>
      </c>
      <c r="P155" s="17">
        <f t="shared" si="26"/>
        <v>1</v>
      </c>
      <c r="Q155" s="17">
        <f t="shared" si="26"/>
        <v>1</v>
      </c>
      <c r="R155" s="17">
        <f t="shared" si="26"/>
        <v>1</v>
      </c>
      <c r="S155" s="17">
        <f t="shared" si="26"/>
        <v>1</v>
      </c>
      <c r="T155" s="17">
        <f t="shared" si="26"/>
        <v>1</v>
      </c>
      <c r="U155" s="17">
        <f t="shared" si="26"/>
        <v>1</v>
      </c>
      <c r="V155" s="17">
        <f t="shared" si="25"/>
        <v>1</v>
      </c>
      <c r="W155" s="17">
        <f t="shared" si="25"/>
        <v>1</v>
      </c>
      <c r="X155" s="17">
        <f t="shared" si="25"/>
        <v>1</v>
      </c>
      <c r="Y155" s="17">
        <f t="shared" si="25"/>
        <v>1</v>
      </c>
      <c r="Z155" s="17">
        <f t="shared" si="25"/>
        <v>1</v>
      </c>
      <c r="AA155" s="17">
        <f t="shared" si="25"/>
        <v>1</v>
      </c>
      <c r="AB155" s="17">
        <f t="shared" si="25"/>
        <v>0</v>
      </c>
      <c r="AC155" s="17">
        <f t="shared" si="25"/>
        <v>0</v>
      </c>
      <c r="AD155" s="17">
        <f t="shared" si="24"/>
        <v>16</v>
      </c>
    </row>
    <row r="156" spans="4:30" x14ac:dyDescent="0.2">
      <c r="D156" s="37">
        <v>45074</v>
      </c>
      <c r="E156" s="17" t="str">
        <f t="shared" si="22"/>
        <v>weekend</v>
      </c>
      <c r="F156" s="17">
        <f t="shared" si="26"/>
        <v>0</v>
      </c>
      <c r="G156" s="17">
        <f t="shared" si="26"/>
        <v>0</v>
      </c>
      <c r="H156" s="17">
        <f t="shared" si="26"/>
        <v>0</v>
      </c>
      <c r="I156" s="17">
        <f t="shared" si="26"/>
        <v>0</v>
      </c>
      <c r="J156" s="17">
        <f t="shared" si="26"/>
        <v>0</v>
      </c>
      <c r="K156" s="17">
        <f t="shared" si="26"/>
        <v>0</v>
      </c>
      <c r="L156" s="17">
        <f t="shared" si="26"/>
        <v>1</v>
      </c>
      <c r="M156" s="17">
        <f t="shared" si="26"/>
        <v>1</v>
      </c>
      <c r="N156" s="17">
        <f t="shared" si="26"/>
        <v>1</v>
      </c>
      <c r="O156" s="17">
        <f t="shared" si="26"/>
        <v>1</v>
      </c>
      <c r="P156" s="17">
        <f t="shared" si="26"/>
        <v>1</v>
      </c>
      <c r="Q156" s="17">
        <f t="shared" si="26"/>
        <v>1</v>
      </c>
      <c r="R156" s="17">
        <f t="shared" si="26"/>
        <v>1</v>
      </c>
      <c r="S156" s="17">
        <f t="shared" si="26"/>
        <v>1</v>
      </c>
      <c r="T156" s="17">
        <f t="shared" si="26"/>
        <v>1</v>
      </c>
      <c r="U156" s="17">
        <f t="shared" si="26"/>
        <v>1</v>
      </c>
      <c r="V156" s="17">
        <f t="shared" si="25"/>
        <v>1</v>
      </c>
      <c r="W156" s="17">
        <f t="shared" si="25"/>
        <v>1</v>
      </c>
      <c r="X156" s="17">
        <f t="shared" si="25"/>
        <v>1</v>
      </c>
      <c r="Y156" s="17">
        <f t="shared" si="25"/>
        <v>1</v>
      </c>
      <c r="Z156" s="17">
        <f t="shared" si="25"/>
        <v>1</v>
      </c>
      <c r="AA156" s="17">
        <f t="shared" si="25"/>
        <v>1</v>
      </c>
      <c r="AB156" s="17">
        <f t="shared" si="25"/>
        <v>0</v>
      </c>
      <c r="AC156" s="17">
        <f t="shared" si="25"/>
        <v>0</v>
      </c>
      <c r="AD156" s="17">
        <f t="shared" si="24"/>
        <v>16</v>
      </c>
    </row>
    <row r="157" spans="4:30" x14ac:dyDescent="0.2">
      <c r="D157" s="37">
        <v>45075</v>
      </c>
      <c r="E157" s="17" t="str">
        <f t="shared" si="22"/>
        <v>weekday</v>
      </c>
      <c r="F157" s="17">
        <f t="shared" si="26"/>
        <v>0</v>
      </c>
      <c r="G157" s="17">
        <f t="shared" si="26"/>
        <v>0</v>
      </c>
      <c r="H157" s="17">
        <f t="shared" si="26"/>
        <v>0</v>
      </c>
      <c r="I157" s="17">
        <f t="shared" si="26"/>
        <v>0</v>
      </c>
      <c r="J157" s="17">
        <f t="shared" si="26"/>
        <v>0</v>
      </c>
      <c r="K157" s="17">
        <f t="shared" si="26"/>
        <v>0</v>
      </c>
      <c r="L157" s="17">
        <f t="shared" si="26"/>
        <v>1</v>
      </c>
      <c r="M157" s="17">
        <f t="shared" si="26"/>
        <v>1</v>
      </c>
      <c r="N157" s="17">
        <f t="shared" si="26"/>
        <v>0</v>
      </c>
      <c r="O157" s="17">
        <f t="shared" si="26"/>
        <v>0</v>
      </c>
      <c r="P157" s="17">
        <f t="shared" si="26"/>
        <v>0</v>
      </c>
      <c r="Q157" s="17">
        <f t="shared" si="26"/>
        <v>0</v>
      </c>
      <c r="R157" s="17">
        <f t="shared" si="26"/>
        <v>0</v>
      </c>
      <c r="S157" s="17">
        <f t="shared" si="26"/>
        <v>0</v>
      </c>
      <c r="T157" s="17">
        <f t="shared" si="26"/>
        <v>0</v>
      </c>
      <c r="U157" s="17">
        <f t="shared" si="26"/>
        <v>1</v>
      </c>
      <c r="V157" s="17">
        <f t="shared" si="25"/>
        <v>1</v>
      </c>
      <c r="W157" s="17">
        <f t="shared" si="25"/>
        <v>1</v>
      </c>
      <c r="X157" s="17">
        <f t="shared" si="25"/>
        <v>1</v>
      </c>
      <c r="Y157" s="17">
        <f t="shared" si="25"/>
        <v>1</v>
      </c>
      <c r="Z157" s="17">
        <f t="shared" si="25"/>
        <v>1</v>
      </c>
      <c r="AA157" s="17">
        <f t="shared" si="25"/>
        <v>1</v>
      </c>
      <c r="AB157" s="17">
        <f t="shared" si="25"/>
        <v>0</v>
      </c>
      <c r="AC157" s="17">
        <f t="shared" si="25"/>
        <v>0</v>
      </c>
      <c r="AD157" s="17">
        <f t="shared" si="24"/>
        <v>9</v>
      </c>
    </row>
    <row r="158" spans="4:30" x14ac:dyDescent="0.2">
      <c r="D158" s="37">
        <v>45076</v>
      </c>
      <c r="E158" s="17" t="str">
        <f t="shared" si="22"/>
        <v>weekday</v>
      </c>
      <c r="F158" s="17">
        <f t="shared" si="26"/>
        <v>0</v>
      </c>
      <c r="G158" s="17">
        <f t="shared" si="26"/>
        <v>0</v>
      </c>
      <c r="H158" s="17">
        <f t="shared" si="26"/>
        <v>0</v>
      </c>
      <c r="I158" s="17">
        <f t="shared" si="26"/>
        <v>0</v>
      </c>
      <c r="J158" s="17">
        <f t="shared" si="26"/>
        <v>0</v>
      </c>
      <c r="K158" s="17">
        <f t="shared" si="26"/>
        <v>0</v>
      </c>
      <c r="L158" s="17">
        <f t="shared" si="26"/>
        <v>1</v>
      </c>
      <c r="M158" s="17">
        <f t="shared" si="26"/>
        <v>1</v>
      </c>
      <c r="N158" s="17">
        <f t="shared" si="26"/>
        <v>0</v>
      </c>
      <c r="O158" s="17">
        <f t="shared" si="26"/>
        <v>0</v>
      </c>
      <c r="P158" s="17">
        <f t="shared" si="26"/>
        <v>0</v>
      </c>
      <c r="Q158" s="17">
        <f t="shared" si="26"/>
        <v>0</v>
      </c>
      <c r="R158" s="17">
        <f t="shared" si="26"/>
        <v>0</v>
      </c>
      <c r="S158" s="17">
        <f t="shared" si="26"/>
        <v>0</v>
      </c>
      <c r="T158" s="17">
        <f t="shared" si="26"/>
        <v>0</v>
      </c>
      <c r="U158" s="17">
        <f t="shared" si="26"/>
        <v>1</v>
      </c>
      <c r="V158" s="17">
        <f t="shared" si="25"/>
        <v>1</v>
      </c>
      <c r="W158" s="17">
        <f t="shared" si="25"/>
        <v>1</v>
      </c>
      <c r="X158" s="17">
        <f t="shared" si="25"/>
        <v>1</v>
      </c>
      <c r="Y158" s="17">
        <f t="shared" si="25"/>
        <v>1</v>
      </c>
      <c r="Z158" s="17">
        <f t="shared" si="25"/>
        <v>1</v>
      </c>
      <c r="AA158" s="17">
        <f t="shared" si="25"/>
        <v>1</v>
      </c>
      <c r="AB158" s="17">
        <f t="shared" si="25"/>
        <v>0</v>
      </c>
      <c r="AC158" s="17">
        <f t="shared" si="25"/>
        <v>0</v>
      </c>
      <c r="AD158" s="17">
        <f t="shared" si="24"/>
        <v>9</v>
      </c>
    </row>
    <row r="159" spans="4:30" x14ac:dyDescent="0.2">
      <c r="D159" s="37">
        <v>45077</v>
      </c>
      <c r="E159" s="17" t="str">
        <f t="shared" si="22"/>
        <v>weekday</v>
      </c>
      <c r="F159" s="17">
        <f t="shared" si="26"/>
        <v>0</v>
      </c>
      <c r="G159" s="17">
        <f t="shared" si="26"/>
        <v>0</v>
      </c>
      <c r="H159" s="17">
        <f t="shared" si="26"/>
        <v>0</v>
      </c>
      <c r="I159" s="17">
        <f t="shared" si="26"/>
        <v>0</v>
      </c>
      <c r="J159" s="17">
        <f t="shared" si="26"/>
        <v>0</v>
      </c>
      <c r="K159" s="17">
        <f t="shared" si="26"/>
        <v>0</v>
      </c>
      <c r="L159" s="17">
        <f t="shared" si="26"/>
        <v>1</v>
      </c>
      <c r="M159" s="17">
        <f t="shared" si="26"/>
        <v>1</v>
      </c>
      <c r="N159" s="17">
        <f t="shared" si="26"/>
        <v>0</v>
      </c>
      <c r="O159" s="17">
        <f t="shared" si="26"/>
        <v>0</v>
      </c>
      <c r="P159" s="17">
        <f t="shared" si="26"/>
        <v>0</v>
      </c>
      <c r="Q159" s="17">
        <f t="shared" si="26"/>
        <v>0</v>
      </c>
      <c r="R159" s="17">
        <f t="shared" si="26"/>
        <v>0</v>
      </c>
      <c r="S159" s="17">
        <f t="shared" si="26"/>
        <v>0</v>
      </c>
      <c r="T159" s="17">
        <f t="shared" si="26"/>
        <v>0</v>
      </c>
      <c r="U159" s="17">
        <f t="shared" si="26"/>
        <v>1</v>
      </c>
      <c r="V159" s="17">
        <f t="shared" si="25"/>
        <v>1</v>
      </c>
      <c r="W159" s="17">
        <f t="shared" si="25"/>
        <v>1</v>
      </c>
      <c r="X159" s="17">
        <f t="shared" si="25"/>
        <v>1</v>
      </c>
      <c r="Y159" s="17">
        <f t="shared" si="25"/>
        <v>1</v>
      </c>
      <c r="Z159" s="17">
        <f t="shared" si="25"/>
        <v>1</v>
      </c>
      <c r="AA159" s="17">
        <f t="shared" si="25"/>
        <v>1</v>
      </c>
      <c r="AB159" s="17">
        <f t="shared" si="25"/>
        <v>0</v>
      </c>
      <c r="AC159" s="17">
        <f t="shared" si="25"/>
        <v>0</v>
      </c>
      <c r="AD159" s="17">
        <f t="shared" si="24"/>
        <v>9</v>
      </c>
    </row>
    <row r="160" spans="4:30" x14ac:dyDescent="0.2">
      <c r="D160" s="37">
        <v>45078</v>
      </c>
      <c r="E160" s="17" t="str">
        <f t="shared" si="22"/>
        <v>weekday</v>
      </c>
      <c r="F160" s="17">
        <f t="shared" si="26"/>
        <v>0</v>
      </c>
      <c r="G160" s="17">
        <f t="shared" si="26"/>
        <v>0</v>
      </c>
      <c r="H160" s="17">
        <f t="shared" si="26"/>
        <v>0</v>
      </c>
      <c r="I160" s="17">
        <f t="shared" si="26"/>
        <v>0</v>
      </c>
      <c r="J160" s="17">
        <f t="shared" si="26"/>
        <v>0</v>
      </c>
      <c r="K160" s="17">
        <f t="shared" si="26"/>
        <v>0</v>
      </c>
      <c r="L160" s="17">
        <f t="shared" si="26"/>
        <v>1</v>
      </c>
      <c r="M160" s="17">
        <f t="shared" si="26"/>
        <v>1</v>
      </c>
      <c r="N160" s="17">
        <f t="shared" si="26"/>
        <v>0</v>
      </c>
      <c r="O160" s="17">
        <f t="shared" si="26"/>
        <v>0</v>
      </c>
      <c r="P160" s="17">
        <f t="shared" si="26"/>
        <v>0</v>
      </c>
      <c r="Q160" s="17">
        <f t="shared" si="26"/>
        <v>0</v>
      </c>
      <c r="R160" s="17">
        <f t="shared" si="26"/>
        <v>0</v>
      </c>
      <c r="S160" s="17">
        <f t="shared" si="26"/>
        <v>0</v>
      </c>
      <c r="T160" s="17">
        <f t="shared" si="26"/>
        <v>0</v>
      </c>
      <c r="U160" s="17">
        <f t="shared" si="26"/>
        <v>1</v>
      </c>
      <c r="V160" s="17">
        <f t="shared" si="25"/>
        <v>1</v>
      </c>
      <c r="W160" s="17">
        <f t="shared" si="25"/>
        <v>1</v>
      </c>
      <c r="X160" s="17">
        <f t="shared" si="25"/>
        <v>1</v>
      </c>
      <c r="Y160" s="17">
        <f t="shared" si="25"/>
        <v>1</v>
      </c>
      <c r="Z160" s="17">
        <f t="shared" si="25"/>
        <v>1</v>
      </c>
      <c r="AA160" s="17">
        <f t="shared" si="25"/>
        <v>1</v>
      </c>
      <c r="AB160" s="17">
        <f t="shared" si="25"/>
        <v>0</v>
      </c>
      <c r="AC160" s="17">
        <f t="shared" si="25"/>
        <v>0</v>
      </c>
      <c r="AD160" s="17">
        <f t="shared" si="24"/>
        <v>9</v>
      </c>
    </row>
    <row r="161" spans="4:30" x14ac:dyDescent="0.2">
      <c r="D161" s="37">
        <v>45079</v>
      </c>
      <c r="E161" s="17" t="str">
        <f t="shared" si="22"/>
        <v>weekday</v>
      </c>
      <c r="F161" s="17">
        <f t="shared" si="26"/>
        <v>0</v>
      </c>
      <c r="G161" s="17">
        <f t="shared" si="26"/>
        <v>0</v>
      </c>
      <c r="H161" s="17">
        <f t="shared" si="26"/>
        <v>0</v>
      </c>
      <c r="I161" s="17">
        <f t="shared" si="26"/>
        <v>0</v>
      </c>
      <c r="J161" s="17">
        <f t="shared" si="26"/>
        <v>0</v>
      </c>
      <c r="K161" s="17">
        <f t="shared" si="26"/>
        <v>0</v>
      </c>
      <c r="L161" s="17">
        <f t="shared" si="26"/>
        <v>1</v>
      </c>
      <c r="M161" s="17">
        <f t="shared" si="26"/>
        <v>1</v>
      </c>
      <c r="N161" s="17">
        <f t="shared" si="26"/>
        <v>0</v>
      </c>
      <c r="O161" s="17">
        <f t="shared" si="26"/>
        <v>0</v>
      </c>
      <c r="P161" s="17">
        <f t="shared" si="26"/>
        <v>0</v>
      </c>
      <c r="Q161" s="17">
        <f t="shared" si="26"/>
        <v>0</v>
      </c>
      <c r="R161" s="17">
        <f t="shared" si="26"/>
        <v>0</v>
      </c>
      <c r="S161" s="17">
        <f t="shared" si="26"/>
        <v>0</v>
      </c>
      <c r="T161" s="17">
        <f t="shared" si="26"/>
        <v>0</v>
      </c>
      <c r="U161" s="17">
        <f t="shared" si="26"/>
        <v>1</v>
      </c>
      <c r="V161" s="17">
        <f t="shared" si="25"/>
        <v>1</v>
      </c>
      <c r="W161" s="17">
        <f t="shared" si="25"/>
        <v>1</v>
      </c>
      <c r="X161" s="17">
        <f t="shared" si="25"/>
        <v>1</v>
      </c>
      <c r="Y161" s="17">
        <f t="shared" si="25"/>
        <v>1</v>
      </c>
      <c r="Z161" s="17">
        <f t="shared" si="25"/>
        <v>1</v>
      </c>
      <c r="AA161" s="17">
        <f t="shared" si="25"/>
        <v>1</v>
      </c>
      <c r="AB161" s="17">
        <f t="shared" si="25"/>
        <v>0</v>
      </c>
      <c r="AC161" s="17">
        <f t="shared" si="25"/>
        <v>0</v>
      </c>
      <c r="AD161" s="17">
        <f t="shared" si="24"/>
        <v>9</v>
      </c>
    </row>
    <row r="162" spans="4:30" x14ac:dyDescent="0.2">
      <c r="D162" s="37">
        <v>45080</v>
      </c>
      <c r="E162" s="17" t="str">
        <f t="shared" si="22"/>
        <v>weekend</v>
      </c>
      <c r="F162" s="17">
        <f t="shared" si="26"/>
        <v>0</v>
      </c>
      <c r="G162" s="17">
        <f t="shared" si="26"/>
        <v>0</v>
      </c>
      <c r="H162" s="17">
        <f t="shared" si="26"/>
        <v>0</v>
      </c>
      <c r="I162" s="17">
        <f t="shared" si="26"/>
        <v>0</v>
      </c>
      <c r="J162" s="17">
        <f t="shared" si="26"/>
        <v>0</v>
      </c>
      <c r="K162" s="17">
        <f t="shared" si="26"/>
        <v>0</v>
      </c>
      <c r="L162" s="17">
        <f t="shared" si="26"/>
        <v>1</v>
      </c>
      <c r="M162" s="17">
        <f t="shared" si="26"/>
        <v>1</v>
      </c>
      <c r="N162" s="17">
        <f t="shared" si="26"/>
        <v>1</v>
      </c>
      <c r="O162" s="17">
        <f t="shared" si="26"/>
        <v>1</v>
      </c>
      <c r="P162" s="17">
        <f t="shared" si="26"/>
        <v>1</v>
      </c>
      <c r="Q162" s="17">
        <f t="shared" si="26"/>
        <v>1</v>
      </c>
      <c r="R162" s="17">
        <f t="shared" si="26"/>
        <v>1</v>
      </c>
      <c r="S162" s="17">
        <f t="shared" si="26"/>
        <v>1</v>
      </c>
      <c r="T162" s="17">
        <f t="shared" si="26"/>
        <v>1</v>
      </c>
      <c r="U162" s="17">
        <f t="shared" si="26"/>
        <v>1</v>
      </c>
      <c r="V162" s="17">
        <f t="shared" si="25"/>
        <v>1</v>
      </c>
      <c r="W162" s="17">
        <f t="shared" si="25"/>
        <v>1</v>
      </c>
      <c r="X162" s="17">
        <f t="shared" si="25"/>
        <v>1</v>
      </c>
      <c r="Y162" s="17">
        <f t="shared" si="25"/>
        <v>1</v>
      </c>
      <c r="Z162" s="17">
        <f t="shared" si="25"/>
        <v>1</v>
      </c>
      <c r="AA162" s="17">
        <f t="shared" si="25"/>
        <v>1</v>
      </c>
      <c r="AB162" s="17">
        <f t="shared" si="25"/>
        <v>0</v>
      </c>
      <c r="AC162" s="17">
        <f t="shared" si="25"/>
        <v>0</v>
      </c>
      <c r="AD162" s="17">
        <f t="shared" si="24"/>
        <v>16</v>
      </c>
    </row>
    <row r="163" spans="4:30" x14ac:dyDescent="0.2">
      <c r="D163" s="37">
        <v>45081</v>
      </c>
      <c r="E163" s="17" t="str">
        <f t="shared" si="22"/>
        <v>weekend</v>
      </c>
      <c r="F163" s="17">
        <f t="shared" si="26"/>
        <v>0</v>
      </c>
      <c r="G163" s="17">
        <f t="shared" si="26"/>
        <v>0</v>
      </c>
      <c r="H163" s="17">
        <f t="shared" si="26"/>
        <v>0</v>
      </c>
      <c r="I163" s="17">
        <f t="shared" si="26"/>
        <v>0</v>
      </c>
      <c r="J163" s="17">
        <f t="shared" si="26"/>
        <v>0</v>
      </c>
      <c r="K163" s="17">
        <f t="shared" si="26"/>
        <v>0</v>
      </c>
      <c r="L163" s="17">
        <f t="shared" si="26"/>
        <v>1</v>
      </c>
      <c r="M163" s="17">
        <f t="shared" si="26"/>
        <v>1</v>
      </c>
      <c r="N163" s="17">
        <f t="shared" si="26"/>
        <v>1</v>
      </c>
      <c r="O163" s="17">
        <f t="shared" si="26"/>
        <v>1</v>
      </c>
      <c r="P163" s="17">
        <f t="shared" si="26"/>
        <v>1</v>
      </c>
      <c r="Q163" s="17">
        <f t="shared" si="26"/>
        <v>1</v>
      </c>
      <c r="R163" s="17">
        <f t="shared" si="26"/>
        <v>1</v>
      </c>
      <c r="S163" s="17">
        <f t="shared" si="26"/>
        <v>1</v>
      </c>
      <c r="T163" s="17">
        <f t="shared" si="26"/>
        <v>1</v>
      </c>
      <c r="U163" s="17">
        <f t="shared" si="26"/>
        <v>1</v>
      </c>
      <c r="V163" s="17">
        <f t="shared" si="25"/>
        <v>1</v>
      </c>
      <c r="W163" s="17">
        <f t="shared" si="25"/>
        <v>1</v>
      </c>
      <c r="X163" s="17">
        <f t="shared" si="25"/>
        <v>1</v>
      </c>
      <c r="Y163" s="17">
        <f t="shared" si="25"/>
        <v>1</v>
      </c>
      <c r="Z163" s="17">
        <f t="shared" si="25"/>
        <v>1</v>
      </c>
      <c r="AA163" s="17">
        <f t="shared" si="25"/>
        <v>1</v>
      </c>
      <c r="AB163" s="17">
        <f t="shared" si="25"/>
        <v>0</v>
      </c>
      <c r="AC163" s="17">
        <f t="shared" si="25"/>
        <v>0</v>
      </c>
      <c r="AD163" s="17">
        <f t="shared" si="24"/>
        <v>16</v>
      </c>
    </row>
    <row r="164" spans="4:30" x14ac:dyDescent="0.2">
      <c r="D164" s="37">
        <v>45082</v>
      </c>
      <c r="E164" s="17" t="str">
        <f t="shared" si="22"/>
        <v>weekday</v>
      </c>
      <c r="F164" s="17">
        <f t="shared" si="26"/>
        <v>0</v>
      </c>
      <c r="G164" s="17">
        <f t="shared" si="26"/>
        <v>0</v>
      </c>
      <c r="H164" s="17">
        <f t="shared" si="26"/>
        <v>0</v>
      </c>
      <c r="I164" s="17">
        <f t="shared" si="26"/>
        <v>0</v>
      </c>
      <c r="J164" s="17">
        <f t="shared" si="26"/>
        <v>0</v>
      </c>
      <c r="K164" s="17">
        <f t="shared" si="26"/>
        <v>0</v>
      </c>
      <c r="L164" s="17">
        <f t="shared" si="26"/>
        <v>1</v>
      </c>
      <c r="M164" s="17">
        <f t="shared" si="26"/>
        <v>1</v>
      </c>
      <c r="N164" s="17">
        <f t="shared" si="26"/>
        <v>0</v>
      </c>
      <c r="O164" s="17">
        <f t="shared" si="26"/>
        <v>0</v>
      </c>
      <c r="P164" s="17">
        <f t="shared" si="26"/>
        <v>0</v>
      </c>
      <c r="Q164" s="17">
        <f t="shared" si="26"/>
        <v>0</v>
      </c>
      <c r="R164" s="17">
        <f t="shared" si="26"/>
        <v>0</v>
      </c>
      <c r="S164" s="17">
        <f t="shared" si="26"/>
        <v>0</v>
      </c>
      <c r="T164" s="17">
        <f t="shared" si="26"/>
        <v>0</v>
      </c>
      <c r="U164" s="17">
        <f t="shared" si="26"/>
        <v>1</v>
      </c>
      <c r="V164" s="17">
        <f t="shared" si="25"/>
        <v>1</v>
      </c>
      <c r="W164" s="17">
        <f t="shared" si="25"/>
        <v>1</v>
      </c>
      <c r="X164" s="17">
        <f t="shared" si="25"/>
        <v>1</v>
      </c>
      <c r="Y164" s="17">
        <f t="shared" si="25"/>
        <v>1</v>
      </c>
      <c r="Z164" s="17">
        <f t="shared" si="25"/>
        <v>1</v>
      </c>
      <c r="AA164" s="17">
        <f t="shared" si="25"/>
        <v>1</v>
      </c>
      <c r="AB164" s="17">
        <f t="shared" si="25"/>
        <v>0</v>
      </c>
      <c r="AC164" s="17">
        <f t="shared" si="25"/>
        <v>0</v>
      </c>
      <c r="AD164" s="17">
        <f t="shared" si="24"/>
        <v>9</v>
      </c>
    </row>
    <row r="165" spans="4:30" x14ac:dyDescent="0.2">
      <c r="D165" s="37">
        <v>45083</v>
      </c>
      <c r="E165" s="17" t="str">
        <f t="shared" si="22"/>
        <v>weekday</v>
      </c>
      <c r="F165" s="17">
        <f t="shared" si="26"/>
        <v>0</v>
      </c>
      <c r="G165" s="17">
        <f t="shared" si="26"/>
        <v>0</v>
      </c>
      <c r="H165" s="17">
        <f t="shared" si="26"/>
        <v>0</v>
      </c>
      <c r="I165" s="17">
        <f t="shared" si="26"/>
        <v>0</v>
      </c>
      <c r="J165" s="17">
        <f t="shared" si="26"/>
        <v>0</v>
      </c>
      <c r="K165" s="17">
        <f t="shared" si="26"/>
        <v>0</v>
      </c>
      <c r="L165" s="17">
        <f t="shared" si="26"/>
        <v>1</v>
      </c>
      <c r="M165" s="17">
        <f t="shared" si="26"/>
        <v>1</v>
      </c>
      <c r="N165" s="17">
        <f t="shared" si="26"/>
        <v>0</v>
      </c>
      <c r="O165" s="17">
        <f t="shared" si="26"/>
        <v>0</v>
      </c>
      <c r="P165" s="17">
        <f t="shared" si="26"/>
        <v>0</v>
      </c>
      <c r="Q165" s="17">
        <f t="shared" si="26"/>
        <v>0</v>
      </c>
      <c r="R165" s="17">
        <f t="shared" si="26"/>
        <v>0</v>
      </c>
      <c r="S165" s="17">
        <f t="shared" si="26"/>
        <v>0</v>
      </c>
      <c r="T165" s="17">
        <f t="shared" si="26"/>
        <v>0</v>
      </c>
      <c r="U165" s="17">
        <f t="shared" si="26"/>
        <v>1</v>
      </c>
      <c r="V165" s="17">
        <f t="shared" si="25"/>
        <v>1</v>
      </c>
      <c r="W165" s="17">
        <f t="shared" si="25"/>
        <v>1</v>
      </c>
      <c r="X165" s="17">
        <f t="shared" si="25"/>
        <v>1</v>
      </c>
      <c r="Y165" s="17">
        <f t="shared" si="25"/>
        <v>1</v>
      </c>
      <c r="Z165" s="17">
        <f t="shared" si="25"/>
        <v>1</v>
      </c>
      <c r="AA165" s="17">
        <f t="shared" si="25"/>
        <v>1</v>
      </c>
      <c r="AB165" s="17">
        <f t="shared" si="25"/>
        <v>0</v>
      </c>
      <c r="AC165" s="17">
        <f t="shared" si="25"/>
        <v>0</v>
      </c>
      <c r="AD165" s="17">
        <f t="shared" si="24"/>
        <v>9</v>
      </c>
    </row>
    <row r="166" spans="4:30" x14ac:dyDescent="0.2">
      <c r="D166" s="37">
        <v>45084</v>
      </c>
      <c r="E166" s="17" t="str">
        <f t="shared" si="22"/>
        <v>weekday</v>
      </c>
      <c r="F166" s="17">
        <f t="shared" si="26"/>
        <v>0</v>
      </c>
      <c r="G166" s="17">
        <f t="shared" si="26"/>
        <v>0</v>
      </c>
      <c r="H166" s="17">
        <f t="shared" si="26"/>
        <v>0</v>
      </c>
      <c r="I166" s="17">
        <f t="shared" si="26"/>
        <v>0</v>
      </c>
      <c r="J166" s="17">
        <f t="shared" si="26"/>
        <v>0</v>
      </c>
      <c r="K166" s="17">
        <f t="shared" si="26"/>
        <v>0</v>
      </c>
      <c r="L166" s="17">
        <f t="shared" si="26"/>
        <v>1</v>
      </c>
      <c r="M166" s="17">
        <f t="shared" si="26"/>
        <v>1</v>
      </c>
      <c r="N166" s="17">
        <f t="shared" si="26"/>
        <v>0</v>
      </c>
      <c r="O166" s="17">
        <f t="shared" si="26"/>
        <v>0</v>
      </c>
      <c r="P166" s="17">
        <f t="shared" si="26"/>
        <v>0</v>
      </c>
      <c r="Q166" s="17">
        <f t="shared" si="26"/>
        <v>0</v>
      </c>
      <c r="R166" s="17">
        <f t="shared" si="26"/>
        <v>0</v>
      </c>
      <c r="S166" s="17">
        <f t="shared" si="26"/>
        <v>0</v>
      </c>
      <c r="T166" s="17">
        <f t="shared" si="26"/>
        <v>0</v>
      </c>
      <c r="U166" s="17">
        <f t="shared" si="26"/>
        <v>1</v>
      </c>
      <c r="V166" s="17">
        <f t="shared" si="25"/>
        <v>1</v>
      </c>
      <c r="W166" s="17">
        <f t="shared" si="25"/>
        <v>1</v>
      </c>
      <c r="X166" s="17">
        <f t="shared" si="25"/>
        <v>1</v>
      </c>
      <c r="Y166" s="17">
        <f t="shared" si="25"/>
        <v>1</v>
      </c>
      <c r="Z166" s="17">
        <f t="shared" si="25"/>
        <v>1</v>
      </c>
      <c r="AA166" s="17">
        <f t="shared" si="25"/>
        <v>1</v>
      </c>
      <c r="AB166" s="17">
        <f t="shared" si="25"/>
        <v>0</v>
      </c>
      <c r="AC166" s="17">
        <f t="shared" si="25"/>
        <v>0</v>
      </c>
      <c r="AD166" s="17">
        <f t="shared" si="24"/>
        <v>9</v>
      </c>
    </row>
    <row r="167" spans="4:30" x14ac:dyDescent="0.2">
      <c r="D167" s="37">
        <v>45085</v>
      </c>
      <c r="E167" s="17" t="str">
        <f t="shared" si="22"/>
        <v>weekday</v>
      </c>
      <c r="F167" s="17">
        <f t="shared" si="26"/>
        <v>0</v>
      </c>
      <c r="G167" s="17">
        <f t="shared" si="26"/>
        <v>0</v>
      </c>
      <c r="H167" s="17">
        <f t="shared" si="26"/>
        <v>0</v>
      </c>
      <c r="I167" s="17">
        <f t="shared" si="26"/>
        <v>0</v>
      </c>
      <c r="J167" s="17">
        <f t="shared" si="26"/>
        <v>0</v>
      </c>
      <c r="K167" s="17">
        <f t="shared" si="26"/>
        <v>0</v>
      </c>
      <c r="L167" s="17">
        <f t="shared" si="26"/>
        <v>1</v>
      </c>
      <c r="M167" s="17">
        <f t="shared" si="26"/>
        <v>1</v>
      </c>
      <c r="N167" s="17">
        <f t="shared" si="26"/>
        <v>0</v>
      </c>
      <c r="O167" s="17">
        <f t="shared" si="26"/>
        <v>0</v>
      </c>
      <c r="P167" s="17">
        <f t="shared" si="26"/>
        <v>0</v>
      </c>
      <c r="Q167" s="17">
        <f t="shared" si="26"/>
        <v>0</v>
      </c>
      <c r="R167" s="17">
        <f t="shared" si="26"/>
        <v>0</v>
      </c>
      <c r="S167" s="17">
        <f t="shared" si="26"/>
        <v>0</v>
      </c>
      <c r="T167" s="17">
        <f t="shared" si="26"/>
        <v>0</v>
      </c>
      <c r="U167" s="17">
        <f t="shared" si="26"/>
        <v>1</v>
      </c>
      <c r="V167" s="17">
        <f t="shared" si="25"/>
        <v>1</v>
      </c>
      <c r="W167" s="17">
        <f t="shared" si="25"/>
        <v>1</v>
      </c>
      <c r="X167" s="17">
        <f t="shared" si="25"/>
        <v>1</v>
      </c>
      <c r="Y167" s="17">
        <f t="shared" si="25"/>
        <v>1</v>
      </c>
      <c r="Z167" s="17">
        <f t="shared" si="25"/>
        <v>1</v>
      </c>
      <c r="AA167" s="17">
        <f t="shared" si="25"/>
        <v>1</v>
      </c>
      <c r="AB167" s="17">
        <f t="shared" si="25"/>
        <v>0</v>
      </c>
      <c r="AC167" s="17">
        <f t="shared" si="25"/>
        <v>0</v>
      </c>
      <c r="AD167" s="17">
        <f t="shared" si="24"/>
        <v>9</v>
      </c>
    </row>
    <row r="168" spans="4:30" x14ac:dyDescent="0.2">
      <c r="D168" s="37">
        <v>45086</v>
      </c>
      <c r="E168" s="17" t="str">
        <f t="shared" si="22"/>
        <v>weekday</v>
      </c>
      <c r="F168" s="17">
        <f t="shared" si="26"/>
        <v>0</v>
      </c>
      <c r="G168" s="17">
        <f t="shared" si="26"/>
        <v>0</v>
      </c>
      <c r="H168" s="17">
        <f t="shared" si="26"/>
        <v>0</v>
      </c>
      <c r="I168" s="17">
        <f t="shared" si="26"/>
        <v>0</v>
      </c>
      <c r="J168" s="17">
        <f t="shared" si="26"/>
        <v>0</v>
      </c>
      <c r="K168" s="17">
        <f t="shared" si="26"/>
        <v>0</v>
      </c>
      <c r="L168" s="17">
        <f t="shared" si="26"/>
        <v>1</v>
      </c>
      <c r="M168" s="17">
        <f t="shared" si="26"/>
        <v>1</v>
      </c>
      <c r="N168" s="17">
        <f t="shared" si="26"/>
        <v>0</v>
      </c>
      <c r="O168" s="17">
        <f t="shared" si="26"/>
        <v>0</v>
      </c>
      <c r="P168" s="17">
        <f t="shared" si="26"/>
        <v>0</v>
      </c>
      <c r="Q168" s="17">
        <f t="shared" si="26"/>
        <v>0</v>
      </c>
      <c r="R168" s="17">
        <f t="shared" si="26"/>
        <v>0</v>
      </c>
      <c r="S168" s="17">
        <f t="shared" si="26"/>
        <v>0</v>
      </c>
      <c r="T168" s="17">
        <f t="shared" si="26"/>
        <v>0</v>
      </c>
      <c r="U168" s="17">
        <f t="shared" si="26"/>
        <v>1</v>
      </c>
      <c r="V168" s="17">
        <f t="shared" si="25"/>
        <v>1</v>
      </c>
      <c r="W168" s="17">
        <f t="shared" si="25"/>
        <v>1</v>
      </c>
      <c r="X168" s="17">
        <f t="shared" si="25"/>
        <v>1</v>
      </c>
      <c r="Y168" s="17">
        <f t="shared" si="25"/>
        <v>1</v>
      </c>
      <c r="Z168" s="17">
        <f t="shared" si="25"/>
        <v>1</v>
      </c>
      <c r="AA168" s="17">
        <f t="shared" si="25"/>
        <v>1</v>
      </c>
      <c r="AB168" s="17">
        <f t="shared" si="25"/>
        <v>0</v>
      </c>
      <c r="AC168" s="17">
        <f t="shared" si="25"/>
        <v>0</v>
      </c>
      <c r="AD168" s="17">
        <f t="shared" si="24"/>
        <v>9</v>
      </c>
    </row>
    <row r="169" spans="4:30" x14ac:dyDescent="0.2">
      <c r="D169" s="37">
        <v>45087</v>
      </c>
      <c r="E169" s="17" t="str">
        <f t="shared" si="22"/>
        <v>weekend</v>
      </c>
      <c r="F169" s="17">
        <f t="shared" si="26"/>
        <v>0</v>
      </c>
      <c r="G169" s="17">
        <f t="shared" si="26"/>
        <v>0</v>
      </c>
      <c r="H169" s="17">
        <f t="shared" si="26"/>
        <v>0</v>
      </c>
      <c r="I169" s="17">
        <f t="shared" si="26"/>
        <v>0</v>
      </c>
      <c r="J169" s="17">
        <f t="shared" si="26"/>
        <v>0</v>
      </c>
      <c r="K169" s="17">
        <f t="shared" si="26"/>
        <v>0</v>
      </c>
      <c r="L169" s="17">
        <f t="shared" si="26"/>
        <v>1</v>
      </c>
      <c r="M169" s="17">
        <f t="shared" si="26"/>
        <v>1</v>
      </c>
      <c r="N169" s="17">
        <f t="shared" si="26"/>
        <v>1</v>
      </c>
      <c r="O169" s="17">
        <f t="shared" si="26"/>
        <v>1</v>
      </c>
      <c r="P169" s="17">
        <f t="shared" si="26"/>
        <v>1</v>
      </c>
      <c r="Q169" s="17">
        <f t="shared" si="26"/>
        <v>1</v>
      </c>
      <c r="R169" s="17">
        <f t="shared" si="26"/>
        <v>1</v>
      </c>
      <c r="S169" s="17">
        <f t="shared" si="26"/>
        <v>1</v>
      </c>
      <c r="T169" s="17">
        <f t="shared" si="26"/>
        <v>1</v>
      </c>
      <c r="U169" s="17">
        <f t="shared" ref="U169:AC184" si="27">IF($E169=$E$5,(U$5),(U$6))</f>
        <v>1</v>
      </c>
      <c r="V169" s="17">
        <f t="shared" si="27"/>
        <v>1</v>
      </c>
      <c r="W169" s="17">
        <f t="shared" si="27"/>
        <v>1</v>
      </c>
      <c r="X169" s="17">
        <f t="shared" si="27"/>
        <v>1</v>
      </c>
      <c r="Y169" s="17">
        <f t="shared" si="27"/>
        <v>1</v>
      </c>
      <c r="Z169" s="17">
        <f t="shared" si="27"/>
        <v>1</v>
      </c>
      <c r="AA169" s="17">
        <f t="shared" si="27"/>
        <v>1</v>
      </c>
      <c r="AB169" s="17">
        <f t="shared" si="27"/>
        <v>0</v>
      </c>
      <c r="AC169" s="17">
        <f t="shared" si="27"/>
        <v>0</v>
      </c>
      <c r="AD169" s="17">
        <f t="shared" si="24"/>
        <v>16</v>
      </c>
    </row>
    <row r="170" spans="4:30" x14ac:dyDescent="0.2">
      <c r="D170" s="37">
        <v>45088</v>
      </c>
      <c r="E170" s="17" t="str">
        <f t="shared" si="22"/>
        <v>weekend</v>
      </c>
      <c r="F170" s="17">
        <f t="shared" ref="F170:U185" si="28">IF($E170=$E$5,(F$5),(F$6))</f>
        <v>0</v>
      </c>
      <c r="G170" s="17">
        <f t="shared" si="28"/>
        <v>0</v>
      </c>
      <c r="H170" s="17">
        <f t="shared" si="28"/>
        <v>0</v>
      </c>
      <c r="I170" s="17">
        <f t="shared" si="28"/>
        <v>0</v>
      </c>
      <c r="J170" s="17">
        <f t="shared" si="28"/>
        <v>0</v>
      </c>
      <c r="K170" s="17">
        <f t="shared" si="28"/>
        <v>0</v>
      </c>
      <c r="L170" s="17">
        <f t="shared" si="28"/>
        <v>1</v>
      </c>
      <c r="M170" s="17">
        <f t="shared" si="28"/>
        <v>1</v>
      </c>
      <c r="N170" s="17">
        <f t="shared" si="28"/>
        <v>1</v>
      </c>
      <c r="O170" s="17">
        <f t="shared" si="28"/>
        <v>1</v>
      </c>
      <c r="P170" s="17">
        <f t="shared" si="28"/>
        <v>1</v>
      </c>
      <c r="Q170" s="17">
        <f t="shared" si="28"/>
        <v>1</v>
      </c>
      <c r="R170" s="17">
        <f t="shared" si="28"/>
        <v>1</v>
      </c>
      <c r="S170" s="17">
        <f t="shared" si="28"/>
        <v>1</v>
      </c>
      <c r="T170" s="17">
        <f t="shared" si="28"/>
        <v>1</v>
      </c>
      <c r="U170" s="17">
        <f t="shared" si="28"/>
        <v>1</v>
      </c>
      <c r="V170" s="17">
        <f t="shared" si="27"/>
        <v>1</v>
      </c>
      <c r="W170" s="17">
        <f t="shared" si="27"/>
        <v>1</v>
      </c>
      <c r="X170" s="17">
        <f t="shared" si="27"/>
        <v>1</v>
      </c>
      <c r="Y170" s="17">
        <f t="shared" si="27"/>
        <v>1</v>
      </c>
      <c r="Z170" s="17">
        <f t="shared" si="27"/>
        <v>1</v>
      </c>
      <c r="AA170" s="17">
        <f t="shared" si="27"/>
        <v>1</v>
      </c>
      <c r="AB170" s="17">
        <f t="shared" si="27"/>
        <v>0</v>
      </c>
      <c r="AC170" s="17">
        <f t="shared" si="27"/>
        <v>0</v>
      </c>
      <c r="AD170" s="17">
        <f t="shared" si="24"/>
        <v>16</v>
      </c>
    </row>
    <row r="171" spans="4:30" x14ac:dyDescent="0.2">
      <c r="D171" s="37">
        <v>45089</v>
      </c>
      <c r="E171" s="17" t="str">
        <f t="shared" si="22"/>
        <v>weekday</v>
      </c>
      <c r="F171" s="17">
        <f t="shared" si="28"/>
        <v>0</v>
      </c>
      <c r="G171" s="17">
        <f t="shared" si="28"/>
        <v>0</v>
      </c>
      <c r="H171" s="17">
        <f t="shared" si="28"/>
        <v>0</v>
      </c>
      <c r="I171" s="17">
        <f t="shared" si="28"/>
        <v>0</v>
      </c>
      <c r="J171" s="17">
        <f t="shared" si="28"/>
        <v>0</v>
      </c>
      <c r="K171" s="17">
        <f t="shared" si="28"/>
        <v>0</v>
      </c>
      <c r="L171" s="17">
        <f t="shared" si="28"/>
        <v>1</v>
      </c>
      <c r="M171" s="17">
        <f t="shared" si="28"/>
        <v>1</v>
      </c>
      <c r="N171" s="17">
        <f t="shared" si="28"/>
        <v>0</v>
      </c>
      <c r="O171" s="17">
        <f t="shared" si="28"/>
        <v>0</v>
      </c>
      <c r="P171" s="17">
        <f t="shared" si="28"/>
        <v>0</v>
      </c>
      <c r="Q171" s="17">
        <f t="shared" si="28"/>
        <v>0</v>
      </c>
      <c r="R171" s="17">
        <f t="shared" si="28"/>
        <v>0</v>
      </c>
      <c r="S171" s="17">
        <f t="shared" si="28"/>
        <v>0</v>
      </c>
      <c r="T171" s="17">
        <f t="shared" si="28"/>
        <v>0</v>
      </c>
      <c r="U171" s="17">
        <f t="shared" si="28"/>
        <v>1</v>
      </c>
      <c r="V171" s="17">
        <f t="shared" si="27"/>
        <v>1</v>
      </c>
      <c r="W171" s="17">
        <f t="shared" si="27"/>
        <v>1</v>
      </c>
      <c r="X171" s="17">
        <f t="shared" si="27"/>
        <v>1</v>
      </c>
      <c r="Y171" s="17">
        <f t="shared" si="27"/>
        <v>1</v>
      </c>
      <c r="Z171" s="17">
        <f t="shared" si="27"/>
        <v>1</v>
      </c>
      <c r="AA171" s="17">
        <f t="shared" si="27"/>
        <v>1</v>
      </c>
      <c r="AB171" s="17">
        <f t="shared" si="27"/>
        <v>0</v>
      </c>
      <c r="AC171" s="17">
        <f t="shared" si="27"/>
        <v>0</v>
      </c>
      <c r="AD171" s="17">
        <f t="shared" si="24"/>
        <v>9</v>
      </c>
    </row>
    <row r="172" spans="4:30" x14ac:dyDescent="0.2">
      <c r="D172" s="37">
        <v>45090</v>
      </c>
      <c r="E172" s="17" t="str">
        <f t="shared" si="22"/>
        <v>weekday</v>
      </c>
      <c r="F172" s="17">
        <f t="shared" si="28"/>
        <v>0</v>
      </c>
      <c r="G172" s="17">
        <f t="shared" si="28"/>
        <v>0</v>
      </c>
      <c r="H172" s="17">
        <f t="shared" si="28"/>
        <v>0</v>
      </c>
      <c r="I172" s="17">
        <f t="shared" si="28"/>
        <v>0</v>
      </c>
      <c r="J172" s="17">
        <f t="shared" si="28"/>
        <v>0</v>
      </c>
      <c r="K172" s="17">
        <f t="shared" si="28"/>
        <v>0</v>
      </c>
      <c r="L172" s="17">
        <f t="shared" si="28"/>
        <v>1</v>
      </c>
      <c r="M172" s="17">
        <f t="shared" si="28"/>
        <v>1</v>
      </c>
      <c r="N172" s="17">
        <f t="shared" si="28"/>
        <v>0</v>
      </c>
      <c r="O172" s="17">
        <f t="shared" si="28"/>
        <v>0</v>
      </c>
      <c r="P172" s="17">
        <f t="shared" si="28"/>
        <v>0</v>
      </c>
      <c r="Q172" s="17">
        <f t="shared" si="28"/>
        <v>0</v>
      </c>
      <c r="R172" s="17">
        <f t="shared" si="28"/>
        <v>0</v>
      </c>
      <c r="S172" s="17">
        <f t="shared" si="28"/>
        <v>0</v>
      </c>
      <c r="T172" s="17">
        <f t="shared" si="28"/>
        <v>0</v>
      </c>
      <c r="U172" s="17">
        <f t="shared" si="28"/>
        <v>1</v>
      </c>
      <c r="V172" s="17">
        <f t="shared" si="27"/>
        <v>1</v>
      </c>
      <c r="W172" s="17">
        <f t="shared" si="27"/>
        <v>1</v>
      </c>
      <c r="X172" s="17">
        <f t="shared" si="27"/>
        <v>1</v>
      </c>
      <c r="Y172" s="17">
        <f t="shared" si="27"/>
        <v>1</v>
      </c>
      <c r="Z172" s="17">
        <f t="shared" si="27"/>
        <v>1</v>
      </c>
      <c r="AA172" s="17">
        <f t="shared" si="27"/>
        <v>1</v>
      </c>
      <c r="AB172" s="17">
        <f t="shared" si="27"/>
        <v>0</v>
      </c>
      <c r="AC172" s="17">
        <f t="shared" si="27"/>
        <v>0</v>
      </c>
      <c r="AD172" s="17">
        <f t="shared" si="24"/>
        <v>9</v>
      </c>
    </row>
    <row r="173" spans="4:30" x14ac:dyDescent="0.2">
      <c r="D173" s="37">
        <v>45091</v>
      </c>
      <c r="E173" s="17" t="str">
        <f t="shared" si="22"/>
        <v>weekday</v>
      </c>
      <c r="F173" s="17">
        <f t="shared" si="28"/>
        <v>0</v>
      </c>
      <c r="G173" s="17">
        <f t="shared" si="28"/>
        <v>0</v>
      </c>
      <c r="H173" s="17">
        <f t="shared" si="28"/>
        <v>0</v>
      </c>
      <c r="I173" s="17">
        <f t="shared" si="28"/>
        <v>0</v>
      </c>
      <c r="J173" s="17">
        <f t="shared" si="28"/>
        <v>0</v>
      </c>
      <c r="K173" s="17">
        <f t="shared" si="28"/>
        <v>0</v>
      </c>
      <c r="L173" s="17">
        <f t="shared" si="28"/>
        <v>1</v>
      </c>
      <c r="M173" s="17">
        <f t="shared" si="28"/>
        <v>1</v>
      </c>
      <c r="N173" s="17">
        <f t="shared" si="28"/>
        <v>0</v>
      </c>
      <c r="O173" s="17">
        <f t="shared" si="28"/>
        <v>0</v>
      </c>
      <c r="P173" s="17">
        <f t="shared" si="28"/>
        <v>0</v>
      </c>
      <c r="Q173" s="17">
        <f t="shared" si="28"/>
        <v>0</v>
      </c>
      <c r="R173" s="17">
        <f t="shared" si="28"/>
        <v>0</v>
      </c>
      <c r="S173" s="17">
        <f t="shared" si="28"/>
        <v>0</v>
      </c>
      <c r="T173" s="17">
        <f t="shared" si="28"/>
        <v>0</v>
      </c>
      <c r="U173" s="17">
        <f t="shared" si="28"/>
        <v>1</v>
      </c>
      <c r="V173" s="17">
        <f t="shared" si="27"/>
        <v>1</v>
      </c>
      <c r="W173" s="17">
        <f t="shared" si="27"/>
        <v>1</v>
      </c>
      <c r="X173" s="17">
        <f t="shared" si="27"/>
        <v>1</v>
      </c>
      <c r="Y173" s="17">
        <f t="shared" si="27"/>
        <v>1</v>
      </c>
      <c r="Z173" s="17">
        <f t="shared" si="27"/>
        <v>1</v>
      </c>
      <c r="AA173" s="17">
        <f t="shared" si="27"/>
        <v>1</v>
      </c>
      <c r="AB173" s="17">
        <f t="shared" si="27"/>
        <v>0</v>
      </c>
      <c r="AC173" s="17">
        <f t="shared" si="27"/>
        <v>0</v>
      </c>
      <c r="AD173" s="17">
        <f t="shared" si="24"/>
        <v>9</v>
      </c>
    </row>
    <row r="174" spans="4:30" x14ac:dyDescent="0.2">
      <c r="D174" s="37">
        <v>45092</v>
      </c>
      <c r="E174" s="17" t="str">
        <f t="shared" si="22"/>
        <v>weekday</v>
      </c>
      <c r="F174" s="17">
        <f t="shared" si="28"/>
        <v>0</v>
      </c>
      <c r="G174" s="17">
        <f t="shared" si="28"/>
        <v>0</v>
      </c>
      <c r="H174" s="17">
        <f t="shared" si="28"/>
        <v>0</v>
      </c>
      <c r="I174" s="17">
        <f t="shared" si="28"/>
        <v>0</v>
      </c>
      <c r="J174" s="17">
        <f t="shared" si="28"/>
        <v>0</v>
      </c>
      <c r="K174" s="17">
        <f t="shared" si="28"/>
        <v>0</v>
      </c>
      <c r="L174" s="17">
        <f t="shared" si="28"/>
        <v>1</v>
      </c>
      <c r="M174" s="17">
        <f t="shared" si="28"/>
        <v>1</v>
      </c>
      <c r="N174" s="17">
        <f t="shared" si="28"/>
        <v>0</v>
      </c>
      <c r="O174" s="17">
        <f t="shared" si="28"/>
        <v>0</v>
      </c>
      <c r="P174" s="17">
        <f t="shared" si="28"/>
        <v>0</v>
      </c>
      <c r="Q174" s="17">
        <f t="shared" si="28"/>
        <v>0</v>
      </c>
      <c r="R174" s="17">
        <f t="shared" si="28"/>
        <v>0</v>
      </c>
      <c r="S174" s="17">
        <f t="shared" si="28"/>
        <v>0</v>
      </c>
      <c r="T174" s="17">
        <f t="shared" si="28"/>
        <v>0</v>
      </c>
      <c r="U174" s="17">
        <f t="shared" si="28"/>
        <v>1</v>
      </c>
      <c r="V174" s="17">
        <f t="shared" si="27"/>
        <v>1</v>
      </c>
      <c r="W174" s="17">
        <f t="shared" si="27"/>
        <v>1</v>
      </c>
      <c r="X174" s="17">
        <f t="shared" si="27"/>
        <v>1</v>
      </c>
      <c r="Y174" s="17">
        <f t="shared" si="27"/>
        <v>1</v>
      </c>
      <c r="Z174" s="17">
        <f t="shared" si="27"/>
        <v>1</v>
      </c>
      <c r="AA174" s="17">
        <f t="shared" si="27"/>
        <v>1</v>
      </c>
      <c r="AB174" s="17">
        <f t="shared" si="27"/>
        <v>0</v>
      </c>
      <c r="AC174" s="17">
        <f t="shared" si="27"/>
        <v>0</v>
      </c>
      <c r="AD174" s="17">
        <f t="shared" si="24"/>
        <v>9</v>
      </c>
    </row>
    <row r="175" spans="4:30" x14ac:dyDescent="0.2">
      <c r="D175" s="37">
        <v>45093</v>
      </c>
      <c r="E175" s="17" t="str">
        <f t="shared" si="22"/>
        <v>weekday</v>
      </c>
      <c r="F175" s="17">
        <f t="shared" si="28"/>
        <v>0</v>
      </c>
      <c r="G175" s="17">
        <f t="shared" si="28"/>
        <v>0</v>
      </c>
      <c r="H175" s="17">
        <f t="shared" si="28"/>
        <v>0</v>
      </c>
      <c r="I175" s="17">
        <f t="shared" si="28"/>
        <v>0</v>
      </c>
      <c r="J175" s="17">
        <f t="shared" si="28"/>
        <v>0</v>
      </c>
      <c r="K175" s="17">
        <f t="shared" si="28"/>
        <v>0</v>
      </c>
      <c r="L175" s="17">
        <f t="shared" si="28"/>
        <v>1</v>
      </c>
      <c r="M175" s="17">
        <f t="shared" si="28"/>
        <v>1</v>
      </c>
      <c r="N175" s="17">
        <f t="shared" si="28"/>
        <v>0</v>
      </c>
      <c r="O175" s="17">
        <f t="shared" si="28"/>
        <v>0</v>
      </c>
      <c r="P175" s="17">
        <f t="shared" si="28"/>
        <v>0</v>
      </c>
      <c r="Q175" s="17">
        <f t="shared" si="28"/>
        <v>0</v>
      </c>
      <c r="R175" s="17">
        <f t="shared" si="28"/>
        <v>0</v>
      </c>
      <c r="S175" s="17">
        <f t="shared" si="28"/>
        <v>0</v>
      </c>
      <c r="T175" s="17">
        <f t="shared" si="28"/>
        <v>0</v>
      </c>
      <c r="U175" s="17">
        <f t="shared" si="28"/>
        <v>1</v>
      </c>
      <c r="V175" s="17">
        <f t="shared" si="27"/>
        <v>1</v>
      </c>
      <c r="W175" s="17">
        <f t="shared" si="27"/>
        <v>1</v>
      </c>
      <c r="X175" s="17">
        <f t="shared" si="27"/>
        <v>1</v>
      </c>
      <c r="Y175" s="17">
        <f t="shared" si="27"/>
        <v>1</v>
      </c>
      <c r="Z175" s="17">
        <f t="shared" si="27"/>
        <v>1</v>
      </c>
      <c r="AA175" s="17">
        <f t="shared" si="27"/>
        <v>1</v>
      </c>
      <c r="AB175" s="17">
        <f t="shared" si="27"/>
        <v>0</v>
      </c>
      <c r="AC175" s="17">
        <f t="shared" si="27"/>
        <v>0</v>
      </c>
      <c r="AD175" s="17">
        <f t="shared" si="24"/>
        <v>9</v>
      </c>
    </row>
    <row r="176" spans="4:30" x14ac:dyDescent="0.2">
      <c r="D176" s="37">
        <v>45094</v>
      </c>
      <c r="E176" s="17" t="str">
        <f t="shared" si="22"/>
        <v>weekend</v>
      </c>
      <c r="F176" s="17">
        <f t="shared" si="28"/>
        <v>0</v>
      </c>
      <c r="G176" s="17">
        <f t="shared" si="28"/>
        <v>0</v>
      </c>
      <c r="H176" s="17">
        <f t="shared" si="28"/>
        <v>0</v>
      </c>
      <c r="I176" s="17">
        <f t="shared" si="28"/>
        <v>0</v>
      </c>
      <c r="J176" s="17">
        <f t="shared" si="28"/>
        <v>0</v>
      </c>
      <c r="K176" s="17">
        <f t="shared" si="28"/>
        <v>0</v>
      </c>
      <c r="L176" s="17">
        <f t="shared" si="28"/>
        <v>1</v>
      </c>
      <c r="M176" s="17">
        <f t="shared" si="28"/>
        <v>1</v>
      </c>
      <c r="N176" s="17">
        <f t="shared" si="28"/>
        <v>1</v>
      </c>
      <c r="O176" s="17">
        <f t="shared" si="28"/>
        <v>1</v>
      </c>
      <c r="P176" s="17">
        <f t="shared" si="28"/>
        <v>1</v>
      </c>
      <c r="Q176" s="17">
        <f t="shared" si="28"/>
        <v>1</v>
      </c>
      <c r="R176" s="17">
        <f t="shared" si="28"/>
        <v>1</v>
      </c>
      <c r="S176" s="17">
        <f t="shared" si="28"/>
        <v>1</v>
      </c>
      <c r="T176" s="17">
        <f t="shared" si="28"/>
        <v>1</v>
      </c>
      <c r="U176" s="17">
        <f t="shared" si="28"/>
        <v>1</v>
      </c>
      <c r="V176" s="17">
        <f t="shared" si="27"/>
        <v>1</v>
      </c>
      <c r="W176" s="17">
        <f t="shared" si="27"/>
        <v>1</v>
      </c>
      <c r="X176" s="17">
        <f t="shared" si="27"/>
        <v>1</v>
      </c>
      <c r="Y176" s="17">
        <f t="shared" si="27"/>
        <v>1</v>
      </c>
      <c r="Z176" s="17">
        <f t="shared" si="27"/>
        <v>1</v>
      </c>
      <c r="AA176" s="17">
        <f t="shared" si="27"/>
        <v>1</v>
      </c>
      <c r="AB176" s="17">
        <f t="shared" si="27"/>
        <v>0</v>
      </c>
      <c r="AC176" s="17">
        <f t="shared" si="27"/>
        <v>0</v>
      </c>
      <c r="AD176" s="17">
        <f t="shared" si="24"/>
        <v>16</v>
      </c>
    </row>
    <row r="177" spans="4:30" x14ac:dyDescent="0.2">
      <c r="D177" s="37">
        <v>45095</v>
      </c>
      <c r="E177" s="17" t="str">
        <f t="shared" si="22"/>
        <v>weekend</v>
      </c>
      <c r="F177" s="17">
        <f t="shared" si="28"/>
        <v>0</v>
      </c>
      <c r="G177" s="17">
        <f t="shared" si="28"/>
        <v>0</v>
      </c>
      <c r="H177" s="17">
        <f t="shared" si="28"/>
        <v>0</v>
      </c>
      <c r="I177" s="17">
        <f t="shared" si="28"/>
        <v>0</v>
      </c>
      <c r="J177" s="17">
        <f t="shared" si="28"/>
        <v>0</v>
      </c>
      <c r="K177" s="17">
        <f t="shared" si="28"/>
        <v>0</v>
      </c>
      <c r="L177" s="17">
        <f t="shared" si="28"/>
        <v>1</v>
      </c>
      <c r="M177" s="17">
        <f t="shared" si="28"/>
        <v>1</v>
      </c>
      <c r="N177" s="17">
        <f t="shared" si="28"/>
        <v>1</v>
      </c>
      <c r="O177" s="17">
        <f t="shared" si="28"/>
        <v>1</v>
      </c>
      <c r="P177" s="17">
        <f t="shared" si="28"/>
        <v>1</v>
      </c>
      <c r="Q177" s="17">
        <f t="shared" si="28"/>
        <v>1</v>
      </c>
      <c r="R177" s="17">
        <f t="shared" si="28"/>
        <v>1</v>
      </c>
      <c r="S177" s="17">
        <f t="shared" si="28"/>
        <v>1</v>
      </c>
      <c r="T177" s="17">
        <f t="shared" si="28"/>
        <v>1</v>
      </c>
      <c r="U177" s="17">
        <f t="shared" si="28"/>
        <v>1</v>
      </c>
      <c r="V177" s="17">
        <f t="shared" si="27"/>
        <v>1</v>
      </c>
      <c r="W177" s="17">
        <f t="shared" si="27"/>
        <v>1</v>
      </c>
      <c r="X177" s="17">
        <f t="shared" si="27"/>
        <v>1</v>
      </c>
      <c r="Y177" s="17">
        <f t="shared" si="27"/>
        <v>1</v>
      </c>
      <c r="Z177" s="17">
        <f t="shared" si="27"/>
        <v>1</v>
      </c>
      <c r="AA177" s="17">
        <f t="shared" si="27"/>
        <v>1</v>
      </c>
      <c r="AB177" s="17">
        <f t="shared" si="27"/>
        <v>0</v>
      </c>
      <c r="AC177" s="17">
        <f t="shared" si="27"/>
        <v>0</v>
      </c>
      <c r="AD177" s="17">
        <f t="shared" si="24"/>
        <v>16</v>
      </c>
    </row>
    <row r="178" spans="4:30" x14ac:dyDescent="0.2">
      <c r="D178" s="37">
        <v>45096</v>
      </c>
      <c r="E178" s="17" t="str">
        <f t="shared" si="22"/>
        <v>weekday</v>
      </c>
      <c r="F178" s="17">
        <f t="shared" si="28"/>
        <v>0</v>
      </c>
      <c r="G178" s="17">
        <f t="shared" si="28"/>
        <v>0</v>
      </c>
      <c r="H178" s="17">
        <f t="shared" si="28"/>
        <v>0</v>
      </c>
      <c r="I178" s="17">
        <f t="shared" si="28"/>
        <v>0</v>
      </c>
      <c r="J178" s="17">
        <f t="shared" si="28"/>
        <v>0</v>
      </c>
      <c r="K178" s="17">
        <f t="shared" si="28"/>
        <v>0</v>
      </c>
      <c r="L178" s="17">
        <f t="shared" si="28"/>
        <v>1</v>
      </c>
      <c r="M178" s="17">
        <f t="shared" si="28"/>
        <v>1</v>
      </c>
      <c r="N178" s="17">
        <f t="shared" si="28"/>
        <v>0</v>
      </c>
      <c r="O178" s="17">
        <f t="shared" si="28"/>
        <v>0</v>
      </c>
      <c r="P178" s="17">
        <f t="shared" si="28"/>
        <v>0</v>
      </c>
      <c r="Q178" s="17">
        <f t="shared" si="28"/>
        <v>0</v>
      </c>
      <c r="R178" s="17">
        <f t="shared" si="28"/>
        <v>0</v>
      </c>
      <c r="S178" s="17">
        <f t="shared" si="28"/>
        <v>0</v>
      </c>
      <c r="T178" s="17">
        <f t="shared" si="28"/>
        <v>0</v>
      </c>
      <c r="U178" s="17">
        <f t="shared" si="28"/>
        <v>1</v>
      </c>
      <c r="V178" s="17">
        <f t="shared" si="27"/>
        <v>1</v>
      </c>
      <c r="W178" s="17">
        <f t="shared" si="27"/>
        <v>1</v>
      </c>
      <c r="X178" s="17">
        <f t="shared" si="27"/>
        <v>1</v>
      </c>
      <c r="Y178" s="17">
        <f t="shared" si="27"/>
        <v>1</v>
      </c>
      <c r="Z178" s="17">
        <f t="shared" si="27"/>
        <v>1</v>
      </c>
      <c r="AA178" s="17">
        <f t="shared" si="27"/>
        <v>1</v>
      </c>
      <c r="AB178" s="17">
        <f t="shared" si="27"/>
        <v>0</v>
      </c>
      <c r="AC178" s="17">
        <f t="shared" si="27"/>
        <v>0</v>
      </c>
      <c r="AD178" s="17">
        <f t="shared" si="24"/>
        <v>9</v>
      </c>
    </row>
    <row r="179" spans="4:30" x14ac:dyDescent="0.2">
      <c r="D179" s="37">
        <v>45097</v>
      </c>
      <c r="E179" s="17" t="str">
        <f t="shared" si="22"/>
        <v>weekday</v>
      </c>
      <c r="F179" s="17">
        <f t="shared" si="28"/>
        <v>0</v>
      </c>
      <c r="G179" s="17">
        <f t="shared" si="28"/>
        <v>0</v>
      </c>
      <c r="H179" s="17">
        <f t="shared" si="28"/>
        <v>0</v>
      </c>
      <c r="I179" s="17">
        <f t="shared" si="28"/>
        <v>0</v>
      </c>
      <c r="J179" s="17">
        <f t="shared" si="28"/>
        <v>0</v>
      </c>
      <c r="K179" s="17">
        <f t="shared" si="28"/>
        <v>0</v>
      </c>
      <c r="L179" s="17">
        <f t="shared" si="28"/>
        <v>1</v>
      </c>
      <c r="M179" s="17">
        <f t="shared" si="28"/>
        <v>1</v>
      </c>
      <c r="N179" s="17">
        <f t="shared" si="28"/>
        <v>0</v>
      </c>
      <c r="O179" s="17">
        <f t="shared" si="28"/>
        <v>0</v>
      </c>
      <c r="P179" s="17">
        <f t="shared" si="28"/>
        <v>0</v>
      </c>
      <c r="Q179" s="17">
        <f t="shared" si="28"/>
        <v>0</v>
      </c>
      <c r="R179" s="17">
        <f t="shared" si="28"/>
        <v>0</v>
      </c>
      <c r="S179" s="17">
        <f t="shared" si="28"/>
        <v>0</v>
      </c>
      <c r="T179" s="17">
        <f t="shared" si="28"/>
        <v>0</v>
      </c>
      <c r="U179" s="17">
        <f t="shared" si="28"/>
        <v>1</v>
      </c>
      <c r="V179" s="17">
        <f t="shared" si="27"/>
        <v>1</v>
      </c>
      <c r="W179" s="17">
        <f t="shared" si="27"/>
        <v>1</v>
      </c>
      <c r="X179" s="17">
        <f t="shared" si="27"/>
        <v>1</v>
      </c>
      <c r="Y179" s="17">
        <f t="shared" si="27"/>
        <v>1</v>
      </c>
      <c r="Z179" s="17">
        <f t="shared" si="27"/>
        <v>1</v>
      </c>
      <c r="AA179" s="17">
        <f t="shared" si="27"/>
        <v>1</v>
      </c>
      <c r="AB179" s="17">
        <f t="shared" si="27"/>
        <v>0</v>
      </c>
      <c r="AC179" s="17">
        <f t="shared" si="27"/>
        <v>0</v>
      </c>
      <c r="AD179" s="17">
        <f t="shared" si="24"/>
        <v>9</v>
      </c>
    </row>
    <row r="180" spans="4:30" x14ac:dyDescent="0.2">
      <c r="D180" s="37">
        <v>45098</v>
      </c>
      <c r="E180" s="17" t="str">
        <f t="shared" si="22"/>
        <v>weekday</v>
      </c>
      <c r="F180" s="17">
        <f t="shared" si="28"/>
        <v>0</v>
      </c>
      <c r="G180" s="17">
        <f t="shared" si="28"/>
        <v>0</v>
      </c>
      <c r="H180" s="17">
        <f t="shared" si="28"/>
        <v>0</v>
      </c>
      <c r="I180" s="17">
        <f t="shared" si="28"/>
        <v>0</v>
      </c>
      <c r="J180" s="17">
        <f t="shared" si="28"/>
        <v>0</v>
      </c>
      <c r="K180" s="17">
        <f t="shared" si="28"/>
        <v>0</v>
      </c>
      <c r="L180" s="17">
        <f t="shared" si="28"/>
        <v>1</v>
      </c>
      <c r="M180" s="17">
        <f t="shared" si="28"/>
        <v>1</v>
      </c>
      <c r="N180" s="17">
        <f t="shared" si="28"/>
        <v>0</v>
      </c>
      <c r="O180" s="17">
        <f t="shared" si="28"/>
        <v>0</v>
      </c>
      <c r="P180" s="17">
        <f t="shared" si="28"/>
        <v>0</v>
      </c>
      <c r="Q180" s="17">
        <f t="shared" si="28"/>
        <v>0</v>
      </c>
      <c r="R180" s="17">
        <f t="shared" si="28"/>
        <v>0</v>
      </c>
      <c r="S180" s="17">
        <f t="shared" si="28"/>
        <v>0</v>
      </c>
      <c r="T180" s="17">
        <f t="shared" si="28"/>
        <v>0</v>
      </c>
      <c r="U180" s="17">
        <f t="shared" si="28"/>
        <v>1</v>
      </c>
      <c r="V180" s="17">
        <f t="shared" si="27"/>
        <v>1</v>
      </c>
      <c r="W180" s="17">
        <f t="shared" si="27"/>
        <v>1</v>
      </c>
      <c r="X180" s="17">
        <f t="shared" si="27"/>
        <v>1</v>
      </c>
      <c r="Y180" s="17">
        <f t="shared" si="27"/>
        <v>1</v>
      </c>
      <c r="Z180" s="17">
        <f t="shared" si="27"/>
        <v>1</v>
      </c>
      <c r="AA180" s="17">
        <f t="shared" si="27"/>
        <v>1</v>
      </c>
      <c r="AB180" s="17">
        <f t="shared" si="27"/>
        <v>0</v>
      </c>
      <c r="AC180" s="17">
        <f t="shared" si="27"/>
        <v>0</v>
      </c>
      <c r="AD180" s="17">
        <f t="shared" si="24"/>
        <v>9</v>
      </c>
    </row>
    <row r="181" spans="4:30" x14ac:dyDescent="0.2">
      <c r="D181" s="37">
        <v>45099</v>
      </c>
      <c r="E181" s="17" t="str">
        <f t="shared" si="22"/>
        <v>weekday</v>
      </c>
      <c r="F181" s="17">
        <f t="shared" si="28"/>
        <v>0</v>
      </c>
      <c r="G181" s="17">
        <f t="shared" si="28"/>
        <v>0</v>
      </c>
      <c r="H181" s="17">
        <f t="shared" si="28"/>
        <v>0</v>
      </c>
      <c r="I181" s="17">
        <f t="shared" si="28"/>
        <v>0</v>
      </c>
      <c r="J181" s="17">
        <f t="shared" si="28"/>
        <v>0</v>
      </c>
      <c r="K181" s="17">
        <f t="shared" si="28"/>
        <v>0</v>
      </c>
      <c r="L181" s="17">
        <f t="shared" si="28"/>
        <v>1</v>
      </c>
      <c r="M181" s="17">
        <f t="shared" si="28"/>
        <v>1</v>
      </c>
      <c r="N181" s="17">
        <f t="shared" si="28"/>
        <v>0</v>
      </c>
      <c r="O181" s="17">
        <f t="shared" si="28"/>
        <v>0</v>
      </c>
      <c r="P181" s="17">
        <f t="shared" si="28"/>
        <v>0</v>
      </c>
      <c r="Q181" s="17">
        <f t="shared" si="28"/>
        <v>0</v>
      </c>
      <c r="R181" s="17">
        <f t="shared" si="28"/>
        <v>0</v>
      </c>
      <c r="S181" s="17">
        <f t="shared" si="28"/>
        <v>0</v>
      </c>
      <c r="T181" s="17">
        <f t="shared" si="28"/>
        <v>0</v>
      </c>
      <c r="U181" s="17">
        <f t="shared" si="28"/>
        <v>1</v>
      </c>
      <c r="V181" s="17">
        <f t="shared" si="27"/>
        <v>1</v>
      </c>
      <c r="W181" s="17">
        <f t="shared" si="27"/>
        <v>1</v>
      </c>
      <c r="X181" s="17">
        <f t="shared" si="27"/>
        <v>1</v>
      </c>
      <c r="Y181" s="17">
        <f t="shared" si="27"/>
        <v>1</v>
      </c>
      <c r="Z181" s="17">
        <f t="shared" si="27"/>
        <v>1</v>
      </c>
      <c r="AA181" s="17">
        <f t="shared" si="27"/>
        <v>1</v>
      </c>
      <c r="AB181" s="17">
        <f t="shared" si="27"/>
        <v>0</v>
      </c>
      <c r="AC181" s="17">
        <f t="shared" si="27"/>
        <v>0</v>
      </c>
      <c r="AD181" s="17">
        <f t="shared" si="24"/>
        <v>9</v>
      </c>
    </row>
    <row r="182" spans="4:30" x14ac:dyDescent="0.2">
      <c r="D182" s="37">
        <v>45100</v>
      </c>
      <c r="E182" s="17" t="str">
        <f t="shared" si="22"/>
        <v>weekday</v>
      </c>
      <c r="F182" s="17">
        <f t="shared" si="28"/>
        <v>0</v>
      </c>
      <c r="G182" s="17">
        <f t="shared" si="28"/>
        <v>0</v>
      </c>
      <c r="H182" s="17">
        <f t="shared" si="28"/>
        <v>0</v>
      </c>
      <c r="I182" s="17">
        <f t="shared" si="28"/>
        <v>0</v>
      </c>
      <c r="J182" s="17">
        <f t="shared" si="28"/>
        <v>0</v>
      </c>
      <c r="K182" s="17">
        <f t="shared" si="28"/>
        <v>0</v>
      </c>
      <c r="L182" s="17">
        <f t="shared" si="28"/>
        <v>1</v>
      </c>
      <c r="M182" s="17">
        <f t="shared" si="28"/>
        <v>1</v>
      </c>
      <c r="N182" s="17">
        <f t="shared" si="28"/>
        <v>0</v>
      </c>
      <c r="O182" s="17">
        <f t="shared" si="28"/>
        <v>0</v>
      </c>
      <c r="P182" s="17">
        <f t="shared" si="28"/>
        <v>0</v>
      </c>
      <c r="Q182" s="17">
        <f t="shared" si="28"/>
        <v>0</v>
      </c>
      <c r="R182" s="17">
        <f t="shared" si="28"/>
        <v>0</v>
      </c>
      <c r="S182" s="17">
        <f t="shared" si="28"/>
        <v>0</v>
      </c>
      <c r="T182" s="17">
        <f t="shared" si="28"/>
        <v>0</v>
      </c>
      <c r="U182" s="17">
        <f t="shared" si="28"/>
        <v>1</v>
      </c>
      <c r="V182" s="17">
        <f t="shared" si="27"/>
        <v>1</v>
      </c>
      <c r="W182" s="17">
        <f t="shared" si="27"/>
        <v>1</v>
      </c>
      <c r="X182" s="17">
        <f t="shared" si="27"/>
        <v>1</v>
      </c>
      <c r="Y182" s="17">
        <f t="shared" si="27"/>
        <v>1</v>
      </c>
      <c r="Z182" s="17">
        <f t="shared" si="27"/>
        <v>1</v>
      </c>
      <c r="AA182" s="17">
        <f t="shared" si="27"/>
        <v>1</v>
      </c>
      <c r="AB182" s="17">
        <f t="shared" si="27"/>
        <v>0</v>
      </c>
      <c r="AC182" s="17">
        <f t="shared" si="27"/>
        <v>0</v>
      </c>
      <c r="AD182" s="17">
        <f t="shared" si="24"/>
        <v>9</v>
      </c>
    </row>
    <row r="183" spans="4:30" x14ac:dyDescent="0.2">
      <c r="D183" s="37">
        <v>45101</v>
      </c>
      <c r="E183" s="17" t="str">
        <f t="shared" si="22"/>
        <v>weekend</v>
      </c>
      <c r="F183" s="17">
        <f t="shared" si="28"/>
        <v>0</v>
      </c>
      <c r="G183" s="17">
        <f t="shared" si="28"/>
        <v>0</v>
      </c>
      <c r="H183" s="17">
        <f t="shared" si="28"/>
        <v>0</v>
      </c>
      <c r="I183" s="17">
        <f t="shared" si="28"/>
        <v>0</v>
      </c>
      <c r="J183" s="17">
        <f t="shared" si="28"/>
        <v>0</v>
      </c>
      <c r="K183" s="17">
        <f t="shared" si="28"/>
        <v>0</v>
      </c>
      <c r="L183" s="17">
        <f t="shared" si="28"/>
        <v>1</v>
      </c>
      <c r="M183" s="17">
        <f t="shared" si="28"/>
        <v>1</v>
      </c>
      <c r="N183" s="17">
        <f t="shared" si="28"/>
        <v>1</v>
      </c>
      <c r="O183" s="17">
        <f t="shared" si="28"/>
        <v>1</v>
      </c>
      <c r="P183" s="17">
        <f t="shared" si="28"/>
        <v>1</v>
      </c>
      <c r="Q183" s="17">
        <f t="shared" si="28"/>
        <v>1</v>
      </c>
      <c r="R183" s="17">
        <f t="shared" si="28"/>
        <v>1</v>
      </c>
      <c r="S183" s="17">
        <f t="shared" si="28"/>
        <v>1</v>
      </c>
      <c r="T183" s="17">
        <f t="shared" si="28"/>
        <v>1</v>
      </c>
      <c r="U183" s="17">
        <f t="shared" si="28"/>
        <v>1</v>
      </c>
      <c r="V183" s="17">
        <f t="shared" si="27"/>
        <v>1</v>
      </c>
      <c r="W183" s="17">
        <f t="shared" si="27"/>
        <v>1</v>
      </c>
      <c r="X183" s="17">
        <f t="shared" si="27"/>
        <v>1</v>
      </c>
      <c r="Y183" s="17">
        <f t="shared" si="27"/>
        <v>1</v>
      </c>
      <c r="Z183" s="17">
        <f t="shared" si="27"/>
        <v>1</v>
      </c>
      <c r="AA183" s="17">
        <f t="shared" si="27"/>
        <v>1</v>
      </c>
      <c r="AB183" s="17">
        <f t="shared" si="27"/>
        <v>0</v>
      </c>
      <c r="AC183" s="17">
        <f t="shared" si="27"/>
        <v>0</v>
      </c>
      <c r="AD183" s="17">
        <f t="shared" si="24"/>
        <v>16</v>
      </c>
    </row>
    <row r="184" spans="4:30" x14ac:dyDescent="0.2">
      <c r="D184" s="37">
        <v>45102</v>
      </c>
      <c r="E184" s="17" t="str">
        <f t="shared" si="22"/>
        <v>weekend</v>
      </c>
      <c r="F184" s="17">
        <f t="shared" si="28"/>
        <v>0</v>
      </c>
      <c r="G184" s="17">
        <f t="shared" si="28"/>
        <v>0</v>
      </c>
      <c r="H184" s="17">
        <f t="shared" si="28"/>
        <v>0</v>
      </c>
      <c r="I184" s="17">
        <f t="shared" si="28"/>
        <v>0</v>
      </c>
      <c r="J184" s="17">
        <f t="shared" si="28"/>
        <v>0</v>
      </c>
      <c r="K184" s="17">
        <f t="shared" si="28"/>
        <v>0</v>
      </c>
      <c r="L184" s="17">
        <f t="shared" si="28"/>
        <v>1</v>
      </c>
      <c r="M184" s="17">
        <f t="shared" si="28"/>
        <v>1</v>
      </c>
      <c r="N184" s="17">
        <f t="shared" si="28"/>
        <v>1</v>
      </c>
      <c r="O184" s="17">
        <f t="shared" si="28"/>
        <v>1</v>
      </c>
      <c r="P184" s="17">
        <f t="shared" si="28"/>
        <v>1</v>
      </c>
      <c r="Q184" s="17">
        <f t="shared" si="28"/>
        <v>1</v>
      </c>
      <c r="R184" s="17">
        <f t="shared" si="28"/>
        <v>1</v>
      </c>
      <c r="S184" s="17">
        <f t="shared" si="28"/>
        <v>1</v>
      </c>
      <c r="T184" s="17">
        <f t="shared" si="28"/>
        <v>1</v>
      </c>
      <c r="U184" s="17">
        <f t="shared" si="28"/>
        <v>1</v>
      </c>
      <c r="V184" s="17">
        <f t="shared" si="27"/>
        <v>1</v>
      </c>
      <c r="W184" s="17">
        <f t="shared" si="27"/>
        <v>1</v>
      </c>
      <c r="X184" s="17">
        <f t="shared" si="27"/>
        <v>1</v>
      </c>
      <c r="Y184" s="17">
        <f t="shared" si="27"/>
        <v>1</v>
      </c>
      <c r="Z184" s="17">
        <f t="shared" si="27"/>
        <v>1</v>
      </c>
      <c r="AA184" s="17">
        <f t="shared" si="27"/>
        <v>1</v>
      </c>
      <c r="AB184" s="17">
        <f t="shared" si="27"/>
        <v>0</v>
      </c>
      <c r="AC184" s="17">
        <f t="shared" si="27"/>
        <v>0</v>
      </c>
      <c r="AD184" s="17">
        <f t="shared" si="24"/>
        <v>16</v>
      </c>
    </row>
    <row r="185" spans="4:30" x14ac:dyDescent="0.2">
      <c r="D185" s="37">
        <v>45103</v>
      </c>
      <c r="E185" s="17" t="str">
        <f t="shared" si="22"/>
        <v>weekday</v>
      </c>
      <c r="F185" s="17">
        <f t="shared" si="28"/>
        <v>0</v>
      </c>
      <c r="G185" s="17">
        <f t="shared" si="28"/>
        <v>0</v>
      </c>
      <c r="H185" s="17">
        <f t="shared" si="28"/>
        <v>0</v>
      </c>
      <c r="I185" s="17">
        <f t="shared" si="28"/>
        <v>0</v>
      </c>
      <c r="J185" s="17">
        <f t="shared" si="28"/>
        <v>0</v>
      </c>
      <c r="K185" s="17">
        <f t="shared" si="28"/>
        <v>0</v>
      </c>
      <c r="L185" s="17">
        <f t="shared" si="28"/>
        <v>1</v>
      </c>
      <c r="M185" s="17">
        <f t="shared" si="28"/>
        <v>1</v>
      </c>
      <c r="N185" s="17">
        <f t="shared" si="28"/>
        <v>0</v>
      </c>
      <c r="O185" s="17">
        <f t="shared" si="28"/>
        <v>0</v>
      </c>
      <c r="P185" s="17">
        <f t="shared" si="28"/>
        <v>0</v>
      </c>
      <c r="Q185" s="17">
        <f t="shared" si="28"/>
        <v>0</v>
      </c>
      <c r="R185" s="17">
        <f t="shared" si="28"/>
        <v>0</v>
      </c>
      <c r="S185" s="17">
        <f t="shared" si="28"/>
        <v>0</v>
      </c>
      <c r="T185" s="17">
        <f t="shared" si="28"/>
        <v>0</v>
      </c>
      <c r="U185" s="17">
        <f t="shared" ref="U185:AC200" si="29">IF($E185=$E$5,(U$5),(U$6))</f>
        <v>1</v>
      </c>
      <c r="V185" s="17">
        <f t="shared" si="29"/>
        <v>1</v>
      </c>
      <c r="W185" s="17">
        <f t="shared" si="29"/>
        <v>1</v>
      </c>
      <c r="X185" s="17">
        <f t="shared" si="29"/>
        <v>1</v>
      </c>
      <c r="Y185" s="17">
        <f t="shared" si="29"/>
        <v>1</v>
      </c>
      <c r="Z185" s="17">
        <f t="shared" si="29"/>
        <v>1</v>
      </c>
      <c r="AA185" s="17">
        <f t="shared" si="29"/>
        <v>1</v>
      </c>
      <c r="AB185" s="17">
        <f t="shared" si="29"/>
        <v>0</v>
      </c>
      <c r="AC185" s="17">
        <f t="shared" si="29"/>
        <v>0</v>
      </c>
      <c r="AD185" s="17">
        <f t="shared" si="24"/>
        <v>9</v>
      </c>
    </row>
    <row r="186" spans="4:30" x14ac:dyDescent="0.2">
      <c r="D186" s="37">
        <v>45104</v>
      </c>
      <c r="E186" s="17" t="str">
        <f t="shared" si="22"/>
        <v>weekday</v>
      </c>
      <c r="F186" s="17">
        <f t="shared" ref="F186:U201" si="30">IF($E186=$E$5,(F$5),(F$6))</f>
        <v>0</v>
      </c>
      <c r="G186" s="17">
        <f t="shared" si="30"/>
        <v>0</v>
      </c>
      <c r="H186" s="17">
        <f t="shared" si="30"/>
        <v>0</v>
      </c>
      <c r="I186" s="17">
        <f t="shared" si="30"/>
        <v>0</v>
      </c>
      <c r="J186" s="17">
        <f t="shared" si="30"/>
        <v>0</v>
      </c>
      <c r="K186" s="17">
        <f t="shared" si="30"/>
        <v>0</v>
      </c>
      <c r="L186" s="17">
        <f t="shared" si="30"/>
        <v>1</v>
      </c>
      <c r="M186" s="17">
        <f t="shared" si="30"/>
        <v>1</v>
      </c>
      <c r="N186" s="17">
        <f t="shared" si="30"/>
        <v>0</v>
      </c>
      <c r="O186" s="17">
        <f t="shared" si="30"/>
        <v>0</v>
      </c>
      <c r="P186" s="17">
        <f t="shared" si="30"/>
        <v>0</v>
      </c>
      <c r="Q186" s="17">
        <f t="shared" si="30"/>
        <v>0</v>
      </c>
      <c r="R186" s="17">
        <f t="shared" si="30"/>
        <v>0</v>
      </c>
      <c r="S186" s="17">
        <f t="shared" si="30"/>
        <v>0</v>
      </c>
      <c r="T186" s="17">
        <f t="shared" si="30"/>
        <v>0</v>
      </c>
      <c r="U186" s="17">
        <f t="shared" si="30"/>
        <v>1</v>
      </c>
      <c r="V186" s="17">
        <f t="shared" si="29"/>
        <v>1</v>
      </c>
      <c r="W186" s="17">
        <f t="shared" si="29"/>
        <v>1</v>
      </c>
      <c r="X186" s="17">
        <f t="shared" si="29"/>
        <v>1</v>
      </c>
      <c r="Y186" s="17">
        <f t="shared" si="29"/>
        <v>1</v>
      </c>
      <c r="Z186" s="17">
        <f t="shared" si="29"/>
        <v>1</v>
      </c>
      <c r="AA186" s="17">
        <f t="shared" si="29"/>
        <v>1</v>
      </c>
      <c r="AB186" s="17">
        <f t="shared" si="29"/>
        <v>0</v>
      </c>
      <c r="AC186" s="17">
        <f t="shared" si="29"/>
        <v>0</v>
      </c>
      <c r="AD186" s="17">
        <f t="shared" si="24"/>
        <v>9</v>
      </c>
    </row>
    <row r="187" spans="4:30" x14ac:dyDescent="0.2">
      <c r="D187" s="37">
        <v>45105</v>
      </c>
      <c r="E187" s="17" t="str">
        <f t="shared" si="22"/>
        <v>weekday</v>
      </c>
      <c r="F187" s="17">
        <f t="shared" si="30"/>
        <v>0</v>
      </c>
      <c r="G187" s="17">
        <f t="shared" si="30"/>
        <v>0</v>
      </c>
      <c r="H187" s="17">
        <f t="shared" si="30"/>
        <v>0</v>
      </c>
      <c r="I187" s="17">
        <f t="shared" si="30"/>
        <v>0</v>
      </c>
      <c r="J187" s="17">
        <f t="shared" si="30"/>
        <v>0</v>
      </c>
      <c r="K187" s="17">
        <f t="shared" si="30"/>
        <v>0</v>
      </c>
      <c r="L187" s="17">
        <f t="shared" si="30"/>
        <v>1</v>
      </c>
      <c r="M187" s="17">
        <f t="shared" si="30"/>
        <v>1</v>
      </c>
      <c r="N187" s="17">
        <f t="shared" si="30"/>
        <v>0</v>
      </c>
      <c r="O187" s="17">
        <f t="shared" si="30"/>
        <v>0</v>
      </c>
      <c r="P187" s="17">
        <f t="shared" si="30"/>
        <v>0</v>
      </c>
      <c r="Q187" s="17">
        <f t="shared" si="30"/>
        <v>0</v>
      </c>
      <c r="R187" s="17">
        <f t="shared" si="30"/>
        <v>0</v>
      </c>
      <c r="S187" s="17">
        <f t="shared" si="30"/>
        <v>0</v>
      </c>
      <c r="T187" s="17">
        <f t="shared" si="30"/>
        <v>0</v>
      </c>
      <c r="U187" s="17">
        <f t="shared" si="30"/>
        <v>1</v>
      </c>
      <c r="V187" s="17">
        <f t="shared" si="29"/>
        <v>1</v>
      </c>
      <c r="W187" s="17">
        <f t="shared" si="29"/>
        <v>1</v>
      </c>
      <c r="X187" s="17">
        <f t="shared" si="29"/>
        <v>1</v>
      </c>
      <c r="Y187" s="17">
        <f t="shared" si="29"/>
        <v>1</v>
      </c>
      <c r="Z187" s="17">
        <f t="shared" si="29"/>
        <v>1</v>
      </c>
      <c r="AA187" s="17">
        <f t="shared" si="29"/>
        <v>1</v>
      </c>
      <c r="AB187" s="17">
        <f t="shared" si="29"/>
        <v>0</v>
      </c>
      <c r="AC187" s="17">
        <f t="shared" si="29"/>
        <v>0</v>
      </c>
      <c r="AD187" s="17">
        <f t="shared" si="24"/>
        <v>9</v>
      </c>
    </row>
    <row r="188" spans="4:30" x14ac:dyDescent="0.2">
      <c r="D188" s="37">
        <v>45106</v>
      </c>
      <c r="E188" s="17" t="str">
        <f t="shared" si="22"/>
        <v>weekday</v>
      </c>
      <c r="F188" s="17">
        <f t="shared" si="30"/>
        <v>0</v>
      </c>
      <c r="G188" s="17">
        <f t="shared" si="30"/>
        <v>0</v>
      </c>
      <c r="H188" s="17">
        <f t="shared" si="30"/>
        <v>0</v>
      </c>
      <c r="I188" s="17">
        <f t="shared" si="30"/>
        <v>0</v>
      </c>
      <c r="J188" s="17">
        <f t="shared" si="30"/>
        <v>0</v>
      </c>
      <c r="K188" s="17">
        <f t="shared" si="30"/>
        <v>0</v>
      </c>
      <c r="L188" s="17">
        <f t="shared" si="30"/>
        <v>1</v>
      </c>
      <c r="M188" s="17">
        <f t="shared" si="30"/>
        <v>1</v>
      </c>
      <c r="N188" s="17">
        <f t="shared" si="30"/>
        <v>0</v>
      </c>
      <c r="O188" s="17">
        <f t="shared" si="30"/>
        <v>0</v>
      </c>
      <c r="P188" s="17">
        <f t="shared" si="30"/>
        <v>0</v>
      </c>
      <c r="Q188" s="17">
        <f t="shared" si="30"/>
        <v>0</v>
      </c>
      <c r="R188" s="17">
        <f t="shared" si="30"/>
        <v>0</v>
      </c>
      <c r="S188" s="17">
        <f t="shared" si="30"/>
        <v>0</v>
      </c>
      <c r="T188" s="17">
        <f t="shared" si="30"/>
        <v>0</v>
      </c>
      <c r="U188" s="17">
        <f t="shared" si="30"/>
        <v>1</v>
      </c>
      <c r="V188" s="17">
        <f t="shared" si="29"/>
        <v>1</v>
      </c>
      <c r="W188" s="17">
        <f t="shared" si="29"/>
        <v>1</v>
      </c>
      <c r="X188" s="17">
        <f t="shared" si="29"/>
        <v>1</v>
      </c>
      <c r="Y188" s="17">
        <f t="shared" si="29"/>
        <v>1</v>
      </c>
      <c r="Z188" s="17">
        <f t="shared" si="29"/>
        <v>1</v>
      </c>
      <c r="AA188" s="17">
        <f t="shared" si="29"/>
        <v>1</v>
      </c>
      <c r="AB188" s="17">
        <f t="shared" si="29"/>
        <v>0</v>
      </c>
      <c r="AC188" s="17">
        <f t="shared" si="29"/>
        <v>0</v>
      </c>
      <c r="AD188" s="17">
        <f t="shared" si="24"/>
        <v>9</v>
      </c>
    </row>
    <row r="189" spans="4:30" x14ac:dyDescent="0.2">
      <c r="D189" s="37">
        <v>45107</v>
      </c>
      <c r="E189" s="17" t="str">
        <f t="shared" si="22"/>
        <v>weekday</v>
      </c>
      <c r="F189" s="17">
        <f t="shared" si="30"/>
        <v>0</v>
      </c>
      <c r="G189" s="17">
        <f t="shared" si="30"/>
        <v>0</v>
      </c>
      <c r="H189" s="17">
        <f t="shared" si="30"/>
        <v>0</v>
      </c>
      <c r="I189" s="17">
        <f t="shared" si="30"/>
        <v>0</v>
      </c>
      <c r="J189" s="17">
        <f t="shared" si="30"/>
        <v>0</v>
      </c>
      <c r="K189" s="17">
        <f t="shared" si="30"/>
        <v>0</v>
      </c>
      <c r="L189" s="17">
        <f t="shared" si="30"/>
        <v>1</v>
      </c>
      <c r="M189" s="17">
        <f t="shared" si="30"/>
        <v>1</v>
      </c>
      <c r="N189" s="17">
        <f t="shared" si="30"/>
        <v>0</v>
      </c>
      <c r="O189" s="17">
        <f t="shared" si="30"/>
        <v>0</v>
      </c>
      <c r="P189" s="17">
        <f t="shared" si="30"/>
        <v>0</v>
      </c>
      <c r="Q189" s="17">
        <f t="shared" si="30"/>
        <v>0</v>
      </c>
      <c r="R189" s="17">
        <f t="shared" si="30"/>
        <v>0</v>
      </c>
      <c r="S189" s="17">
        <f t="shared" si="30"/>
        <v>0</v>
      </c>
      <c r="T189" s="17">
        <f t="shared" si="30"/>
        <v>0</v>
      </c>
      <c r="U189" s="17">
        <f t="shared" si="30"/>
        <v>1</v>
      </c>
      <c r="V189" s="17">
        <f t="shared" si="29"/>
        <v>1</v>
      </c>
      <c r="W189" s="17">
        <f t="shared" si="29"/>
        <v>1</v>
      </c>
      <c r="X189" s="17">
        <f t="shared" si="29"/>
        <v>1</v>
      </c>
      <c r="Y189" s="17">
        <f t="shared" si="29"/>
        <v>1</v>
      </c>
      <c r="Z189" s="17">
        <f t="shared" si="29"/>
        <v>1</v>
      </c>
      <c r="AA189" s="17">
        <f t="shared" si="29"/>
        <v>1</v>
      </c>
      <c r="AB189" s="17">
        <f t="shared" si="29"/>
        <v>0</v>
      </c>
      <c r="AC189" s="17">
        <f t="shared" si="29"/>
        <v>0</v>
      </c>
      <c r="AD189" s="17">
        <f t="shared" si="24"/>
        <v>9</v>
      </c>
    </row>
    <row r="190" spans="4:30" x14ac:dyDescent="0.2">
      <c r="D190" s="37">
        <v>45108</v>
      </c>
      <c r="E190" s="17" t="str">
        <f t="shared" si="22"/>
        <v>weekend</v>
      </c>
      <c r="F190" s="17">
        <f t="shared" si="30"/>
        <v>0</v>
      </c>
      <c r="G190" s="17">
        <f t="shared" si="30"/>
        <v>0</v>
      </c>
      <c r="H190" s="17">
        <f t="shared" si="30"/>
        <v>0</v>
      </c>
      <c r="I190" s="17">
        <f t="shared" si="30"/>
        <v>0</v>
      </c>
      <c r="J190" s="17">
        <f t="shared" si="30"/>
        <v>0</v>
      </c>
      <c r="K190" s="17">
        <f t="shared" si="30"/>
        <v>0</v>
      </c>
      <c r="L190" s="17">
        <f t="shared" si="30"/>
        <v>1</v>
      </c>
      <c r="M190" s="17">
        <f t="shared" si="30"/>
        <v>1</v>
      </c>
      <c r="N190" s="17">
        <f t="shared" si="30"/>
        <v>1</v>
      </c>
      <c r="O190" s="17">
        <f t="shared" si="30"/>
        <v>1</v>
      </c>
      <c r="P190" s="17">
        <f t="shared" si="30"/>
        <v>1</v>
      </c>
      <c r="Q190" s="17">
        <f t="shared" si="30"/>
        <v>1</v>
      </c>
      <c r="R190" s="17">
        <f t="shared" si="30"/>
        <v>1</v>
      </c>
      <c r="S190" s="17">
        <f t="shared" si="30"/>
        <v>1</v>
      </c>
      <c r="T190" s="17">
        <f t="shared" si="30"/>
        <v>1</v>
      </c>
      <c r="U190" s="17">
        <f t="shared" si="30"/>
        <v>1</v>
      </c>
      <c r="V190" s="17">
        <f t="shared" si="29"/>
        <v>1</v>
      </c>
      <c r="W190" s="17">
        <f t="shared" si="29"/>
        <v>1</v>
      </c>
      <c r="X190" s="17">
        <f t="shared" si="29"/>
        <v>1</v>
      </c>
      <c r="Y190" s="17">
        <f t="shared" si="29"/>
        <v>1</v>
      </c>
      <c r="Z190" s="17">
        <f t="shared" si="29"/>
        <v>1</v>
      </c>
      <c r="AA190" s="17">
        <f t="shared" si="29"/>
        <v>1</v>
      </c>
      <c r="AB190" s="17">
        <f t="shared" si="29"/>
        <v>0</v>
      </c>
      <c r="AC190" s="17">
        <f t="shared" si="29"/>
        <v>0</v>
      </c>
      <c r="AD190" s="17">
        <f t="shared" si="24"/>
        <v>16</v>
      </c>
    </row>
    <row r="191" spans="4:30" x14ac:dyDescent="0.2">
      <c r="D191" s="37">
        <v>45109</v>
      </c>
      <c r="E191" s="17" t="str">
        <f t="shared" si="22"/>
        <v>weekend</v>
      </c>
      <c r="F191" s="17">
        <f t="shared" si="30"/>
        <v>0</v>
      </c>
      <c r="G191" s="17">
        <f t="shared" si="30"/>
        <v>0</v>
      </c>
      <c r="H191" s="17">
        <f t="shared" si="30"/>
        <v>0</v>
      </c>
      <c r="I191" s="17">
        <f t="shared" si="30"/>
        <v>0</v>
      </c>
      <c r="J191" s="17">
        <f t="shared" si="30"/>
        <v>0</v>
      </c>
      <c r="K191" s="17">
        <f t="shared" si="30"/>
        <v>0</v>
      </c>
      <c r="L191" s="17">
        <f t="shared" si="30"/>
        <v>1</v>
      </c>
      <c r="M191" s="17">
        <f t="shared" si="30"/>
        <v>1</v>
      </c>
      <c r="N191" s="17">
        <f t="shared" si="30"/>
        <v>1</v>
      </c>
      <c r="O191" s="17">
        <f t="shared" si="30"/>
        <v>1</v>
      </c>
      <c r="P191" s="17">
        <f t="shared" si="30"/>
        <v>1</v>
      </c>
      <c r="Q191" s="17">
        <f t="shared" si="30"/>
        <v>1</v>
      </c>
      <c r="R191" s="17">
        <f t="shared" si="30"/>
        <v>1</v>
      </c>
      <c r="S191" s="17">
        <f t="shared" si="30"/>
        <v>1</v>
      </c>
      <c r="T191" s="17">
        <f t="shared" si="30"/>
        <v>1</v>
      </c>
      <c r="U191" s="17">
        <f t="shared" si="30"/>
        <v>1</v>
      </c>
      <c r="V191" s="17">
        <f t="shared" si="29"/>
        <v>1</v>
      </c>
      <c r="W191" s="17">
        <f t="shared" si="29"/>
        <v>1</v>
      </c>
      <c r="X191" s="17">
        <f t="shared" si="29"/>
        <v>1</v>
      </c>
      <c r="Y191" s="17">
        <f t="shared" si="29"/>
        <v>1</v>
      </c>
      <c r="Z191" s="17">
        <f t="shared" si="29"/>
        <v>1</v>
      </c>
      <c r="AA191" s="17">
        <f t="shared" si="29"/>
        <v>1</v>
      </c>
      <c r="AB191" s="17">
        <f t="shared" si="29"/>
        <v>0</v>
      </c>
      <c r="AC191" s="17">
        <f t="shared" si="29"/>
        <v>0</v>
      </c>
      <c r="AD191" s="17">
        <f t="shared" si="24"/>
        <v>16</v>
      </c>
    </row>
    <row r="192" spans="4:30" x14ac:dyDescent="0.2">
      <c r="D192" s="37">
        <v>45110</v>
      </c>
      <c r="E192" s="17" t="str">
        <f t="shared" si="22"/>
        <v>weekday</v>
      </c>
      <c r="F192" s="17">
        <f t="shared" si="30"/>
        <v>0</v>
      </c>
      <c r="G192" s="17">
        <f t="shared" si="30"/>
        <v>0</v>
      </c>
      <c r="H192" s="17">
        <f t="shared" si="30"/>
        <v>0</v>
      </c>
      <c r="I192" s="17">
        <f t="shared" si="30"/>
        <v>0</v>
      </c>
      <c r="J192" s="17">
        <f t="shared" si="30"/>
        <v>0</v>
      </c>
      <c r="K192" s="17">
        <f t="shared" si="30"/>
        <v>0</v>
      </c>
      <c r="L192" s="17">
        <f t="shared" si="30"/>
        <v>1</v>
      </c>
      <c r="M192" s="17">
        <f t="shared" si="30"/>
        <v>1</v>
      </c>
      <c r="N192" s="17">
        <f t="shared" si="30"/>
        <v>0</v>
      </c>
      <c r="O192" s="17">
        <f t="shared" si="30"/>
        <v>0</v>
      </c>
      <c r="P192" s="17">
        <f t="shared" si="30"/>
        <v>0</v>
      </c>
      <c r="Q192" s="17">
        <f t="shared" si="30"/>
        <v>0</v>
      </c>
      <c r="R192" s="17">
        <f t="shared" si="30"/>
        <v>0</v>
      </c>
      <c r="S192" s="17">
        <f t="shared" si="30"/>
        <v>0</v>
      </c>
      <c r="T192" s="17">
        <f t="shared" si="30"/>
        <v>0</v>
      </c>
      <c r="U192" s="17">
        <f t="shared" si="30"/>
        <v>1</v>
      </c>
      <c r="V192" s="17">
        <f t="shared" si="29"/>
        <v>1</v>
      </c>
      <c r="W192" s="17">
        <f t="shared" si="29"/>
        <v>1</v>
      </c>
      <c r="X192" s="17">
        <f t="shared" si="29"/>
        <v>1</v>
      </c>
      <c r="Y192" s="17">
        <f t="shared" si="29"/>
        <v>1</v>
      </c>
      <c r="Z192" s="17">
        <f t="shared" si="29"/>
        <v>1</v>
      </c>
      <c r="AA192" s="17">
        <f t="shared" si="29"/>
        <v>1</v>
      </c>
      <c r="AB192" s="17">
        <f t="shared" si="29"/>
        <v>0</v>
      </c>
      <c r="AC192" s="17">
        <f t="shared" si="29"/>
        <v>0</v>
      </c>
      <c r="AD192" s="17">
        <f t="shared" si="24"/>
        <v>9</v>
      </c>
    </row>
    <row r="193" spans="4:30" x14ac:dyDescent="0.2">
      <c r="D193" s="37">
        <v>45111</v>
      </c>
      <c r="E193" s="17" t="str">
        <f t="shared" si="22"/>
        <v>weekday</v>
      </c>
      <c r="F193" s="17">
        <f t="shared" si="30"/>
        <v>0</v>
      </c>
      <c r="G193" s="17">
        <f t="shared" si="30"/>
        <v>0</v>
      </c>
      <c r="H193" s="17">
        <f t="shared" si="30"/>
        <v>0</v>
      </c>
      <c r="I193" s="17">
        <f t="shared" si="30"/>
        <v>0</v>
      </c>
      <c r="J193" s="17">
        <f t="shared" si="30"/>
        <v>0</v>
      </c>
      <c r="K193" s="17">
        <f t="shared" si="30"/>
        <v>0</v>
      </c>
      <c r="L193" s="17">
        <f t="shared" si="30"/>
        <v>1</v>
      </c>
      <c r="M193" s="17">
        <f t="shared" si="30"/>
        <v>1</v>
      </c>
      <c r="N193" s="17">
        <f t="shared" si="30"/>
        <v>0</v>
      </c>
      <c r="O193" s="17">
        <f t="shared" si="30"/>
        <v>0</v>
      </c>
      <c r="P193" s="17">
        <f t="shared" si="30"/>
        <v>0</v>
      </c>
      <c r="Q193" s="17">
        <f t="shared" si="30"/>
        <v>0</v>
      </c>
      <c r="R193" s="17">
        <f t="shared" si="30"/>
        <v>0</v>
      </c>
      <c r="S193" s="17">
        <f t="shared" si="30"/>
        <v>0</v>
      </c>
      <c r="T193" s="17">
        <f t="shared" si="30"/>
        <v>0</v>
      </c>
      <c r="U193" s="17">
        <f t="shared" si="30"/>
        <v>1</v>
      </c>
      <c r="V193" s="17">
        <f t="shared" si="29"/>
        <v>1</v>
      </c>
      <c r="W193" s="17">
        <f t="shared" si="29"/>
        <v>1</v>
      </c>
      <c r="X193" s="17">
        <f t="shared" si="29"/>
        <v>1</v>
      </c>
      <c r="Y193" s="17">
        <f t="shared" si="29"/>
        <v>1</v>
      </c>
      <c r="Z193" s="17">
        <f t="shared" si="29"/>
        <v>1</v>
      </c>
      <c r="AA193" s="17">
        <f t="shared" si="29"/>
        <v>1</v>
      </c>
      <c r="AB193" s="17">
        <f t="shared" si="29"/>
        <v>0</v>
      </c>
      <c r="AC193" s="17">
        <f t="shared" si="29"/>
        <v>0</v>
      </c>
      <c r="AD193" s="17">
        <f t="shared" si="24"/>
        <v>9</v>
      </c>
    </row>
    <row r="194" spans="4:30" x14ac:dyDescent="0.2">
      <c r="D194" s="37">
        <v>45112</v>
      </c>
      <c r="E194" s="17" t="str">
        <f t="shared" si="22"/>
        <v>weekday</v>
      </c>
      <c r="F194" s="17">
        <f t="shared" si="30"/>
        <v>0</v>
      </c>
      <c r="G194" s="17">
        <f t="shared" si="30"/>
        <v>0</v>
      </c>
      <c r="H194" s="17">
        <f t="shared" si="30"/>
        <v>0</v>
      </c>
      <c r="I194" s="17">
        <f t="shared" si="30"/>
        <v>0</v>
      </c>
      <c r="J194" s="17">
        <f t="shared" si="30"/>
        <v>0</v>
      </c>
      <c r="K194" s="17">
        <f t="shared" si="30"/>
        <v>0</v>
      </c>
      <c r="L194" s="17">
        <f t="shared" si="30"/>
        <v>1</v>
      </c>
      <c r="M194" s="17">
        <f t="shared" si="30"/>
        <v>1</v>
      </c>
      <c r="N194" s="17">
        <f t="shared" si="30"/>
        <v>0</v>
      </c>
      <c r="O194" s="17">
        <f t="shared" si="30"/>
        <v>0</v>
      </c>
      <c r="P194" s="17">
        <f t="shared" si="30"/>
        <v>0</v>
      </c>
      <c r="Q194" s="17">
        <f t="shared" si="30"/>
        <v>0</v>
      </c>
      <c r="R194" s="17">
        <f t="shared" si="30"/>
        <v>0</v>
      </c>
      <c r="S194" s="17">
        <f t="shared" si="30"/>
        <v>0</v>
      </c>
      <c r="T194" s="17">
        <f t="shared" si="30"/>
        <v>0</v>
      </c>
      <c r="U194" s="17">
        <f t="shared" si="30"/>
        <v>1</v>
      </c>
      <c r="V194" s="17">
        <f t="shared" si="29"/>
        <v>1</v>
      </c>
      <c r="W194" s="17">
        <f t="shared" si="29"/>
        <v>1</v>
      </c>
      <c r="X194" s="17">
        <f t="shared" si="29"/>
        <v>1</v>
      </c>
      <c r="Y194" s="17">
        <f t="shared" si="29"/>
        <v>1</v>
      </c>
      <c r="Z194" s="17">
        <f t="shared" si="29"/>
        <v>1</v>
      </c>
      <c r="AA194" s="17">
        <f t="shared" si="29"/>
        <v>1</v>
      </c>
      <c r="AB194" s="17">
        <f t="shared" si="29"/>
        <v>0</v>
      </c>
      <c r="AC194" s="17">
        <f t="shared" si="29"/>
        <v>0</v>
      </c>
      <c r="AD194" s="17">
        <f t="shared" si="24"/>
        <v>9</v>
      </c>
    </row>
    <row r="195" spans="4:30" x14ac:dyDescent="0.2">
      <c r="D195" s="37">
        <v>45113</v>
      </c>
      <c r="E195" s="17" t="str">
        <f t="shared" si="22"/>
        <v>weekday</v>
      </c>
      <c r="F195" s="17">
        <f t="shared" si="30"/>
        <v>0</v>
      </c>
      <c r="G195" s="17">
        <f t="shared" si="30"/>
        <v>0</v>
      </c>
      <c r="H195" s="17">
        <f t="shared" si="30"/>
        <v>0</v>
      </c>
      <c r="I195" s="17">
        <f t="shared" si="30"/>
        <v>0</v>
      </c>
      <c r="J195" s="17">
        <f t="shared" si="30"/>
        <v>0</v>
      </c>
      <c r="K195" s="17">
        <f t="shared" si="30"/>
        <v>0</v>
      </c>
      <c r="L195" s="17">
        <f t="shared" si="30"/>
        <v>1</v>
      </c>
      <c r="M195" s="17">
        <f t="shared" si="30"/>
        <v>1</v>
      </c>
      <c r="N195" s="17">
        <f t="shared" si="30"/>
        <v>0</v>
      </c>
      <c r="O195" s="17">
        <f t="shared" si="30"/>
        <v>0</v>
      </c>
      <c r="P195" s="17">
        <f t="shared" si="30"/>
        <v>0</v>
      </c>
      <c r="Q195" s="17">
        <f t="shared" si="30"/>
        <v>0</v>
      </c>
      <c r="R195" s="17">
        <f t="shared" si="30"/>
        <v>0</v>
      </c>
      <c r="S195" s="17">
        <f t="shared" si="30"/>
        <v>0</v>
      </c>
      <c r="T195" s="17">
        <f t="shared" si="30"/>
        <v>0</v>
      </c>
      <c r="U195" s="17">
        <f t="shared" si="30"/>
        <v>1</v>
      </c>
      <c r="V195" s="17">
        <f t="shared" si="29"/>
        <v>1</v>
      </c>
      <c r="W195" s="17">
        <f t="shared" si="29"/>
        <v>1</v>
      </c>
      <c r="X195" s="17">
        <f t="shared" si="29"/>
        <v>1</v>
      </c>
      <c r="Y195" s="17">
        <f t="shared" si="29"/>
        <v>1</v>
      </c>
      <c r="Z195" s="17">
        <f t="shared" si="29"/>
        <v>1</v>
      </c>
      <c r="AA195" s="17">
        <f t="shared" si="29"/>
        <v>1</v>
      </c>
      <c r="AB195" s="17">
        <f t="shared" si="29"/>
        <v>0</v>
      </c>
      <c r="AC195" s="17">
        <f t="shared" si="29"/>
        <v>0</v>
      </c>
      <c r="AD195" s="17">
        <f t="shared" si="24"/>
        <v>9</v>
      </c>
    </row>
    <row r="196" spans="4:30" x14ac:dyDescent="0.2">
      <c r="D196" s="37">
        <v>45114</v>
      </c>
      <c r="E196" s="17" t="str">
        <f t="shared" si="22"/>
        <v>weekday</v>
      </c>
      <c r="F196" s="17">
        <f t="shared" si="30"/>
        <v>0</v>
      </c>
      <c r="G196" s="17">
        <f t="shared" si="30"/>
        <v>0</v>
      </c>
      <c r="H196" s="17">
        <f t="shared" si="30"/>
        <v>0</v>
      </c>
      <c r="I196" s="17">
        <f t="shared" si="30"/>
        <v>0</v>
      </c>
      <c r="J196" s="17">
        <f t="shared" si="30"/>
        <v>0</v>
      </c>
      <c r="K196" s="17">
        <f t="shared" si="30"/>
        <v>0</v>
      </c>
      <c r="L196" s="17">
        <f t="shared" si="30"/>
        <v>1</v>
      </c>
      <c r="M196" s="17">
        <f t="shared" si="30"/>
        <v>1</v>
      </c>
      <c r="N196" s="17">
        <f t="shared" si="30"/>
        <v>0</v>
      </c>
      <c r="O196" s="17">
        <f t="shared" si="30"/>
        <v>0</v>
      </c>
      <c r="P196" s="17">
        <f t="shared" si="30"/>
        <v>0</v>
      </c>
      <c r="Q196" s="17">
        <f t="shared" si="30"/>
        <v>0</v>
      </c>
      <c r="R196" s="17">
        <f t="shared" si="30"/>
        <v>0</v>
      </c>
      <c r="S196" s="17">
        <f t="shared" si="30"/>
        <v>0</v>
      </c>
      <c r="T196" s="17">
        <f t="shared" si="30"/>
        <v>0</v>
      </c>
      <c r="U196" s="17">
        <f t="shared" si="30"/>
        <v>1</v>
      </c>
      <c r="V196" s="17">
        <f t="shared" si="29"/>
        <v>1</v>
      </c>
      <c r="W196" s="17">
        <f t="shared" si="29"/>
        <v>1</v>
      </c>
      <c r="X196" s="17">
        <f t="shared" si="29"/>
        <v>1</v>
      </c>
      <c r="Y196" s="17">
        <f t="shared" si="29"/>
        <v>1</v>
      </c>
      <c r="Z196" s="17">
        <f t="shared" si="29"/>
        <v>1</v>
      </c>
      <c r="AA196" s="17">
        <f t="shared" si="29"/>
        <v>1</v>
      </c>
      <c r="AB196" s="17">
        <f t="shared" si="29"/>
        <v>0</v>
      </c>
      <c r="AC196" s="17">
        <f t="shared" si="29"/>
        <v>0</v>
      </c>
      <c r="AD196" s="17">
        <f t="shared" si="24"/>
        <v>9</v>
      </c>
    </row>
    <row r="197" spans="4:30" x14ac:dyDescent="0.2">
      <c r="D197" s="37">
        <v>45115</v>
      </c>
      <c r="E197" s="17" t="str">
        <f t="shared" si="22"/>
        <v>weekend</v>
      </c>
      <c r="F197" s="17">
        <f t="shared" si="30"/>
        <v>0</v>
      </c>
      <c r="G197" s="17">
        <f t="shared" si="30"/>
        <v>0</v>
      </c>
      <c r="H197" s="17">
        <f t="shared" si="30"/>
        <v>0</v>
      </c>
      <c r="I197" s="17">
        <f t="shared" si="30"/>
        <v>0</v>
      </c>
      <c r="J197" s="17">
        <f t="shared" si="30"/>
        <v>0</v>
      </c>
      <c r="K197" s="17">
        <f t="shared" si="30"/>
        <v>0</v>
      </c>
      <c r="L197" s="17">
        <f t="shared" si="30"/>
        <v>1</v>
      </c>
      <c r="M197" s="17">
        <f t="shared" si="30"/>
        <v>1</v>
      </c>
      <c r="N197" s="17">
        <f t="shared" si="30"/>
        <v>1</v>
      </c>
      <c r="O197" s="17">
        <f t="shared" si="30"/>
        <v>1</v>
      </c>
      <c r="P197" s="17">
        <f t="shared" si="30"/>
        <v>1</v>
      </c>
      <c r="Q197" s="17">
        <f t="shared" si="30"/>
        <v>1</v>
      </c>
      <c r="R197" s="17">
        <f t="shared" si="30"/>
        <v>1</v>
      </c>
      <c r="S197" s="17">
        <f t="shared" si="30"/>
        <v>1</v>
      </c>
      <c r="T197" s="17">
        <f t="shared" si="30"/>
        <v>1</v>
      </c>
      <c r="U197" s="17">
        <f t="shared" si="30"/>
        <v>1</v>
      </c>
      <c r="V197" s="17">
        <f t="shared" si="29"/>
        <v>1</v>
      </c>
      <c r="W197" s="17">
        <f t="shared" si="29"/>
        <v>1</v>
      </c>
      <c r="X197" s="17">
        <f t="shared" si="29"/>
        <v>1</v>
      </c>
      <c r="Y197" s="17">
        <f t="shared" si="29"/>
        <v>1</v>
      </c>
      <c r="Z197" s="17">
        <f t="shared" si="29"/>
        <v>1</v>
      </c>
      <c r="AA197" s="17">
        <f t="shared" si="29"/>
        <v>1</v>
      </c>
      <c r="AB197" s="17">
        <f t="shared" si="29"/>
        <v>0</v>
      </c>
      <c r="AC197" s="17">
        <f t="shared" si="29"/>
        <v>0</v>
      </c>
      <c r="AD197" s="17">
        <f t="shared" si="24"/>
        <v>16</v>
      </c>
    </row>
    <row r="198" spans="4:30" x14ac:dyDescent="0.2">
      <c r="D198" s="37">
        <v>45116</v>
      </c>
      <c r="E198" s="17" t="str">
        <f t="shared" si="22"/>
        <v>weekend</v>
      </c>
      <c r="F198" s="17">
        <f t="shared" si="30"/>
        <v>0</v>
      </c>
      <c r="G198" s="17">
        <f t="shared" si="30"/>
        <v>0</v>
      </c>
      <c r="H198" s="17">
        <f t="shared" si="30"/>
        <v>0</v>
      </c>
      <c r="I198" s="17">
        <f t="shared" si="30"/>
        <v>0</v>
      </c>
      <c r="J198" s="17">
        <f t="shared" si="30"/>
        <v>0</v>
      </c>
      <c r="K198" s="17">
        <f t="shared" si="30"/>
        <v>0</v>
      </c>
      <c r="L198" s="17">
        <f t="shared" si="30"/>
        <v>1</v>
      </c>
      <c r="M198" s="17">
        <f t="shared" si="30"/>
        <v>1</v>
      </c>
      <c r="N198" s="17">
        <f t="shared" si="30"/>
        <v>1</v>
      </c>
      <c r="O198" s="17">
        <f t="shared" si="30"/>
        <v>1</v>
      </c>
      <c r="P198" s="17">
        <f t="shared" si="30"/>
        <v>1</v>
      </c>
      <c r="Q198" s="17">
        <f t="shared" si="30"/>
        <v>1</v>
      </c>
      <c r="R198" s="17">
        <f t="shared" si="30"/>
        <v>1</v>
      </c>
      <c r="S198" s="17">
        <f t="shared" si="30"/>
        <v>1</v>
      </c>
      <c r="T198" s="17">
        <f t="shared" si="30"/>
        <v>1</v>
      </c>
      <c r="U198" s="17">
        <f t="shared" si="30"/>
        <v>1</v>
      </c>
      <c r="V198" s="17">
        <f t="shared" si="29"/>
        <v>1</v>
      </c>
      <c r="W198" s="17">
        <f t="shared" si="29"/>
        <v>1</v>
      </c>
      <c r="X198" s="17">
        <f t="shared" si="29"/>
        <v>1</v>
      </c>
      <c r="Y198" s="17">
        <f t="shared" si="29"/>
        <v>1</v>
      </c>
      <c r="Z198" s="17">
        <f t="shared" si="29"/>
        <v>1</v>
      </c>
      <c r="AA198" s="17">
        <f t="shared" si="29"/>
        <v>1</v>
      </c>
      <c r="AB198" s="17">
        <f t="shared" si="29"/>
        <v>0</v>
      </c>
      <c r="AC198" s="17">
        <f t="shared" si="29"/>
        <v>0</v>
      </c>
      <c r="AD198" s="17">
        <f t="shared" si="24"/>
        <v>16</v>
      </c>
    </row>
    <row r="199" spans="4:30" x14ac:dyDescent="0.2">
      <c r="D199" s="37">
        <v>45117</v>
      </c>
      <c r="E199" s="17" t="str">
        <f t="shared" si="22"/>
        <v>weekday</v>
      </c>
      <c r="F199" s="17">
        <f t="shared" si="30"/>
        <v>0</v>
      </c>
      <c r="G199" s="17">
        <f t="shared" si="30"/>
        <v>0</v>
      </c>
      <c r="H199" s="17">
        <f t="shared" si="30"/>
        <v>0</v>
      </c>
      <c r="I199" s="17">
        <f t="shared" si="30"/>
        <v>0</v>
      </c>
      <c r="J199" s="17">
        <f t="shared" si="30"/>
        <v>0</v>
      </c>
      <c r="K199" s="17">
        <f t="shared" si="30"/>
        <v>0</v>
      </c>
      <c r="L199" s="17">
        <f t="shared" si="30"/>
        <v>1</v>
      </c>
      <c r="M199" s="17">
        <f t="shared" si="30"/>
        <v>1</v>
      </c>
      <c r="N199" s="17">
        <f t="shared" si="30"/>
        <v>0</v>
      </c>
      <c r="O199" s="17">
        <f t="shared" si="30"/>
        <v>0</v>
      </c>
      <c r="P199" s="17">
        <f t="shared" si="30"/>
        <v>0</v>
      </c>
      <c r="Q199" s="17">
        <f t="shared" si="30"/>
        <v>0</v>
      </c>
      <c r="R199" s="17">
        <f t="shared" si="30"/>
        <v>0</v>
      </c>
      <c r="S199" s="17">
        <f t="shared" si="30"/>
        <v>0</v>
      </c>
      <c r="T199" s="17">
        <f t="shared" si="30"/>
        <v>0</v>
      </c>
      <c r="U199" s="17">
        <f t="shared" si="30"/>
        <v>1</v>
      </c>
      <c r="V199" s="17">
        <f t="shared" si="29"/>
        <v>1</v>
      </c>
      <c r="W199" s="17">
        <f t="shared" si="29"/>
        <v>1</v>
      </c>
      <c r="X199" s="17">
        <f t="shared" si="29"/>
        <v>1</v>
      </c>
      <c r="Y199" s="17">
        <f t="shared" si="29"/>
        <v>1</v>
      </c>
      <c r="Z199" s="17">
        <f t="shared" si="29"/>
        <v>1</v>
      </c>
      <c r="AA199" s="17">
        <f t="shared" si="29"/>
        <v>1</v>
      </c>
      <c r="AB199" s="17">
        <f t="shared" si="29"/>
        <v>0</v>
      </c>
      <c r="AC199" s="17">
        <f t="shared" si="29"/>
        <v>0</v>
      </c>
      <c r="AD199" s="17">
        <f t="shared" si="24"/>
        <v>9</v>
      </c>
    </row>
    <row r="200" spans="4:30" x14ac:dyDescent="0.2">
      <c r="D200" s="37">
        <v>45118</v>
      </c>
      <c r="E200" s="17" t="str">
        <f t="shared" si="22"/>
        <v>weekday</v>
      </c>
      <c r="F200" s="17">
        <f t="shared" si="30"/>
        <v>0</v>
      </c>
      <c r="G200" s="17">
        <f t="shared" si="30"/>
        <v>0</v>
      </c>
      <c r="H200" s="17">
        <f t="shared" si="30"/>
        <v>0</v>
      </c>
      <c r="I200" s="17">
        <f t="shared" si="30"/>
        <v>0</v>
      </c>
      <c r="J200" s="17">
        <f t="shared" si="30"/>
        <v>0</v>
      </c>
      <c r="K200" s="17">
        <f t="shared" si="30"/>
        <v>0</v>
      </c>
      <c r="L200" s="17">
        <f t="shared" si="30"/>
        <v>1</v>
      </c>
      <c r="M200" s="17">
        <f t="shared" si="30"/>
        <v>1</v>
      </c>
      <c r="N200" s="17">
        <f t="shared" si="30"/>
        <v>0</v>
      </c>
      <c r="O200" s="17">
        <f t="shared" si="30"/>
        <v>0</v>
      </c>
      <c r="P200" s="17">
        <f t="shared" si="30"/>
        <v>0</v>
      </c>
      <c r="Q200" s="17">
        <f t="shared" si="30"/>
        <v>0</v>
      </c>
      <c r="R200" s="17">
        <f t="shared" si="30"/>
        <v>0</v>
      </c>
      <c r="S200" s="17">
        <f t="shared" si="30"/>
        <v>0</v>
      </c>
      <c r="T200" s="17">
        <f t="shared" si="30"/>
        <v>0</v>
      </c>
      <c r="U200" s="17">
        <f t="shared" si="30"/>
        <v>1</v>
      </c>
      <c r="V200" s="17">
        <f t="shared" si="29"/>
        <v>1</v>
      </c>
      <c r="W200" s="17">
        <f t="shared" si="29"/>
        <v>1</v>
      </c>
      <c r="X200" s="17">
        <f t="shared" si="29"/>
        <v>1</v>
      </c>
      <c r="Y200" s="17">
        <f t="shared" si="29"/>
        <v>1</v>
      </c>
      <c r="Z200" s="17">
        <f t="shared" si="29"/>
        <v>1</v>
      </c>
      <c r="AA200" s="17">
        <f t="shared" si="29"/>
        <v>1</v>
      </c>
      <c r="AB200" s="17">
        <f t="shared" si="29"/>
        <v>0</v>
      </c>
      <c r="AC200" s="17">
        <f t="shared" si="29"/>
        <v>0</v>
      </c>
      <c r="AD200" s="17">
        <f t="shared" si="24"/>
        <v>9</v>
      </c>
    </row>
    <row r="201" spans="4:30" x14ac:dyDescent="0.2">
      <c r="D201" s="37">
        <v>45119</v>
      </c>
      <c r="E201" s="17" t="str">
        <f t="shared" si="22"/>
        <v>weekday</v>
      </c>
      <c r="F201" s="17">
        <f t="shared" si="30"/>
        <v>0</v>
      </c>
      <c r="G201" s="17">
        <f t="shared" si="30"/>
        <v>0</v>
      </c>
      <c r="H201" s="17">
        <f t="shared" si="30"/>
        <v>0</v>
      </c>
      <c r="I201" s="17">
        <f t="shared" si="30"/>
        <v>0</v>
      </c>
      <c r="J201" s="17">
        <f t="shared" si="30"/>
        <v>0</v>
      </c>
      <c r="K201" s="17">
        <f t="shared" si="30"/>
        <v>0</v>
      </c>
      <c r="L201" s="17">
        <f t="shared" si="30"/>
        <v>1</v>
      </c>
      <c r="M201" s="17">
        <f t="shared" si="30"/>
        <v>1</v>
      </c>
      <c r="N201" s="17">
        <f t="shared" si="30"/>
        <v>0</v>
      </c>
      <c r="O201" s="17">
        <f t="shared" si="30"/>
        <v>0</v>
      </c>
      <c r="P201" s="17">
        <f t="shared" si="30"/>
        <v>0</v>
      </c>
      <c r="Q201" s="17">
        <f t="shared" si="30"/>
        <v>0</v>
      </c>
      <c r="R201" s="17">
        <f t="shared" si="30"/>
        <v>0</v>
      </c>
      <c r="S201" s="17">
        <f t="shared" si="30"/>
        <v>0</v>
      </c>
      <c r="T201" s="17">
        <f t="shared" si="30"/>
        <v>0</v>
      </c>
      <c r="U201" s="17">
        <f t="shared" ref="U201:AC216" si="31">IF($E201=$E$5,(U$5),(U$6))</f>
        <v>1</v>
      </c>
      <c r="V201" s="17">
        <f t="shared" si="31"/>
        <v>1</v>
      </c>
      <c r="W201" s="17">
        <f t="shared" si="31"/>
        <v>1</v>
      </c>
      <c r="X201" s="17">
        <f t="shared" si="31"/>
        <v>1</v>
      </c>
      <c r="Y201" s="17">
        <f t="shared" si="31"/>
        <v>1</v>
      </c>
      <c r="Z201" s="17">
        <f t="shared" si="31"/>
        <v>1</v>
      </c>
      <c r="AA201" s="17">
        <f t="shared" si="31"/>
        <v>1</v>
      </c>
      <c r="AB201" s="17">
        <f t="shared" si="31"/>
        <v>0</v>
      </c>
      <c r="AC201" s="17">
        <f t="shared" si="31"/>
        <v>0</v>
      </c>
      <c r="AD201" s="17">
        <f t="shared" si="24"/>
        <v>9</v>
      </c>
    </row>
    <row r="202" spans="4:30" x14ac:dyDescent="0.2">
      <c r="D202" s="37">
        <v>45120</v>
      </c>
      <c r="E202" s="17" t="str">
        <f t="shared" ref="E202:E265" si="32">IF(WEEKDAY(D202, 2)&lt;6, "weekday", "weekend")</f>
        <v>weekday</v>
      </c>
      <c r="F202" s="17">
        <f t="shared" ref="F202:U217" si="33">IF($E202=$E$5,(F$5),(F$6))</f>
        <v>0</v>
      </c>
      <c r="G202" s="17">
        <f t="shared" si="33"/>
        <v>0</v>
      </c>
      <c r="H202" s="17">
        <f t="shared" si="33"/>
        <v>0</v>
      </c>
      <c r="I202" s="17">
        <f t="shared" si="33"/>
        <v>0</v>
      </c>
      <c r="J202" s="17">
        <f t="shared" si="33"/>
        <v>0</v>
      </c>
      <c r="K202" s="17">
        <f t="shared" si="33"/>
        <v>0</v>
      </c>
      <c r="L202" s="17">
        <f t="shared" si="33"/>
        <v>1</v>
      </c>
      <c r="M202" s="17">
        <f t="shared" si="33"/>
        <v>1</v>
      </c>
      <c r="N202" s="17">
        <f t="shared" si="33"/>
        <v>0</v>
      </c>
      <c r="O202" s="17">
        <f t="shared" si="33"/>
        <v>0</v>
      </c>
      <c r="P202" s="17">
        <f t="shared" si="33"/>
        <v>0</v>
      </c>
      <c r="Q202" s="17">
        <f t="shared" si="33"/>
        <v>0</v>
      </c>
      <c r="R202" s="17">
        <f t="shared" si="33"/>
        <v>0</v>
      </c>
      <c r="S202" s="17">
        <f t="shared" si="33"/>
        <v>0</v>
      </c>
      <c r="T202" s="17">
        <f t="shared" si="33"/>
        <v>0</v>
      </c>
      <c r="U202" s="17">
        <f t="shared" si="33"/>
        <v>1</v>
      </c>
      <c r="V202" s="17">
        <f t="shared" si="31"/>
        <v>1</v>
      </c>
      <c r="W202" s="17">
        <f t="shared" si="31"/>
        <v>1</v>
      </c>
      <c r="X202" s="17">
        <f t="shared" si="31"/>
        <v>1</v>
      </c>
      <c r="Y202" s="17">
        <f t="shared" si="31"/>
        <v>1</v>
      </c>
      <c r="Z202" s="17">
        <f t="shared" si="31"/>
        <v>1</v>
      </c>
      <c r="AA202" s="17">
        <f t="shared" si="31"/>
        <v>1</v>
      </c>
      <c r="AB202" s="17">
        <f t="shared" si="31"/>
        <v>0</v>
      </c>
      <c r="AC202" s="17">
        <f t="shared" si="31"/>
        <v>0</v>
      </c>
      <c r="AD202" s="17">
        <f t="shared" ref="AD202:AD265" si="34">SUM(F202:AC202)</f>
        <v>9</v>
      </c>
    </row>
    <row r="203" spans="4:30" x14ac:dyDescent="0.2">
      <c r="D203" s="37">
        <v>45121</v>
      </c>
      <c r="E203" s="17" t="str">
        <f t="shared" si="32"/>
        <v>weekday</v>
      </c>
      <c r="F203" s="17">
        <f t="shared" si="33"/>
        <v>0</v>
      </c>
      <c r="G203" s="17">
        <f t="shared" si="33"/>
        <v>0</v>
      </c>
      <c r="H203" s="17">
        <f t="shared" si="33"/>
        <v>0</v>
      </c>
      <c r="I203" s="17">
        <f t="shared" si="33"/>
        <v>0</v>
      </c>
      <c r="J203" s="17">
        <f t="shared" si="33"/>
        <v>0</v>
      </c>
      <c r="K203" s="17">
        <f t="shared" si="33"/>
        <v>0</v>
      </c>
      <c r="L203" s="17">
        <f t="shared" si="33"/>
        <v>1</v>
      </c>
      <c r="M203" s="17">
        <f t="shared" si="33"/>
        <v>1</v>
      </c>
      <c r="N203" s="17">
        <f t="shared" si="33"/>
        <v>0</v>
      </c>
      <c r="O203" s="17">
        <f t="shared" si="33"/>
        <v>0</v>
      </c>
      <c r="P203" s="17">
        <f t="shared" si="33"/>
        <v>0</v>
      </c>
      <c r="Q203" s="17">
        <f t="shared" si="33"/>
        <v>0</v>
      </c>
      <c r="R203" s="17">
        <f t="shared" si="33"/>
        <v>0</v>
      </c>
      <c r="S203" s="17">
        <f t="shared" si="33"/>
        <v>0</v>
      </c>
      <c r="T203" s="17">
        <f t="shared" si="33"/>
        <v>0</v>
      </c>
      <c r="U203" s="17">
        <f t="shared" si="33"/>
        <v>1</v>
      </c>
      <c r="V203" s="17">
        <f t="shared" si="31"/>
        <v>1</v>
      </c>
      <c r="W203" s="17">
        <f t="shared" si="31"/>
        <v>1</v>
      </c>
      <c r="X203" s="17">
        <f t="shared" si="31"/>
        <v>1</v>
      </c>
      <c r="Y203" s="17">
        <f t="shared" si="31"/>
        <v>1</v>
      </c>
      <c r="Z203" s="17">
        <f t="shared" si="31"/>
        <v>1</v>
      </c>
      <c r="AA203" s="17">
        <f t="shared" si="31"/>
        <v>1</v>
      </c>
      <c r="AB203" s="17">
        <f t="shared" si="31"/>
        <v>0</v>
      </c>
      <c r="AC203" s="17">
        <f t="shared" si="31"/>
        <v>0</v>
      </c>
      <c r="AD203" s="17">
        <f t="shared" si="34"/>
        <v>9</v>
      </c>
    </row>
    <row r="204" spans="4:30" x14ac:dyDescent="0.2">
      <c r="D204" s="37">
        <v>45122</v>
      </c>
      <c r="E204" s="17" t="str">
        <f t="shared" si="32"/>
        <v>weekend</v>
      </c>
      <c r="F204" s="17">
        <f t="shared" si="33"/>
        <v>0</v>
      </c>
      <c r="G204" s="17">
        <f t="shared" si="33"/>
        <v>0</v>
      </c>
      <c r="H204" s="17">
        <f t="shared" si="33"/>
        <v>0</v>
      </c>
      <c r="I204" s="17">
        <f t="shared" si="33"/>
        <v>0</v>
      </c>
      <c r="J204" s="17">
        <f t="shared" si="33"/>
        <v>0</v>
      </c>
      <c r="K204" s="17">
        <f t="shared" si="33"/>
        <v>0</v>
      </c>
      <c r="L204" s="17">
        <f t="shared" si="33"/>
        <v>1</v>
      </c>
      <c r="M204" s="17">
        <f t="shared" si="33"/>
        <v>1</v>
      </c>
      <c r="N204" s="17">
        <f t="shared" si="33"/>
        <v>1</v>
      </c>
      <c r="O204" s="17">
        <f t="shared" si="33"/>
        <v>1</v>
      </c>
      <c r="P204" s="17">
        <f t="shared" si="33"/>
        <v>1</v>
      </c>
      <c r="Q204" s="17">
        <f t="shared" si="33"/>
        <v>1</v>
      </c>
      <c r="R204" s="17">
        <f t="shared" si="33"/>
        <v>1</v>
      </c>
      <c r="S204" s="17">
        <f t="shared" si="33"/>
        <v>1</v>
      </c>
      <c r="T204" s="17">
        <f t="shared" si="33"/>
        <v>1</v>
      </c>
      <c r="U204" s="17">
        <f t="shared" si="33"/>
        <v>1</v>
      </c>
      <c r="V204" s="17">
        <f t="shared" si="31"/>
        <v>1</v>
      </c>
      <c r="W204" s="17">
        <f t="shared" si="31"/>
        <v>1</v>
      </c>
      <c r="X204" s="17">
        <f t="shared" si="31"/>
        <v>1</v>
      </c>
      <c r="Y204" s="17">
        <f t="shared" si="31"/>
        <v>1</v>
      </c>
      <c r="Z204" s="17">
        <f t="shared" si="31"/>
        <v>1</v>
      </c>
      <c r="AA204" s="17">
        <f t="shared" si="31"/>
        <v>1</v>
      </c>
      <c r="AB204" s="17">
        <f t="shared" si="31"/>
        <v>0</v>
      </c>
      <c r="AC204" s="17">
        <f t="shared" si="31"/>
        <v>0</v>
      </c>
      <c r="AD204" s="17">
        <f t="shared" si="34"/>
        <v>16</v>
      </c>
    </row>
    <row r="205" spans="4:30" x14ac:dyDescent="0.2">
      <c r="D205" s="37">
        <v>45123</v>
      </c>
      <c r="E205" s="17" t="str">
        <f t="shared" si="32"/>
        <v>weekend</v>
      </c>
      <c r="F205" s="17">
        <f t="shared" si="33"/>
        <v>0</v>
      </c>
      <c r="G205" s="17">
        <f t="shared" si="33"/>
        <v>0</v>
      </c>
      <c r="H205" s="17">
        <f t="shared" si="33"/>
        <v>0</v>
      </c>
      <c r="I205" s="17">
        <f t="shared" si="33"/>
        <v>0</v>
      </c>
      <c r="J205" s="17">
        <f t="shared" si="33"/>
        <v>0</v>
      </c>
      <c r="K205" s="17">
        <f t="shared" si="33"/>
        <v>0</v>
      </c>
      <c r="L205" s="17">
        <f t="shared" si="33"/>
        <v>1</v>
      </c>
      <c r="M205" s="17">
        <f t="shared" si="33"/>
        <v>1</v>
      </c>
      <c r="N205" s="17">
        <f t="shared" si="33"/>
        <v>1</v>
      </c>
      <c r="O205" s="17">
        <f t="shared" si="33"/>
        <v>1</v>
      </c>
      <c r="P205" s="17">
        <f t="shared" si="33"/>
        <v>1</v>
      </c>
      <c r="Q205" s="17">
        <f t="shared" si="33"/>
        <v>1</v>
      </c>
      <c r="R205" s="17">
        <f t="shared" si="33"/>
        <v>1</v>
      </c>
      <c r="S205" s="17">
        <f t="shared" si="33"/>
        <v>1</v>
      </c>
      <c r="T205" s="17">
        <f t="shared" si="33"/>
        <v>1</v>
      </c>
      <c r="U205" s="17">
        <f t="shared" si="33"/>
        <v>1</v>
      </c>
      <c r="V205" s="17">
        <f t="shared" si="31"/>
        <v>1</v>
      </c>
      <c r="W205" s="17">
        <f t="shared" si="31"/>
        <v>1</v>
      </c>
      <c r="X205" s="17">
        <f t="shared" si="31"/>
        <v>1</v>
      </c>
      <c r="Y205" s="17">
        <f t="shared" si="31"/>
        <v>1</v>
      </c>
      <c r="Z205" s="17">
        <f t="shared" si="31"/>
        <v>1</v>
      </c>
      <c r="AA205" s="17">
        <f t="shared" si="31"/>
        <v>1</v>
      </c>
      <c r="AB205" s="17">
        <f t="shared" si="31"/>
        <v>0</v>
      </c>
      <c r="AC205" s="17">
        <f t="shared" si="31"/>
        <v>0</v>
      </c>
      <c r="AD205" s="17">
        <f t="shared" si="34"/>
        <v>16</v>
      </c>
    </row>
    <row r="206" spans="4:30" x14ac:dyDescent="0.2">
      <c r="D206" s="37">
        <v>45124</v>
      </c>
      <c r="E206" s="17" t="str">
        <f t="shared" si="32"/>
        <v>weekday</v>
      </c>
      <c r="F206" s="17">
        <f t="shared" si="33"/>
        <v>0</v>
      </c>
      <c r="G206" s="17">
        <f t="shared" si="33"/>
        <v>0</v>
      </c>
      <c r="H206" s="17">
        <f t="shared" si="33"/>
        <v>0</v>
      </c>
      <c r="I206" s="17">
        <f t="shared" si="33"/>
        <v>0</v>
      </c>
      <c r="J206" s="17">
        <f t="shared" si="33"/>
        <v>0</v>
      </c>
      <c r="K206" s="17">
        <f t="shared" si="33"/>
        <v>0</v>
      </c>
      <c r="L206" s="17">
        <f t="shared" si="33"/>
        <v>1</v>
      </c>
      <c r="M206" s="17">
        <f t="shared" si="33"/>
        <v>1</v>
      </c>
      <c r="N206" s="17">
        <f t="shared" si="33"/>
        <v>0</v>
      </c>
      <c r="O206" s="17">
        <f t="shared" si="33"/>
        <v>0</v>
      </c>
      <c r="P206" s="17">
        <f t="shared" si="33"/>
        <v>0</v>
      </c>
      <c r="Q206" s="17">
        <f t="shared" si="33"/>
        <v>0</v>
      </c>
      <c r="R206" s="17">
        <f t="shared" si="33"/>
        <v>0</v>
      </c>
      <c r="S206" s="17">
        <f t="shared" si="33"/>
        <v>0</v>
      </c>
      <c r="T206" s="17">
        <f t="shared" si="33"/>
        <v>0</v>
      </c>
      <c r="U206" s="17">
        <f t="shared" si="33"/>
        <v>1</v>
      </c>
      <c r="V206" s="17">
        <f t="shared" si="31"/>
        <v>1</v>
      </c>
      <c r="W206" s="17">
        <f t="shared" si="31"/>
        <v>1</v>
      </c>
      <c r="X206" s="17">
        <f t="shared" si="31"/>
        <v>1</v>
      </c>
      <c r="Y206" s="17">
        <f t="shared" si="31"/>
        <v>1</v>
      </c>
      <c r="Z206" s="17">
        <f t="shared" si="31"/>
        <v>1</v>
      </c>
      <c r="AA206" s="17">
        <f t="shared" si="31"/>
        <v>1</v>
      </c>
      <c r="AB206" s="17">
        <f t="shared" si="31"/>
        <v>0</v>
      </c>
      <c r="AC206" s="17">
        <f t="shared" si="31"/>
        <v>0</v>
      </c>
      <c r="AD206" s="17">
        <f t="shared" si="34"/>
        <v>9</v>
      </c>
    </row>
    <row r="207" spans="4:30" x14ac:dyDescent="0.2">
      <c r="D207" s="37">
        <v>45125</v>
      </c>
      <c r="E207" s="17" t="str">
        <f t="shared" si="32"/>
        <v>weekday</v>
      </c>
      <c r="F207" s="17">
        <f t="shared" si="33"/>
        <v>0</v>
      </c>
      <c r="G207" s="17">
        <f t="shared" si="33"/>
        <v>0</v>
      </c>
      <c r="H207" s="17">
        <f t="shared" si="33"/>
        <v>0</v>
      </c>
      <c r="I207" s="17">
        <f t="shared" si="33"/>
        <v>0</v>
      </c>
      <c r="J207" s="17">
        <f t="shared" si="33"/>
        <v>0</v>
      </c>
      <c r="K207" s="17">
        <f t="shared" si="33"/>
        <v>0</v>
      </c>
      <c r="L207" s="17">
        <f t="shared" si="33"/>
        <v>1</v>
      </c>
      <c r="M207" s="17">
        <f t="shared" si="33"/>
        <v>1</v>
      </c>
      <c r="N207" s="17">
        <f t="shared" si="33"/>
        <v>0</v>
      </c>
      <c r="O207" s="17">
        <f t="shared" si="33"/>
        <v>0</v>
      </c>
      <c r="P207" s="17">
        <f t="shared" si="33"/>
        <v>0</v>
      </c>
      <c r="Q207" s="17">
        <f t="shared" si="33"/>
        <v>0</v>
      </c>
      <c r="R207" s="17">
        <f t="shared" si="33"/>
        <v>0</v>
      </c>
      <c r="S207" s="17">
        <f t="shared" si="33"/>
        <v>0</v>
      </c>
      <c r="T207" s="17">
        <f t="shared" si="33"/>
        <v>0</v>
      </c>
      <c r="U207" s="17">
        <f t="shared" si="33"/>
        <v>1</v>
      </c>
      <c r="V207" s="17">
        <f t="shared" si="31"/>
        <v>1</v>
      </c>
      <c r="W207" s="17">
        <f t="shared" si="31"/>
        <v>1</v>
      </c>
      <c r="X207" s="17">
        <f t="shared" si="31"/>
        <v>1</v>
      </c>
      <c r="Y207" s="17">
        <f t="shared" si="31"/>
        <v>1</v>
      </c>
      <c r="Z207" s="17">
        <f t="shared" si="31"/>
        <v>1</v>
      </c>
      <c r="AA207" s="17">
        <f t="shared" si="31"/>
        <v>1</v>
      </c>
      <c r="AB207" s="17">
        <f t="shared" si="31"/>
        <v>0</v>
      </c>
      <c r="AC207" s="17">
        <f t="shared" si="31"/>
        <v>0</v>
      </c>
      <c r="AD207" s="17">
        <f t="shared" si="34"/>
        <v>9</v>
      </c>
    </row>
    <row r="208" spans="4:30" x14ac:dyDescent="0.2">
      <c r="D208" s="37">
        <v>45126</v>
      </c>
      <c r="E208" s="17" t="str">
        <f t="shared" si="32"/>
        <v>weekday</v>
      </c>
      <c r="F208" s="17">
        <f t="shared" si="33"/>
        <v>0</v>
      </c>
      <c r="G208" s="17">
        <f t="shared" si="33"/>
        <v>0</v>
      </c>
      <c r="H208" s="17">
        <f t="shared" si="33"/>
        <v>0</v>
      </c>
      <c r="I208" s="17">
        <f t="shared" si="33"/>
        <v>0</v>
      </c>
      <c r="J208" s="17">
        <f t="shared" si="33"/>
        <v>0</v>
      </c>
      <c r="K208" s="17">
        <f t="shared" si="33"/>
        <v>0</v>
      </c>
      <c r="L208" s="17">
        <f t="shared" si="33"/>
        <v>1</v>
      </c>
      <c r="M208" s="17">
        <f t="shared" si="33"/>
        <v>1</v>
      </c>
      <c r="N208" s="17">
        <f t="shared" si="33"/>
        <v>0</v>
      </c>
      <c r="O208" s="17">
        <f t="shared" si="33"/>
        <v>0</v>
      </c>
      <c r="P208" s="17">
        <f t="shared" si="33"/>
        <v>0</v>
      </c>
      <c r="Q208" s="17">
        <f t="shared" si="33"/>
        <v>0</v>
      </c>
      <c r="R208" s="17">
        <f t="shared" si="33"/>
        <v>0</v>
      </c>
      <c r="S208" s="17">
        <f t="shared" si="33"/>
        <v>0</v>
      </c>
      <c r="T208" s="17">
        <f t="shared" si="33"/>
        <v>0</v>
      </c>
      <c r="U208" s="17">
        <f t="shared" si="33"/>
        <v>1</v>
      </c>
      <c r="V208" s="17">
        <f t="shared" si="31"/>
        <v>1</v>
      </c>
      <c r="W208" s="17">
        <f t="shared" si="31"/>
        <v>1</v>
      </c>
      <c r="X208" s="17">
        <f t="shared" si="31"/>
        <v>1</v>
      </c>
      <c r="Y208" s="17">
        <f t="shared" si="31"/>
        <v>1</v>
      </c>
      <c r="Z208" s="17">
        <f t="shared" si="31"/>
        <v>1</v>
      </c>
      <c r="AA208" s="17">
        <f t="shared" si="31"/>
        <v>1</v>
      </c>
      <c r="AB208" s="17">
        <f t="shared" si="31"/>
        <v>0</v>
      </c>
      <c r="AC208" s="17">
        <f t="shared" si="31"/>
        <v>0</v>
      </c>
      <c r="AD208" s="17">
        <f t="shared" si="34"/>
        <v>9</v>
      </c>
    </row>
    <row r="209" spans="4:30" x14ac:dyDescent="0.2">
      <c r="D209" s="37">
        <v>45127</v>
      </c>
      <c r="E209" s="17" t="str">
        <f t="shared" si="32"/>
        <v>weekday</v>
      </c>
      <c r="F209" s="17">
        <f t="shared" si="33"/>
        <v>0</v>
      </c>
      <c r="G209" s="17">
        <f t="shared" si="33"/>
        <v>0</v>
      </c>
      <c r="H209" s="17">
        <f t="shared" si="33"/>
        <v>0</v>
      </c>
      <c r="I209" s="17">
        <f t="shared" si="33"/>
        <v>0</v>
      </c>
      <c r="J209" s="17">
        <f t="shared" si="33"/>
        <v>0</v>
      </c>
      <c r="K209" s="17">
        <f t="shared" si="33"/>
        <v>0</v>
      </c>
      <c r="L209" s="17">
        <f t="shared" si="33"/>
        <v>1</v>
      </c>
      <c r="M209" s="17">
        <f t="shared" si="33"/>
        <v>1</v>
      </c>
      <c r="N209" s="17">
        <f t="shared" si="33"/>
        <v>0</v>
      </c>
      <c r="O209" s="17">
        <f t="shared" si="33"/>
        <v>0</v>
      </c>
      <c r="P209" s="17">
        <f t="shared" si="33"/>
        <v>0</v>
      </c>
      <c r="Q209" s="17">
        <f t="shared" si="33"/>
        <v>0</v>
      </c>
      <c r="R209" s="17">
        <f t="shared" si="33"/>
        <v>0</v>
      </c>
      <c r="S209" s="17">
        <f t="shared" si="33"/>
        <v>0</v>
      </c>
      <c r="T209" s="17">
        <f t="shared" si="33"/>
        <v>0</v>
      </c>
      <c r="U209" s="17">
        <f t="shared" si="33"/>
        <v>1</v>
      </c>
      <c r="V209" s="17">
        <f t="shared" si="31"/>
        <v>1</v>
      </c>
      <c r="W209" s="17">
        <f t="shared" si="31"/>
        <v>1</v>
      </c>
      <c r="X209" s="17">
        <f t="shared" si="31"/>
        <v>1</v>
      </c>
      <c r="Y209" s="17">
        <f t="shared" si="31"/>
        <v>1</v>
      </c>
      <c r="Z209" s="17">
        <f t="shared" si="31"/>
        <v>1</v>
      </c>
      <c r="AA209" s="17">
        <f t="shared" si="31"/>
        <v>1</v>
      </c>
      <c r="AB209" s="17">
        <f t="shared" si="31"/>
        <v>0</v>
      </c>
      <c r="AC209" s="17">
        <f t="shared" si="31"/>
        <v>0</v>
      </c>
      <c r="AD209" s="17">
        <f t="shared" si="34"/>
        <v>9</v>
      </c>
    </row>
    <row r="210" spans="4:30" x14ac:dyDescent="0.2">
      <c r="D210" s="37">
        <v>45128</v>
      </c>
      <c r="E210" s="17" t="str">
        <f t="shared" si="32"/>
        <v>weekday</v>
      </c>
      <c r="F210" s="17">
        <f t="shared" si="33"/>
        <v>0</v>
      </c>
      <c r="G210" s="17">
        <f t="shared" si="33"/>
        <v>0</v>
      </c>
      <c r="H210" s="17">
        <f t="shared" si="33"/>
        <v>0</v>
      </c>
      <c r="I210" s="17">
        <f t="shared" si="33"/>
        <v>0</v>
      </c>
      <c r="J210" s="17">
        <f t="shared" si="33"/>
        <v>0</v>
      </c>
      <c r="K210" s="17">
        <f t="shared" si="33"/>
        <v>0</v>
      </c>
      <c r="L210" s="17">
        <f t="shared" si="33"/>
        <v>1</v>
      </c>
      <c r="M210" s="17">
        <f t="shared" si="33"/>
        <v>1</v>
      </c>
      <c r="N210" s="17">
        <f t="shared" si="33"/>
        <v>0</v>
      </c>
      <c r="O210" s="17">
        <f t="shared" si="33"/>
        <v>0</v>
      </c>
      <c r="P210" s="17">
        <f t="shared" si="33"/>
        <v>0</v>
      </c>
      <c r="Q210" s="17">
        <f t="shared" si="33"/>
        <v>0</v>
      </c>
      <c r="R210" s="17">
        <f t="shared" si="33"/>
        <v>0</v>
      </c>
      <c r="S210" s="17">
        <f t="shared" si="33"/>
        <v>0</v>
      </c>
      <c r="T210" s="17">
        <f t="shared" si="33"/>
        <v>0</v>
      </c>
      <c r="U210" s="17">
        <f t="shared" si="33"/>
        <v>1</v>
      </c>
      <c r="V210" s="17">
        <f t="shared" si="31"/>
        <v>1</v>
      </c>
      <c r="W210" s="17">
        <f t="shared" si="31"/>
        <v>1</v>
      </c>
      <c r="X210" s="17">
        <f t="shared" si="31"/>
        <v>1</v>
      </c>
      <c r="Y210" s="17">
        <f t="shared" si="31"/>
        <v>1</v>
      </c>
      <c r="Z210" s="17">
        <f t="shared" si="31"/>
        <v>1</v>
      </c>
      <c r="AA210" s="17">
        <f t="shared" si="31"/>
        <v>1</v>
      </c>
      <c r="AB210" s="17">
        <f t="shared" si="31"/>
        <v>0</v>
      </c>
      <c r="AC210" s="17">
        <f t="shared" si="31"/>
        <v>0</v>
      </c>
      <c r="AD210" s="17">
        <f t="shared" si="34"/>
        <v>9</v>
      </c>
    </row>
    <row r="211" spans="4:30" x14ac:dyDescent="0.2">
      <c r="D211" s="37">
        <v>45129</v>
      </c>
      <c r="E211" s="17" t="str">
        <f t="shared" si="32"/>
        <v>weekend</v>
      </c>
      <c r="F211" s="17">
        <f t="shared" si="33"/>
        <v>0</v>
      </c>
      <c r="G211" s="17">
        <f t="shared" si="33"/>
        <v>0</v>
      </c>
      <c r="H211" s="17">
        <f t="shared" si="33"/>
        <v>0</v>
      </c>
      <c r="I211" s="17">
        <f t="shared" si="33"/>
        <v>0</v>
      </c>
      <c r="J211" s="17">
        <f t="shared" si="33"/>
        <v>0</v>
      </c>
      <c r="K211" s="17">
        <f t="shared" si="33"/>
        <v>0</v>
      </c>
      <c r="L211" s="17">
        <f t="shared" si="33"/>
        <v>1</v>
      </c>
      <c r="M211" s="17">
        <f t="shared" si="33"/>
        <v>1</v>
      </c>
      <c r="N211" s="17">
        <f t="shared" si="33"/>
        <v>1</v>
      </c>
      <c r="O211" s="17">
        <f t="shared" si="33"/>
        <v>1</v>
      </c>
      <c r="P211" s="17">
        <f t="shared" si="33"/>
        <v>1</v>
      </c>
      <c r="Q211" s="17">
        <f t="shared" si="33"/>
        <v>1</v>
      </c>
      <c r="R211" s="17">
        <f t="shared" si="33"/>
        <v>1</v>
      </c>
      <c r="S211" s="17">
        <f t="shared" si="33"/>
        <v>1</v>
      </c>
      <c r="T211" s="17">
        <f t="shared" si="33"/>
        <v>1</v>
      </c>
      <c r="U211" s="17">
        <f t="shared" si="33"/>
        <v>1</v>
      </c>
      <c r="V211" s="17">
        <f t="shared" si="31"/>
        <v>1</v>
      </c>
      <c r="W211" s="17">
        <f t="shared" si="31"/>
        <v>1</v>
      </c>
      <c r="X211" s="17">
        <f t="shared" si="31"/>
        <v>1</v>
      </c>
      <c r="Y211" s="17">
        <f t="shared" si="31"/>
        <v>1</v>
      </c>
      <c r="Z211" s="17">
        <f t="shared" si="31"/>
        <v>1</v>
      </c>
      <c r="AA211" s="17">
        <f t="shared" si="31"/>
        <v>1</v>
      </c>
      <c r="AB211" s="17">
        <f t="shared" si="31"/>
        <v>0</v>
      </c>
      <c r="AC211" s="17">
        <f t="shared" si="31"/>
        <v>0</v>
      </c>
      <c r="AD211" s="17">
        <f t="shared" si="34"/>
        <v>16</v>
      </c>
    </row>
    <row r="212" spans="4:30" x14ac:dyDescent="0.2">
      <c r="D212" s="37">
        <v>45130</v>
      </c>
      <c r="E212" s="17" t="str">
        <f t="shared" si="32"/>
        <v>weekend</v>
      </c>
      <c r="F212" s="17">
        <f t="shared" si="33"/>
        <v>0</v>
      </c>
      <c r="G212" s="17">
        <f t="shared" si="33"/>
        <v>0</v>
      </c>
      <c r="H212" s="17">
        <f t="shared" si="33"/>
        <v>0</v>
      </c>
      <c r="I212" s="17">
        <f t="shared" si="33"/>
        <v>0</v>
      </c>
      <c r="J212" s="17">
        <f t="shared" si="33"/>
        <v>0</v>
      </c>
      <c r="K212" s="17">
        <f t="shared" si="33"/>
        <v>0</v>
      </c>
      <c r="L212" s="17">
        <f t="shared" si="33"/>
        <v>1</v>
      </c>
      <c r="M212" s="17">
        <f t="shared" si="33"/>
        <v>1</v>
      </c>
      <c r="N212" s="17">
        <f t="shared" si="33"/>
        <v>1</v>
      </c>
      <c r="O212" s="17">
        <f t="shared" si="33"/>
        <v>1</v>
      </c>
      <c r="P212" s="17">
        <f t="shared" si="33"/>
        <v>1</v>
      </c>
      <c r="Q212" s="17">
        <f t="shared" si="33"/>
        <v>1</v>
      </c>
      <c r="R212" s="17">
        <f t="shared" si="33"/>
        <v>1</v>
      </c>
      <c r="S212" s="17">
        <f t="shared" si="33"/>
        <v>1</v>
      </c>
      <c r="T212" s="17">
        <f t="shared" si="33"/>
        <v>1</v>
      </c>
      <c r="U212" s="17">
        <f t="shared" si="33"/>
        <v>1</v>
      </c>
      <c r="V212" s="17">
        <f t="shared" si="31"/>
        <v>1</v>
      </c>
      <c r="W212" s="17">
        <f t="shared" si="31"/>
        <v>1</v>
      </c>
      <c r="X212" s="17">
        <f t="shared" si="31"/>
        <v>1</v>
      </c>
      <c r="Y212" s="17">
        <f t="shared" si="31"/>
        <v>1</v>
      </c>
      <c r="Z212" s="17">
        <f t="shared" si="31"/>
        <v>1</v>
      </c>
      <c r="AA212" s="17">
        <f t="shared" si="31"/>
        <v>1</v>
      </c>
      <c r="AB212" s="17">
        <f t="shared" si="31"/>
        <v>0</v>
      </c>
      <c r="AC212" s="17">
        <f t="shared" si="31"/>
        <v>0</v>
      </c>
      <c r="AD212" s="17">
        <f t="shared" si="34"/>
        <v>16</v>
      </c>
    </row>
    <row r="213" spans="4:30" x14ac:dyDescent="0.2">
      <c r="D213" s="37">
        <v>45131</v>
      </c>
      <c r="E213" s="17" t="str">
        <f t="shared" si="32"/>
        <v>weekday</v>
      </c>
      <c r="F213" s="17">
        <f t="shared" si="33"/>
        <v>0</v>
      </c>
      <c r="G213" s="17">
        <f t="shared" si="33"/>
        <v>0</v>
      </c>
      <c r="H213" s="17">
        <f t="shared" si="33"/>
        <v>0</v>
      </c>
      <c r="I213" s="17">
        <f t="shared" si="33"/>
        <v>0</v>
      </c>
      <c r="J213" s="17">
        <f t="shared" si="33"/>
        <v>0</v>
      </c>
      <c r="K213" s="17">
        <f t="shared" si="33"/>
        <v>0</v>
      </c>
      <c r="L213" s="17">
        <f t="shared" si="33"/>
        <v>1</v>
      </c>
      <c r="M213" s="17">
        <f t="shared" si="33"/>
        <v>1</v>
      </c>
      <c r="N213" s="17">
        <f t="shared" si="33"/>
        <v>0</v>
      </c>
      <c r="O213" s="17">
        <f t="shared" si="33"/>
        <v>0</v>
      </c>
      <c r="P213" s="17">
        <f t="shared" si="33"/>
        <v>0</v>
      </c>
      <c r="Q213" s="17">
        <f t="shared" si="33"/>
        <v>0</v>
      </c>
      <c r="R213" s="17">
        <f t="shared" si="33"/>
        <v>0</v>
      </c>
      <c r="S213" s="17">
        <f t="shared" si="33"/>
        <v>0</v>
      </c>
      <c r="T213" s="17">
        <f t="shared" si="33"/>
        <v>0</v>
      </c>
      <c r="U213" s="17">
        <f t="shared" si="33"/>
        <v>1</v>
      </c>
      <c r="V213" s="17">
        <f t="shared" si="31"/>
        <v>1</v>
      </c>
      <c r="W213" s="17">
        <f t="shared" si="31"/>
        <v>1</v>
      </c>
      <c r="X213" s="17">
        <f t="shared" si="31"/>
        <v>1</v>
      </c>
      <c r="Y213" s="17">
        <f t="shared" si="31"/>
        <v>1</v>
      </c>
      <c r="Z213" s="17">
        <f t="shared" si="31"/>
        <v>1</v>
      </c>
      <c r="AA213" s="17">
        <f t="shared" si="31"/>
        <v>1</v>
      </c>
      <c r="AB213" s="17">
        <f t="shared" si="31"/>
        <v>0</v>
      </c>
      <c r="AC213" s="17">
        <f t="shared" si="31"/>
        <v>0</v>
      </c>
      <c r="AD213" s="17">
        <f t="shared" si="34"/>
        <v>9</v>
      </c>
    </row>
    <row r="214" spans="4:30" x14ac:dyDescent="0.2">
      <c r="D214" s="37">
        <v>45132</v>
      </c>
      <c r="E214" s="17" t="str">
        <f t="shared" si="32"/>
        <v>weekday</v>
      </c>
      <c r="F214" s="17">
        <f t="shared" si="33"/>
        <v>0</v>
      </c>
      <c r="G214" s="17">
        <f t="shared" si="33"/>
        <v>0</v>
      </c>
      <c r="H214" s="17">
        <f t="shared" si="33"/>
        <v>0</v>
      </c>
      <c r="I214" s="17">
        <f t="shared" si="33"/>
        <v>0</v>
      </c>
      <c r="J214" s="17">
        <f t="shared" si="33"/>
        <v>0</v>
      </c>
      <c r="K214" s="17">
        <f t="shared" si="33"/>
        <v>0</v>
      </c>
      <c r="L214" s="17">
        <f t="shared" si="33"/>
        <v>1</v>
      </c>
      <c r="M214" s="17">
        <f t="shared" si="33"/>
        <v>1</v>
      </c>
      <c r="N214" s="17">
        <f t="shared" si="33"/>
        <v>0</v>
      </c>
      <c r="O214" s="17">
        <f t="shared" si="33"/>
        <v>0</v>
      </c>
      <c r="P214" s="17">
        <f t="shared" si="33"/>
        <v>0</v>
      </c>
      <c r="Q214" s="17">
        <f t="shared" si="33"/>
        <v>0</v>
      </c>
      <c r="R214" s="17">
        <f t="shared" si="33"/>
        <v>0</v>
      </c>
      <c r="S214" s="17">
        <f t="shared" si="33"/>
        <v>0</v>
      </c>
      <c r="T214" s="17">
        <f t="shared" si="33"/>
        <v>0</v>
      </c>
      <c r="U214" s="17">
        <f t="shared" si="33"/>
        <v>1</v>
      </c>
      <c r="V214" s="17">
        <f t="shared" si="31"/>
        <v>1</v>
      </c>
      <c r="W214" s="17">
        <f t="shared" si="31"/>
        <v>1</v>
      </c>
      <c r="X214" s="17">
        <f t="shared" si="31"/>
        <v>1</v>
      </c>
      <c r="Y214" s="17">
        <f t="shared" si="31"/>
        <v>1</v>
      </c>
      <c r="Z214" s="17">
        <f t="shared" si="31"/>
        <v>1</v>
      </c>
      <c r="AA214" s="17">
        <f t="shared" si="31"/>
        <v>1</v>
      </c>
      <c r="AB214" s="17">
        <f t="shared" si="31"/>
        <v>0</v>
      </c>
      <c r="AC214" s="17">
        <f t="shared" si="31"/>
        <v>0</v>
      </c>
      <c r="AD214" s="17">
        <f t="shared" si="34"/>
        <v>9</v>
      </c>
    </row>
    <row r="215" spans="4:30" x14ac:dyDescent="0.2">
      <c r="D215" s="37">
        <v>45133</v>
      </c>
      <c r="E215" s="17" t="str">
        <f t="shared" si="32"/>
        <v>weekday</v>
      </c>
      <c r="F215" s="17">
        <f t="shared" si="33"/>
        <v>0</v>
      </c>
      <c r="G215" s="17">
        <f t="shared" si="33"/>
        <v>0</v>
      </c>
      <c r="H215" s="17">
        <f t="shared" si="33"/>
        <v>0</v>
      </c>
      <c r="I215" s="17">
        <f t="shared" si="33"/>
        <v>0</v>
      </c>
      <c r="J215" s="17">
        <f t="shared" si="33"/>
        <v>0</v>
      </c>
      <c r="K215" s="17">
        <f t="shared" si="33"/>
        <v>0</v>
      </c>
      <c r="L215" s="17">
        <f t="shared" si="33"/>
        <v>1</v>
      </c>
      <c r="M215" s="17">
        <f t="shared" si="33"/>
        <v>1</v>
      </c>
      <c r="N215" s="17">
        <f t="shared" si="33"/>
        <v>0</v>
      </c>
      <c r="O215" s="17">
        <f t="shared" si="33"/>
        <v>0</v>
      </c>
      <c r="P215" s="17">
        <f t="shared" si="33"/>
        <v>0</v>
      </c>
      <c r="Q215" s="17">
        <f t="shared" si="33"/>
        <v>0</v>
      </c>
      <c r="R215" s="17">
        <f t="shared" si="33"/>
        <v>0</v>
      </c>
      <c r="S215" s="17">
        <f t="shared" si="33"/>
        <v>0</v>
      </c>
      <c r="T215" s="17">
        <f t="shared" si="33"/>
        <v>0</v>
      </c>
      <c r="U215" s="17">
        <f t="shared" si="33"/>
        <v>1</v>
      </c>
      <c r="V215" s="17">
        <f t="shared" si="31"/>
        <v>1</v>
      </c>
      <c r="W215" s="17">
        <f t="shared" si="31"/>
        <v>1</v>
      </c>
      <c r="X215" s="17">
        <f t="shared" si="31"/>
        <v>1</v>
      </c>
      <c r="Y215" s="17">
        <f t="shared" si="31"/>
        <v>1</v>
      </c>
      <c r="Z215" s="17">
        <f t="shared" si="31"/>
        <v>1</v>
      </c>
      <c r="AA215" s="17">
        <f t="shared" si="31"/>
        <v>1</v>
      </c>
      <c r="AB215" s="17">
        <f t="shared" si="31"/>
        <v>0</v>
      </c>
      <c r="AC215" s="17">
        <f t="shared" si="31"/>
        <v>0</v>
      </c>
      <c r="AD215" s="17">
        <f t="shared" si="34"/>
        <v>9</v>
      </c>
    </row>
    <row r="216" spans="4:30" x14ac:dyDescent="0.2">
      <c r="D216" s="37">
        <v>45134</v>
      </c>
      <c r="E216" s="17" t="str">
        <f t="shared" si="32"/>
        <v>weekday</v>
      </c>
      <c r="F216" s="17">
        <f t="shared" si="33"/>
        <v>0</v>
      </c>
      <c r="G216" s="17">
        <f t="shared" si="33"/>
        <v>0</v>
      </c>
      <c r="H216" s="17">
        <f t="shared" si="33"/>
        <v>0</v>
      </c>
      <c r="I216" s="17">
        <f t="shared" si="33"/>
        <v>0</v>
      </c>
      <c r="J216" s="17">
        <f t="shared" si="33"/>
        <v>0</v>
      </c>
      <c r="K216" s="17">
        <f t="shared" si="33"/>
        <v>0</v>
      </c>
      <c r="L216" s="17">
        <f t="shared" si="33"/>
        <v>1</v>
      </c>
      <c r="M216" s="17">
        <f t="shared" si="33"/>
        <v>1</v>
      </c>
      <c r="N216" s="17">
        <f t="shared" si="33"/>
        <v>0</v>
      </c>
      <c r="O216" s="17">
        <f t="shared" si="33"/>
        <v>0</v>
      </c>
      <c r="P216" s="17">
        <f t="shared" si="33"/>
        <v>0</v>
      </c>
      <c r="Q216" s="17">
        <f t="shared" si="33"/>
        <v>0</v>
      </c>
      <c r="R216" s="17">
        <f t="shared" si="33"/>
        <v>0</v>
      </c>
      <c r="S216" s="17">
        <f t="shared" si="33"/>
        <v>0</v>
      </c>
      <c r="T216" s="17">
        <f t="shared" si="33"/>
        <v>0</v>
      </c>
      <c r="U216" s="17">
        <f t="shared" si="33"/>
        <v>1</v>
      </c>
      <c r="V216" s="17">
        <f t="shared" si="31"/>
        <v>1</v>
      </c>
      <c r="W216" s="17">
        <f t="shared" si="31"/>
        <v>1</v>
      </c>
      <c r="X216" s="17">
        <f t="shared" si="31"/>
        <v>1</v>
      </c>
      <c r="Y216" s="17">
        <f t="shared" si="31"/>
        <v>1</v>
      </c>
      <c r="Z216" s="17">
        <f t="shared" si="31"/>
        <v>1</v>
      </c>
      <c r="AA216" s="17">
        <f t="shared" si="31"/>
        <v>1</v>
      </c>
      <c r="AB216" s="17">
        <f t="shared" si="31"/>
        <v>0</v>
      </c>
      <c r="AC216" s="17">
        <f t="shared" si="31"/>
        <v>0</v>
      </c>
      <c r="AD216" s="17">
        <f t="shared" si="34"/>
        <v>9</v>
      </c>
    </row>
    <row r="217" spans="4:30" x14ac:dyDescent="0.2">
      <c r="D217" s="37">
        <v>45135</v>
      </c>
      <c r="E217" s="17" t="str">
        <f t="shared" si="32"/>
        <v>weekday</v>
      </c>
      <c r="F217" s="17">
        <f t="shared" si="33"/>
        <v>0</v>
      </c>
      <c r="G217" s="17">
        <f t="shared" si="33"/>
        <v>0</v>
      </c>
      <c r="H217" s="17">
        <f t="shared" si="33"/>
        <v>0</v>
      </c>
      <c r="I217" s="17">
        <f t="shared" si="33"/>
        <v>0</v>
      </c>
      <c r="J217" s="17">
        <f t="shared" si="33"/>
        <v>0</v>
      </c>
      <c r="K217" s="17">
        <f t="shared" si="33"/>
        <v>0</v>
      </c>
      <c r="L217" s="17">
        <f t="shared" si="33"/>
        <v>1</v>
      </c>
      <c r="M217" s="17">
        <f t="shared" si="33"/>
        <v>1</v>
      </c>
      <c r="N217" s="17">
        <f t="shared" si="33"/>
        <v>0</v>
      </c>
      <c r="O217" s="17">
        <f t="shared" si="33"/>
        <v>0</v>
      </c>
      <c r="P217" s="17">
        <f t="shared" si="33"/>
        <v>0</v>
      </c>
      <c r="Q217" s="17">
        <f t="shared" si="33"/>
        <v>0</v>
      </c>
      <c r="R217" s="17">
        <f t="shared" si="33"/>
        <v>0</v>
      </c>
      <c r="S217" s="17">
        <f t="shared" si="33"/>
        <v>0</v>
      </c>
      <c r="T217" s="17">
        <f t="shared" si="33"/>
        <v>0</v>
      </c>
      <c r="U217" s="17">
        <f t="shared" ref="U217:AC232" si="35">IF($E217=$E$5,(U$5),(U$6))</f>
        <v>1</v>
      </c>
      <c r="V217" s="17">
        <f t="shared" si="35"/>
        <v>1</v>
      </c>
      <c r="W217" s="17">
        <f t="shared" si="35"/>
        <v>1</v>
      </c>
      <c r="X217" s="17">
        <f t="shared" si="35"/>
        <v>1</v>
      </c>
      <c r="Y217" s="17">
        <f t="shared" si="35"/>
        <v>1</v>
      </c>
      <c r="Z217" s="17">
        <f t="shared" si="35"/>
        <v>1</v>
      </c>
      <c r="AA217" s="17">
        <f t="shared" si="35"/>
        <v>1</v>
      </c>
      <c r="AB217" s="17">
        <f t="shared" si="35"/>
        <v>0</v>
      </c>
      <c r="AC217" s="17">
        <f t="shared" si="35"/>
        <v>0</v>
      </c>
      <c r="AD217" s="17">
        <f t="shared" si="34"/>
        <v>9</v>
      </c>
    </row>
    <row r="218" spans="4:30" x14ac:dyDescent="0.2">
      <c r="D218" s="37">
        <v>45136</v>
      </c>
      <c r="E218" s="17" t="str">
        <f t="shared" si="32"/>
        <v>weekend</v>
      </c>
      <c r="F218" s="17">
        <f t="shared" ref="F218:U233" si="36">IF($E218=$E$5,(F$5),(F$6))</f>
        <v>0</v>
      </c>
      <c r="G218" s="17">
        <f t="shared" si="36"/>
        <v>0</v>
      </c>
      <c r="H218" s="17">
        <f t="shared" si="36"/>
        <v>0</v>
      </c>
      <c r="I218" s="17">
        <f t="shared" si="36"/>
        <v>0</v>
      </c>
      <c r="J218" s="17">
        <f t="shared" si="36"/>
        <v>0</v>
      </c>
      <c r="K218" s="17">
        <f t="shared" si="36"/>
        <v>0</v>
      </c>
      <c r="L218" s="17">
        <f t="shared" si="36"/>
        <v>1</v>
      </c>
      <c r="M218" s="17">
        <f t="shared" si="36"/>
        <v>1</v>
      </c>
      <c r="N218" s="17">
        <f t="shared" si="36"/>
        <v>1</v>
      </c>
      <c r="O218" s="17">
        <f t="shared" si="36"/>
        <v>1</v>
      </c>
      <c r="P218" s="17">
        <f t="shared" si="36"/>
        <v>1</v>
      </c>
      <c r="Q218" s="17">
        <f t="shared" si="36"/>
        <v>1</v>
      </c>
      <c r="R218" s="17">
        <f t="shared" si="36"/>
        <v>1</v>
      </c>
      <c r="S218" s="17">
        <f t="shared" si="36"/>
        <v>1</v>
      </c>
      <c r="T218" s="17">
        <f t="shared" si="36"/>
        <v>1</v>
      </c>
      <c r="U218" s="17">
        <f t="shared" si="36"/>
        <v>1</v>
      </c>
      <c r="V218" s="17">
        <f t="shared" si="35"/>
        <v>1</v>
      </c>
      <c r="W218" s="17">
        <f t="shared" si="35"/>
        <v>1</v>
      </c>
      <c r="X218" s="17">
        <f t="shared" si="35"/>
        <v>1</v>
      </c>
      <c r="Y218" s="17">
        <f t="shared" si="35"/>
        <v>1</v>
      </c>
      <c r="Z218" s="17">
        <f t="shared" si="35"/>
        <v>1</v>
      </c>
      <c r="AA218" s="17">
        <f t="shared" si="35"/>
        <v>1</v>
      </c>
      <c r="AB218" s="17">
        <f t="shared" si="35"/>
        <v>0</v>
      </c>
      <c r="AC218" s="17">
        <f t="shared" si="35"/>
        <v>0</v>
      </c>
      <c r="AD218" s="17">
        <f t="shared" si="34"/>
        <v>16</v>
      </c>
    </row>
    <row r="219" spans="4:30" x14ac:dyDescent="0.2">
      <c r="D219" s="37">
        <v>45137</v>
      </c>
      <c r="E219" s="17" t="str">
        <f t="shared" si="32"/>
        <v>weekend</v>
      </c>
      <c r="F219" s="17">
        <f t="shared" si="36"/>
        <v>0</v>
      </c>
      <c r="G219" s="17">
        <f t="shared" si="36"/>
        <v>0</v>
      </c>
      <c r="H219" s="17">
        <f t="shared" si="36"/>
        <v>0</v>
      </c>
      <c r="I219" s="17">
        <f t="shared" si="36"/>
        <v>0</v>
      </c>
      <c r="J219" s="17">
        <f t="shared" si="36"/>
        <v>0</v>
      </c>
      <c r="K219" s="17">
        <f t="shared" si="36"/>
        <v>0</v>
      </c>
      <c r="L219" s="17">
        <f t="shared" si="36"/>
        <v>1</v>
      </c>
      <c r="M219" s="17">
        <f t="shared" si="36"/>
        <v>1</v>
      </c>
      <c r="N219" s="17">
        <f t="shared" si="36"/>
        <v>1</v>
      </c>
      <c r="O219" s="17">
        <f t="shared" si="36"/>
        <v>1</v>
      </c>
      <c r="P219" s="17">
        <f t="shared" si="36"/>
        <v>1</v>
      </c>
      <c r="Q219" s="17">
        <f t="shared" si="36"/>
        <v>1</v>
      </c>
      <c r="R219" s="17">
        <f t="shared" si="36"/>
        <v>1</v>
      </c>
      <c r="S219" s="17">
        <f t="shared" si="36"/>
        <v>1</v>
      </c>
      <c r="T219" s="17">
        <f t="shared" si="36"/>
        <v>1</v>
      </c>
      <c r="U219" s="17">
        <f t="shared" si="36"/>
        <v>1</v>
      </c>
      <c r="V219" s="17">
        <f t="shared" si="35"/>
        <v>1</v>
      </c>
      <c r="W219" s="17">
        <f t="shared" si="35"/>
        <v>1</v>
      </c>
      <c r="X219" s="17">
        <f t="shared" si="35"/>
        <v>1</v>
      </c>
      <c r="Y219" s="17">
        <f t="shared" si="35"/>
        <v>1</v>
      </c>
      <c r="Z219" s="17">
        <f t="shared" si="35"/>
        <v>1</v>
      </c>
      <c r="AA219" s="17">
        <f t="shared" si="35"/>
        <v>1</v>
      </c>
      <c r="AB219" s="17">
        <f t="shared" si="35"/>
        <v>0</v>
      </c>
      <c r="AC219" s="17">
        <f t="shared" si="35"/>
        <v>0</v>
      </c>
      <c r="AD219" s="17">
        <f t="shared" si="34"/>
        <v>16</v>
      </c>
    </row>
    <row r="220" spans="4:30" x14ac:dyDescent="0.2">
      <c r="D220" s="37">
        <v>45138</v>
      </c>
      <c r="E220" s="17" t="str">
        <f t="shared" si="32"/>
        <v>weekday</v>
      </c>
      <c r="F220" s="17">
        <f t="shared" si="36"/>
        <v>0</v>
      </c>
      <c r="G220" s="17">
        <f t="shared" si="36"/>
        <v>0</v>
      </c>
      <c r="H220" s="17">
        <f t="shared" si="36"/>
        <v>0</v>
      </c>
      <c r="I220" s="17">
        <f t="shared" si="36"/>
        <v>0</v>
      </c>
      <c r="J220" s="17">
        <f t="shared" si="36"/>
        <v>0</v>
      </c>
      <c r="K220" s="17">
        <f t="shared" si="36"/>
        <v>0</v>
      </c>
      <c r="L220" s="17">
        <f t="shared" si="36"/>
        <v>1</v>
      </c>
      <c r="M220" s="17">
        <f t="shared" si="36"/>
        <v>1</v>
      </c>
      <c r="N220" s="17">
        <f t="shared" si="36"/>
        <v>0</v>
      </c>
      <c r="O220" s="17">
        <f t="shared" si="36"/>
        <v>0</v>
      </c>
      <c r="P220" s="17">
        <f t="shared" si="36"/>
        <v>0</v>
      </c>
      <c r="Q220" s="17">
        <f t="shared" si="36"/>
        <v>0</v>
      </c>
      <c r="R220" s="17">
        <f t="shared" si="36"/>
        <v>0</v>
      </c>
      <c r="S220" s="17">
        <f t="shared" si="36"/>
        <v>0</v>
      </c>
      <c r="T220" s="17">
        <f t="shared" si="36"/>
        <v>0</v>
      </c>
      <c r="U220" s="17">
        <f t="shared" si="36"/>
        <v>1</v>
      </c>
      <c r="V220" s="17">
        <f t="shared" si="35"/>
        <v>1</v>
      </c>
      <c r="W220" s="17">
        <f t="shared" si="35"/>
        <v>1</v>
      </c>
      <c r="X220" s="17">
        <f t="shared" si="35"/>
        <v>1</v>
      </c>
      <c r="Y220" s="17">
        <f t="shared" si="35"/>
        <v>1</v>
      </c>
      <c r="Z220" s="17">
        <f t="shared" si="35"/>
        <v>1</v>
      </c>
      <c r="AA220" s="17">
        <f t="shared" si="35"/>
        <v>1</v>
      </c>
      <c r="AB220" s="17">
        <f t="shared" si="35"/>
        <v>0</v>
      </c>
      <c r="AC220" s="17">
        <f t="shared" si="35"/>
        <v>0</v>
      </c>
      <c r="AD220" s="17">
        <f t="shared" si="34"/>
        <v>9</v>
      </c>
    </row>
    <row r="221" spans="4:30" x14ac:dyDescent="0.2">
      <c r="D221" s="37">
        <v>45139</v>
      </c>
      <c r="E221" s="17" t="str">
        <f t="shared" si="32"/>
        <v>weekday</v>
      </c>
      <c r="F221" s="17">
        <f t="shared" si="36"/>
        <v>0</v>
      </c>
      <c r="G221" s="17">
        <f t="shared" si="36"/>
        <v>0</v>
      </c>
      <c r="H221" s="17">
        <f t="shared" si="36"/>
        <v>0</v>
      </c>
      <c r="I221" s="17">
        <f t="shared" si="36"/>
        <v>0</v>
      </c>
      <c r="J221" s="17">
        <f t="shared" si="36"/>
        <v>0</v>
      </c>
      <c r="K221" s="17">
        <f t="shared" si="36"/>
        <v>0</v>
      </c>
      <c r="L221" s="17">
        <f t="shared" si="36"/>
        <v>1</v>
      </c>
      <c r="M221" s="17">
        <f t="shared" si="36"/>
        <v>1</v>
      </c>
      <c r="N221" s="17">
        <f t="shared" si="36"/>
        <v>0</v>
      </c>
      <c r="O221" s="17">
        <f t="shared" si="36"/>
        <v>0</v>
      </c>
      <c r="P221" s="17">
        <f t="shared" si="36"/>
        <v>0</v>
      </c>
      <c r="Q221" s="17">
        <f t="shared" si="36"/>
        <v>0</v>
      </c>
      <c r="R221" s="17">
        <f t="shared" si="36"/>
        <v>0</v>
      </c>
      <c r="S221" s="17">
        <f t="shared" si="36"/>
        <v>0</v>
      </c>
      <c r="T221" s="17">
        <f t="shared" si="36"/>
        <v>0</v>
      </c>
      <c r="U221" s="17">
        <f t="shared" si="36"/>
        <v>1</v>
      </c>
      <c r="V221" s="17">
        <f t="shared" si="35"/>
        <v>1</v>
      </c>
      <c r="W221" s="17">
        <f t="shared" si="35"/>
        <v>1</v>
      </c>
      <c r="X221" s="17">
        <f t="shared" si="35"/>
        <v>1</v>
      </c>
      <c r="Y221" s="17">
        <f t="shared" si="35"/>
        <v>1</v>
      </c>
      <c r="Z221" s="17">
        <f t="shared" si="35"/>
        <v>1</v>
      </c>
      <c r="AA221" s="17">
        <f t="shared" si="35"/>
        <v>1</v>
      </c>
      <c r="AB221" s="17">
        <f t="shared" si="35"/>
        <v>0</v>
      </c>
      <c r="AC221" s="17">
        <f t="shared" si="35"/>
        <v>0</v>
      </c>
      <c r="AD221" s="17">
        <f t="shared" si="34"/>
        <v>9</v>
      </c>
    </row>
    <row r="222" spans="4:30" x14ac:dyDescent="0.2">
      <c r="D222" s="37">
        <v>45140</v>
      </c>
      <c r="E222" s="17" t="str">
        <f t="shared" si="32"/>
        <v>weekday</v>
      </c>
      <c r="F222" s="17">
        <f t="shared" si="36"/>
        <v>0</v>
      </c>
      <c r="G222" s="17">
        <f t="shared" si="36"/>
        <v>0</v>
      </c>
      <c r="H222" s="17">
        <f t="shared" si="36"/>
        <v>0</v>
      </c>
      <c r="I222" s="17">
        <f t="shared" si="36"/>
        <v>0</v>
      </c>
      <c r="J222" s="17">
        <f t="shared" si="36"/>
        <v>0</v>
      </c>
      <c r="K222" s="17">
        <f t="shared" si="36"/>
        <v>0</v>
      </c>
      <c r="L222" s="17">
        <f t="shared" si="36"/>
        <v>1</v>
      </c>
      <c r="M222" s="17">
        <f t="shared" si="36"/>
        <v>1</v>
      </c>
      <c r="N222" s="17">
        <f t="shared" si="36"/>
        <v>0</v>
      </c>
      <c r="O222" s="17">
        <f t="shared" si="36"/>
        <v>0</v>
      </c>
      <c r="P222" s="17">
        <f t="shared" si="36"/>
        <v>0</v>
      </c>
      <c r="Q222" s="17">
        <f t="shared" si="36"/>
        <v>0</v>
      </c>
      <c r="R222" s="17">
        <f t="shared" si="36"/>
        <v>0</v>
      </c>
      <c r="S222" s="17">
        <f t="shared" si="36"/>
        <v>0</v>
      </c>
      <c r="T222" s="17">
        <f t="shared" si="36"/>
        <v>0</v>
      </c>
      <c r="U222" s="17">
        <f t="shared" si="36"/>
        <v>1</v>
      </c>
      <c r="V222" s="17">
        <f t="shared" si="35"/>
        <v>1</v>
      </c>
      <c r="W222" s="17">
        <f t="shared" si="35"/>
        <v>1</v>
      </c>
      <c r="X222" s="17">
        <f t="shared" si="35"/>
        <v>1</v>
      </c>
      <c r="Y222" s="17">
        <f t="shared" si="35"/>
        <v>1</v>
      </c>
      <c r="Z222" s="17">
        <f t="shared" si="35"/>
        <v>1</v>
      </c>
      <c r="AA222" s="17">
        <f t="shared" si="35"/>
        <v>1</v>
      </c>
      <c r="AB222" s="17">
        <f t="shared" si="35"/>
        <v>0</v>
      </c>
      <c r="AC222" s="17">
        <f t="shared" si="35"/>
        <v>0</v>
      </c>
      <c r="AD222" s="17">
        <f t="shared" si="34"/>
        <v>9</v>
      </c>
    </row>
    <row r="223" spans="4:30" x14ac:dyDescent="0.2">
      <c r="D223" s="37">
        <v>45141</v>
      </c>
      <c r="E223" s="17" t="str">
        <f t="shared" si="32"/>
        <v>weekday</v>
      </c>
      <c r="F223" s="17">
        <f t="shared" si="36"/>
        <v>0</v>
      </c>
      <c r="G223" s="17">
        <f t="shared" si="36"/>
        <v>0</v>
      </c>
      <c r="H223" s="17">
        <f t="shared" si="36"/>
        <v>0</v>
      </c>
      <c r="I223" s="17">
        <f t="shared" si="36"/>
        <v>0</v>
      </c>
      <c r="J223" s="17">
        <f t="shared" si="36"/>
        <v>0</v>
      </c>
      <c r="K223" s="17">
        <f t="shared" si="36"/>
        <v>0</v>
      </c>
      <c r="L223" s="17">
        <f t="shared" si="36"/>
        <v>1</v>
      </c>
      <c r="M223" s="17">
        <f t="shared" si="36"/>
        <v>1</v>
      </c>
      <c r="N223" s="17">
        <f t="shared" si="36"/>
        <v>0</v>
      </c>
      <c r="O223" s="17">
        <f t="shared" si="36"/>
        <v>0</v>
      </c>
      <c r="P223" s="17">
        <f t="shared" si="36"/>
        <v>0</v>
      </c>
      <c r="Q223" s="17">
        <f t="shared" si="36"/>
        <v>0</v>
      </c>
      <c r="R223" s="17">
        <f t="shared" si="36"/>
        <v>0</v>
      </c>
      <c r="S223" s="17">
        <f t="shared" si="36"/>
        <v>0</v>
      </c>
      <c r="T223" s="17">
        <f t="shared" si="36"/>
        <v>0</v>
      </c>
      <c r="U223" s="17">
        <f t="shared" si="36"/>
        <v>1</v>
      </c>
      <c r="V223" s="17">
        <f t="shared" si="35"/>
        <v>1</v>
      </c>
      <c r="W223" s="17">
        <f t="shared" si="35"/>
        <v>1</v>
      </c>
      <c r="X223" s="17">
        <f t="shared" si="35"/>
        <v>1</v>
      </c>
      <c r="Y223" s="17">
        <f t="shared" si="35"/>
        <v>1</v>
      </c>
      <c r="Z223" s="17">
        <f t="shared" si="35"/>
        <v>1</v>
      </c>
      <c r="AA223" s="17">
        <f t="shared" si="35"/>
        <v>1</v>
      </c>
      <c r="AB223" s="17">
        <f t="shared" si="35"/>
        <v>0</v>
      </c>
      <c r="AC223" s="17">
        <f t="shared" si="35"/>
        <v>0</v>
      </c>
      <c r="AD223" s="17">
        <f t="shared" si="34"/>
        <v>9</v>
      </c>
    </row>
    <row r="224" spans="4:30" x14ac:dyDescent="0.2">
      <c r="D224" s="37">
        <v>45142</v>
      </c>
      <c r="E224" s="17" t="str">
        <f t="shared" si="32"/>
        <v>weekday</v>
      </c>
      <c r="F224" s="17">
        <f t="shared" si="36"/>
        <v>0</v>
      </c>
      <c r="G224" s="17">
        <f t="shared" si="36"/>
        <v>0</v>
      </c>
      <c r="H224" s="17">
        <f t="shared" si="36"/>
        <v>0</v>
      </c>
      <c r="I224" s="17">
        <f t="shared" si="36"/>
        <v>0</v>
      </c>
      <c r="J224" s="17">
        <f t="shared" si="36"/>
        <v>0</v>
      </c>
      <c r="K224" s="17">
        <f t="shared" si="36"/>
        <v>0</v>
      </c>
      <c r="L224" s="17">
        <f t="shared" si="36"/>
        <v>1</v>
      </c>
      <c r="M224" s="17">
        <f t="shared" si="36"/>
        <v>1</v>
      </c>
      <c r="N224" s="17">
        <f t="shared" si="36"/>
        <v>0</v>
      </c>
      <c r="O224" s="17">
        <f t="shared" si="36"/>
        <v>0</v>
      </c>
      <c r="P224" s="17">
        <f t="shared" si="36"/>
        <v>0</v>
      </c>
      <c r="Q224" s="17">
        <f t="shared" si="36"/>
        <v>0</v>
      </c>
      <c r="R224" s="17">
        <f t="shared" si="36"/>
        <v>0</v>
      </c>
      <c r="S224" s="17">
        <f t="shared" si="36"/>
        <v>0</v>
      </c>
      <c r="T224" s="17">
        <f t="shared" si="36"/>
        <v>0</v>
      </c>
      <c r="U224" s="17">
        <f t="shared" si="36"/>
        <v>1</v>
      </c>
      <c r="V224" s="17">
        <f t="shared" si="35"/>
        <v>1</v>
      </c>
      <c r="W224" s="17">
        <f t="shared" si="35"/>
        <v>1</v>
      </c>
      <c r="X224" s="17">
        <f t="shared" si="35"/>
        <v>1</v>
      </c>
      <c r="Y224" s="17">
        <f t="shared" si="35"/>
        <v>1</v>
      </c>
      <c r="Z224" s="17">
        <f t="shared" si="35"/>
        <v>1</v>
      </c>
      <c r="AA224" s="17">
        <f t="shared" si="35"/>
        <v>1</v>
      </c>
      <c r="AB224" s="17">
        <f t="shared" si="35"/>
        <v>0</v>
      </c>
      <c r="AC224" s="17">
        <f t="shared" si="35"/>
        <v>0</v>
      </c>
      <c r="AD224" s="17">
        <f t="shared" si="34"/>
        <v>9</v>
      </c>
    </row>
    <row r="225" spans="4:30" x14ac:dyDescent="0.2">
      <c r="D225" s="37">
        <v>45143</v>
      </c>
      <c r="E225" s="17" t="str">
        <f t="shared" si="32"/>
        <v>weekend</v>
      </c>
      <c r="F225" s="17">
        <f t="shared" si="36"/>
        <v>0</v>
      </c>
      <c r="G225" s="17">
        <f t="shared" si="36"/>
        <v>0</v>
      </c>
      <c r="H225" s="17">
        <f t="shared" si="36"/>
        <v>0</v>
      </c>
      <c r="I225" s="17">
        <f t="shared" si="36"/>
        <v>0</v>
      </c>
      <c r="J225" s="17">
        <f t="shared" si="36"/>
        <v>0</v>
      </c>
      <c r="K225" s="17">
        <f t="shared" si="36"/>
        <v>0</v>
      </c>
      <c r="L225" s="17">
        <f t="shared" si="36"/>
        <v>1</v>
      </c>
      <c r="M225" s="17">
        <f t="shared" si="36"/>
        <v>1</v>
      </c>
      <c r="N225" s="17">
        <f t="shared" si="36"/>
        <v>1</v>
      </c>
      <c r="O225" s="17">
        <f t="shared" si="36"/>
        <v>1</v>
      </c>
      <c r="P225" s="17">
        <f t="shared" si="36"/>
        <v>1</v>
      </c>
      <c r="Q225" s="17">
        <f t="shared" si="36"/>
        <v>1</v>
      </c>
      <c r="R225" s="17">
        <f t="shared" si="36"/>
        <v>1</v>
      </c>
      <c r="S225" s="17">
        <f t="shared" si="36"/>
        <v>1</v>
      </c>
      <c r="T225" s="17">
        <f t="shared" si="36"/>
        <v>1</v>
      </c>
      <c r="U225" s="17">
        <f t="shared" si="36"/>
        <v>1</v>
      </c>
      <c r="V225" s="17">
        <f t="shared" si="35"/>
        <v>1</v>
      </c>
      <c r="W225" s="17">
        <f t="shared" si="35"/>
        <v>1</v>
      </c>
      <c r="X225" s="17">
        <f t="shared" si="35"/>
        <v>1</v>
      </c>
      <c r="Y225" s="17">
        <f t="shared" si="35"/>
        <v>1</v>
      </c>
      <c r="Z225" s="17">
        <f t="shared" si="35"/>
        <v>1</v>
      </c>
      <c r="AA225" s="17">
        <f t="shared" si="35"/>
        <v>1</v>
      </c>
      <c r="AB225" s="17">
        <f t="shared" si="35"/>
        <v>0</v>
      </c>
      <c r="AC225" s="17">
        <f t="shared" si="35"/>
        <v>0</v>
      </c>
      <c r="AD225" s="17">
        <f t="shared" si="34"/>
        <v>16</v>
      </c>
    </row>
    <row r="226" spans="4:30" x14ac:dyDescent="0.2">
      <c r="D226" s="37">
        <v>45144</v>
      </c>
      <c r="E226" s="17" t="str">
        <f t="shared" si="32"/>
        <v>weekend</v>
      </c>
      <c r="F226" s="17">
        <f t="shared" si="36"/>
        <v>0</v>
      </c>
      <c r="G226" s="17">
        <f t="shared" si="36"/>
        <v>0</v>
      </c>
      <c r="H226" s="17">
        <f t="shared" si="36"/>
        <v>0</v>
      </c>
      <c r="I226" s="17">
        <f t="shared" si="36"/>
        <v>0</v>
      </c>
      <c r="J226" s="17">
        <f t="shared" si="36"/>
        <v>0</v>
      </c>
      <c r="K226" s="17">
        <f t="shared" si="36"/>
        <v>0</v>
      </c>
      <c r="L226" s="17">
        <f t="shared" si="36"/>
        <v>1</v>
      </c>
      <c r="M226" s="17">
        <f t="shared" si="36"/>
        <v>1</v>
      </c>
      <c r="N226" s="17">
        <f t="shared" si="36"/>
        <v>1</v>
      </c>
      <c r="O226" s="17">
        <f t="shared" si="36"/>
        <v>1</v>
      </c>
      <c r="P226" s="17">
        <f t="shared" si="36"/>
        <v>1</v>
      </c>
      <c r="Q226" s="17">
        <f t="shared" si="36"/>
        <v>1</v>
      </c>
      <c r="R226" s="17">
        <f t="shared" si="36"/>
        <v>1</v>
      </c>
      <c r="S226" s="17">
        <f t="shared" si="36"/>
        <v>1</v>
      </c>
      <c r="T226" s="17">
        <f t="shared" si="36"/>
        <v>1</v>
      </c>
      <c r="U226" s="17">
        <f t="shared" si="36"/>
        <v>1</v>
      </c>
      <c r="V226" s="17">
        <f t="shared" si="35"/>
        <v>1</v>
      </c>
      <c r="W226" s="17">
        <f t="shared" si="35"/>
        <v>1</v>
      </c>
      <c r="X226" s="17">
        <f t="shared" si="35"/>
        <v>1</v>
      </c>
      <c r="Y226" s="17">
        <f t="shared" si="35"/>
        <v>1</v>
      </c>
      <c r="Z226" s="17">
        <f t="shared" si="35"/>
        <v>1</v>
      </c>
      <c r="AA226" s="17">
        <f t="shared" si="35"/>
        <v>1</v>
      </c>
      <c r="AB226" s="17">
        <f t="shared" si="35"/>
        <v>0</v>
      </c>
      <c r="AC226" s="17">
        <f t="shared" si="35"/>
        <v>0</v>
      </c>
      <c r="AD226" s="17">
        <f t="shared" si="34"/>
        <v>16</v>
      </c>
    </row>
    <row r="227" spans="4:30" x14ac:dyDescent="0.2">
      <c r="D227" s="37">
        <v>45145</v>
      </c>
      <c r="E227" s="17" t="str">
        <f t="shared" si="32"/>
        <v>weekday</v>
      </c>
      <c r="F227" s="17">
        <f t="shared" si="36"/>
        <v>0</v>
      </c>
      <c r="G227" s="17">
        <f t="shared" si="36"/>
        <v>0</v>
      </c>
      <c r="H227" s="17">
        <f t="shared" si="36"/>
        <v>0</v>
      </c>
      <c r="I227" s="17">
        <f t="shared" si="36"/>
        <v>0</v>
      </c>
      <c r="J227" s="17">
        <f t="shared" si="36"/>
        <v>0</v>
      </c>
      <c r="K227" s="17">
        <f t="shared" si="36"/>
        <v>0</v>
      </c>
      <c r="L227" s="17">
        <f t="shared" si="36"/>
        <v>1</v>
      </c>
      <c r="M227" s="17">
        <f t="shared" si="36"/>
        <v>1</v>
      </c>
      <c r="N227" s="17">
        <f t="shared" si="36"/>
        <v>0</v>
      </c>
      <c r="O227" s="17">
        <f t="shared" si="36"/>
        <v>0</v>
      </c>
      <c r="P227" s="17">
        <f t="shared" si="36"/>
        <v>0</v>
      </c>
      <c r="Q227" s="17">
        <f t="shared" si="36"/>
        <v>0</v>
      </c>
      <c r="R227" s="17">
        <f t="shared" si="36"/>
        <v>0</v>
      </c>
      <c r="S227" s="17">
        <f t="shared" si="36"/>
        <v>0</v>
      </c>
      <c r="T227" s="17">
        <f t="shared" si="36"/>
        <v>0</v>
      </c>
      <c r="U227" s="17">
        <f t="shared" si="36"/>
        <v>1</v>
      </c>
      <c r="V227" s="17">
        <f t="shared" si="35"/>
        <v>1</v>
      </c>
      <c r="W227" s="17">
        <f t="shared" si="35"/>
        <v>1</v>
      </c>
      <c r="X227" s="17">
        <f t="shared" si="35"/>
        <v>1</v>
      </c>
      <c r="Y227" s="17">
        <f t="shared" si="35"/>
        <v>1</v>
      </c>
      <c r="Z227" s="17">
        <f t="shared" si="35"/>
        <v>1</v>
      </c>
      <c r="AA227" s="17">
        <f t="shared" si="35"/>
        <v>1</v>
      </c>
      <c r="AB227" s="17">
        <f t="shared" si="35"/>
        <v>0</v>
      </c>
      <c r="AC227" s="17">
        <f t="shared" si="35"/>
        <v>0</v>
      </c>
      <c r="AD227" s="17">
        <f t="shared" si="34"/>
        <v>9</v>
      </c>
    </row>
    <row r="228" spans="4:30" x14ac:dyDescent="0.2">
      <c r="D228" s="37">
        <v>45146</v>
      </c>
      <c r="E228" s="17" t="str">
        <f t="shared" si="32"/>
        <v>weekday</v>
      </c>
      <c r="F228" s="17">
        <f t="shared" si="36"/>
        <v>0</v>
      </c>
      <c r="G228" s="17">
        <f t="shared" si="36"/>
        <v>0</v>
      </c>
      <c r="H228" s="17">
        <f t="shared" si="36"/>
        <v>0</v>
      </c>
      <c r="I228" s="17">
        <f t="shared" si="36"/>
        <v>0</v>
      </c>
      <c r="J228" s="17">
        <f t="shared" si="36"/>
        <v>0</v>
      </c>
      <c r="K228" s="17">
        <f t="shared" si="36"/>
        <v>0</v>
      </c>
      <c r="L228" s="17">
        <f t="shared" si="36"/>
        <v>1</v>
      </c>
      <c r="M228" s="17">
        <f t="shared" si="36"/>
        <v>1</v>
      </c>
      <c r="N228" s="17">
        <f t="shared" si="36"/>
        <v>0</v>
      </c>
      <c r="O228" s="17">
        <f t="shared" si="36"/>
        <v>0</v>
      </c>
      <c r="P228" s="17">
        <f t="shared" si="36"/>
        <v>0</v>
      </c>
      <c r="Q228" s="17">
        <f t="shared" si="36"/>
        <v>0</v>
      </c>
      <c r="R228" s="17">
        <f t="shared" si="36"/>
        <v>0</v>
      </c>
      <c r="S228" s="17">
        <f t="shared" si="36"/>
        <v>0</v>
      </c>
      <c r="T228" s="17">
        <f t="shared" si="36"/>
        <v>0</v>
      </c>
      <c r="U228" s="17">
        <f t="shared" si="36"/>
        <v>1</v>
      </c>
      <c r="V228" s="17">
        <f t="shared" si="35"/>
        <v>1</v>
      </c>
      <c r="W228" s="17">
        <f t="shared" si="35"/>
        <v>1</v>
      </c>
      <c r="X228" s="17">
        <f t="shared" si="35"/>
        <v>1</v>
      </c>
      <c r="Y228" s="17">
        <f t="shared" si="35"/>
        <v>1</v>
      </c>
      <c r="Z228" s="17">
        <f t="shared" si="35"/>
        <v>1</v>
      </c>
      <c r="AA228" s="17">
        <f t="shared" si="35"/>
        <v>1</v>
      </c>
      <c r="AB228" s="17">
        <f t="shared" si="35"/>
        <v>0</v>
      </c>
      <c r="AC228" s="17">
        <f t="shared" si="35"/>
        <v>0</v>
      </c>
      <c r="AD228" s="17">
        <f t="shared" si="34"/>
        <v>9</v>
      </c>
    </row>
    <row r="229" spans="4:30" x14ac:dyDescent="0.2">
      <c r="D229" s="37">
        <v>45147</v>
      </c>
      <c r="E229" s="17" t="str">
        <f t="shared" si="32"/>
        <v>weekday</v>
      </c>
      <c r="F229" s="17">
        <f t="shared" si="36"/>
        <v>0</v>
      </c>
      <c r="G229" s="17">
        <f t="shared" si="36"/>
        <v>0</v>
      </c>
      <c r="H229" s="17">
        <f t="shared" si="36"/>
        <v>0</v>
      </c>
      <c r="I229" s="17">
        <f t="shared" si="36"/>
        <v>0</v>
      </c>
      <c r="J229" s="17">
        <f t="shared" si="36"/>
        <v>0</v>
      </c>
      <c r="K229" s="17">
        <f t="shared" si="36"/>
        <v>0</v>
      </c>
      <c r="L229" s="17">
        <f t="shared" si="36"/>
        <v>1</v>
      </c>
      <c r="M229" s="17">
        <f t="shared" si="36"/>
        <v>1</v>
      </c>
      <c r="N229" s="17">
        <f t="shared" si="36"/>
        <v>0</v>
      </c>
      <c r="O229" s="17">
        <f t="shared" si="36"/>
        <v>0</v>
      </c>
      <c r="P229" s="17">
        <f t="shared" si="36"/>
        <v>0</v>
      </c>
      <c r="Q229" s="17">
        <f t="shared" si="36"/>
        <v>0</v>
      </c>
      <c r="R229" s="17">
        <f t="shared" si="36"/>
        <v>0</v>
      </c>
      <c r="S229" s="17">
        <f t="shared" si="36"/>
        <v>0</v>
      </c>
      <c r="T229" s="17">
        <f t="shared" si="36"/>
        <v>0</v>
      </c>
      <c r="U229" s="17">
        <f t="shared" si="36"/>
        <v>1</v>
      </c>
      <c r="V229" s="17">
        <f t="shared" si="35"/>
        <v>1</v>
      </c>
      <c r="W229" s="17">
        <f t="shared" si="35"/>
        <v>1</v>
      </c>
      <c r="X229" s="17">
        <f t="shared" si="35"/>
        <v>1</v>
      </c>
      <c r="Y229" s="17">
        <f t="shared" si="35"/>
        <v>1</v>
      </c>
      <c r="Z229" s="17">
        <f t="shared" si="35"/>
        <v>1</v>
      </c>
      <c r="AA229" s="17">
        <f t="shared" si="35"/>
        <v>1</v>
      </c>
      <c r="AB229" s="17">
        <f t="shared" si="35"/>
        <v>0</v>
      </c>
      <c r="AC229" s="17">
        <f t="shared" si="35"/>
        <v>0</v>
      </c>
      <c r="AD229" s="17">
        <f t="shared" si="34"/>
        <v>9</v>
      </c>
    </row>
    <row r="230" spans="4:30" x14ac:dyDescent="0.2">
      <c r="D230" s="37">
        <v>45148</v>
      </c>
      <c r="E230" s="17" t="str">
        <f t="shared" si="32"/>
        <v>weekday</v>
      </c>
      <c r="F230" s="17">
        <f t="shared" si="36"/>
        <v>0</v>
      </c>
      <c r="G230" s="17">
        <f t="shared" si="36"/>
        <v>0</v>
      </c>
      <c r="H230" s="17">
        <f t="shared" si="36"/>
        <v>0</v>
      </c>
      <c r="I230" s="17">
        <f t="shared" si="36"/>
        <v>0</v>
      </c>
      <c r="J230" s="17">
        <f t="shared" si="36"/>
        <v>0</v>
      </c>
      <c r="K230" s="17">
        <f t="shared" si="36"/>
        <v>0</v>
      </c>
      <c r="L230" s="17">
        <f t="shared" si="36"/>
        <v>1</v>
      </c>
      <c r="M230" s="17">
        <f t="shared" si="36"/>
        <v>1</v>
      </c>
      <c r="N230" s="17">
        <f t="shared" si="36"/>
        <v>0</v>
      </c>
      <c r="O230" s="17">
        <f t="shared" si="36"/>
        <v>0</v>
      </c>
      <c r="P230" s="17">
        <f t="shared" si="36"/>
        <v>0</v>
      </c>
      <c r="Q230" s="17">
        <f t="shared" si="36"/>
        <v>0</v>
      </c>
      <c r="R230" s="17">
        <f t="shared" si="36"/>
        <v>0</v>
      </c>
      <c r="S230" s="17">
        <f t="shared" si="36"/>
        <v>0</v>
      </c>
      <c r="T230" s="17">
        <f t="shared" si="36"/>
        <v>0</v>
      </c>
      <c r="U230" s="17">
        <f t="shared" si="36"/>
        <v>1</v>
      </c>
      <c r="V230" s="17">
        <f t="shared" si="35"/>
        <v>1</v>
      </c>
      <c r="W230" s="17">
        <f t="shared" si="35"/>
        <v>1</v>
      </c>
      <c r="X230" s="17">
        <f t="shared" si="35"/>
        <v>1</v>
      </c>
      <c r="Y230" s="17">
        <f t="shared" si="35"/>
        <v>1</v>
      </c>
      <c r="Z230" s="17">
        <f t="shared" si="35"/>
        <v>1</v>
      </c>
      <c r="AA230" s="17">
        <f t="shared" si="35"/>
        <v>1</v>
      </c>
      <c r="AB230" s="17">
        <f t="shared" si="35"/>
        <v>0</v>
      </c>
      <c r="AC230" s="17">
        <f t="shared" si="35"/>
        <v>0</v>
      </c>
      <c r="AD230" s="17">
        <f t="shared" si="34"/>
        <v>9</v>
      </c>
    </row>
    <row r="231" spans="4:30" x14ac:dyDescent="0.2">
      <c r="D231" s="37">
        <v>45149</v>
      </c>
      <c r="E231" s="17" t="str">
        <f t="shared" si="32"/>
        <v>weekday</v>
      </c>
      <c r="F231" s="17">
        <f t="shared" si="36"/>
        <v>0</v>
      </c>
      <c r="G231" s="17">
        <f t="shared" si="36"/>
        <v>0</v>
      </c>
      <c r="H231" s="17">
        <f t="shared" si="36"/>
        <v>0</v>
      </c>
      <c r="I231" s="17">
        <f t="shared" si="36"/>
        <v>0</v>
      </c>
      <c r="J231" s="17">
        <f t="shared" si="36"/>
        <v>0</v>
      </c>
      <c r="K231" s="17">
        <f t="shared" si="36"/>
        <v>0</v>
      </c>
      <c r="L231" s="17">
        <f t="shared" si="36"/>
        <v>1</v>
      </c>
      <c r="M231" s="17">
        <f t="shared" si="36"/>
        <v>1</v>
      </c>
      <c r="N231" s="17">
        <f t="shared" si="36"/>
        <v>0</v>
      </c>
      <c r="O231" s="17">
        <f t="shared" si="36"/>
        <v>0</v>
      </c>
      <c r="P231" s="17">
        <f t="shared" si="36"/>
        <v>0</v>
      </c>
      <c r="Q231" s="17">
        <f t="shared" si="36"/>
        <v>0</v>
      </c>
      <c r="R231" s="17">
        <f t="shared" si="36"/>
        <v>0</v>
      </c>
      <c r="S231" s="17">
        <f t="shared" si="36"/>
        <v>0</v>
      </c>
      <c r="T231" s="17">
        <f t="shared" si="36"/>
        <v>0</v>
      </c>
      <c r="U231" s="17">
        <f t="shared" si="36"/>
        <v>1</v>
      </c>
      <c r="V231" s="17">
        <f t="shared" si="35"/>
        <v>1</v>
      </c>
      <c r="W231" s="17">
        <f t="shared" si="35"/>
        <v>1</v>
      </c>
      <c r="X231" s="17">
        <f t="shared" si="35"/>
        <v>1</v>
      </c>
      <c r="Y231" s="17">
        <f t="shared" si="35"/>
        <v>1</v>
      </c>
      <c r="Z231" s="17">
        <f t="shared" si="35"/>
        <v>1</v>
      </c>
      <c r="AA231" s="17">
        <f t="shared" si="35"/>
        <v>1</v>
      </c>
      <c r="AB231" s="17">
        <f t="shared" si="35"/>
        <v>0</v>
      </c>
      <c r="AC231" s="17">
        <f t="shared" si="35"/>
        <v>0</v>
      </c>
      <c r="AD231" s="17">
        <f t="shared" si="34"/>
        <v>9</v>
      </c>
    </row>
    <row r="232" spans="4:30" x14ac:dyDescent="0.2">
      <c r="D232" s="37">
        <v>45150</v>
      </c>
      <c r="E232" s="17" t="str">
        <f t="shared" si="32"/>
        <v>weekend</v>
      </c>
      <c r="F232" s="17">
        <f t="shared" si="36"/>
        <v>0</v>
      </c>
      <c r="G232" s="17">
        <f t="shared" si="36"/>
        <v>0</v>
      </c>
      <c r="H232" s="17">
        <f t="shared" si="36"/>
        <v>0</v>
      </c>
      <c r="I232" s="17">
        <f t="shared" si="36"/>
        <v>0</v>
      </c>
      <c r="J232" s="17">
        <f t="shared" si="36"/>
        <v>0</v>
      </c>
      <c r="K232" s="17">
        <f t="shared" si="36"/>
        <v>0</v>
      </c>
      <c r="L232" s="17">
        <f t="shared" si="36"/>
        <v>1</v>
      </c>
      <c r="M232" s="17">
        <f t="shared" si="36"/>
        <v>1</v>
      </c>
      <c r="N232" s="17">
        <f t="shared" si="36"/>
        <v>1</v>
      </c>
      <c r="O232" s="17">
        <f t="shared" si="36"/>
        <v>1</v>
      </c>
      <c r="P232" s="17">
        <f t="shared" si="36"/>
        <v>1</v>
      </c>
      <c r="Q232" s="17">
        <f t="shared" si="36"/>
        <v>1</v>
      </c>
      <c r="R232" s="17">
        <f t="shared" si="36"/>
        <v>1</v>
      </c>
      <c r="S232" s="17">
        <f t="shared" si="36"/>
        <v>1</v>
      </c>
      <c r="T232" s="17">
        <f t="shared" si="36"/>
        <v>1</v>
      </c>
      <c r="U232" s="17">
        <f t="shared" si="36"/>
        <v>1</v>
      </c>
      <c r="V232" s="17">
        <f t="shared" si="35"/>
        <v>1</v>
      </c>
      <c r="W232" s="17">
        <f t="shared" si="35"/>
        <v>1</v>
      </c>
      <c r="X232" s="17">
        <f t="shared" si="35"/>
        <v>1</v>
      </c>
      <c r="Y232" s="17">
        <f t="shared" si="35"/>
        <v>1</v>
      </c>
      <c r="Z232" s="17">
        <f t="shared" si="35"/>
        <v>1</v>
      </c>
      <c r="AA232" s="17">
        <f t="shared" si="35"/>
        <v>1</v>
      </c>
      <c r="AB232" s="17">
        <f t="shared" si="35"/>
        <v>0</v>
      </c>
      <c r="AC232" s="17">
        <f t="shared" si="35"/>
        <v>0</v>
      </c>
      <c r="AD232" s="17">
        <f t="shared" si="34"/>
        <v>16</v>
      </c>
    </row>
    <row r="233" spans="4:30" x14ac:dyDescent="0.2">
      <c r="D233" s="37">
        <v>45151</v>
      </c>
      <c r="E233" s="17" t="str">
        <f t="shared" si="32"/>
        <v>weekend</v>
      </c>
      <c r="F233" s="17">
        <f t="shared" si="36"/>
        <v>0</v>
      </c>
      <c r="G233" s="17">
        <f t="shared" si="36"/>
        <v>0</v>
      </c>
      <c r="H233" s="17">
        <f t="shared" si="36"/>
        <v>0</v>
      </c>
      <c r="I233" s="17">
        <f t="shared" si="36"/>
        <v>0</v>
      </c>
      <c r="J233" s="17">
        <f t="shared" si="36"/>
        <v>0</v>
      </c>
      <c r="K233" s="17">
        <f t="shared" si="36"/>
        <v>0</v>
      </c>
      <c r="L233" s="17">
        <f t="shared" si="36"/>
        <v>1</v>
      </c>
      <c r="M233" s="17">
        <f t="shared" si="36"/>
        <v>1</v>
      </c>
      <c r="N233" s="17">
        <f t="shared" si="36"/>
        <v>1</v>
      </c>
      <c r="O233" s="17">
        <f t="shared" si="36"/>
        <v>1</v>
      </c>
      <c r="P233" s="17">
        <f t="shared" si="36"/>
        <v>1</v>
      </c>
      <c r="Q233" s="17">
        <f t="shared" si="36"/>
        <v>1</v>
      </c>
      <c r="R233" s="17">
        <f t="shared" si="36"/>
        <v>1</v>
      </c>
      <c r="S233" s="17">
        <f t="shared" si="36"/>
        <v>1</v>
      </c>
      <c r="T233" s="17">
        <f t="shared" si="36"/>
        <v>1</v>
      </c>
      <c r="U233" s="17">
        <f t="shared" ref="U233:AC248" si="37">IF($E233=$E$5,(U$5),(U$6))</f>
        <v>1</v>
      </c>
      <c r="V233" s="17">
        <f t="shared" si="37"/>
        <v>1</v>
      </c>
      <c r="W233" s="17">
        <f t="shared" si="37"/>
        <v>1</v>
      </c>
      <c r="X233" s="17">
        <f t="shared" si="37"/>
        <v>1</v>
      </c>
      <c r="Y233" s="17">
        <f t="shared" si="37"/>
        <v>1</v>
      </c>
      <c r="Z233" s="17">
        <f t="shared" si="37"/>
        <v>1</v>
      </c>
      <c r="AA233" s="17">
        <f t="shared" si="37"/>
        <v>1</v>
      </c>
      <c r="AB233" s="17">
        <f t="shared" si="37"/>
        <v>0</v>
      </c>
      <c r="AC233" s="17">
        <f t="shared" si="37"/>
        <v>0</v>
      </c>
      <c r="AD233" s="17">
        <f t="shared" si="34"/>
        <v>16</v>
      </c>
    </row>
    <row r="234" spans="4:30" x14ac:dyDescent="0.2">
      <c r="D234" s="37">
        <v>45152</v>
      </c>
      <c r="E234" s="17" t="str">
        <f t="shared" si="32"/>
        <v>weekday</v>
      </c>
      <c r="F234" s="17">
        <f t="shared" ref="F234:U249" si="38">IF($E234=$E$5,(F$5),(F$6))</f>
        <v>0</v>
      </c>
      <c r="G234" s="17">
        <f t="shared" si="38"/>
        <v>0</v>
      </c>
      <c r="H234" s="17">
        <f t="shared" si="38"/>
        <v>0</v>
      </c>
      <c r="I234" s="17">
        <f t="shared" si="38"/>
        <v>0</v>
      </c>
      <c r="J234" s="17">
        <f t="shared" si="38"/>
        <v>0</v>
      </c>
      <c r="K234" s="17">
        <f t="shared" si="38"/>
        <v>0</v>
      </c>
      <c r="L234" s="17">
        <f t="shared" si="38"/>
        <v>1</v>
      </c>
      <c r="M234" s="17">
        <f t="shared" si="38"/>
        <v>1</v>
      </c>
      <c r="N234" s="17">
        <f t="shared" si="38"/>
        <v>0</v>
      </c>
      <c r="O234" s="17">
        <f t="shared" si="38"/>
        <v>0</v>
      </c>
      <c r="P234" s="17">
        <f t="shared" si="38"/>
        <v>0</v>
      </c>
      <c r="Q234" s="17">
        <f t="shared" si="38"/>
        <v>0</v>
      </c>
      <c r="R234" s="17">
        <f t="shared" si="38"/>
        <v>0</v>
      </c>
      <c r="S234" s="17">
        <f t="shared" si="38"/>
        <v>0</v>
      </c>
      <c r="T234" s="17">
        <f t="shared" si="38"/>
        <v>0</v>
      </c>
      <c r="U234" s="17">
        <f t="shared" si="38"/>
        <v>1</v>
      </c>
      <c r="V234" s="17">
        <f t="shared" si="37"/>
        <v>1</v>
      </c>
      <c r="W234" s="17">
        <f t="shared" si="37"/>
        <v>1</v>
      </c>
      <c r="X234" s="17">
        <f t="shared" si="37"/>
        <v>1</v>
      </c>
      <c r="Y234" s="17">
        <f t="shared" si="37"/>
        <v>1</v>
      </c>
      <c r="Z234" s="17">
        <f t="shared" si="37"/>
        <v>1</v>
      </c>
      <c r="AA234" s="17">
        <f t="shared" si="37"/>
        <v>1</v>
      </c>
      <c r="AB234" s="17">
        <f t="shared" si="37"/>
        <v>0</v>
      </c>
      <c r="AC234" s="17">
        <f t="shared" si="37"/>
        <v>0</v>
      </c>
      <c r="AD234" s="17">
        <f t="shared" si="34"/>
        <v>9</v>
      </c>
    </row>
    <row r="235" spans="4:30" x14ac:dyDescent="0.2">
      <c r="D235" s="37">
        <v>45153</v>
      </c>
      <c r="E235" s="17" t="str">
        <f t="shared" si="32"/>
        <v>weekday</v>
      </c>
      <c r="F235" s="17">
        <f t="shared" si="38"/>
        <v>0</v>
      </c>
      <c r="G235" s="17">
        <f t="shared" si="38"/>
        <v>0</v>
      </c>
      <c r="H235" s="17">
        <f t="shared" si="38"/>
        <v>0</v>
      </c>
      <c r="I235" s="17">
        <f t="shared" si="38"/>
        <v>0</v>
      </c>
      <c r="J235" s="17">
        <f t="shared" si="38"/>
        <v>0</v>
      </c>
      <c r="K235" s="17">
        <f t="shared" si="38"/>
        <v>0</v>
      </c>
      <c r="L235" s="17">
        <f t="shared" si="38"/>
        <v>1</v>
      </c>
      <c r="M235" s="17">
        <f t="shared" si="38"/>
        <v>1</v>
      </c>
      <c r="N235" s="17">
        <f t="shared" si="38"/>
        <v>0</v>
      </c>
      <c r="O235" s="17">
        <f t="shared" si="38"/>
        <v>0</v>
      </c>
      <c r="P235" s="17">
        <f t="shared" si="38"/>
        <v>0</v>
      </c>
      <c r="Q235" s="17">
        <f t="shared" si="38"/>
        <v>0</v>
      </c>
      <c r="R235" s="17">
        <f t="shared" si="38"/>
        <v>0</v>
      </c>
      <c r="S235" s="17">
        <f t="shared" si="38"/>
        <v>0</v>
      </c>
      <c r="T235" s="17">
        <f t="shared" si="38"/>
        <v>0</v>
      </c>
      <c r="U235" s="17">
        <f t="shared" si="38"/>
        <v>1</v>
      </c>
      <c r="V235" s="17">
        <f t="shared" si="37"/>
        <v>1</v>
      </c>
      <c r="W235" s="17">
        <f t="shared" si="37"/>
        <v>1</v>
      </c>
      <c r="X235" s="17">
        <f t="shared" si="37"/>
        <v>1</v>
      </c>
      <c r="Y235" s="17">
        <f t="shared" si="37"/>
        <v>1</v>
      </c>
      <c r="Z235" s="17">
        <f t="shared" si="37"/>
        <v>1</v>
      </c>
      <c r="AA235" s="17">
        <f t="shared" si="37"/>
        <v>1</v>
      </c>
      <c r="AB235" s="17">
        <f t="shared" si="37"/>
        <v>0</v>
      </c>
      <c r="AC235" s="17">
        <f t="shared" si="37"/>
        <v>0</v>
      </c>
      <c r="AD235" s="17">
        <f t="shared" si="34"/>
        <v>9</v>
      </c>
    </row>
    <row r="236" spans="4:30" x14ac:dyDescent="0.2">
      <c r="D236" s="37">
        <v>45154</v>
      </c>
      <c r="E236" s="17" t="str">
        <f t="shared" si="32"/>
        <v>weekday</v>
      </c>
      <c r="F236" s="17">
        <f t="shared" si="38"/>
        <v>0</v>
      </c>
      <c r="G236" s="17">
        <f t="shared" si="38"/>
        <v>0</v>
      </c>
      <c r="H236" s="17">
        <f t="shared" si="38"/>
        <v>0</v>
      </c>
      <c r="I236" s="17">
        <f t="shared" si="38"/>
        <v>0</v>
      </c>
      <c r="J236" s="17">
        <f t="shared" si="38"/>
        <v>0</v>
      </c>
      <c r="K236" s="17">
        <f t="shared" si="38"/>
        <v>0</v>
      </c>
      <c r="L236" s="17">
        <f t="shared" si="38"/>
        <v>1</v>
      </c>
      <c r="M236" s="17">
        <f t="shared" si="38"/>
        <v>1</v>
      </c>
      <c r="N236" s="17">
        <f t="shared" si="38"/>
        <v>0</v>
      </c>
      <c r="O236" s="17">
        <f t="shared" si="38"/>
        <v>0</v>
      </c>
      <c r="P236" s="17">
        <f t="shared" si="38"/>
        <v>0</v>
      </c>
      <c r="Q236" s="17">
        <f t="shared" si="38"/>
        <v>0</v>
      </c>
      <c r="R236" s="17">
        <f t="shared" si="38"/>
        <v>0</v>
      </c>
      <c r="S236" s="17">
        <f t="shared" si="38"/>
        <v>0</v>
      </c>
      <c r="T236" s="17">
        <f t="shared" si="38"/>
        <v>0</v>
      </c>
      <c r="U236" s="17">
        <f t="shared" si="38"/>
        <v>1</v>
      </c>
      <c r="V236" s="17">
        <f t="shared" si="37"/>
        <v>1</v>
      </c>
      <c r="W236" s="17">
        <f t="shared" si="37"/>
        <v>1</v>
      </c>
      <c r="X236" s="17">
        <f t="shared" si="37"/>
        <v>1</v>
      </c>
      <c r="Y236" s="17">
        <f t="shared" si="37"/>
        <v>1</v>
      </c>
      <c r="Z236" s="17">
        <f t="shared" si="37"/>
        <v>1</v>
      </c>
      <c r="AA236" s="17">
        <f t="shared" si="37"/>
        <v>1</v>
      </c>
      <c r="AB236" s="17">
        <f t="shared" si="37"/>
        <v>0</v>
      </c>
      <c r="AC236" s="17">
        <f t="shared" si="37"/>
        <v>0</v>
      </c>
      <c r="AD236" s="17">
        <f t="shared" si="34"/>
        <v>9</v>
      </c>
    </row>
    <row r="237" spans="4:30" x14ac:dyDescent="0.2">
      <c r="D237" s="37">
        <v>45155</v>
      </c>
      <c r="E237" s="17" t="str">
        <f t="shared" si="32"/>
        <v>weekday</v>
      </c>
      <c r="F237" s="17">
        <f t="shared" si="38"/>
        <v>0</v>
      </c>
      <c r="G237" s="17">
        <f t="shared" si="38"/>
        <v>0</v>
      </c>
      <c r="H237" s="17">
        <f t="shared" si="38"/>
        <v>0</v>
      </c>
      <c r="I237" s="17">
        <f t="shared" si="38"/>
        <v>0</v>
      </c>
      <c r="J237" s="17">
        <f t="shared" si="38"/>
        <v>0</v>
      </c>
      <c r="K237" s="17">
        <f t="shared" si="38"/>
        <v>0</v>
      </c>
      <c r="L237" s="17">
        <f t="shared" si="38"/>
        <v>1</v>
      </c>
      <c r="M237" s="17">
        <f t="shared" si="38"/>
        <v>1</v>
      </c>
      <c r="N237" s="17">
        <f t="shared" si="38"/>
        <v>0</v>
      </c>
      <c r="O237" s="17">
        <f t="shared" si="38"/>
        <v>0</v>
      </c>
      <c r="P237" s="17">
        <f t="shared" si="38"/>
        <v>0</v>
      </c>
      <c r="Q237" s="17">
        <f t="shared" si="38"/>
        <v>0</v>
      </c>
      <c r="R237" s="17">
        <f t="shared" si="38"/>
        <v>0</v>
      </c>
      <c r="S237" s="17">
        <f t="shared" si="38"/>
        <v>0</v>
      </c>
      <c r="T237" s="17">
        <f t="shared" si="38"/>
        <v>0</v>
      </c>
      <c r="U237" s="17">
        <f t="shared" si="38"/>
        <v>1</v>
      </c>
      <c r="V237" s="17">
        <f t="shared" si="37"/>
        <v>1</v>
      </c>
      <c r="W237" s="17">
        <f t="shared" si="37"/>
        <v>1</v>
      </c>
      <c r="X237" s="17">
        <f t="shared" si="37"/>
        <v>1</v>
      </c>
      <c r="Y237" s="17">
        <f t="shared" si="37"/>
        <v>1</v>
      </c>
      <c r="Z237" s="17">
        <f t="shared" si="37"/>
        <v>1</v>
      </c>
      <c r="AA237" s="17">
        <f t="shared" si="37"/>
        <v>1</v>
      </c>
      <c r="AB237" s="17">
        <f t="shared" si="37"/>
        <v>0</v>
      </c>
      <c r="AC237" s="17">
        <f t="shared" si="37"/>
        <v>0</v>
      </c>
      <c r="AD237" s="17">
        <f t="shared" si="34"/>
        <v>9</v>
      </c>
    </row>
    <row r="238" spans="4:30" x14ac:dyDescent="0.2">
      <c r="D238" s="37">
        <v>45156</v>
      </c>
      <c r="E238" s="17" t="str">
        <f t="shared" si="32"/>
        <v>weekday</v>
      </c>
      <c r="F238" s="17">
        <f t="shared" si="38"/>
        <v>0</v>
      </c>
      <c r="G238" s="17">
        <f t="shared" si="38"/>
        <v>0</v>
      </c>
      <c r="H238" s="17">
        <f t="shared" si="38"/>
        <v>0</v>
      </c>
      <c r="I238" s="17">
        <f t="shared" si="38"/>
        <v>0</v>
      </c>
      <c r="J238" s="17">
        <f t="shared" si="38"/>
        <v>0</v>
      </c>
      <c r="K238" s="17">
        <f t="shared" si="38"/>
        <v>0</v>
      </c>
      <c r="L238" s="17">
        <f t="shared" si="38"/>
        <v>1</v>
      </c>
      <c r="M238" s="17">
        <f t="shared" si="38"/>
        <v>1</v>
      </c>
      <c r="N238" s="17">
        <f t="shared" si="38"/>
        <v>0</v>
      </c>
      <c r="O238" s="17">
        <f t="shared" si="38"/>
        <v>0</v>
      </c>
      <c r="P238" s="17">
        <f t="shared" si="38"/>
        <v>0</v>
      </c>
      <c r="Q238" s="17">
        <f t="shared" si="38"/>
        <v>0</v>
      </c>
      <c r="R238" s="17">
        <f t="shared" si="38"/>
        <v>0</v>
      </c>
      <c r="S238" s="17">
        <f t="shared" si="38"/>
        <v>0</v>
      </c>
      <c r="T238" s="17">
        <f t="shared" si="38"/>
        <v>0</v>
      </c>
      <c r="U238" s="17">
        <f t="shared" si="38"/>
        <v>1</v>
      </c>
      <c r="V238" s="17">
        <f t="shared" si="37"/>
        <v>1</v>
      </c>
      <c r="W238" s="17">
        <f t="shared" si="37"/>
        <v>1</v>
      </c>
      <c r="X238" s="17">
        <f t="shared" si="37"/>
        <v>1</v>
      </c>
      <c r="Y238" s="17">
        <f t="shared" si="37"/>
        <v>1</v>
      </c>
      <c r="Z238" s="17">
        <f t="shared" si="37"/>
        <v>1</v>
      </c>
      <c r="AA238" s="17">
        <f t="shared" si="37"/>
        <v>1</v>
      </c>
      <c r="AB238" s="17">
        <f t="shared" si="37"/>
        <v>0</v>
      </c>
      <c r="AC238" s="17">
        <f t="shared" si="37"/>
        <v>0</v>
      </c>
      <c r="AD238" s="17">
        <f t="shared" si="34"/>
        <v>9</v>
      </c>
    </row>
    <row r="239" spans="4:30" x14ac:dyDescent="0.2">
      <c r="D239" s="37">
        <v>45157</v>
      </c>
      <c r="E239" s="17" t="str">
        <f t="shared" si="32"/>
        <v>weekend</v>
      </c>
      <c r="F239" s="17">
        <f t="shared" si="38"/>
        <v>0</v>
      </c>
      <c r="G239" s="17">
        <f t="shared" si="38"/>
        <v>0</v>
      </c>
      <c r="H239" s="17">
        <f t="shared" si="38"/>
        <v>0</v>
      </c>
      <c r="I239" s="17">
        <f t="shared" si="38"/>
        <v>0</v>
      </c>
      <c r="J239" s="17">
        <f t="shared" si="38"/>
        <v>0</v>
      </c>
      <c r="K239" s="17">
        <f t="shared" si="38"/>
        <v>0</v>
      </c>
      <c r="L239" s="17">
        <f t="shared" si="38"/>
        <v>1</v>
      </c>
      <c r="M239" s="17">
        <f t="shared" si="38"/>
        <v>1</v>
      </c>
      <c r="N239" s="17">
        <f t="shared" si="38"/>
        <v>1</v>
      </c>
      <c r="O239" s="17">
        <f t="shared" si="38"/>
        <v>1</v>
      </c>
      <c r="P239" s="17">
        <f t="shared" si="38"/>
        <v>1</v>
      </c>
      <c r="Q239" s="17">
        <f t="shared" si="38"/>
        <v>1</v>
      </c>
      <c r="R239" s="17">
        <f t="shared" si="38"/>
        <v>1</v>
      </c>
      <c r="S239" s="17">
        <f t="shared" si="38"/>
        <v>1</v>
      </c>
      <c r="T239" s="17">
        <f t="shared" si="38"/>
        <v>1</v>
      </c>
      <c r="U239" s="17">
        <f t="shared" si="38"/>
        <v>1</v>
      </c>
      <c r="V239" s="17">
        <f t="shared" si="37"/>
        <v>1</v>
      </c>
      <c r="W239" s="17">
        <f t="shared" si="37"/>
        <v>1</v>
      </c>
      <c r="X239" s="17">
        <f t="shared" si="37"/>
        <v>1</v>
      </c>
      <c r="Y239" s="17">
        <f t="shared" si="37"/>
        <v>1</v>
      </c>
      <c r="Z239" s="17">
        <f t="shared" si="37"/>
        <v>1</v>
      </c>
      <c r="AA239" s="17">
        <f t="shared" si="37"/>
        <v>1</v>
      </c>
      <c r="AB239" s="17">
        <f t="shared" si="37"/>
        <v>0</v>
      </c>
      <c r="AC239" s="17">
        <f t="shared" si="37"/>
        <v>0</v>
      </c>
      <c r="AD239" s="17">
        <f t="shared" si="34"/>
        <v>16</v>
      </c>
    </row>
    <row r="240" spans="4:30" x14ac:dyDescent="0.2">
      <c r="D240" s="37">
        <v>45158</v>
      </c>
      <c r="E240" s="17" t="str">
        <f t="shared" si="32"/>
        <v>weekend</v>
      </c>
      <c r="F240" s="17">
        <f t="shared" si="38"/>
        <v>0</v>
      </c>
      <c r="G240" s="17">
        <f t="shared" si="38"/>
        <v>0</v>
      </c>
      <c r="H240" s="17">
        <f t="shared" si="38"/>
        <v>0</v>
      </c>
      <c r="I240" s="17">
        <f t="shared" si="38"/>
        <v>0</v>
      </c>
      <c r="J240" s="17">
        <f t="shared" si="38"/>
        <v>0</v>
      </c>
      <c r="K240" s="17">
        <f t="shared" si="38"/>
        <v>0</v>
      </c>
      <c r="L240" s="17">
        <f t="shared" si="38"/>
        <v>1</v>
      </c>
      <c r="M240" s="17">
        <f t="shared" si="38"/>
        <v>1</v>
      </c>
      <c r="N240" s="17">
        <f t="shared" si="38"/>
        <v>1</v>
      </c>
      <c r="O240" s="17">
        <f t="shared" si="38"/>
        <v>1</v>
      </c>
      <c r="P240" s="17">
        <f t="shared" si="38"/>
        <v>1</v>
      </c>
      <c r="Q240" s="17">
        <f t="shared" si="38"/>
        <v>1</v>
      </c>
      <c r="R240" s="17">
        <f t="shared" si="38"/>
        <v>1</v>
      </c>
      <c r="S240" s="17">
        <f t="shared" si="38"/>
        <v>1</v>
      </c>
      <c r="T240" s="17">
        <f t="shared" si="38"/>
        <v>1</v>
      </c>
      <c r="U240" s="17">
        <f t="shared" si="38"/>
        <v>1</v>
      </c>
      <c r="V240" s="17">
        <f t="shared" si="37"/>
        <v>1</v>
      </c>
      <c r="W240" s="17">
        <f t="shared" si="37"/>
        <v>1</v>
      </c>
      <c r="X240" s="17">
        <f t="shared" si="37"/>
        <v>1</v>
      </c>
      <c r="Y240" s="17">
        <f t="shared" si="37"/>
        <v>1</v>
      </c>
      <c r="Z240" s="17">
        <f t="shared" si="37"/>
        <v>1</v>
      </c>
      <c r="AA240" s="17">
        <f t="shared" si="37"/>
        <v>1</v>
      </c>
      <c r="AB240" s="17">
        <f t="shared" si="37"/>
        <v>0</v>
      </c>
      <c r="AC240" s="17">
        <f t="shared" si="37"/>
        <v>0</v>
      </c>
      <c r="AD240" s="17">
        <f t="shared" si="34"/>
        <v>16</v>
      </c>
    </row>
    <row r="241" spans="4:30" x14ac:dyDescent="0.2">
      <c r="D241" s="37">
        <v>45159</v>
      </c>
      <c r="E241" s="17" t="str">
        <f t="shared" si="32"/>
        <v>weekday</v>
      </c>
      <c r="F241" s="17">
        <f t="shared" si="38"/>
        <v>0</v>
      </c>
      <c r="G241" s="17">
        <f t="shared" si="38"/>
        <v>0</v>
      </c>
      <c r="H241" s="17">
        <f t="shared" si="38"/>
        <v>0</v>
      </c>
      <c r="I241" s="17">
        <f t="shared" si="38"/>
        <v>0</v>
      </c>
      <c r="J241" s="17">
        <f t="shared" si="38"/>
        <v>0</v>
      </c>
      <c r="K241" s="17">
        <f t="shared" si="38"/>
        <v>0</v>
      </c>
      <c r="L241" s="17">
        <f t="shared" si="38"/>
        <v>1</v>
      </c>
      <c r="M241" s="17">
        <f t="shared" si="38"/>
        <v>1</v>
      </c>
      <c r="N241" s="17">
        <f t="shared" si="38"/>
        <v>0</v>
      </c>
      <c r="O241" s="17">
        <f t="shared" si="38"/>
        <v>0</v>
      </c>
      <c r="P241" s="17">
        <f t="shared" si="38"/>
        <v>0</v>
      </c>
      <c r="Q241" s="17">
        <f t="shared" si="38"/>
        <v>0</v>
      </c>
      <c r="R241" s="17">
        <f t="shared" si="38"/>
        <v>0</v>
      </c>
      <c r="S241" s="17">
        <f t="shared" si="38"/>
        <v>0</v>
      </c>
      <c r="T241" s="17">
        <f t="shared" si="38"/>
        <v>0</v>
      </c>
      <c r="U241" s="17">
        <f t="shared" si="38"/>
        <v>1</v>
      </c>
      <c r="V241" s="17">
        <f t="shared" si="37"/>
        <v>1</v>
      </c>
      <c r="W241" s="17">
        <f t="shared" si="37"/>
        <v>1</v>
      </c>
      <c r="X241" s="17">
        <f t="shared" si="37"/>
        <v>1</v>
      </c>
      <c r="Y241" s="17">
        <f t="shared" si="37"/>
        <v>1</v>
      </c>
      <c r="Z241" s="17">
        <f t="shared" si="37"/>
        <v>1</v>
      </c>
      <c r="AA241" s="17">
        <f t="shared" si="37"/>
        <v>1</v>
      </c>
      <c r="AB241" s="17">
        <f t="shared" si="37"/>
        <v>0</v>
      </c>
      <c r="AC241" s="17">
        <f t="shared" si="37"/>
        <v>0</v>
      </c>
      <c r="AD241" s="17">
        <f t="shared" si="34"/>
        <v>9</v>
      </c>
    </row>
    <row r="242" spans="4:30" x14ac:dyDescent="0.2">
      <c r="D242" s="37">
        <v>45160</v>
      </c>
      <c r="E242" s="17" t="str">
        <f t="shared" si="32"/>
        <v>weekday</v>
      </c>
      <c r="F242" s="17">
        <f t="shared" si="38"/>
        <v>0</v>
      </c>
      <c r="G242" s="17">
        <f t="shared" si="38"/>
        <v>0</v>
      </c>
      <c r="H242" s="17">
        <f t="shared" si="38"/>
        <v>0</v>
      </c>
      <c r="I242" s="17">
        <f t="shared" si="38"/>
        <v>0</v>
      </c>
      <c r="J242" s="17">
        <f t="shared" si="38"/>
        <v>0</v>
      </c>
      <c r="K242" s="17">
        <f t="shared" si="38"/>
        <v>0</v>
      </c>
      <c r="L242" s="17">
        <f t="shared" si="38"/>
        <v>1</v>
      </c>
      <c r="M242" s="17">
        <f t="shared" si="38"/>
        <v>1</v>
      </c>
      <c r="N242" s="17">
        <f t="shared" si="38"/>
        <v>0</v>
      </c>
      <c r="O242" s="17">
        <f t="shared" si="38"/>
        <v>0</v>
      </c>
      <c r="P242" s="17">
        <f t="shared" si="38"/>
        <v>0</v>
      </c>
      <c r="Q242" s="17">
        <f t="shared" si="38"/>
        <v>0</v>
      </c>
      <c r="R242" s="17">
        <f t="shared" si="38"/>
        <v>0</v>
      </c>
      <c r="S242" s="17">
        <f t="shared" si="38"/>
        <v>0</v>
      </c>
      <c r="T242" s="17">
        <f t="shared" si="38"/>
        <v>0</v>
      </c>
      <c r="U242" s="17">
        <f t="shared" si="38"/>
        <v>1</v>
      </c>
      <c r="V242" s="17">
        <f t="shared" si="37"/>
        <v>1</v>
      </c>
      <c r="W242" s="17">
        <f t="shared" si="37"/>
        <v>1</v>
      </c>
      <c r="X242" s="17">
        <f t="shared" si="37"/>
        <v>1</v>
      </c>
      <c r="Y242" s="17">
        <f t="shared" si="37"/>
        <v>1</v>
      </c>
      <c r="Z242" s="17">
        <f t="shared" si="37"/>
        <v>1</v>
      </c>
      <c r="AA242" s="17">
        <f t="shared" si="37"/>
        <v>1</v>
      </c>
      <c r="AB242" s="17">
        <f t="shared" si="37"/>
        <v>0</v>
      </c>
      <c r="AC242" s="17">
        <f t="shared" si="37"/>
        <v>0</v>
      </c>
      <c r="AD242" s="17">
        <f t="shared" si="34"/>
        <v>9</v>
      </c>
    </row>
    <row r="243" spans="4:30" x14ac:dyDescent="0.2">
      <c r="D243" s="37">
        <v>45161</v>
      </c>
      <c r="E243" s="17" t="str">
        <f t="shared" si="32"/>
        <v>weekday</v>
      </c>
      <c r="F243" s="17">
        <f t="shared" si="38"/>
        <v>0</v>
      </c>
      <c r="G243" s="17">
        <f t="shared" si="38"/>
        <v>0</v>
      </c>
      <c r="H243" s="17">
        <f t="shared" si="38"/>
        <v>0</v>
      </c>
      <c r="I243" s="17">
        <f t="shared" si="38"/>
        <v>0</v>
      </c>
      <c r="J243" s="17">
        <f t="shared" si="38"/>
        <v>0</v>
      </c>
      <c r="K243" s="17">
        <f t="shared" si="38"/>
        <v>0</v>
      </c>
      <c r="L243" s="17">
        <f t="shared" si="38"/>
        <v>1</v>
      </c>
      <c r="M243" s="17">
        <f t="shared" si="38"/>
        <v>1</v>
      </c>
      <c r="N243" s="17">
        <f t="shared" si="38"/>
        <v>0</v>
      </c>
      <c r="O243" s="17">
        <f t="shared" si="38"/>
        <v>0</v>
      </c>
      <c r="P243" s="17">
        <f t="shared" si="38"/>
        <v>0</v>
      </c>
      <c r="Q243" s="17">
        <f t="shared" si="38"/>
        <v>0</v>
      </c>
      <c r="R243" s="17">
        <f t="shared" si="38"/>
        <v>0</v>
      </c>
      <c r="S243" s="17">
        <f t="shared" si="38"/>
        <v>0</v>
      </c>
      <c r="T243" s="17">
        <f t="shared" si="38"/>
        <v>0</v>
      </c>
      <c r="U243" s="17">
        <f t="shared" si="38"/>
        <v>1</v>
      </c>
      <c r="V243" s="17">
        <f t="shared" si="37"/>
        <v>1</v>
      </c>
      <c r="W243" s="17">
        <f t="shared" si="37"/>
        <v>1</v>
      </c>
      <c r="X243" s="17">
        <f t="shared" si="37"/>
        <v>1</v>
      </c>
      <c r="Y243" s="17">
        <f t="shared" si="37"/>
        <v>1</v>
      </c>
      <c r="Z243" s="17">
        <f t="shared" si="37"/>
        <v>1</v>
      </c>
      <c r="AA243" s="17">
        <f t="shared" si="37"/>
        <v>1</v>
      </c>
      <c r="AB243" s="17">
        <f t="shared" si="37"/>
        <v>0</v>
      </c>
      <c r="AC243" s="17">
        <f t="shared" si="37"/>
        <v>0</v>
      </c>
      <c r="AD243" s="17">
        <f t="shared" si="34"/>
        <v>9</v>
      </c>
    </row>
    <row r="244" spans="4:30" x14ac:dyDescent="0.2">
      <c r="D244" s="37">
        <v>45162</v>
      </c>
      <c r="E244" s="17" t="str">
        <f t="shared" si="32"/>
        <v>weekday</v>
      </c>
      <c r="F244" s="17">
        <f t="shared" si="38"/>
        <v>0</v>
      </c>
      <c r="G244" s="17">
        <f t="shared" si="38"/>
        <v>0</v>
      </c>
      <c r="H244" s="17">
        <f t="shared" si="38"/>
        <v>0</v>
      </c>
      <c r="I244" s="17">
        <f t="shared" si="38"/>
        <v>0</v>
      </c>
      <c r="J244" s="17">
        <f t="shared" si="38"/>
        <v>0</v>
      </c>
      <c r="K244" s="17">
        <f t="shared" si="38"/>
        <v>0</v>
      </c>
      <c r="L244" s="17">
        <f t="shared" si="38"/>
        <v>1</v>
      </c>
      <c r="M244" s="17">
        <f t="shared" si="38"/>
        <v>1</v>
      </c>
      <c r="N244" s="17">
        <f t="shared" si="38"/>
        <v>0</v>
      </c>
      <c r="O244" s="17">
        <f t="shared" si="38"/>
        <v>0</v>
      </c>
      <c r="P244" s="17">
        <f t="shared" si="38"/>
        <v>0</v>
      </c>
      <c r="Q244" s="17">
        <f t="shared" si="38"/>
        <v>0</v>
      </c>
      <c r="R244" s="17">
        <f t="shared" si="38"/>
        <v>0</v>
      </c>
      <c r="S244" s="17">
        <f t="shared" si="38"/>
        <v>0</v>
      </c>
      <c r="T244" s="17">
        <f t="shared" si="38"/>
        <v>0</v>
      </c>
      <c r="U244" s="17">
        <f t="shared" si="38"/>
        <v>1</v>
      </c>
      <c r="V244" s="17">
        <f t="shared" si="37"/>
        <v>1</v>
      </c>
      <c r="W244" s="17">
        <f t="shared" si="37"/>
        <v>1</v>
      </c>
      <c r="X244" s="17">
        <f t="shared" si="37"/>
        <v>1</v>
      </c>
      <c r="Y244" s="17">
        <f t="shared" si="37"/>
        <v>1</v>
      </c>
      <c r="Z244" s="17">
        <f t="shared" si="37"/>
        <v>1</v>
      </c>
      <c r="AA244" s="17">
        <f t="shared" si="37"/>
        <v>1</v>
      </c>
      <c r="AB244" s="17">
        <f t="shared" si="37"/>
        <v>0</v>
      </c>
      <c r="AC244" s="17">
        <f t="shared" si="37"/>
        <v>0</v>
      </c>
      <c r="AD244" s="17">
        <f t="shared" si="34"/>
        <v>9</v>
      </c>
    </row>
    <row r="245" spans="4:30" x14ac:dyDescent="0.2">
      <c r="D245" s="37">
        <v>45163</v>
      </c>
      <c r="E245" s="17" t="str">
        <f t="shared" si="32"/>
        <v>weekday</v>
      </c>
      <c r="F245" s="17">
        <f t="shared" si="38"/>
        <v>0</v>
      </c>
      <c r="G245" s="17">
        <f t="shared" si="38"/>
        <v>0</v>
      </c>
      <c r="H245" s="17">
        <f t="shared" si="38"/>
        <v>0</v>
      </c>
      <c r="I245" s="17">
        <f t="shared" si="38"/>
        <v>0</v>
      </c>
      <c r="J245" s="17">
        <f t="shared" si="38"/>
        <v>0</v>
      </c>
      <c r="K245" s="17">
        <f t="shared" si="38"/>
        <v>0</v>
      </c>
      <c r="L245" s="17">
        <f t="shared" si="38"/>
        <v>1</v>
      </c>
      <c r="M245" s="17">
        <f t="shared" si="38"/>
        <v>1</v>
      </c>
      <c r="N245" s="17">
        <f t="shared" si="38"/>
        <v>0</v>
      </c>
      <c r="O245" s="17">
        <f t="shared" si="38"/>
        <v>0</v>
      </c>
      <c r="P245" s="17">
        <f t="shared" si="38"/>
        <v>0</v>
      </c>
      <c r="Q245" s="17">
        <f t="shared" si="38"/>
        <v>0</v>
      </c>
      <c r="R245" s="17">
        <f t="shared" si="38"/>
        <v>0</v>
      </c>
      <c r="S245" s="17">
        <f t="shared" si="38"/>
        <v>0</v>
      </c>
      <c r="T245" s="17">
        <f t="shared" si="38"/>
        <v>0</v>
      </c>
      <c r="U245" s="17">
        <f t="shared" si="38"/>
        <v>1</v>
      </c>
      <c r="V245" s="17">
        <f t="shared" si="37"/>
        <v>1</v>
      </c>
      <c r="W245" s="17">
        <f t="shared" si="37"/>
        <v>1</v>
      </c>
      <c r="X245" s="17">
        <f t="shared" si="37"/>
        <v>1</v>
      </c>
      <c r="Y245" s="17">
        <f t="shared" si="37"/>
        <v>1</v>
      </c>
      <c r="Z245" s="17">
        <f t="shared" si="37"/>
        <v>1</v>
      </c>
      <c r="AA245" s="17">
        <f t="shared" si="37"/>
        <v>1</v>
      </c>
      <c r="AB245" s="17">
        <f t="shared" si="37"/>
        <v>0</v>
      </c>
      <c r="AC245" s="17">
        <f t="shared" si="37"/>
        <v>0</v>
      </c>
      <c r="AD245" s="17">
        <f t="shared" si="34"/>
        <v>9</v>
      </c>
    </row>
    <row r="246" spans="4:30" x14ac:dyDescent="0.2">
      <c r="D246" s="37">
        <v>45164</v>
      </c>
      <c r="E246" s="17" t="str">
        <f t="shared" si="32"/>
        <v>weekend</v>
      </c>
      <c r="F246" s="17">
        <f t="shared" si="38"/>
        <v>0</v>
      </c>
      <c r="G246" s="17">
        <f t="shared" si="38"/>
        <v>0</v>
      </c>
      <c r="H246" s="17">
        <f t="shared" si="38"/>
        <v>0</v>
      </c>
      <c r="I246" s="17">
        <f t="shared" si="38"/>
        <v>0</v>
      </c>
      <c r="J246" s="17">
        <f t="shared" si="38"/>
        <v>0</v>
      </c>
      <c r="K246" s="17">
        <f t="shared" si="38"/>
        <v>0</v>
      </c>
      <c r="L246" s="17">
        <f t="shared" si="38"/>
        <v>1</v>
      </c>
      <c r="M246" s="17">
        <f t="shared" si="38"/>
        <v>1</v>
      </c>
      <c r="N246" s="17">
        <f t="shared" si="38"/>
        <v>1</v>
      </c>
      <c r="O246" s="17">
        <f t="shared" si="38"/>
        <v>1</v>
      </c>
      <c r="P246" s="17">
        <f t="shared" si="38"/>
        <v>1</v>
      </c>
      <c r="Q246" s="17">
        <f t="shared" si="38"/>
        <v>1</v>
      </c>
      <c r="R246" s="17">
        <f t="shared" si="38"/>
        <v>1</v>
      </c>
      <c r="S246" s="17">
        <f t="shared" si="38"/>
        <v>1</v>
      </c>
      <c r="T246" s="17">
        <f t="shared" si="38"/>
        <v>1</v>
      </c>
      <c r="U246" s="17">
        <f t="shared" si="38"/>
        <v>1</v>
      </c>
      <c r="V246" s="17">
        <f t="shared" si="37"/>
        <v>1</v>
      </c>
      <c r="W246" s="17">
        <f t="shared" si="37"/>
        <v>1</v>
      </c>
      <c r="X246" s="17">
        <f t="shared" si="37"/>
        <v>1</v>
      </c>
      <c r="Y246" s="17">
        <f t="shared" si="37"/>
        <v>1</v>
      </c>
      <c r="Z246" s="17">
        <f t="shared" si="37"/>
        <v>1</v>
      </c>
      <c r="AA246" s="17">
        <f t="shared" si="37"/>
        <v>1</v>
      </c>
      <c r="AB246" s="17">
        <f t="shared" si="37"/>
        <v>0</v>
      </c>
      <c r="AC246" s="17">
        <f t="shared" si="37"/>
        <v>0</v>
      </c>
      <c r="AD246" s="17">
        <f t="shared" si="34"/>
        <v>16</v>
      </c>
    </row>
    <row r="247" spans="4:30" x14ac:dyDescent="0.2">
      <c r="D247" s="37">
        <v>45165</v>
      </c>
      <c r="E247" s="17" t="str">
        <f t="shared" si="32"/>
        <v>weekend</v>
      </c>
      <c r="F247" s="17">
        <f t="shared" si="38"/>
        <v>0</v>
      </c>
      <c r="G247" s="17">
        <f t="shared" si="38"/>
        <v>0</v>
      </c>
      <c r="H247" s="17">
        <f t="shared" si="38"/>
        <v>0</v>
      </c>
      <c r="I247" s="17">
        <f t="shared" si="38"/>
        <v>0</v>
      </c>
      <c r="J247" s="17">
        <f t="shared" si="38"/>
        <v>0</v>
      </c>
      <c r="K247" s="17">
        <f t="shared" si="38"/>
        <v>0</v>
      </c>
      <c r="L247" s="17">
        <f t="shared" si="38"/>
        <v>1</v>
      </c>
      <c r="M247" s="17">
        <f t="shared" si="38"/>
        <v>1</v>
      </c>
      <c r="N247" s="17">
        <f t="shared" si="38"/>
        <v>1</v>
      </c>
      <c r="O247" s="17">
        <f t="shared" si="38"/>
        <v>1</v>
      </c>
      <c r="P247" s="17">
        <f t="shared" si="38"/>
        <v>1</v>
      </c>
      <c r="Q247" s="17">
        <f t="shared" si="38"/>
        <v>1</v>
      </c>
      <c r="R247" s="17">
        <f t="shared" si="38"/>
        <v>1</v>
      </c>
      <c r="S247" s="17">
        <f t="shared" si="38"/>
        <v>1</v>
      </c>
      <c r="T247" s="17">
        <f t="shared" si="38"/>
        <v>1</v>
      </c>
      <c r="U247" s="17">
        <f t="shared" si="38"/>
        <v>1</v>
      </c>
      <c r="V247" s="17">
        <f t="shared" si="37"/>
        <v>1</v>
      </c>
      <c r="W247" s="17">
        <f t="shared" si="37"/>
        <v>1</v>
      </c>
      <c r="X247" s="17">
        <f t="shared" si="37"/>
        <v>1</v>
      </c>
      <c r="Y247" s="17">
        <f t="shared" si="37"/>
        <v>1</v>
      </c>
      <c r="Z247" s="17">
        <f t="shared" si="37"/>
        <v>1</v>
      </c>
      <c r="AA247" s="17">
        <f t="shared" si="37"/>
        <v>1</v>
      </c>
      <c r="AB247" s="17">
        <f t="shared" si="37"/>
        <v>0</v>
      </c>
      <c r="AC247" s="17">
        <f t="shared" si="37"/>
        <v>0</v>
      </c>
      <c r="AD247" s="17">
        <f t="shared" si="34"/>
        <v>16</v>
      </c>
    </row>
    <row r="248" spans="4:30" x14ac:dyDescent="0.2">
      <c r="D248" s="37">
        <v>45166</v>
      </c>
      <c r="E248" s="17" t="str">
        <f t="shared" si="32"/>
        <v>weekday</v>
      </c>
      <c r="F248" s="17">
        <f t="shared" si="38"/>
        <v>0</v>
      </c>
      <c r="G248" s="17">
        <f t="shared" si="38"/>
        <v>0</v>
      </c>
      <c r="H248" s="17">
        <f t="shared" si="38"/>
        <v>0</v>
      </c>
      <c r="I248" s="17">
        <f t="shared" si="38"/>
        <v>0</v>
      </c>
      <c r="J248" s="17">
        <f t="shared" si="38"/>
        <v>0</v>
      </c>
      <c r="K248" s="17">
        <f t="shared" si="38"/>
        <v>0</v>
      </c>
      <c r="L248" s="17">
        <f t="shared" si="38"/>
        <v>1</v>
      </c>
      <c r="M248" s="17">
        <f t="shared" si="38"/>
        <v>1</v>
      </c>
      <c r="N248" s="17">
        <f t="shared" si="38"/>
        <v>0</v>
      </c>
      <c r="O248" s="17">
        <f t="shared" si="38"/>
        <v>0</v>
      </c>
      <c r="P248" s="17">
        <f t="shared" si="38"/>
        <v>0</v>
      </c>
      <c r="Q248" s="17">
        <f t="shared" si="38"/>
        <v>0</v>
      </c>
      <c r="R248" s="17">
        <f t="shared" si="38"/>
        <v>0</v>
      </c>
      <c r="S248" s="17">
        <f t="shared" si="38"/>
        <v>0</v>
      </c>
      <c r="T248" s="17">
        <f t="shared" si="38"/>
        <v>0</v>
      </c>
      <c r="U248" s="17">
        <f t="shared" si="38"/>
        <v>1</v>
      </c>
      <c r="V248" s="17">
        <f t="shared" si="37"/>
        <v>1</v>
      </c>
      <c r="W248" s="17">
        <f t="shared" si="37"/>
        <v>1</v>
      </c>
      <c r="X248" s="17">
        <f t="shared" si="37"/>
        <v>1</v>
      </c>
      <c r="Y248" s="17">
        <f t="shared" si="37"/>
        <v>1</v>
      </c>
      <c r="Z248" s="17">
        <f t="shared" si="37"/>
        <v>1</v>
      </c>
      <c r="AA248" s="17">
        <f t="shared" si="37"/>
        <v>1</v>
      </c>
      <c r="AB248" s="17">
        <f t="shared" si="37"/>
        <v>0</v>
      </c>
      <c r="AC248" s="17">
        <f t="shared" si="37"/>
        <v>0</v>
      </c>
      <c r="AD248" s="17">
        <f t="shared" si="34"/>
        <v>9</v>
      </c>
    </row>
    <row r="249" spans="4:30" x14ac:dyDescent="0.2">
      <c r="D249" s="37">
        <v>45167</v>
      </c>
      <c r="E249" s="17" t="str">
        <f t="shared" si="32"/>
        <v>weekday</v>
      </c>
      <c r="F249" s="17">
        <f t="shared" si="38"/>
        <v>0</v>
      </c>
      <c r="G249" s="17">
        <f t="shared" si="38"/>
        <v>0</v>
      </c>
      <c r="H249" s="17">
        <f t="shared" si="38"/>
        <v>0</v>
      </c>
      <c r="I249" s="17">
        <f t="shared" si="38"/>
        <v>0</v>
      </c>
      <c r="J249" s="17">
        <f t="shared" si="38"/>
        <v>0</v>
      </c>
      <c r="K249" s="17">
        <f t="shared" si="38"/>
        <v>0</v>
      </c>
      <c r="L249" s="17">
        <f t="shared" si="38"/>
        <v>1</v>
      </c>
      <c r="M249" s="17">
        <f t="shared" si="38"/>
        <v>1</v>
      </c>
      <c r="N249" s="17">
        <f t="shared" si="38"/>
        <v>0</v>
      </c>
      <c r="O249" s="17">
        <f t="shared" si="38"/>
        <v>0</v>
      </c>
      <c r="P249" s="17">
        <f t="shared" si="38"/>
        <v>0</v>
      </c>
      <c r="Q249" s="17">
        <f t="shared" si="38"/>
        <v>0</v>
      </c>
      <c r="R249" s="17">
        <f t="shared" si="38"/>
        <v>0</v>
      </c>
      <c r="S249" s="17">
        <f t="shared" si="38"/>
        <v>0</v>
      </c>
      <c r="T249" s="17">
        <f t="shared" si="38"/>
        <v>0</v>
      </c>
      <c r="U249" s="17">
        <f t="shared" ref="U249:AC264" si="39">IF($E249=$E$5,(U$5),(U$6))</f>
        <v>1</v>
      </c>
      <c r="V249" s="17">
        <f t="shared" si="39"/>
        <v>1</v>
      </c>
      <c r="W249" s="17">
        <f t="shared" si="39"/>
        <v>1</v>
      </c>
      <c r="X249" s="17">
        <f t="shared" si="39"/>
        <v>1</v>
      </c>
      <c r="Y249" s="17">
        <f t="shared" si="39"/>
        <v>1</v>
      </c>
      <c r="Z249" s="17">
        <f t="shared" si="39"/>
        <v>1</v>
      </c>
      <c r="AA249" s="17">
        <f t="shared" si="39"/>
        <v>1</v>
      </c>
      <c r="AB249" s="17">
        <f t="shared" si="39"/>
        <v>0</v>
      </c>
      <c r="AC249" s="17">
        <f t="shared" si="39"/>
        <v>0</v>
      </c>
      <c r="AD249" s="17">
        <f t="shared" si="34"/>
        <v>9</v>
      </c>
    </row>
    <row r="250" spans="4:30" x14ac:dyDescent="0.2">
      <c r="D250" s="37">
        <v>45168</v>
      </c>
      <c r="E250" s="17" t="str">
        <f t="shared" si="32"/>
        <v>weekday</v>
      </c>
      <c r="F250" s="17">
        <f t="shared" ref="F250:U265" si="40">IF($E250=$E$5,(F$5),(F$6))</f>
        <v>0</v>
      </c>
      <c r="G250" s="17">
        <f t="shared" si="40"/>
        <v>0</v>
      </c>
      <c r="H250" s="17">
        <f t="shared" si="40"/>
        <v>0</v>
      </c>
      <c r="I250" s="17">
        <f t="shared" si="40"/>
        <v>0</v>
      </c>
      <c r="J250" s="17">
        <f t="shared" si="40"/>
        <v>0</v>
      </c>
      <c r="K250" s="17">
        <f t="shared" si="40"/>
        <v>0</v>
      </c>
      <c r="L250" s="17">
        <f t="shared" si="40"/>
        <v>1</v>
      </c>
      <c r="M250" s="17">
        <f t="shared" si="40"/>
        <v>1</v>
      </c>
      <c r="N250" s="17">
        <f t="shared" si="40"/>
        <v>0</v>
      </c>
      <c r="O250" s="17">
        <f t="shared" si="40"/>
        <v>0</v>
      </c>
      <c r="P250" s="17">
        <f t="shared" si="40"/>
        <v>0</v>
      </c>
      <c r="Q250" s="17">
        <f t="shared" si="40"/>
        <v>0</v>
      </c>
      <c r="R250" s="17">
        <f t="shared" si="40"/>
        <v>0</v>
      </c>
      <c r="S250" s="17">
        <f t="shared" si="40"/>
        <v>0</v>
      </c>
      <c r="T250" s="17">
        <f t="shared" si="40"/>
        <v>0</v>
      </c>
      <c r="U250" s="17">
        <f t="shared" si="40"/>
        <v>1</v>
      </c>
      <c r="V250" s="17">
        <f t="shared" si="39"/>
        <v>1</v>
      </c>
      <c r="W250" s="17">
        <f t="shared" si="39"/>
        <v>1</v>
      </c>
      <c r="X250" s="17">
        <f t="shared" si="39"/>
        <v>1</v>
      </c>
      <c r="Y250" s="17">
        <f t="shared" si="39"/>
        <v>1</v>
      </c>
      <c r="Z250" s="17">
        <f t="shared" si="39"/>
        <v>1</v>
      </c>
      <c r="AA250" s="17">
        <f t="shared" si="39"/>
        <v>1</v>
      </c>
      <c r="AB250" s="17">
        <f t="shared" si="39"/>
        <v>0</v>
      </c>
      <c r="AC250" s="17">
        <f t="shared" si="39"/>
        <v>0</v>
      </c>
      <c r="AD250" s="17">
        <f t="shared" si="34"/>
        <v>9</v>
      </c>
    </row>
    <row r="251" spans="4:30" x14ac:dyDescent="0.2">
      <c r="D251" s="37">
        <v>45169</v>
      </c>
      <c r="E251" s="17" t="str">
        <f t="shared" si="32"/>
        <v>weekday</v>
      </c>
      <c r="F251" s="17">
        <f t="shared" si="40"/>
        <v>0</v>
      </c>
      <c r="G251" s="17">
        <f t="shared" si="40"/>
        <v>0</v>
      </c>
      <c r="H251" s="17">
        <f t="shared" si="40"/>
        <v>0</v>
      </c>
      <c r="I251" s="17">
        <f t="shared" si="40"/>
        <v>0</v>
      </c>
      <c r="J251" s="17">
        <f t="shared" si="40"/>
        <v>0</v>
      </c>
      <c r="K251" s="17">
        <f t="shared" si="40"/>
        <v>0</v>
      </c>
      <c r="L251" s="17">
        <f t="shared" si="40"/>
        <v>1</v>
      </c>
      <c r="M251" s="17">
        <f t="shared" si="40"/>
        <v>1</v>
      </c>
      <c r="N251" s="17">
        <f t="shared" si="40"/>
        <v>0</v>
      </c>
      <c r="O251" s="17">
        <f t="shared" si="40"/>
        <v>0</v>
      </c>
      <c r="P251" s="17">
        <f t="shared" si="40"/>
        <v>0</v>
      </c>
      <c r="Q251" s="17">
        <f t="shared" si="40"/>
        <v>0</v>
      </c>
      <c r="R251" s="17">
        <f t="shared" si="40"/>
        <v>0</v>
      </c>
      <c r="S251" s="17">
        <f t="shared" si="40"/>
        <v>0</v>
      </c>
      <c r="T251" s="17">
        <f t="shared" si="40"/>
        <v>0</v>
      </c>
      <c r="U251" s="17">
        <f t="shared" si="40"/>
        <v>1</v>
      </c>
      <c r="V251" s="17">
        <f t="shared" si="39"/>
        <v>1</v>
      </c>
      <c r="W251" s="17">
        <f t="shared" si="39"/>
        <v>1</v>
      </c>
      <c r="X251" s="17">
        <f t="shared" si="39"/>
        <v>1</v>
      </c>
      <c r="Y251" s="17">
        <f t="shared" si="39"/>
        <v>1</v>
      </c>
      <c r="Z251" s="17">
        <f t="shared" si="39"/>
        <v>1</v>
      </c>
      <c r="AA251" s="17">
        <f t="shared" si="39"/>
        <v>1</v>
      </c>
      <c r="AB251" s="17">
        <f t="shared" si="39"/>
        <v>0</v>
      </c>
      <c r="AC251" s="17">
        <f t="shared" si="39"/>
        <v>0</v>
      </c>
      <c r="AD251" s="17">
        <f t="shared" si="34"/>
        <v>9</v>
      </c>
    </row>
    <row r="252" spans="4:30" x14ac:dyDescent="0.2">
      <c r="D252" s="37">
        <v>45170</v>
      </c>
      <c r="E252" s="17" t="str">
        <f t="shared" si="32"/>
        <v>weekday</v>
      </c>
      <c r="F252" s="17">
        <f t="shared" si="40"/>
        <v>0</v>
      </c>
      <c r="G252" s="17">
        <f t="shared" si="40"/>
        <v>0</v>
      </c>
      <c r="H252" s="17">
        <f t="shared" si="40"/>
        <v>0</v>
      </c>
      <c r="I252" s="17">
        <f t="shared" si="40"/>
        <v>0</v>
      </c>
      <c r="J252" s="17">
        <f t="shared" si="40"/>
        <v>0</v>
      </c>
      <c r="K252" s="17">
        <f t="shared" si="40"/>
        <v>0</v>
      </c>
      <c r="L252" s="17">
        <f t="shared" si="40"/>
        <v>1</v>
      </c>
      <c r="M252" s="17">
        <f t="shared" si="40"/>
        <v>1</v>
      </c>
      <c r="N252" s="17">
        <f t="shared" si="40"/>
        <v>0</v>
      </c>
      <c r="O252" s="17">
        <f t="shared" si="40"/>
        <v>0</v>
      </c>
      <c r="P252" s="17">
        <f t="shared" si="40"/>
        <v>0</v>
      </c>
      <c r="Q252" s="17">
        <f t="shared" si="40"/>
        <v>0</v>
      </c>
      <c r="R252" s="17">
        <f t="shared" si="40"/>
        <v>0</v>
      </c>
      <c r="S252" s="17">
        <f t="shared" si="40"/>
        <v>0</v>
      </c>
      <c r="T252" s="17">
        <f t="shared" si="40"/>
        <v>0</v>
      </c>
      <c r="U252" s="17">
        <f t="shared" si="40"/>
        <v>1</v>
      </c>
      <c r="V252" s="17">
        <f t="shared" si="39"/>
        <v>1</v>
      </c>
      <c r="W252" s="17">
        <f t="shared" si="39"/>
        <v>1</v>
      </c>
      <c r="X252" s="17">
        <f t="shared" si="39"/>
        <v>1</v>
      </c>
      <c r="Y252" s="17">
        <f t="shared" si="39"/>
        <v>1</v>
      </c>
      <c r="Z252" s="17">
        <f t="shared" si="39"/>
        <v>1</v>
      </c>
      <c r="AA252" s="17">
        <f t="shared" si="39"/>
        <v>1</v>
      </c>
      <c r="AB252" s="17">
        <f t="shared" si="39"/>
        <v>0</v>
      </c>
      <c r="AC252" s="17">
        <f t="shared" si="39"/>
        <v>0</v>
      </c>
      <c r="AD252" s="17">
        <f t="shared" si="34"/>
        <v>9</v>
      </c>
    </row>
    <row r="253" spans="4:30" x14ac:dyDescent="0.2">
      <c r="D253" s="37">
        <v>45171</v>
      </c>
      <c r="E253" s="17" t="str">
        <f t="shared" si="32"/>
        <v>weekend</v>
      </c>
      <c r="F253" s="17">
        <f t="shared" si="40"/>
        <v>0</v>
      </c>
      <c r="G253" s="17">
        <f t="shared" si="40"/>
        <v>0</v>
      </c>
      <c r="H253" s="17">
        <f t="shared" si="40"/>
        <v>0</v>
      </c>
      <c r="I253" s="17">
        <f t="shared" si="40"/>
        <v>0</v>
      </c>
      <c r="J253" s="17">
        <f t="shared" si="40"/>
        <v>0</v>
      </c>
      <c r="K253" s="17">
        <f t="shared" si="40"/>
        <v>0</v>
      </c>
      <c r="L253" s="17">
        <f t="shared" si="40"/>
        <v>1</v>
      </c>
      <c r="M253" s="17">
        <f t="shared" si="40"/>
        <v>1</v>
      </c>
      <c r="N253" s="17">
        <f t="shared" si="40"/>
        <v>1</v>
      </c>
      <c r="O253" s="17">
        <f t="shared" si="40"/>
        <v>1</v>
      </c>
      <c r="P253" s="17">
        <f t="shared" si="40"/>
        <v>1</v>
      </c>
      <c r="Q253" s="17">
        <f t="shared" si="40"/>
        <v>1</v>
      </c>
      <c r="R253" s="17">
        <f t="shared" si="40"/>
        <v>1</v>
      </c>
      <c r="S253" s="17">
        <f t="shared" si="40"/>
        <v>1</v>
      </c>
      <c r="T253" s="17">
        <f t="shared" si="40"/>
        <v>1</v>
      </c>
      <c r="U253" s="17">
        <f t="shared" si="40"/>
        <v>1</v>
      </c>
      <c r="V253" s="17">
        <f t="shared" si="39"/>
        <v>1</v>
      </c>
      <c r="W253" s="17">
        <f t="shared" si="39"/>
        <v>1</v>
      </c>
      <c r="X253" s="17">
        <f t="shared" si="39"/>
        <v>1</v>
      </c>
      <c r="Y253" s="17">
        <f t="shared" si="39"/>
        <v>1</v>
      </c>
      <c r="Z253" s="17">
        <f t="shared" si="39"/>
        <v>1</v>
      </c>
      <c r="AA253" s="17">
        <f t="shared" si="39"/>
        <v>1</v>
      </c>
      <c r="AB253" s="17">
        <f t="shared" si="39"/>
        <v>0</v>
      </c>
      <c r="AC253" s="17">
        <f t="shared" si="39"/>
        <v>0</v>
      </c>
      <c r="AD253" s="17">
        <f t="shared" si="34"/>
        <v>16</v>
      </c>
    </row>
    <row r="254" spans="4:30" x14ac:dyDescent="0.2">
      <c r="D254" s="37">
        <v>45172</v>
      </c>
      <c r="E254" s="17" t="str">
        <f t="shared" si="32"/>
        <v>weekend</v>
      </c>
      <c r="F254" s="17">
        <f t="shared" si="40"/>
        <v>0</v>
      </c>
      <c r="G254" s="17">
        <f t="shared" si="40"/>
        <v>0</v>
      </c>
      <c r="H254" s="17">
        <f t="shared" si="40"/>
        <v>0</v>
      </c>
      <c r="I254" s="17">
        <f t="shared" si="40"/>
        <v>0</v>
      </c>
      <c r="J254" s="17">
        <f t="shared" si="40"/>
        <v>0</v>
      </c>
      <c r="K254" s="17">
        <f t="shared" si="40"/>
        <v>0</v>
      </c>
      <c r="L254" s="17">
        <f t="shared" si="40"/>
        <v>1</v>
      </c>
      <c r="M254" s="17">
        <f t="shared" si="40"/>
        <v>1</v>
      </c>
      <c r="N254" s="17">
        <f t="shared" si="40"/>
        <v>1</v>
      </c>
      <c r="O254" s="17">
        <f t="shared" si="40"/>
        <v>1</v>
      </c>
      <c r="P254" s="17">
        <f t="shared" si="40"/>
        <v>1</v>
      </c>
      <c r="Q254" s="17">
        <f t="shared" si="40"/>
        <v>1</v>
      </c>
      <c r="R254" s="17">
        <f t="shared" si="40"/>
        <v>1</v>
      </c>
      <c r="S254" s="17">
        <f t="shared" si="40"/>
        <v>1</v>
      </c>
      <c r="T254" s="17">
        <f t="shared" si="40"/>
        <v>1</v>
      </c>
      <c r="U254" s="17">
        <f t="shared" si="40"/>
        <v>1</v>
      </c>
      <c r="V254" s="17">
        <f t="shared" si="39"/>
        <v>1</v>
      </c>
      <c r="W254" s="17">
        <f t="shared" si="39"/>
        <v>1</v>
      </c>
      <c r="X254" s="17">
        <f t="shared" si="39"/>
        <v>1</v>
      </c>
      <c r="Y254" s="17">
        <f t="shared" si="39"/>
        <v>1</v>
      </c>
      <c r="Z254" s="17">
        <f t="shared" si="39"/>
        <v>1</v>
      </c>
      <c r="AA254" s="17">
        <f t="shared" si="39"/>
        <v>1</v>
      </c>
      <c r="AB254" s="17">
        <f t="shared" si="39"/>
        <v>0</v>
      </c>
      <c r="AC254" s="17">
        <f t="shared" si="39"/>
        <v>0</v>
      </c>
      <c r="AD254" s="17">
        <f t="shared" si="34"/>
        <v>16</v>
      </c>
    </row>
    <row r="255" spans="4:30" x14ac:dyDescent="0.2">
      <c r="D255" s="37">
        <v>45173</v>
      </c>
      <c r="E255" s="17" t="str">
        <f t="shared" si="32"/>
        <v>weekday</v>
      </c>
      <c r="F255" s="17">
        <f t="shared" si="40"/>
        <v>0</v>
      </c>
      <c r="G255" s="17">
        <f t="shared" si="40"/>
        <v>0</v>
      </c>
      <c r="H255" s="17">
        <f t="shared" si="40"/>
        <v>0</v>
      </c>
      <c r="I255" s="17">
        <f t="shared" si="40"/>
        <v>0</v>
      </c>
      <c r="J255" s="17">
        <f t="shared" si="40"/>
        <v>0</v>
      </c>
      <c r="K255" s="17">
        <f t="shared" si="40"/>
        <v>0</v>
      </c>
      <c r="L255" s="17">
        <f t="shared" si="40"/>
        <v>1</v>
      </c>
      <c r="M255" s="17">
        <f t="shared" si="40"/>
        <v>1</v>
      </c>
      <c r="N255" s="17">
        <f t="shared" si="40"/>
        <v>0</v>
      </c>
      <c r="O255" s="17">
        <f t="shared" si="40"/>
        <v>0</v>
      </c>
      <c r="P255" s="17">
        <f t="shared" si="40"/>
        <v>0</v>
      </c>
      <c r="Q255" s="17">
        <f t="shared" si="40"/>
        <v>0</v>
      </c>
      <c r="R255" s="17">
        <f t="shared" si="40"/>
        <v>0</v>
      </c>
      <c r="S255" s="17">
        <f t="shared" si="40"/>
        <v>0</v>
      </c>
      <c r="T255" s="17">
        <f t="shared" si="40"/>
        <v>0</v>
      </c>
      <c r="U255" s="17">
        <f t="shared" si="40"/>
        <v>1</v>
      </c>
      <c r="V255" s="17">
        <f t="shared" si="39"/>
        <v>1</v>
      </c>
      <c r="W255" s="17">
        <f t="shared" si="39"/>
        <v>1</v>
      </c>
      <c r="X255" s="17">
        <f t="shared" si="39"/>
        <v>1</v>
      </c>
      <c r="Y255" s="17">
        <f t="shared" si="39"/>
        <v>1</v>
      </c>
      <c r="Z255" s="17">
        <f t="shared" si="39"/>
        <v>1</v>
      </c>
      <c r="AA255" s="17">
        <f t="shared" si="39"/>
        <v>1</v>
      </c>
      <c r="AB255" s="17">
        <f t="shared" si="39"/>
        <v>0</v>
      </c>
      <c r="AC255" s="17">
        <f t="shared" si="39"/>
        <v>0</v>
      </c>
      <c r="AD255" s="17">
        <f t="shared" si="34"/>
        <v>9</v>
      </c>
    </row>
    <row r="256" spans="4:30" x14ac:dyDescent="0.2">
      <c r="D256" s="37">
        <v>45174</v>
      </c>
      <c r="E256" s="17" t="str">
        <f t="shared" si="32"/>
        <v>weekday</v>
      </c>
      <c r="F256" s="17">
        <f t="shared" si="40"/>
        <v>0</v>
      </c>
      <c r="G256" s="17">
        <f t="shared" si="40"/>
        <v>0</v>
      </c>
      <c r="H256" s="17">
        <f t="shared" si="40"/>
        <v>0</v>
      </c>
      <c r="I256" s="17">
        <f t="shared" si="40"/>
        <v>0</v>
      </c>
      <c r="J256" s="17">
        <f t="shared" si="40"/>
        <v>0</v>
      </c>
      <c r="K256" s="17">
        <f t="shared" si="40"/>
        <v>0</v>
      </c>
      <c r="L256" s="17">
        <f t="shared" si="40"/>
        <v>1</v>
      </c>
      <c r="M256" s="17">
        <f t="shared" si="40"/>
        <v>1</v>
      </c>
      <c r="N256" s="17">
        <f t="shared" si="40"/>
        <v>0</v>
      </c>
      <c r="O256" s="17">
        <f t="shared" si="40"/>
        <v>0</v>
      </c>
      <c r="P256" s="17">
        <f t="shared" si="40"/>
        <v>0</v>
      </c>
      <c r="Q256" s="17">
        <f t="shared" si="40"/>
        <v>0</v>
      </c>
      <c r="R256" s="17">
        <f t="shared" si="40"/>
        <v>0</v>
      </c>
      <c r="S256" s="17">
        <f t="shared" si="40"/>
        <v>0</v>
      </c>
      <c r="T256" s="17">
        <f t="shared" si="40"/>
        <v>0</v>
      </c>
      <c r="U256" s="17">
        <f t="shared" si="40"/>
        <v>1</v>
      </c>
      <c r="V256" s="17">
        <f t="shared" si="39"/>
        <v>1</v>
      </c>
      <c r="W256" s="17">
        <f t="shared" si="39"/>
        <v>1</v>
      </c>
      <c r="X256" s="17">
        <f t="shared" si="39"/>
        <v>1</v>
      </c>
      <c r="Y256" s="17">
        <f t="shared" si="39"/>
        <v>1</v>
      </c>
      <c r="Z256" s="17">
        <f t="shared" si="39"/>
        <v>1</v>
      </c>
      <c r="AA256" s="17">
        <f t="shared" si="39"/>
        <v>1</v>
      </c>
      <c r="AB256" s="17">
        <f t="shared" si="39"/>
        <v>0</v>
      </c>
      <c r="AC256" s="17">
        <f t="shared" si="39"/>
        <v>0</v>
      </c>
      <c r="AD256" s="17">
        <f t="shared" si="34"/>
        <v>9</v>
      </c>
    </row>
    <row r="257" spans="4:30" x14ac:dyDescent="0.2">
      <c r="D257" s="37">
        <v>45175</v>
      </c>
      <c r="E257" s="17" t="str">
        <f t="shared" si="32"/>
        <v>weekday</v>
      </c>
      <c r="F257" s="17">
        <f t="shared" si="40"/>
        <v>0</v>
      </c>
      <c r="G257" s="17">
        <f t="shared" si="40"/>
        <v>0</v>
      </c>
      <c r="H257" s="17">
        <f t="shared" si="40"/>
        <v>0</v>
      </c>
      <c r="I257" s="17">
        <f t="shared" si="40"/>
        <v>0</v>
      </c>
      <c r="J257" s="17">
        <f t="shared" si="40"/>
        <v>0</v>
      </c>
      <c r="K257" s="17">
        <f t="shared" si="40"/>
        <v>0</v>
      </c>
      <c r="L257" s="17">
        <f t="shared" si="40"/>
        <v>1</v>
      </c>
      <c r="M257" s="17">
        <f t="shared" si="40"/>
        <v>1</v>
      </c>
      <c r="N257" s="17">
        <f t="shared" si="40"/>
        <v>0</v>
      </c>
      <c r="O257" s="17">
        <f t="shared" si="40"/>
        <v>0</v>
      </c>
      <c r="P257" s="17">
        <f t="shared" si="40"/>
        <v>0</v>
      </c>
      <c r="Q257" s="17">
        <f t="shared" si="40"/>
        <v>0</v>
      </c>
      <c r="R257" s="17">
        <f t="shared" si="40"/>
        <v>0</v>
      </c>
      <c r="S257" s="17">
        <f t="shared" si="40"/>
        <v>0</v>
      </c>
      <c r="T257" s="17">
        <f t="shared" si="40"/>
        <v>0</v>
      </c>
      <c r="U257" s="17">
        <f t="shared" si="40"/>
        <v>1</v>
      </c>
      <c r="V257" s="17">
        <f t="shared" si="39"/>
        <v>1</v>
      </c>
      <c r="W257" s="17">
        <f t="shared" si="39"/>
        <v>1</v>
      </c>
      <c r="X257" s="17">
        <f t="shared" si="39"/>
        <v>1</v>
      </c>
      <c r="Y257" s="17">
        <f t="shared" si="39"/>
        <v>1</v>
      </c>
      <c r="Z257" s="17">
        <f t="shared" si="39"/>
        <v>1</v>
      </c>
      <c r="AA257" s="17">
        <f t="shared" si="39"/>
        <v>1</v>
      </c>
      <c r="AB257" s="17">
        <f t="shared" si="39"/>
        <v>0</v>
      </c>
      <c r="AC257" s="17">
        <f t="shared" si="39"/>
        <v>0</v>
      </c>
      <c r="AD257" s="17">
        <f t="shared" si="34"/>
        <v>9</v>
      </c>
    </row>
    <row r="258" spans="4:30" x14ac:dyDescent="0.2">
      <c r="D258" s="37">
        <v>45176</v>
      </c>
      <c r="E258" s="17" t="str">
        <f t="shared" si="32"/>
        <v>weekday</v>
      </c>
      <c r="F258" s="17">
        <f t="shared" si="40"/>
        <v>0</v>
      </c>
      <c r="G258" s="17">
        <f t="shared" si="40"/>
        <v>0</v>
      </c>
      <c r="H258" s="17">
        <f t="shared" si="40"/>
        <v>0</v>
      </c>
      <c r="I258" s="17">
        <f t="shared" si="40"/>
        <v>0</v>
      </c>
      <c r="J258" s="17">
        <f t="shared" si="40"/>
        <v>0</v>
      </c>
      <c r="K258" s="17">
        <f t="shared" si="40"/>
        <v>0</v>
      </c>
      <c r="L258" s="17">
        <f t="shared" si="40"/>
        <v>1</v>
      </c>
      <c r="M258" s="17">
        <f t="shared" si="40"/>
        <v>1</v>
      </c>
      <c r="N258" s="17">
        <f t="shared" si="40"/>
        <v>0</v>
      </c>
      <c r="O258" s="17">
        <f t="shared" si="40"/>
        <v>0</v>
      </c>
      <c r="P258" s="17">
        <f t="shared" si="40"/>
        <v>0</v>
      </c>
      <c r="Q258" s="17">
        <f t="shared" si="40"/>
        <v>0</v>
      </c>
      <c r="R258" s="17">
        <f t="shared" si="40"/>
        <v>0</v>
      </c>
      <c r="S258" s="17">
        <f t="shared" si="40"/>
        <v>0</v>
      </c>
      <c r="T258" s="17">
        <f t="shared" si="40"/>
        <v>0</v>
      </c>
      <c r="U258" s="17">
        <f t="shared" si="40"/>
        <v>1</v>
      </c>
      <c r="V258" s="17">
        <f t="shared" si="39"/>
        <v>1</v>
      </c>
      <c r="W258" s="17">
        <f t="shared" si="39"/>
        <v>1</v>
      </c>
      <c r="X258" s="17">
        <f t="shared" si="39"/>
        <v>1</v>
      </c>
      <c r="Y258" s="17">
        <f t="shared" si="39"/>
        <v>1</v>
      </c>
      <c r="Z258" s="17">
        <f t="shared" si="39"/>
        <v>1</v>
      </c>
      <c r="AA258" s="17">
        <f t="shared" si="39"/>
        <v>1</v>
      </c>
      <c r="AB258" s="17">
        <f t="shared" si="39"/>
        <v>0</v>
      </c>
      <c r="AC258" s="17">
        <f t="shared" si="39"/>
        <v>0</v>
      </c>
      <c r="AD258" s="17">
        <f t="shared" si="34"/>
        <v>9</v>
      </c>
    </row>
    <row r="259" spans="4:30" x14ac:dyDescent="0.2">
      <c r="D259" s="37">
        <v>45177</v>
      </c>
      <c r="E259" s="17" t="str">
        <f t="shared" si="32"/>
        <v>weekday</v>
      </c>
      <c r="F259" s="17">
        <f t="shared" si="40"/>
        <v>0</v>
      </c>
      <c r="G259" s="17">
        <f t="shared" si="40"/>
        <v>0</v>
      </c>
      <c r="H259" s="17">
        <f t="shared" si="40"/>
        <v>0</v>
      </c>
      <c r="I259" s="17">
        <f t="shared" si="40"/>
        <v>0</v>
      </c>
      <c r="J259" s="17">
        <f t="shared" si="40"/>
        <v>0</v>
      </c>
      <c r="K259" s="17">
        <f t="shared" si="40"/>
        <v>0</v>
      </c>
      <c r="L259" s="17">
        <f t="shared" si="40"/>
        <v>1</v>
      </c>
      <c r="M259" s="17">
        <f t="shared" si="40"/>
        <v>1</v>
      </c>
      <c r="N259" s="17">
        <f t="shared" si="40"/>
        <v>0</v>
      </c>
      <c r="O259" s="17">
        <f t="shared" si="40"/>
        <v>0</v>
      </c>
      <c r="P259" s="17">
        <f t="shared" si="40"/>
        <v>0</v>
      </c>
      <c r="Q259" s="17">
        <f t="shared" si="40"/>
        <v>0</v>
      </c>
      <c r="R259" s="17">
        <f t="shared" si="40"/>
        <v>0</v>
      </c>
      <c r="S259" s="17">
        <f t="shared" si="40"/>
        <v>0</v>
      </c>
      <c r="T259" s="17">
        <f t="shared" si="40"/>
        <v>0</v>
      </c>
      <c r="U259" s="17">
        <f t="shared" si="40"/>
        <v>1</v>
      </c>
      <c r="V259" s="17">
        <f t="shared" si="39"/>
        <v>1</v>
      </c>
      <c r="W259" s="17">
        <f t="shared" si="39"/>
        <v>1</v>
      </c>
      <c r="X259" s="17">
        <f t="shared" si="39"/>
        <v>1</v>
      </c>
      <c r="Y259" s="17">
        <f t="shared" si="39"/>
        <v>1</v>
      </c>
      <c r="Z259" s="17">
        <f t="shared" si="39"/>
        <v>1</v>
      </c>
      <c r="AA259" s="17">
        <f t="shared" si="39"/>
        <v>1</v>
      </c>
      <c r="AB259" s="17">
        <f t="shared" si="39"/>
        <v>0</v>
      </c>
      <c r="AC259" s="17">
        <f t="shared" si="39"/>
        <v>0</v>
      </c>
      <c r="AD259" s="17">
        <f t="shared" si="34"/>
        <v>9</v>
      </c>
    </row>
    <row r="260" spans="4:30" x14ac:dyDescent="0.2">
      <c r="D260" s="37">
        <v>45178</v>
      </c>
      <c r="E260" s="17" t="str">
        <f t="shared" si="32"/>
        <v>weekend</v>
      </c>
      <c r="F260" s="17">
        <f t="shared" si="40"/>
        <v>0</v>
      </c>
      <c r="G260" s="17">
        <f t="shared" si="40"/>
        <v>0</v>
      </c>
      <c r="H260" s="17">
        <f t="shared" si="40"/>
        <v>0</v>
      </c>
      <c r="I260" s="17">
        <f t="shared" si="40"/>
        <v>0</v>
      </c>
      <c r="J260" s="17">
        <f t="shared" si="40"/>
        <v>0</v>
      </c>
      <c r="K260" s="17">
        <f t="shared" si="40"/>
        <v>0</v>
      </c>
      <c r="L260" s="17">
        <f t="shared" si="40"/>
        <v>1</v>
      </c>
      <c r="M260" s="17">
        <f t="shared" si="40"/>
        <v>1</v>
      </c>
      <c r="N260" s="17">
        <f t="shared" si="40"/>
        <v>1</v>
      </c>
      <c r="O260" s="17">
        <f t="shared" si="40"/>
        <v>1</v>
      </c>
      <c r="P260" s="17">
        <f t="shared" si="40"/>
        <v>1</v>
      </c>
      <c r="Q260" s="17">
        <f t="shared" si="40"/>
        <v>1</v>
      </c>
      <c r="R260" s="17">
        <f t="shared" si="40"/>
        <v>1</v>
      </c>
      <c r="S260" s="17">
        <f t="shared" si="40"/>
        <v>1</v>
      </c>
      <c r="T260" s="17">
        <f t="shared" si="40"/>
        <v>1</v>
      </c>
      <c r="U260" s="17">
        <f t="shared" si="40"/>
        <v>1</v>
      </c>
      <c r="V260" s="17">
        <f t="shared" si="39"/>
        <v>1</v>
      </c>
      <c r="W260" s="17">
        <f t="shared" si="39"/>
        <v>1</v>
      </c>
      <c r="X260" s="17">
        <f t="shared" si="39"/>
        <v>1</v>
      </c>
      <c r="Y260" s="17">
        <f t="shared" si="39"/>
        <v>1</v>
      </c>
      <c r="Z260" s="17">
        <f t="shared" si="39"/>
        <v>1</v>
      </c>
      <c r="AA260" s="17">
        <f t="shared" si="39"/>
        <v>1</v>
      </c>
      <c r="AB260" s="17">
        <f t="shared" si="39"/>
        <v>0</v>
      </c>
      <c r="AC260" s="17">
        <f t="shared" si="39"/>
        <v>0</v>
      </c>
      <c r="AD260" s="17">
        <f t="shared" si="34"/>
        <v>16</v>
      </c>
    </row>
    <row r="261" spans="4:30" x14ac:dyDescent="0.2">
      <c r="D261" s="37">
        <v>45179</v>
      </c>
      <c r="E261" s="17" t="str">
        <f t="shared" si="32"/>
        <v>weekend</v>
      </c>
      <c r="F261" s="17">
        <f t="shared" si="40"/>
        <v>0</v>
      </c>
      <c r="G261" s="17">
        <f t="shared" si="40"/>
        <v>0</v>
      </c>
      <c r="H261" s="17">
        <f t="shared" si="40"/>
        <v>0</v>
      </c>
      <c r="I261" s="17">
        <f t="shared" si="40"/>
        <v>0</v>
      </c>
      <c r="J261" s="17">
        <f t="shared" si="40"/>
        <v>0</v>
      </c>
      <c r="K261" s="17">
        <f t="shared" si="40"/>
        <v>0</v>
      </c>
      <c r="L261" s="17">
        <f t="shared" si="40"/>
        <v>1</v>
      </c>
      <c r="M261" s="17">
        <f t="shared" si="40"/>
        <v>1</v>
      </c>
      <c r="N261" s="17">
        <f t="shared" si="40"/>
        <v>1</v>
      </c>
      <c r="O261" s="17">
        <f t="shared" si="40"/>
        <v>1</v>
      </c>
      <c r="P261" s="17">
        <f t="shared" si="40"/>
        <v>1</v>
      </c>
      <c r="Q261" s="17">
        <f t="shared" si="40"/>
        <v>1</v>
      </c>
      <c r="R261" s="17">
        <f t="shared" si="40"/>
        <v>1</v>
      </c>
      <c r="S261" s="17">
        <f t="shared" si="40"/>
        <v>1</v>
      </c>
      <c r="T261" s="17">
        <f t="shared" si="40"/>
        <v>1</v>
      </c>
      <c r="U261" s="17">
        <f t="shared" si="40"/>
        <v>1</v>
      </c>
      <c r="V261" s="17">
        <f t="shared" si="39"/>
        <v>1</v>
      </c>
      <c r="W261" s="17">
        <f t="shared" si="39"/>
        <v>1</v>
      </c>
      <c r="X261" s="17">
        <f t="shared" si="39"/>
        <v>1</v>
      </c>
      <c r="Y261" s="17">
        <f t="shared" si="39"/>
        <v>1</v>
      </c>
      <c r="Z261" s="17">
        <f t="shared" si="39"/>
        <v>1</v>
      </c>
      <c r="AA261" s="17">
        <f t="shared" si="39"/>
        <v>1</v>
      </c>
      <c r="AB261" s="17">
        <f t="shared" si="39"/>
        <v>0</v>
      </c>
      <c r="AC261" s="17">
        <f t="shared" si="39"/>
        <v>0</v>
      </c>
      <c r="AD261" s="17">
        <f t="shared" si="34"/>
        <v>16</v>
      </c>
    </row>
    <row r="262" spans="4:30" x14ac:dyDescent="0.2">
      <c r="D262" s="37">
        <v>45180</v>
      </c>
      <c r="E262" s="17" t="str">
        <f t="shared" si="32"/>
        <v>weekday</v>
      </c>
      <c r="F262" s="17">
        <f t="shared" si="40"/>
        <v>0</v>
      </c>
      <c r="G262" s="17">
        <f t="shared" si="40"/>
        <v>0</v>
      </c>
      <c r="H262" s="17">
        <f t="shared" si="40"/>
        <v>0</v>
      </c>
      <c r="I262" s="17">
        <f t="shared" si="40"/>
        <v>0</v>
      </c>
      <c r="J262" s="17">
        <f t="shared" si="40"/>
        <v>0</v>
      </c>
      <c r="K262" s="17">
        <f t="shared" si="40"/>
        <v>0</v>
      </c>
      <c r="L262" s="17">
        <f t="shared" si="40"/>
        <v>1</v>
      </c>
      <c r="M262" s="17">
        <f t="shared" si="40"/>
        <v>1</v>
      </c>
      <c r="N262" s="17">
        <f t="shared" si="40"/>
        <v>0</v>
      </c>
      <c r="O262" s="17">
        <f t="shared" si="40"/>
        <v>0</v>
      </c>
      <c r="P262" s="17">
        <f t="shared" si="40"/>
        <v>0</v>
      </c>
      <c r="Q262" s="17">
        <f t="shared" si="40"/>
        <v>0</v>
      </c>
      <c r="R262" s="17">
        <f t="shared" si="40"/>
        <v>0</v>
      </c>
      <c r="S262" s="17">
        <f t="shared" si="40"/>
        <v>0</v>
      </c>
      <c r="T262" s="17">
        <f t="shared" si="40"/>
        <v>0</v>
      </c>
      <c r="U262" s="17">
        <f t="shared" si="40"/>
        <v>1</v>
      </c>
      <c r="V262" s="17">
        <f t="shared" si="39"/>
        <v>1</v>
      </c>
      <c r="W262" s="17">
        <f t="shared" si="39"/>
        <v>1</v>
      </c>
      <c r="X262" s="17">
        <f t="shared" si="39"/>
        <v>1</v>
      </c>
      <c r="Y262" s="17">
        <f t="shared" si="39"/>
        <v>1</v>
      </c>
      <c r="Z262" s="17">
        <f t="shared" si="39"/>
        <v>1</v>
      </c>
      <c r="AA262" s="17">
        <f t="shared" si="39"/>
        <v>1</v>
      </c>
      <c r="AB262" s="17">
        <f t="shared" si="39"/>
        <v>0</v>
      </c>
      <c r="AC262" s="17">
        <f t="shared" si="39"/>
        <v>0</v>
      </c>
      <c r="AD262" s="17">
        <f t="shared" si="34"/>
        <v>9</v>
      </c>
    </row>
    <row r="263" spans="4:30" x14ac:dyDescent="0.2">
      <c r="D263" s="37">
        <v>45181</v>
      </c>
      <c r="E263" s="17" t="str">
        <f t="shared" si="32"/>
        <v>weekday</v>
      </c>
      <c r="F263" s="17">
        <f t="shared" si="40"/>
        <v>0</v>
      </c>
      <c r="G263" s="17">
        <f t="shared" si="40"/>
        <v>0</v>
      </c>
      <c r="H263" s="17">
        <f t="shared" si="40"/>
        <v>0</v>
      </c>
      <c r="I263" s="17">
        <f t="shared" si="40"/>
        <v>0</v>
      </c>
      <c r="J263" s="17">
        <f t="shared" si="40"/>
        <v>0</v>
      </c>
      <c r="K263" s="17">
        <f t="shared" si="40"/>
        <v>0</v>
      </c>
      <c r="L263" s="17">
        <f t="shared" si="40"/>
        <v>1</v>
      </c>
      <c r="M263" s="17">
        <f t="shared" si="40"/>
        <v>1</v>
      </c>
      <c r="N263" s="17">
        <f t="shared" si="40"/>
        <v>0</v>
      </c>
      <c r="O263" s="17">
        <f t="shared" si="40"/>
        <v>0</v>
      </c>
      <c r="P263" s="17">
        <f t="shared" si="40"/>
        <v>0</v>
      </c>
      <c r="Q263" s="17">
        <f t="shared" si="40"/>
        <v>0</v>
      </c>
      <c r="R263" s="17">
        <f t="shared" si="40"/>
        <v>0</v>
      </c>
      <c r="S263" s="17">
        <f t="shared" si="40"/>
        <v>0</v>
      </c>
      <c r="T263" s="17">
        <f t="shared" si="40"/>
        <v>0</v>
      </c>
      <c r="U263" s="17">
        <f t="shared" si="40"/>
        <v>1</v>
      </c>
      <c r="V263" s="17">
        <f t="shared" si="39"/>
        <v>1</v>
      </c>
      <c r="W263" s="17">
        <f t="shared" si="39"/>
        <v>1</v>
      </c>
      <c r="X263" s="17">
        <f t="shared" si="39"/>
        <v>1</v>
      </c>
      <c r="Y263" s="17">
        <f t="shared" si="39"/>
        <v>1</v>
      </c>
      <c r="Z263" s="17">
        <f t="shared" si="39"/>
        <v>1</v>
      </c>
      <c r="AA263" s="17">
        <f t="shared" si="39"/>
        <v>1</v>
      </c>
      <c r="AB263" s="17">
        <f t="shared" si="39"/>
        <v>0</v>
      </c>
      <c r="AC263" s="17">
        <f t="shared" si="39"/>
        <v>0</v>
      </c>
      <c r="AD263" s="17">
        <f t="shared" si="34"/>
        <v>9</v>
      </c>
    </row>
    <row r="264" spans="4:30" x14ac:dyDescent="0.2">
      <c r="D264" s="37">
        <v>45182</v>
      </c>
      <c r="E264" s="17" t="str">
        <f t="shared" si="32"/>
        <v>weekday</v>
      </c>
      <c r="F264" s="17">
        <f t="shared" si="40"/>
        <v>0</v>
      </c>
      <c r="G264" s="17">
        <f t="shared" si="40"/>
        <v>0</v>
      </c>
      <c r="H264" s="17">
        <f t="shared" si="40"/>
        <v>0</v>
      </c>
      <c r="I264" s="17">
        <f t="shared" si="40"/>
        <v>0</v>
      </c>
      <c r="J264" s="17">
        <f t="shared" si="40"/>
        <v>0</v>
      </c>
      <c r="K264" s="17">
        <f t="shared" si="40"/>
        <v>0</v>
      </c>
      <c r="L264" s="17">
        <f t="shared" si="40"/>
        <v>1</v>
      </c>
      <c r="M264" s="17">
        <f t="shared" si="40"/>
        <v>1</v>
      </c>
      <c r="N264" s="17">
        <f t="shared" si="40"/>
        <v>0</v>
      </c>
      <c r="O264" s="17">
        <f t="shared" si="40"/>
        <v>0</v>
      </c>
      <c r="P264" s="17">
        <f t="shared" si="40"/>
        <v>0</v>
      </c>
      <c r="Q264" s="17">
        <f t="shared" si="40"/>
        <v>0</v>
      </c>
      <c r="R264" s="17">
        <f t="shared" si="40"/>
        <v>0</v>
      </c>
      <c r="S264" s="17">
        <f t="shared" si="40"/>
        <v>0</v>
      </c>
      <c r="T264" s="17">
        <f t="shared" si="40"/>
        <v>0</v>
      </c>
      <c r="U264" s="17">
        <f t="shared" si="40"/>
        <v>1</v>
      </c>
      <c r="V264" s="17">
        <f t="shared" si="39"/>
        <v>1</v>
      </c>
      <c r="W264" s="17">
        <f t="shared" si="39"/>
        <v>1</v>
      </c>
      <c r="X264" s="17">
        <f t="shared" si="39"/>
        <v>1</v>
      </c>
      <c r="Y264" s="17">
        <f t="shared" si="39"/>
        <v>1</v>
      </c>
      <c r="Z264" s="17">
        <f t="shared" si="39"/>
        <v>1</v>
      </c>
      <c r="AA264" s="17">
        <f t="shared" si="39"/>
        <v>1</v>
      </c>
      <c r="AB264" s="17">
        <f t="shared" si="39"/>
        <v>0</v>
      </c>
      <c r="AC264" s="17">
        <f t="shared" si="39"/>
        <v>0</v>
      </c>
      <c r="AD264" s="17">
        <f t="shared" si="34"/>
        <v>9</v>
      </c>
    </row>
    <row r="265" spans="4:30" x14ac:dyDescent="0.2">
      <c r="D265" s="37">
        <v>45183</v>
      </c>
      <c r="E265" s="17" t="str">
        <f t="shared" si="32"/>
        <v>weekday</v>
      </c>
      <c r="F265" s="17">
        <f t="shared" si="40"/>
        <v>0</v>
      </c>
      <c r="G265" s="17">
        <f t="shared" si="40"/>
        <v>0</v>
      </c>
      <c r="H265" s="17">
        <f t="shared" si="40"/>
        <v>0</v>
      </c>
      <c r="I265" s="17">
        <f t="shared" si="40"/>
        <v>0</v>
      </c>
      <c r="J265" s="17">
        <f t="shared" si="40"/>
        <v>0</v>
      </c>
      <c r="K265" s="17">
        <f t="shared" si="40"/>
        <v>0</v>
      </c>
      <c r="L265" s="17">
        <f t="shared" si="40"/>
        <v>1</v>
      </c>
      <c r="M265" s="17">
        <f t="shared" si="40"/>
        <v>1</v>
      </c>
      <c r="N265" s="17">
        <f t="shared" si="40"/>
        <v>0</v>
      </c>
      <c r="O265" s="17">
        <f t="shared" si="40"/>
        <v>0</v>
      </c>
      <c r="P265" s="17">
        <f t="shared" si="40"/>
        <v>0</v>
      </c>
      <c r="Q265" s="17">
        <f t="shared" si="40"/>
        <v>0</v>
      </c>
      <c r="R265" s="17">
        <f t="shared" si="40"/>
        <v>0</v>
      </c>
      <c r="S265" s="17">
        <f t="shared" si="40"/>
        <v>0</v>
      </c>
      <c r="T265" s="17">
        <f t="shared" si="40"/>
        <v>0</v>
      </c>
      <c r="U265" s="17">
        <f t="shared" ref="U265:AC280" si="41">IF($E265=$E$5,(U$5),(U$6))</f>
        <v>1</v>
      </c>
      <c r="V265" s="17">
        <f t="shared" si="41"/>
        <v>1</v>
      </c>
      <c r="W265" s="17">
        <f t="shared" si="41"/>
        <v>1</v>
      </c>
      <c r="X265" s="17">
        <f t="shared" si="41"/>
        <v>1</v>
      </c>
      <c r="Y265" s="17">
        <f t="shared" si="41"/>
        <v>1</v>
      </c>
      <c r="Z265" s="17">
        <f t="shared" si="41"/>
        <v>1</v>
      </c>
      <c r="AA265" s="17">
        <f t="shared" si="41"/>
        <v>1</v>
      </c>
      <c r="AB265" s="17">
        <f t="shared" si="41"/>
        <v>0</v>
      </c>
      <c r="AC265" s="17">
        <f t="shared" si="41"/>
        <v>0</v>
      </c>
      <c r="AD265" s="17">
        <f t="shared" si="34"/>
        <v>9</v>
      </c>
    </row>
    <row r="266" spans="4:30" x14ac:dyDescent="0.2">
      <c r="D266" s="37">
        <v>45184</v>
      </c>
      <c r="E266" s="17" t="str">
        <f t="shared" ref="E266:E329" si="42">IF(WEEKDAY(D266, 2)&lt;6, "weekday", "weekend")</f>
        <v>weekday</v>
      </c>
      <c r="F266" s="17">
        <f t="shared" ref="F266:U281" si="43">IF($E266=$E$5,(F$5),(F$6))</f>
        <v>0</v>
      </c>
      <c r="G266" s="17">
        <f t="shared" si="43"/>
        <v>0</v>
      </c>
      <c r="H266" s="17">
        <f t="shared" si="43"/>
        <v>0</v>
      </c>
      <c r="I266" s="17">
        <f t="shared" si="43"/>
        <v>0</v>
      </c>
      <c r="J266" s="17">
        <f t="shared" si="43"/>
        <v>0</v>
      </c>
      <c r="K266" s="17">
        <f t="shared" si="43"/>
        <v>0</v>
      </c>
      <c r="L266" s="17">
        <f t="shared" si="43"/>
        <v>1</v>
      </c>
      <c r="M266" s="17">
        <f t="shared" si="43"/>
        <v>1</v>
      </c>
      <c r="N266" s="17">
        <f t="shared" si="43"/>
        <v>0</v>
      </c>
      <c r="O266" s="17">
        <f t="shared" si="43"/>
        <v>0</v>
      </c>
      <c r="P266" s="17">
        <f t="shared" si="43"/>
        <v>0</v>
      </c>
      <c r="Q266" s="17">
        <f t="shared" si="43"/>
        <v>0</v>
      </c>
      <c r="R266" s="17">
        <f t="shared" si="43"/>
        <v>0</v>
      </c>
      <c r="S266" s="17">
        <f t="shared" si="43"/>
        <v>0</v>
      </c>
      <c r="T266" s="17">
        <f t="shared" si="43"/>
        <v>0</v>
      </c>
      <c r="U266" s="17">
        <f t="shared" si="43"/>
        <v>1</v>
      </c>
      <c r="V266" s="17">
        <f t="shared" si="41"/>
        <v>1</v>
      </c>
      <c r="W266" s="17">
        <f t="shared" si="41"/>
        <v>1</v>
      </c>
      <c r="X266" s="17">
        <f t="shared" si="41"/>
        <v>1</v>
      </c>
      <c r="Y266" s="17">
        <f t="shared" si="41"/>
        <v>1</v>
      </c>
      <c r="Z266" s="17">
        <f t="shared" si="41"/>
        <v>1</v>
      </c>
      <c r="AA266" s="17">
        <f t="shared" si="41"/>
        <v>1</v>
      </c>
      <c r="AB266" s="17">
        <f t="shared" si="41"/>
        <v>0</v>
      </c>
      <c r="AC266" s="17">
        <f t="shared" si="41"/>
        <v>0</v>
      </c>
      <c r="AD266" s="17">
        <f t="shared" ref="AD266:AD329" si="44">SUM(F266:AC266)</f>
        <v>9</v>
      </c>
    </row>
    <row r="267" spans="4:30" x14ac:dyDescent="0.2">
      <c r="D267" s="37">
        <v>45185</v>
      </c>
      <c r="E267" s="17" t="str">
        <f t="shared" si="42"/>
        <v>weekend</v>
      </c>
      <c r="F267" s="17">
        <f t="shared" si="43"/>
        <v>0</v>
      </c>
      <c r="G267" s="17">
        <f t="shared" si="43"/>
        <v>0</v>
      </c>
      <c r="H267" s="17">
        <f t="shared" si="43"/>
        <v>0</v>
      </c>
      <c r="I267" s="17">
        <f t="shared" si="43"/>
        <v>0</v>
      </c>
      <c r="J267" s="17">
        <f t="shared" si="43"/>
        <v>0</v>
      </c>
      <c r="K267" s="17">
        <f t="shared" si="43"/>
        <v>0</v>
      </c>
      <c r="L267" s="17">
        <f t="shared" si="43"/>
        <v>1</v>
      </c>
      <c r="M267" s="17">
        <f t="shared" si="43"/>
        <v>1</v>
      </c>
      <c r="N267" s="17">
        <f t="shared" si="43"/>
        <v>1</v>
      </c>
      <c r="O267" s="17">
        <f t="shared" si="43"/>
        <v>1</v>
      </c>
      <c r="P267" s="17">
        <f t="shared" si="43"/>
        <v>1</v>
      </c>
      <c r="Q267" s="17">
        <f t="shared" si="43"/>
        <v>1</v>
      </c>
      <c r="R267" s="17">
        <f t="shared" si="43"/>
        <v>1</v>
      </c>
      <c r="S267" s="17">
        <f t="shared" si="43"/>
        <v>1</v>
      </c>
      <c r="T267" s="17">
        <f t="shared" si="43"/>
        <v>1</v>
      </c>
      <c r="U267" s="17">
        <f t="shared" si="43"/>
        <v>1</v>
      </c>
      <c r="V267" s="17">
        <f t="shared" si="41"/>
        <v>1</v>
      </c>
      <c r="W267" s="17">
        <f t="shared" si="41"/>
        <v>1</v>
      </c>
      <c r="X267" s="17">
        <f t="shared" si="41"/>
        <v>1</v>
      </c>
      <c r="Y267" s="17">
        <f t="shared" si="41"/>
        <v>1</v>
      </c>
      <c r="Z267" s="17">
        <f t="shared" si="41"/>
        <v>1</v>
      </c>
      <c r="AA267" s="17">
        <f t="shared" si="41"/>
        <v>1</v>
      </c>
      <c r="AB267" s="17">
        <f t="shared" si="41"/>
        <v>0</v>
      </c>
      <c r="AC267" s="17">
        <f t="shared" si="41"/>
        <v>0</v>
      </c>
      <c r="AD267" s="17">
        <f t="shared" si="44"/>
        <v>16</v>
      </c>
    </row>
    <row r="268" spans="4:30" x14ac:dyDescent="0.2">
      <c r="D268" s="37">
        <v>45186</v>
      </c>
      <c r="E268" s="17" t="str">
        <f t="shared" si="42"/>
        <v>weekend</v>
      </c>
      <c r="F268" s="17">
        <f t="shared" si="43"/>
        <v>0</v>
      </c>
      <c r="G268" s="17">
        <f t="shared" si="43"/>
        <v>0</v>
      </c>
      <c r="H268" s="17">
        <f t="shared" si="43"/>
        <v>0</v>
      </c>
      <c r="I268" s="17">
        <f t="shared" si="43"/>
        <v>0</v>
      </c>
      <c r="J268" s="17">
        <f t="shared" si="43"/>
        <v>0</v>
      </c>
      <c r="K268" s="17">
        <f t="shared" si="43"/>
        <v>0</v>
      </c>
      <c r="L268" s="17">
        <f t="shared" si="43"/>
        <v>1</v>
      </c>
      <c r="M268" s="17">
        <f t="shared" si="43"/>
        <v>1</v>
      </c>
      <c r="N268" s="17">
        <f t="shared" si="43"/>
        <v>1</v>
      </c>
      <c r="O268" s="17">
        <f t="shared" si="43"/>
        <v>1</v>
      </c>
      <c r="P268" s="17">
        <f t="shared" si="43"/>
        <v>1</v>
      </c>
      <c r="Q268" s="17">
        <f t="shared" si="43"/>
        <v>1</v>
      </c>
      <c r="R268" s="17">
        <f t="shared" si="43"/>
        <v>1</v>
      </c>
      <c r="S268" s="17">
        <f t="shared" si="43"/>
        <v>1</v>
      </c>
      <c r="T268" s="17">
        <f t="shared" si="43"/>
        <v>1</v>
      </c>
      <c r="U268" s="17">
        <f t="shared" si="43"/>
        <v>1</v>
      </c>
      <c r="V268" s="17">
        <f t="shared" si="41"/>
        <v>1</v>
      </c>
      <c r="W268" s="17">
        <f t="shared" si="41"/>
        <v>1</v>
      </c>
      <c r="X268" s="17">
        <f t="shared" si="41"/>
        <v>1</v>
      </c>
      <c r="Y268" s="17">
        <f t="shared" si="41"/>
        <v>1</v>
      </c>
      <c r="Z268" s="17">
        <f t="shared" si="41"/>
        <v>1</v>
      </c>
      <c r="AA268" s="17">
        <f t="shared" si="41"/>
        <v>1</v>
      </c>
      <c r="AB268" s="17">
        <f t="shared" si="41"/>
        <v>0</v>
      </c>
      <c r="AC268" s="17">
        <f t="shared" si="41"/>
        <v>0</v>
      </c>
      <c r="AD268" s="17">
        <f t="shared" si="44"/>
        <v>16</v>
      </c>
    </row>
    <row r="269" spans="4:30" x14ac:dyDescent="0.2">
      <c r="D269" s="37">
        <v>45187</v>
      </c>
      <c r="E269" s="17" t="str">
        <f t="shared" si="42"/>
        <v>weekday</v>
      </c>
      <c r="F269" s="17">
        <f t="shared" si="43"/>
        <v>0</v>
      </c>
      <c r="G269" s="17">
        <f t="shared" si="43"/>
        <v>0</v>
      </c>
      <c r="H269" s="17">
        <f t="shared" si="43"/>
        <v>0</v>
      </c>
      <c r="I269" s="17">
        <f t="shared" si="43"/>
        <v>0</v>
      </c>
      <c r="J269" s="17">
        <f t="shared" si="43"/>
        <v>0</v>
      </c>
      <c r="K269" s="17">
        <f t="shared" si="43"/>
        <v>0</v>
      </c>
      <c r="L269" s="17">
        <f t="shared" si="43"/>
        <v>1</v>
      </c>
      <c r="M269" s="17">
        <f t="shared" si="43"/>
        <v>1</v>
      </c>
      <c r="N269" s="17">
        <f t="shared" si="43"/>
        <v>0</v>
      </c>
      <c r="O269" s="17">
        <f t="shared" si="43"/>
        <v>0</v>
      </c>
      <c r="P269" s="17">
        <f t="shared" si="43"/>
        <v>0</v>
      </c>
      <c r="Q269" s="17">
        <f t="shared" si="43"/>
        <v>0</v>
      </c>
      <c r="R269" s="17">
        <f t="shared" si="43"/>
        <v>0</v>
      </c>
      <c r="S269" s="17">
        <f t="shared" si="43"/>
        <v>0</v>
      </c>
      <c r="T269" s="17">
        <f t="shared" si="43"/>
        <v>0</v>
      </c>
      <c r="U269" s="17">
        <f t="shared" si="43"/>
        <v>1</v>
      </c>
      <c r="V269" s="17">
        <f t="shared" si="41"/>
        <v>1</v>
      </c>
      <c r="W269" s="17">
        <f t="shared" si="41"/>
        <v>1</v>
      </c>
      <c r="X269" s="17">
        <f t="shared" si="41"/>
        <v>1</v>
      </c>
      <c r="Y269" s="17">
        <f t="shared" si="41"/>
        <v>1</v>
      </c>
      <c r="Z269" s="17">
        <f t="shared" si="41"/>
        <v>1</v>
      </c>
      <c r="AA269" s="17">
        <f t="shared" si="41"/>
        <v>1</v>
      </c>
      <c r="AB269" s="17">
        <f t="shared" si="41"/>
        <v>0</v>
      </c>
      <c r="AC269" s="17">
        <f t="shared" si="41"/>
        <v>0</v>
      </c>
      <c r="AD269" s="17">
        <f t="shared" si="44"/>
        <v>9</v>
      </c>
    </row>
    <row r="270" spans="4:30" x14ac:dyDescent="0.2">
      <c r="D270" s="37">
        <v>45188</v>
      </c>
      <c r="E270" s="17" t="str">
        <f t="shared" si="42"/>
        <v>weekday</v>
      </c>
      <c r="F270" s="17">
        <f t="shared" si="43"/>
        <v>0</v>
      </c>
      <c r="G270" s="17">
        <f t="shared" si="43"/>
        <v>0</v>
      </c>
      <c r="H270" s="17">
        <f t="shared" si="43"/>
        <v>0</v>
      </c>
      <c r="I270" s="17">
        <f t="shared" si="43"/>
        <v>0</v>
      </c>
      <c r="J270" s="17">
        <f t="shared" si="43"/>
        <v>0</v>
      </c>
      <c r="K270" s="17">
        <f t="shared" si="43"/>
        <v>0</v>
      </c>
      <c r="L270" s="17">
        <f t="shared" si="43"/>
        <v>1</v>
      </c>
      <c r="M270" s="17">
        <f t="shared" si="43"/>
        <v>1</v>
      </c>
      <c r="N270" s="17">
        <f t="shared" si="43"/>
        <v>0</v>
      </c>
      <c r="O270" s="17">
        <f t="shared" si="43"/>
        <v>0</v>
      </c>
      <c r="P270" s="17">
        <f t="shared" si="43"/>
        <v>0</v>
      </c>
      <c r="Q270" s="17">
        <f t="shared" si="43"/>
        <v>0</v>
      </c>
      <c r="R270" s="17">
        <f t="shared" si="43"/>
        <v>0</v>
      </c>
      <c r="S270" s="17">
        <f t="shared" si="43"/>
        <v>0</v>
      </c>
      <c r="T270" s="17">
        <f t="shared" si="43"/>
        <v>0</v>
      </c>
      <c r="U270" s="17">
        <f t="shared" si="43"/>
        <v>1</v>
      </c>
      <c r="V270" s="17">
        <f t="shared" si="41"/>
        <v>1</v>
      </c>
      <c r="W270" s="17">
        <f t="shared" si="41"/>
        <v>1</v>
      </c>
      <c r="X270" s="17">
        <f t="shared" si="41"/>
        <v>1</v>
      </c>
      <c r="Y270" s="17">
        <f t="shared" si="41"/>
        <v>1</v>
      </c>
      <c r="Z270" s="17">
        <f t="shared" si="41"/>
        <v>1</v>
      </c>
      <c r="AA270" s="17">
        <f t="shared" si="41"/>
        <v>1</v>
      </c>
      <c r="AB270" s="17">
        <f t="shared" si="41"/>
        <v>0</v>
      </c>
      <c r="AC270" s="17">
        <f t="shared" si="41"/>
        <v>0</v>
      </c>
      <c r="AD270" s="17">
        <f t="shared" si="44"/>
        <v>9</v>
      </c>
    </row>
    <row r="271" spans="4:30" x14ac:dyDescent="0.2">
      <c r="D271" s="37">
        <v>45189</v>
      </c>
      <c r="E271" s="17" t="str">
        <f t="shared" si="42"/>
        <v>weekday</v>
      </c>
      <c r="F271" s="17">
        <f t="shared" si="43"/>
        <v>0</v>
      </c>
      <c r="G271" s="17">
        <f t="shared" si="43"/>
        <v>0</v>
      </c>
      <c r="H271" s="17">
        <f t="shared" si="43"/>
        <v>0</v>
      </c>
      <c r="I271" s="17">
        <f t="shared" si="43"/>
        <v>0</v>
      </c>
      <c r="J271" s="17">
        <f t="shared" si="43"/>
        <v>0</v>
      </c>
      <c r="K271" s="17">
        <f t="shared" si="43"/>
        <v>0</v>
      </c>
      <c r="L271" s="17">
        <f t="shared" si="43"/>
        <v>1</v>
      </c>
      <c r="M271" s="17">
        <f t="shared" si="43"/>
        <v>1</v>
      </c>
      <c r="N271" s="17">
        <f t="shared" si="43"/>
        <v>0</v>
      </c>
      <c r="O271" s="17">
        <f t="shared" si="43"/>
        <v>0</v>
      </c>
      <c r="P271" s="17">
        <f t="shared" si="43"/>
        <v>0</v>
      </c>
      <c r="Q271" s="17">
        <f t="shared" si="43"/>
        <v>0</v>
      </c>
      <c r="R271" s="17">
        <f t="shared" si="43"/>
        <v>0</v>
      </c>
      <c r="S271" s="17">
        <f t="shared" si="43"/>
        <v>0</v>
      </c>
      <c r="T271" s="17">
        <f t="shared" si="43"/>
        <v>0</v>
      </c>
      <c r="U271" s="17">
        <f t="shared" si="43"/>
        <v>1</v>
      </c>
      <c r="V271" s="17">
        <f t="shared" si="41"/>
        <v>1</v>
      </c>
      <c r="W271" s="17">
        <f t="shared" si="41"/>
        <v>1</v>
      </c>
      <c r="X271" s="17">
        <f t="shared" si="41"/>
        <v>1</v>
      </c>
      <c r="Y271" s="17">
        <f t="shared" si="41"/>
        <v>1</v>
      </c>
      <c r="Z271" s="17">
        <f t="shared" si="41"/>
        <v>1</v>
      </c>
      <c r="AA271" s="17">
        <f t="shared" si="41"/>
        <v>1</v>
      </c>
      <c r="AB271" s="17">
        <f t="shared" si="41"/>
        <v>0</v>
      </c>
      <c r="AC271" s="17">
        <f t="shared" si="41"/>
        <v>0</v>
      </c>
      <c r="AD271" s="17">
        <f t="shared" si="44"/>
        <v>9</v>
      </c>
    </row>
    <row r="272" spans="4:30" x14ac:dyDescent="0.2">
      <c r="D272" s="37">
        <v>45190</v>
      </c>
      <c r="E272" s="17" t="str">
        <f t="shared" si="42"/>
        <v>weekday</v>
      </c>
      <c r="F272" s="17">
        <f t="shared" si="43"/>
        <v>0</v>
      </c>
      <c r="G272" s="17">
        <f t="shared" si="43"/>
        <v>0</v>
      </c>
      <c r="H272" s="17">
        <f t="shared" si="43"/>
        <v>0</v>
      </c>
      <c r="I272" s="17">
        <f t="shared" si="43"/>
        <v>0</v>
      </c>
      <c r="J272" s="17">
        <f t="shared" si="43"/>
        <v>0</v>
      </c>
      <c r="K272" s="17">
        <f t="shared" si="43"/>
        <v>0</v>
      </c>
      <c r="L272" s="17">
        <f t="shared" si="43"/>
        <v>1</v>
      </c>
      <c r="M272" s="17">
        <f t="shared" si="43"/>
        <v>1</v>
      </c>
      <c r="N272" s="17">
        <f t="shared" si="43"/>
        <v>0</v>
      </c>
      <c r="O272" s="17">
        <f t="shared" si="43"/>
        <v>0</v>
      </c>
      <c r="P272" s="17">
        <f t="shared" si="43"/>
        <v>0</v>
      </c>
      <c r="Q272" s="17">
        <f t="shared" si="43"/>
        <v>0</v>
      </c>
      <c r="R272" s="17">
        <f t="shared" si="43"/>
        <v>0</v>
      </c>
      <c r="S272" s="17">
        <f t="shared" si="43"/>
        <v>0</v>
      </c>
      <c r="T272" s="17">
        <f t="shared" si="43"/>
        <v>0</v>
      </c>
      <c r="U272" s="17">
        <f t="shared" si="43"/>
        <v>1</v>
      </c>
      <c r="V272" s="17">
        <f t="shared" si="41"/>
        <v>1</v>
      </c>
      <c r="W272" s="17">
        <f t="shared" si="41"/>
        <v>1</v>
      </c>
      <c r="X272" s="17">
        <f t="shared" si="41"/>
        <v>1</v>
      </c>
      <c r="Y272" s="17">
        <f t="shared" si="41"/>
        <v>1</v>
      </c>
      <c r="Z272" s="17">
        <f t="shared" si="41"/>
        <v>1</v>
      </c>
      <c r="AA272" s="17">
        <f t="shared" si="41"/>
        <v>1</v>
      </c>
      <c r="AB272" s="17">
        <f t="shared" si="41"/>
        <v>0</v>
      </c>
      <c r="AC272" s="17">
        <f t="shared" si="41"/>
        <v>0</v>
      </c>
      <c r="AD272" s="17">
        <f t="shared" si="44"/>
        <v>9</v>
      </c>
    </row>
    <row r="273" spans="4:30" x14ac:dyDescent="0.2">
      <c r="D273" s="37">
        <v>45191</v>
      </c>
      <c r="E273" s="17" t="str">
        <f t="shared" si="42"/>
        <v>weekday</v>
      </c>
      <c r="F273" s="17">
        <f t="shared" si="43"/>
        <v>0</v>
      </c>
      <c r="G273" s="17">
        <f t="shared" si="43"/>
        <v>0</v>
      </c>
      <c r="H273" s="17">
        <f t="shared" si="43"/>
        <v>0</v>
      </c>
      <c r="I273" s="17">
        <f t="shared" si="43"/>
        <v>0</v>
      </c>
      <c r="J273" s="17">
        <f t="shared" si="43"/>
        <v>0</v>
      </c>
      <c r="K273" s="17">
        <f t="shared" si="43"/>
        <v>0</v>
      </c>
      <c r="L273" s="17">
        <f t="shared" si="43"/>
        <v>1</v>
      </c>
      <c r="M273" s="17">
        <f t="shared" si="43"/>
        <v>1</v>
      </c>
      <c r="N273" s="17">
        <f t="shared" si="43"/>
        <v>0</v>
      </c>
      <c r="O273" s="17">
        <f t="shared" si="43"/>
        <v>0</v>
      </c>
      <c r="P273" s="17">
        <f t="shared" si="43"/>
        <v>0</v>
      </c>
      <c r="Q273" s="17">
        <f t="shared" si="43"/>
        <v>0</v>
      </c>
      <c r="R273" s="17">
        <f t="shared" si="43"/>
        <v>0</v>
      </c>
      <c r="S273" s="17">
        <f t="shared" si="43"/>
        <v>0</v>
      </c>
      <c r="T273" s="17">
        <f t="shared" si="43"/>
        <v>0</v>
      </c>
      <c r="U273" s="17">
        <f t="shared" si="43"/>
        <v>1</v>
      </c>
      <c r="V273" s="17">
        <f t="shared" si="41"/>
        <v>1</v>
      </c>
      <c r="W273" s="17">
        <f t="shared" si="41"/>
        <v>1</v>
      </c>
      <c r="X273" s="17">
        <f t="shared" si="41"/>
        <v>1</v>
      </c>
      <c r="Y273" s="17">
        <f t="shared" si="41"/>
        <v>1</v>
      </c>
      <c r="Z273" s="17">
        <f t="shared" si="41"/>
        <v>1</v>
      </c>
      <c r="AA273" s="17">
        <f t="shared" si="41"/>
        <v>1</v>
      </c>
      <c r="AB273" s="17">
        <f t="shared" si="41"/>
        <v>0</v>
      </c>
      <c r="AC273" s="17">
        <f t="shared" si="41"/>
        <v>0</v>
      </c>
      <c r="AD273" s="17">
        <f t="shared" si="44"/>
        <v>9</v>
      </c>
    </row>
    <row r="274" spans="4:30" x14ac:dyDescent="0.2">
      <c r="D274" s="37">
        <v>45192</v>
      </c>
      <c r="E274" s="17" t="str">
        <f t="shared" si="42"/>
        <v>weekend</v>
      </c>
      <c r="F274" s="17">
        <f t="shared" si="43"/>
        <v>0</v>
      </c>
      <c r="G274" s="17">
        <f t="shared" si="43"/>
        <v>0</v>
      </c>
      <c r="H274" s="17">
        <f t="shared" si="43"/>
        <v>0</v>
      </c>
      <c r="I274" s="17">
        <f t="shared" si="43"/>
        <v>0</v>
      </c>
      <c r="J274" s="17">
        <f t="shared" si="43"/>
        <v>0</v>
      </c>
      <c r="K274" s="17">
        <f t="shared" si="43"/>
        <v>0</v>
      </c>
      <c r="L274" s="17">
        <f t="shared" si="43"/>
        <v>1</v>
      </c>
      <c r="M274" s="17">
        <f t="shared" si="43"/>
        <v>1</v>
      </c>
      <c r="N274" s="17">
        <f t="shared" si="43"/>
        <v>1</v>
      </c>
      <c r="O274" s="17">
        <f t="shared" si="43"/>
        <v>1</v>
      </c>
      <c r="P274" s="17">
        <f t="shared" si="43"/>
        <v>1</v>
      </c>
      <c r="Q274" s="17">
        <f t="shared" si="43"/>
        <v>1</v>
      </c>
      <c r="R274" s="17">
        <f t="shared" si="43"/>
        <v>1</v>
      </c>
      <c r="S274" s="17">
        <f t="shared" si="43"/>
        <v>1</v>
      </c>
      <c r="T274" s="17">
        <f t="shared" si="43"/>
        <v>1</v>
      </c>
      <c r="U274" s="17">
        <f t="shared" si="43"/>
        <v>1</v>
      </c>
      <c r="V274" s="17">
        <f t="shared" si="41"/>
        <v>1</v>
      </c>
      <c r="W274" s="17">
        <f t="shared" si="41"/>
        <v>1</v>
      </c>
      <c r="X274" s="17">
        <f t="shared" si="41"/>
        <v>1</v>
      </c>
      <c r="Y274" s="17">
        <f t="shared" si="41"/>
        <v>1</v>
      </c>
      <c r="Z274" s="17">
        <f t="shared" si="41"/>
        <v>1</v>
      </c>
      <c r="AA274" s="17">
        <f t="shared" si="41"/>
        <v>1</v>
      </c>
      <c r="AB274" s="17">
        <f t="shared" si="41"/>
        <v>0</v>
      </c>
      <c r="AC274" s="17">
        <f t="shared" si="41"/>
        <v>0</v>
      </c>
      <c r="AD274" s="17">
        <f t="shared" si="44"/>
        <v>16</v>
      </c>
    </row>
    <row r="275" spans="4:30" x14ac:dyDescent="0.2">
      <c r="D275" s="37">
        <v>45193</v>
      </c>
      <c r="E275" s="17" t="str">
        <f t="shared" si="42"/>
        <v>weekend</v>
      </c>
      <c r="F275" s="17">
        <f t="shared" si="43"/>
        <v>0</v>
      </c>
      <c r="G275" s="17">
        <f t="shared" si="43"/>
        <v>0</v>
      </c>
      <c r="H275" s="17">
        <f t="shared" si="43"/>
        <v>0</v>
      </c>
      <c r="I275" s="17">
        <f t="shared" si="43"/>
        <v>0</v>
      </c>
      <c r="J275" s="17">
        <f t="shared" si="43"/>
        <v>0</v>
      </c>
      <c r="K275" s="17">
        <f t="shared" si="43"/>
        <v>0</v>
      </c>
      <c r="L275" s="17">
        <f t="shared" si="43"/>
        <v>1</v>
      </c>
      <c r="M275" s="17">
        <f t="shared" si="43"/>
        <v>1</v>
      </c>
      <c r="N275" s="17">
        <f t="shared" si="43"/>
        <v>1</v>
      </c>
      <c r="O275" s="17">
        <f t="shared" si="43"/>
        <v>1</v>
      </c>
      <c r="P275" s="17">
        <f t="shared" si="43"/>
        <v>1</v>
      </c>
      <c r="Q275" s="17">
        <f t="shared" si="43"/>
        <v>1</v>
      </c>
      <c r="R275" s="17">
        <f t="shared" si="43"/>
        <v>1</v>
      </c>
      <c r="S275" s="17">
        <f t="shared" si="43"/>
        <v>1</v>
      </c>
      <c r="T275" s="17">
        <f t="shared" si="43"/>
        <v>1</v>
      </c>
      <c r="U275" s="17">
        <f t="shared" si="43"/>
        <v>1</v>
      </c>
      <c r="V275" s="17">
        <f t="shared" si="41"/>
        <v>1</v>
      </c>
      <c r="W275" s="17">
        <f t="shared" si="41"/>
        <v>1</v>
      </c>
      <c r="X275" s="17">
        <f t="shared" si="41"/>
        <v>1</v>
      </c>
      <c r="Y275" s="17">
        <f t="shared" si="41"/>
        <v>1</v>
      </c>
      <c r="Z275" s="17">
        <f t="shared" si="41"/>
        <v>1</v>
      </c>
      <c r="AA275" s="17">
        <f t="shared" si="41"/>
        <v>1</v>
      </c>
      <c r="AB275" s="17">
        <f t="shared" si="41"/>
        <v>0</v>
      </c>
      <c r="AC275" s="17">
        <f t="shared" si="41"/>
        <v>0</v>
      </c>
      <c r="AD275" s="17">
        <f t="shared" si="44"/>
        <v>16</v>
      </c>
    </row>
    <row r="276" spans="4:30" x14ac:dyDescent="0.2">
      <c r="D276" s="37">
        <v>45194</v>
      </c>
      <c r="E276" s="17" t="str">
        <f t="shared" si="42"/>
        <v>weekday</v>
      </c>
      <c r="F276" s="17">
        <f t="shared" si="43"/>
        <v>0</v>
      </c>
      <c r="G276" s="17">
        <f t="shared" si="43"/>
        <v>0</v>
      </c>
      <c r="H276" s="17">
        <f t="shared" si="43"/>
        <v>0</v>
      </c>
      <c r="I276" s="17">
        <f t="shared" si="43"/>
        <v>0</v>
      </c>
      <c r="J276" s="17">
        <f t="shared" si="43"/>
        <v>0</v>
      </c>
      <c r="K276" s="17">
        <f t="shared" si="43"/>
        <v>0</v>
      </c>
      <c r="L276" s="17">
        <f t="shared" si="43"/>
        <v>1</v>
      </c>
      <c r="M276" s="17">
        <f t="shared" si="43"/>
        <v>1</v>
      </c>
      <c r="N276" s="17">
        <f t="shared" si="43"/>
        <v>0</v>
      </c>
      <c r="O276" s="17">
        <f t="shared" si="43"/>
        <v>0</v>
      </c>
      <c r="P276" s="17">
        <f t="shared" si="43"/>
        <v>0</v>
      </c>
      <c r="Q276" s="17">
        <f t="shared" si="43"/>
        <v>0</v>
      </c>
      <c r="R276" s="17">
        <f t="shared" si="43"/>
        <v>0</v>
      </c>
      <c r="S276" s="17">
        <f t="shared" si="43"/>
        <v>0</v>
      </c>
      <c r="T276" s="17">
        <f t="shared" si="43"/>
        <v>0</v>
      </c>
      <c r="U276" s="17">
        <f t="shared" si="43"/>
        <v>1</v>
      </c>
      <c r="V276" s="17">
        <f t="shared" si="41"/>
        <v>1</v>
      </c>
      <c r="W276" s="17">
        <f t="shared" si="41"/>
        <v>1</v>
      </c>
      <c r="X276" s="17">
        <f t="shared" si="41"/>
        <v>1</v>
      </c>
      <c r="Y276" s="17">
        <f t="shared" si="41"/>
        <v>1</v>
      </c>
      <c r="Z276" s="17">
        <f t="shared" si="41"/>
        <v>1</v>
      </c>
      <c r="AA276" s="17">
        <f t="shared" si="41"/>
        <v>1</v>
      </c>
      <c r="AB276" s="17">
        <f t="shared" si="41"/>
        <v>0</v>
      </c>
      <c r="AC276" s="17">
        <f t="shared" si="41"/>
        <v>0</v>
      </c>
      <c r="AD276" s="17">
        <f t="shared" si="44"/>
        <v>9</v>
      </c>
    </row>
    <row r="277" spans="4:30" x14ac:dyDescent="0.2">
      <c r="D277" s="37">
        <v>45195</v>
      </c>
      <c r="E277" s="17" t="str">
        <f t="shared" si="42"/>
        <v>weekday</v>
      </c>
      <c r="F277" s="17">
        <f t="shared" si="43"/>
        <v>0</v>
      </c>
      <c r="G277" s="17">
        <f t="shared" si="43"/>
        <v>0</v>
      </c>
      <c r="H277" s="17">
        <f t="shared" si="43"/>
        <v>0</v>
      </c>
      <c r="I277" s="17">
        <f t="shared" si="43"/>
        <v>0</v>
      </c>
      <c r="J277" s="17">
        <f t="shared" si="43"/>
        <v>0</v>
      </c>
      <c r="K277" s="17">
        <f t="shared" si="43"/>
        <v>0</v>
      </c>
      <c r="L277" s="17">
        <f t="shared" si="43"/>
        <v>1</v>
      </c>
      <c r="M277" s="17">
        <f t="shared" si="43"/>
        <v>1</v>
      </c>
      <c r="N277" s="17">
        <f t="shared" si="43"/>
        <v>0</v>
      </c>
      <c r="O277" s="17">
        <f t="shared" si="43"/>
        <v>0</v>
      </c>
      <c r="P277" s="17">
        <f t="shared" si="43"/>
        <v>0</v>
      </c>
      <c r="Q277" s="17">
        <f t="shared" si="43"/>
        <v>0</v>
      </c>
      <c r="R277" s="17">
        <f t="shared" si="43"/>
        <v>0</v>
      </c>
      <c r="S277" s="17">
        <f t="shared" si="43"/>
        <v>0</v>
      </c>
      <c r="T277" s="17">
        <f t="shared" si="43"/>
        <v>0</v>
      </c>
      <c r="U277" s="17">
        <f t="shared" si="43"/>
        <v>1</v>
      </c>
      <c r="V277" s="17">
        <f t="shared" si="41"/>
        <v>1</v>
      </c>
      <c r="W277" s="17">
        <f t="shared" si="41"/>
        <v>1</v>
      </c>
      <c r="X277" s="17">
        <f t="shared" si="41"/>
        <v>1</v>
      </c>
      <c r="Y277" s="17">
        <f t="shared" si="41"/>
        <v>1</v>
      </c>
      <c r="Z277" s="17">
        <f t="shared" si="41"/>
        <v>1</v>
      </c>
      <c r="AA277" s="17">
        <f t="shared" si="41"/>
        <v>1</v>
      </c>
      <c r="AB277" s="17">
        <f t="shared" si="41"/>
        <v>0</v>
      </c>
      <c r="AC277" s="17">
        <f t="shared" si="41"/>
        <v>0</v>
      </c>
      <c r="AD277" s="17">
        <f t="shared" si="44"/>
        <v>9</v>
      </c>
    </row>
    <row r="278" spans="4:30" x14ac:dyDescent="0.2">
      <c r="D278" s="37">
        <v>45196</v>
      </c>
      <c r="E278" s="17" t="str">
        <f t="shared" si="42"/>
        <v>weekday</v>
      </c>
      <c r="F278" s="17">
        <f t="shared" si="43"/>
        <v>0</v>
      </c>
      <c r="G278" s="17">
        <f t="shared" si="43"/>
        <v>0</v>
      </c>
      <c r="H278" s="17">
        <f t="shared" si="43"/>
        <v>0</v>
      </c>
      <c r="I278" s="17">
        <f t="shared" si="43"/>
        <v>0</v>
      </c>
      <c r="J278" s="17">
        <f t="shared" si="43"/>
        <v>0</v>
      </c>
      <c r="K278" s="17">
        <f t="shared" si="43"/>
        <v>0</v>
      </c>
      <c r="L278" s="17">
        <f t="shared" si="43"/>
        <v>1</v>
      </c>
      <c r="M278" s="17">
        <f t="shared" si="43"/>
        <v>1</v>
      </c>
      <c r="N278" s="17">
        <f t="shared" si="43"/>
        <v>0</v>
      </c>
      <c r="O278" s="17">
        <f t="shared" si="43"/>
        <v>0</v>
      </c>
      <c r="P278" s="17">
        <f t="shared" si="43"/>
        <v>0</v>
      </c>
      <c r="Q278" s="17">
        <f t="shared" si="43"/>
        <v>0</v>
      </c>
      <c r="R278" s="17">
        <f t="shared" si="43"/>
        <v>0</v>
      </c>
      <c r="S278" s="17">
        <f t="shared" si="43"/>
        <v>0</v>
      </c>
      <c r="T278" s="17">
        <f t="shared" si="43"/>
        <v>0</v>
      </c>
      <c r="U278" s="17">
        <f t="shared" si="43"/>
        <v>1</v>
      </c>
      <c r="V278" s="17">
        <f t="shared" si="41"/>
        <v>1</v>
      </c>
      <c r="W278" s="17">
        <f t="shared" si="41"/>
        <v>1</v>
      </c>
      <c r="X278" s="17">
        <f t="shared" si="41"/>
        <v>1</v>
      </c>
      <c r="Y278" s="17">
        <f t="shared" si="41"/>
        <v>1</v>
      </c>
      <c r="Z278" s="17">
        <f t="shared" si="41"/>
        <v>1</v>
      </c>
      <c r="AA278" s="17">
        <f t="shared" si="41"/>
        <v>1</v>
      </c>
      <c r="AB278" s="17">
        <f t="shared" si="41"/>
        <v>0</v>
      </c>
      <c r="AC278" s="17">
        <f t="shared" si="41"/>
        <v>0</v>
      </c>
      <c r="AD278" s="17">
        <f t="shared" si="44"/>
        <v>9</v>
      </c>
    </row>
    <row r="279" spans="4:30" x14ac:dyDescent="0.2">
      <c r="D279" s="37">
        <v>45197</v>
      </c>
      <c r="E279" s="17" t="str">
        <f t="shared" si="42"/>
        <v>weekday</v>
      </c>
      <c r="F279" s="17">
        <f t="shared" si="43"/>
        <v>0</v>
      </c>
      <c r="G279" s="17">
        <f t="shared" si="43"/>
        <v>0</v>
      </c>
      <c r="H279" s="17">
        <f t="shared" si="43"/>
        <v>0</v>
      </c>
      <c r="I279" s="17">
        <f t="shared" si="43"/>
        <v>0</v>
      </c>
      <c r="J279" s="17">
        <f t="shared" si="43"/>
        <v>0</v>
      </c>
      <c r="K279" s="17">
        <f t="shared" si="43"/>
        <v>0</v>
      </c>
      <c r="L279" s="17">
        <f t="shared" si="43"/>
        <v>1</v>
      </c>
      <c r="M279" s="17">
        <f t="shared" si="43"/>
        <v>1</v>
      </c>
      <c r="N279" s="17">
        <f t="shared" si="43"/>
        <v>0</v>
      </c>
      <c r="O279" s="17">
        <f t="shared" si="43"/>
        <v>0</v>
      </c>
      <c r="P279" s="17">
        <f t="shared" si="43"/>
        <v>0</v>
      </c>
      <c r="Q279" s="17">
        <f t="shared" si="43"/>
        <v>0</v>
      </c>
      <c r="R279" s="17">
        <f t="shared" si="43"/>
        <v>0</v>
      </c>
      <c r="S279" s="17">
        <f t="shared" si="43"/>
        <v>0</v>
      </c>
      <c r="T279" s="17">
        <f t="shared" si="43"/>
        <v>0</v>
      </c>
      <c r="U279" s="17">
        <f t="shared" si="43"/>
        <v>1</v>
      </c>
      <c r="V279" s="17">
        <f t="shared" si="41"/>
        <v>1</v>
      </c>
      <c r="W279" s="17">
        <f t="shared" si="41"/>
        <v>1</v>
      </c>
      <c r="X279" s="17">
        <f t="shared" si="41"/>
        <v>1</v>
      </c>
      <c r="Y279" s="17">
        <f t="shared" si="41"/>
        <v>1</v>
      </c>
      <c r="Z279" s="17">
        <f t="shared" si="41"/>
        <v>1</v>
      </c>
      <c r="AA279" s="17">
        <f t="shared" si="41"/>
        <v>1</v>
      </c>
      <c r="AB279" s="17">
        <f t="shared" si="41"/>
        <v>0</v>
      </c>
      <c r="AC279" s="17">
        <f t="shared" si="41"/>
        <v>0</v>
      </c>
      <c r="AD279" s="17">
        <f t="shared" si="44"/>
        <v>9</v>
      </c>
    </row>
    <row r="280" spans="4:30" x14ac:dyDescent="0.2">
      <c r="D280" s="37">
        <v>45198</v>
      </c>
      <c r="E280" s="17" t="str">
        <f t="shared" si="42"/>
        <v>weekday</v>
      </c>
      <c r="F280" s="17">
        <f t="shared" si="43"/>
        <v>0</v>
      </c>
      <c r="G280" s="17">
        <f t="shared" si="43"/>
        <v>0</v>
      </c>
      <c r="H280" s="17">
        <f t="shared" si="43"/>
        <v>0</v>
      </c>
      <c r="I280" s="17">
        <f t="shared" si="43"/>
        <v>0</v>
      </c>
      <c r="J280" s="17">
        <f t="shared" si="43"/>
        <v>0</v>
      </c>
      <c r="K280" s="17">
        <f t="shared" si="43"/>
        <v>0</v>
      </c>
      <c r="L280" s="17">
        <f t="shared" si="43"/>
        <v>1</v>
      </c>
      <c r="M280" s="17">
        <f t="shared" si="43"/>
        <v>1</v>
      </c>
      <c r="N280" s="17">
        <f t="shared" si="43"/>
        <v>0</v>
      </c>
      <c r="O280" s="17">
        <f t="shared" si="43"/>
        <v>0</v>
      </c>
      <c r="P280" s="17">
        <f t="shared" si="43"/>
        <v>0</v>
      </c>
      <c r="Q280" s="17">
        <f t="shared" si="43"/>
        <v>0</v>
      </c>
      <c r="R280" s="17">
        <f t="shared" si="43"/>
        <v>0</v>
      </c>
      <c r="S280" s="17">
        <f t="shared" si="43"/>
        <v>0</v>
      </c>
      <c r="T280" s="17">
        <f t="shared" si="43"/>
        <v>0</v>
      </c>
      <c r="U280" s="17">
        <f t="shared" si="43"/>
        <v>1</v>
      </c>
      <c r="V280" s="17">
        <f t="shared" si="41"/>
        <v>1</v>
      </c>
      <c r="W280" s="17">
        <f t="shared" si="41"/>
        <v>1</v>
      </c>
      <c r="X280" s="17">
        <f t="shared" si="41"/>
        <v>1</v>
      </c>
      <c r="Y280" s="17">
        <f t="shared" si="41"/>
        <v>1</v>
      </c>
      <c r="Z280" s="17">
        <f t="shared" si="41"/>
        <v>1</v>
      </c>
      <c r="AA280" s="17">
        <f t="shared" si="41"/>
        <v>1</v>
      </c>
      <c r="AB280" s="17">
        <f t="shared" si="41"/>
        <v>0</v>
      </c>
      <c r="AC280" s="17">
        <f t="shared" si="41"/>
        <v>0</v>
      </c>
      <c r="AD280" s="17">
        <f t="shared" si="44"/>
        <v>9</v>
      </c>
    </row>
    <row r="281" spans="4:30" x14ac:dyDescent="0.2">
      <c r="D281" s="37">
        <v>45199</v>
      </c>
      <c r="E281" s="17" t="str">
        <f t="shared" si="42"/>
        <v>weekend</v>
      </c>
      <c r="F281" s="17">
        <f t="shared" si="43"/>
        <v>0</v>
      </c>
      <c r="G281" s="17">
        <f t="shared" si="43"/>
        <v>0</v>
      </c>
      <c r="H281" s="17">
        <f t="shared" si="43"/>
        <v>0</v>
      </c>
      <c r="I281" s="17">
        <f t="shared" si="43"/>
        <v>0</v>
      </c>
      <c r="J281" s="17">
        <f t="shared" si="43"/>
        <v>0</v>
      </c>
      <c r="K281" s="17">
        <f t="shared" si="43"/>
        <v>0</v>
      </c>
      <c r="L281" s="17">
        <f t="shared" si="43"/>
        <v>1</v>
      </c>
      <c r="M281" s="17">
        <f t="shared" si="43"/>
        <v>1</v>
      </c>
      <c r="N281" s="17">
        <f t="shared" si="43"/>
        <v>1</v>
      </c>
      <c r="O281" s="17">
        <f t="shared" si="43"/>
        <v>1</v>
      </c>
      <c r="P281" s="17">
        <f t="shared" si="43"/>
        <v>1</v>
      </c>
      <c r="Q281" s="17">
        <f t="shared" si="43"/>
        <v>1</v>
      </c>
      <c r="R281" s="17">
        <f t="shared" si="43"/>
        <v>1</v>
      </c>
      <c r="S281" s="17">
        <f t="shared" si="43"/>
        <v>1</v>
      </c>
      <c r="T281" s="17">
        <f t="shared" si="43"/>
        <v>1</v>
      </c>
      <c r="U281" s="17">
        <f t="shared" ref="U281:AC296" si="45">IF($E281=$E$5,(U$5),(U$6))</f>
        <v>1</v>
      </c>
      <c r="V281" s="17">
        <f t="shared" si="45"/>
        <v>1</v>
      </c>
      <c r="W281" s="17">
        <f t="shared" si="45"/>
        <v>1</v>
      </c>
      <c r="X281" s="17">
        <f t="shared" si="45"/>
        <v>1</v>
      </c>
      <c r="Y281" s="17">
        <f t="shared" si="45"/>
        <v>1</v>
      </c>
      <c r="Z281" s="17">
        <f t="shared" si="45"/>
        <v>1</v>
      </c>
      <c r="AA281" s="17">
        <f t="shared" si="45"/>
        <v>1</v>
      </c>
      <c r="AB281" s="17">
        <f t="shared" si="45"/>
        <v>0</v>
      </c>
      <c r="AC281" s="17">
        <f t="shared" si="45"/>
        <v>0</v>
      </c>
      <c r="AD281" s="17">
        <f t="shared" si="44"/>
        <v>16</v>
      </c>
    </row>
    <row r="282" spans="4:30" x14ac:dyDescent="0.2">
      <c r="D282" s="37">
        <v>45200</v>
      </c>
      <c r="E282" s="17" t="str">
        <f t="shared" si="42"/>
        <v>weekend</v>
      </c>
      <c r="F282" s="17">
        <f t="shared" ref="F282:U297" si="46">IF($E282=$E$5,(F$5),(F$6))</f>
        <v>0</v>
      </c>
      <c r="G282" s="17">
        <f t="shared" si="46"/>
        <v>0</v>
      </c>
      <c r="H282" s="17">
        <f t="shared" si="46"/>
        <v>0</v>
      </c>
      <c r="I282" s="17">
        <f t="shared" si="46"/>
        <v>0</v>
      </c>
      <c r="J282" s="17">
        <f t="shared" si="46"/>
        <v>0</v>
      </c>
      <c r="K282" s="17">
        <f t="shared" si="46"/>
        <v>0</v>
      </c>
      <c r="L282" s="17">
        <f t="shared" si="46"/>
        <v>1</v>
      </c>
      <c r="M282" s="17">
        <f t="shared" si="46"/>
        <v>1</v>
      </c>
      <c r="N282" s="17">
        <f t="shared" si="46"/>
        <v>1</v>
      </c>
      <c r="O282" s="17">
        <f t="shared" si="46"/>
        <v>1</v>
      </c>
      <c r="P282" s="17">
        <f t="shared" si="46"/>
        <v>1</v>
      </c>
      <c r="Q282" s="17">
        <f t="shared" si="46"/>
        <v>1</v>
      </c>
      <c r="R282" s="17">
        <f t="shared" si="46"/>
        <v>1</v>
      </c>
      <c r="S282" s="17">
        <f t="shared" si="46"/>
        <v>1</v>
      </c>
      <c r="T282" s="17">
        <f t="shared" si="46"/>
        <v>1</v>
      </c>
      <c r="U282" s="17">
        <f t="shared" si="46"/>
        <v>1</v>
      </c>
      <c r="V282" s="17">
        <f t="shared" si="45"/>
        <v>1</v>
      </c>
      <c r="W282" s="17">
        <f t="shared" si="45"/>
        <v>1</v>
      </c>
      <c r="X282" s="17">
        <f t="shared" si="45"/>
        <v>1</v>
      </c>
      <c r="Y282" s="17">
        <f t="shared" si="45"/>
        <v>1</v>
      </c>
      <c r="Z282" s="17">
        <f t="shared" si="45"/>
        <v>1</v>
      </c>
      <c r="AA282" s="17">
        <f t="shared" si="45"/>
        <v>1</v>
      </c>
      <c r="AB282" s="17">
        <f t="shared" si="45"/>
        <v>0</v>
      </c>
      <c r="AC282" s="17">
        <f t="shared" si="45"/>
        <v>0</v>
      </c>
      <c r="AD282" s="17">
        <f t="shared" si="44"/>
        <v>16</v>
      </c>
    </row>
    <row r="283" spans="4:30" x14ac:dyDescent="0.2">
      <c r="D283" s="37">
        <v>45201</v>
      </c>
      <c r="E283" s="17" t="str">
        <f t="shared" si="42"/>
        <v>weekday</v>
      </c>
      <c r="F283" s="17">
        <f t="shared" si="46"/>
        <v>0</v>
      </c>
      <c r="G283" s="17">
        <f t="shared" si="46"/>
        <v>0</v>
      </c>
      <c r="H283" s="17">
        <f t="shared" si="46"/>
        <v>0</v>
      </c>
      <c r="I283" s="17">
        <f t="shared" si="46"/>
        <v>0</v>
      </c>
      <c r="J283" s="17">
        <f t="shared" si="46"/>
        <v>0</v>
      </c>
      <c r="K283" s="17">
        <f t="shared" si="46"/>
        <v>0</v>
      </c>
      <c r="L283" s="17">
        <f t="shared" si="46"/>
        <v>1</v>
      </c>
      <c r="M283" s="17">
        <f t="shared" si="46"/>
        <v>1</v>
      </c>
      <c r="N283" s="17">
        <f t="shared" si="46"/>
        <v>0</v>
      </c>
      <c r="O283" s="17">
        <f t="shared" si="46"/>
        <v>0</v>
      </c>
      <c r="P283" s="17">
        <f t="shared" si="46"/>
        <v>0</v>
      </c>
      <c r="Q283" s="17">
        <f t="shared" si="46"/>
        <v>0</v>
      </c>
      <c r="R283" s="17">
        <f t="shared" si="46"/>
        <v>0</v>
      </c>
      <c r="S283" s="17">
        <f t="shared" si="46"/>
        <v>0</v>
      </c>
      <c r="T283" s="17">
        <f t="shared" si="46"/>
        <v>0</v>
      </c>
      <c r="U283" s="17">
        <f t="shared" si="46"/>
        <v>1</v>
      </c>
      <c r="V283" s="17">
        <f t="shared" si="45"/>
        <v>1</v>
      </c>
      <c r="W283" s="17">
        <f t="shared" si="45"/>
        <v>1</v>
      </c>
      <c r="X283" s="17">
        <f t="shared" si="45"/>
        <v>1</v>
      </c>
      <c r="Y283" s="17">
        <f t="shared" si="45"/>
        <v>1</v>
      </c>
      <c r="Z283" s="17">
        <f t="shared" si="45"/>
        <v>1</v>
      </c>
      <c r="AA283" s="17">
        <f t="shared" si="45"/>
        <v>1</v>
      </c>
      <c r="AB283" s="17">
        <f t="shared" si="45"/>
        <v>0</v>
      </c>
      <c r="AC283" s="17">
        <f t="shared" si="45"/>
        <v>0</v>
      </c>
      <c r="AD283" s="17">
        <f t="shared" si="44"/>
        <v>9</v>
      </c>
    </row>
    <row r="284" spans="4:30" x14ac:dyDescent="0.2">
      <c r="D284" s="37">
        <v>45202</v>
      </c>
      <c r="E284" s="17" t="str">
        <f t="shared" si="42"/>
        <v>weekday</v>
      </c>
      <c r="F284" s="17">
        <f t="shared" si="46"/>
        <v>0</v>
      </c>
      <c r="G284" s="17">
        <f t="shared" si="46"/>
        <v>0</v>
      </c>
      <c r="H284" s="17">
        <f t="shared" si="46"/>
        <v>0</v>
      </c>
      <c r="I284" s="17">
        <f t="shared" si="46"/>
        <v>0</v>
      </c>
      <c r="J284" s="17">
        <f t="shared" si="46"/>
        <v>0</v>
      </c>
      <c r="K284" s="17">
        <f t="shared" si="46"/>
        <v>0</v>
      </c>
      <c r="L284" s="17">
        <f t="shared" si="46"/>
        <v>1</v>
      </c>
      <c r="M284" s="17">
        <f t="shared" si="46"/>
        <v>1</v>
      </c>
      <c r="N284" s="17">
        <f t="shared" si="46"/>
        <v>0</v>
      </c>
      <c r="O284" s="17">
        <f t="shared" si="46"/>
        <v>0</v>
      </c>
      <c r="P284" s="17">
        <f t="shared" si="46"/>
        <v>0</v>
      </c>
      <c r="Q284" s="17">
        <f t="shared" si="46"/>
        <v>0</v>
      </c>
      <c r="R284" s="17">
        <f t="shared" si="46"/>
        <v>0</v>
      </c>
      <c r="S284" s="17">
        <f t="shared" si="46"/>
        <v>0</v>
      </c>
      <c r="T284" s="17">
        <f t="shared" si="46"/>
        <v>0</v>
      </c>
      <c r="U284" s="17">
        <f t="shared" si="46"/>
        <v>1</v>
      </c>
      <c r="V284" s="17">
        <f t="shared" si="45"/>
        <v>1</v>
      </c>
      <c r="W284" s="17">
        <f t="shared" si="45"/>
        <v>1</v>
      </c>
      <c r="X284" s="17">
        <f t="shared" si="45"/>
        <v>1</v>
      </c>
      <c r="Y284" s="17">
        <f t="shared" si="45"/>
        <v>1</v>
      </c>
      <c r="Z284" s="17">
        <f t="shared" si="45"/>
        <v>1</v>
      </c>
      <c r="AA284" s="17">
        <f t="shared" si="45"/>
        <v>1</v>
      </c>
      <c r="AB284" s="17">
        <f t="shared" si="45"/>
        <v>0</v>
      </c>
      <c r="AC284" s="17">
        <f t="shared" si="45"/>
        <v>0</v>
      </c>
      <c r="AD284" s="17">
        <f t="shared" si="44"/>
        <v>9</v>
      </c>
    </row>
    <row r="285" spans="4:30" x14ac:dyDescent="0.2">
      <c r="D285" s="37">
        <v>45203</v>
      </c>
      <c r="E285" s="17" t="str">
        <f t="shared" si="42"/>
        <v>weekday</v>
      </c>
      <c r="F285" s="17">
        <f t="shared" si="46"/>
        <v>0</v>
      </c>
      <c r="G285" s="17">
        <f t="shared" si="46"/>
        <v>0</v>
      </c>
      <c r="H285" s="17">
        <f t="shared" si="46"/>
        <v>0</v>
      </c>
      <c r="I285" s="17">
        <f t="shared" si="46"/>
        <v>0</v>
      </c>
      <c r="J285" s="17">
        <f t="shared" si="46"/>
        <v>0</v>
      </c>
      <c r="K285" s="17">
        <f t="shared" si="46"/>
        <v>0</v>
      </c>
      <c r="L285" s="17">
        <f t="shared" si="46"/>
        <v>1</v>
      </c>
      <c r="M285" s="17">
        <f t="shared" si="46"/>
        <v>1</v>
      </c>
      <c r="N285" s="17">
        <f t="shared" si="46"/>
        <v>0</v>
      </c>
      <c r="O285" s="17">
        <f t="shared" si="46"/>
        <v>0</v>
      </c>
      <c r="P285" s="17">
        <f t="shared" si="46"/>
        <v>0</v>
      </c>
      <c r="Q285" s="17">
        <f t="shared" si="46"/>
        <v>0</v>
      </c>
      <c r="R285" s="17">
        <f t="shared" si="46"/>
        <v>0</v>
      </c>
      <c r="S285" s="17">
        <f t="shared" si="46"/>
        <v>0</v>
      </c>
      <c r="T285" s="17">
        <f t="shared" si="46"/>
        <v>0</v>
      </c>
      <c r="U285" s="17">
        <f t="shared" si="46"/>
        <v>1</v>
      </c>
      <c r="V285" s="17">
        <f t="shared" si="45"/>
        <v>1</v>
      </c>
      <c r="W285" s="17">
        <f t="shared" si="45"/>
        <v>1</v>
      </c>
      <c r="X285" s="17">
        <f t="shared" si="45"/>
        <v>1</v>
      </c>
      <c r="Y285" s="17">
        <f t="shared" si="45"/>
        <v>1</v>
      </c>
      <c r="Z285" s="17">
        <f t="shared" si="45"/>
        <v>1</v>
      </c>
      <c r="AA285" s="17">
        <f t="shared" si="45"/>
        <v>1</v>
      </c>
      <c r="AB285" s="17">
        <f t="shared" si="45"/>
        <v>0</v>
      </c>
      <c r="AC285" s="17">
        <f t="shared" si="45"/>
        <v>0</v>
      </c>
      <c r="AD285" s="17">
        <f t="shared" si="44"/>
        <v>9</v>
      </c>
    </row>
    <row r="286" spans="4:30" x14ac:dyDescent="0.2">
      <c r="D286" s="37">
        <v>45204</v>
      </c>
      <c r="E286" s="17" t="str">
        <f t="shared" si="42"/>
        <v>weekday</v>
      </c>
      <c r="F286" s="17">
        <f t="shared" si="46"/>
        <v>0</v>
      </c>
      <c r="G286" s="17">
        <f t="shared" si="46"/>
        <v>0</v>
      </c>
      <c r="H286" s="17">
        <f t="shared" si="46"/>
        <v>0</v>
      </c>
      <c r="I286" s="17">
        <f t="shared" si="46"/>
        <v>0</v>
      </c>
      <c r="J286" s="17">
        <f t="shared" si="46"/>
        <v>0</v>
      </c>
      <c r="K286" s="17">
        <f t="shared" si="46"/>
        <v>0</v>
      </c>
      <c r="L286" s="17">
        <f t="shared" si="46"/>
        <v>1</v>
      </c>
      <c r="M286" s="17">
        <f t="shared" si="46"/>
        <v>1</v>
      </c>
      <c r="N286" s="17">
        <f t="shared" si="46"/>
        <v>0</v>
      </c>
      <c r="O286" s="17">
        <f t="shared" si="46"/>
        <v>0</v>
      </c>
      <c r="P286" s="17">
        <f t="shared" si="46"/>
        <v>0</v>
      </c>
      <c r="Q286" s="17">
        <f t="shared" si="46"/>
        <v>0</v>
      </c>
      <c r="R286" s="17">
        <f t="shared" si="46"/>
        <v>0</v>
      </c>
      <c r="S286" s="17">
        <f t="shared" si="46"/>
        <v>0</v>
      </c>
      <c r="T286" s="17">
        <f t="shared" si="46"/>
        <v>0</v>
      </c>
      <c r="U286" s="17">
        <f t="shared" si="46"/>
        <v>1</v>
      </c>
      <c r="V286" s="17">
        <f t="shared" si="45"/>
        <v>1</v>
      </c>
      <c r="W286" s="17">
        <f t="shared" si="45"/>
        <v>1</v>
      </c>
      <c r="X286" s="17">
        <f t="shared" si="45"/>
        <v>1</v>
      </c>
      <c r="Y286" s="17">
        <f t="shared" si="45"/>
        <v>1</v>
      </c>
      <c r="Z286" s="17">
        <f t="shared" si="45"/>
        <v>1</v>
      </c>
      <c r="AA286" s="17">
        <f t="shared" si="45"/>
        <v>1</v>
      </c>
      <c r="AB286" s="17">
        <f t="shared" si="45"/>
        <v>0</v>
      </c>
      <c r="AC286" s="17">
        <f t="shared" si="45"/>
        <v>0</v>
      </c>
      <c r="AD286" s="17">
        <f t="shared" si="44"/>
        <v>9</v>
      </c>
    </row>
    <row r="287" spans="4:30" x14ac:dyDescent="0.2">
      <c r="D287" s="37">
        <v>45205</v>
      </c>
      <c r="E287" s="17" t="str">
        <f t="shared" si="42"/>
        <v>weekday</v>
      </c>
      <c r="F287" s="17">
        <f t="shared" si="46"/>
        <v>0</v>
      </c>
      <c r="G287" s="17">
        <f t="shared" si="46"/>
        <v>0</v>
      </c>
      <c r="H287" s="17">
        <f t="shared" si="46"/>
        <v>0</v>
      </c>
      <c r="I287" s="17">
        <f t="shared" si="46"/>
        <v>0</v>
      </c>
      <c r="J287" s="17">
        <f t="shared" si="46"/>
        <v>0</v>
      </c>
      <c r="K287" s="17">
        <f t="shared" si="46"/>
        <v>0</v>
      </c>
      <c r="L287" s="17">
        <f t="shared" si="46"/>
        <v>1</v>
      </c>
      <c r="M287" s="17">
        <f t="shared" si="46"/>
        <v>1</v>
      </c>
      <c r="N287" s="17">
        <f t="shared" si="46"/>
        <v>0</v>
      </c>
      <c r="O287" s="17">
        <f t="shared" si="46"/>
        <v>0</v>
      </c>
      <c r="P287" s="17">
        <f t="shared" si="46"/>
        <v>0</v>
      </c>
      <c r="Q287" s="17">
        <f t="shared" si="46"/>
        <v>0</v>
      </c>
      <c r="R287" s="17">
        <f t="shared" si="46"/>
        <v>0</v>
      </c>
      <c r="S287" s="17">
        <f t="shared" si="46"/>
        <v>0</v>
      </c>
      <c r="T287" s="17">
        <f t="shared" si="46"/>
        <v>0</v>
      </c>
      <c r="U287" s="17">
        <f t="shared" si="46"/>
        <v>1</v>
      </c>
      <c r="V287" s="17">
        <f t="shared" si="45"/>
        <v>1</v>
      </c>
      <c r="W287" s="17">
        <f t="shared" si="45"/>
        <v>1</v>
      </c>
      <c r="X287" s="17">
        <f t="shared" si="45"/>
        <v>1</v>
      </c>
      <c r="Y287" s="17">
        <f t="shared" si="45"/>
        <v>1</v>
      </c>
      <c r="Z287" s="17">
        <f t="shared" si="45"/>
        <v>1</v>
      </c>
      <c r="AA287" s="17">
        <f t="shared" si="45"/>
        <v>1</v>
      </c>
      <c r="AB287" s="17">
        <f t="shared" si="45"/>
        <v>0</v>
      </c>
      <c r="AC287" s="17">
        <f t="shared" si="45"/>
        <v>0</v>
      </c>
      <c r="AD287" s="17">
        <f t="shared" si="44"/>
        <v>9</v>
      </c>
    </row>
    <row r="288" spans="4:30" x14ac:dyDescent="0.2">
      <c r="D288" s="37">
        <v>45206</v>
      </c>
      <c r="E288" s="17" t="str">
        <f t="shared" si="42"/>
        <v>weekend</v>
      </c>
      <c r="F288" s="17">
        <f t="shared" si="46"/>
        <v>0</v>
      </c>
      <c r="G288" s="17">
        <f t="shared" si="46"/>
        <v>0</v>
      </c>
      <c r="H288" s="17">
        <f t="shared" si="46"/>
        <v>0</v>
      </c>
      <c r="I288" s="17">
        <f t="shared" si="46"/>
        <v>0</v>
      </c>
      <c r="J288" s="17">
        <f t="shared" si="46"/>
        <v>0</v>
      </c>
      <c r="K288" s="17">
        <f t="shared" si="46"/>
        <v>0</v>
      </c>
      <c r="L288" s="17">
        <f t="shared" si="46"/>
        <v>1</v>
      </c>
      <c r="M288" s="17">
        <f t="shared" si="46"/>
        <v>1</v>
      </c>
      <c r="N288" s="17">
        <f t="shared" si="46"/>
        <v>1</v>
      </c>
      <c r="O288" s="17">
        <f t="shared" si="46"/>
        <v>1</v>
      </c>
      <c r="P288" s="17">
        <f t="shared" si="46"/>
        <v>1</v>
      </c>
      <c r="Q288" s="17">
        <f t="shared" si="46"/>
        <v>1</v>
      </c>
      <c r="R288" s="17">
        <f t="shared" si="46"/>
        <v>1</v>
      </c>
      <c r="S288" s="17">
        <f t="shared" si="46"/>
        <v>1</v>
      </c>
      <c r="T288" s="17">
        <f t="shared" si="46"/>
        <v>1</v>
      </c>
      <c r="U288" s="17">
        <f t="shared" si="46"/>
        <v>1</v>
      </c>
      <c r="V288" s="17">
        <f t="shared" si="45"/>
        <v>1</v>
      </c>
      <c r="W288" s="17">
        <f t="shared" si="45"/>
        <v>1</v>
      </c>
      <c r="X288" s="17">
        <f t="shared" si="45"/>
        <v>1</v>
      </c>
      <c r="Y288" s="17">
        <f t="shared" si="45"/>
        <v>1</v>
      </c>
      <c r="Z288" s="17">
        <f t="shared" si="45"/>
        <v>1</v>
      </c>
      <c r="AA288" s="17">
        <f t="shared" si="45"/>
        <v>1</v>
      </c>
      <c r="AB288" s="17">
        <f t="shared" si="45"/>
        <v>0</v>
      </c>
      <c r="AC288" s="17">
        <f t="shared" si="45"/>
        <v>0</v>
      </c>
      <c r="AD288" s="17">
        <f t="shared" si="44"/>
        <v>16</v>
      </c>
    </row>
    <row r="289" spans="4:30" x14ac:dyDescent="0.2">
      <c r="D289" s="37">
        <v>45207</v>
      </c>
      <c r="E289" s="17" t="str">
        <f t="shared" si="42"/>
        <v>weekend</v>
      </c>
      <c r="F289" s="17">
        <f t="shared" si="46"/>
        <v>0</v>
      </c>
      <c r="G289" s="17">
        <f t="shared" si="46"/>
        <v>0</v>
      </c>
      <c r="H289" s="17">
        <f t="shared" si="46"/>
        <v>0</v>
      </c>
      <c r="I289" s="17">
        <f t="shared" si="46"/>
        <v>0</v>
      </c>
      <c r="J289" s="17">
        <f t="shared" si="46"/>
        <v>0</v>
      </c>
      <c r="K289" s="17">
        <f t="shared" si="46"/>
        <v>0</v>
      </c>
      <c r="L289" s="17">
        <f t="shared" si="46"/>
        <v>1</v>
      </c>
      <c r="M289" s="17">
        <f t="shared" si="46"/>
        <v>1</v>
      </c>
      <c r="N289" s="17">
        <f t="shared" si="46"/>
        <v>1</v>
      </c>
      <c r="O289" s="17">
        <f t="shared" si="46"/>
        <v>1</v>
      </c>
      <c r="P289" s="17">
        <f t="shared" si="46"/>
        <v>1</v>
      </c>
      <c r="Q289" s="17">
        <f t="shared" si="46"/>
        <v>1</v>
      </c>
      <c r="R289" s="17">
        <f t="shared" si="46"/>
        <v>1</v>
      </c>
      <c r="S289" s="17">
        <f t="shared" si="46"/>
        <v>1</v>
      </c>
      <c r="T289" s="17">
        <f t="shared" si="46"/>
        <v>1</v>
      </c>
      <c r="U289" s="17">
        <f t="shared" si="46"/>
        <v>1</v>
      </c>
      <c r="V289" s="17">
        <f t="shared" si="45"/>
        <v>1</v>
      </c>
      <c r="W289" s="17">
        <f t="shared" si="45"/>
        <v>1</v>
      </c>
      <c r="X289" s="17">
        <f t="shared" si="45"/>
        <v>1</v>
      </c>
      <c r="Y289" s="17">
        <f t="shared" si="45"/>
        <v>1</v>
      </c>
      <c r="Z289" s="17">
        <f t="shared" si="45"/>
        <v>1</v>
      </c>
      <c r="AA289" s="17">
        <f t="shared" si="45"/>
        <v>1</v>
      </c>
      <c r="AB289" s="17">
        <f t="shared" si="45"/>
        <v>0</v>
      </c>
      <c r="AC289" s="17">
        <f t="shared" si="45"/>
        <v>0</v>
      </c>
      <c r="AD289" s="17">
        <f t="shared" si="44"/>
        <v>16</v>
      </c>
    </row>
    <row r="290" spans="4:30" x14ac:dyDescent="0.2">
      <c r="D290" s="37">
        <v>45208</v>
      </c>
      <c r="E290" s="17" t="str">
        <f t="shared" si="42"/>
        <v>weekday</v>
      </c>
      <c r="F290" s="17">
        <f t="shared" si="46"/>
        <v>0</v>
      </c>
      <c r="G290" s="17">
        <f t="shared" si="46"/>
        <v>0</v>
      </c>
      <c r="H290" s="17">
        <f t="shared" si="46"/>
        <v>0</v>
      </c>
      <c r="I290" s="17">
        <f t="shared" si="46"/>
        <v>0</v>
      </c>
      <c r="J290" s="17">
        <f t="shared" si="46"/>
        <v>0</v>
      </c>
      <c r="K290" s="17">
        <f t="shared" si="46"/>
        <v>0</v>
      </c>
      <c r="L290" s="17">
        <f t="shared" si="46"/>
        <v>1</v>
      </c>
      <c r="M290" s="17">
        <f t="shared" si="46"/>
        <v>1</v>
      </c>
      <c r="N290" s="17">
        <f t="shared" si="46"/>
        <v>0</v>
      </c>
      <c r="O290" s="17">
        <f t="shared" si="46"/>
        <v>0</v>
      </c>
      <c r="P290" s="17">
        <f t="shared" si="46"/>
        <v>0</v>
      </c>
      <c r="Q290" s="17">
        <f t="shared" si="46"/>
        <v>0</v>
      </c>
      <c r="R290" s="17">
        <f t="shared" si="46"/>
        <v>0</v>
      </c>
      <c r="S290" s="17">
        <f t="shared" si="46"/>
        <v>0</v>
      </c>
      <c r="T290" s="17">
        <f t="shared" si="46"/>
        <v>0</v>
      </c>
      <c r="U290" s="17">
        <f t="shared" si="46"/>
        <v>1</v>
      </c>
      <c r="V290" s="17">
        <f t="shared" si="45"/>
        <v>1</v>
      </c>
      <c r="W290" s="17">
        <f t="shared" si="45"/>
        <v>1</v>
      </c>
      <c r="X290" s="17">
        <f t="shared" si="45"/>
        <v>1</v>
      </c>
      <c r="Y290" s="17">
        <f t="shared" si="45"/>
        <v>1</v>
      </c>
      <c r="Z290" s="17">
        <f t="shared" si="45"/>
        <v>1</v>
      </c>
      <c r="AA290" s="17">
        <f t="shared" si="45"/>
        <v>1</v>
      </c>
      <c r="AB290" s="17">
        <f t="shared" si="45"/>
        <v>0</v>
      </c>
      <c r="AC290" s="17">
        <f t="shared" si="45"/>
        <v>0</v>
      </c>
      <c r="AD290" s="17">
        <f t="shared" si="44"/>
        <v>9</v>
      </c>
    </row>
    <row r="291" spans="4:30" x14ac:dyDescent="0.2">
      <c r="D291" s="37">
        <v>45209</v>
      </c>
      <c r="E291" s="17" t="str">
        <f t="shared" si="42"/>
        <v>weekday</v>
      </c>
      <c r="F291" s="17">
        <f t="shared" si="46"/>
        <v>0</v>
      </c>
      <c r="G291" s="17">
        <f t="shared" si="46"/>
        <v>0</v>
      </c>
      <c r="H291" s="17">
        <f t="shared" si="46"/>
        <v>0</v>
      </c>
      <c r="I291" s="17">
        <f t="shared" si="46"/>
        <v>0</v>
      </c>
      <c r="J291" s="17">
        <f t="shared" si="46"/>
        <v>0</v>
      </c>
      <c r="K291" s="17">
        <f t="shared" si="46"/>
        <v>0</v>
      </c>
      <c r="L291" s="17">
        <f t="shared" si="46"/>
        <v>1</v>
      </c>
      <c r="M291" s="17">
        <f t="shared" si="46"/>
        <v>1</v>
      </c>
      <c r="N291" s="17">
        <f t="shared" si="46"/>
        <v>0</v>
      </c>
      <c r="O291" s="17">
        <f t="shared" si="46"/>
        <v>0</v>
      </c>
      <c r="P291" s="17">
        <f t="shared" si="46"/>
        <v>0</v>
      </c>
      <c r="Q291" s="17">
        <f t="shared" si="46"/>
        <v>0</v>
      </c>
      <c r="R291" s="17">
        <f t="shared" si="46"/>
        <v>0</v>
      </c>
      <c r="S291" s="17">
        <f t="shared" si="46"/>
        <v>0</v>
      </c>
      <c r="T291" s="17">
        <f t="shared" si="46"/>
        <v>0</v>
      </c>
      <c r="U291" s="17">
        <f t="shared" si="46"/>
        <v>1</v>
      </c>
      <c r="V291" s="17">
        <f t="shared" si="45"/>
        <v>1</v>
      </c>
      <c r="W291" s="17">
        <f t="shared" si="45"/>
        <v>1</v>
      </c>
      <c r="X291" s="17">
        <f t="shared" si="45"/>
        <v>1</v>
      </c>
      <c r="Y291" s="17">
        <f t="shared" si="45"/>
        <v>1</v>
      </c>
      <c r="Z291" s="17">
        <f t="shared" si="45"/>
        <v>1</v>
      </c>
      <c r="AA291" s="17">
        <f t="shared" si="45"/>
        <v>1</v>
      </c>
      <c r="AB291" s="17">
        <f t="shared" si="45"/>
        <v>0</v>
      </c>
      <c r="AC291" s="17">
        <f t="shared" si="45"/>
        <v>0</v>
      </c>
      <c r="AD291" s="17">
        <f t="shared" si="44"/>
        <v>9</v>
      </c>
    </row>
    <row r="292" spans="4:30" x14ac:dyDescent="0.2">
      <c r="D292" s="37">
        <v>45210</v>
      </c>
      <c r="E292" s="17" t="str">
        <f t="shared" si="42"/>
        <v>weekday</v>
      </c>
      <c r="F292" s="17">
        <f t="shared" si="46"/>
        <v>0</v>
      </c>
      <c r="G292" s="17">
        <f t="shared" si="46"/>
        <v>0</v>
      </c>
      <c r="H292" s="17">
        <f t="shared" si="46"/>
        <v>0</v>
      </c>
      <c r="I292" s="17">
        <f t="shared" si="46"/>
        <v>0</v>
      </c>
      <c r="J292" s="17">
        <f t="shared" si="46"/>
        <v>0</v>
      </c>
      <c r="K292" s="17">
        <f t="shared" si="46"/>
        <v>0</v>
      </c>
      <c r="L292" s="17">
        <f t="shared" si="46"/>
        <v>1</v>
      </c>
      <c r="M292" s="17">
        <f t="shared" si="46"/>
        <v>1</v>
      </c>
      <c r="N292" s="17">
        <f t="shared" si="46"/>
        <v>0</v>
      </c>
      <c r="O292" s="17">
        <f t="shared" si="46"/>
        <v>0</v>
      </c>
      <c r="P292" s="17">
        <f t="shared" si="46"/>
        <v>0</v>
      </c>
      <c r="Q292" s="17">
        <f t="shared" si="46"/>
        <v>0</v>
      </c>
      <c r="R292" s="17">
        <f t="shared" si="46"/>
        <v>0</v>
      </c>
      <c r="S292" s="17">
        <f t="shared" si="46"/>
        <v>0</v>
      </c>
      <c r="T292" s="17">
        <f t="shared" si="46"/>
        <v>0</v>
      </c>
      <c r="U292" s="17">
        <f t="shared" si="46"/>
        <v>1</v>
      </c>
      <c r="V292" s="17">
        <f t="shared" si="45"/>
        <v>1</v>
      </c>
      <c r="W292" s="17">
        <f t="shared" si="45"/>
        <v>1</v>
      </c>
      <c r="X292" s="17">
        <f t="shared" si="45"/>
        <v>1</v>
      </c>
      <c r="Y292" s="17">
        <f t="shared" si="45"/>
        <v>1</v>
      </c>
      <c r="Z292" s="17">
        <f t="shared" si="45"/>
        <v>1</v>
      </c>
      <c r="AA292" s="17">
        <f t="shared" si="45"/>
        <v>1</v>
      </c>
      <c r="AB292" s="17">
        <f t="shared" si="45"/>
        <v>0</v>
      </c>
      <c r="AC292" s="17">
        <f t="shared" si="45"/>
        <v>0</v>
      </c>
      <c r="AD292" s="17">
        <f t="shared" si="44"/>
        <v>9</v>
      </c>
    </row>
    <row r="293" spans="4:30" x14ac:dyDescent="0.2">
      <c r="D293" s="37">
        <v>45211</v>
      </c>
      <c r="E293" s="17" t="str">
        <f t="shared" si="42"/>
        <v>weekday</v>
      </c>
      <c r="F293" s="17">
        <f t="shared" si="46"/>
        <v>0</v>
      </c>
      <c r="G293" s="17">
        <f t="shared" si="46"/>
        <v>0</v>
      </c>
      <c r="H293" s="17">
        <f t="shared" si="46"/>
        <v>0</v>
      </c>
      <c r="I293" s="17">
        <f t="shared" si="46"/>
        <v>0</v>
      </c>
      <c r="J293" s="17">
        <f t="shared" si="46"/>
        <v>0</v>
      </c>
      <c r="K293" s="17">
        <f t="shared" si="46"/>
        <v>0</v>
      </c>
      <c r="L293" s="17">
        <f t="shared" si="46"/>
        <v>1</v>
      </c>
      <c r="M293" s="17">
        <f t="shared" si="46"/>
        <v>1</v>
      </c>
      <c r="N293" s="17">
        <f t="shared" si="46"/>
        <v>0</v>
      </c>
      <c r="O293" s="17">
        <f t="shared" si="46"/>
        <v>0</v>
      </c>
      <c r="P293" s="17">
        <f t="shared" si="46"/>
        <v>0</v>
      </c>
      <c r="Q293" s="17">
        <f t="shared" si="46"/>
        <v>0</v>
      </c>
      <c r="R293" s="17">
        <f t="shared" si="46"/>
        <v>0</v>
      </c>
      <c r="S293" s="17">
        <f t="shared" si="46"/>
        <v>0</v>
      </c>
      <c r="T293" s="17">
        <f t="shared" si="46"/>
        <v>0</v>
      </c>
      <c r="U293" s="17">
        <f t="shared" si="46"/>
        <v>1</v>
      </c>
      <c r="V293" s="17">
        <f t="shared" si="45"/>
        <v>1</v>
      </c>
      <c r="W293" s="17">
        <f t="shared" si="45"/>
        <v>1</v>
      </c>
      <c r="X293" s="17">
        <f t="shared" si="45"/>
        <v>1</v>
      </c>
      <c r="Y293" s="17">
        <f t="shared" si="45"/>
        <v>1</v>
      </c>
      <c r="Z293" s="17">
        <f t="shared" si="45"/>
        <v>1</v>
      </c>
      <c r="AA293" s="17">
        <f t="shared" si="45"/>
        <v>1</v>
      </c>
      <c r="AB293" s="17">
        <f t="shared" si="45"/>
        <v>0</v>
      </c>
      <c r="AC293" s="17">
        <f t="shared" si="45"/>
        <v>0</v>
      </c>
      <c r="AD293" s="17">
        <f t="shared" si="44"/>
        <v>9</v>
      </c>
    </row>
    <row r="294" spans="4:30" x14ac:dyDescent="0.2">
      <c r="D294" s="37">
        <v>45212</v>
      </c>
      <c r="E294" s="17" t="str">
        <f t="shared" si="42"/>
        <v>weekday</v>
      </c>
      <c r="F294" s="17">
        <f t="shared" si="46"/>
        <v>0</v>
      </c>
      <c r="G294" s="17">
        <f t="shared" si="46"/>
        <v>0</v>
      </c>
      <c r="H294" s="17">
        <f t="shared" si="46"/>
        <v>0</v>
      </c>
      <c r="I294" s="17">
        <f t="shared" si="46"/>
        <v>0</v>
      </c>
      <c r="J294" s="17">
        <f t="shared" si="46"/>
        <v>0</v>
      </c>
      <c r="K294" s="17">
        <f t="shared" si="46"/>
        <v>0</v>
      </c>
      <c r="L294" s="17">
        <f t="shared" si="46"/>
        <v>1</v>
      </c>
      <c r="M294" s="17">
        <f t="shared" si="46"/>
        <v>1</v>
      </c>
      <c r="N294" s="17">
        <f t="shared" si="46"/>
        <v>0</v>
      </c>
      <c r="O294" s="17">
        <f t="shared" si="46"/>
        <v>0</v>
      </c>
      <c r="P294" s="17">
        <f t="shared" si="46"/>
        <v>0</v>
      </c>
      <c r="Q294" s="17">
        <f t="shared" si="46"/>
        <v>0</v>
      </c>
      <c r="R294" s="17">
        <f t="shared" si="46"/>
        <v>0</v>
      </c>
      <c r="S294" s="17">
        <f t="shared" si="46"/>
        <v>0</v>
      </c>
      <c r="T294" s="17">
        <f t="shared" si="46"/>
        <v>0</v>
      </c>
      <c r="U294" s="17">
        <f t="shared" si="46"/>
        <v>1</v>
      </c>
      <c r="V294" s="17">
        <f t="shared" si="45"/>
        <v>1</v>
      </c>
      <c r="W294" s="17">
        <f t="shared" si="45"/>
        <v>1</v>
      </c>
      <c r="X294" s="17">
        <f t="shared" si="45"/>
        <v>1</v>
      </c>
      <c r="Y294" s="17">
        <f t="shared" si="45"/>
        <v>1</v>
      </c>
      <c r="Z294" s="17">
        <f t="shared" si="45"/>
        <v>1</v>
      </c>
      <c r="AA294" s="17">
        <f t="shared" si="45"/>
        <v>1</v>
      </c>
      <c r="AB294" s="17">
        <f t="shared" si="45"/>
        <v>0</v>
      </c>
      <c r="AC294" s="17">
        <f t="shared" si="45"/>
        <v>0</v>
      </c>
      <c r="AD294" s="17">
        <f t="shared" si="44"/>
        <v>9</v>
      </c>
    </row>
    <row r="295" spans="4:30" x14ac:dyDescent="0.2">
      <c r="D295" s="37">
        <v>45213</v>
      </c>
      <c r="E295" s="17" t="str">
        <f t="shared" si="42"/>
        <v>weekend</v>
      </c>
      <c r="F295" s="17">
        <f t="shared" si="46"/>
        <v>0</v>
      </c>
      <c r="G295" s="17">
        <f t="shared" si="46"/>
        <v>0</v>
      </c>
      <c r="H295" s="17">
        <f t="shared" si="46"/>
        <v>0</v>
      </c>
      <c r="I295" s="17">
        <f t="shared" si="46"/>
        <v>0</v>
      </c>
      <c r="J295" s="17">
        <f t="shared" si="46"/>
        <v>0</v>
      </c>
      <c r="K295" s="17">
        <f t="shared" si="46"/>
        <v>0</v>
      </c>
      <c r="L295" s="17">
        <f t="shared" si="46"/>
        <v>1</v>
      </c>
      <c r="M295" s="17">
        <f t="shared" si="46"/>
        <v>1</v>
      </c>
      <c r="N295" s="17">
        <f t="shared" si="46"/>
        <v>1</v>
      </c>
      <c r="O295" s="17">
        <f t="shared" si="46"/>
        <v>1</v>
      </c>
      <c r="P295" s="17">
        <f t="shared" si="46"/>
        <v>1</v>
      </c>
      <c r="Q295" s="17">
        <f t="shared" si="46"/>
        <v>1</v>
      </c>
      <c r="R295" s="17">
        <f t="shared" si="46"/>
        <v>1</v>
      </c>
      <c r="S295" s="17">
        <f t="shared" si="46"/>
        <v>1</v>
      </c>
      <c r="T295" s="17">
        <f t="shared" si="46"/>
        <v>1</v>
      </c>
      <c r="U295" s="17">
        <f t="shared" si="46"/>
        <v>1</v>
      </c>
      <c r="V295" s="17">
        <f t="shared" si="45"/>
        <v>1</v>
      </c>
      <c r="W295" s="17">
        <f t="shared" si="45"/>
        <v>1</v>
      </c>
      <c r="X295" s="17">
        <f t="shared" si="45"/>
        <v>1</v>
      </c>
      <c r="Y295" s="17">
        <f t="shared" si="45"/>
        <v>1</v>
      </c>
      <c r="Z295" s="17">
        <f t="shared" si="45"/>
        <v>1</v>
      </c>
      <c r="AA295" s="17">
        <f t="shared" si="45"/>
        <v>1</v>
      </c>
      <c r="AB295" s="17">
        <f t="shared" si="45"/>
        <v>0</v>
      </c>
      <c r="AC295" s="17">
        <f t="shared" si="45"/>
        <v>0</v>
      </c>
      <c r="AD295" s="17">
        <f t="shared" si="44"/>
        <v>16</v>
      </c>
    </row>
    <row r="296" spans="4:30" x14ac:dyDescent="0.2">
      <c r="D296" s="37">
        <v>45214</v>
      </c>
      <c r="E296" s="17" t="str">
        <f t="shared" si="42"/>
        <v>weekend</v>
      </c>
      <c r="F296" s="17">
        <f t="shared" si="46"/>
        <v>0</v>
      </c>
      <c r="G296" s="17">
        <f t="shared" si="46"/>
        <v>0</v>
      </c>
      <c r="H296" s="17">
        <f t="shared" si="46"/>
        <v>0</v>
      </c>
      <c r="I296" s="17">
        <f t="shared" si="46"/>
        <v>0</v>
      </c>
      <c r="J296" s="17">
        <f t="shared" si="46"/>
        <v>0</v>
      </c>
      <c r="K296" s="17">
        <f t="shared" si="46"/>
        <v>0</v>
      </c>
      <c r="L296" s="17">
        <f t="shared" si="46"/>
        <v>1</v>
      </c>
      <c r="M296" s="17">
        <f t="shared" si="46"/>
        <v>1</v>
      </c>
      <c r="N296" s="17">
        <f t="shared" si="46"/>
        <v>1</v>
      </c>
      <c r="O296" s="17">
        <f t="shared" si="46"/>
        <v>1</v>
      </c>
      <c r="P296" s="17">
        <f t="shared" si="46"/>
        <v>1</v>
      </c>
      <c r="Q296" s="17">
        <f t="shared" si="46"/>
        <v>1</v>
      </c>
      <c r="R296" s="17">
        <f t="shared" si="46"/>
        <v>1</v>
      </c>
      <c r="S296" s="17">
        <f t="shared" si="46"/>
        <v>1</v>
      </c>
      <c r="T296" s="17">
        <f t="shared" si="46"/>
        <v>1</v>
      </c>
      <c r="U296" s="17">
        <f t="shared" si="46"/>
        <v>1</v>
      </c>
      <c r="V296" s="17">
        <f t="shared" si="45"/>
        <v>1</v>
      </c>
      <c r="W296" s="17">
        <f t="shared" si="45"/>
        <v>1</v>
      </c>
      <c r="X296" s="17">
        <f t="shared" si="45"/>
        <v>1</v>
      </c>
      <c r="Y296" s="17">
        <f t="shared" si="45"/>
        <v>1</v>
      </c>
      <c r="Z296" s="17">
        <f t="shared" si="45"/>
        <v>1</v>
      </c>
      <c r="AA296" s="17">
        <f t="shared" si="45"/>
        <v>1</v>
      </c>
      <c r="AB296" s="17">
        <f t="shared" si="45"/>
        <v>0</v>
      </c>
      <c r="AC296" s="17">
        <f t="shared" si="45"/>
        <v>0</v>
      </c>
      <c r="AD296" s="17">
        <f t="shared" si="44"/>
        <v>16</v>
      </c>
    </row>
    <row r="297" spans="4:30" x14ac:dyDescent="0.2">
      <c r="D297" s="37">
        <v>45215</v>
      </c>
      <c r="E297" s="17" t="str">
        <f t="shared" si="42"/>
        <v>weekday</v>
      </c>
      <c r="F297" s="17">
        <f t="shared" si="46"/>
        <v>0</v>
      </c>
      <c r="G297" s="17">
        <f t="shared" si="46"/>
        <v>0</v>
      </c>
      <c r="H297" s="17">
        <f t="shared" si="46"/>
        <v>0</v>
      </c>
      <c r="I297" s="17">
        <f t="shared" si="46"/>
        <v>0</v>
      </c>
      <c r="J297" s="17">
        <f t="shared" si="46"/>
        <v>0</v>
      </c>
      <c r="K297" s="17">
        <f t="shared" si="46"/>
        <v>0</v>
      </c>
      <c r="L297" s="17">
        <f t="shared" si="46"/>
        <v>1</v>
      </c>
      <c r="M297" s="17">
        <f t="shared" si="46"/>
        <v>1</v>
      </c>
      <c r="N297" s="17">
        <f t="shared" si="46"/>
        <v>0</v>
      </c>
      <c r="O297" s="17">
        <f t="shared" si="46"/>
        <v>0</v>
      </c>
      <c r="P297" s="17">
        <f t="shared" si="46"/>
        <v>0</v>
      </c>
      <c r="Q297" s="17">
        <f t="shared" si="46"/>
        <v>0</v>
      </c>
      <c r="R297" s="17">
        <f t="shared" si="46"/>
        <v>0</v>
      </c>
      <c r="S297" s="17">
        <f t="shared" si="46"/>
        <v>0</v>
      </c>
      <c r="T297" s="17">
        <f t="shared" si="46"/>
        <v>0</v>
      </c>
      <c r="U297" s="17">
        <f t="shared" ref="U297:AC312" si="47">IF($E297=$E$5,(U$5),(U$6))</f>
        <v>1</v>
      </c>
      <c r="V297" s="17">
        <f t="shared" si="47"/>
        <v>1</v>
      </c>
      <c r="W297" s="17">
        <f t="shared" si="47"/>
        <v>1</v>
      </c>
      <c r="X297" s="17">
        <f t="shared" si="47"/>
        <v>1</v>
      </c>
      <c r="Y297" s="17">
        <f t="shared" si="47"/>
        <v>1</v>
      </c>
      <c r="Z297" s="17">
        <f t="shared" si="47"/>
        <v>1</v>
      </c>
      <c r="AA297" s="17">
        <f t="shared" si="47"/>
        <v>1</v>
      </c>
      <c r="AB297" s="17">
        <f t="shared" si="47"/>
        <v>0</v>
      </c>
      <c r="AC297" s="17">
        <f t="shared" si="47"/>
        <v>0</v>
      </c>
      <c r="AD297" s="17">
        <f t="shared" si="44"/>
        <v>9</v>
      </c>
    </row>
    <row r="298" spans="4:30" x14ac:dyDescent="0.2">
      <c r="D298" s="37">
        <v>45216</v>
      </c>
      <c r="E298" s="17" t="str">
        <f t="shared" si="42"/>
        <v>weekday</v>
      </c>
      <c r="F298" s="17">
        <f t="shared" ref="F298:U313" si="48">IF($E298=$E$5,(F$5),(F$6))</f>
        <v>0</v>
      </c>
      <c r="G298" s="17">
        <f t="shared" si="48"/>
        <v>0</v>
      </c>
      <c r="H298" s="17">
        <f t="shared" si="48"/>
        <v>0</v>
      </c>
      <c r="I298" s="17">
        <f t="shared" si="48"/>
        <v>0</v>
      </c>
      <c r="J298" s="17">
        <f t="shared" si="48"/>
        <v>0</v>
      </c>
      <c r="K298" s="17">
        <f t="shared" si="48"/>
        <v>0</v>
      </c>
      <c r="L298" s="17">
        <f t="shared" si="48"/>
        <v>1</v>
      </c>
      <c r="M298" s="17">
        <f t="shared" si="48"/>
        <v>1</v>
      </c>
      <c r="N298" s="17">
        <f t="shared" si="48"/>
        <v>0</v>
      </c>
      <c r="O298" s="17">
        <f t="shared" si="48"/>
        <v>0</v>
      </c>
      <c r="P298" s="17">
        <f t="shared" si="48"/>
        <v>0</v>
      </c>
      <c r="Q298" s="17">
        <f t="shared" si="48"/>
        <v>0</v>
      </c>
      <c r="R298" s="17">
        <f t="shared" si="48"/>
        <v>0</v>
      </c>
      <c r="S298" s="17">
        <f t="shared" si="48"/>
        <v>0</v>
      </c>
      <c r="T298" s="17">
        <f t="shared" si="48"/>
        <v>0</v>
      </c>
      <c r="U298" s="17">
        <f t="shared" si="48"/>
        <v>1</v>
      </c>
      <c r="V298" s="17">
        <f t="shared" si="47"/>
        <v>1</v>
      </c>
      <c r="W298" s="17">
        <f t="shared" si="47"/>
        <v>1</v>
      </c>
      <c r="X298" s="17">
        <f t="shared" si="47"/>
        <v>1</v>
      </c>
      <c r="Y298" s="17">
        <f t="shared" si="47"/>
        <v>1</v>
      </c>
      <c r="Z298" s="17">
        <f t="shared" si="47"/>
        <v>1</v>
      </c>
      <c r="AA298" s="17">
        <f t="shared" si="47"/>
        <v>1</v>
      </c>
      <c r="AB298" s="17">
        <f t="shared" si="47"/>
        <v>0</v>
      </c>
      <c r="AC298" s="17">
        <f t="shared" si="47"/>
        <v>0</v>
      </c>
      <c r="AD298" s="17">
        <f t="shared" si="44"/>
        <v>9</v>
      </c>
    </row>
    <row r="299" spans="4:30" x14ac:dyDescent="0.2">
      <c r="D299" s="37">
        <v>45217</v>
      </c>
      <c r="E299" s="17" t="str">
        <f t="shared" si="42"/>
        <v>weekday</v>
      </c>
      <c r="F299" s="17">
        <f t="shared" si="48"/>
        <v>0</v>
      </c>
      <c r="G299" s="17">
        <f t="shared" si="48"/>
        <v>0</v>
      </c>
      <c r="H299" s="17">
        <f t="shared" si="48"/>
        <v>0</v>
      </c>
      <c r="I299" s="17">
        <f t="shared" si="48"/>
        <v>0</v>
      </c>
      <c r="J299" s="17">
        <f t="shared" si="48"/>
        <v>0</v>
      </c>
      <c r="K299" s="17">
        <f t="shared" si="48"/>
        <v>0</v>
      </c>
      <c r="L299" s="17">
        <f t="shared" si="48"/>
        <v>1</v>
      </c>
      <c r="M299" s="17">
        <f t="shared" si="48"/>
        <v>1</v>
      </c>
      <c r="N299" s="17">
        <f t="shared" si="48"/>
        <v>0</v>
      </c>
      <c r="O299" s="17">
        <f t="shared" si="48"/>
        <v>0</v>
      </c>
      <c r="P299" s="17">
        <f t="shared" si="48"/>
        <v>0</v>
      </c>
      <c r="Q299" s="17">
        <f t="shared" si="48"/>
        <v>0</v>
      </c>
      <c r="R299" s="17">
        <f t="shared" si="48"/>
        <v>0</v>
      </c>
      <c r="S299" s="17">
        <f t="shared" si="48"/>
        <v>0</v>
      </c>
      <c r="T299" s="17">
        <f t="shared" si="48"/>
        <v>0</v>
      </c>
      <c r="U299" s="17">
        <f t="shared" si="48"/>
        <v>1</v>
      </c>
      <c r="V299" s="17">
        <f t="shared" si="47"/>
        <v>1</v>
      </c>
      <c r="W299" s="17">
        <f t="shared" si="47"/>
        <v>1</v>
      </c>
      <c r="X299" s="17">
        <f t="shared" si="47"/>
        <v>1</v>
      </c>
      <c r="Y299" s="17">
        <f t="shared" si="47"/>
        <v>1</v>
      </c>
      <c r="Z299" s="17">
        <f t="shared" si="47"/>
        <v>1</v>
      </c>
      <c r="AA299" s="17">
        <f t="shared" si="47"/>
        <v>1</v>
      </c>
      <c r="AB299" s="17">
        <f t="shared" si="47"/>
        <v>0</v>
      </c>
      <c r="AC299" s="17">
        <f t="shared" si="47"/>
        <v>0</v>
      </c>
      <c r="AD299" s="17">
        <f t="shared" si="44"/>
        <v>9</v>
      </c>
    </row>
    <row r="300" spans="4:30" x14ac:dyDescent="0.2">
      <c r="D300" s="37">
        <v>45218</v>
      </c>
      <c r="E300" s="17" t="str">
        <f t="shared" si="42"/>
        <v>weekday</v>
      </c>
      <c r="F300" s="17">
        <f t="shared" si="48"/>
        <v>0</v>
      </c>
      <c r="G300" s="17">
        <f t="shared" si="48"/>
        <v>0</v>
      </c>
      <c r="H300" s="17">
        <f t="shared" si="48"/>
        <v>0</v>
      </c>
      <c r="I300" s="17">
        <f t="shared" si="48"/>
        <v>0</v>
      </c>
      <c r="J300" s="17">
        <f t="shared" si="48"/>
        <v>0</v>
      </c>
      <c r="K300" s="17">
        <f t="shared" si="48"/>
        <v>0</v>
      </c>
      <c r="L300" s="17">
        <f t="shared" si="48"/>
        <v>1</v>
      </c>
      <c r="M300" s="17">
        <f t="shared" si="48"/>
        <v>1</v>
      </c>
      <c r="N300" s="17">
        <f t="shared" si="48"/>
        <v>0</v>
      </c>
      <c r="O300" s="17">
        <f t="shared" si="48"/>
        <v>0</v>
      </c>
      <c r="P300" s="17">
        <f t="shared" si="48"/>
        <v>0</v>
      </c>
      <c r="Q300" s="17">
        <f t="shared" si="48"/>
        <v>0</v>
      </c>
      <c r="R300" s="17">
        <f t="shared" si="48"/>
        <v>0</v>
      </c>
      <c r="S300" s="17">
        <f t="shared" si="48"/>
        <v>0</v>
      </c>
      <c r="T300" s="17">
        <f t="shared" si="48"/>
        <v>0</v>
      </c>
      <c r="U300" s="17">
        <f t="shared" si="48"/>
        <v>1</v>
      </c>
      <c r="V300" s="17">
        <f t="shared" si="47"/>
        <v>1</v>
      </c>
      <c r="W300" s="17">
        <f t="shared" si="47"/>
        <v>1</v>
      </c>
      <c r="X300" s="17">
        <f t="shared" si="47"/>
        <v>1</v>
      </c>
      <c r="Y300" s="17">
        <f t="shared" si="47"/>
        <v>1</v>
      </c>
      <c r="Z300" s="17">
        <f t="shared" si="47"/>
        <v>1</v>
      </c>
      <c r="AA300" s="17">
        <f t="shared" si="47"/>
        <v>1</v>
      </c>
      <c r="AB300" s="17">
        <f t="shared" si="47"/>
        <v>0</v>
      </c>
      <c r="AC300" s="17">
        <f t="shared" si="47"/>
        <v>0</v>
      </c>
      <c r="AD300" s="17">
        <f t="shared" si="44"/>
        <v>9</v>
      </c>
    </row>
    <row r="301" spans="4:30" x14ac:dyDescent="0.2">
      <c r="D301" s="37">
        <v>45219</v>
      </c>
      <c r="E301" s="17" t="str">
        <f t="shared" si="42"/>
        <v>weekday</v>
      </c>
      <c r="F301" s="17">
        <f t="shared" si="48"/>
        <v>0</v>
      </c>
      <c r="G301" s="17">
        <f t="shared" si="48"/>
        <v>0</v>
      </c>
      <c r="H301" s="17">
        <f t="shared" si="48"/>
        <v>0</v>
      </c>
      <c r="I301" s="17">
        <f t="shared" si="48"/>
        <v>0</v>
      </c>
      <c r="J301" s="17">
        <f t="shared" si="48"/>
        <v>0</v>
      </c>
      <c r="K301" s="17">
        <f t="shared" si="48"/>
        <v>0</v>
      </c>
      <c r="L301" s="17">
        <f t="shared" si="48"/>
        <v>1</v>
      </c>
      <c r="M301" s="17">
        <f t="shared" si="48"/>
        <v>1</v>
      </c>
      <c r="N301" s="17">
        <f t="shared" si="48"/>
        <v>0</v>
      </c>
      <c r="O301" s="17">
        <f t="shared" si="48"/>
        <v>0</v>
      </c>
      <c r="P301" s="17">
        <f t="shared" si="48"/>
        <v>0</v>
      </c>
      <c r="Q301" s="17">
        <f t="shared" si="48"/>
        <v>0</v>
      </c>
      <c r="R301" s="17">
        <f t="shared" si="48"/>
        <v>0</v>
      </c>
      <c r="S301" s="17">
        <f t="shared" si="48"/>
        <v>0</v>
      </c>
      <c r="T301" s="17">
        <f t="shared" si="48"/>
        <v>0</v>
      </c>
      <c r="U301" s="17">
        <f t="shared" si="48"/>
        <v>1</v>
      </c>
      <c r="V301" s="17">
        <f t="shared" si="47"/>
        <v>1</v>
      </c>
      <c r="W301" s="17">
        <f t="shared" si="47"/>
        <v>1</v>
      </c>
      <c r="X301" s="17">
        <f t="shared" si="47"/>
        <v>1</v>
      </c>
      <c r="Y301" s="17">
        <f t="shared" si="47"/>
        <v>1</v>
      </c>
      <c r="Z301" s="17">
        <f t="shared" si="47"/>
        <v>1</v>
      </c>
      <c r="AA301" s="17">
        <f t="shared" si="47"/>
        <v>1</v>
      </c>
      <c r="AB301" s="17">
        <f t="shared" si="47"/>
        <v>0</v>
      </c>
      <c r="AC301" s="17">
        <f t="shared" si="47"/>
        <v>0</v>
      </c>
      <c r="AD301" s="17">
        <f t="shared" si="44"/>
        <v>9</v>
      </c>
    </row>
    <row r="302" spans="4:30" x14ac:dyDescent="0.2">
      <c r="D302" s="37">
        <v>45220</v>
      </c>
      <c r="E302" s="17" t="str">
        <f t="shared" si="42"/>
        <v>weekend</v>
      </c>
      <c r="F302" s="17">
        <f t="shared" si="48"/>
        <v>0</v>
      </c>
      <c r="G302" s="17">
        <f t="shared" si="48"/>
        <v>0</v>
      </c>
      <c r="H302" s="17">
        <f t="shared" si="48"/>
        <v>0</v>
      </c>
      <c r="I302" s="17">
        <f t="shared" si="48"/>
        <v>0</v>
      </c>
      <c r="J302" s="17">
        <f t="shared" si="48"/>
        <v>0</v>
      </c>
      <c r="K302" s="17">
        <f t="shared" si="48"/>
        <v>0</v>
      </c>
      <c r="L302" s="17">
        <f t="shared" si="48"/>
        <v>1</v>
      </c>
      <c r="M302" s="17">
        <f t="shared" si="48"/>
        <v>1</v>
      </c>
      <c r="N302" s="17">
        <f t="shared" si="48"/>
        <v>1</v>
      </c>
      <c r="O302" s="17">
        <f t="shared" si="48"/>
        <v>1</v>
      </c>
      <c r="P302" s="17">
        <f t="shared" si="48"/>
        <v>1</v>
      </c>
      <c r="Q302" s="17">
        <f t="shared" si="48"/>
        <v>1</v>
      </c>
      <c r="R302" s="17">
        <f t="shared" si="48"/>
        <v>1</v>
      </c>
      <c r="S302" s="17">
        <f t="shared" si="48"/>
        <v>1</v>
      </c>
      <c r="T302" s="17">
        <f t="shared" si="48"/>
        <v>1</v>
      </c>
      <c r="U302" s="17">
        <f t="shared" si="48"/>
        <v>1</v>
      </c>
      <c r="V302" s="17">
        <f t="shared" si="47"/>
        <v>1</v>
      </c>
      <c r="W302" s="17">
        <f t="shared" si="47"/>
        <v>1</v>
      </c>
      <c r="X302" s="17">
        <f t="shared" si="47"/>
        <v>1</v>
      </c>
      <c r="Y302" s="17">
        <f t="shared" si="47"/>
        <v>1</v>
      </c>
      <c r="Z302" s="17">
        <f t="shared" si="47"/>
        <v>1</v>
      </c>
      <c r="AA302" s="17">
        <f t="shared" si="47"/>
        <v>1</v>
      </c>
      <c r="AB302" s="17">
        <f t="shared" si="47"/>
        <v>0</v>
      </c>
      <c r="AC302" s="17">
        <f t="shared" si="47"/>
        <v>0</v>
      </c>
      <c r="AD302" s="17">
        <f t="shared" si="44"/>
        <v>16</v>
      </c>
    </row>
    <row r="303" spans="4:30" x14ac:dyDescent="0.2">
      <c r="D303" s="37">
        <v>45221</v>
      </c>
      <c r="E303" s="17" t="str">
        <f t="shared" si="42"/>
        <v>weekend</v>
      </c>
      <c r="F303" s="17">
        <f t="shared" si="48"/>
        <v>0</v>
      </c>
      <c r="G303" s="17">
        <f t="shared" si="48"/>
        <v>0</v>
      </c>
      <c r="H303" s="17">
        <f t="shared" si="48"/>
        <v>0</v>
      </c>
      <c r="I303" s="17">
        <f t="shared" si="48"/>
        <v>0</v>
      </c>
      <c r="J303" s="17">
        <f t="shared" si="48"/>
        <v>0</v>
      </c>
      <c r="K303" s="17">
        <f t="shared" si="48"/>
        <v>0</v>
      </c>
      <c r="L303" s="17">
        <f t="shared" si="48"/>
        <v>1</v>
      </c>
      <c r="M303" s="17">
        <f t="shared" si="48"/>
        <v>1</v>
      </c>
      <c r="N303" s="17">
        <f t="shared" si="48"/>
        <v>1</v>
      </c>
      <c r="O303" s="17">
        <f t="shared" si="48"/>
        <v>1</v>
      </c>
      <c r="P303" s="17">
        <f t="shared" si="48"/>
        <v>1</v>
      </c>
      <c r="Q303" s="17">
        <f t="shared" si="48"/>
        <v>1</v>
      </c>
      <c r="R303" s="17">
        <f t="shared" si="48"/>
        <v>1</v>
      </c>
      <c r="S303" s="17">
        <f t="shared" si="48"/>
        <v>1</v>
      </c>
      <c r="T303" s="17">
        <f t="shared" si="48"/>
        <v>1</v>
      </c>
      <c r="U303" s="17">
        <f t="shared" si="48"/>
        <v>1</v>
      </c>
      <c r="V303" s="17">
        <f t="shared" si="47"/>
        <v>1</v>
      </c>
      <c r="W303" s="17">
        <f t="shared" si="47"/>
        <v>1</v>
      </c>
      <c r="X303" s="17">
        <f t="shared" si="47"/>
        <v>1</v>
      </c>
      <c r="Y303" s="17">
        <f t="shared" si="47"/>
        <v>1</v>
      </c>
      <c r="Z303" s="17">
        <f t="shared" si="47"/>
        <v>1</v>
      </c>
      <c r="AA303" s="17">
        <f t="shared" si="47"/>
        <v>1</v>
      </c>
      <c r="AB303" s="17">
        <f t="shared" si="47"/>
        <v>0</v>
      </c>
      <c r="AC303" s="17">
        <f t="shared" si="47"/>
        <v>0</v>
      </c>
      <c r="AD303" s="17">
        <f t="shared" si="44"/>
        <v>16</v>
      </c>
    </row>
    <row r="304" spans="4:30" x14ac:dyDescent="0.2">
      <c r="D304" s="37">
        <v>45222</v>
      </c>
      <c r="E304" s="17" t="str">
        <f t="shared" si="42"/>
        <v>weekday</v>
      </c>
      <c r="F304" s="17">
        <f t="shared" si="48"/>
        <v>0</v>
      </c>
      <c r="G304" s="17">
        <f t="shared" si="48"/>
        <v>0</v>
      </c>
      <c r="H304" s="17">
        <f t="shared" si="48"/>
        <v>0</v>
      </c>
      <c r="I304" s="17">
        <f t="shared" si="48"/>
        <v>0</v>
      </c>
      <c r="J304" s="17">
        <f t="shared" si="48"/>
        <v>0</v>
      </c>
      <c r="K304" s="17">
        <f t="shared" si="48"/>
        <v>0</v>
      </c>
      <c r="L304" s="17">
        <f t="shared" si="48"/>
        <v>1</v>
      </c>
      <c r="M304" s="17">
        <f t="shared" si="48"/>
        <v>1</v>
      </c>
      <c r="N304" s="17">
        <f t="shared" si="48"/>
        <v>0</v>
      </c>
      <c r="O304" s="17">
        <f t="shared" si="48"/>
        <v>0</v>
      </c>
      <c r="P304" s="17">
        <f t="shared" si="48"/>
        <v>0</v>
      </c>
      <c r="Q304" s="17">
        <f t="shared" si="48"/>
        <v>0</v>
      </c>
      <c r="R304" s="17">
        <f t="shared" si="48"/>
        <v>0</v>
      </c>
      <c r="S304" s="17">
        <f t="shared" si="48"/>
        <v>0</v>
      </c>
      <c r="T304" s="17">
        <f t="shared" si="48"/>
        <v>0</v>
      </c>
      <c r="U304" s="17">
        <f t="shared" si="48"/>
        <v>1</v>
      </c>
      <c r="V304" s="17">
        <f t="shared" si="47"/>
        <v>1</v>
      </c>
      <c r="W304" s="17">
        <f t="shared" si="47"/>
        <v>1</v>
      </c>
      <c r="X304" s="17">
        <f t="shared" si="47"/>
        <v>1</v>
      </c>
      <c r="Y304" s="17">
        <f t="shared" si="47"/>
        <v>1</v>
      </c>
      <c r="Z304" s="17">
        <f t="shared" si="47"/>
        <v>1</v>
      </c>
      <c r="AA304" s="17">
        <f t="shared" si="47"/>
        <v>1</v>
      </c>
      <c r="AB304" s="17">
        <f t="shared" si="47"/>
        <v>0</v>
      </c>
      <c r="AC304" s="17">
        <f t="shared" si="47"/>
        <v>0</v>
      </c>
      <c r="AD304" s="17">
        <f t="shared" si="44"/>
        <v>9</v>
      </c>
    </row>
    <row r="305" spans="4:30" x14ac:dyDescent="0.2">
      <c r="D305" s="37">
        <v>45223</v>
      </c>
      <c r="E305" s="17" t="str">
        <f t="shared" si="42"/>
        <v>weekday</v>
      </c>
      <c r="F305" s="17">
        <f t="shared" si="48"/>
        <v>0</v>
      </c>
      <c r="G305" s="17">
        <f t="shared" si="48"/>
        <v>0</v>
      </c>
      <c r="H305" s="17">
        <f t="shared" si="48"/>
        <v>0</v>
      </c>
      <c r="I305" s="17">
        <f t="shared" si="48"/>
        <v>0</v>
      </c>
      <c r="J305" s="17">
        <f t="shared" si="48"/>
        <v>0</v>
      </c>
      <c r="K305" s="17">
        <f t="shared" si="48"/>
        <v>0</v>
      </c>
      <c r="L305" s="17">
        <f t="shared" si="48"/>
        <v>1</v>
      </c>
      <c r="M305" s="17">
        <f t="shared" si="48"/>
        <v>1</v>
      </c>
      <c r="N305" s="17">
        <f t="shared" si="48"/>
        <v>0</v>
      </c>
      <c r="O305" s="17">
        <f t="shared" si="48"/>
        <v>0</v>
      </c>
      <c r="P305" s="17">
        <f t="shared" si="48"/>
        <v>0</v>
      </c>
      <c r="Q305" s="17">
        <f t="shared" si="48"/>
        <v>0</v>
      </c>
      <c r="R305" s="17">
        <f t="shared" si="48"/>
        <v>0</v>
      </c>
      <c r="S305" s="17">
        <f t="shared" si="48"/>
        <v>0</v>
      </c>
      <c r="T305" s="17">
        <f t="shared" si="48"/>
        <v>0</v>
      </c>
      <c r="U305" s="17">
        <f t="shared" si="48"/>
        <v>1</v>
      </c>
      <c r="V305" s="17">
        <f t="shared" si="47"/>
        <v>1</v>
      </c>
      <c r="W305" s="17">
        <f t="shared" si="47"/>
        <v>1</v>
      </c>
      <c r="X305" s="17">
        <f t="shared" si="47"/>
        <v>1</v>
      </c>
      <c r="Y305" s="17">
        <f t="shared" si="47"/>
        <v>1</v>
      </c>
      <c r="Z305" s="17">
        <f t="shared" si="47"/>
        <v>1</v>
      </c>
      <c r="AA305" s="17">
        <f t="shared" si="47"/>
        <v>1</v>
      </c>
      <c r="AB305" s="17">
        <f t="shared" si="47"/>
        <v>0</v>
      </c>
      <c r="AC305" s="17">
        <f t="shared" si="47"/>
        <v>0</v>
      </c>
      <c r="AD305" s="17">
        <f t="shared" si="44"/>
        <v>9</v>
      </c>
    </row>
    <row r="306" spans="4:30" x14ac:dyDescent="0.2">
      <c r="D306" s="37">
        <v>45224</v>
      </c>
      <c r="E306" s="17" t="str">
        <f t="shared" si="42"/>
        <v>weekday</v>
      </c>
      <c r="F306" s="17">
        <f t="shared" si="48"/>
        <v>0</v>
      </c>
      <c r="G306" s="17">
        <f t="shared" si="48"/>
        <v>0</v>
      </c>
      <c r="H306" s="17">
        <f t="shared" si="48"/>
        <v>0</v>
      </c>
      <c r="I306" s="17">
        <f t="shared" si="48"/>
        <v>0</v>
      </c>
      <c r="J306" s="17">
        <f t="shared" si="48"/>
        <v>0</v>
      </c>
      <c r="K306" s="17">
        <f t="shared" si="48"/>
        <v>0</v>
      </c>
      <c r="L306" s="17">
        <f t="shared" si="48"/>
        <v>1</v>
      </c>
      <c r="M306" s="17">
        <f t="shared" si="48"/>
        <v>1</v>
      </c>
      <c r="N306" s="17">
        <f t="shared" si="48"/>
        <v>0</v>
      </c>
      <c r="O306" s="17">
        <f t="shared" si="48"/>
        <v>0</v>
      </c>
      <c r="P306" s="17">
        <f t="shared" si="48"/>
        <v>0</v>
      </c>
      <c r="Q306" s="17">
        <f t="shared" si="48"/>
        <v>0</v>
      </c>
      <c r="R306" s="17">
        <f t="shared" si="48"/>
        <v>0</v>
      </c>
      <c r="S306" s="17">
        <f t="shared" si="48"/>
        <v>0</v>
      </c>
      <c r="T306" s="17">
        <f t="shared" si="48"/>
        <v>0</v>
      </c>
      <c r="U306" s="17">
        <f t="shared" si="48"/>
        <v>1</v>
      </c>
      <c r="V306" s="17">
        <f t="shared" si="47"/>
        <v>1</v>
      </c>
      <c r="W306" s="17">
        <f t="shared" si="47"/>
        <v>1</v>
      </c>
      <c r="X306" s="17">
        <f t="shared" si="47"/>
        <v>1</v>
      </c>
      <c r="Y306" s="17">
        <f t="shared" si="47"/>
        <v>1</v>
      </c>
      <c r="Z306" s="17">
        <f t="shared" si="47"/>
        <v>1</v>
      </c>
      <c r="AA306" s="17">
        <f t="shared" si="47"/>
        <v>1</v>
      </c>
      <c r="AB306" s="17">
        <f t="shared" si="47"/>
        <v>0</v>
      </c>
      <c r="AC306" s="17">
        <f t="shared" si="47"/>
        <v>0</v>
      </c>
      <c r="AD306" s="17">
        <f t="shared" si="44"/>
        <v>9</v>
      </c>
    </row>
    <row r="307" spans="4:30" x14ac:dyDescent="0.2">
      <c r="D307" s="37">
        <v>45225</v>
      </c>
      <c r="E307" s="17" t="str">
        <f t="shared" si="42"/>
        <v>weekday</v>
      </c>
      <c r="F307" s="17">
        <f t="shared" si="48"/>
        <v>0</v>
      </c>
      <c r="G307" s="17">
        <f t="shared" si="48"/>
        <v>0</v>
      </c>
      <c r="H307" s="17">
        <f t="shared" si="48"/>
        <v>0</v>
      </c>
      <c r="I307" s="17">
        <f t="shared" si="48"/>
        <v>0</v>
      </c>
      <c r="J307" s="17">
        <f t="shared" si="48"/>
        <v>0</v>
      </c>
      <c r="K307" s="17">
        <f t="shared" si="48"/>
        <v>0</v>
      </c>
      <c r="L307" s="17">
        <f t="shared" si="48"/>
        <v>1</v>
      </c>
      <c r="M307" s="17">
        <f t="shared" si="48"/>
        <v>1</v>
      </c>
      <c r="N307" s="17">
        <f t="shared" si="48"/>
        <v>0</v>
      </c>
      <c r="O307" s="17">
        <f t="shared" si="48"/>
        <v>0</v>
      </c>
      <c r="P307" s="17">
        <f t="shared" si="48"/>
        <v>0</v>
      </c>
      <c r="Q307" s="17">
        <f t="shared" si="48"/>
        <v>0</v>
      </c>
      <c r="R307" s="17">
        <f t="shared" si="48"/>
        <v>0</v>
      </c>
      <c r="S307" s="17">
        <f t="shared" si="48"/>
        <v>0</v>
      </c>
      <c r="T307" s="17">
        <f t="shared" si="48"/>
        <v>0</v>
      </c>
      <c r="U307" s="17">
        <f t="shared" si="48"/>
        <v>1</v>
      </c>
      <c r="V307" s="17">
        <f t="shared" si="47"/>
        <v>1</v>
      </c>
      <c r="W307" s="17">
        <f t="shared" si="47"/>
        <v>1</v>
      </c>
      <c r="X307" s="17">
        <f t="shared" si="47"/>
        <v>1</v>
      </c>
      <c r="Y307" s="17">
        <f t="shared" si="47"/>
        <v>1</v>
      </c>
      <c r="Z307" s="17">
        <f t="shared" si="47"/>
        <v>1</v>
      </c>
      <c r="AA307" s="17">
        <f t="shared" si="47"/>
        <v>1</v>
      </c>
      <c r="AB307" s="17">
        <f t="shared" si="47"/>
        <v>0</v>
      </c>
      <c r="AC307" s="17">
        <f t="shared" si="47"/>
        <v>0</v>
      </c>
      <c r="AD307" s="17">
        <f t="shared" si="44"/>
        <v>9</v>
      </c>
    </row>
    <row r="308" spans="4:30" x14ac:dyDescent="0.2">
      <c r="D308" s="37">
        <v>45226</v>
      </c>
      <c r="E308" s="17" t="str">
        <f t="shared" si="42"/>
        <v>weekday</v>
      </c>
      <c r="F308" s="17">
        <f t="shared" si="48"/>
        <v>0</v>
      </c>
      <c r="G308" s="17">
        <f t="shared" si="48"/>
        <v>0</v>
      </c>
      <c r="H308" s="17">
        <f t="shared" si="48"/>
        <v>0</v>
      </c>
      <c r="I308" s="17">
        <f t="shared" si="48"/>
        <v>0</v>
      </c>
      <c r="J308" s="17">
        <f t="shared" si="48"/>
        <v>0</v>
      </c>
      <c r="K308" s="17">
        <f t="shared" si="48"/>
        <v>0</v>
      </c>
      <c r="L308" s="17">
        <f t="shared" si="48"/>
        <v>1</v>
      </c>
      <c r="M308" s="17">
        <f t="shared" si="48"/>
        <v>1</v>
      </c>
      <c r="N308" s="17">
        <f t="shared" si="48"/>
        <v>0</v>
      </c>
      <c r="O308" s="17">
        <f t="shared" si="48"/>
        <v>0</v>
      </c>
      <c r="P308" s="17">
        <f t="shared" si="48"/>
        <v>0</v>
      </c>
      <c r="Q308" s="17">
        <f t="shared" si="48"/>
        <v>0</v>
      </c>
      <c r="R308" s="17">
        <f t="shared" si="48"/>
        <v>0</v>
      </c>
      <c r="S308" s="17">
        <f t="shared" si="48"/>
        <v>0</v>
      </c>
      <c r="T308" s="17">
        <f t="shared" si="48"/>
        <v>0</v>
      </c>
      <c r="U308" s="17">
        <f t="shared" si="48"/>
        <v>1</v>
      </c>
      <c r="V308" s="17">
        <f t="shared" si="47"/>
        <v>1</v>
      </c>
      <c r="W308" s="17">
        <f t="shared" si="47"/>
        <v>1</v>
      </c>
      <c r="X308" s="17">
        <f t="shared" si="47"/>
        <v>1</v>
      </c>
      <c r="Y308" s="17">
        <f t="shared" si="47"/>
        <v>1</v>
      </c>
      <c r="Z308" s="17">
        <f t="shared" si="47"/>
        <v>1</v>
      </c>
      <c r="AA308" s="17">
        <f t="shared" si="47"/>
        <v>1</v>
      </c>
      <c r="AB308" s="17">
        <f t="shared" si="47"/>
        <v>0</v>
      </c>
      <c r="AC308" s="17">
        <f t="shared" si="47"/>
        <v>0</v>
      </c>
      <c r="AD308" s="17">
        <f t="shared" si="44"/>
        <v>9</v>
      </c>
    </row>
    <row r="309" spans="4:30" x14ac:dyDescent="0.2">
      <c r="D309" s="37">
        <v>45227</v>
      </c>
      <c r="E309" s="17" t="str">
        <f t="shared" si="42"/>
        <v>weekend</v>
      </c>
      <c r="F309" s="17">
        <f t="shared" si="48"/>
        <v>0</v>
      </c>
      <c r="G309" s="17">
        <f t="shared" si="48"/>
        <v>0</v>
      </c>
      <c r="H309" s="17">
        <f t="shared" si="48"/>
        <v>0</v>
      </c>
      <c r="I309" s="17">
        <f t="shared" si="48"/>
        <v>0</v>
      </c>
      <c r="J309" s="17">
        <f t="shared" si="48"/>
        <v>0</v>
      </c>
      <c r="K309" s="17">
        <f t="shared" si="48"/>
        <v>0</v>
      </c>
      <c r="L309" s="17">
        <f t="shared" si="48"/>
        <v>1</v>
      </c>
      <c r="M309" s="17">
        <f t="shared" si="48"/>
        <v>1</v>
      </c>
      <c r="N309" s="17">
        <f t="shared" si="48"/>
        <v>1</v>
      </c>
      <c r="O309" s="17">
        <f t="shared" si="48"/>
        <v>1</v>
      </c>
      <c r="P309" s="17">
        <f t="shared" si="48"/>
        <v>1</v>
      </c>
      <c r="Q309" s="17">
        <f t="shared" si="48"/>
        <v>1</v>
      </c>
      <c r="R309" s="17">
        <f t="shared" si="48"/>
        <v>1</v>
      </c>
      <c r="S309" s="17">
        <f t="shared" si="48"/>
        <v>1</v>
      </c>
      <c r="T309" s="17">
        <f t="shared" si="48"/>
        <v>1</v>
      </c>
      <c r="U309" s="17">
        <f t="shared" si="48"/>
        <v>1</v>
      </c>
      <c r="V309" s="17">
        <f t="shared" si="47"/>
        <v>1</v>
      </c>
      <c r="W309" s="17">
        <f t="shared" si="47"/>
        <v>1</v>
      </c>
      <c r="X309" s="17">
        <f t="shared" si="47"/>
        <v>1</v>
      </c>
      <c r="Y309" s="17">
        <f t="shared" si="47"/>
        <v>1</v>
      </c>
      <c r="Z309" s="17">
        <f t="shared" si="47"/>
        <v>1</v>
      </c>
      <c r="AA309" s="17">
        <f t="shared" si="47"/>
        <v>1</v>
      </c>
      <c r="AB309" s="17">
        <f t="shared" si="47"/>
        <v>0</v>
      </c>
      <c r="AC309" s="17">
        <f t="shared" si="47"/>
        <v>0</v>
      </c>
      <c r="AD309" s="17">
        <f t="shared" si="44"/>
        <v>16</v>
      </c>
    </row>
    <row r="310" spans="4:30" x14ac:dyDescent="0.2">
      <c r="D310" s="37">
        <v>45228</v>
      </c>
      <c r="E310" s="17" t="str">
        <f t="shared" si="42"/>
        <v>weekend</v>
      </c>
      <c r="F310" s="17">
        <f t="shared" si="48"/>
        <v>0</v>
      </c>
      <c r="G310" s="17">
        <f t="shared" si="48"/>
        <v>0</v>
      </c>
      <c r="H310" s="17">
        <f t="shared" si="48"/>
        <v>0</v>
      </c>
      <c r="I310" s="17">
        <f t="shared" si="48"/>
        <v>0</v>
      </c>
      <c r="J310" s="17">
        <f t="shared" si="48"/>
        <v>0</v>
      </c>
      <c r="K310" s="17">
        <f t="shared" si="48"/>
        <v>0</v>
      </c>
      <c r="L310" s="17">
        <f t="shared" si="48"/>
        <v>1</v>
      </c>
      <c r="M310" s="17">
        <f t="shared" si="48"/>
        <v>1</v>
      </c>
      <c r="N310" s="17">
        <f t="shared" si="48"/>
        <v>1</v>
      </c>
      <c r="O310" s="17">
        <f t="shared" si="48"/>
        <v>1</v>
      </c>
      <c r="P310" s="17">
        <f t="shared" si="48"/>
        <v>1</v>
      </c>
      <c r="Q310" s="17">
        <f t="shared" si="48"/>
        <v>1</v>
      </c>
      <c r="R310" s="17">
        <f t="shared" si="48"/>
        <v>1</v>
      </c>
      <c r="S310" s="17">
        <f t="shared" si="48"/>
        <v>1</v>
      </c>
      <c r="T310" s="17">
        <f t="shared" si="48"/>
        <v>1</v>
      </c>
      <c r="U310" s="17">
        <f t="shared" si="48"/>
        <v>1</v>
      </c>
      <c r="V310" s="17">
        <f t="shared" si="47"/>
        <v>1</v>
      </c>
      <c r="W310" s="17">
        <f t="shared" si="47"/>
        <v>1</v>
      </c>
      <c r="X310" s="17">
        <f t="shared" si="47"/>
        <v>1</v>
      </c>
      <c r="Y310" s="17">
        <f t="shared" si="47"/>
        <v>1</v>
      </c>
      <c r="Z310" s="17">
        <f t="shared" si="47"/>
        <v>1</v>
      </c>
      <c r="AA310" s="17">
        <f t="shared" si="47"/>
        <v>1</v>
      </c>
      <c r="AB310" s="17">
        <f t="shared" si="47"/>
        <v>0</v>
      </c>
      <c r="AC310" s="17">
        <f t="shared" si="47"/>
        <v>0</v>
      </c>
      <c r="AD310" s="17">
        <f t="shared" si="44"/>
        <v>16</v>
      </c>
    </row>
    <row r="311" spans="4:30" x14ac:dyDescent="0.2">
      <c r="D311" s="37">
        <v>45229</v>
      </c>
      <c r="E311" s="17" t="str">
        <f t="shared" si="42"/>
        <v>weekday</v>
      </c>
      <c r="F311" s="17">
        <f t="shared" si="48"/>
        <v>0</v>
      </c>
      <c r="G311" s="17">
        <f t="shared" si="48"/>
        <v>0</v>
      </c>
      <c r="H311" s="17">
        <f t="shared" si="48"/>
        <v>0</v>
      </c>
      <c r="I311" s="17">
        <f t="shared" si="48"/>
        <v>0</v>
      </c>
      <c r="J311" s="17">
        <f t="shared" si="48"/>
        <v>0</v>
      </c>
      <c r="K311" s="17">
        <f t="shared" si="48"/>
        <v>0</v>
      </c>
      <c r="L311" s="17">
        <f t="shared" si="48"/>
        <v>1</v>
      </c>
      <c r="M311" s="17">
        <f t="shared" si="48"/>
        <v>1</v>
      </c>
      <c r="N311" s="17">
        <f t="shared" si="48"/>
        <v>0</v>
      </c>
      <c r="O311" s="17">
        <f t="shared" si="48"/>
        <v>0</v>
      </c>
      <c r="P311" s="17">
        <f t="shared" si="48"/>
        <v>0</v>
      </c>
      <c r="Q311" s="17">
        <f t="shared" si="48"/>
        <v>0</v>
      </c>
      <c r="R311" s="17">
        <f t="shared" si="48"/>
        <v>0</v>
      </c>
      <c r="S311" s="17">
        <f t="shared" si="48"/>
        <v>0</v>
      </c>
      <c r="T311" s="17">
        <f t="shared" si="48"/>
        <v>0</v>
      </c>
      <c r="U311" s="17">
        <f t="shared" si="48"/>
        <v>1</v>
      </c>
      <c r="V311" s="17">
        <f t="shared" si="47"/>
        <v>1</v>
      </c>
      <c r="W311" s="17">
        <f t="shared" si="47"/>
        <v>1</v>
      </c>
      <c r="X311" s="17">
        <f t="shared" si="47"/>
        <v>1</v>
      </c>
      <c r="Y311" s="17">
        <f t="shared" si="47"/>
        <v>1</v>
      </c>
      <c r="Z311" s="17">
        <f t="shared" si="47"/>
        <v>1</v>
      </c>
      <c r="AA311" s="17">
        <f t="shared" si="47"/>
        <v>1</v>
      </c>
      <c r="AB311" s="17">
        <f t="shared" si="47"/>
        <v>0</v>
      </c>
      <c r="AC311" s="17">
        <f t="shared" si="47"/>
        <v>0</v>
      </c>
      <c r="AD311" s="17">
        <f t="shared" si="44"/>
        <v>9</v>
      </c>
    </row>
    <row r="312" spans="4:30" x14ac:dyDescent="0.2">
      <c r="D312" s="37">
        <v>45230</v>
      </c>
      <c r="E312" s="17" t="str">
        <f t="shared" si="42"/>
        <v>weekday</v>
      </c>
      <c r="F312" s="17">
        <f t="shared" si="48"/>
        <v>0</v>
      </c>
      <c r="G312" s="17">
        <f t="shared" si="48"/>
        <v>0</v>
      </c>
      <c r="H312" s="17">
        <f t="shared" si="48"/>
        <v>0</v>
      </c>
      <c r="I312" s="17">
        <f t="shared" si="48"/>
        <v>0</v>
      </c>
      <c r="J312" s="17">
        <f t="shared" si="48"/>
        <v>0</v>
      </c>
      <c r="K312" s="17">
        <f t="shared" si="48"/>
        <v>0</v>
      </c>
      <c r="L312" s="17">
        <f t="shared" si="48"/>
        <v>1</v>
      </c>
      <c r="M312" s="17">
        <f t="shared" si="48"/>
        <v>1</v>
      </c>
      <c r="N312" s="17">
        <f t="shared" si="48"/>
        <v>0</v>
      </c>
      <c r="O312" s="17">
        <f t="shared" si="48"/>
        <v>0</v>
      </c>
      <c r="P312" s="17">
        <f t="shared" si="48"/>
        <v>0</v>
      </c>
      <c r="Q312" s="17">
        <f t="shared" si="48"/>
        <v>0</v>
      </c>
      <c r="R312" s="17">
        <f t="shared" si="48"/>
        <v>0</v>
      </c>
      <c r="S312" s="17">
        <f t="shared" si="48"/>
        <v>0</v>
      </c>
      <c r="T312" s="17">
        <f t="shared" si="48"/>
        <v>0</v>
      </c>
      <c r="U312" s="17">
        <f t="shared" si="48"/>
        <v>1</v>
      </c>
      <c r="V312" s="17">
        <f t="shared" si="47"/>
        <v>1</v>
      </c>
      <c r="W312" s="17">
        <f t="shared" si="47"/>
        <v>1</v>
      </c>
      <c r="X312" s="17">
        <f t="shared" si="47"/>
        <v>1</v>
      </c>
      <c r="Y312" s="17">
        <f t="shared" si="47"/>
        <v>1</v>
      </c>
      <c r="Z312" s="17">
        <f t="shared" si="47"/>
        <v>1</v>
      </c>
      <c r="AA312" s="17">
        <f t="shared" si="47"/>
        <v>1</v>
      </c>
      <c r="AB312" s="17">
        <f t="shared" si="47"/>
        <v>0</v>
      </c>
      <c r="AC312" s="17">
        <f t="shared" si="47"/>
        <v>0</v>
      </c>
      <c r="AD312" s="17">
        <f t="shared" si="44"/>
        <v>9</v>
      </c>
    </row>
    <row r="313" spans="4:30" x14ac:dyDescent="0.2">
      <c r="D313" s="37">
        <v>45231</v>
      </c>
      <c r="E313" s="17" t="str">
        <f t="shared" si="42"/>
        <v>weekday</v>
      </c>
      <c r="F313" s="17">
        <f t="shared" si="48"/>
        <v>0</v>
      </c>
      <c r="G313" s="17">
        <f t="shared" si="48"/>
        <v>0</v>
      </c>
      <c r="H313" s="17">
        <f t="shared" si="48"/>
        <v>0</v>
      </c>
      <c r="I313" s="17">
        <f t="shared" si="48"/>
        <v>0</v>
      </c>
      <c r="J313" s="17">
        <f t="shared" si="48"/>
        <v>0</v>
      </c>
      <c r="K313" s="17">
        <f t="shared" si="48"/>
        <v>0</v>
      </c>
      <c r="L313" s="17">
        <f t="shared" si="48"/>
        <v>1</v>
      </c>
      <c r="M313" s="17">
        <f t="shared" si="48"/>
        <v>1</v>
      </c>
      <c r="N313" s="17">
        <f t="shared" si="48"/>
        <v>0</v>
      </c>
      <c r="O313" s="17">
        <f t="shared" si="48"/>
        <v>0</v>
      </c>
      <c r="P313" s="17">
        <f t="shared" si="48"/>
        <v>0</v>
      </c>
      <c r="Q313" s="17">
        <f t="shared" si="48"/>
        <v>0</v>
      </c>
      <c r="R313" s="17">
        <f t="shared" si="48"/>
        <v>0</v>
      </c>
      <c r="S313" s="17">
        <f t="shared" si="48"/>
        <v>0</v>
      </c>
      <c r="T313" s="17">
        <f t="shared" si="48"/>
        <v>0</v>
      </c>
      <c r="U313" s="17">
        <f t="shared" ref="U313:AC328" si="49">IF($E313=$E$5,(U$5),(U$6))</f>
        <v>1</v>
      </c>
      <c r="V313" s="17">
        <f t="shared" si="49"/>
        <v>1</v>
      </c>
      <c r="W313" s="17">
        <f t="shared" si="49"/>
        <v>1</v>
      </c>
      <c r="X313" s="17">
        <f t="shared" si="49"/>
        <v>1</v>
      </c>
      <c r="Y313" s="17">
        <f t="shared" si="49"/>
        <v>1</v>
      </c>
      <c r="Z313" s="17">
        <f t="shared" si="49"/>
        <v>1</v>
      </c>
      <c r="AA313" s="17">
        <f t="shared" si="49"/>
        <v>1</v>
      </c>
      <c r="AB313" s="17">
        <f t="shared" si="49"/>
        <v>0</v>
      </c>
      <c r="AC313" s="17">
        <f t="shared" si="49"/>
        <v>0</v>
      </c>
      <c r="AD313" s="17">
        <f t="shared" si="44"/>
        <v>9</v>
      </c>
    </row>
    <row r="314" spans="4:30" x14ac:dyDescent="0.2">
      <c r="D314" s="37">
        <v>45232</v>
      </c>
      <c r="E314" s="17" t="str">
        <f t="shared" si="42"/>
        <v>weekday</v>
      </c>
      <c r="F314" s="17">
        <f t="shared" ref="F314:U329" si="50">IF($E314=$E$5,(F$5),(F$6))</f>
        <v>0</v>
      </c>
      <c r="G314" s="17">
        <f t="shared" si="50"/>
        <v>0</v>
      </c>
      <c r="H314" s="17">
        <f t="shared" si="50"/>
        <v>0</v>
      </c>
      <c r="I314" s="17">
        <f t="shared" si="50"/>
        <v>0</v>
      </c>
      <c r="J314" s="17">
        <f t="shared" si="50"/>
        <v>0</v>
      </c>
      <c r="K314" s="17">
        <f t="shared" si="50"/>
        <v>0</v>
      </c>
      <c r="L314" s="17">
        <f t="shared" si="50"/>
        <v>1</v>
      </c>
      <c r="M314" s="17">
        <f t="shared" si="50"/>
        <v>1</v>
      </c>
      <c r="N314" s="17">
        <f t="shared" si="50"/>
        <v>0</v>
      </c>
      <c r="O314" s="17">
        <f t="shared" si="50"/>
        <v>0</v>
      </c>
      <c r="P314" s="17">
        <f t="shared" si="50"/>
        <v>0</v>
      </c>
      <c r="Q314" s="17">
        <f t="shared" si="50"/>
        <v>0</v>
      </c>
      <c r="R314" s="17">
        <f t="shared" si="50"/>
        <v>0</v>
      </c>
      <c r="S314" s="17">
        <f t="shared" si="50"/>
        <v>0</v>
      </c>
      <c r="T314" s="17">
        <f t="shared" si="50"/>
        <v>0</v>
      </c>
      <c r="U314" s="17">
        <f t="shared" si="50"/>
        <v>1</v>
      </c>
      <c r="V314" s="17">
        <f t="shared" si="49"/>
        <v>1</v>
      </c>
      <c r="W314" s="17">
        <f t="shared" si="49"/>
        <v>1</v>
      </c>
      <c r="X314" s="17">
        <f t="shared" si="49"/>
        <v>1</v>
      </c>
      <c r="Y314" s="17">
        <f t="shared" si="49"/>
        <v>1</v>
      </c>
      <c r="Z314" s="17">
        <f t="shared" si="49"/>
        <v>1</v>
      </c>
      <c r="AA314" s="17">
        <f t="shared" si="49"/>
        <v>1</v>
      </c>
      <c r="AB314" s="17">
        <f t="shared" si="49"/>
        <v>0</v>
      </c>
      <c r="AC314" s="17">
        <f t="shared" si="49"/>
        <v>0</v>
      </c>
      <c r="AD314" s="17">
        <f t="shared" si="44"/>
        <v>9</v>
      </c>
    </row>
    <row r="315" spans="4:30" x14ac:dyDescent="0.2">
      <c r="D315" s="37">
        <v>45233</v>
      </c>
      <c r="E315" s="17" t="str">
        <f t="shared" si="42"/>
        <v>weekday</v>
      </c>
      <c r="F315" s="17">
        <f t="shared" si="50"/>
        <v>0</v>
      </c>
      <c r="G315" s="17">
        <f t="shared" si="50"/>
        <v>0</v>
      </c>
      <c r="H315" s="17">
        <f t="shared" si="50"/>
        <v>0</v>
      </c>
      <c r="I315" s="17">
        <f t="shared" si="50"/>
        <v>0</v>
      </c>
      <c r="J315" s="17">
        <f t="shared" si="50"/>
        <v>0</v>
      </c>
      <c r="K315" s="17">
        <f t="shared" si="50"/>
        <v>0</v>
      </c>
      <c r="L315" s="17">
        <f t="shared" si="50"/>
        <v>1</v>
      </c>
      <c r="M315" s="17">
        <f t="shared" si="50"/>
        <v>1</v>
      </c>
      <c r="N315" s="17">
        <f t="shared" si="50"/>
        <v>0</v>
      </c>
      <c r="O315" s="17">
        <f t="shared" si="50"/>
        <v>0</v>
      </c>
      <c r="P315" s="17">
        <f t="shared" si="50"/>
        <v>0</v>
      </c>
      <c r="Q315" s="17">
        <f t="shared" si="50"/>
        <v>0</v>
      </c>
      <c r="R315" s="17">
        <f t="shared" si="50"/>
        <v>0</v>
      </c>
      <c r="S315" s="17">
        <f t="shared" si="50"/>
        <v>0</v>
      </c>
      <c r="T315" s="17">
        <f t="shared" si="50"/>
        <v>0</v>
      </c>
      <c r="U315" s="17">
        <f t="shared" si="50"/>
        <v>1</v>
      </c>
      <c r="V315" s="17">
        <f t="shared" si="49"/>
        <v>1</v>
      </c>
      <c r="W315" s="17">
        <f t="shared" si="49"/>
        <v>1</v>
      </c>
      <c r="X315" s="17">
        <f t="shared" si="49"/>
        <v>1</v>
      </c>
      <c r="Y315" s="17">
        <f t="shared" si="49"/>
        <v>1</v>
      </c>
      <c r="Z315" s="17">
        <f t="shared" si="49"/>
        <v>1</v>
      </c>
      <c r="AA315" s="17">
        <f t="shared" si="49"/>
        <v>1</v>
      </c>
      <c r="AB315" s="17">
        <f t="shared" si="49"/>
        <v>0</v>
      </c>
      <c r="AC315" s="17">
        <f t="shared" si="49"/>
        <v>0</v>
      </c>
      <c r="AD315" s="17">
        <f t="shared" si="44"/>
        <v>9</v>
      </c>
    </row>
    <row r="316" spans="4:30" x14ac:dyDescent="0.2">
      <c r="D316" s="37">
        <v>45234</v>
      </c>
      <c r="E316" s="17" t="str">
        <f t="shared" si="42"/>
        <v>weekend</v>
      </c>
      <c r="F316" s="17">
        <f t="shared" si="50"/>
        <v>0</v>
      </c>
      <c r="G316" s="17">
        <f t="shared" si="50"/>
        <v>0</v>
      </c>
      <c r="H316" s="17">
        <f t="shared" si="50"/>
        <v>0</v>
      </c>
      <c r="I316" s="17">
        <f t="shared" si="50"/>
        <v>0</v>
      </c>
      <c r="J316" s="17">
        <f t="shared" si="50"/>
        <v>0</v>
      </c>
      <c r="K316" s="17">
        <f t="shared" si="50"/>
        <v>0</v>
      </c>
      <c r="L316" s="17">
        <f t="shared" si="50"/>
        <v>1</v>
      </c>
      <c r="M316" s="17">
        <f t="shared" si="50"/>
        <v>1</v>
      </c>
      <c r="N316" s="17">
        <f t="shared" si="50"/>
        <v>1</v>
      </c>
      <c r="O316" s="17">
        <f t="shared" si="50"/>
        <v>1</v>
      </c>
      <c r="P316" s="17">
        <f t="shared" si="50"/>
        <v>1</v>
      </c>
      <c r="Q316" s="17">
        <f t="shared" si="50"/>
        <v>1</v>
      </c>
      <c r="R316" s="17">
        <f t="shared" si="50"/>
        <v>1</v>
      </c>
      <c r="S316" s="17">
        <f t="shared" si="50"/>
        <v>1</v>
      </c>
      <c r="T316" s="17">
        <f t="shared" si="50"/>
        <v>1</v>
      </c>
      <c r="U316" s="17">
        <f t="shared" si="50"/>
        <v>1</v>
      </c>
      <c r="V316" s="17">
        <f t="shared" si="49"/>
        <v>1</v>
      </c>
      <c r="W316" s="17">
        <f t="shared" si="49"/>
        <v>1</v>
      </c>
      <c r="X316" s="17">
        <f t="shared" si="49"/>
        <v>1</v>
      </c>
      <c r="Y316" s="17">
        <f t="shared" si="49"/>
        <v>1</v>
      </c>
      <c r="Z316" s="17">
        <f t="shared" si="49"/>
        <v>1</v>
      </c>
      <c r="AA316" s="17">
        <f t="shared" si="49"/>
        <v>1</v>
      </c>
      <c r="AB316" s="17">
        <f t="shared" si="49"/>
        <v>0</v>
      </c>
      <c r="AC316" s="17">
        <f t="shared" si="49"/>
        <v>0</v>
      </c>
      <c r="AD316" s="17">
        <f t="shared" si="44"/>
        <v>16</v>
      </c>
    </row>
    <row r="317" spans="4:30" x14ac:dyDescent="0.2">
      <c r="D317" s="37">
        <v>45235</v>
      </c>
      <c r="E317" s="17" t="str">
        <f t="shared" si="42"/>
        <v>weekend</v>
      </c>
      <c r="F317" s="17">
        <f t="shared" si="50"/>
        <v>0</v>
      </c>
      <c r="G317" s="17">
        <f t="shared" si="50"/>
        <v>0</v>
      </c>
      <c r="H317" s="17">
        <f t="shared" si="50"/>
        <v>0</v>
      </c>
      <c r="I317" s="17">
        <f t="shared" si="50"/>
        <v>0</v>
      </c>
      <c r="J317" s="17">
        <f t="shared" si="50"/>
        <v>0</v>
      </c>
      <c r="K317" s="17">
        <f t="shared" si="50"/>
        <v>0</v>
      </c>
      <c r="L317" s="17">
        <f t="shared" si="50"/>
        <v>1</v>
      </c>
      <c r="M317" s="17">
        <f t="shared" si="50"/>
        <v>1</v>
      </c>
      <c r="N317" s="17">
        <f t="shared" si="50"/>
        <v>1</v>
      </c>
      <c r="O317" s="17">
        <f t="shared" si="50"/>
        <v>1</v>
      </c>
      <c r="P317" s="17">
        <f t="shared" si="50"/>
        <v>1</v>
      </c>
      <c r="Q317" s="17">
        <f t="shared" si="50"/>
        <v>1</v>
      </c>
      <c r="R317" s="17">
        <f t="shared" si="50"/>
        <v>1</v>
      </c>
      <c r="S317" s="17">
        <f t="shared" si="50"/>
        <v>1</v>
      </c>
      <c r="T317" s="17">
        <f t="shared" si="50"/>
        <v>1</v>
      </c>
      <c r="U317" s="17">
        <f t="shared" si="50"/>
        <v>1</v>
      </c>
      <c r="V317" s="17">
        <f t="shared" si="49"/>
        <v>1</v>
      </c>
      <c r="W317" s="17">
        <f t="shared" si="49"/>
        <v>1</v>
      </c>
      <c r="X317" s="17">
        <f t="shared" si="49"/>
        <v>1</v>
      </c>
      <c r="Y317" s="17">
        <f t="shared" si="49"/>
        <v>1</v>
      </c>
      <c r="Z317" s="17">
        <f t="shared" si="49"/>
        <v>1</v>
      </c>
      <c r="AA317" s="17">
        <f t="shared" si="49"/>
        <v>1</v>
      </c>
      <c r="AB317" s="17">
        <f t="shared" si="49"/>
        <v>0</v>
      </c>
      <c r="AC317" s="17">
        <f t="shared" si="49"/>
        <v>0</v>
      </c>
      <c r="AD317" s="17">
        <f t="shared" si="44"/>
        <v>16</v>
      </c>
    </row>
    <row r="318" spans="4:30" x14ac:dyDescent="0.2">
      <c r="D318" s="37">
        <v>45236</v>
      </c>
      <c r="E318" s="17" t="str">
        <f t="shared" si="42"/>
        <v>weekday</v>
      </c>
      <c r="F318" s="17">
        <f t="shared" si="50"/>
        <v>0</v>
      </c>
      <c r="G318" s="17">
        <f t="shared" si="50"/>
        <v>0</v>
      </c>
      <c r="H318" s="17">
        <f t="shared" si="50"/>
        <v>0</v>
      </c>
      <c r="I318" s="17">
        <f t="shared" si="50"/>
        <v>0</v>
      </c>
      <c r="J318" s="17">
        <f t="shared" si="50"/>
        <v>0</v>
      </c>
      <c r="K318" s="17">
        <f t="shared" si="50"/>
        <v>0</v>
      </c>
      <c r="L318" s="17">
        <f t="shared" si="50"/>
        <v>1</v>
      </c>
      <c r="M318" s="17">
        <f t="shared" si="50"/>
        <v>1</v>
      </c>
      <c r="N318" s="17">
        <f t="shared" si="50"/>
        <v>0</v>
      </c>
      <c r="O318" s="17">
        <f t="shared" si="50"/>
        <v>0</v>
      </c>
      <c r="P318" s="17">
        <f t="shared" si="50"/>
        <v>0</v>
      </c>
      <c r="Q318" s="17">
        <f t="shared" si="50"/>
        <v>0</v>
      </c>
      <c r="R318" s="17">
        <f t="shared" si="50"/>
        <v>0</v>
      </c>
      <c r="S318" s="17">
        <f t="shared" si="50"/>
        <v>0</v>
      </c>
      <c r="T318" s="17">
        <f t="shared" si="50"/>
        <v>0</v>
      </c>
      <c r="U318" s="17">
        <f t="shared" si="50"/>
        <v>1</v>
      </c>
      <c r="V318" s="17">
        <f t="shared" si="49"/>
        <v>1</v>
      </c>
      <c r="W318" s="17">
        <f t="shared" si="49"/>
        <v>1</v>
      </c>
      <c r="X318" s="17">
        <f t="shared" si="49"/>
        <v>1</v>
      </c>
      <c r="Y318" s="17">
        <f t="shared" si="49"/>
        <v>1</v>
      </c>
      <c r="Z318" s="17">
        <f t="shared" si="49"/>
        <v>1</v>
      </c>
      <c r="AA318" s="17">
        <f t="shared" si="49"/>
        <v>1</v>
      </c>
      <c r="AB318" s="17">
        <f t="shared" si="49"/>
        <v>0</v>
      </c>
      <c r="AC318" s="17">
        <f t="shared" si="49"/>
        <v>0</v>
      </c>
      <c r="AD318" s="17">
        <f t="shared" si="44"/>
        <v>9</v>
      </c>
    </row>
    <row r="319" spans="4:30" x14ac:dyDescent="0.2">
      <c r="D319" s="37">
        <v>45237</v>
      </c>
      <c r="E319" s="17" t="str">
        <f t="shared" si="42"/>
        <v>weekday</v>
      </c>
      <c r="F319" s="17">
        <f t="shared" si="50"/>
        <v>0</v>
      </c>
      <c r="G319" s="17">
        <f t="shared" si="50"/>
        <v>0</v>
      </c>
      <c r="H319" s="17">
        <f t="shared" si="50"/>
        <v>0</v>
      </c>
      <c r="I319" s="17">
        <f t="shared" si="50"/>
        <v>0</v>
      </c>
      <c r="J319" s="17">
        <f t="shared" si="50"/>
        <v>0</v>
      </c>
      <c r="K319" s="17">
        <f t="shared" si="50"/>
        <v>0</v>
      </c>
      <c r="L319" s="17">
        <f t="shared" si="50"/>
        <v>1</v>
      </c>
      <c r="M319" s="17">
        <f t="shared" si="50"/>
        <v>1</v>
      </c>
      <c r="N319" s="17">
        <f t="shared" si="50"/>
        <v>0</v>
      </c>
      <c r="O319" s="17">
        <f t="shared" si="50"/>
        <v>0</v>
      </c>
      <c r="P319" s="17">
        <f t="shared" si="50"/>
        <v>0</v>
      </c>
      <c r="Q319" s="17">
        <f t="shared" si="50"/>
        <v>0</v>
      </c>
      <c r="R319" s="17">
        <f t="shared" si="50"/>
        <v>0</v>
      </c>
      <c r="S319" s="17">
        <f t="shared" si="50"/>
        <v>0</v>
      </c>
      <c r="T319" s="17">
        <f t="shared" si="50"/>
        <v>0</v>
      </c>
      <c r="U319" s="17">
        <f t="shared" si="50"/>
        <v>1</v>
      </c>
      <c r="V319" s="17">
        <f t="shared" si="49"/>
        <v>1</v>
      </c>
      <c r="W319" s="17">
        <f t="shared" si="49"/>
        <v>1</v>
      </c>
      <c r="X319" s="17">
        <f t="shared" si="49"/>
        <v>1</v>
      </c>
      <c r="Y319" s="17">
        <f t="shared" si="49"/>
        <v>1</v>
      </c>
      <c r="Z319" s="17">
        <f t="shared" si="49"/>
        <v>1</v>
      </c>
      <c r="AA319" s="17">
        <f t="shared" si="49"/>
        <v>1</v>
      </c>
      <c r="AB319" s="17">
        <f t="shared" si="49"/>
        <v>0</v>
      </c>
      <c r="AC319" s="17">
        <f t="shared" si="49"/>
        <v>0</v>
      </c>
      <c r="AD319" s="17">
        <f t="shared" si="44"/>
        <v>9</v>
      </c>
    </row>
    <row r="320" spans="4:30" x14ac:dyDescent="0.2">
      <c r="D320" s="37">
        <v>45238</v>
      </c>
      <c r="E320" s="17" t="str">
        <f t="shared" si="42"/>
        <v>weekday</v>
      </c>
      <c r="F320" s="17">
        <f t="shared" si="50"/>
        <v>0</v>
      </c>
      <c r="G320" s="17">
        <f t="shared" si="50"/>
        <v>0</v>
      </c>
      <c r="H320" s="17">
        <f t="shared" si="50"/>
        <v>0</v>
      </c>
      <c r="I320" s="17">
        <f t="shared" si="50"/>
        <v>0</v>
      </c>
      <c r="J320" s="17">
        <f t="shared" si="50"/>
        <v>0</v>
      </c>
      <c r="K320" s="17">
        <f t="shared" si="50"/>
        <v>0</v>
      </c>
      <c r="L320" s="17">
        <f t="shared" si="50"/>
        <v>1</v>
      </c>
      <c r="M320" s="17">
        <f t="shared" si="50"/>
        <v>1</v>
      </c>
      <c r="N320" s="17">
        <f t="shared" si="50"/>
        <v>0</v>
      </c>
      <c r="O320" s="17">
        <f t="shared" si="50"/>
        <v>0</v>
      </c>
      <c r="P320" s="17">
        <f t="shared" si="50"/>
        <v>0</v>
      </c>
      <c r="Q320" s="17">
        <f t="shared" si="50"/>
        <v>0</v>
      </c>
      <c r="R320" s="17">
        <f t="shared" si="50"/>
        <v>0</v>
      </c>
      <c r="S320" s="17">
        <f t="shared" si="50"/>
        <v>0</v>
      </c>
      <c r="T320" s="17">
        <f t="shared" si="50"/>
        <v>0</v>
      </c>
      <c r="U320" s="17">
        <f t="shared" si="50"/>
        <v>1</v>
      </c>
      <c r="V320" s="17">
        <f t="shared" si="49"/>
        <v>1</v>
      </c>
      <c r="W320" s="17">
        <f t="shared" si="49"/>
        <v>1</v>
      </c>
      <c r="X320" s="17">
        <f t="shared" si="49"/>
        <v>1</v>
      </c>
      <c r="Y320" s="17">
        <f t="shared" si="49"/>
        <v>1</v>
      </c>
      <c r="Z320" s="17">
        <f t="shared" si="49"/>
        <v>1</v>
      </c>
      <c r="AA320" s="17">
        <f t="shared" si="49"/>
        <v>1</v>
      </c>
      <c r="AB320" s="17">
        <f t="shared" si="49"/>
        <v>0</v>
      </c>
      <c r="AC320" s="17">
        <f t="shared" si="49"/>
        <v>0</v>
      </c>
      <c r="AD320" s="17">
        <f t="shared" si="44"/>
        <v>9</v>
      </c>
    </row>
    <row r="321" spans="4:30" x14ac:dyDescent="0.2">
      <c r="D321" s="37">
        <v>45239</v>
      </c>
      <c r="E321" s="17" t="str">
        <f t="shared" si="42"/>
        <v>weekday</v>
      </c>
      <c r="F321" s="17">
        <f t="shared" si="50"/>
        <v>0</v>
      </c>
      <c r="G321" s="17">
        <f t="shared" si="50"/>
        <v>0</v>
      </c>
      <c r="H321" s="17">
        <f t="shared" si="50"/>
        <v>0</v>
      </c>
      <c r="I321" s="17">
        <f t="shared" si="50"/>
        <v>0</v>
      </c>
      <c r="J321" s="17">
        <f t="shared" si="50"/>
        <v>0</v>
      </c>
      <c r="K321" s="17">
        <f t="shared" si="50"/>
        <v>0</v>
      </c>
      <c r="L321" s="17">
        <f t="shared" si="50"/>
        <v>1</v>
      </c>
      <c r="M321" s="17">
        <f t="shared" si="50"/>
        <v>1</v>
      </c>
      <c r="N321" s="17">
        <f t="shared" si="50"/>
        <v>0</v>
      </c>
      <c r="O321" s="17">
        <f t="shared" si="50"/>
        <v>0</v>
      </c>
      <c r="P321" s="17">
        <f t="shared" si="50"/>
        <v>0</v>
      </c>
      <c r="Q321" s="17">
        <f t="shared" si="50"/>
        <v>0</v>
      </c>
      <c r="R321" s="17">
        <f t="shared" si="50"/>
        <v>0</v>
      </c>
      <c r="S321" s="17">
        <f t="shared" si="50"/>
        <v>0</v>
      </c>
      <c r="T321" s="17">
        <f t="shared" si="50"/>
        <v>0</v>
      </c>
      <c r="U321" s="17">
        <f t="shared" si="50"/>
        <v>1</v>
      </c>
      <c r="V321" s="17">
        <f t="shared" si="49"/>
        <v>1</v>
      </c>
      <c r="W321" s="17">
        <f t="shared" si="49"/>
        <v>1</v>
      </c>
      <c r="X321" s="17">
        <f t="shared" si="49"/>
        <v>1</v>
      </c>
      <c r="Y321" s="17">
        <f t="shared" si="49"/>
        <v>1</v>
      </c>
      <c r="Z321" s="17">
        <f t="shared" si="49"/>
        <v>1</v>
      </c>
      <c r="AA321" s="17">
        <f t="shared" si="49"/>
        <v>1</v>
      </c>
      <c r="AB321" s="17">
        <f t="shared" si="49"/>
        <v>0</v>
      </c>
      <c r="AC321" s="17">
        <f t="shared" si="49"/>
        <v>0</v>
      </c>
      <c r="AD321" s="17">
        <f t="shared" si="44"/>
        <v>9</v>
      </c>
    </row>
    <row r="322" spans="4:30" x14ac:dyDescent="0.2">
      <c r="D322" s="37">
        <v>45240</v>
      </c>
      <c r="E322" s="17" t="str">
        <f t="shared" si="42"/>
        <v>weekday</v>
      </c>
      <c r="F322" s="17">
        <f t="shared" si="50"/>
        <v>0</v>
      </c>
      <c r="G322" s="17">
        <f t="shared" si="50"/>
        <v>0</v>
      </c>
      <c r="H322" s="17">
        <f t="shared" si="50"/>
        <v>0</v>
      </c>
      <c r="I322" s="17">
        <f t="shared" si="50"/>
        <v>0</v>
      </c>
      <c r="J322" s="17">
        <f t="shared" si="50"/>
        <v>0</v>
      </c>
      <c r="K322" s="17">
        <f t="shared" si="50"/>
        <v>0</v>
      </c>
      <c r="L322" s="17">
        <f t="shared" si="50"/>
        <v>1</v>
      </c>
      <c r="M322" s="17">
        <f t="shared" si="50"/>
        <v>1</v>
      </c>
      <c r="N322" s="17">
        <f t="shared" si="50"/>
        <v>0</v>
      </c>
      <c r="O322" s="17">
        <f t="shared" si="50"/>
        <v>0</v>
      </c>
      <c r="P322" s="17">
        <f t="shared" si="50"/>
        <v>0</v>
      </c>
      <c r="Q322" s="17">
        <f t="shared" si="50"/>
        <v>0</v>
      </c>
      <c r="R322" s="17">
        <f t="shared" si="50"/>
        <v>0</v>
      </c>
      <c r="S322" s="17">
        <f t="shared" si="50"/>
        <v>0</v>
      </c>
      <c r="T322" s="17">
        <f t="shared" si="50"/>
        <v>0</v>
      </c>
      <c r="U322" s="17">
        <f t="shared" si="50"/>
        <v>1</v>
      </c>
      <c r="V322" s="17">
        <f t="shared" si="49"/>
        <v>1</v>
      </c>
      <c r="W322" s="17">
        <f t="shared" si="49"/>
        <v>1</v>
      </c>
      <c r="X322" s="17">
        <f t="shared" si="49"/>
        <v>1</v>
      </c>
      <c r="Y322" s="17">
        <f t="shared" si="49"/>
        <v>1</v>
      </c>
      <c r="Z322" s="17">
        <f t="shared" si="49"/>
        <v>1</v>
      </c>
      <c r="AA322" s="17">
        <f t="shared" si="49"/>
        <v>1</v>
      </c>
      <c r="AB322" s="17">
        <f t="shared" si="49"/>
        <v>0</v>
      </c>
      <c r="AC322" s="17">
        <f t="shared" si="49"/>
        <v>0</v>
      </c>
      <c r="AD322" s="17">
        <f t="shared" si="44"/>
        <v>9</v>
      </c>
    </row>
    <row r="323" spans="4:30" x14ac:dyDescent="0.2">
      <c r="D323" s="37">
        <v>45241</v>
      </c>
      <c r="E323" s="17" t="str">
        <f t="shared" si="42"/>
        <v>weekend</v>
      </c>
      <c r="F323" s="17">
        <f t="shared" si="50"/>
        <v>0</v>
      </c>
      <c r="G323" s="17">
        <f t="shared" si="50"/>
        <v>0</v>
      </c>
      <c r="H323" s="17">
        <f t="shared" si="50"/>
        <v>0</v>
      </c>
      <c r="I323" s="17">
        <f t="shared" si="50"/>
        <v>0</v>
      </c>
      <c r="J323" s="17">
        <f t="shared" si="50"/>
        <v>0</v>
      </c>
      <c r="K323" s="17">
        <f t="shared" si="50"/>
        <v>0</v>
      </c>
      <c r="L323" s="17">
        <f t="shared" si="50"/>
        <v>1</v>
      </c>
      <c r="M323" s="17">
        <f t="shared" si="50"/>
        <v>1</v>
      </c>
      <c r="N323" s="17">
        <f t="shared" si="50"/>
        <v>1</v>
      </c>
      <c r="O323" s="17">
        <f t="shared" si="50"/>
        <v>1</v>
      </c>
      <c r="P323" s="17">
        <f t="shared" si="50"/>
        <v>1</v>
      </c>
      <c r="Q323" s="17">
        <f t="shared" si="50"/>
        <v>1</v>
      </c>
      <c r="R323" s="17">
        <f t="shared" si="50"/>
        <v>1</v>
      </c>
      <c r="S323" s="17">
        <f t="shared" si="50"/>
        <v>1</v>
      </c>
      <c r="T323" s="17">
        <f t="shared" si="50"/>
        <v>1</v>
      </c>
      <c r="U323" s="17">
        <f t="shared" si="50"/>
        <v>1</v>
      </c>
      <c r="V323" s="17">
        <f t="shared" si="49"/>
        <v>1</v>
      </c>
      <c r="W323" s="17">
        <f t="shared" si="49"/>
        <v>1</v>
      </c>
      <c r="X323" s="17">
        <f t="shared" si="49"/>
        <v>1</v>
      </c>
      <c r="Y323" s="17">
        <f t="shared" si="49"/>
        <v>1</v>
      </c>
      <c r="Z323" s="17">
        <f t="shared" si="49"/>
        <v>1</v>
      </c>
      <c r="AA323" s="17">
        <f t="shared" si="49"/>
        <v>1</v>
      </c>
      <c r="AB323" s="17">
        <f t="shared" si="49"/>
        <v>0</v>
      </c>
      <c r="AC323" s="17">
        <f t="shared" si="49"/>
        <v>0</v>
      </c>
      <c r="AD323" s="17">
        <f t="shared" si="44"/>
        <v>16</v>
      </c>
    </row>
    <row r="324" spans="4:30" x14ac:dyDescent="0.2">
      <c r="D324" s="37">
        <v>45242</v>
      </c>
      <c r="E324" s="17" t="str">
        <f t="shared" si="42"/>
        <v>weekend</v>
      </c>
      <c r="F324" s="17">
        <f t="shared" si="50"/>
        <v>0</v>
      </c>
      <c r="G324" s="17">
        <f t="shared" si="50"/>
        <v>0</v>
      </c>
      <c r="H324" s="17">
        <f t="shared" si="50"/>
        <v>0</v>
      </c>
      <c r="I324" s="17">
        <f t="shared" si="50"/>
        <v>0</v>
      </c>
      <c r="J324" s="17">
        <f t="shared" si="50"/>
        <v>0</v>
      </c>
      <c r="K324" s="17">
        <f t="shared" si="50"/>
        <v>0</v>
      </c>
      <c r="L324" s="17">
        <f t="shared" si="50"/>
        <v>1</v>
      </c>
      <c r="M324" s="17">
        <f t="shared" si="50"/>
        <v>1</v>
      </c>
      <c r="N324" s="17">
        <f t="shared" si="50"/>
        <v>1</v>
      </c>
      <c r="O324" s="17">
        <f t="shared" si="50"/>
        <v>1</v>
      </c>
      <c r="P324" s="17">
        <f t="shared" si="50"/>
        <v>1</v>
      </c>
      <c r="Q324" s="17">
        <f t="shared" si="50"/>
        <v>1</v>
      </c>
      <c r="R324" s="17">
        <f t="shared" si="50"/>
        <v>1</v>
      </c>
      <c r="S324" s="17">
        <f t="shared" si="50"/>
        <v>1</v>
      </c>
      <c r="T324" s="17">
        <f t="shared" si="50"/>
        <v>1</v>
      </c>
      <c r="U324" s="17">
        <f t="shared" si="50"/>
        <v>1</v>
      </c>
      <c r="V324" s="17">
        <f t="shared" si="49"/>
        <v>1</v>
      </c>
      <c r="W324" s="17">
        <f t="shared" si="49"/>
        <v>1</v>
      </c>
      <c r="X324" s="17">
        <f t="shared" si="49"/>
        <v>1</v>
      </c>
      <c r="Y324" s="17">
        <f t="shared" si="49"/>
        <v>1</v>
      </c>
      <c r="Z324" s="17">
        <f t="shared" si="49"/>
        <v>1</v>
      </c>
      <c r="AA324" s="17">
        <f t="shared" si="49"/>
        <v>1</v>
      </c>
      <c r="AB324" s="17">
        <f t="shared" si="49"/>
        <v>0</v>
      </c>
      <c r="AC324" s="17">
        <f t="shared" si="49"/>
        <v>0</v>
      </c>
      <c r="AD324" s="17">
        <f t="shared" si="44"/>
        <v>16</v>
      </c>
    </row>
    <row r="325" spans="4:30" x14ac:dyDescent="0.2">
      <c r="D325" s="37">
        <v>45243</v>
      </c>
      <c r="E325" s="17" t="str">
        <f t="shared" si="42"/>
        <v>weekday</v>
      </c>
      <c r="F325" s="17">
        <f t="shared" si="50"/>
        <v>0</v>
      </c>
      <c r="G325" s="17">
        <f t="shared" si="50"/>
        <v>0</v>
      </c>
      <c r="H325" s="17">
        <f t="shared" si="50"/>
        <v>0</v>
      </c>
      <c r="I325" s="17">
        <f t="shared" si="50"/>
        <v>0</v>
      </c>
      <c r="J325" s="17">
        <f t="shared" si="50"/>
        <v>0</v>
      </c>
      <c r="K325" s="17">
        <f t="shared" si="50"/>
        <v>0</v>
      </c>
      <c r="L325" s="17">
        <f t="shared" si="50"/>
        <v>1</v>
      </c>
      <c r="M325" s="17">
        <f t="shared" si="50"/>
        <v>1</v>
      </c>
      <c r="N325" s="17">
        <f t="shared" si="50"/>
        <v>0</v>
      </c>
      <c r="O325" s="17">
        <f t="shared" si="50"/>
        <v>0</v>
      </c>
      <c r="P325" s="17">
        <f t="shared" si="50"/>
        <v>0</v>
      </c>
      <c r="Q325" s="17">
        <f t="shared" si="50"/>
        <v>0</v>
      </c>
      <c r="R325" s="17">
        <f t="shared" si="50"/>
        <v>0</v>
      </c>
      <c r="S325" s="17">
        <f t="shared" si="50"/>
        <v>0</v>
      </c>
      <c r="T325" s="17">
        <f t="shared" si="50"/>
        <v>0</v>
      </c>
      <c r="U325" s="17">
        <f t="shared" si="50"/>
        <v>1</v>
      </c>
      <c r="V325" s="17">
        <f t="shared" si="49"/>
        <v>1</v>
      </c>
      <c r="W325" s="17">
        <f t="shared" si="49"/>
        <v>1</v>
      </c>
      <c r="X325" s="17">
        <f t="shared" si="49"/>
        <v>1</v>
      </c>
      <c r="Y325" s="17">
        <f t="shared" si="49"/>
        <v>1</v>
      </c>
      <c r="Z325" s="17">
        <f t="shared" si="49"/>
        <v>1</v>
      </c>
      <c r="AA325" s="17">
        <f t="shared" si="49"/>
        <v>1</v>
      </c>
      <c r="AB325" s="17">
        <f t="shared" si="49"/>
        <v>0</v>
      </c>
      <c r="AC325" s="17">
        <f t="shared" si="49"/>
        <v>0</v>
      </c>
      <c r="AD325" s="17">
        <f t="shared" si="44"/>
        <v>9</v>
      </c>
    </row>
    <row r="326" spans="4:30" x14ac:dyDescent="0.2">
      <c r="D326" s="37">
        <v>45244</v>
      </c>
      <c r="E326" s="17" t="str">
        <f t="shared" si="42"/>
        <v>weekday</v>
      </c>
      <c r="F326" s="17">
        <f t="shared" si="50"/>
        <v>0</v>
      </c>
      <c r="G326" s="17">
        <f t="shared" si="50"/>
        <v>0</v>
      </c>
      <c r="H326" s="17">
        <f t="shared" si="50"/>
        <v>0</v>
      </c>
      <c r="I326" s="17">
        <f t="shared" si="50"/>
        <v>0</v>
      </c>
      <c r="J326" s="17">
        <f t="shared" si="50"/>
        <v>0</v>
      </c>
      <c r="K326" s="17">
        <f t="shared" si="50"/>
        <v>0</v>
      </c>
      <c r="L326" s="17">
        <f t="shared" si="50"/>
        <v>1</v>
      </c>
      <c r="M326" s="17">
        <f t="shared" si="50"/>
        <v>1</v>
      </c>
      <c r="N326" s="17">
        <f t="shared" si="50"/>
        <v>0</v>
      </c>
      <c r="O326" s="17">
        <f t="shared" si="50"/>
        <v>0</v>
      </c>
      <c r="P326" s="17">
        <f t="shared" si="50"/>
        <v>0</v>
      </c>
      <c r="Q326" s="17">
        <f t="shared" si="50"/>
        <v>0</v>
      </c>
      <c r="R326" s="17">
        <f t="shared" si="50"/>
        <v>0</v>
      </c>
      <c r="S326" s="17">
        <f t="shared" si="50"/>
        <v>0</v>
      </c>
      <c r="T326" s="17">
        <f t="shared" si="50"/>
        <v>0</v>
      </c>
      <c r="U326" s="17">
        <f t="shared" si="50"/>
        <v>1</v>
      </c>
      <c r="V326" s="17">
        <f t="shared" si="49"/>
        <v>1</v>
      </c>
      <c r="W326" s="17">
        <f t="shared" si="49"/>
        <v>1</v>
      </c>
      <c r="X326" s="17">
        <f t="shared" si="49"/>
        <v>1</v>
      </c>
      <c r="Y326" s="17">
        <f t="shared" si="49"/>
        <v>1</v>
      </c>
      <c r="Z326" s="17">
        <f t="shared" si="49"/>
        <v>1</v>
      </c>
      <c r="AA326" s="17">
        <f t="shared" si="49"/>
        <v>1</v>
      </c>
      <c r="AB326" s="17">
        <f t="shared" si="49"/>
        <v>0</v>
      </c>
      <c r="AC326" s="17">
        <f t="shared" si="49"/>
        <v>0</v>
      </c>
      <c r="AD326" s="17">
        <f t="shared" si="44"/>
        <v>9</v>
      </c>
    </row>
    <row r="327" spans="4:30" x14ac:dyDescent="0.2">
      <c r="D327" s="37">
        <v>45245</v>
      </c>
      <c r="E327" s="17" t="str">
        <f t="shared" si="42"/>
        <v>weekday</v>
      </c>
      <c r="F327" s="17">
        <f t="shared" si="50"/>
        <v>0</v>
      </c>
      <c r="G327" s="17">
        <f t="shared" si="50"/>
        <v>0</v>
      </c>
      <c r="H327" s="17">
        <f t="shared" si="50"/>
        <v>0</v>
      </c>
      <c r="I327" s="17">
        <f t="shared" si="50"/>
        <v>0</v>
      </c>
      <c r="J327" s="17">
        <f t="shared" si="50"/>
        <v>0</v>
      </c>
      <c r="K327" s="17">
        <f t="shared" si="50"/>
        <v>0</v>
      </c>
      <c r="L327" s="17">
        <f t="shared" si="50"/>
        <v>1</v>
      </c>
      <c r="M327" s="17">
        <f t="shared" si="50"/>
        <v>1</v>
      </c>
      <c r="N327" s="17">
        <f t="shared" si="50"/>
        <v>0</v>
      </c>
      <c r="O327" s="17">
        <f t="shared" si="50"/>
        <v>0</v>
      </c>
      <c r="P327" s="17">
        <f t="shared" si="50"/>
        <v>0</v>
      </c>
      <c r="Q327" s="17">
        <f t="shared" si="50"/>
        <v>0</v>
      </c>
      <c r="R327" s="17">
        <f t="shared" si="50"/>
        <v>0</v>
      </c>
      <c r="S327" s="17">
        <f t="shared" si="50"/>
        <v>0</v>
      </c>
      <c r="T327" s="17">
        <f t="shared" si="50"/>
        <v>0</v>
      </c>
      <c r="U327" s="17">
        <f t="shared" si="50"/>
        <v>1</v>
      </c>
      <c r="V327" s="17">
        <f t="shared" si="49"/>
        <v>1</v>
      </c>
      <c r="W327" s="17">
        <f t="shared" si="49"/>
        <v>1</v>
      </c>
      <c r="X327" s="17">
        <f t="shared" si="49"/>
        <v>1</v>
      </c>
      <c r="Y327" s="17">
        <f t="shared" si="49"/>
        <v>1</v>
      </c>
      <c r="Z327" s="17">
        <f t="shared" si="49"/>
        <v>1</v>
      </c>
      <c r="AA327" s="17">
        <f t="shared" si="49"/>
        <v>1</v>
      </c>
      <c r="AB327" s="17">
        <f t="shared" si="49"/>
        <v>0</v>
      </c>
      <c r="AC327" s="17">
        <f t="shared" si="49"/>
        <v>0</v>
      </c>
      <c r="AD327" s="17">
        <f t="shared" si="44"/>
        <v>9</v>
      </c>
    </row>
    <row r="328" spans="4:30" x14ac:dyDescent="0.2">
      <c r="D328" s="37">
        <v>45246</v>
      </c>
      <c r="E328" s="17" t="str">
        <f t="shared" si="42"/>
        <v>weekday</v>
      </c>
      <c r="F328" s="17">
        <f t="shared" si="50"/>
        <v>0</v>
      </c>
      <c r="G328" s="17">
        <f t="shared" si="50"/>
        <v>0</v>
      </c>
      <c r="H328" s="17">
        <f t="shared" si="50"/>
        <v>0</v>
      </c>
      <c r="I328" s="17">
        <f t="shared" si="50"/>
        <v>0</v>
      </c>
      <c r="J328" s="17">
        <f t="shared" si="50"/>
        <v>0</v>
      </c>
      <c r="K328" s="17">
        <f t="shared" si="50"/>
        <v>0</v>
      </c>
      <c r="L328" s="17">
        <f t="shared" si="50"/>
        <v>1</v>
      </c>
      <c r="M328" s="17">
        <f t="shared" si="50"/>
        <v>1</v>
      </c>
      <c r="N328" s="17">
        <f t="shared" si="50"/>
        <v>0</v>
      </c>
      <c r="O328" s="17">
        <f t="shared" si="50"/>
        <v>0</v>
      </c>
      <c r="P328" s="17">
        <f t="shared" si="50"/>
        <v>0</v>
      </c>
      <c r="Q328" s="17">
        <f t="shared" si="50"/>
        <v>0</v>
      </c>
      <c r="R328" s="17">
        <f t="shared" si="50"/>
        <v>0</v>
      </c>
      <c r="S328" s="17">
        <f t="shared" si="50"/>
        <v>0</v>
      </c>
      <c r="T328" s="17">
        <f t="shared" si="50"/>
        <v>0</v>
      </c>
      <c r="U328" s="17">
        <f t="shared" si="50"/>
        <v>1</v>
      </c>
      <c r="V328" s="17">
        <f t="shared" si="49"/>
        <v>1</v>
      </c>
      <c r="W328" s="17">
        <f t="shared" si="49"/>
        <v>1</v>
      </c>
      <c r="X328" s="17">
        <f t="shared" si="49"/>
        <v>1</v>
      </c>
      <c r="Y328" s="17">
        <f t="shared" si="49"/>
        <v>1</v>
      </c>
      <c r="Z328" s="17">
        <f t="shared" si="49"/>
        <v>1</v>
      </c>
      <c r="AA328" s="17">
        <f t="shared" si="49"/>
        <v>1</v>
      </c>
      <c r="AB328" s="17">
        <f t="shared" si="49"/>
        <v>0</v>
      </c>
      <c r="AC328" s="17">
        <f t="shared" si="49"/>
        <v>0</v>
      </c>
      <c r="AD328" s="17">
        <f t="shared" si="44"/>
        <v>9</v>
      </c>
    </row>
    <row r="329" spans="4:30" x14ac:dyDescent="0.2">
      <c r="D329" s="37">
        <v>45247</v>
      </c>
      <c r="E329" s="17" t="str">
        <f t="shared" si="42"/>
        <v>weekday</v>
      </c>
      <c r="F329" s="17">
        <f t="shared" si="50"/>
        <v>0</v>
      </c>
      <c r="G329" s="17">
        <f t="shared" si="50"/>
        <v>0</v>
      </c>
      <c r="H329" s="17">
        <f t="shared" si="50"/>
        <v>0</v>
      </c>
      <c r="I329" s="17">
        <f t="shared" si="50"/>
        <v>0</v>
      </c>
      <c r="J329" s="17">
        <f t="shared" si="50"/>
        <v>0</v>
      </c>
      <c r="K329" s="17">
        <f t="shared" si="50"/>
        <v>0</v>
      </c>
      <c r="L329" s="17">
        <f t="shared" si="50"/>
        <v>1</v>
      </c>
      <c r="M329" s="17">
        <f t="shared" si="50"/>
        <v>1</v>
      </c>
      <c r="N329" s="17">
        <f t="shared" si="50"/>
        <v>0</v>
      </c>
      <c r="O329" s="17">
        <f t="shared" si="50"/>
        <v>0</v>
      </c>
      <c r="P329" s="17">
        <f t="shared" si="50"/>
        <v>0</v>
      </c>
      <c r="Q329" s="17">
        <f t="shared" si="50"/>
        <v>0</v>
      </c>
      <c r="R329" s="17">
        <f t="shared" si="50"/>
        <v>0</v>
      </c>
      <c r="S329" s="17">
        <f t="shared" si="50"/>
        <v>0</v>
      </c>
      <c r="T329" s="17">
        <f t="shared" si="50"/>
        <v>0</v>
      </c>
      <c r="U329" s="17">
        <f t="shared" ref="U329:AC344" si="51">IF($E329=$E$5,(U$5),(U$6))</f>
        <v>1</v>
      </c>
      <c r="V329" s="17">
        <f t="shared" si="51"/>
        <v>1</v>
      </c>
      <c r="W329" s="17">
        <f t="shared" si="51"/>
        <v>1</v>
      </c>
      <c r="X329" s="17">
        <f t="shared" si="51"/>
        <v>1</v>
      </c>
      <c r="Y329" s="17">
        <f t="shared" si="51"/>
        <v>1</v>
      </c>
      <c r="Z329" s="17">
        <f t="shared" si="51"/>
        <v>1</v>
      </c>
      <c r="AA329" s="17">
        <f t="shared" si="51"/>
        <v>1</v>
      </c>
      <c r="AB329" s="17">
        <f t="shared" si="51"/>
        <v>0</v>
      </c>
      <c r="AC329" s="17">
        <f t="shared" si="51"/>
        <v>0</v>
      </c>
      <c r="AD329" s="17">
        <f t="shared" si="44"/>
        <v>9</v>
      </c>
    </row>
    <row r="330" spans="4:30" x14ac:dyDescent="0.2">
      <c r="D330" s="37">
        <v>45248</v>
      </c>
      <c r="E330" s="17" t="str">
        <f t="shared" ref="E330:E373" si="52">IF(WEEKDAY(D330, 2)&lt;6, "weekday", "weekend")</f>
        <v>weekend</v>
      </c>
      <c r="F330" s="17">
        <f t="shared" ref="F330:U345" si="53">IF($E330=$E$5,(F$5),(F$6))</f>
        <v>0</v>
      </c>
      <c r="G330" s="17">
        <f t="shared" si="53"/>
        <v>0</v>
      </c>
      <c r="H330" s="17">
        <f t="shared" si="53"/>
        <v>0</v>
      </c>
      <c r="I330" s="17">
        <f t="shared" si="53"/>
        <v>0</v>
      </c>
      <c r="J330" s="17">
        <f t="shared" si="53"/>
        <v>0</v>
      </c>
      <c r="K330" s="17">
        <f t="shared" si="53"/>
        <v>0</v>
      </c>
      <c r="L330" s="17">
        <f t="shared" si="53"/>
        <v>1</v>
      </c>
      <c r="M330" s="17">
        <f t="shared" si="53"/>
        <v>1</v>
      </c>
      <c r="N330" s="17">
        <f t="shared" si="53"/>
        <v>1</v>
      </c>
      <c r="O330" s="17">
        <f t="shared" si="53"/>
        <v>1</v>
      </c>
      <c r="P330" s="17">
        <f t="shared" si="53"/>
        <v>1</v>
      </c>
      <c r="Q330" s="17">
        <f t="shared" si="53"/>
        <v>1</v>
      </c>
      <c r="R330" s="17">
        <f t="shared" si="53"/>
        <v>1</v>
      </c>
      <c r="S330" s="17">
        <f t="shared" si="53"/>
        <v>1</v>
      </c>
      <c r="T330" s="17">
        <f t="shared" si="53"/>
        <v>1</v>
      </c>
      <c r="U330" s="17">
        <f t="shared" si="53"/>
        <v>1</v>
      </c>
      <c r="V330" s="17">
        <f t="shared" si="51"/>
        <v>1</v>
      </c>
      <c r="W330" s="17">
        <f t="shared" si="51"/>
        <v>1</v>
      </c>
      <c r="X330" s="17">
        <f t="shared" si="51"/>
        <v>1</v>
      </c>
      <c r="Y330" s="17">
        <f t="shared" si="51"/>
        <v>1</v>
      </c>
      <c r="Z330" s="17">
        <f t="shared" si="51"/>
        <v>1</v>
      </c>
      <c r="AA330" s="17">
        <f t="shared" si="51"/>
        <v>1</v>
      </c>
      <c r="AB330" s="17">
        <f t="shared" si="51"/>
        <v>0</v>
      </c>
      <c r="AC330" s="17">
        <f t="shared" si="51"/>
        <v>0</v>
      </c>
      <c r="AD330" s="17">
        <f t="shared" ref="AD330:AD373" si="54">SUM(F330:AC330)</f>
        <v>16</v>
      </c>
    </row>
    <row r="331" spans="4:30" x14ac:dyDescent="0.2">
      <c r="D331" s="37">
        <v>45249</v>
      </c>
      <c r="E331" s="17" t="str">
        <f t="shared" si="52"/>
        <v>weekend</v>
      </c>
      <c r="F331" s="17">
        <f t="shared" si="53"/>
        <v>0</v>
      </c>
      <c r="G331" s="17">
        <f t="shared" si="53"/>
        <v>0</v>
      </c>
      <c r="H331" s="17">
        <f t="shared" si="53"/>
        <v>0</v>
      </c>
      <c r="I331" s="17">
        <f t="shared" si="53"/>
        <v>0</v>
      </c>
      <c r="J331" s="17">
        <f t="shared" si="53"/>
        <v>0</v>
      </c>
      <c r="K331" s="17">
        <f t="shared" si="53"/>
        <v>0</v>
      </c>
      <c r="L331" s="17">
        <f t="shared" si="53"/>
        <v>1</v>
      </c>
      <c r="M331" s="17">
        <f t="shared" si="53"/>
        <v>1</v>
      </c>
      <c r="N331" s="17">
        <f t="shared" si="53"/>
        <v>1</v>
      </c>
      <c r="O331" s="17">
        <f t="shared" si="53"/>
        <v>1</v>
      </c>
      <c r="P331" s="17">
        <f t="shared" si="53"/>
        <v>1</v>
      </c>
      <c r="Q331" s="17">
        <f t="shared" si="53"/>
        <v>1</v>
      </c>
      <c r="R331" s="17">
        <f t="shared" si="53"/>
        <v>1</v>
      </c>
      <c r="S331" s="17">
        <f t="shared" si="53"/>
        <v>1</v>
      </c>
      <c r="T331" s="17">
        <f t="shared" si="53"/>
        <v>1</v>
      </c>
      <c r="U331" s="17">
        <f t="shared" si="53"/>
        <v>1</v>
      </c>
      <c r="V331" s="17">
        <f t="shared" si="51"/>
        <v>1</v>
      </c>
      <c r="W331" s="17">
        <f t="shared" si="51"/>
        <v>1</v>
      </c>
      <c r="X331" s="17">
        <f t="shared" si="51"/>
        <v>1</v>
      </c>
      <c r="Y331" s="17">
        <f t="shared" si="51"/>
        <v>1</v>
      </c>
      <c r="Z331" s="17">
        <f t="shared" si="51"/>
        <v>1</v>
      </c>
      <c r="AA331" s="17">
        <f t="shared" si="51"/>
        <v>1</v>
      </c>
      <c r="AB331" s="17">
        <f t="shared" si="51"/>
        <v>0</v>
      </c>
      <c r="AC331" s="17">
        <f t="shared" si="51"/>
        <v>0</v>
      </c>
      <c r="AD331" s="17">
        <f t="shared" si="54"/>
        <v>16</v>
      </c>
    </row>
    <row r="332" spans="4:30" x14ac:dyDescent="0.2">
      <c r="D332" s="37">
        <v>45250</v>
      </c>
      <c r="E332" s="17" t="str">
        <f t="shared" si="52"/>
        <v>weekday</v>
      </c>
      <c r="F332" s="17">
        <f t="shared" si="53"/>
        <v>0</v>
      </c>
      <c r="G332" s="17">
        <f t="shared" si="53"/>
        <v>0</v>
      </c>
      <c r="H332" s="17">
        <f t="shared" si="53"/>
        <v>0</v>
      </c>
      <c r="I332" s="17">
        <f t="shared" si="53"/>
        <v>0</v>
      </c>
      <c r="J332" s="17">
        <f t="shared" si="53"/>
        <v>0</v>
      </c>
      <c r="K332" s="17">
        <f t="shared" si="53"/>
        <v>0</v>
      </c>
      <c r="L332" s="17">
        <f t="shared" si="53"/>
        <v>1</v>
      </c>
      <c r="M332" s="17">
        <f t="shared" si="53"/>
        <v>1</v>
      </c>
      <c r="N332" s="17">
        <f t="shared" si="53"/>
        <v>0</v>
      </c>
      <c r="O332" s="17">
        <f t="shared" si="53"/>
        <v>0</v>
      </c>
      <c r="P332" s="17">
        <f t="shared" si="53"/>
        <v>0</v>
      </c>
      <c r="Q332" s="17">
        <f t="shared" si="53"/>
        <v>0</v>
      </c>
      <c r="R332" s="17">
        <f t="shared" si="53"/>
        <v>0</v>
      </c>
      <c r="S332" s="17">
        <f t="shared" si="53"/>
        <v>0</v>
      </c>
      <c r="T332" s="17">
        <f t="shared" si="53"/>
        <v>0</v>
      </c>
      <c r="U332" s="17">
        <f t="shared" si="53"/>
        <v>1</v>
      </c>
      <c r="V332" s="17">
        <f t="shared" si="51"/>
        <v>1</v>
      </c>
      <c r="W332" s="17">
        <f t="shared" si="51"/>
        <v>1</v>
      </c>
      <c r="X332" s="17">
        <f t="shared" si="51"/>
        <v>1</v>
      </c>
      <c r="Y332" s="17">
        <f t="shared" si="51"/>
        <v>1</v>
      </c>
      <c r="Z332" s="17">
        <f t="shared" si="51"/>
        <v>1</v>
      </c>
      <c r="AA332" s="17">
        <f t="shared" si="51"/>
        <v>1</v>
      </c>
      <c r="AB332" s="17">
        <f t="shared" si="51"/>
        <v>0</v>
      </c>
      <c r="AC332" s="17">
        <f t="shared" si="51"/>
        <v>0</v>
      </c>
      <c r="AD332" s="17">
        <f t="shared" si="54"/>
        <v>9</v>
      </c>
    </row>
    <row r="333" spans="4:30" x14ac:dyDescent="0.2">
      <c r="D333" s="37">
        <v>45251</v>
      </c>
      <c r="E333" s="17" t="str">
        <f t="shared" si="52"/>
        <v>weekday</v>
      </c>
      <c r="F333" s="17">
        <f t="shared" si="53"/>
        <v>0</v>
      </c>
      <c r="G333" s="17">
        <f t="shared" si="53"/>
        <v>0</v>
      </c>
      <c r="H333" s="17">
        <f t="shared" si="53"/>
        <v>0</v>
      </c>
      <c r="I333" s="17">
        <f t="shared" si="53"/>
        <v>0</v>
      </c>
      <c r="J333" s="17">
        <f t="shared" si="53"/>
        <v>0</v>
      </c>
      <c r="K333" s="17">
        <f t="shared" si="53"/>
        <v>0</v>
      </c>
      <c r="L333" s="17">
        <f t="shared" si="53"/>
        <v>1</v>
      </c>
      <c r="M333" s="17">
        <f t="shared" si="53"/>
        <v>1</v>
      </c>
      <c r="N333" s="17">
        <f t="shared" si="53"/>
        <v>0</v>
      </c>
      <c r="O333" s="17">
        <f t="shared" si="53"/>
        <v>0</v>
      </c>
      <c r="P333" s="17">
        <f t="shared" si="53"/>
        <v>0</v>
      </c>
      <c r="Q333" s="17">
        <f t="shared" si="53"/>
        <v>0</v>
      </c>
      <c r="R333" s="17">
        <f t="shared" si="53"/>
        <v>0</v>
      </c>
      <c r="S333" s="17">
        <f t="shared" si="53"/>
        <v>0</v>
      </c>
      <c r="T333" s="17">
        <f t="shared" si="53"/>
        <v>0</v>
      </c>
      <c r="U333" s="17">
        <f t="shared" si="53"/>
        <v>1</v>
      </c>
      <c r="V333" s="17">
        <f t="shared" si="51"/>
        <v>1</v>
      </c>
      <c r="W333" s="17">
        <f t="shared" si="51"/>
        <v>1</v>
      </c>
      <c r="X333" s="17">
        <f t="shared" si="51"/>
        <v>1</v>
      </c>
      <c r="Y333" s="17">
        <f t="shared" si="51"/>
        <v>1</v>
      </c>
      <c r="Z333" s="17">
        <f t="shared" si="51"/>
        <v>1</v>
      </c>
      <c r="AA333" s="17">
        <f t="shared" si="51"/>
        <v>1</v>
      </c>
      <c r="AB333" s="17">
        <f t="shared" si="51"/>
        <v>0</v>
      </c>
      <c r="AC333" s="17">
        <f t="shared" si="51"/>
        <v>0</v>
      </c>
      <c r="AD333" s="17">
        <f t="shared" si="54"/>
        <v>9</v>
      </c>
    </row>
    <row r="334" spans="4:30" x14ac:dyDescent="0.2">
      <c r="D334" s="37">
        <v>45252</v>
      </c>
      <c r="E334" s="17" t="str">
        <f t="shared" si="52"/>
        <v>weekday</v>
      </c>
      <c r="F334" s="17">
        <f t="shared" si="53"/>
        <v>0</v>
      </c>
      <c r="G334" s="17">
        <f t="shared" si="53"/>
        <v>0</v>
      </c>
      <c r="H334" s="17">
        <f t="shared" si="53"/>
        <v>0</v>
      </c>
      <c r="I334" s="17">
        <f t="shared" si="53"/>
        <v>0</v>
      </c>
      <c r="J334" s="17">
        <f t="shared" si="53"/>
        <v>0</v>
      </c>
      <c r="K334" s="17">
        <f t="shared" si="53"/>
        <v>0</v>
      </c>
      <c r="L334" s="17">
        <f t="shared" si="53"/>
        <v>1</v>
      </c>
      <c r="M334" s="17">
        <f t="shared" si="53"/>
        <v>1</v>
      </c>
      <c r="N334" s="17">
        <f t="shared" si="53"/>
        <v>0</v>
      </c>
      <c r="O334" s="17">
        <f t="shared" si="53"/>
        <v>0</v>
      </c>
      <c r="P334" s="17">
        <f t="shared" si="53"/>
        <v>0</v>
      </c>
      <c r="Q334" s="17">
        <f t="shared" si="53"/>
        <v>0</v>
      </c>
      <c r="R334" s="17">
        <f t="shared" si="53"/>
        <v>0</v>
      </c>
      <c r="S334" s="17">
        <f t="shared" si="53"/>
        <v>0</v>
      </c>
      <c r="T334" s="17">
        <f t="shared" si="53"/>
        <v>0</v>
      </c>
      <c r="U334" s="17">
        <f t="shared" si="53"/>
        <v>1</v>
      </c>
      <c r="V334" s="17">
        <f t="shared" si="51"/>
        <v>1</v>
      </c>
      <c r="W334" s="17">
        <f t="shared" si="51"/>
        <v>1</v>
      </c>
      <c r="X334" s="17">
        <f t="shared" si="51"/>
        <v>1</v>
      </c>
      <c r="Y334" s="17">
        <f t="shared" si="51"/>
        <v>1</v>
      </c>
      <c r="Z334" s="17">
        <f t="shared" si="51"/>
        <v>1</v>
      </c>
      <c r="AA334" s="17">
        <f t="shared" si="51"/>
        <v>1</v>
      </c>
      <c r="AB334" s="17">
        <f t="shared" si="51"/>
        <v>0</v>
      </c>
      <c r="AC334" s="17">
        <f t="shared" si="51"/>
        <v>0</v>
      </c>
      <c r="AD334" s="17">
        <f t="shared" si="54"/>
        <v>9</v>
      </c>
    </row>
    <row r="335" spans="4:30" x14ac:dyDescent="0.2">
      <c r="D335" s="37">
        <v>45253</v>
      </c>
      <c r="E335" s="17" t="str">
        <f t="shared" si="52"/>
        <v>weekday</v>
      </c>
      <c r="F335" s="17">
        <f t="shared" si="53"/>
        <v>0</v>
      </c>
      <c r="G335" s="17">
        <f t="shared" si="53"/>
        <v>0</v>
      </c>
      <c r="H335" s="17">
        <f t="shared" si="53"/>
        <v>0</v>
      </c>
      <c r="I335" s="17">
        <f t="shared" si="53"/>
        <v>0</v>
      </c>
      <c r="J335" s="17">
        <f t="shared" si="53"/>
        <v>0</v>
      </c>
      <c r="K335" s="17">
        <f t="shared" si="53"/>
        <v>0</v>
      </c>
      <c r="L335" s="17">
        <f t="shared" si="53"/>
        <v>1</v>
      </c>
      <c r="M335" s="17">
        <f t="shared" si="53"/>
        <v>1</v>
      </c>
      <c r="N335" s="17">
        <f t="shared" si="53"/>
        <v>0</v>
      </c>
      <c r="O335" s="17">
        <f t="shared" si="53"/>
        <v>0</v>
      </c>
      <c r="P335" s="17">
        <f t="shared" si="53"/>
        <v>0</v>
      </c>
      <c r="Q335" s="17">
        <f t="shared" si="53"/>
        <v>0</v>
      </c>
      <c r="R335" s="17">
        <f t="shared" si="53"/>
        <v>0</v>
      </c>
      <c r="S335" s="17">
        <f t="shared" si="53"/>
        <v>0</v>
      </c>
      <c r="T335" s="17">
        <f t="shared" si="53"/>
        <v>0</v>
      </c>
      <c r="U335" s="17">
        <f t="shared" si="53"/>
        <v>1</v>
      </c>
      <c r="V335" s="17">
        <f t="shared" si="51"/>
        <v>1</v>
      </c>
      <c r="W335" s="17">
        <f t="shared" si="51"/>
        <v>1</v>
      </c>
      <c r="X335" s="17">
        <f t="shared" si="51"/>
        <v>1</v>
      </c>
      <c r="Y335" s="17">
        <f t="shared" si="51"/>
        <v>1</v>
      </c>
      <c r="Z335" s="17">
        <f t="shared" si="51"/>
        <v>1</v>
      </c>
      <c r="AA335" s="17">
        <f t="shared" si="51"/>
        <v>1</v>
      </c>
      <c r="AB335" s="17">
        <f t="shared" si="51"/>
        <v>0</v>
      </c>
      <c r="AC335" s="17">
        <f t="shared" si="51"/>
        <v>0</v>
      </c>
      <c r="AD335" s="17">
        <f t="shared" si="54"/>
        <v>9</v>
      </c>
    </row>
    <row r="336" spans="4:30" x14ac:dyDescent="0.2">
      <c r="D336" s="37">
        <v>45254</v>
      </c>
      <c r="E336" s="17" t="str">
        <f t="shared" si="52"/>
        <v>weekday</v>
      </c>
      <c r="F336" s="17">
        <f t="shared" si="53"/>
        <v>0</v>
      </c>
      <c r="G336" s="17">
        <f t="shared" si="53"/>
        <v>0</v>
      </c>
      <c r="H336" s="17">
        <f t="shared" si="53"/>
        <v>0</v>
      </c>
      <c r="I336" s="17">
        <f t="shared" si="53"/>
        <v>0</v>
      </c>
      <c r="J336" s="17">
        <f t="shared" si="53"/>
        <v>0</v>
      </c>
      <c r="K336" s="17">
        <f t="shared" si="53"/>
        <v>0</v>
      </c>
      <c r="L336" s="17">
        <f t="shared" si="53"/>
        <v>1</v>
      </c>
      <c r="M336" s="17">
        <f t="shared" si="53"/>
        <v>1</v>
      </c>
      <c r="N336" s="17">
        <f t="shared" si="53"/>
        <v>0</v>
      </c>
      <c r="O336" s="17">
        <f t="shared" si="53"/>
        <v>0</v>
      </c>
      <c r="P336" s="17">
        <f t="shared" si="53"/>
        <v>0</v>
      </c>
      <c r="Q336" s="17">
        <f t="shared" si="53"/>
        <v>0</v>
      </c>
      <c r="R336" s="17">
        <f t="shared" si="53"/>
        <v>0</v>
      </c>
      <c r="S336" s="17">
        <f t="shared" si="53"/>
        <v>0</v>
      </c>
      <c r="T336" s="17">
        <f t="shared" si="53"/>
        <v>0</v>
      </c>
      <c r="U336" s="17">
        <f t="shared" si="53"/>
        <v>1</v>
      </c>
      <c r="V336" s="17">
        <f t="shared" si="51"/>
        <v>1</v>
      </c>
      <c r="W336" s="17">
        <f t="shared" si="51"/>
        <v>1</v>
      </c>
      <c r="X336" s="17">
        <f t="shared" si="51"/>
        <v>1</v>
      </c>
      <c r="Y336" s="17">
        <f t="shared" si="51"/>
        <v>1</v>
      </c>
      <c r="Z336" s="17">
        <f t="shared" si="51"/>
        <v>1</v>
      </c>
      <c r="AA336" s="17">
        <f t="shared" si="51"/>
        <v>1</v>
      </c>
      <c r="AB336" s="17">
        <f t="shared" si="51"/>
        <v>0</v>
      </c>
      <c r="AC336" s="17">
        <f t="shared" si="51"/>
        <v>0</v>
      </c>
      <c r="AD336" s="17">
        <f t="shared" si="54"/>
        <v>9</v>
      </c>
    </row>
    <row r="337" spans="4:30" x14ac:dyDescent="0.2">
      <c r="D337" s="37">
        <v>45255</v>
      </c>
      <c r="E337" s="17" t="str">
        <f t="shared" si="52"/>
        <v>weekend</v>
      </c>
      <c r="F337" s="17">
        <f t="shared" si="53"/>
        <v>0</v>
      </c>
      <c r="G337" s="17">
        <f t="shared" si="53"/>
        <v>0</v>
      </c>
      <c r="H337" s="17">
        <f t="shared" si="53"/>
        <v>0</v>
      </c>
      <c r="I337" s="17">
        <f t="shared" si="53"/>
        <v>0</v>
      </c>
      <c r="J337" s="17">
        <f t="shared" si="53"/>
        <v>0</v>
      </c>
      <c r="K337" s="17">
        <f t="shared" si="53"/>
        <v>0</v>
      </c>
      <c r="L337" s="17">
        <f t="shared" si="53"/>
        <v>1</v>
      </c>
      <c r="M337" s="17">
        <f t="shared" si="53"/>
        <v>1</v>
      </c>
      <c r="N337" s="17">
        <f t="shared" si="53"/>
        <v>1</v>
      </c>
      <c r="O337" s="17">
        <f t="shared" si="53"/>
        <v>1</v>
      </c>
      <c r="P337" s="17">
        <f t="shared" si="53"/>
        <v>1</v>
      </c>
      <c r="Q337" s="17">
        <f t="shared" si="53"/>
        <v>1</v>
      </c>
      <c r="R337" s="17">
        <f t="shared" si="53"/>
        <v>1</v>
      </c>
      <c r="S337" s="17">
        <f t="shared" si="53"/>
        <v>1</v>
      </c>
      <c r="T337" s="17">
        <f t="shared" si="53"/>
        <v>1</v>
      </c>
      <c r="U337" s="17">
        <f t="shared" si="53"/>
        <v>1</v>
      </c>
      <c r="V337" s="17">
        <f t="shared" si="51"/>
        <v>1</v>
      </c>
      <c r="W337" s="17">
        <f t="shared" si="51"/>
        <v>1</v>
      </c>
      <c r="X337" s="17">
        <f t="shared" si="51"/>
        <v>1</v>
      </c>
      <c r="Y337" s="17">
        <f t="shared" si="51"/>
        <v>1</v>
      </c>
      <c r="Z337" s="17">
        <f t="shared" si="51"/>
        <v>1</v>
      </c>
      <c r="AA337" s="17">
        <f t="shared" si="51"/>
        <v>1</v>
      </c>
      <c r="AB337" s="17">
        <f t="shared" si="51"/>
        <v>0</v>
      </c>
      <c r="AC337" s="17">
        <f t="shared" si="51"/>
        <v>0</v>
      </c>
      <c r="AD337" s="17">
        <f t="shared" si="54"/>
        <v>16</v>
      </c>
    </row>
    <row r="338" spans="4:30" x14ac:dyDescent="0.2">
      <c r="D338" s="37">
        <v>45256</v>
      </c>
      <c r="E338" s="17" t="str">
        <f t="shared" si="52"/>
        <v>weekend</v>
      </c>
      <c r="F338" s="17">
        <f t="shared" si="53"/>
        <v>0</v>
      </c>
      <c r="G338" s="17">
        <f t="shared" si="53"/>
        <v>0</v>
      </c>
      <c r="H338" s="17">
        <f t="shared" si="53"/>
        <v>0</v>
      </c>
      <c r="I338" s="17">
        <f t="shared" si="53"/>
        <v>0</v>
      </c>
      <c r="J338" s="17">
        <f t="shared" si="53"/>
        <v>0</v>
      </c>
      <c r="K338" s="17">
        <f t="shared" si="53"/>
        <v>0</v>
      </c>
      <c r="L338" s="17">
        <f t="shared" si="53"/>
        <v>1</v>
      </c>
      <c r="M338" s="17">
        <f t="shared" si="53"/>
        <v>1</v>
      </c>
      <c r="N338" s="17">
        <f t="shared" si="53"/>
        <v>1</v>
      </c>
      <c r="O338" s="17">
        <f t="shared" si="53"/>
        <v>1</v>
      </c>
      <c r="P338" s="17">
        <f t="shared" si="53"/>
        <v>1</v>
      </c>
      <c r="Q338" s="17">
        <f t="shared" si="53"/>
        <v>1</v>
      </c>
      <c r="R338" s="17">
        <f t="shared" si="53"/>
        <v>1</v>
      </c>
      <c r="S338" s="17">
        <f t="shared" si="53"/>
        <v>1</v>
      </c>
      <c r="T338" s="17">
        <f t="shared" si="53"/>
        <v>1</v>
      </c>
      <c r="U338" s="17">
        <f t="shared" si="53"/>
        <v>1</v>
      </c>
      <c r="V338" s="17">
        <f t="shared" si="51"/>
        <v>1</v>
      </c>
      <c r="W338" s="17">
        <f t="shared" si="51"/>
        <v>1</v>
      </c>
      <c r="X338" s="17">
        <f t="shared" si="51"/>
        <v>1</v>
      </c>
      <c r="Y338" s="17">
        <f t="shared" si="51"/>
        <v>1</v>
      </c>
      <c r="Z338" s="17">
        <f t="shared" si="51"/>
        <v>1</v>
      </c>
      <c r="AA338" s="17">
        <f t="shared" si="51"/>
        <v>1</v>
      </c>
      <c r="AB338" s="17">
        <f t="shared" si="51"/>
        <v>0</v>
      </c>
      <c r="AC338" s="17">
        <f t="shared" si="51"/>
        <v>0</v>
      </c>
      <c r="AD338" s="17">
        <f t="shared" si="54"/>
        <v>16</v>
      </c>
    </row>
    <row r="339" spans="4:30" x14ac:dyDescent="0.2">
      <c r="D339" s="37">
        <v>45257</v>
      </c>
      <c r="E339" s="17" t="str">
        <f t="shared" si="52"/>
        <v>weekday</v>
      </c>
      <c r="F339" s="17">
        <f t="shared" si="53"/>
        <v>0</v>
      </c>
      <c r="G339" s="17">
        <f t="shared" si="53"/>
        <v>0</v>
      </c>
      <c r="H339" s="17">
        <f t="shared" si="53"/>
        <v>0</v>
      </c>
      <c r="I339" s="17">
        <f t="shared" si="53"/>
        <v>0</v>
      </c>
      <c r="J339" s="17">
        <f t="shared" si="53"/>
        <v>0</v>
      </c>
      <c r="K339" s="17">
        <f t="shared" si="53"/>
        <v>0</v>
      </c>
      <c r="L339" s="17">
        <f t="shared" si="53"/>
        <v>1</v>
      </c>
      <c r="M339" s="17">
        <f t="shared" si="53"/>
        <v>1</v>
      </c>
      <c r="N339" s="17">
        <f t="shared" si="53"/>
        <v>0</v>
      </c>
      <c r="O339" s="17">
        <f t="shared" si="53"/>
        <v>0</v>
      </c>
      <c r="P339" s="17">
        <f t="shared" si="53"/>
        <v>0</v>
      </c>
      <c r="Q339" s="17">
        <f t="shared" si="53"/>
        <v>0</v>
      </c>
      <c r="R339" s="17">
        <f t="shared" si="53"/>
        <v>0</v>
      </c>
      <c r="S339" s="17">
        <f t="shared" si="53"/>
        <v>0</v>
      </c>
      <c r="T339" s="17">
        <f t="shared" si="53"/>
        <v>0</v>
      </c>
      <c r="U339" s="17">
        <f t="shared" si="53"/>
        <v>1</v>
      </c>
      <c r="V339" s="17">
        <f t="shared" si="51"/>
        <v>1</v>
      </c>
      <c r="W339" s="17">
        <f t="shared" si="51"/>
        <v>1</v>
      </c>
      <c r="X339" s="17">
        <f t="shared" si="51"/>
        <v>1</v>
      </c>
      <c r="Y339" s="17">
        <f t="shared" si="51"/>
        <v>1</v>
      </c>
      <c r="Z339" s="17">
        <f t="shared" si="51"/>
        <v>1</v>
      </c>
      <c r="AA339" s="17">
        <f t="shared" si="51"/>
        <v>1</v>
      </c>
      <c r="AB339" s="17">
        <f t="shared" si="51"/>
        <v>0</v>
      </c>
      <c r="AC339" s="17">
        <f t="shared" si="51"/>
        <v>0</v>
      </c>
      <c r="AD339" s="17">
        <f t="shared" si="54"/>
        <v>9</v>
      </c>
    </row>
    <row r="340" spans="4:30" x14ac:dyDescent="0.2">
      <c r="D340" s="37">
        <v>45258</v>
      </c>
      <c r="E340" s="17" t="str">
        <f t="shared" si="52"/>
        <v>weekday</v>
      </c>
      <c r="F340" s="17">
        <f t="shared" si="53"/>
        <v>0</v>
      </c>
      <c r="G340" s="17">
        <f t="shared" si="53"/>
        <v>0</v>
      </c>
      <c r="H340" s="17">
        <f t="shared" si="53"/>
        <v>0</v>
      </c>
      <c r="I340" s="17">
        <f t="shared" si="53"/>
        <v>0</v>
      </c>
      <c r="J340" s="17">
        <f t="shared" si="53"/>
        <v>0</v>
      </c>
      <c r="K340" s="17">
        <f t="shared" si="53"/>
        <v>0</v>
      </c>
      <c r="L340" s="17">
        <f t="shared" si="53"/>
        <v>1</v>
      </c>
      <c r="M340" s="17">
        <f t="shared" si="53"/>
        <v>1</v>
      </c>
      <c r="N340" s="17">
        <f t="shared" si="53"/>
        <v>0</v>
      </c>
      <c r="O340" s="17">
        <f t="shared" si="53"/>
        <v>0</v>
      </c>
      <c r="P340" s="17">
        <f t="shared" si="53"/>
        <v>0</v>
      </c>
      <c r="Q340" s="17">
        <f t="shared" si="53"/>
        <v>0</v>
      </c>
      <c r="R340" s="17">
        <f t="shared" si="53"/>
        <v>0</v>
      </c>
      <c r="S340" s="17">
        <f t="shared" si="53"/>
        <v>0</v>
      </c>
      <c r="T340" s="17">
        <f t="shared" si="53"/>
        <v>0</v>
      </c>
      <c r="U340" s="17">
        <f t="shared" si="53"/>
        <v>1</v>
      </c>
      <c r="V340" s="17">
        <f t="shared" si="51"/>
        <v>1</v>
      </c>
      <c r="W340" s="17">
        <f t="shared" si="51"/>
        <v>1</v>
      </c>
      <c r="X340" s="17">
        <f t="shared" si="51"/>
        <v>1</v>
      </c>
      <c r="Y340" s="17">
        <f t="shared" si="51"/>
        <v>1</v>
      </c>
      <c r="Z340" s="17">
        <f t="shared" si="51"/>
        <v>1</v>
      </c>
      <c r="AA340" s="17">
        <f t="shared" si="51"/>
        <v>1</v>
      </c>
      <c r="AB340" s="17">
        <f t="shared" si="51"/>
        <v>0</v>
      </c>
      <c r="AC340" s="17">
        <f t="shared" si="51"/>
        <v>0</v>
      </c>
      <c r="AD340" s="17">
        <f t="shared" si="54"/>
        <v>9</v>
      </c>
    </row>
    <row r="341" spans="4:30" x14ac:dyDescent="0.2">
      <c r="D341" s="37">
        <v>45259</v>
      </c>
      <c r="E341" s="17" t="str">
        <f t="shared" si="52"/>
        <v>weekday</v>
      </c>
      <c r="F341" s="17">
        <f t="shared" si="53"/>
        <v>0</v>
      </c>
      <c r="G341" s="17">
        <f t="shared" si="53"/>
        <v>0</v>
      </c>
      <c r="H341" s="17">
        <f t="shared" si="53"/>
        <v>0</v>
      </c>
      <c r="I341" s="17">
        <f t="shared" si="53"/>
        <v>0</v>
      </c>
      <c r="J341" s="17">
        <f t="shared" si="53"/>
        <v>0</v>
      </c>
      <c r="K341" s="17">
        <f t="shared" si="53"/>
        <v>0</v>
      </c>
      <c r="L341" s="17">
        <f t="shared" si="53"/>
        <v>1</v>
      </c>
      <c r="M341" s="17">
        <f t="shared" si="53"/>
        <v>1</v>
      </c>
      <c r="N341" s="17">
        <f t="shared" si="53"/>
        <v>0</v>
      </c>
      <c r="O341" s="17">
        <f t="shared" si="53"/>
        <v>0</v>
      </c>
      <c r="P341" s="17">
        <f t="shared" si="53"/>
        <v>0</v>
      </c>
      <c r="Q341" s="17">
        <f t="shared" si="53"/>
        <v>0</v>
      </c>
      <c r="R341" s="17">
        <f t="shared" si="53"/>
        <v>0</v>
      </c>
      <c r="S341" s="17">
        <f t="shared" si="53"/>
        <v>0</v>
      </c>
      <c r="T341" s="17">
        <f t="shared" si="53"/>
        <v>0</v>
      </c>
      <c r="U341" s="17">
        <f t="shared" si="53"/>
        <v>1</v>
      </c>
      <c r="V341" s="17">
        <f t="shared" si="51"/>
        <v>1</v>
      </c>
      <c r="W341" s="17">
        <f t="shared" si="51"/>
        <v>1</v>
      </c>
      <c r="X341" s="17">
        <f t="shared" si="51"/>
        <v>1</v>
      </c>
      <c r="Y341" s="17">
        <f t="shared" si="51"/>
        <v>1</v>
      </c>
      <c r="Z341" s="17">
        <f t="shared" si="51"/>
        <v>1</v>
      </c>
      <c r="AA341" s="17">
        <f t="shared" si="51"/>
        <v>1</v>
      </c>
      <c r="AB341" s="17">
        <f t="shared" si="51"/>
        <v>0</v>
      </c>
      <c r="AC341" s="17">
        <f t="shared" si="51"/>
        <v>0</v>
      </c>
      <c r="AD341" s="17">
        <f t="shared" si="54"/>
        <v>9</v>
      </c>
    </row>
    <row r="342" spans="4:30" x14ac:dyDescent="0.2">
      <c r="D342" s="37">
        <v>45260</v>
      </c>
      <c r="E342" s="17" t="str">
        <f t="shared" si="52"/>
        <v>weekday</v>
      </c>
      <c r="F342" s="17">
        <f t="shared" si="53"/>
        <v>0</v>
      </c>
      <c r="G342" s="17">
        <f t="shared" si="53"/>
        <v>0</v>
      </c>
      <c r="H342" s="17">
        <f t="shared" si="53"/>
        <v>0</v>
      </c>
      <c r="I342" s="17">
        <f t="shared" si="53"/>
        <v>0</v>
      </c>
      <c r="J342" s="17">
        <f t="shared" si="53"/>
        <v>0</v>
      </c>
      <c r="K342" s="17">
        <f t="shared" si="53"/>
        <v>0</v>
      </c>
      <c r="L342" s="17">
        <f t="shared" si="53"/>
        <v>1</v>
      </c>
      <c r="M342" s="17">
        <f t="shared" si="53"/>
        <v>1</v>
      </c>
      <c r="N342" s="17">
        <f t="shared" si="53"/>
        <v>0</v>
      </c>
      <c r="O342" s="17">
        <f t="shared" si="53"/>
        <v>0</v>
      </c>
      <c r="P342" s="17">
        <f t="shared" si="53"/>
        <v>0</v>
      </c>
      <c r="Q342" s="17">
        <f t="shared" si="53"/>
        <v>0</v>
      </c>
      <c r="R342" s="17">
        <f t="shared" si="53"/>
        <v>0</v>
      </c>
      <c r="S342" s="17">
        <f t="shared" si="53"/>
        <v>0</v>
      </c>
      <c r="T342" s="17">
        <f t="shared" si="53"/>
        <v>0</v>
      </c>
      <c r="U342" s="17">
        <f t="shared" si="53"/>
        <v>1</v>
      </c>
      <c r="V342" s="17">
        <f t="shared" si="51"/>
        <v>1</v>
      </c>
      <c r="W342" s="17">
        <f t="shared" si="51"/>
        <v>1</v>
      </c>
      <c r="X342" s="17">
        <f t="shared" si="51"/>
        <v>1</v>
      </c>
      <c r="Y342" s="17">
        <f t="shared" si="51"/>
        <v>1</v>
      </c>
      <c r="Z342" s="17">
        <f t="shared" si="51"/>
        <v>1</v>
      </c>
      <c r="AA342" s="17">
        <f t="shared" si="51"/>
        <v>1</v>
      </c>
      <c r="AB342" s="17">
        <f t="shared" si="51"/>
        <v>0</v>
      </c>
      <c r="AC342" s="17">
        <f t="shared" si="51"/>
        <v>0</v>
      </c>
      <c r="AD342" s="17">
        <f t="shared" si="54"/>
        <v>9</v>
      </c>
    </row>
    <row r="343" spans="4:30" x14ac:dyDescent="0.2">
      <c r="D343" s="37">
        <v>45261</v>
      </c>
      <c r="E343" s="17" t="str">
        <f t="shared" si="52"/>
        <v>weekday</v>
      </c>
      <c r="F343" s="17">
        <f t="shared" si="53"/>
        <v>0</v>
      </c>
      <c r="G343" s="17">
        <f t="shared" si="53"/>
        <v>0</v>
      </c>
      <c r="H343" s="17">
        <f t="shared" si="53"/>
        <v>0</v>
      </c>
      <c r="I343" s="17">
        <f t="shared" si="53"/>
        <v>0</v>
      </c>
      <c r="J343" s="17">
        <f t="shared" si="53"/>
        <v>0</v>
      </c>
      <c r="K343" s="17">
        <f t="shared" si="53"/>
        <v>0</v>
      </c>
      <c r="L343" s="17">
        <f t="shared" si="53"/>
        <v>1</v>
      </c>
      <c r="M343" s="17">
        <f t="shared" si="53"/>
        <v>1</v>
      </c>
      <c r="N343" s="17">
        <f t="shared" si="53"/>
        <v>0</v>
      </c>
      <c r="O343" s="17">
        <f t="shared" si="53"/>
        <v>0</v>
      </c>
      <c r="P343" s="17">
        <f t="shared" si="53"/>
        <v>0</v>
      </c>
      <c r="Q343" s="17">
        <f t="shared" si="53"/>
        <v>0</v>
      </c>
      <c r="R343" s="17">
        <f t="shared" si="53"/>
        <v>0</v>
      </c>
      <c r="S343" s="17">
        <f t="shared" si="53"/>
        <v>0</v>
      </c>
      <c r="T343" s="17">
        <f t="shared" si="53"/>
        <v>0</v>
      </c>
      <c r="U343" s="17">
        <f t="shared" si="53"/>
        <v>1</v>
      </c>
      <c r="V343" s="17">
        <f t="shared" si="51"/>
        <v>1</v>
      </c>
      <c r="W343" s="17">
        <f t="shared" si="51"/>
        <v>1</v>
      </c>
      <c r="X343" s="17">
        <f t="shared" si="51"/>
        <v>1</v>
      </c>
      <c r="Y343" s="17">
        <f t="shared" si="51"/>
        <v>1</v>
      </c>
      <c r="Z343" s="17">
        <f t="shared" si="51"/>
        <v>1</v>
      </c>
      <c r="AA343" s="17">
        <f t="shared" si="51"/>
        <v>1</v>
      </c>
      <c r="AB343" s="17">
        <f t="shared" si="51"/>
        <v>0</v>
      </c>
      <c r="AC343" s="17">
        <f t="shared" si="51"/>
        <v>0</v>
      </c>
      <c r="AD343" s="17">
        <f t="shared" si="54"/>
        <v>9</v>
      </c>
    </row>
    <row r="344" spans="4:30" x14ac:dyDescent="0.2">
      <c r="D344" s="37">
        <v>45262</v>
      </c>
      <c r="E344" s="17" t="str">
        <f t="shared" si="52"/>
        <v>weekend</v>
      </c>
      <c r="F344" s="17">
        <f t="shared" si="53"/>
        <v>0</v>
      </c>
      <c r="G344" s="17">
        <f t="shared" si="53"/>
        <v>0</v>
      </c>
      <c r="H344" s="17">
        <f t="shared" si="53"/>
        <v>0</v>
      </c>
      <c r="I344" s="17">
        <f t="shared" si="53"/>
        <v>0</v>
      </c>
      <c r="J344" s="17">
        <f t="shared" si="53"/>
        <v>0</v>
      </c>
      <c r="K344" s="17">
        <f t="shared" si="53"/>
        <v>0</v>
      </c>
      <c r="L344" s="17">
        <f t="shared" si="53"/>
        <v>1</v>
      </c>
      <c r="M344" s="17">
        <f t="shared" si="53"/>
        <v>1</v>
      </c>
      <c r="N344" s="17">
        <f t="shared" si="53"/>
        <v>1</v>
      </c>
      <c r="O344" s="17">
        <f t="shared" si="53"/>
        <v>1</v>
      </c>
      <c r="P344" s="17">
        <f t="shared" si="53"/>
        <v>1</v>
      </c>
      <c r="Q344" s="17">
        <f t="shared" si="53"/>
        <v>1</v>
      </c>
      <c r="R344" s="17">
        <f t="shared" si="53"/>
        <v>1</v>
      </c>
      <c r="S344" s="17">
        <f t="shared" si="53"/>
        <v>1</v>
      </c>
      <c r="T344" s="17">
        <f t="shared" si="53"/>
        <v>1</v>
      </c>
      <c r="U344" s="17">
        <f t="shared" si="53"/>
        <v>1</v>
      </c>
      <c r="V344" s="17">
        <f t="shared" si="51"/>
        <v>1</v>
      </c>
      <c r="W344" s="17">
        <f t="shared" si="51"/>
        <v>1</v>
      </c>
      <c r="X344" s="17">
        <f t="shared" si="51"/>
        <v>1</v>
      </c>
      <c r="Y344" s="17">
        <f t="shared" si="51"/>
        <v>1</v>
      </c>
      <c r="Z344" s="17">
        <f t="shared" si="51"/>
        <v>1</v>
      </c>
      <c r="AA344" s="17">
        <f t="shared" si="51"/>
        <v>1</v>
      </c>
      <c r="AB344" s="17">
        <f t="shared" si="51"/>
        <v>0</v>
      </c>
      <c r="AC344" s="17">
        <f t="shared" si="51"/>
        <v>0</v>
      </c>
      <c r="AD344" s="17">
        <f t="shared" si="54"/>
        <v>16</v>
      </c>
    </row>
    <row r="345" spans="4:30" x14ac:dyDescent="0.2">
      <c r="D345" s="37">
        <v>45263</v>
      </c>
      <c r="E345" s="17" t="str">
        <f t="shared" si="52"/>
        <v>weekend</v>
      </c>
      <c r="F345" s="17">
        <f t="shared" si="53"/>
        <v>0</v>
      </c>
      <c r="G345" s="17">
        <f t="shared" si="53"/>
        <v>0</v>
      </c>
      <c r="H345" s="17">
        <f t="shared" si="53"/>
        <v>0</v>
      </c>
      <c r="I345" s="17">
        <f t="shared" si="53"/>
        <v>0</v>
      </c>
      <c r="J345" s="17">
        <f t="shared" si="53"/>
        <v>0</v>
      </c>
      <c r="K345" s="17">
        <f t="shared" si="53"/>
        <v>0</v>
      </c>
      <c r="L345" s="17">
        <f t="shared" si="53"/>
        <v>1</v>
      </c>
      <c r="M345" s="17">
        <f t="shared" si="53"/>
        <v>1</v>
      </c>
      <c r="N345" s="17">
        <f t="shared" si="53"/>
        <v>1</v>
      </c>
      <c r="O345" s="17">
        <f t="shared" si="53"/>
        <v>1</v>
      </c>
      <c r="P345" s="17">
        <f t="shared" si="53"/>
        <v>1</v>
      </c>
      <c r="Q345" s="17">
        <f t="shared" si="53"/>
        <v>1</v>
      </c>
      <c r="R345" s="17">
        <f t="shared" si="53"/>
        <v>1</v>
      </c>
      <c r="S345" s="17">
        <f t="shared" si="53"/>
        <v>1</v>
      </c>
      <c r="T345" s="17">
        <f t="shared" si="53"/>
        <v>1</v>
      </c>
      <c r="U345" s="17">
        <f t="shared" ref="U345:AC360" si="55">IF($E345=$E$5,(U$5),(U$6))</f>
        <v>1</v>
      </c>
      <c r="V345" s="17">
        <f t="shared" si="55"/>
        <v>1</v>
      </c>
      <c r="W345" s="17">
        <f t="shared" si="55"/>
        <v>1</v>
      </c>
      <c r="X345" s="17">
        <f t="shared" si="55"/>
        <v>1</v>
      </c>
      <c r="Y345" s="17">
        <f t="shared" si="55"/>
        <v>1</v>
      </c>
      <c r="Z345" s="17">
        <f t="shared" si="55"/>
        <v>1</v>
      </c>
      <c r="AA345" s="17">
        <f t="shared" si="55"/>
        <v>1</v>
      </c>
      <c r="AB345" s="17">
        <f t="shared" si="55"/>
        <v>0</v>
      </c>
      <c r="AC345" s="17">
        <f t="shared" si="55"/>
        <v>0</v>
      </c>
      <c r="AD345" s="17">
        <f t="shared" si="54"/>
        <v>16</v>
      </c>
    </row>
    <row r="346" spans="4:30" x14ac:dyDescent="0.2">
      <c r="D346" s="37">
        <v>45264</v>
      </c>
      <c r="E346" s="17" t="str">
        <f t="shared" si="52"/>
        <v>weekday</v>
      </c>
      <c r="F346" s="17">
        <f t="shared" ref="F346:U361" si="56">IF($E346=$E$5,(F$5),(F$6))</f>
        <v>0</v>
      </c>
      <c r="G346" s="17">
        <f t="shared" si="56"/>
        <v>0</v>
      </c>
      <c r="H346" s="17">
        <f t="shared" si="56"/>
        <v>0</v>
      </c>
      <c r="I346" s="17">
        <f t="shared" si="56"/>
        <v>0</v>
      </c>
      <c r="J346" s="17">
        <f t="shared" si="56"/>
        <v>0</v>
      </c>
      <c r="K346" s="17">
        <f t="shared" si="56"/>
        <v>0</v>
      </c>
      <c r="L346" s="17">
        <f t="shared" si="56"/>
        <v>1</v>
      </c>
      <c r="M346" s="17">
        <f t="shared" si="56"/>
        <v>1</v>
      </c>
      <c r="N346" s="17">
        <f t="shared" si="56"/>
        <v>0</v>
      </c>
      <c r="O346" s="17">
        <f t="shared" si="56"/>
        <v>0</v>
      </c>
      <c r="P346" s="17">
        <f t="shared" si="56"/>
        <v>0</v>
      </c>
      <c r="Q346" s="17">
        <f t="shared" si="56"/>
        <v>0</v>
      </c>
      <c r="R346" s="17">
        <f t="shared" si="56"/>
        <v>0</v>
      </c>
      <c r="S346" s="17">
        <f t="shared" si="56"/>
        <v>0</v>
      </c>
      <c r="T346" s="17">
        <f t="shared" si="56"/>
        <v>0</v>
      </c>
      <c r="U346" s="17">
        <f t="shared" si="56"/>
        <v>1</v>
      </c>
      <c r="V346" s="17">
        <f t="shared" si="55"/>
        <v>1</v>
      </c>
      <c r="W346" s="17">
        <f t="shared" si="55"/>
        <v>1</v>
      </c>
      <c r="X346" s="17">
        <f t="shared" si="55"/>
        <v>1</v>
      </c>
      <c r="Y346" s="17">
        <f t="shared" si="55"/>
        <v>1</v>
      </c>
      <c r="Z346" s="17">
        <f t="shared" si="55"/>
        <v>1</v>
      </c>
      <c r="AA346" s="17">
        <f t="shared" si="55"/>
        <v>1</v>
      </c>
      <c r="AB346" s="17">
        <f t="shared" si="55"/>
        <v>0</v>
      </c>
      <c r="AC346" s="17">
        <f t="shared" si="55"/>
        <v>0</v>
      </c>
      <c r="AD346" s="17">
        <f t="shared" si="54"/>
        <v>9</v>
      </c>
    </row>
    <row r="347" spans="4:30" x14ac:dyDescent="0.2">
      <c r="D347" s="37">
        <v>45265</v>
      </c>
      <c r="E347" s="17" t="str">
        <f t="shared" si="52"/>
        <v>weekday</v>
      </c>
      <c r="F347" s="17">
        <f t="shared" si="56"/>
        <v>0</v>
      </c>
      <c r="G347" s="17">
        <f t="shared" si="56"/>
        <v>0</v>
      </c>
      <c r="H347" s="17">
        <f t="shared" si="56"/>
        <v>0</v>
      </c>
      <c r="I347" s="17">
        <f t="shared" si="56"/>
        <v>0</v>
      </c>
      <c r="J347" s="17">
        <f t="shared" si="56"/>
        <v>0</v>
      </c>
      <c r="K347" s="17">
        <f t="shared" si="56"/>
        <v>0</v>
      </c>
      <c r="L347" s="17">
        <f t="shared" si="56"/>
        <v>1</v>
      </c>
      <c r="M347" s="17">
        <f t="shared" si="56"/>
        <v>1</v>
      </c>
      <c r="N347" s="17">
        <f t="shared" si="56"/>
        <v>0</v>
      </c>
      <c r="O347" s="17">
        <f t="shared" si="56"/>
        <v>0</v>
      </c>
      <c r="P347" s="17">
        <f t="shared" si="56"/>
        <v>0</v>
      </c>
      <c r="Q347" s="17">
        <f t="shared" si="56"/>
        <v>0</v>
      </c>
      <c r="R347" s="17">
        <f t="shared" si="56"/>
        <v>0</v>
      </c>
      <c r="S347" s="17">
        <f t="shared" si="56"/>
        <v>0</v>
      </c>
      <c r="T347" s="17">
        <f t="shared" si="56"/>
        <v>0</v>
      </c>
      <c r="U347" s="17">
        <f t="shared" si="56"/>
        <v>1</v>
      </c>
      <c r="V347" s="17">
        <f t="shared" si="55"/>
        <v>1</v>
      </c>
      <c r="W347" s="17">
        <f t="shared" si="55"/>
        <v>1</v>
      </c>
      <c r="X347" s="17">
        <f t="shared" si="55"/>
        <v>1</v>
      </c>
      <c r="Y347" s="17">
        <f t="shared" si="55"/>
        <v>1</v>
      </c>
      <c r="Z347" s="17">
        <f t="shared" si="55"/>
        <v>1</v>
      </c>
      <c r="AA347" s="17">
        <f t="shared" si="55"/>
        <v>1</v>
      </c>
      <c r="AB347" s="17">
        <f t="shared" si="55"/>
        <v>0</v>
      </c>
      <c r="AC347" s="17">
        <f t="shared" si="55"/>
        <v>0</v>
      </c>
      <c r="AD347" s="17">
        <f t="shared" si="54"/>
        <v>9</v>
      </c>
    </row>
    <row r="348" spans="4:30" x14ac:dyDescent="0.2">
      <c r="D348" s="37">
        <v>45266</v>
      </c>
      <c r="E348" s="17" t="str">
        <f t="shared" si="52"/>
        <v>weekday</v>
      </c>
      <c r="F348" s="17">
        <f t="shared" si="56"/>
        <v>0</v>
      </c>
      <c r="G348" s="17">
        <f t="shared" si="56"/>
        <v>0</v>
      </c>
      <c r="H348" s="17">
        <f t="shared" si="56"/>
        <v>0</v>
      </c>
      <c r="I348" s="17">
        <f t="shared" si="56"/>
        <v>0</v>
      </c>
      <c r="J348" s="17">
        <f t="shared" si="56"/>
        <v>0</v>
      </c>
      <c r="K348" s="17">
        <f t="shared" si="56"/>
        <v>0</v>
      </c>
      <c r="L348" s="17">
        <f t="shared" si="56"/>
        <v>1</v>
      </c>
      <c r="M348" s="17">
        <f t="shared" si="56"/>
        <v>1</v>
      </c>
      <c r="N348" s="17">
        <f t="shared" si="56"/>
        <v>0</v>
      </c>
      <c r="O348" s="17">
        <f t="shared" si="56"/>
        <v>0</v>
      </c>
      <c r="P348" s="17">
        <f t="shared" si="56"/>
        <v>0</v>
      </c>
      <c r="Q348" s="17">
        <f t="shared" si="56"/>
        <v>0</v>
      </c>
      <c r="R348" s="17">
        <f t="shared" si="56"/>
        <v>0</v>
      </c>
      <c r="S348" s="17">
        <f t="shared" si="56"/>
        <v>0</v>
      </c>
      <c r="T348" s="17">
        <f t="shared" si="56"/>
        <v>0</v>
      </c>
      <c r="U348" s="17">
        <f t="shared" si="56"/>
        <v>1</v>
      </c>
      <c r="V348" s="17">
        <f t="shared" si="55"/>
        <v>1</v>
      </c>
      <c r="W348" s="17">
        <f t="shared" si="55"/>
        <v>1</v>
      </c>
      <c r="X348" s="17">
        <f t="shared" si="55"/>
        <v>1</v>
      </c>
      <c r="Y348" s="17">
        <f t="shared" si="55"/>
        <v>1</v>
      </c>
      <c r="Z348" s="17">
        <f t="shared" si="55"/>
        <v>1</v>
      </c>
      <c r="AA348" s="17">
        <f t="shared" si="55"/>
        <v>1</v>
      </c>
      <c r="AB348" s="17">
        <f t="shared" si="55"/>
        <v>0</v>
      </c>
      <c r="AC348" s="17">
        <f t="shared" si="55"/>
        <v>0</v>
      </c>
      <c r="AD348" s="17">
        <f t="shared" si="54"/>
        <v>9</v>
      </c>
    </row>
    <row r="349" spans="4:30" x14ac:dyDescent="0.2">
      <c r="D349" s="37">
        <v>45267</v>
      </c>
      <c r="E349" s="17" t="str">
        <f t="shared" si="52"/>
        <v>weekday</v>
      </c>
      <c r="F349" s="17">
        <f t="shared" si="56"/>
        <v>0</v>
      </c>
      <c r="G349" s="17">
        <f t="shared" si="56"/>
        <v>0</v>
      </c>
      <c r="H349" s="17">
        <f t="shared" si="56"/>
        <v>0</v>
      </c>
      <c r="I349" s="17">
        <f t="shared" si="56"/>
        <v>0</v>
      </c>
      <c r="J349" s="17">
        <f t="shared" si="56"/>
        <v>0</v>
      </c>
      <c r="K349" s="17">
        <f t="shared" si="56"/>
        <v>0</v>
      </c>
      <c r="L349" s="17">
        <f t="shared" si="56"/>
        <v>1</v>
      </c>
      <c r="M349" s="17">
        <f t="shared" si="56"/>
        <v>1</v>
      </c>
      <c r="N349" s="17">
        <f t="shared" si="56"/>
        <v>0</v>
      </c>
      <c r="O349" s="17">
        <f t="shared" si="56"/>
        <v>0</v>
      </c>
      <c r="P349" s="17">
        <f t="shared" si="56"/>
        <v>0</v>
      </c>
      <c r="Q349" s="17">
        <f t="shared" si="56"/>
        <v>0</v>
      </c>
      <c r="R349" s="17">
        <f t="shared" si="56"/>
        <v>0</v>
      </c>
      <c r="S349" s="17">
        <f t="shared" si="56"/>
        <v>0</v>
      </c>
      <c r="T349" s="17">
        <f t="shared" si="56"/>
        <v>0</v>
      </c>
      <c r="U349" s="17">
        <f t="shared" si="56"/>
        <v>1</v>
      </c>
      <c r="V349" s="17">
        <f t="shared" si="55"/>
        <v>1</v>
      </c>
      <c r="W349" s="17">
        <f t="shared" si="55"/>
        <v>1</v>
      </c>
      <c r="X349" s="17">
        <f t="shared" si="55"/>
        <v>1</v>
      </c>
      <c r="Y349" s="17">
        <f t="shared" si="55"/>
        <v>1</v>
      </c>
      <c r="Z349" s="17">
        <f t="shared" si="55"/>
        <v>1</v>
      </c>
      <c r="AA349" s="17">
        <f t="shared" si="55"/>
        <v>1</v>
      </c>
      <c r="AB349" s="17">
        <f t="shared" si="55"/>
        <v>0</v>
      </c>
      <c r="AC349" s="17">
        <f t="shared" si="55"/>
        <v>0</v>
      </c>
      <c r="AD349" s="17">
        <f t="shared" si="54"/>
        <v>9</v>
      </c>
    </row>
    <row r="350" spans="4:30" x14ac:dyDescent="0.2">
      <c r="D350" s="37">
        <v>45268</v>
      </c>
      <c r="E350" s="17" t="str">
        <f t="shared" si="52"/>
        <v>weekday</v>
      </c>
      <c r="F350" s="17">
        <f t="shared" si="56"/>
        <v>0</v>
      </c>
      <c r="G350" s="17">
        <f t="shared" si="56"/>
        <v>0</v>
      </c>
      <c r="H350" s="17">
        <f t="shared" si="56"/>
        <v>0</v>
      </c>
      <c r="I350" s="17">
        <f t="shared" si="56"/>
        <v>0</v>
      </c>
      <c r="J350" s="17">
        <f t="shared" si="56"/>
        <v>0</v>
      </c>
      <c r="K350" s="17">
        <f t="shared" si="56"/>
        <v>0</v>
      </c>
      <c r="L350" s="17">
        <f t="shared" si="56"/>
        <v>1</v>
      </c>
      <c r="M350" s="17">
        <f t="shared" si="56"/>
        <v>1</v>
      </c>
      <c r="N350" s="17">
        <f t="shared" si="56"/>
        <v>0</v>
      </c>
      <c r="O350" s="17">
        <f t="shared" si="56"/>
        <v>0</v>
      </c>
      <c r="P350" s="17">
        <f t="shared" si="56"/>
        <v>0</v>
      </c>
      <c r="Q350" s="17">
        <f t="shared" si="56"/>
        <v>0</v>
      </c>
      <c r="R350" s="17">
        <f t="shared" si="56"/>
        <v>0</v>
      </c>
      <c r="S350" s="17">
        <f t="shared" si="56"/>
        <v>0</v>
      </c>
      <c r="T350" s="17">
        <f t="shared" si="56"/>
        <v>0</v>
      </c>
      <c r="U350" s="17">
        <f t="shared" si="56"/>
        <v>1</v>
      </c>
      <c r="V350" s="17">
        <f t="shared" si="55"/>
        <v>1</v>
      </c>
      <c r="W350" s="17">
        <f t="shared" si="55"/>
        <v>1</v>
      </c>
      <c r="X350" s="17">
        <f t="shared" si="55"/>
        <v>1</v>
      </c>
      <c r="Y350" s="17">
        <f t="shared" si="55"/>
        <v>1</v>
      </c>
      <c r="Z350" s="17">
        <f t="shared" si="55"/>
        <v>1</v>
      </c>
      <c r="AA350" s="17">
        <f t="shared" si="55"/>
        <v>1</v>
      </c>
      <c r="AB350" s="17">
        <f t="shared" si="55"/>
        <v>0</v>
      </c>
      <c r="AC350" s="17">
        <f t="shared" si="55"/>
        <v>0</v>
      </c>
      <c r="AD350" s="17">
        <f t="shared" si="54"/>
        <v>9</v>
      </c>
    </row>
    <row r="351" spans="4:30" x14ac:dyDescent="0.2">
      <c r="D351" s="37">
        <v>45269</v>
      </c>
      <c r="E351" s="17" t="str">
        <f t="shared" si="52"/>
        <v>weekend</v>
      </c>
      <c r="F351" s="17">
        <f t="shared" si="56"/>
        <v>0</v>
      </c>
      <c r="G351" s="17">
        <f t="shared" si="56"/>
        <v>0</v>
      </c>
      <c r="H351" s="17">
        <f t="shared" si="56"/>
        <v>0</v>
      </c>
      <c r="I351" s="17">
        <f t="shared" si="56"/>
        <v>0</v>
      </c>
      <c r="J351" s="17">
        <f t="shared" si="56"/>
        <v>0</v>
      </c>
      <c r="K351" s="17">
        <f t="shared" si="56"/>
        <v>0</v>
      </c>
      <c r="L351" s="17">
        <f t="shared" si="56"/>
        <v>1</v>
      </c>
      <c r="M351" s="17">
        <f t="shared" si="56"/>
        <v>1</v>
      </c>
      <c r="N351" s="17">
        <f t="shared" si="56"/>
        <v>1</v>
      </c>
      <c r="O351" s="17">
        <f t="shared" si="56"/>
        <v>1</v>
      </c>
      <c r="P351" s="17">
        <f t="shared" si="56"/>
        <v>1</v>
      </c>
      <c r="Q351" s="17">
        <f t="shared" si="56"/>
        <v>1</v>
      </c>
      <c r="R351" s="17">
        <f t="shared" si="56"/>
        <v>1</v>
      </c>
      <c r="S351" s="17">
        <f t="shared" si="56"/>
        <v>1</v>
      </c>
      <c r="T351" s="17">
        <f t="shared" si="56"/>
        <v>1</v>
      </c>
      <c r="U351" s="17">
        <f t="shared" si="56"/>
        <v>1</v>
      </c>
      <c r="V351" s="17">
        <f t="shared" si="55"/>
        <v>1</v>
      </c>
      <c r="W351" s="17">
        <f t="shared" si="55"/>
        <v>1</v>
      </c>
      <c r="X351" s="17">
        <f t="shared" si="55"/>
        <v>1</v>
      </c>
      <c r="Y351" s="17">
        <f t="shared" si="55"/>
        <v>1</v>
      </c>
      <c r="Z351" s="17">
        <f t="shared" si="55"/>
        <v>1</v>
      </c>
      <c r="AA351" s="17">
        <f t="shared" si="55"/>
        <v>1</v>
      </c>
      <c r="AB351" s="17">
        <f t="shared" si="55"/>
        <v>0</v>
      </c>
      <c r="AC351" s="17">
        <f t="shared" si="55"/>
        <v>0</v>
      </c>
      <c r="AD351" s="17">
        <f t="shared" si="54"/>
        <v>16</v>
      </c>
    </row>
    <row r="352" spans="4:30" x14ac:dyDescent="0.2">
      <c r="D352" s="37">
        <v>45270</v>
      </c>
      <c r="E352" s="17" t="str">
        <f t="shared" si="52"/>
        <v>weekend</v>
      </c>
      <c r="F352" s="17">
        <f t="shared" si="56"/>
        <v>0</v>
      </c>
      <c r="G352" s="17">
        <f t="shared" si="56"/>
        <v>0</v>
      </c>
      <c r="H352" s="17">
        <f t="shared" si="56"/>
        <v>0</v>
      </c>
      <c r="I352" s="17">
        <f t="shared" si="56"/>
        <v>0</v>
      </c>
      <c r="J352" s="17">
        <f t="shared" si="56"/>
        <v>0</v>
      </c>
      <c r="K352" s="17">
        <f t="shared" si="56"/>
        <v>0</v>
      </c>
      <c r="L352" s="17">
        <f t="shared" si="56"/>
        <v>1</v>
      </c>
      <c r="M352" s="17">
        <f t="shared" si="56"/>
        <v>1</v>
      </c>
      <c r="N352" s="17">
        <f t="shared" si="56"/>
        <v>1</v>
      </c>
      <c r="O352" s="17">
        <f t="shared" si="56"/>
        <v>1</v>
      </c>
      <c r="P352" s="17">
        <f t="shared" si="56"/>
        <v>1</v>
      </c>
      <c r="Q352" s="17">
        <f t="shared" si="56"/>
        <v>1</v>
      </c>
      <c r="R352" s="17">
        <f t="shared" si="56"/>
        <v>1</v>
      </c>
      <c r="S352" s="17">
        <f t="shared" si="56"/>
        <v>1</v>
      </c>
      <c r="T352" s="17">
        <f t="shared" si="56"/>
        <v>1</v>
      </c>
      <c r="U352" s="17">
        <f t="shared" si="56"/>
        <v>1</v>
      </c>
      <c r="V352" s="17">
        <f t="shared" si="55"/>
        <v>1</v>
      </c>
      <c r="W352" s="17">
        <f t="shared" si="55"/>
        <v>1</v>
      </c>
      <c r="X352" s="17">
        <f t="shared" si="55"/>
        <v>1</v>
      </c>
      <c r="Y352" s="17">
        <f t="shared" si="55"/>
        <v>1</v>
      </c>
      <c r="Z352" s="17">
        <f t="shared" si="55"/>
        <v>1</v>
      </c>
      <c r="AA352" s="17">
        <f t="shared" si="55"/>
        <v>1</v>
      </c>
      <c r="AB352" s="17">
        <f t="shared" si="55"/>
        <v>0</v>
      </c>
      <c r="AC352" s="17">
        <f t="shared" si="55"/>
        <v>0</v>
      </c>
      <c r="AD352" s="17">
        <f t="shared" si="54"/>
        <v>16</v>
      </c>
    </row>
    <row r="353" spans="4:30" x14ac:dyDescent="0.2">
      <c r="D353" s="37">
        <v>45271</v>
      </c>
      <c r="E353" s="17" t="str">
        <f t="shared" si="52"/>
        <v>weekday</v>
      </c>
      <c r="F353" s="17">
        <f t="shared" si="56"/>
        <v>0</v>
      </c>
      <c r="G353" s="17">
        <f t="shared" si="56"/>
        <v>0</v>
      </c>
      <c r="H353" s="17">
        <f t="shared" si="56"/>
        <v>0</v>
      </c>
      <c r="I353" s="17">
        <f t="shared" si="56"/>
        <v>0</v>
      </c>
      <c r="J353" s="17">
        <f t="shared" si="56"/>
        <v>0</v>
      </c>
      <c r="K353" s="17">
        <f t="shared" si="56"/>
        <v>0</v>
      </c>
      <c r="L353" s="17">
        <f t="shared" si="56"/>
        <v>1</v>
      </c>
      <c r="M353" s="17">
        <f t="shared" si="56"/>
        <v>1</v>
      </c>
      <c r="N353" s="17">
        <f t="shared" si="56"/>
        <v>0</v>
      </c>
      <c r="O353" s="17">
        <f t="shared" si="56"/>
        <v>0</v>
      </c>
      <c r="P353" s="17">
        <f t="shared" si="56"/>
        <v>0</v>
      </c>
      <c r="Q353" s="17">
        <f t="shared" si="56"/>
        <v>0</v>
      </c>
      <c r="R353" s="17">
        <f t="shared" si="56"/>
        <v>0</v>
      </c>
      <c r="S353" s="17">
        <f t="shared" si="56"/>
        <v>0</v>
      </c>
      <c r="T353" s="17">
        <f t="shared" si="56"/>
        <v>0</v>
      </c>
      <c r="U353" s="17">
        <f t="shared" si="56"/>
        <v>1</v>
      </c>
      <c r="V353" s="17">
        <f t="shared" si="55"/>
        <v>1</v>
      </c>
      <c r="W353" s="17">
        <f t="shared" si="55"/>
        <v>1</v>
      </c>
      <c r="X353" s="17">
        <f t="shared" si="55"/>
        <v>1</v>
      </c>
      <c r="Y353" s="17">
        <f t="shared" si="55"/>
        <v>1</v>
      </c>
      <c r="Z353" s="17">
        <f t="shared" si="55"/>
        <v>1</v>
      </c>
      <c r="AA353" s="17">
        <f t="shared" si="55"/>
        <v>1</v>
      </c>
      <c r="AB353" s="17">
        <f t="shared" si="55"/>
        <v>0</v>
      </c>
      <c r="AC353" s="17">
        <f t="shared" si="55"/>
        <v>0</v>
      </c>
      <c r="AD353" s="17">
        <f t="shared" si="54"/>
        <v>9</v>
      </c>
    </row>
    <row r="354" spans="4:30" x14ac:dyDescent="0.2">
      <c r="D354" s="37">
        <v>45272</v>
      </c>
      <c r="E354" s="17" t="str">
        <f t="shared" si="52"/>
        <v>weekday</v>
      </c>
      <c r="F354" s="17">
        <f t="shared" si="56"/>
        <v>0</v>
      </c>
      <c r="G354" s="17">
        <f t="shared" si="56"/>
        <v>0</v>
      </c>
      <c r="H354" s="17">
        <f t="shared" si="56"/>
        <v>0</v>
      </c>
      <c r="I354" s="17">
        <f t="shared" si="56"/>
        <v>0</v>
      </c>
      <c r="J354" s="17">
        <f t="shared" si="56"/>
        <v>0</v>
      </c>
      <c r="K354" s="17">
        <f t="shared" si="56"/>
        <v>0</v>
      </c>
      <c r="L354" s="17">
        <f t="shared" si="56"/>
        <v>1</v>
      </c>
      <c r="M354" s="17">
        <f t="shared" si="56"/>
        <v>1</v>
      </c>
      <c r="N354" s="17">
        <f t="shared" si="56"/>
        <v>0</v>
      </c>
      <c r="O354" s="17">
        <f t="shared" si="56"/>
        <v>0</v>
      </c>
      <c r="P354" s="17">
        <f t="shared" si="56"/>
        <v>0</v>
      </c>
      <c r="Q354" s="17">
        <f t="shared" si="56"/>
        <v>0</v>
      </c>
      <c r="R354" s="17">
        <f t="shared" si="56"/>
        <v>0</v>
      </c>
      <c r="S354" s="17">
        <f t="shared" si="56"/>
        <v>0</v>
      </c>
      <c r="T354" s="17">
        <f t="shared" si="56"/>
        <v>0</v>
      </c>
      <c r="U354" s="17">
        <f t="shared" si="56"/>
        <v>1</v>
      </c>
      <c r="V354" s="17">
        <f t="shared" si="55"/>
        <v>1</v>
      </c>
      <c r="W354" s="17">
        <f t="shared" si="55"/>
        <v>1</v>
      </c>
      <c r="X354" s="17">
        <f t="shared" si="55"/>
        <v>1</v>
      </c>
      <c r="Y354" s="17">
        <f t="shared" si="55"/>
        <v>1</v>
      </c>
      <c r="Z354" s="17">
        <f t="shared" si="55"/>
        <v>1</v>
      </c>
      <c r="AA354" s="17">
        <f t="shared" si="55"/>
        <v>1</v>
      </c>
      <c r="AB354" s="17">
        <f t="shared" si="55"/>
        <v>0</v>
      </c>
      <c r="AC354" s="17">
        <f t="shared" si="55"/>
        <v>0</v>
      </c>
      <c r="AD354" s="17">
        <f t="shared" si="54"/>
        <v>9</v>
      </c>
    </row>
    <row r="355" spans="4:30" x14ac:dyDescent="0.2">
      <c r="D355" s="37">
        <v>45273</v>
      </c>
      <c r="E355" s="17" t="str">
        <f t="shared" si="52"/>
        <v>weekday</v>
      </c>
      <c r="F355" s="17">
        <f t="shared" si="56"/>
        <v>0</v>
      </c>
      <c r="G355" s="17">
        <f t="shared" si="56"/>
        <v>0</v>
      </c>
      <c r="H355" s="17">
        <f t="shared" si="56"/>
        <v>0</v>
      </c>
      <c r="I355" s="17">
        <f t="shared" si="56"/>
        <v>0</v>
      </c>
      <c r="J355" s="17">
        <f t="shared" si="56"/>
        <v>0</v>
      </c>
      <c r="K355" s="17">
        <f t="shared" si="56"/>
        <v>0</v>
      </c>
      <c r="L355" s="17">
        <f t="shared" si="56"/>
        <v>1</v>
      </c>
      <c r="M355" s="17">
        <f t="shared" si="56"/>
        <v>1</v>
      </c>
      <c r="N355" s="17">
        <f t="shared" si="56"/>
        <v>0</v>
      </c>
      <c r="O355" s="17">
        <f t="shared" si="56"/>
        <v>0</v>
      </c>
      <c r="P355" s="17">
        <f t="shared" si="56"/>
        <v>0</v>
      </c>
      <c r="Q355" s="17">
        <f t="shared" si="56"/>
        <v>0</v>
      </c>
      <c r="R355" s="17">
        <f t="shared" si="56"/>
        <v>0</v>
      </c>
      <c r="S355" s="17">
        <f t="shared" si="56"/>
        <v>0</v>
      </c>
      <c r="T355" s="17">
        <f t="shared" si="56"/>
        <v>0</v>
      </c>
      <c r="U355" s="17">
        <f t="shared" si="56"/>
        <v>1</v>
      </c>
      <c r="V355" s="17">
        <f t="shared" si="55"/>
        <v>1</v>
      </c>
      <c r="W355" s="17">
        <f t="shared" si="55"/>
        <v>1</v>
      </c>
      <c r="X355" s="17">
        <f t="shared" si="55"/>
        <v>1</v>
      </c>
      <c r="Y355" s="17">
        <f t="shared" si="55"/>
        <v>1</v>
      </c>
      <c r="Z355" s="17">
        <f t="shared" si="55"/>
        <v>1</v>
      </c>
      <c r="AA355" s="17">
        <f t="shared" si="55"/>
        <v>1</v>
      </c>
      <c r="AB355" s="17">
        <f t="shared" si="55"/>
        <v>0</v>
      </c>
      <c r="AC355" s="17">
        <f t="shared" si="55"/>
        <v>0</v>
      </c>
      <c r="AD355" s="17">
        <f t="shared" si="54"/>
        <v>9</v>
      </c>
    </row>
    <row r="356" spans="4:30" x14ac:dyDescent="0.2">
      <c r="D356" s="37">
        <v>45274</v>
      </c>
      <c r="E356" s="17" t="str">
        <f t="shared" si="52"/>
        <v>weekday</v>
      </c>
      <c r="F356" s="17">
        <f t="shared" si="56"/>
        <v>0</v>
      </c>
      <c r="G356" s="17">
        <f t="shared" si="56"/>
        <v>0</v>
      </c>
      <c r="H356" s="17">
        <f t="shared" si="56"/>
        <v>0</v>
      </c>
      <c r="I356" s="17">
        <f t="shared" si="56"/>
        <v>0</v>
      </c>
      <c r="J356" s="17">
        <f t="shared" si="56"/>
        <v>0</v>
      </c>
      <c r="K356" s="17">
        <f t="shared" si="56"/>
        <v>0</v>
      </c>
      <c r="L356" s="17">
        <f t="shared" si="56"/>
        <v>1</v>
      </c>
      <c r="M356" s="17">
        <f t="shared" si="56"/>
        <v>1</v>
      </c>
      <c r="N356" s="17">
        <f t="shared" si="56"/>
        <v>0</v>
      </c>
      <c r="O356" s="17">
        <f t="shared" si="56"/>
        <v>0</v>
      </c>
      <c r="P356" s="17">
        <f t="shared" si="56"/>
        <v>0</v>
      </c>
      <c r="Q356" s="17">
        <f t="shared" si="56"/>
        <v>0</v>
      </c>
      <c r="R356" s="17">
        <f t="shared" si="56"/>
        <v>0</v>
      </c>
      <c r="S356" s="17">
        <f t="shared" si="56"/>
        <v>0</v>
      </c>
      <c r="T356" s="17">
        <f t="shared" si="56"/>
        <v>0</v>
      </c>
      <c r="U356" s="17">
        <f t="shared" si="56"/>
        <v>1</v>
      </c>
      <c r="V356" s="17">
        <f t="shared" si="55"/>
        <v>1</v>
      </c>
      <c r="W356" s="17">
        <f t="shared" si="55"/>
        <v>1</v>
      </c>
      <c r="X356" s="17">
        <f t="shared" si="55"/>
        <v>1</v>
      </c>
      <c r="Y356" s="17">
        <f t="shared" si="55"/>
        <v>1</v>
      </c>
      <c r="Z356" s="17">
        <f t="shared" si="55"/>
        <v>1</v>
      </c>
      <c r="AA356" s="17">
        <f t="shared" si="55"/>
        <v>1</v>
      </c>
      <c r="AB356" s="17">
        <f t="shared" si="55"/>
        <v>0</v>
      </c>
      <c r="AC356" s="17">
        <f t="shared" si="55"/>
        <v>0</v>
      </c>
      <c r="AD356" s="17">
        <f t="shared" si="54"/>
        <v>9</v>
      </c>
    </row>
    <row r="357" spans="4:30" x14ac:dyDescent="0.2">
      <c r="D357" s="37">
        <v>45275</v>
      </c>
      <c r="E357" s="17" t="str">
        <f t="shared" si="52"/>
        <v>weekday</v>
      </c>
      <c r="F357" s="17">
        <f t="shared" si="56"/>
        <v>0</v>
      </c>
      <c r="G357" s="17">
        <f t="shared" si="56"/>
        <v>0</v>
      </c>
      <c r="H357" s="17">
        <f t="shared" si="56"/>
        <v>0</v>
      </c>
      <c r="I357" s="17">
        <f t="shared" si="56"/>
        <v>0</v>
      </c>
      <c r="J357" s="17">
        <f t="shared" si="56"/>
        <v>0</v>
      </c>
      <c r="K357" s="17">
        <f t="shared" si="56"/>
        <v>0</v>
      </c>
      <c r="L357" s="17">
        <f t="shared" si="56"/>
        <v>1</v>
      </c>
      <c r="M357" s="17">
        <f t="shared" si="56"/>
        <v>1</v>
      </c>
      <c r="N357" s="17">
        <f t="shared" si="56"/>
        <v>0</v>
      </c>
      <c r="O357" s="17">
        <f t="shared" si="56"/>
        <v>0</v>
      </c>
      <c r="P357" s="17">
        <f t="shared" si="56"/>
        <v>0</v>
      </c>
      <c r="Q357" s="17">
        <f t="shared" si="56"/>
        <v>0</v>
      </c>
      <c r="R357" s="17">
        <f t="shared" si="56"/>
        <v>0</v>
      </c>
      <c r="S357" s="17">
        <f t="shared" si="56"/>
        <v>0</v>
      </c>
      <c r="T357" s="17">
        <f t="shared" si="56"/>
        <v>0</v>
      </c>
      <c r="U357" s="17">
        <f t="shared" si="56"/>
        <v>1</v>
      </c>
      <c r="V357" s="17">
        <f t="shared" si="55"/>
        <v>1</v>
      </c>
      <c r="W357" s="17">
        <f t="shared" si="55"/>
        <v>1</v>
      </c>
      <c r="X357" s="17">
        <f t="shared" si="55"/>
        <v>1</v>
      </c>
      <c r="Y357" s="17">
        <f t="shared" si="55"/>
        <v>1</v>
      </c>
      <c r="Z357" s="17">
        <f t="shared" si="55"/>
        <v>1</v>
      </c>
      <c r="AA357" s="17">
        <f t="shared" si="55"/>
        <v>1</v>
      </c>
      <c r="AB357" s="17">
        <f t="shared" si="55"/>
        <v>0</v>
      </c>
      <c r="AC357" s="17">
        <f t="shared" si="55"/>
        <v>0</v>
      </c>
      <c r="AD357" s="17">
        <f t="shared" si="54"/>
        <v>9</v>
      </c>
    </row>
    <row r="358" spans="4:30" x14ac:dyDescent="0.2">
      <c r="D358" s="37">
        <v>45276</v>
      </c>
      <c r="E358" s="17" t="str">
        <f t="shared" si="52"/>
        <v>weekend</v>
      </c>
      <c r="F358" s="17">
        <f t="shared" si="56"/>
        <v>0</v>
      </c>
      <c r="G358" s="17">
        <f t="shared" si="56"/>
        <v>0</v>
      </c>
      <c r="H358" s="17">
        <f t="shared" si="56"/>
        <v>0</v>
      </c>
      <c r="I358" s="17">
        <f t="shared" si="56"/>
        <v>0</v>
      </c>
      <c r="J358" s="17">
        <f t="shared" si="56"/>
        <v>0</v>
      </c>
      <c r="K358" s="17">
        <f t="shared" si="56"/>
        <v>0</v>
      </c>
      <c r="L358" s="17">
        <f t="shared" si="56"/>
        <v>1</v>
      </c>
      <c r="M358" s="17">
        <f t="shared" si="56"/>
        <v>1</v>
      </c>
      <c r="N358" s="17">
        <f t="shared" si="56"/>
        <v>1</v>
      </c>
      <c r="O358" s="17">
        <f t="shared" si="56"/>
        <v>1</v>
      </c>
      <c r="P358" s="17">
        <f t="shared" si="56"/>
        <v>1</v>
      </c>
      <c r="Q358" s="17">
        <f t="shared" si="56"/>
        <v>1</v>
      </c>
      <c r="R358" s="17">
        <f t="shared" si="56"/>
        <v>1</v>
      </c>
      <c r="S358" s="17">
        <f t="shared" si="56"/>
        <v>1</v>
      </c>
      <c r="T358" s="17">
        <f t="shared" si="56"/>
        <v>1</v>
      </c>
      <c r="U358" s="17">
        <f t="shared" si="56"/>
        <v>1</v>
      </c>
      <c r="V358" s="17">
        <f t="shared" si="55"/>
        <v>1</v>
      </c>
      <c r="W358" s="17">
        <f t="shared" si="55"/>
        <v>1</v>
      </c>
      <c r="X358" s="17">
        <f t="shared" si="55"/>
        <v>1</v>
      </c>
      <c r="Y358" s="17">
        <f t="shared" si="55"/>
        <v>1</v>
      </c>
      <c r="Z358" s="17">
        <f t="shared" si="55"/>
        <v>1</v>
      </c>
      <c r="AA358" s="17">
        <f t="shared" si="55"/>
        <v>1</v>
      </c>
      <c r="AB358" s="17">
        <f t="shared" si="55"/>
        <v>0</v>
      </c>
      <c r="AC358" s="17">
        <f t="shared" si="55"/>
        <v>0</v>
      </c>
      <c r="AD358" s="17">
        <f t="shared" si="54"/>
        <v>16</v>
      </c>
    </row>
    <row r="359" spans="4:30" x14ac:dyDescent="0.2">
      <c r="D359" s="37">
        <v>45277</v>
      </c>
      <c r="E359" s="17" t="str">
        <f t="shared" si="52"/>
        <v>weekend</v>
      </c>
      <c r="F359" s="17">
        <f t="shared" si="56"/>
        <v>0</v>
      </c>
      <c r="G359" s="17">
        <f t="shared" si="56"/>
        <v>0</v>
      </c>
      <c r="H359" s="17">
        <f t="shared" si="56"/>
        <v>0</v>
      </c>
      <c r="I359" s="17">
        <f t="shared" si="56"/>
        <v>0</v>
      </c>
      <c r="J359" s="17">
        <f t="shared" si="56"/>
        <v>0</v>
      </c>
      <c r="K359" s="17">
        <f t="shared" si="56"/>
        <v>0</v>
      </c>
      <c r="L359" s="17">
        <f t="shared" si="56"/>
        <v>1</v>
      </c>
      <c r="M359" s="17">
        <f t="shared" si="56"/>
        <v>1</v>
      </c>
      <c r="N359" s="17">
        <f t="shared" si="56"/>
        <v>1</v>
      </c>
      <c r="O359" s="17">
        <f t="shared" si="56"/>
        <v>1</v>
      </c>
      <c r="P359" s="17">
        <f t="shared" si="56"/>
        <v>1</v>
      </c>
      <c r="Q359" s="17">
        <f t="shared" si="56"/>
        <v>1</v>
      </c>
      <c r="R359" s="17">
        <f t="shared" si="56"/>
        <v>1</v>
      </c>
      <c r="S359" s="17">
        <f t="shared" si="56"/>
        <v>1</v>
      </c>
      <c r="T359" s="17">
        <f t="shared" si="56"/>
        <v>1</v>
      </c>
      <c r="U359" s="17">
        <f t="shared" si="56"/>
        <v>1</v>
      </c>
      <c r="V359" s="17">
        <f t="shared" si="55"/>
        <v>1</v>
      </c>
      <c r="W359" s="17">
        <f t="shared" si="55"/>
        <v>1</v>
      </c>
      <c r="X359" s="17">
        <f t="shared" si="55"/>
        <v>1</v>
      </c>
      <c r="Y359" s="17">
        <f t="shared" si="55"/>
        <v>1</v>
      </c>
      <c r="Z359" s="17">
        <f t="shared" si="55"/>
        <v>1</v>
      </c>
      <c r="AA359" s="17">
        <f t="shared" si="55"/>
        <v>1</v>
      </c>
      <c r="AB359" s="17">
        <f t="shared" si="55"/>
        <v>0</v>
      </c>
      <c r="AC359" s="17">
        <f t="shared" si="55"/>
        <v>0</v>
      </c>
      <c r="AD359" s="17">
        <f t="shared" si="54"/>
        <v>16</v>
      </c>
    </row>
    <row r="360" spans="4:30" x14ac:dyDescent="0.2">
      <c r="D360" s="37">
        <v>45278</v>
      </c>
      <c r="E360" s="17" t="str">
        <f t="shared" si="52"/>
        <v>weekday</v>
      </c>
      <c r="F360" s="17">
        <f t="shared" si="56"/>
        <v>0</v>
      </c>
      <c r="G360" s="17">
        <f t="shared" si="56"/>
        <v>0</v>
      </c>
      <c r="H360" s="17">
        <f t="shared" si="56"/>
        <v>0</v>
      </c>
      <c r="I360" s="17">
        <f t="shared" si="56"/>
        <v>0</v>
      </c>
      <c r="J360" s="17">
        <f t="shared" si="56"/>
        <v>0</v>
      </c>
      <c r="K360" s="17">
        <f t="shared" si="56"/>
        <v>0</v>
      </c>
      <c r="L360" s="17">
        <f t="shared" si="56"/>
        <v>1</v>
      </c>
      <c r="M360" s="17">
        <f t="shared" si="56"/>
        <v>1</v>
      </c>
      <c r="N360" s="17">
        <f t="shared" si="56"/>
        <v>0</v>
      </c>
      <c r="O360" s="17">
        <f t="shared" si="56"/>
        <v>0</v>
      </c>
      <c r="P360" s="17">
        <f t="shared" si="56"/>
        <v>0</v>
      </c>
      <c r="Q360" s="17">
        <f t="shared" si="56"/>
        <v>0</v>
      </c>
      <c r="R360" s="17">
        <f t="shared" si="56"/>
        <v>0</v>
      </c>
      <c r="S360" s="17">
        <f t="shared" si="56"/>
        <v>0</v>
      </c>
      <c r="T360" s="17">
        <f t="shared" si="56"/>
        <v>0</v>
      </c>
      <c r="U360" s="17">
        <f t="shared" si="56"/>
        <v>1</v>
      </c>
      <c r="V360" s="17">
        <f t="shared" si="55"/>
        <v>1</v>
      </c>
      <c r="W360" s="17">
        <f t="shared" si="55"/>
        <v>1</v>
      </c>
      <c r="X360" s="17">
        <f t="shared" si="55"/>
        <v>1</v>
      </c>
      <c r="Y360" s="17">
        <f t="shared" si="55"/>
        <v>1</v>
      </c>
      <c r="Z360" s="17">
        <f t="shared" si="55"/>
        <v>1</v>
      </c>
      <c r="AA360" s="17">
        <f t="shared" si="55"/>
        <v>1</v>
      </c>
      <c r="AB360" s="17">
        <f t="shared" si="55"/>
        <v>0</v>
      </c>
      <c r="AC360" s="17">
        <f t="shared" si="55"/>
        <v>0</v>
      </c>
      <c r="AD360" s="17">
        <f t="shared" si="54"/>
        <v>9</v>
      </c>
    </row>
    <row r="361" spans="4:30" x14ac:dyDescent="0.2">
      <c r="D361" s="37">
        <v>45279</v>
      </c>
      <c r="E361" s="17" t="str">
        <f t="shared" si="52"/>
        <v>weekday</v>
      </c>
      <c r="F361" s="17">
        <f t="shared" si="56"/>
        <v>0</v>
      </c>
      <c r="G361" s="17">
        <f t="shared" si="56"/>
        <v>0</v>
      </c>
      <c r="H361" s="17">
        <f t="shared" si="56"/>
        <v>0</v>
      </c>
      <c r="I361" s="17">
        <f t="shared" si="56"/>
        <v>0</v>
      </c>
      <c r="J361" s="17">
        <f t="shared" si="56"/>
        <v>0</v>
      </c>
      <c r="K361" s="17">
        <f t="shared" si="56"/>
        <v>0</v>
      </c>
      <c r="L361" s="17">
        <f t="shared" si="56"/>
        <v>1</v>
      </c>
      <c r="M361" s="17">
        <f t="shared" si="56"/>
        <v>1</v>
      </c>
      <c r="N361" s="17">
        <f t="shared" si="56"/>
        <v>0</v>
      </c>
      <c r="O361" s="17">
        <f t="shared" si="56"/>
        <v>0</v>
      </c>
      <c r="P361" s="17">
        <f t="shared" si="56"/>
        <v>0</v>
      </c>
      <c r="Q361" s="17">
        <f t="shared" si="56"/>
        <v>0</v>
      </c>
      <c r="R361" s="17">
        <f t="shared" si="56"/>
        <v>0</v>
      </c>
      <c r="S361" s="17">
        <f t="shared" si="56"/>
        <v>0</v>
      </c>
      <c r="T361" s="17">
        <f t="shared" si="56"/>
        <v>0</v>
      </c>
      <c r="U361" s="17">
        <f t="shared" ref="U361:AC373" si="57">IF($E361=$E$5,(U$5),(U$6))</f>
        <v>1</v>
      </c>
      <c r="V361" s="17">
        <f t="shared" si="57"/>
        <v>1</v>
      </c>
      <c r="W361" s="17">
        <f t="shared" si="57"/>
        <v>1</v>
      </c>
      <c r="X361" s="17">
        <f t="shared" si="57"/>
        <v>1</v>
      </c>
      <c r="Y361" s="17">
        <f t="shared" si="57"/>
        <v>1</v>
      </c>
      <c r="Z361" s="17">
        <f t="shared" si="57"/>
        <v>1</v>
      </c>
      <c r="AA361" s="17">
        <f t="shared" si="57"/>
        <v>1</v>
      </c>
      <c r="AB361" s="17">
        <f t="shared" si="57"/>
        <v>0</v>
      </c>
      <c r="AC361" s="17">
        <f t="shared" si="57"/>
        <v>0</v>
      </c>
      <c r="AD361" s="17">
        <f t="shared" si="54"/>
        <v>9</v>
      </c>
    </row>
    <row r="362" spans="4:30" x14ac:dyDescent="0.2">
      <c r="D362" s="37">
        <v>45280</v>
      </c>
      <c r="E362" s="17" t="str">
        <f t="shared" si="52"/>
        <v>weekday</v>
      </c>
      <c r="F362" s="17">
        <f t="shared" ref="F362:U373" si="58">IF($E362=$E$5,(F$5),(F$6))</f>
        <v>0</v>
      </c>
      <c r="G362" s="17">
        <f t="shared" si="58"/>
        <v>0</v>
      </c>
      <c r="H362" s="17">
        <f t="shared" si="58"/>
        <v>0</v>
      </c>
      <c r="I362" s="17">
        <f t="shared" si="58"/>
        <v>0</v>
      </c>
      <c r="J362" s="17">
        <f t="shared" si="58"/>
        <v>0</v>
      </c>
      <c r="K362" s="17">
        <f t="shared" si="58"/>
        <v>0</v>
      </c>
      <c r="L362" s="17">
        <f t="shared" si="58"/>
        <v>1</v>
      </c>
      <c r="M362" s="17">
        <f t="shared" si="58"/>
        <v>1</v>
      </c>
      <c r="N362" s="17">
        <f t="shared" si="58"/>
        <v>0</v>
      </c>
      <c r="O362" s="17">
        <f t="shared" si="58"/>
        <v>0</v>
      </c>
      <c r="P362" s="17">
        <f t="shared" si="58"/>
        <v>0</v>
      </c>
      <c r="Q362" s="17">
        <f t="shared" si="58"/>
        <v>0</v>
      </c>
      <c r="R362" s="17">
        <f t="shared" si="58"/>
        <v>0</v>
      </c>
      <c r="S362" s="17">
        <f t="shared" si="58"/>
        <v>0</v>
      </c>
      <c r="T362" s="17">
        <f t="shared" si="58"/>
        <v>0</v>
      </c>
      <c r="U362" s="17">
        <f t="shared" si="58"/>
        <v>1</v>
      </c>
      <c r="V362" s="17">
        <f t="shared" si="57"/>
        <v>1</v>
      </c>
      <c r="W362" s="17">
        <f t="shared" si="57"/>
        <v>1</v>
      </c>
      <c r="X362" s="17">
        <f t="shared" si="57"/>
        <v>1</v>
      </c>
      <c r="Y362" s="17">
        <f t="shared" si="57"/>
        <v>1</v>
      </c>
      <c r="Z362" s="17">
        <f t="shared" si="57"/>
        <v>1</v>
      </c>
      <c r="AA362" s="17">
        <f t="shared" si="57"/>
        <v>1</v>
      </c>
      <c r="AB362" s="17">
        <f t="shared" si="57"/>
        <v>0</v>
      </c>
      <c r="AC362" s="17">
        <f t="shared" si="57"/>
        <v>0</v>
      </c>
      <c r="AD362" s="17">
        <f t="shared" si="54"/>
        <v>9</v>
      </c>
    </row>
    <row r="363" spans="4:30" x14ac:dyDescent="0.2">
      <c r="D363" s="37">
        <v>45281</v>
      </c>
      <c r="E363" s="17" t="str">
        <f t="shared" si="52"/>
        <v>weekday</v>
      </c>
      <c r="F363" s="17">
        <f t="shared" si="58"/>
        <v>0</v>
      </c>
      <c r="G363" s="17">
        <f t="shared" si="58"/>
        <v>0</v>
      </c>
      <c r="H363" s="17">
        <f t="shared" si="58"/>
        <v>0</v>
      </c>
      <c r="I363" s="17">
        <f t="shared" si="58"/>
        <v>0</v>
      </c>
      <c r="J363" s="17">
        <f t="shared" si="58"/>
        <v>0</v>
      </c>
      <c r="K363" s="17">
        <f t="shared" si="58"/>
        <v>0</v>
      </c>
      <c r="L363" s="17">
        <f t="shared" si="58"/>
        <v>1</v>
      </c>
      <c r="M363" s="17">
        <f t="shared" si="58"/>
        <v>1</v>
      </c>
      <c r="N363" s="17">
        <f t="shared" si="58"/>
        <v>0</v>
      </c>
      <c r="O363" s="17">
        <f t="shared" si="58"/>
        <v>0</v>
      </c>
      <c r="P363" s="17">
        <f t="shared" si="58"/>
        <v>0</v>
      </c>
      <c r="Q363" s="17">
        <f t="shared" si="58"/>
        <v>0</v>
      </c>
      <c r="R363" s="17">
        <f t="shared" si="58"/>
        <v>0</v>
      </c>
      <c r="S363" s="17">
        <f t="shared" si="58"/>
        <v>0</v>
      </c>
      <c r="T363" s="17">
        <f t="shared" si="58"/>
        <v>0</v>
      </c>
      <c r="U363" s="17">
        <f t="shared" si="58"/>
        <v>1</v>
      </c>
      <c r="V363" s="17">
        <f t="shared" si="57"/>
        <v>1</v>
      </c>
      <c r="W363" s="17">
        <f t="shared" si="57"/>
        <v>1</v>
      </c>
      <c r="X363" s="17">
        <f t="shared" si="57"/>
        <v>1</v>
      </c>
      <c r="Y363" s="17">
        <f t="shared" si="57"/>
        <v>1</v>
      </c>
      <c r="Z363" s="17">
        <f t="shared" si="57"/>
        <v>1</v>
      </c>
      <c r="AA363" s="17">
        <f t="shared" si="57"/>
        <v>1</v>
      </c>
      <c r="AB363" s="17">
        <f t="shared" si="57"/>
        <v>0</v>
      </c>
      <c r="AC363" s="17">
        <f t="shared" si="57"/>
        <v>0</v>
      </c>
      <c r="AD363" s="17">
        <f t="shared" si="54"/>
        <v>9</v>
      </c>
    </row>
    <row r="364" spans="4:30" x14ac:dyDescent="0.2">
      <c r="D364" s="37">
        <v>45282</v>
      </c>
      <c r="E364" s="17" t="str">
        <f t="shared" si="52"/>
        <v>weekday</v>
      </c>
      <c r="F364" s="17">
        <f t="shared" si="58"/>
        <v>0</v>
      </c>
      <c r="G364" s="17">
        <f t="shared" si="58"/>
        <v>0</v>
      </c>
      <c r="H364" s="17">
        <f t="shared" si="58"/>
        <v>0</v>
      </c>
      <c r="I364" s="17">
        <f t="shared" si="58"/>
        <v>0</v>
      </c>
      <c r="J364" s="17">
        <f t="shared" si="58"/>
        <v>0</v>
      </c>
      <c r="K364" s="17">
        <f t="shared" si="58"/>
        <v>0</v>
      </c>
      <c r="L364" s="17">
        <f t="shared" si="58"/>
        <v>1</v>
      </c>
      <c r="M364" s="17">
        <f t="shared" si="58"/>
        <v>1</v>
      </c>
      <c r="N364" s="17">
        <f t="shared" si="58"/>
        <v>0</v>
      </c>
      <c r="O364" s="17">
        <f t="shared" si="58"/>
        <v>0</v>
      </c>
      <c r="P364" s="17">
        <f t="shared" si="58"/>
        <v>0</v>
      </c>
      <c r="Q364" s="17">
        <f t="shared" si="58"/>
        <v>0</v>
      </c>
      <c r="R364" s="17">
        <f t="shared" si="58"/>
        <v>0</v>
      </c>
      <c r="S364" s="17">
        <f t="shared" si="58"/>
        <v>0</v>
      </c>
      <c r="T364" s="17">
        <f t="shared" si="58"/>
        <v>0</v>
      </c>
      <c r="U364" s="17">
        <f t="shared" si="58"/>
        <v>1</v>
      </c>
      <c r="V364" s="17">
        <f t="shared" si="57"/>
        <v>1</v>
      </c>
      <c r="W364" s="17">
        <f t="shared" si="57"/>
        <v>1</v>
      </c>
      <c r="X364" s="17">
        <f t="shared" si="57"/>
        <v>1</v>
      </c>
      <c r="Y364" s="17">
        <f t="shared" si="57"/>
        <v>1</v>
      </c>
      <c r="Z364" s="17">
        <f t="shared" si="57"/>
        <v>1</v>
      </c>
      <c r="AA364" s="17">
        <f t="shared" si="57"/>
        <v>1</v>
      </c>
      <c r="AB364" s="17">
        <f t="shared" si="57"/>
        <v>0</v>
      </c>
      <c r="AC364" s="17">
        <f t="shared" si="57"/>
        <v>0</v>
      </c>
      <c r="AD364" s="17">
        <f t="shared" si="54"/>
        <v>9</v>
      </c>
    </row>
    <row r="365" spans="4:30" x14ac:dyDescent="0.2">
      <c r="D365" s="37">
        <v>45283</v>
      </c>
      <c r="E365" s="17" t="str">
        <f t="shared" si="52"/>
        <v>weekend</v>
      </c>
      <c r="F365" s="17">
        <f t="shared" si="58"/>
        <v>0</v>
      </c>
      <c r="G365" s="17">
        <f t="shared" si="58"/>
        <v>0</v>
      </c>
      <c r="H365" s="17">
        <f t="shared" si="58"/>
        <v>0</v>
      </c>
      <c r="I365" s="17">
        <f t="shared" si="58"/>
        <v>0</v>
      </c>
      <c r="J365" s="17">
        <f t="shared" si="58"/>
        <v>0</v>
      </c>
      <c r="K365" s="17">
        <f t="shared" si="58"/>
        <v>0</v>
      </c>
      <c r="L365" s="17">
        <f t="shared" si="58"/>
        <v>1</v>
      </c>
      <c r="M365" s="17">
        <f t="shared" si="58"/>
        <v>1</v>
      </c>
      <c r="N365" s="17">
        <f t="shared" si="58"/>
        <v>1</v>
      </c>
      <c r="O365" s="17">
        <f t="shared" si="58"/>
        <v>1</v>
      </c>
      <c r="P365" s="17">
        <f t="shared" si="58"/>
        <v>1</v>
      </c>
      <c r="Q365" s="17">
        <f t="shared" si="58"/>
        <v>1</v>
      </c>
      <c r="R365" s="17">
        <f t="shared" si="58"/>
        <v>1</v>
      </c>
      <c r="S365" s="17">
        <f t="shared" si="58"/>
        <v>1</v>
      </c>
      <c r="T365" s="17">
        <f t="shared" si="58"/>
        <v>1</v>
      </c>
      <c r="U365" s="17">
        <f t="shared" si="58"/>
        <v>1</v>
      </c>
      <c r="V365" s="17">
        <f t="shared" si="57"/>
        <v>1</v>
      </c>
      <c r="W365" s="17">
        <f t="shared" si="57"/>
        <v>1</v>
      </c>
      <c r="X365" s="17">
        <f t="shared" si="57"/>
        <v>1</v>
      </c>
      <c r="Y365" s="17">
        <f t="shared" si="57"/>
        <v>1</v>
      </c>
      <c r="Z365" s="17">
        <f t="shared" si="57"/>
        <v>1</v>
      </c>
      <c r="AA365" s="17">
        <f t="shared" si="57"/>
        <v>1</v>
      </c>
      <c r="AB365" s="17">
        <f t="shared" si="57"/>
        <v>0</v>
      </c>
      <c r="AC365" s="17">
        <f t="shared" si="57"/>
        <v>0</v>
      </c>
      <c r="AD365" s="17">
        <f t="shared" si="54"/>
        <v>16</v>
      </c>
    </row>
    <row r="366" spans="4:30" x14ac:dyDescent="0.2">
      <c r="D366" s="37">
        <v>45284</v>
      </c>
      <c r="E366" s="17" t="str">
        <f t="shared" si="52"/>
        <v>weekend</v>
      </c>
      <c r="F366" s="17">
        <f t="shared" si="58"/>
        <v>0</v>
      </c>
      <c r="G366" s="17">
        <f t="shared" si="58"/>
        <v>0</v>
      </c>
      <c r="H366" s="17">
        <f t="shared" si="58"/>
        <v>0</v>
      </c>
      <c r="I366" s="17">
        <f t="shared" si="58"/>
        <v>0</v>
      </c>
      <c r="J366" s="17">
        <f t="shared" si="58"/>
        <v>0</v>
      </c>
      <c r="K366" s="17">
        <f t="shared" si="58"/>
        <v>0</v>
      </c>
      <c r="L366" s="17">
        <f t="shared" si="58"/>
        <v>1</v>
      </c>
      <c r="M366" s="17">
        <f t="shared" si="58"/>
        <v>1</v>
      </c>
      <c r="N366" s="17">
        <f t="shared" si="58"/>
        <v>1</v>
      </c>
      <c r="O366" s="17">
        <f t="shared" si="58"/>
        <v>1</v>
      </c>
      <c r="P366" s="17">
        <f t="shared" si="58"/>
        <v>1</v>
      </c>
      <c r="Q366" s="17">
        <f t="shared" si="58"/>
        <v>1</v>
      </c>
      <c r="R366" s="17">
        <f t="shared" si="58"/>
        <v>1</v>
      </c>
      <c r="S366" s="17">
        <f t="shared" si="58"/>
        <v>1</v>
      </c>
      <c r="T366" s="17">
        <f t="shared" si="58"/>
        <v>1</v>
      </c>
      <c r="U366" s="17">
        <f t="shared" si="58"/>
        <v>1</v>
      </c>
      <c r="V366" s="17">
        <f t="shared" si="57"/>
        <v>1</v>
      </c>
      <c r="W366" s="17">
        <f t="shared" si="57"/>
        <v>1</v>
      </c>
      <c r="X366" s="17">
        <f t="shared" si="57"/>
        <v>1</v>
      </c>
      <c r="Y366" s="17">
        <f t="shared" si="57"/>
        <v>1</v>
      </c>
      <c r="Z366" s="17">
        <f t="shared" si="57"/>
        <v>1</v>
      </c>
      <c r="AA366" s="17">
        <f t="shared" si="57"/>
        <v>1</v>
      </c>
      <c r="AB366" s="17">
        <f t="shared" si="57"/>
        <v>0</v>
      </c>
      <c r="AC366" s="17">
        <f t="shared" si="57"/>
        <v>0</v>
      </c>
      <c r="AD366" s="17">
        <f t="shared" si="54"/>
        <v>16</v>
      </c>
    </row>
    <row r="367" spans="4:30" x14ac:dyDescent="0.2">
      <c r="D367" s="37">
        <v>45285</v>
      </c>
      <c r="E367" s="17" t="str">
        <f t="shared" si="52"/>
        <v>weekday</v>
      </c>
      <c r="F367" s="17">
        <f t="shared" si="58"/>
        <v>0</v>
      </c>
      <c r="G367" s="17">
        <f t="shared" si="58"/>
        <v>0</v>
      </c>
      <c r="H367" s="17">
        <f t="shared" si="58"/>
        <v>0</v>
      </c>
      <c r="I367" s="17">
        <f t="shared" si="58"/>
        <v>0</v>
      </c>
      <c r="J367" s="17">
        <f t="shared" si="58"/>
        <v>0</v>
      </c>
      <c r="K367" s="17">
        <f t="shared" si="58"/>
        <v>0</v>
      </c>
      <c r="L367" s="17">
        <f t="shared" si="58"/>
        <v>1</v>
      </c>
      <c r="M367" s="17">
        <f t="shared" si="58"/>
        <v>1</v>
      </c>
      <c r="N367" s="17">
        <f t="shared" si="58"/>
        <v>0</v>
      </c>
      <c r="O367" s="17">
        <f t="shared" si="58"/>
        <v>0</v>
      </c>
      <c r="P367" s="17">
        <f t="shared" si="58"/>
        <v>0</v>
      </c>
      <c r="Q367" s="17">
        <f t="shared" si="58"/>
        <v>0</v>
      </c>
      <c r="R367" s="17">
        <f t="shared" si="58"/>
        <v>0</v>
      </c>
      <c r="S367" s="17">
        <f t="shared" si="58"/>
        <v>0</v>
      </c>
      <c r="T367" s="17">
        <f t="shared" si="58"/>
        <v>0</v>
      </c>
      <c r="U367" s="17">
        <f t="shared" si="58"/>
        <v>1</v>
      </c>
      <c r="V367" s="17">
        <f t="shared" si="57"/>
        <v>1</v>
      </c>
      <c r="W367" s="17">
        <f t="shared" si="57"/>
        <v>1</v>
      </c>
      <c r="X367" s="17">
        <f t="shared" si="57"/>
        <v>1</v>
      </c>
      <c r="Y367" s="17">
        <f t="shared" si="57"/>
        <v>1</v>
      </c>
      <c r="Z367" s="17">
        <f t="shared" si="57"/>
        <v>1</v>
      </c>
      <c r="AA367" s="17">
        <f t="shared" si="57"/>
        <v>1</v>
      </c>
      <c r="AB367" s="17">
        <f t="shared" si="57"/>
        <v>0</v>
      </c>
      <c r="AC367" s="17">
        <f t="shared" si="57"/>
        <v>0</v>
      </c>
      <c r="AD367" s="17">
        <f t="shared" si="54"/>
        <v>9</v>
      </c>
    </row>
    <row r="368" spans="4:30" x14ac:dyDescent="0.2">
      <c r="D368" s="37">
        <v>45286</v>
      </c>
      <c r="E368" s="17" t="str">
        <f t="shared" si="52"/>
        <v>weekday</v>
      </c>
      <c r="F368" s="17">
        <f t="shared" si="58"/>
        <v>0</v>
      </c>
      <c r="G368" s="17">
        <f t="shared" si="58"/>
        <v>0</v>
      </c>
      <c r="H368" s="17">
        <f t="shared" si="58"/>
        <v>0</v>
      </c>
      <c r="I368" s="17">
        <f t="shared" si="58"/>
        <v>0</v>
      </c>
      <c r="J368" s="17">
        <f t="shared" si="58"/>
        <v>0</v>
      </c>
      <c r="K368" s="17">
        <f t="shared" si="58"/>
        <v>0</v>
      </c>
      <c r="L368" s="17">
        <f t="shared" si="58"/>
        <v>1</v>
      </c>
      <c r="M368" s="17">
        <f t="shared" si="58"/>
        <v>1</v>
      </c>
      <c r="N368" s="17">
        <f t="shared" si="58"/>
        <v>0</v>
      </c>
      <c r="O368" s="17">
        <f t="shared" si="58"/>
        <v>0</v>
      </c>
      <c r="P368" s="17">
        <f t="shared" si="58"/>
        <v>0</v>
      </c>
      <c r="Q368" s="17">
        <f t="shared" si="58"/>
        <v>0</v>
      </c>
      <c r="R368" s="17">
        <f t="shared" si="58"/>
        <v>0</v>
      </c>
      <c r="S368" s="17">
        <f t="shared" si="58"/>
        <v>0</v>
      </c>
      <c r="T368" s="17">
        <f t="shared" si="58"/>
        <v>0</v>
      </c>
      <c r="U368" s="17">
        <f t="shared" si="58"/>
        <v>1</v>
      </c>
      <c r="V368" s="17">
        <f t="shared" si="57"/>
        <v>1</v>
      </c>
      <c r="W368" s="17">
        <f t="shared" si="57"/>
        <v>1</v>
      </c>
      <c r="X368" s="17">
        <f t="shared" si="57"/>
        <v>1</v>
      </c>
      <c r="Y368" s="17">
        <f t="shared" si="57"/>
        <v>1</v>
      </c>
      <c r="Z368" s="17">
        <f t="shared" si="57"/>
        <v>1</v>
      </c>
      <c r="AA368" s="17">
        <f t="shared" si="57"/>
        <v>1</v>
      </c>
      <c r="AB368" s="17">
        <f t="shared" si="57"/>
        <v>0</v>
      </c>
      <c r="AC368" s="17">
        <f t="shared" si="57"/>
        <v>0</v>
      </c>
      <c r="AD368" s="17">
        <f t="shared" si="54"/>
        <v>9</v>
      </c>
    </row>
    <row r="369" spans="4:30" x14ac:dyDescent="0.2">
      <c r="D369" s="37">
        <v>45287</v>
      </c>
      <c r="E369" s="17" t="str">
        <f t="shared" si="52"/>
        <v>weekday</v>
      </c>
      <c r="F369" s="17">
        <f t="shared" si="58"/>
        <v>0</v>
      </c>
      <c r="G369" s="17">
        <f t="shared" si="58"/>
        <v>0</v>
      </c>
      <c r="H369" s="17">
        <f t="shared" si="58"/>
        <v>0</v>
      </c>
      <c r="I369" s="17">
        <f t="shared" si="58"/>
        <v>0</v>
      </c>
      <c r="J369" s="17">
        <f t="shared" si="58"/>
        <v>0</v>
      </c>
      <c r="K369" s="17">
        <f t="shared" si="58"/>
        <v>0</v>
      </c>
      <c r="L369" s="17">
        <f t="shared" si="58"/>
        <v>1</v>
      </c>
      <c r="M369" s="17">
        <f t="shared" si="58"/>
        <v>1</v>
      </c>
      <c r="N369" s="17">
        <f t="shared" si="58"/>
        <v>0</v>
      </c>
      <c r="O369" s="17">
        <f t="shared" si="58"/>
        <v>0</v>
      </c>
      <c r="P369" s="17">
        <f t="shared" si="58"/>
        <v>0</v>
      </c>
      <c r="Q369" s="17">
        <f t="shared" si="58"/>
        <v>0</v>
      </c>
      <c r="R369" s="17">
        <f t="shared" si="58"/>
        <v>0</v>
      </c>
      <c r="S369" s="17">
        <f t="shared" si="58"/>
        <v>0</v>
      </c>
      <c r="T369" s="17">
        <f t="shared" si="58"/>
        <v>0</v>
      </c>
      <c r="U369" s="17">
        <f t="shared" si="58"/>
        <v>1</v>
      </c>
      <c r="V369" s="17">
        <f t="shared" si="57"/>
        <v>1</v>
      </c>
      <c r="W369" s="17">
        <f t="shared" si="57"/>
        <v>1</v>
      </c>
      <c r="X369" s="17">
        <f t="shared" si="57"/>
        <v>1</v>
      </c>
      <c r="Y369" s="17">
        <f t="shared" si="57"/>
        <v>1</v>
      </c>
      <c r="Z369" s="17">
        <f t="shared" si="57"/>
        <v>1</v>
      </c>
      <c r="AA369" s="17">
        <f t="shared" si="57"/>
        <v>1</v>
      </c>
      <c r="AB369" s="17">
        <f t="shared" si="57"/>
        <v>0</v>
      </c>
      <c r="AC369" s="17">
        <f t="shared" si="57"/>
        <v>0</v>
      </c>
      <c r="AD369" s="17">
        <f t="shared" si="54"/>
        <v>9</v>
      </c>
    </row>
    <row r="370" spans="4:30" x14ac:dyDescent="0.2">
      <c r="D370" s="37">
        <v>45288</v>
      </c>
      <c r="E370" s="17" t="str">
        <f t="shared" si="52"/>
        <v>weekday</v>
      </c>
      <c r="F370" s="17">
        <f t="shared" si="58"/>
        <v>0</v>
      </c>
      <c r="G370" s="17">
        <f t="shared" si="58"/>
        <v>0</v>
      </c>
      <c r="H370" s="17">
        <f t="shared" si="58"/>
        <v>0</v>
      </c>
      <c r="I370" s="17">
        <f t="shared" si="58"/>
        <v>0</v>
      </c>
      <c r="J370" s="17">
        <f t="shared" si="58"/>
        <v>0</v>
      </c>
      <c r="K370" s="17">
        <f t="shared" si="58"/>
        <v>0</v>
      </c>
      <c r="L370" s="17">
        <f t="shared" si="58"/>
        <v>1</v>
      </c>
      <c r="M370" s="17">
        <f t="shared" si="58"/>
        <v>1</v>
      </c>
      <c r="N370" s="17">
        <f t="shared" si="58"/>
        <v>0</v>
      </c>
      <c r="O370" s="17">
        <f t="shared" si="58"/>
        <v>0</v>
      </c>
      <c r="P370" s="17">
        <f t="shared" si="58"/>
        <v>0</v>
      </c>
      <c r="Q370" s="17">
        <f t="shared" si="58"/>
        <v>0</v>
      </c>
      <c r="R370" s="17">
        <f t="shared" si="58"/>
        <v>0</v>
      </c>
      <c r="S370" s="17">
        <f t="shared" si="58"/>
        <v>0</v>
      </c>
      <c r="T370" s="17">
        <f t="shared" si="58"/>
        <v>0</v>
      </c>
      <c r="U370" s="17">
        <f t="shared" si="58"/>
        <v>1</v>
      </c>
      <c r="V370" s="17">
        <f t="shared" si="57"/>
        <v>1</v>
      </c>
      <c r="W370" s="17">
        <f t="shared" si="57"/>
        <v>1</v>
      </c>
      <c r="X370" s="17">
        <f t="shared" si="57"/>
        <v>1</v>
      </c>
      <c r="Y370" s="17">
        <f t="shared" si="57"/>
        <v>1</v>
      </c>
      <c r="Z370" s="17">
        <f t="shared" si="57"/>
        <v>1</v>
      </c>
      <c r="AA370" s="17">
        <f t="shared" si="57"/>
        <v>1</v>
      </c>
      <c r="AB370" s="17">
        <f t="shared" si="57"/>
        <v>0</v>
      </c>
      <c r="AC370" s="17">
        <f t="shared" si="57"/>
        <v>0</v>
      </c>
      <c r="AD370" s="17">
        <f t="shared" si="54"/>
        <v>9</v>
      </c>
    </row>
    <row r="371" spans="4:30" x14ac:dyDescent="0.2">
      <c r="D371" s="37">
        <v>45289</v>
      </c>
      <c r="E371" s="17" t="str">
        <f t="shared" si="52"/>
        <v>weekday</v>
      </c>
      <c r="F371" s="17">
        <f t="shared" si="58"/>
        <v>0</v>
      </c>
      <c r="G371" s="17">
        <f t="shared" si="58"/>
        <v>0</v>
      </c>
      <c r="H371" s="17">
        <f t="shared" si="58"/>
        <v>0</v>
      </c>
      <c r="I371" s="17">
        <f t="shared" si="58"/>
        <v>0</v>
      </c>
      <c r="J371" s="17">
        <f t="shared" si="58"/>
        <v>0</v>
      </c>
      <c r="K371" s="17">
        <f t="shared" si="58"/>
        <v>0</v>
      </c>
      <c r="L371" s="17">
        <f t="shared" si="58"/>
        <v>1</v>
      </c>
      <c r="M371" s="17">
        <f t="shared" si="58"/>
        <v>1</v>
      </c>
      <c r="N371" s="17">
        <f t="shared" si="58"/>
        <v>0</v>
      </c>
      <c r="O371" s="17">
        <f t="shared" si="58"/>
        <v>0</v>
      </c>
      <c r="P371" s="17">
        <f t="shared" si="58"/>
        <v>0</v>
      </c>
      <c r="Q371" s="17">
        <f t="shared" si="58"/>
        <v>0</v>
      </c>
      <c r="R371" s="17">
        <f t="shared" si="58"/>
        <v>0</v>
      </c>
      <c r="S371" s="17">
        <f t="shared" si="58"/>
        <v>0</v>
      </c>
      <c r="T371" s="17">
        <f t="shared" si="58"/>
        <v>0</v>
      </c>
      <c r="U371" s="17">
        <f t="shared" si="58"/>
        <v>1</v>
      </c>
      <c r="V371" s="17">
        <f t="shared" si="57"/>
        <v>1</v>
      </c>
      <c r="W371" s="17">
        <f t="shared" si="57"/>
        <v>1</v>
      </c>
      <c r="X371" s="17">
        <f t="shared" si="57"/>
        <v>1</v>
      </c>
      <c r="Y371" s="17">
        <f t="shared" si="57"/>
        <v>1</v>
      </c>
      <c r="Z371" s="17">
        <f t="shared" si="57"/>
        <v>1</v>
      </c>
      <c r="AA371" s="17">
        <f t="shared" si="57"/>
        <v>1</v>
      </c>
      <c r="AB371" s="17">
        <f t="shared" si="57"/>
        <v>0</v>
      </c>
      <c r="AC371" s="17">
        <f t="shared" si="57"/>
        <v>0</v>
      </c>
      <c r="AD371" s="17">
        <f t="shared" si="54"/>
        <v>9</v>
      </c>
    </row>
    <row r="372" spans="4:30" x14ac:dyDescent="0.2">
      <c r="D372" s="37">
        <v>45290</v>
      </c>
      <c r="E372" s="17" t="str">
        <f t="shared" si="52"/>
        <v>weekend</v>
      </c>
      <c r="F372" s="17">
        <f t="shared" si="58"/>
        <v>0</v>
      </c>
      <c r="G372" s="17">
        <f t="shared" si="58"/>
        <v>0</v>
      </c>
      <c r="H372" s="17">
        <f t="shared" si="58"/>
        <v>0</v>
      </c>
      <c r="I372" s="17">
        <f t="shared" si="58"/>
        <v>0</v>
      </c>
      <c r="J372" s="17">
        <f t="shared" si="58"/>
        <v>0</v>
      </c>
      <c r="K372" s="17">
        <f t="shared" si="58"/>
        <v>0</v>
      </c>
      <c r="L372" s="17">
        <f t="shared" si="58"/>
        <v>1</v>
      </c>
      <c r="M372" s="17">
        <f t="shared" si="58"/>
        <v>1</v>
      </c>
      <c r="N372" s="17">
        <f t="shared" si="58"/>
        <v>1</v>
      </c>
      <c r="O372" s="17">
        <f t="shared" si="58"/>
        <v>1</v>
      </c>
      <c r="P372" s="17">
        <f t="shared" si="58"/>
        <v>1</v>
      </c>
      <c r="Q372" s="17">
        <f t="shared" si="58"/>
        <v>1</v>
      </c>
      <c r="R372" s="17">
        <f t="shared" si="58"/>
        <v>1</v>
      </c>
      <c r="S372" s="17">
        <f t="shared" si="58"/>
        <v>1</v>
      </c>
      <c r="T372" s="17">
        <f t="shared" si="58"/>
        <v>1</v>
      </c>
      <c r="U372" s="17">
        <f t="shared" si="58"/>
        <v>1</v>
      </c>
      <c r="V372" s="17">
        <f t="shared" si="57"/>
        <v>1</v>
      </c>
      <c r="W372" s="17">
        <f t="shared" si="57"/>
        <v>1</v>
      </c>
      <c r="X372" s="17">
        <f t="shared" si="57"/>
        <v>1</v>
      </c>
      <c r="Y372" s="17">
        <f t="shared" si="57"/>
        <v>1</v>
      </c>
      <c r="Z372" s="17">
        <f t="shared" si="57"/>
        <v>1</v>
      </c>
      <c r="AA372" s="17">
        <f t="shared" si="57"/>
        <v>1</v>
      </c>
      <c r="AB372" s="17">
        <f t="shared" si="57"/>
        <v>0</v>
      </c>
      <c r="AC372" s="17">
        <f t="shared" si="57"/>
        <v>0</v>
      </c>
      <c r="AD372" s="17">
        <f t="shared" si="54"/>
        <v>16</v>
      </c>
    </row>
    <row r="373" spans="4:30" x14ac:dyDescent="0.2">
      <c r="D373" s="37">
        <v>45291</v>
      </c>
      <c r="E373" s="17" t="str">
        <f t="shared" si="52"/>
        <v>weekend</v>
      </c>
      <c r="F373" s="17">
        <f t="shared" si="58"/>
        <v>0</v>
      </c>
      <c r="G373" s="17">
        <f t="shared" si="58"/>
        <v>0</v>
      </c>
      <c r="H373" s="17">
        <f t="shared" si="58"/>
        <v>0</v>
      </c>
      <c r="I373" s="17">
        <f t="shared" si="58"/>
        <v>0</v>
      </c>
      <c r="J373" s="17">
        <f t="shared" si="58"/>
        <v>0</v>
      </c>
      <c r="K373" s="17">
        <f t="shared" si="58"/>
        <v>0</v>
      </c>
      <c r="L373" s="17">
        <f t="shared" si="58"/>
        <v>1</v>
      </c>
      <c r="M373" s="17">
        <f t="shared" si="58"/>
        <v>1</v>
      </c>
      <c r="N373" s="17">
        <f t="shared" si="58"/>
        <v>1</v>
      </c>
      <c r="O373" s="17">
        <f t="shared" si="58"/>
        <v>1</v>
      </c>
      <c r="P373" s="17">
        <f t="shared" si="58"/>
        <v>1</v>
      </c>
      <c r="Q373" s="17">
        <f t="shared" si="58"/>
        <v>1</v>
      </c>
      <c r="R373" s="17">
        <f t="shared" si="58"/>
        <v>1</v>
      </c>
      <c r="S373" s="17">
        <f t="shared" si="58"/>
        <v>1</v>
      </c>
      <c r="T373" s="17">
        <f t="shared" si="58"/>
        <v>1</v>
      </c>
      <c r="U373" s="17">
        <f t="shared" si="58"/>
        <v>1</v>
      </c>
      <c r="V373" s="17">
        <f t="shared" si="57"/>
        <v>1</v>
      </c>
      <c r="W373" s="17">
        <f t="shared" si="57"/>
        <v>1</v>
      </c>
      <c r="X373" s="17">
        <f t="shared" si="57"/>
        <v>1</v>
      </c>
      <c r="Y373" s="17">
        <f t="shared" si="57"/>
        <v>1</v>
      </c>
      <c r="Z373" s="17">
        <f t="shared" si="57"/>
        <v>1</v>
      </c>
      <c r="AA373" s="17">
        <f t="shared" si="57"/>
        <v>1</v>
      </c>
      <c r="AB373" s="17">
        <f t="shared" si="57"/>
        <v>0</v>
      </c>
      <c r="AC373" s="17">
        <f t="shared" si="57"/>
        <v>0</v>
      </c>
      <c r="AD373" s="17">
        <f t="shared" si="54"/>
        <v>16</v>
      </c>
    </row>
    <row r="374" spans="4:30" x14ac:dyDescent="0.2">
      <c r="D374" s="35"/>
      <c r="E374" s="38"/>
      <c r="AD374" s="17">
        <f>SUM(AD9:AD373)</f>
        <v>4020</v>
      </c>
    </row>
    <row r="375" spans="4:30" x14ac:dyDescent="0.2">
      <c r="D375" s="35"/>
      <c r="E375" s="38"/>
    </row>
    <row r="376" spans="4:30" x14ac:dyDescent="0.2">
      <c r="D376" s="35"/>
      <c r="E376" s="38"/>
    </row>
    <row r="377" spans="4:30" x14ac:dyDescent="0.2">
      <c r="D377" s="35"/>
      <c r="E377" s="38"/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0CEC3-3441-3D4E-9A43-29389CA555CC}">
  <sheetPr codeName="Sheet4"/>
  <dimension ref="D3:AF376"/>
  <sheetViews>
    <sheetView zoomScale="80" zoomScaleNormal="80" workbookViewId="0">
      <selection activeCell="M44" sqref="M44"/>
    </sheetView>
  </sheetViews>
  <sheetFormatPr baseColWidth="10" defaultRowHeight="16" x14ac:dyDescent="0.2"/>
  <cols>
    <col min="3" max="3" width="12.6640625" customWidth="1"/>
    <col min="4" max="4" width="31.33203125" customWidth="1"/>
    <col min="5" max="5" width="31.33203125" style="17" customWidth="1"/>
    <col min="6" max="29" width="10.83203125" style="17"/>
    <col min="31" max="31" width="12.1640625" customWidth="1"/>
  </cols>
  <sheetData>
    <row r="3" spans="4:32" x14ac:dyDescent="0.2">
      <c r="F3" s="36" t="s">
        <v>39</v>
      </c>
    </row>
    <row r="4" spans="4:32" x14ac:dyDescent="0.2">
      <c r="D4" s="30"/>
      <c r="E4" s="25"/>
      <c r="F4" s="17">
        <v>1</v>
      </c>
      <c r="G4" s="17">
        <v>2</v>
      </c>
      <c r="H4" s="17">
        <v>3</v>
      </c>
      <c r="I4" s="17">
        <v>4</v>
      </c>
      <c r="J4" s="17">
        <v>5</v>
      </c>
      <c r="K4" s="17">
        <v>6</v>
      </c>
      <c r="L4" s="17">
        <v>7</v>
      </c>
      <c r="M4" s="17">
        <v>8</v>
      </c>
      <c r="N4" s="17">
        <v>9</v>
      </c>
      <c r="O4" s="17">
        <v>10</v>
      </c>
      <c r="P4" s="17">
        <v>11</v>
      </c>
      <c r="Q4" s="17">
        <v>12</v>
      </c>
      <c r="R4" s="17">
        <v>13</v>
      </c>
      <c r="S4" s="17">
        <v>14</v>
      </c>
      <c r="T4" s="17">
        <v>15</v>
      </c>
      <c r="U4" s="17">
        <v>16</v>
      </c>
      <c r="V4" s="17">
        <v>17</v>
      </c>
      <c r="W4" s="17">
        <v>18</v>
      </c>
      <c r="X4" s="17">
        <v>19</v>
      </c>
      <c r="Y4" s="17">
        <v>20</v>
      </c>
      <c r="Z4" s="17">
        <v>21</v>
      </c>
      <c r="AA4" s="17">
        <v>22</v>
      </c>
      <c r="AB4" s="17">
        <v>23</v>
      </c>
      <c r="AC4" s="17">
        <v>24</v>
      </c>
    </row>
    <row r="5" spans="4:32" x14ac:dyDescent="0.2">
      <c r="D5" t="s">
        <v>40</v>
      </c>
      <c r="E5" s="17" t="s">
        <v>41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1</v>
      </c>
      <c r="M5" s="17">
        <v>1</v>
      </c>
      <c r="N5" s="17">
        <v>1</v>
      </c>
      <c r="O5" s="17">
        <v>1</v>
      </c>
      <c r="P5" s="17">
        <v>1</v>
      </c>
      <c r="Q5" s="17">
        <v>1</v>
      </c>
      <c r="R5" s="17">
        <v>1</v>
      </c>
      <c r="S5" s="17">
        <v>1</v>
      </c>
      <c r="T5" s="17">
        <v>1</v>
      </c>
      <c r="U5" s="17">
        <v>1</v>
      </c>
      <c r="V5" s="17">
        <v>1</v>
      </c>
      <c r="W5" s="17">
        <v>1</v>
      </c>
      <c r="X5" s="17">
        <v>1</v>
      </c>
      <c r="Y5" s="17">
        <v>1</v>
      </c>
      <c r="Z5" s="17">
        <v>1</v>
      </c>
      <c r="AA5" s="17">
        <v>1</v>
      </c>
      <c r="AB5" s="17">
        <v>0</v>
      </c>
    </row>
    <row r="6" spans="4:32" x14ac:dyDescent="0.2">
      <c r="E6" s="17" t="s">
        <v>42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1</v>
      </c>
      <c r="M6" s="17">
        <v>1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1</v>
      </c>
      <c r="V6" s="17">
        <v>1</v>
      </c>
      <c r="W6" s="17">
        <v>1</v>
      </c>
      <c r="X6" s="17">
        <v>1</v>
      </c>
      <c r="Y6" s="17">
        <v>1</v>
      </c>
      <c r="Z6" s="17">
        <v>1</v>
      </c>
      <c r="AA6" s="17">
        <v>1</v>
      </c>
      <c r="AB6" s="17">
        <v>0</v>
      </c>
      <c r="AC6" s="17">
        <v>0</v>
      </c>
    </row>
    <row r="7" spans="4:32" x14ac:dyDescent="0.2">
      <c r="AD7" s="29" t="s">
        <v>13</v>
      </c>
      <c r="AE7" s="29" t="s">
        <v>47</v>
      </c>
      <c r="AF7" s="29" t="s">
        <v>46</v>
      </c>
    </row>
    <row r="8" spans="4:32" x14ac:dyDescent="0.2">
      <c r="D8" s="37">
        <v>44927</v>
      </c>
      <c r="E8" s="17" t="str">
        <f>IF(WEEKDAY(D8, 2)&lt;6, "weekday", "weekend")</f>
        <v>weekend</v>
      </c>
      <c r="F8" s="39">
        <f>'Degree-days'!$C$12*IF($E8=$E$5,(F$5),(F$6))</f>
        <v>0</v>
      </c>
      <c r="G8" s="39">
        <f>'Degree-days'!$C$12*IF($E8=$E$5,(G$5),(G$6))</f>
        <v>0</v>
      </c>
      <c r="H8" s="39">
        <f>'Degree-days'!$C$12*IF($E8=$E$5,(H$5),(H$6))</f>
        <v>0</v>
      </c>
      <c r="I8" s="39">
        <f>'Degree-days'!$C$12*IF($E8=$E$5,(I$5),(I$6))</f>
        <v>0</v>
      </c>
      <c r="J8" s="39">
        <f>'Degree-days'!$C$12*IF($E8=$E$5,(J$5),(J$6))</f>
        <v>0</v>
      </c>
      <c r="K8" s="39">
        <f>'Degree-days'!$C$12*IF($E8=$E$5,(K$5),(K$6))</f>
        <v>0</v>
      </c>
      <c r="L8" s="39">
        <f>'Degree-days'!$C$12*IF($E8=$E$5,(L$5),(L$6))</f>
        <v>3.5107768311559071</v>
      </c>
      <c r="M8" s="39">
        <f>'Degree-days'!$C$12*IF($E8=$E$5,(M$5),(M$6))</f>
        <v>3.5107768311559071</v>
      </c>
      <c r="N8" s="39">
        <f>'Degree-days'!$C$12*IF($E8=$E$5,(N$5),(N$6))</f>
        <v>3.5107768311559071</v>
      </c>
      <c r="O8" s="39">
        <f>'Degree-days'!$C$12*IF($E8=$E$5,(O$5),(O$6))</f>
        <v>3.5107768311559071</v>
      </c>
      <c r="P8" s="39">
        <f>'Degree-days'!$C$12*IF($E8=$E$5,(P$5),(P$6))</f>
        <v>3.5107768311559071</v>
      </c>
      <c r="Q8" s="39">
        <f>'Degree-days'!$C$12*IF($E8=$E$5,(Q$5),(Q$6))</f>
        <v>3.5107768311559071</v>
      </c>
      <c r="R8" s="39">
        <f>'Degree-days'!$C$12*IF($E8=$E$5,(R$5),(R$6))</f>
        <v>3.5107768311559071</v>
      </c>
      <c r="S8" s="39">
        <f>'Degree-days'!$C$12*IF($E8=$E$5,(S$5),(S$6))</f>
        <v>3.5107768311559071</v>
      </c>
      <c r="T8" s="39">
        <f>'Degree-days'!$C$12*IF($E8=$E$5,(T$5),(T$6))</f>
        <v>3.5107768311559071</v>
      </c>
      <c r="U8" s="39">
        <f>'Degree-days'!$C$12*IF($E8=$E$5,(U$5),(U$6))</f>
        <v>3.5107768311559071</v>
      </c>
      <c r="V8" s="39">
        <f>'Degree-days'!$C$12*IF($E8=$E$5,(V$5),(V$6))</f>
        <v>3.5107768311559071</v>
      </c>
      <c r="W8" s="39">
        <f>'Degree-days'!$C$12*IF($E8=$E$5,(W$5),(W$6))</f>
        <v>3.5107768311559071</v>
      </c>
      <c r="X8" s="39">
        <f>'Degree-days'!$C$12*IF($E8=$E$5,(X$5),(X$6))</f>
        <v>3.5107768311559071</v>
      </c>
      <c r="Y8" s="39">
        <f>'Degree-days'!$C$12*IF($E8=$E$5,(Y$5),(Y$6))</f>
        <v>3.5107768311559071</v>
      </c>
      <c r="Z8" s="39">
        <f>'Degree-days'!$C$12*IF($E8=$E$5,(Z$5),(Z$6))</f>
        <v>3.5107768311559071</v>
      </c>
      <c r="AA8" s="39">
        <f>'Degree-days'!$C$12*IF($E8=$E$5,(AA$5),(AA$6))</f>
        <v>3.5107768311559071</v>
      </c>
      <c r="AB8" s="39">
        <f>'Degree-days'!$C$12*IF($E8=$E$5,(AB$5),(AB$6))</f>
        <v>0</v>
      </c>
      <c r="AC8" s="39">
        <f>'Degree-days'!$C$12*IF($E8=$E$5,(AC$5),(AC$6))</f>
        <v>0</v>
      </c>
      <c r="AD8" s="39">
        <f>SUM(F8:AC8)</f>
        <v>56.172429298494528</v>
      </c>
      <c r="AF8" s="17"/>
    </row>
    <row r="9" spans="4:32" x14ac:dyDescent="0.2">
      <c r="D9" s="37">
        <v>44928</v>
      </c>
      <c r="E9" s="17" t="str">
        <f t="shared" ref="E9:E72" si="0">IF(WEEKDAY(D9, 2)&lt;6, "weekday", "weekend")</f>
        <v>weekday</v>
      </c>
      <c r="F9" s="39">
        <f>'Degree-days'!$C$12*IF($E9=$E$5,(F$5),(F$6))</f>
        <v>0</v>
      </c>
      <c r="G9" s="39">
        <f>'Degree-days'!$C$12*IF($E9=$E$5,(G$5),(G$6))</f>
        <v>0</v>
      </c>
      <c r="H9" s="39">
        <f>'Degree-days'!$C$12*IF($E9=$E$5,(H$5),(H$6))</f>
        <v>0</v>
      </c>
      <c r="I9" s="39">
        <f>'Degree-days'!$C$12*IF($E9=$E$5,(I$5),(I$6))</f>
        <v>0</v>
      </c>
      <c r="J9" s="39">
        <f>'Degree-days'!$C$12*IF($E9=$E$5,(J$5),(J$6))</f>
        <v>0</v>
      </c>
      <c r="K9" s="39">
        <f>'Degree-days'!$C$12*IF($E9=$E$5,(K$5),(K$6))</f>
        <v>0</v>
      </c>
      <c r="L9" s="39">
        <f>'Degree-days'!$C$12*IF($E9=$E$5,(L$5),(L$6))</f>
        <v>3.5107768311559071</v>
      </c>
      <c r="M9" s="39">
        <f>'Degree-days'!$C$12*IF($E9=$E$5,(M$5),(M$6))</f>
        <v>3.5107768311559071</v>
      </c>
      <c r="N9" s="39">
        <f>'Degree-days'!$C$12*IF($E9=$E$5,(N$5),(N$6))</f>
        <v>0</v>
      </c>
      <c r="O9" s="39">
        <f>'Degree-days'!$C$12*IF($E9=$E$5,(O$5),(O$6))</f>
        <v>0</v>
      </c>
      <c r="P9" s="39">
        <f>'Degree-days'!$C$12*IF($E9=$E$5,(P$5),(P$6))</f>
        <v>0</v>
      </c>
      <c r="Q9" s="39">
        <f>'Degree-days'!$C$12*IF($E9=$E$5,(Q$5),(Q$6))</f>
        <v>0</v>
      </c>
      <c r="R9" s="39">
        <f>'Degree-days'!$C$12*IF($E9=$E$5,(R$5),(R$6))</f>
        <v>0</v>
      </c>
      <c r="S9" s="39">
        <f>'Degree-days'!$C$12*IF($E9=$E$5,(S$5),(S$6))</f>
        <v>0</v>
      </c>
      <c r="T9" s="39">
        <f>'Degree-days'!$C$12*IF($E9=$E$5,(T$5),(T$6))</f>
        <v>0</v>
      </c>
      <c r="U9" s="39">
        <f>'Degree-days'!$C$12*IF($E9=$E$5,(U$5),(U$6))</f>
        <v>3.5107768311559071</v>
      </c>
      <c r="V9" s="39">
        <f>'Degree-days'!$C$12*IF($E9=$E$5,(V$5),(V$6))</f>
        <v>3.5107768311559071</v>
      </c>
      <c r="W9" s="39">
        <f>'Degree-days'!$C$12*IF($E9=$E$5,(W$5),(W$6))</f>
        <v>3.5107768311559071</v>
      </c>
      <c r="X9" s="39">
        <f>'Degree-days'!$C$12*IF($E9=$E$5,(X$5),(X$6))</f>
        <v>3.5107768311559071</v>
      </c>
      <c r="Y9" s="39">
        <f>'Degree-days'!$C$12*IF($E9=$E$5,(Y$5),(Y$6))</f>
        <v>3.5107768311559071</v>
      </c>
      <c r="Z9" s="39">
        <f>'Degree-days'!$C$12*IF($E9=$E$5,(Z$5),(Z$6))</f>
        <v>3.5107768311559071</v>
      </c>
      <c r="AA9" s="39">
        <f>'Degree-days'!$C$12*IF($E9=$E$5,(AA$5),(AA$6))</f>
        <v>3.5107768311559071</v>
      </c>
      <c r="AB9" s="39">
        <f>'Degree-days'!$C$12*IF($E9=$E$5,(AB$5),(AB$6))</f>
        <v>0</v>
      </c>
      <c r="AC9" s="39">
        <f>'Degree-days'!$C$12*IF($E9=$E$5,(AC$5),(AC$6))</f>
        <v>0</v>
      </c>
      <c r="AD9" s="39">
        <f t="shared" ref="AD9:AD72" si="1">SUM(F9:AC9)</f>
        <v>31.596991480403169</v>
      </c>
      <c r="AF9" s="17"/>
    </row>
    <row r="10" spans="4:32" x14ac:dyDescent="0.2">
      <c r="D10" s="37">
        <v>44929</v>
      </c>
      <c r="E10" s="17" t="str">
        <f t="shared" si="0"/>
        <v>weekday</v>
      </c>
      <c r="F10" s="39">
        <f>'Degree-days'!$C$12*IF($E10=$E$5,(F$5),(F$6))</f>
        <v>0</v>
      </c>
      <c r="G10" s="39">
        <f>'Degree-days'!$C$12*IF($E10=$E$5,(G$5),(G$6))</f>
        <v>0</v>
      </c>
      <c r="H10" s="39">
        <f>'Degree-days'!$C$12*IF($E10=$E$5,(H$5),(H$6))</f>
        <v>0</v>
      </c>
      <c r="I10" s="39">
        <f>'Degree-days'!$C$12*IF($E10=$E$5,(I$5),(I$6))</f>
        <v>0</v>
      </c>
      <c r="J10" s="39">
        <f>'Degree-days'!$C$12*IF($E10=$E$5,(J$5),(J$6))</f>
        <v>0</v>
      </c>
      <c r="K10" s="39">
        <f>'Degree-days'!$C$12*IF($E10=$E$5,(K$5),(K$6))</f>
        <v>0</v>
      </c>
      <c r="L10" s="39">
        <f>'Degree-days'!$C$12*IF($E10=$E$5,(L$5),(L$6))</f>
        <v>3.5107768311559071</v>
      </c>
      <c r="M10" s="39">
        <f>'Degree-days'!$C$12*IF($E10=$E$5,(M$5),(M$6))</f>
        <v>3.5107768311559071</v>
      </c>
      <c r="N10" s="39">
        <f>'Degree-days'!$C$12*IF($E10=$E$5,(N$5),(N$6))</f>
        <v>0</v>
      </c>
      <c r="O10" s="39">
        <f>'Degree-days'!$C$12*IF($E10=$E$5,(O$5),(O$6))</f>
        <v>0</v>
      </c>
      <c r="P10" s="39">
        <f>'Degree-days'!$C$12*IF($E10=$E$5,(P$5),(P$6))</f>
        <v>0</v>
      </c>
      <c r="Q10" s="39">
        <f>'Degree-days'!$C$12*IF($E10=$E$5,(Q$5),(Q$6))</f>
        <v>0</v>
      </c>
      <c r="R10" s="39">
        <f>'Degree-days'!$C$12*IF($E10=$E$5,(R$5),(R$6))</f>
        <v>0</v>
      </c>
      <c r="S10" s="39">
        <f>'Degree-days'!$C$12*IF($E10=$E$5,(S$5),(S$6))</f>
        <v>0</v>
      </c>
      <c r="T10" s="39">
        <f>'Degree-days'!$C$12*IF($E10=$E$5,(T$5),(T$6))</f>
        <v>0</v>
      </c>
      <c r="U10" s="39">
        <f>'Degree-days'!$C$12*IF($E10=$E$5,(U$5),(U$6))</f>
        <v>3.5107768311559071</v>
      </c>
      <c r="V10" s="39">
        <f>'Degree-days'!$C$12*IF($E10=$E$5,(V$5),(V$6))</f>
        <v>3.5107768311559071</v>
      </c>
      <c r="W10" s="39">
        <f>'Degree-days'!$C$12*IF($E10=$E$5,(W$5),(W$6))</f>
        <v>3.5107768311559071</v>
      </c>
      <c r="X10" s="39">
        <f>'Degree-days'!$C$12*IF($E10=$E$5,(X$5),(X$6))</f>
        <v>3.5107768311559071</v>
      </c>
      <c r="Y10" s="39">
        <f>'Degree-days'!$C$12*IF($E10=$E$5,(Y$5),(Y$6))</f>
        <v>3.5107768311559071</v>
      </c>
      <c r="Z10" s="39">
        <f>'Degree-days'!$C$12*IF($E10=$E$5,(Z$5),(Z$6))</f>
        <v>3.5107768311559071</v>
      </c>
      <c r="AA10" s="39">
        <f>'Degree-days'!$C$12*IF($E10=$E$5,(AA$5),(AA$6))</f>
        <v>3.5107768311559071</v>
      </c>
      <c r="AB10" s="39">
        <f>'Degree-days'!$C$12*IF($E10=$E$5,(AB$5),(AB$6))</f>
        <v>0</v>
      </c>
      <c r="AC10" s="39">
        <f>'Degree-days'!$C$12*IF($E10=$E$5,(AC$5),(AC$6))</f>
        <v>0</v>
      </c>
      <c r="AD10" s="39">
        <f t="shared" si="1"/>
        <v>31.596991480403169</v>
      </c>
      <c r="AF10" s="17"/>
    </row>
    <row r="11" spans="4:32" x14ac:dyDescent="0.2">
      <c r="D11" s="37">
        <v>44930</v>
      </c>
      <c r="E11" s="17" t="str">
        <f t="shared" si="0"/>
        <v>weekday</v>
      </c>
      <c r="F11" s="39">
        <f>'Degree-days'!$C$12*IF($E11=$E$5,(F$5),(F$6))</f>
        <v>0</v>
      </c>
      <c r="G11" s="39">
        <f>'Degree-days'!$C$12*IF($E11=$E$5,(G$5),(G$6))</f>
        <v>0</v>
      </c>
      <c r="H11" s="39">
        <f>'Degree-days'!$C$12*IF($E11=$E$5,(H$5),(H$6))</f>
        <v>0</v>
      </c>
      <c r="I11" s="39">
        <f>'Degree-days'!$C$12*IF($E11=$E$5,(I$5),(I$6))</f>
        <v>0</v>
      </c>
      <c r="J11" s="39">
        <f>'Degree-days'!$C$12*IF($E11=$E$5,(J$5),(J$6))</f>
        <v>0</v>
      </c>
      <c r="K11" s="39">
        <f>'Degree-days'!$C$12*IF($E11=$E$5,(K$5),(K$6))</f>
        <v>0</v>
      </c>
      <c r="L11" s="39">
        <f>'Degree-days'!$C$12*IF($E11=$E$5,(L$5),(L$6))</f>
        <v>3.5107768311559071</v>
      </c>
      <c r="M11" s="39">
        <f>'Degree-days'!$C$12*IF($E11=$E$5,(M$5),(M$6))</f>
        <v>3.5107768311559071</v>
      </c>
      <c r="N11" s="39">
        <f>'Degree-days'!$C$12*IF($E11=$E$5,(N$5),(N$6))</f>
        <v>0</v>
      </c>
      <c r="O11" s="39">
        <f>'Degree-days'!$C$12*IF($E11=$E$5,(O$5),(O$6))</f>
        <v>0</v>
      </c>
      <c r="P11" s="39">
        <f>'Degree-days'!$C$12*IF($E11=$E$5,(P$5),(P$6))</f>
        <v>0</v>
      </c>
      <c r="Q11" s="39">
        <f>'Degree-days'!$C$12*IF($E11=$E$5,(Q$5),(Q$6))</f>
        <v>0</v>
      </c>
      <c r="R11" s="39">
        <f>'Degree-days'!$C$12*IF($E11=$E$5,(R$5),(R$6))</f>
        <v>0</v>
      </c>
      <c r="S11" s="39">
        <f>'Degree-days'!$C$12*IF($E11=$E$5,(S$5),(S$6))</f>
        <v>0</v>
      </c>
      <c r="T11" s="39">
        <f>'Degree-days'!$C$12*IF($E11=$E$5,(T$5),(T$6))</f>
        <v>0</v>
      </c>
      <c r="U11" s="39">
        <f>'Degree-days'!$C$12*IF($E11=$E$5,(U$5),(U$6))</f>
        <v>3.5107768311559071</v>
      </c>
      <c r="V11" s="39">
        <f>'Degree-days'!$C$12*IF($E11=$E$5,(V$5),(V$6))</f>
        <v>3.5107768311559071</v>
      </c>
      <c r="W11" s="39">
        <f>'Degree-days'!$C$12*IF($E11=$E$5,(W$5),(W$6))</f>
        <v>3.5107768311559071</v>
      </c>
      <c r="X11" s="39">
        <f>'Degree-days'!$C$12*IF($E11=$E$5,(X$5),(X$6))</f>
        <v>3.5107768311559071</v>
      </c>
      <c r="Y11" s="39">
        <f>'Degree-days'!$C$12*IF($E11=$E$5,(Y$5),(Y$6))</f>
        <v>3.5107768311559071</v>
      </c>
      <c r="Z11" s="39">
        <f>'Degree-days'!$C$12*IF($E11=$E$5,(Z$5),(Z$6))</f>
        <v>3.5107768311559071</v>
      </c>
      <c r="AA11" s="39">
        <f>'Degree-days'!$C$12*IF($E11=$E$5,(AA$5),(AA$6))</f>
        <v>3.5107768311559071</v>
      </c>
      <c r="AB11" s="39">
        <f>'Degree-days'!$C$12*IF($E11=$E$5,(AB$5),(AB$6))</f>
        <v>0</v>
      </c>
      <c r="AC11" s="39">
        <f>'Degree-days'!$C$12*IF($E11=$E$5,(AC$5),(AC$6))</f>
        <v>0</v>
      </c>
      <c r="AD11" s="39">
        <f t="shared" si="1"/>
        <v>31.596991480403169</v>
      </c>
      <c r="AF11" s="17"/>
    </row>
    <row r="12" spans="4:32" x14ac:dyDescent="0.2">
      <c r="D12" s="37">
        <v>44931</v>
      </c>
      <c r="E12" s="17" t="str">
        <f t="shared" si="0"/>
        <v>weekday</v>
      </c>
      <c r="F12" s="39">
        <f>'Degree-days'!$C$12*IF($E12=$E$5,(F$5),(F$6))</f>
        <v>0</v>
      </c>
      <c r="G12" s="39">
        <f>'Degree-days'!$C$12*IF($E12=$E$5,(G$5),(G$6))</f>
        <v>0</v>
      </c>
      <c r="H12" s="39">
        <f>'Degree-days'!$C$12*IF($E12=$E$5,(H$5),(H$6))</f>
        <v>0</v>
      </c>
      <c r="I12" s="39">
        <f>'Degree-days'!$C$12*IF($E12=$E$5,(I$5),(I$6))</f>
        <v>0</v>
      </c>
      <c r="J12" s="39">
        <f>'Degree-days'!$C$12*IF($E12=$E$5,(J$5),(J$6))</f>
        <v>0</v>
      </c>
      <c r="K12" s="39">
        <f>'Degree-days'!$C$12*IF($E12=$E$5,(K$5),(K$6))</f>
        <v>0</v>
      </c>
      <c r="L12" s="39">
        <f>'Degree-days'!$C$12*IF($E12=$E$5,(L$5),(L$6))</f>
        <v>3.5107768311559071</v>
      </c>
      <c r="M12" s="39">
        <f>'Degree-days'!$C$12*IF($E12=$E$5,(M$5),(M$6))</f>
        <v>3.5107768311559071</v>
      </c>
      <c r="N12" s="39">
        <f>'Degree-days'!$C$12*IF($E12=$E$5,(N$5),(N$6))</f>
        <v>0</v>
      </c>
      <c r="O12" s="39">
        <f>'Degree-days'!$C$12*IF($E12=$E$5,(O$5),(O$6))</f>
        <v>0</v>
      </c>
      <c r="P12" s="39">
        <f>'Degree-days'!$C$12*IF($E12=$E$5,(P$5),(P$6))</f>
        <v>0</v>
      </c>
      <c r="Q12" s="39">
        <f>'Degree-days'!$C$12*IF($E12=$E$5,(Q$5),(Q$6))</f>
        <v>0</v>
      </c>
      <c r="R12" s="39">
        <f>'Degree-days'!$C$12*IF($E12=$E$5,(R$5),(R$6))</f>
        <v>0</v>
      </c>
      <c r="S12" s="39">
        <f>'Degree-days'!$C$12*IF($E12=$E$5,(S$5),(S$6))</f>
        <v>0</v>
      </c>
      <c r="T12" s="39">
        <f>'Degree-days'!$C$12*IF($E12=$E$5,(T$5),(T$6))</f>
        <v>0</v>
      </c>
      <c r="U12" s="39">
        <f>'Degree-days'!$C$12*IF($E12=$E$5,(U$5),(U$6))</f>
        <v>3.5107768311559071</v>
      </c>
      <c r="V12" s="39">
        <f>'Degree-days'!$C$12*IF($E12=$E$5,(V$5),(V$6))</f>
        <v>3.5107768311559071</v>
      </c>
      <c r="W12" s="39">
        <f>'Degree-days'!$C$12*IF($E12=$E$5,(W$5),(W$6))</f>
        <v>3.5107768311559071</v>
      </c>
      <c r="X12" s="39">
        <f>'Degree-days'!$C$12*IF($E12=$E$5,(X$5),(X$6))</f>
        <v>3.5107768311559071</v>
      </c>
      <c r="Y12" s="39">
        <f>'Degree-days'!$C$12*IF($E12=$E$5,(Y$5),(Y$6))</f>
        <v>3.5107768311559071</v>
      </c>
      <c r="Z12" s="39">
        <f>'Degree-days'!$C$12*IF($E12=$E$5,(Z$5),(Z$6))</f>
        <v>3.5107768311559071</v>
      </c>
      <c r="AA12" s="39">
        <f>'Degree-days'!$C$12*IF($E12=$E$5,(AA$5),(AA$6))</f>
        <v>3.5107768311559071</v>
      </c>
      <c r="AB12" s="39">
        <f>'Degree-days'!$C$12*IF($E12=$E$5,(AB$5),(AB$6))</f>
        <v>0</v>
      </c>
      <c r="AC12" s="39">
        <f>'Degree-days'!$C$12*IF($E12=$E$5,(AC$5),(AC$6))</f>
        <v>0</v>
      </c>
      <c r="AD12" s="39">
        <f t="shared" si="1"/>
        <v>31.596991480403169</v>
      </c>
      <c r="AF12" s="17"/>
    </row>
    <row r="13" spans="4:32" x14ac:dyDescent="0.2">
      <c r="D13" s="37">
        <v>44932</v>
      </c>
      <c r="E13" s="17" t="str">
        <f t="shared" si="0"/>
        <v>weekday</v>
      </c>
      <c r="F13" s="39">
        <f>'Degree-days'!$C$12*IF($E13=$E$5,(F$5),(F$6))</f>
        <v>0</v>
      </c>
      <c r="G13" s="39">
        <f>'Degree-days'!$C$12*IF($E13=$E$5,(G$5),(G$6))</f>
        <v>0</v>
      </c>
      <c r="H13" s="39">
        <f>'Degree-days'!$C$12*IF($E13=$E$5,(H$5),(H$6))</f>
        <v>0</v>
      </c>
      <c r="I13" s="39">
        <f>'Degree-days'!$C$12*IF($E13=$E$5,(I$5),(I$6))</f>
        <v>0</v>
      </c>
      <c r="J13" s="39">
        <f>'Degree-days'!$C$12*IF($E13=$E$5,(J$5),(J$6))</f>
        <v>0</v>
      </c>
      <c r="K13" s="39">
        <f>'Degree-days'!$C$12*IF($E13=$E$5,(K$5),(K$6))</f>
        <v>0</v>
      </c>
      <c r="L13" s="39">
        <f>'Degree-days'!$C$12*IF($E13=$E$5,(L$5),(L$6))</f>
        <v>3.5107768311559071</v>
      </c>
      <c r="M13" s="39">
        <f>'Degree-days'!$C$12*IF($E13=$E$5,(M$5),(M$6))</f>
        <v>3.5107768311559071</v>
      </c>
      <c r="N13" s="39">
        <f>'Degree-days'!$C$12*IF($E13=$E$5,(N$5),(N$6))</f>
        <v>0</v>
      </c>
      <c r="O13" s="39">
        <f>'Degree-days'!$C$12*IF($E13=$E$5,(O$5),(O$6))</f>
        <v>0</v>
      </c>
      <c r="P13" s="39">
        <f>'Degree-days'!$C$12*IF($E13=$E$5,(P$5),(P$6))</f>
        <v>0</v>
      </c>
      <c r="Q13" s="39">
        <f>'Degree-days'!$C$12*IF($E13=$E$5,(Q$5),(Q$6))</f>
        <v>0</v>
      </c>
      <c r="R13" s="39">
        <f>'Degree-days'!$C$12*IF($E13=$E$5,(R$5),(R$6))</f>
        <v>0</v>
      </c>
      <c r="S13" s="39">
        <f>'Degree-days'!$C$12*IF($E13=$E$5,(S$5),(S$6))</f>
        <v>0</v>
      </c>
      <c r="T13" s="39">
        <f>'Degree-days'!$C$12*IF($E13=$E$5,(T$5),(T$6))</f>
        <v>0</v>
      </c>
      <c r="U13" s="39">
        <f>'Degree-days'!$C$12*IF($E13=$E$5,(U$5),(U$6))</f>
        <v>3.5107768311559071</v>
      </c>
      <c r="V13" s="39">
        <f>'Degree-days'!$C$12*IF($E13=$E$5,(V$5),(V$6))</f>
        <v>3.5107768311559071</v>
      </c>
      <c r="W13" s="39">
        <f>'Degree-days'!$C$12*IF($E13=$E$5,(W$5),(W$6))</f>
        <v>3.5107768311559071</v>
      </c>
      <c r="X13" s="39">
        <f>'Degree-days'!$C$12*IF($E13=$E$5,(X$5),(X$6))</f>
        <v>3.5107768311559071</v>
      </c>
      <c r="Y13" s="39">
        <f>'Degree-days'!$C$12*IF($E13=$E$5,(Y$5),(Y$6))</f>
        <v>3.5107768311559071</v>
      </c>
      <c r="Z13" s="39">
        <f>'Degree-days'!$C$12*IF($E13=$E$5,(Z$5),(Z$6))</f>
        <v>3.5107768311559071</v>
      </c>
      <c r="AA13" s="39">
        <f>'Degree-days'!$C$12*IF($E13=$E$5,(AA$5),(AA$6))</f>
        <v>3.5107768311559071</v>
      </c>
      <c r="AB13" s="39">
        <f>'Degree-days'!$C$12*IF($E13=$E$5,(AB$5),(AB$6))</f>
        <v>0</v>
      </c>
      <c r="AC13" s="39">
        <f>'Degree-days'!$C$12*IF($E13=$E$5,(AC$5),(AC$6))</f>
        <v>0</v>
      </c>
      <c r="AD13" s="39">
        <f t="shared" si="1"/>
        <v>31.596991480403169</v>
      </c>
      <c r="AF13" s="17"/>
    </row>
    <row r="14" spans="4:32" x14ac:dyDescent="0.2">
      <c r="D14" s="37">
        <v>44933</v>
      </c>
      <c r="E14" s="17" t="str">
        <f t="shared" si="0"/>
        <v>weekend</v>
      </c>
      <c r="F14" s="39">
        <f>'Degree-days'!$C$12*IF($E14=$E$5,(F$5),(F$6))</f>
        <v>0</v>
      </c>
      <c r="G14" s="39">
        <f>'Degree-days'!$C$12*IF($E14=$E$5,(G$5),(G$6))</f>
        <v>0</v>
      </c>
      <c r="H14" s="39">
        <f>'Degree-days'!$C$12*IF($E14=$E$5,(H$5),(H$6))</f>
        <v>0</v>
      </c>
      <c r="I14" s="39">
        <f>'Degree-days'!$C$12*IF($E14=$E$5,(I$5),(I$6))</f>
        <v>0</v>
      </c>
      <c r="J14" s="39">
        <f>'Degree-days'!$C$12*IF($E14=$E$5,(J$5),(J$6))</f>
        <v>0</v>
      </c>
      <c r="K14" s="39">
        <f>'Degree-days'!$C$12*IF($E14=$E$5,(K$5),(K$6))</f>
        <v>0</v>
      </c>
      <c r="L14" s="39">
        <f>'Degree-days'!$C$12*IF($E14=$E$5,(L$5),(L$6))</f>
        <v>3.5107768311559071</v>
      </c>
      <c r="M14" s="39">
        <f>'Degree-days'!$C$12*IF($E14=$E$5,(M$5),(M$6))</f>
        <v>3.5107768311559071</v>
      </c>
      <c r="N14" s="39">
        <f>'Degree-days'!$C$12*IF($E14=$E$5,(N$5),(N$6))</f>
        <v>3.5107768311559071</v>
      </c>
      <c r="O14" s="39">
        <f>'Degree-days'!$C$12*IF($E14=$E$5,(O$5),(O$6))</f>
        <v>3.5107768311559071</v>
      </c>
      <c r="P14" s="39">
        <f>'Degree-days'!$C$12*IF($E14=$E$5,(P$5),(P$6))</f>
        <v>3.5107768311559071</v>
      </c>
      <c r="Q14" s="39">
        <f>'Degree-days'!$C$12*IF($E14=$E$5,(Q$5),(Q$6))</f>
        <v>3.5107768311559071</v>
      </c>
      <c r="R14" s="39">
        <f>'Degree-days'!$C$12*IF($E14=$E$5,(R$5),(R$6))</f>
        <v>3.5107768311559071</v>
      </c>
      <c r="S14" s="39">
        <f>'Degree-days'!$C$12*IF($E14=$E$5,(S$5),(S$6))</f>
        <v>3.5107768311559071</v>
      </c>
      <c r="T14" s="39">
        <f>'Degree-days'!$C$12*IF($E14=$E$5,(T$5),(T$6))</f>
        <v>3.5107768311559071</v>
      </c>
      <c r="U14" s="39">
        <f>'Degree-days'!$C$12*IF($E14=$E$5,(U$5),(U$6))</f>
        <v>3.5107768311559071</v>
      </c>
      <c r="V14" s="39">
        <f>'Degree-days'!$C$12*IF($E14=$E$5,(V$5),(V$6))</f>
        <v>3.5107768311559071</v>
      </c>
      <c r="W14" s="39">
        <f>'Degree-days'!$C$12*IF($E14=$E$5,(W$5),(W$6))</f>
        <v>3.5107768311559071</v>
      </c>
      <c r="X14" s="39">
        <f>'Degree-days'!$C$12*IF($E14=$E$5,(X$5),(X$6))</f>
        <v>3.5107768311559071</v>
      </c>
      <c r="Y14" s="39">
        <f>'Degree-days'!$C$12*IF($E14=$E$5,(Y$5),(Y$6))</f>
        <v>3.5107768311559071</v>
      </c>
      <c r="Z14" s="39">
        <f>'Degree-days'!$C$12*IF($E14=$E$5,(Z$5),(Z$6))</f>
        <v>3.5107768311559071</v>
      </c>
      <c r="AA14" s="39">
        <f>'Degree-days'!$C$12*IF($E14=$E$5,(AA$5),(AA$6))</f>
        <v>3.5107768311559071</v>
      </c>
      <c r="AB14" s="39">
        <f>'Degree-days'!$C$12*IF($E14=$E$5,(AB$5),(AB$6))</f>
        <v>0</v>
      </c>
      <c r="AC14" s="39">
        <f>'Degree-days'!$C$12*IF($E14=$E$5,(AC$5),(AC$6))</f>
        <v>0</v>
      </c>
      <c r="AD14" s="39">
        <f t="shared" si="1"/>
        <v>56.172429298494528</v>
      </c>
      <c r="AF14" s="17"/>
    </row>
    <row r="15" spans="4:32" x14ac:dyDescent="0.2">
      <c r="D15" s="37">
        <v>44934</v>
      </c>
      <c r="E15" s="17" t="str">
        <f t="shared" si="0"/>
        <v>weekend</v>
      </c>
      <c r="F15" s="39">
        <f>'Degree-days'!$C$12*IF($E15=$E$5,(F$5),(F$6))</f>
        <v>0</v>
      </c>
      <c r="G15" s="39">
        <f>'Degree-days'!$C$12*IF($E15=$E$5,(G$5),(G$6))</f>
        <v>0</v>
      </c>
      <c r="H15" s="39">
        <f>'Degree-days'!$C$12*IF($E15=$E$5,(H$5),(H$6))</f>
        <v>0</v>
      </c>
      <c r="I15" s="39">
        <f>'Degree-days'!$C$12*IF($E15=$E$5,(I$5),(I$6))</f>
        <v>0</v>
      </c>
      <c r="J15" s="39">
        <f>'Degree-days'!$C$12*IF($E15=$E$5,(J$5),(J$6))</f>
        <v>0</v>
      </c>
      <c r="K15" s="39">
        <f>'Degree-days'!$C$12*IF($E15=$E$5,(K$5),(K$6))</f>
        <v>0</v>
      </c>
      <c r="L15" s="39">
        <f>'Degree-days'!$C$12*IF($E15=$E$5,(L$5),(L$6))</f>
        <v>3.5107768311559071</v>
      </c>
      <c r="M15" s="39">
        <f>'Degree-days'!$C$12*IF($E15=$E$5,(M$5),(M$6))</f>
        <v>3.5107768311559071</v>
      </c>
      <c r="N15" s="39">
        <f>'Degree-days'!$C$12*IF($E15=$E$5,(N$5),(N$6))</f>
        <v>3.5107768311559071</v>
      </c>
      <c r="O15" s="39">
        <f>'Degree-days'!$C$12*IF($E15=$E$5,(O$5),(O$6))</f>
        <v>3.5107768311559071</v>
      </c>
      <c r="P15" s="39">
        <f>'Degree-days'!$C$12*IF($E15=$E$5,(P$5),(P$6))</f>
        <v>3.5107768311559071</v>
      </c>
      <c r="Q15" s="39">
        <f>'Degree-days'!$C$12*IF($E15=$E$5,(Q$5),(Q$6))</f>
        <v>3.5107768311559071</v>
      </c>
      <c r="R15" s="39">
        <f>'Degree-days'!$C$12*IF($E15=$E$5,(R$5),(R$6))</f>
        <v>3.5107768311559071</v>
      </c>
      <c r="S15" s="39">
        <f>'Degree-days'!$C$12*IF($E15=$E$5,(S$5),(S$6))</f>
        <v>3.5107768311559071</v>
      </c>
      <c r="T15" s="39">
        <f>'Degree-days'!$C$12*IF($E15=$E$5,(T$5),(T$6))</f>
        <v>3.5107768311559071</v>
      </c>
      <c r="U15" s="39">
        <f>'Degree-days'!$C$12*IF($E15=$E$5,(U$5),(U$6))</f>
        <v>3.5107768311559071</v>
      </c>
      <c r="V15" s="39">
        <f>'Degree-days'!$C$12*IF($E15=$E$5,(V$5),(V$6))</f>
        <v>3.5107768311559071</v>
      </c>
      <c r="W15" s="39">
        <f>'Degree-days'!$C$12*IF($E15=$E$5,(W$5),(W$6))</f>
        <v>3.5107768311559071</v>
      </c>
      <c r="X15" s="39">
        <f>'Degree-days'!$C$12*IF($E15=$E$5,(X$5),(X$6))</f>
        <v>3.5107768311559071</v>
      </c>
      <c r="Y15" s="39">
        <f>'Degree-days'!$C$12*IF($E15=$E$5,(Y$5),(Y$6))</f>
        <v>3.5107768311559071</v>
      </c>
      <c r="Z15" s="39">
        <f>'Degree-days'!$C$12*IF($E15=$E$5,(Z$5),(Z$6))</f>
        <v>3.5107768311559071</v>
      </c>
      <c r="AA15" s="39">
        <f>'Degree-days'!$C$12*IF($E15=$E$5,(AA$5),(AA$6))</f>
        <v>3.5107768311559071</v>
      </c>
      <c r="AB15" s="39">
        <f>'Degree-days'!$C$12*IF($E15=$E$5,(AB$5),(AB$6))</f>
        <v>0</v>
      </c>
      <c r="AC15" s="39">
        <f>'Degree-days'!$C$12*IF($E15=$E$5,(AC$5),(AC$6))</f>
        <v>0</v>
      </c>
      <c r="AD15" s="39">
        <f t="shared" si="1"/>
        <v>56.172429298494528</v>
      </c>
      <c r="AF15" s="17"/>
    </row>
    <row r="16" spans="4:32" x14ac:dyDescent="0.2">
      <c r="D16" s="37">
        <v>44935</v>
      </c>
      <c r="E16" s="17" t="str">
        <f t="shared" si="0"/>
        <v>weekday</v>
      </c>
      <c r="F16" s="39">
        <f>'Degree-days'!$C$12*IF($E16=$E$5,(F$5),(F$6))</f>
        <v>0</v>
      </c>
      <c r="G16" s="39">
        <f>'Degree-days'!$C$12*IF($E16=$E$5,(G$5),(G$6))</f>
        <v>0</v>
      </c>
      <c r="H16" s="39">
        <f>'Degree-days'!$C$12*IF($E16=$E$5,(H$5),(H$6))</f>
        <v>0</v>
      </c>
      <c r="I16" s="39">
        <f>'Degree-days'!$C$12*IF($E16=$E$5,(I$5),(I$6))</f>
        <v>0</v>
      </c>
      <c r="J16" s="39">
        <f>'Degree-days'!$C$12*IF($E16=$E$5,(J$5),(J$6))</f>
        <v>0</v>
      </c>
      <c r="K16" s="39">
        <f>'Degree-days'!$C$12*IF($E16=$E$5,(K$5),(K$6))</f>
        <v>0</v>
      </c>
      <c r="L16" s="39">
        <f>'Degree-days'!$C$12*IF($E16=$E$5,(L$5),(L$6))</f>
        <v>3.5107768311559071</v>
      </c>
      <c r="M16" s="39">
        <f>'Degree-days'!$C$12*IF($E16=$E$5,(M$5),(M$6))</f>
        <v>3.5107768311559071</v>
      </c>
      <c r="N16" s="39">
        <f>'Degree-days'!$C$12*IF($E16=$E$5,(N$5),(N$6))</f>
        <v>0</v>
      </c>
      <c r="O16" s="39">
        <f>'Degree-days'!$C$12*IF($E16=$E$5,(O$5),(O$6))</f>
        <v>0</v>
      </c>
      <c r="P16" s="39">
        <f>'Degree-days'!$C$12*IF($E16=$E$5,(P$5),(P$6))</f>
        <v>0</v>
      </c>
      <c r="Q16" s="39">
        <f>'Degree-days'!$C$12*IF($E16=$E$5,(Q$5),(Q$6))</f>
        <v>0</v>
      </c>
      <c r="R16" s="39">
        <f>'Degree-days'!$C$12*IF($E16=$E$5,(R$5),(R$6))</f>
        <v>0</v>
      </c>
      <c r="S16" s="39">
        <f>'Degree-days'!$C$12*IF($E16=$E$5,(S$5),(S$6))</f>
        <v>0</v>
      </c>
      <c r="T16" s="39">
        <f>'Degree-days'!$C$12*IF($E16=$E$5,(T$5),(T$6))</f>
        <v>0</v>
      </c>
      <c r="U16" s="39">
        <f>'Degree-days'!$C$12*IF($E16=$E$5,(U$5),(U$6))</f>
        <v>3.5107768311559071</v>
      </c>
      <c r="V16" s="39">
        <f>'Degree-days'!$C$12*IF($E16=$E$5,(V$5),(V$6))</f>
        <v>3.5107768311559071</v>
      </c>
      <c r="W16" s="39">
        <f>'Degree-days'!$C$12*IF($E16=$E$5,(W$5),(W$6))</f>
        <v>3.5107768311559071</v>
      </c>
      <c r="X16" s="39">
        <f>'Degree-days'!$C$12*IF($E16=$E$5,(X$5),(X$6))</f>
        <v>3.5107768311559071</v>
      </c>
      <c r="Y16" s="39">
        <f>'Degree-days'!$C$12*IF($E16=$E$5,(Y$5),(Y$6))</f>
        <v>3.5107768311559071</v>
      </c>
      <c r="Z16" s="39">
        <f>'Degree-days'!$C$12*IF($E16=$E$5,(Z$5),(Z$6))</f>
        <v>3.5107768311559071</v>
      </c>
      <c r="AA16" s="39">
        <f>'Degree-days'!$C$12*IF($E16=$E$5,(AA$5),(AA$6))</f>
        <v>3.5107768311559071</v>
      </c>
      <c r="AB16" s="39">
        <f>'Degree-days'!$C$12*IF($E16=$E$5,(AB$5),(AB$6))</f>
        <v>0</v>
      </c>
      <c r="AC16" s="39">
        <f>'Degree-days'!$C$12*IF($E16=$E$5,(AC$5),(AC$6))</f>
        <v>0</v>
      </c>
      <c r="AD16" s="39">
        <f t="shared" si="1"/>
        <v>31.596991480403169</v>
      </c>
      <c r="AF16" s="17"/>
    </row>
    <row r="17" spans="4:32" x14ac:dyDescent="0.2">
      <c r="D17" s="37">
        <v>44936</v>
      </c>
      <c r="E17" s="17" t="str">
        <f t="shared" si="0"/>
        <v>weekday</v>
      </c>
      <c r="F17" s="39">
        <f>'Degree-days'!$C$12*IF($E17=$E$5,(F$5),(F$6))</f>
        <v>0</v>
      </c>
      <c r="G17" s="39">
        <f>'Degree-days'!$C$12*IF($E17=$E$5,(G$5),(G$6))</f>
        <v>0</v>
      </c>
      <c r="H17" s="39">
        <f>'Degree-days'!$C$12*IF($E17=$E$5,(H$5),(H$6))</f>
        <v>0</v>
      </c>
      <c r="I17" s="39">
        <f>'Degree-days'!$C$12*IF($E17=$E$5,(I$5),(I$6))</f>
        <v>0</v>
      </c>
      <c r="J17" s="39">
        <f>'Degree-days'!$C$12*IF($E17=$E$5,(J$5),(J$6))</f>
        <v>0</v>
      </c>
      <c r="K17" s="39">
        <f>'Degree-days'!$C$12*IF($E17=$E$5,(K$5),(K$6))</f>
        <v>0</v>
      </c>
      <c r="L17" s="39">
        <f>'Degree-days'!$C$12*IF($E17=$E$5,(L$5),(L$6))</f>
        <v>3.5107768311559071</v>
      </c>
      <c r="M17" s="39">
        <f>'Degree-days'!$C$12*IF($E17=$E$5,(M$5),(M$6))</f>
        <v>3.5107768311559071</v>
      </c>
      <c r="N17" s="39">
        <f>'Degree-days'!$C$12*IF($E17=$E$5,(N$5),(N$6))</f>
        <v>0</v>
      </c>
      <c r="O17" s="39">
        <f>'Degree-days'!$C$12*IF($E17=$E$5,(O$5),(O$6))</f>
        <v>0</v>
      </c>
      <c r="P17" s="39">
        <f>'Degree-days'!$C$12*IF($E17=$E$5,(P$5),(P$6))</f>
        <v>0</v>
      </c>
      <c r="Q17" s="39">
        <f>'Degree-days'!$C$12*IF($E17=$E$5,(Q$5),(Q$6))</f>
        <v>0</v>
      </c>
      <c r="R17" s="39">
        <f>'Degree-days'!$C$12*IF($E17=$E$5,(R$5),(R$6))</f>
        <v>0</v>
      </c>
      <c r="S17" s="39">
        <f>'Degree-days'!$C$12*IF($E17=$E$5,(S$5),(S$6))</f>
        <v>0</v>
      </c>
      <c r="T17" s="39">
        <f>'Degree-days'!$C$12*IF($E17=$E$5,(T$5),(T$6))</f>
        <v>0</v>
      </c>
      <c r="U17" s="39">
        <f>'Degree-days'!$C$12*IF($E17=$E$5,(U$5),(U$6))</f>
        <v>3.5107768311559071</v>
      </c>
      <c r="V17" s="39">
        <f>'Degree-days'!$C$12*IF($E17=$E$5,(V$5),(V$6))</f>
        <v>3.5107768311559071</v>
      </c>
      <c r="W17" s="39">
        <f>'Degree-days'!$C$12*IF($E17=$E$5,(W$5),(W$6))</f>
        <v>3.5107768311559071</v>
      </c>
      <c r="X17" s="39">
        <f>'Degree-days'!$C$12*IF($E17=$E$5,(X$5),(X$6))</f>
        <v>3.5107768311559071</v>
      </c>
      <c r="Y17" s="39">
        <f>'Degree-days'!$C$12*IF($E17=$E$5,(Y$5),(Y$6))</f>
        <v>3.5107768311559071</v>
      </c>
      <c r="Z17" s="39">
        <f>'Degree-days'!$C$12*IF($E17=$E$5,(Z$5),(Z$6))</f>
        <v>3.5107768311559071</v>
      </c>
      <c r="AA17" s="39">
        <f>'Degree-days'!$C$12*IF($E17=$E$5,(AA$5),(AA$6))</f>
        <v>3.5107768311559071</v>
      </c>
      <c r="AB17" s="39">
        <f>'Degree-days'!$C$12*IF($E17=$E$5,(AB$5),(AB$6))</f>
        <v>0</v>
      </c>
      <c r="AC17" s="39">
        <f>'Degree-days'!$C$12*IF($E17=$E$5,(AC$5),(AC$6))</f>
        <v>0</v>
      </c>
      <c r="AD17" s="39">
        <f t="shared" si="1"/>
        <v>31.596991480403169</v>
      </c>
      <c r="AF17" s="17"/>
    </row>
    <row r="18" spans="4:32" x14ac:dyDescent="0.2">
      <c r="D18" s="37">
        <v>44937</v>
      </c>
      <c r="E18" s="17" t="str">
        <f t="shared" si="0"/>
        <v>weekday</v>
      </c>
      <c r="F18" s="39">
        <f>'Degree-days'!$C$12*IF($E18=$E$5,(F$5),(F$6))</f>
        <v>0</v>
      </c>
      <c r="G18" s="39">
        <f>'Degree-days'!$C$12*IF($E18=$E$5,(G$5),(G$6))</f>
        <v>0</v>
      </c>
      <c r="H18" s="39">
        <f>'Degree-days'!$C$12*IF($E18=$E$5,(H$5),(H$6))</f>
        <v>0</v>
      </c>
      <c r="I18" s="39">
        <f>'Degree-days'!$C$12*IF($E18=$E$5,(I$5),(I$6))</f>
        <v>0</v>
      </c>
      <c r="J18" s="39">
        <f>'Degree-days'!$C$12*IF($E18=$E$5,(J$5),(J$6))</f>
        <v>0</v>
      </c>
      <c r="K18" s="39">
        <f>'Degree-days'!$C$12*IF($E18=$E$5,(K$5),(K$6))</f>
        <v>0</v>
      </c>
      <c r="L18" s="39">
        <f>'Degree-days'!$C$12*IF($E18=$E$5,(L$5),(L$6))</f>
        <v>3.5107768311559071</v>
      </c>
      <c r="M18" s="39">
        <f>'Degree-days'!$C$12*IF($E18=$E$5,(M$5),(M$6))</f>
        <v>3.5107768311559071</v>
      </c>
      <c r="N18" s="39">
        <f>'Degree-days'!$C$12*IF($E18=$E$5,(N$5),(N$6))</f>
        <v>0</v>
      </c>
      <c r="O18" s="39">
        <f>'Degree-days'!$C$12*IF($E18=$E$5,(O$5),(O$6))</f>
        <v>0</v>
      </c>
      <c r="P18" s="39">
        <f>'Degree-days'!$C$12*IF($E18=$E$5,(P$5),(P$6))</f>
        <v>0</v>
      </c>
      <c r="Q18" s="39">
        <f>'Degree-days'!$C$12*IF($E18=$E$5,(Q$5),(Q$6))</f>
        <v>0</v>
      </c>
      <c r="R18" s="39">
        <f>'Degree-days'!$C$12*IF($E18=$E$5,(R$5),(R$6))</f>
        <v>0</v>
      </c>
      <c r="S18" s="39">
        <f>'Degree-days'!$C$12*IF($E18=$E$5,(S$5),(S$6))</f>
        <v>0</v>
      </c>
      <c r="T18" s="39">
        <f>'Degree-days'!$C$12*IF($E18=$E$5,(T$5),(T$6))</f>
        <v>0</v>
      </c>
      <c r="U18" s="39">
        <f>'Degree-days'!$C$12*IF($E18=$E$5,(U$5),(U$6))</f>
        <v>3.5107768311559071</v>
      </c>
      <c r="V18" s="39">
        <f>'Degree-days'!$C$12*IF($E18=$E$5,(V$5),(V$6))</f>
        <v>3.5107768311559071</v>
      </c>
      <c r="W18" s="39">
        <f>'Degree-days'!$C$12*IF($E18=$E$5,(W$5),(W$6))</f>
        <v>3.5107768311559071</v>
      </c>
      <c r="X18" s="39">
        <f>'Degree-days'!$C$12*IF($E18=$E$5,(X$5),(X$6))</f>
        <v>3.5107768311559071</v>
      </c>
      <c r="Y18" s="39">
        <f>'Degree-days'!$C$12*IF($E18=$E$5,(Y$5),(Y$6))</f>
        <v>3.5107768311559071</v>
      </c>
      <c r="Z18" s="39">
        <f>'Degree-days'!$C$12*IF($E18=$E$5,(Z$5),(Z$6))</f>
        <v>3.5107768311559071</v>
      </c>
      <c r="AA18" s="39">
        <f>'Degree-days'!$C$12*IF($E18=$E$5,(AA$5),(AA$6))</f>
        <v>3.5107768311559071</v>
      </c>
      <c r="AB18" s="39">
        <f>'Degree-days'!$C$12*IF($E18=$E$5,(AB$5),(AB$6))</f>
        <v>0</v>
      </c>
      <c r="AC18" s="39">
        <f>'Degree-days'!$C$12*IF($E18=$E$5,(AC$5),(AC$6))</f>
        <v>0</v>
      </c>
      <c r="AD18" s="39">
        <f t="shared" si="1"/>
        <v>31.596991480403169</v>
      </c>
      <c r="AF18" s="17"/>
    </row>
    <row r="19" spans="4:32" x14ac:dyDescent="0.2">
      <c r="D19" s="37">
        <v>44938</v>
      </c>
      <c r="E19" s="17" t="str">
        <f t="shared" si="0"/>
        <v>weekday</v>
      </c>
      <c r="F19" s="39">
        <f>'Degree-days'!$C$12*IF($E19=$E$5,(F$5),(F$6))</f>
        <v>0</v>
      </c>
      <c r="G19" s="39">
        <f>'Degree-days'!$C$12*IF($E19=$E$5,(G$5),(G$6))</f>
        <v>0</v>
      </c>
      <c r="H19" s="39">
        <f>'Degree-days'!$C$12*IF($E19=$E$5,(H$5),(H$6))</f>
        <v>0</v>
      </c>
      <c r="I19" s="39">
        <f>'Degree-days'!$C$12*IF($E19=$E$5,(I$5),(I$6))</f>
        <v>0</v>
      </c>
      <c r="J19" s="39">
        <f>'Degree-days'!$C$12*IF($E19=$E$5,(J$5),(J$6))</f>
        <v>0</v>
      </c>
      <c r="K19" s="39">
        <f>'Degree-days'!$C$12*IF($E19=$E$5,(K$5),(K$6))</f>
        <v>0</v>
      </c>
      <c r="L19" s="39">
        <f>'Degree-days'!$C$12*IF($E19=$E$5,(L$5),(L$6))</f>
        <v>3.5107768311559071</v>
      </c>
      <c r="M19" s="39">
        <f>'Degree-days'!$C$12*IF($E19=$E$5,(M$5),(M$6))</f>
        <v>3.5107768311559071</v>
      </c>
      <c r="N19" s="39">
        <f>'Degree-days'!$C$12*IF($E19=$E$5,(N$5),(N$6))</f>
        <v>0</v>
      </c>
      <c r="O19" s="39">
        <f>'Degree-days'!$C$12*IF($E19=$E$5,(O$5),(O$6))</f>
        <v>0</v>
      </c>
      <c r="P19" s="39">
        <f>'Degree-days'!$C$12*IF($E19=$E$5,(P$5),(P$6))</f>
        <v>0</v>
      </c>
      <c r="Q19" s="39">
        <f>'Degree-days'!$C$12*IF($E19=$E$5,(Q$5),(Q$6))</f>
        <v>0</v>
      </c>
      <c r="R19" s="39">
        <f>'Degree-days'!$C$12*IF($E19=$E$5,(R$5),(R$6))</f>
        <v>0</v>
      </c>
      <c r="S19" s="39">
        <f>'Degree-days'!$C$12*IF($E19=$E$5,(S$5),(S$6))</f>
        <v>0</v>
      </c>
      <c r="T19" s="39">
        <f>'Degree-days'!$C$12*IF($E19=$E$5,(T$5),(T$6))</f>
        <v>0</v>
      </c>
      <c r="U19" s="39">
        <f>'Degree-days'!$C$12*IF($E19=$E$5,(U$5),(U$6))</f>
        <v>3.5107768311559071</v>
      </c>
      <c r="V19" s="39">
        <f>'Degree-days'!$C$12*IF($E19=$E$5,(V$5),(V$6))</f>
        <v>3.5107768311559071</v>
      </c>
      <c r="W19" s="39">
        <f>'Degree-days'!$C$12*IF($E19=$E$5,(W$5),(W$6))</f>
        <v>3.5107768311559071</v>
      </c>
      <c r="X19" s="39">
        <f>'Degree-days'!$C$12*IF($E19=$E$5,(X$5),(X$6))</f>
        <v>3.5107768311559071</v>
      </c>
      <c r="Y19" s="39">
        <f>'Degree-days'!$C$12*IF($E19=$E$5,(Y$5),(Y$6))</f>
        <v>3.5107768311559071</v>
      </c>
      <c r="Z19" s="39">
        <f>'Degree-days'!$C$12*IF($E19=$E$5,(Z$5),(Z$6))</f>
        <v>3.5107768311559071</v>
      </c>
      <c r="AA19" s="39">
        <f>'Degree-days'!$C$12*IF($E19=$E$5,(AA$5),(AA$6))</f>
        <v>3.5107768311559071</v>
      </c>
      <c r="AB19" s="39">
        <f>'Degree-days'!$C$12*IF($E19=$E$5,(AB$5),(AB$6))</f>
        <v>0</v>
      </c>
      <c r="AC19" s="39">
        <f>'Degree-days'!$C$12*IF($E19=$E$5,(AC$5),(AC$6))</f>
        <v>0</v>
      </c>
      <c r="AD19" s="39">
        <f t="shared" si="1"/>
        <v>31.596991480403169</v>
      </c>
      <c r="AF19" s="17"/>
    </row>
    <row r="20" spans="4:32" x14ac:dyDescent="0.2">
      <c r="D20" s="37">
        <v>44939</v>
      </c>
      <c r="E20" s="17" t="str">
        <f t="shared" si="0"/>
        <v>weekday</v>
      </c>
      <c r="F20" s="39">
        <f>'Degree-days'!$C$12*IF($E20=$E$5,(F$5),(F$6))</f>
        <v>0</v>
      </c>
      <c r="G20" s="39">
        <f>'Degree-days'!$C$12*IF($E20=$E$5,(G$5),(G$6))</f>
        <v>0</v>
      </c>
      <c r="H20" s="39">
        <f>'Degree-days'!$C$12*IF($E20=$E$5,(H$5),(H$6))</f>
        <v>0</v>
      </c>
      <c r="I20" s="39">
        <f>'Degree-days'!$C$12*IF($E20=$E$5,(I$5),(I$6))</f>
        <v>0</v>
      </c>
      <c r="J20" s="39">
        <f>'Degree-days'!$C$12*IF($E20=$E$5,(J$5),(J$6))</f>
        <v>0</v>
      </c>
      <c r="K20" s="39">
        <f>'Degree-days'!$C$12*IF($E20=$E$5,(K$5),(K$6))</f>
        <v>0</v>
      </c>
      <c r="L20" s="39">
        <f>'Degree-days'!$C$12*IF($E20=$E$5,(L$5),(L$6))</f>
        <v>3.5107768311559071</v>
      </c>
      <c r="M20" s="39">
        <f>'Degree-days'!$C$12*IF($E20=$E$5,(M$5),(M$6))</f>
        <v>3.5107768311559071</v>
      </c>
      <c r="N20" s="39">
        <f>'Degree-days'!$C$12*IF($E20=$E$5,(N$5),(N$6))</f>
        <v>0</v>
      </c>
      <c r="O20" s="39">
        <f>'Degree-days'!$C$12*IF($E20=$E$5,(O$5),(O$6))</f>
        <v>0</v>
      </c>
      <c r="P20" s="39">
        <f>'Degree-days'!$C$12*IF($E20=$E$5,(P$5),(P$6))</f>
        <v>0</v>
      </c>
      <c r="Q20" s="39">
        <f>'Degree-days'!$C$12*IF($E20=$E$5,(Q$5),(Q$6))</f>
        <v>0</v>
      </c>
      <c r="R20" s="39">
        <f>'Degree-days'!$C$12*IF($E20=$E$5,(R$5),(R$6))</f>
        <v>0</v>
      </c>
      <c r="S20" s="39">
        <f>'Degree-days'!$C$12*IF($E20=$E$5,(S$5),(S$6))</f>
        <v>0</v>
      </c>
      <c r="T20" s="39">
        <f>'Degree-days'!$C$12*IF($E20=$E$5,(T$5),(T$6))</f>
        <v>0</v>
      </c>
      <c r="U20" s="39">
        <f>'Degree-days'!$C$12*IF($E20=$E$5,(U$5),(U$6))</f>
        <v>3.5107768311559071</v>
      </c>
      <c r="V20" s="39">
        <f>'Degree-days'!$C$12*IF($E20=$E$5,(V$5),(V$6))</f>
        <v>3.5107768311559071</v>
      </c>
      <c r="W20" s="39">
        <f>'Degree-days'!$C$12*IF($E20=$E$5,(W$5),(W$6))</f>
        <v>3.5107768311559071</v>
      </c>
      <c r="X20" s="39">
        <f>'Degree-days'!$C$12*IF($E20=$E$5,(X$5),(X$6))</f>
        <v>3.5107768311559071</v>
      </c>
      <c r="Y20" s="39">
        <f>'Degree-days'!$C$12*IF($E20=$E$5,(Y$5),(Y$6))</f>
        <v>3.5107768311559071</v>
      </c>
      <c r="Z20" s="39">
        <f>'Degree-days'!$C$12*IF($E20=$E$5,(Z$5),(Z$6))</f>
        <v>3.5107768311559071</v>
      </c>
      <c r="AA20" s="39">
        <f>'Degree-days'!$C$12*IF($E20=$E$5,(AA$5),(AA$6))</f>
        <v>3.5107768311559071</v>
      </c>
      <c r="AB20" s="39">
        <f>'Degree-days'!$C$12*IF($E20=$E$5,(AB$5),(AB$6))</f>
        <v>0</v>
      </c>
      <c r="AC20" s="39">
        <f>'Degree-days'!$C$12*IF($E20=$E$5,(AC$5),(AC$6))</f>
        <v>0</v>
      </c>
      <c r="AD20" s="39">
        <f t="shared" si="1"/>
        <v>31.596991480403169</v>
      </c>
      <c r="AE20" s="29"/>
    </row>
    <row r="21" spans="4:32" x14ac:dyDescent="0.2">
      <c r="D21" s="37">
        <v>44940</v>
      </c>
      <c r="E21" s="17" t="str">
        <f t="shared" si="0"/>
        <v>weekend</v>
      </c>
      <c r="F21" s="39">
        <f>'Degree-days'!$C$12*IF($E21=$E$5,(F$5),(F$6))</f>
        <v>0</v>
      </c>
      <c r="G21" s="39">
        <f>'Degree-days'!$C$12*IF($E21=$E$5,(G$5),(G$6))</f>
        <v>0</v>
      </c>
      <c r="H21" s="39">
        <f>'Degree-days'!$C$12*IF($E21=$E$5,(H$5),(H$6))</f>
        <v>0</v>
      </c>
      <c r="I21" s="39">
        <f>'Degree-days'!$C$12*IF($E21=$E$5,(I$5),(I$6))</f>
        <v>0</v>
      </c>
      <c r="J21" s="39">
        <f>'Degree-days'!$C$12*IF($E21=$E$5,(J$5),(J$6))</f>
        <v>0</v>
      </c>
      <c r="K21" s="39">
        <f>'Degree-days'!$C$12*IF($E21=$E$5,(K$5),(K$6))</f>
        <v>0</v>
      </c>
      <c r="L21" s="39">
        <f>'Degree-days'!$C$12*IF($E21=$E$5,(L$5),(L$6))</f>
        <v>3.5107768311559071</v>
      </c>
      <c r="M21" s="39">
        <f>'Degree-days'!$C$12*IF($E21=$E$5,(M$5),(M$6))</f>
        <v>3.5107768311559071</v>
      </c>
      <c r="N21" s="39">
        <f>'Degree-days'!$C$12*IF($E21=$E$5,(N$5),(N$6))</f>
        <v>3.5107768311559071</v>
      </c>
      <c r="O21" s="39">
        <f>'Degree-days'!$C$12*IF($E21=$E$5,(O$5),(O$6))</f>
        <v>3.5107768311559071</v>
      </c>
      <c r="P21" s="39">
        <f>'Degree-days'!$C$12*IF($E21=$E$5,(P$5),(P$6))</f>
        <v>3.5107768311559071</v>
      </c>
      <c r="Q21" s="39">
        <f>'Degree-days'!$C$12*IF($E21=$E$5,(Q$5),(Q$6))</f>
        <v>3.5107768311559071</v>
      </c>
      <c r="R21" s="39">
        <f>'Degree-days'!$C$12*IF($E21=$E$5,(R$5),(R$6))</f>
        <v>3.5107768311559071</v>
      </c>
      <c r="S21" s="39">
        <f>'Degree-days'!$C$12*IF($E21=$E$5,(S$5),(S$6))</f>
        <v>3.5107768311559071</v>
      </c>
      <c r="T21" s="39">
        <f>'Degree-days'!$C$12*IF($E21=$E$5,(T$5),(T$6))</f>
        <v>3.5107768311559071</v>
      </c>
      <c r="U21" s="39">
        <f>'Degree-days'!$C$12*IF($E21=$E$5,(U$5),(U$6))</f>
        <v>3.5107768311559071</v>
      </c>
      <c r="V21" s="39">
        <f>'Degree-days'!$C$12*IF($E21=$E$5,(V$5),(V$6))</f>
        <v>3.5107768311559071</v>
      </c>
      <c r="W21" s="39">
        <f>'Degree-days'!$C$12*IF($E21=$E$5,(W$5),(W$6))</f>
        <v>3.5107768311559071</v>
      </c>
      <c r="X21" s="39">
        <f>'Degree-days'!$C$12*IF($E21=$E$5,(X$5),(X$6))</f>
        <v>3.5107768311559071</v>
      </c>
      <c r="Y21" s="39">
        <f>'Degree-days'!$C$12*IF($E21=$E$5,(Y$5),(Y$6))</f>
        <v>3.5107768311559071</v>
      </c>
      <c r="Z21" s="39">
        <f>'Degree-days'!$C$12*IF($E21=$E$5,(Z$5),(Z$6))</f>
        <v>3.5107768311559071</v>
      </c>
      <c r="AA21" s="39">
        <f>'Degree-days'!$C$12*IF($E21=$E$5,(AA$5),(AA$6))</f>
        <v>3.5107768311559071</v>
      </c>
      <c r="AB21" s="39">
        <f>'Degree-days'!$C$12*IF($E21=$E$5,(AB$5),(AB$6))</f>
        <v>0</v>
      </c>
      <c r="AC21" s="39">
        <f>'Degree-days'!$C$12*IF($E21=$E$5,(AC$5),(AC$6))</f>
        <v>0</v>
      </c>
      <c r="AD21" s="39">
        <f t="shared" si="1"/>
        <v>56.172429298494528</v>
      </c>
      <c r="AE21" s="29"/>
    </row>
    <row r="22" spans="4:32" x14ac:dyDescent="0.2">
      <c r="D22" s="37">
        <v>44941</v>
      </c>
      <c r="E22" s="17" t="str">
        <f t="shared" si="0"/>
        <v>weekend</v>
      </c>
      <c r="F22" s="39">
        <f>'Degree-days'!$C$12*IF($E22=$E$5,(F$5),(F$6))</f>
        <v>0</v>
      </c>
      <c r="G22" s="39">
        <f>'Degree-days'!$C$12*IF($E22=$E$5,(G$5),(G$6))</f>
        <v>0</v>
      </c>
      <c r="H22" s="39">
        <f>'Degree-days'!$C$12*IF($E22=$E$5,(H$5),(H$6))</f>
        <v>0</v>
      </c>
      <c r="I22" s="39">
        <f>'Degree-days'!$C$12*IF($E22=$E$5,(I$5),(I$6))</f>
        <v>0</v>
      </c>
      <c r="J22" s="39">
        <f>'Degree-days'!$C$12*IF($E22=$E$5,(J$5),(J$6))</f>
        <v>0</v>
      </c>
      <c r="K22" s="39">
        <f>'Degree-days'!$C$12*IF($E22=$E$5,(K$5),(K$6))</f>
        <v>0</v>
      </c>
      <c r="L22" s="39">
        <f>'Degree-days'!$C$12*IF($E22=$E$5,(L$5),(L$6))</f>
        <v>3.5107768311559071</v>
      </c>
      <c r="M22" s="39">
        <f>'Degree-days'!$C$12*IF($E22=$E$5,(M$5),(M$6))</f>
        <v>3.5107768311559071</v>
      </c>
      <c r="N22" s="39">
        <f>'Degree-days'!$C$12*IF($E22=$E$5,(N$5),(N$6))</f>
        <v>3.5107768311559071</v>
      </c>
      <c r="O22" s="39">
        <f>'Degree-days'!$C$12*IF($E22=$E$5,(O$5),(O$6))</f>
        <v>3.5107768311559071</v>
      </c>
      <c r="P22" s="39">
        <f>'Degree-days'!$C$12*IF($E22=$E$5,(P$5),(P$6))</f>
        <v>3.5107768311559071</v>
      </c>
      <c r="Q22" s="39">
        <f>'Degree-days'!$C$12*IF($E22=$E$5,(Q$5),(Q$6))</f>
        <v>3.5107768311559071</v>
      </c>
      <c r="R22" s="39">
        <f>'Degree-days'!$C$12*IF($E22=$E$5,(R$5),(R$6))</f>
        <v>3.5107768311559071</v>
      </c>
      <c r="S22" s="39">
        <f>'Degree-days'!$C$12*IF($E22=$E$5,(S$5),(S$6))</f>
        <v>3.5107768311559071</v>
      </c>
      <c r="T22" s="39">
        <f>'Degree-days'!$C$12*IF($E22=$E$5,(T$5),(T$6))</f>
        <v>3.5107768311559071</v>
      </c>
      <c r="U22" s="39">
        <f>'Degree-days'!$C$12*IF($E22=$E$5,(U$5),(U$6))</f>
        <v>3.5107768311559071</v>
      </c>
      <c r="V22" s="39">
        <f>'Degree-days'!$C$12*IF($E22=$E$5,(V$5),(V$6))</f>
        <v>3.5107768311559071</v>
      </c>
      <c r="W22" s="39">
        <f>'Degree-days'!$C$12*IF($E22=$E$5,(W$5),(W$6))</f>
        <v>3.5107768311559071</v>
      </c>
      <c r="X22" s="39">
        <f>'Degree-days'!$C$12*IF($E22=$E$5,(X$5),(X$6))</f>
        <v>3.5107768311559071</v>
      </c>
      <c r="Y22" s="39">
        <f>'Degree-days'!$C$12*IF($E22=$E$5,(Y$5),(Y$6))</f>
        <v>3.5107768311559071</v>
      </c>
      <c r="Z22" s="39">
        <f>'Degree-days'!$C$12*IF($E22=$E$5,(Z$5),(Z$6))</f>
        <v>3.5107768311559071</v>
      </c>
      <c r="AA22" s="39">
        <f>'Degree-days'!$C$12*IF($E22=$E$5,(AA$5),(AA$6))</f>
        <v>3.5107768311559071</v>
      </c>
      <c r="AB22" s="39">
        <f>'Degree-days'!$C$12*IF($E22=$E$5,(AB$5),(AB$6))</f>
        <v>0</v>
      </c>
      <c r="AC22" s="39">
        <f>'Degree-days'!$C$12*IF($E22=$E$5,(AC$5),(AC$6))</f>
        <v>0</v>
      </c>
      <c r="AD22" s="39">
        <f t="shared" si="1"/>
        <v>56.172429298494528</v>
      </c>
      <c r="AE22" s="29"/>
    </row>
    <row r="23" spans="4:32" x14ac:dyDescent="0.2">
      <c r="D23" s="37">
        <v>44942</v>
      </c>
      <c r="E23" s="17" t="str">
        <f t="shared" si="0"/>
        <v>weekday</v>
      </c>
      <c r="F23" s="39">
        <f>'Degree-days'!$C$12*IF($E23=$E$5,(F$5),(F$6))</f>
        <v>0</v>
      </c>
      <c r="G23" s="39">
        <f>'Degree-days'!$C$12*IF($E23=$E$5,(G$5),(G$6))</f>
        <v>0</v>
      </c>
      <c r="H23" s="39">
        <f>'Degree-days'!$C$12*IF($E23=$E$5,(H$5),(H$6))</f>
        <v>0</v>
      </c>
      <c r="I23" s="39">
        <f>'Degree-days'!$C$12*IF($E23=$E$5,(I$5),(I$6))</f>
        <v>0</v>
      </c>
      <c r="J23" s="39">
        <f>'Degree-days'!$C$12*IF($E23=$E$5,(J$5),(J$6))</f>
        <v>0</v>
      </c>
      <c r="K23" s="39">
        <f>'Degree-days'!$C$12*IF($E23=$E$5,(K$5),(K$6))</f>
        <v>0</v>
      </c>
      <c r="L23" s="39">
        <f>'Degree-days'!$C$12*IF($E23=$E$5,(L$5),(L$6))</f>
        <v>3.5107768311559071</v>
      </c>
      <c r="M23" s="39">
        <f>'Degree-days'!$C$12*IF($E23=$E$5,(M$5),(M$6))</f>
        <v>3.5107768311559071</v>
      </c>
      <c r="N23" s="39">
        <f>'Degree-days'!$C$12*IF($E23=$E$5,(N$5),(N$6))</f>
        <v>0</v>
      </c>
      <c r="O23" s="39">
        <f>'Degree-days'!$C$12*IF($E23=$E$5,(O$5),(O$6))</f>
        <v>0</v>
      </c>
      <c r="P23" s="39">
        <f>'Degree-days'!$C$12*IF($E23=$E$5,(P$5),(P$6))</f>
        <v>0</v>
      </c>
      <c r="Q23" s="39">
        <f>'Degree-days'!$C$12*IF($E23=$E$5,(Q$5),(Q$6))</f>
        <v>0</v>
      </c>
      <c r="R23" s="39">
        <f>'Degree-days'!$C$12*IF($E23=$E$5,(R$5),(R$6))</f>
        <v>0</v>
      </c>
      <c r="S23" s="39">
        <f>'Degree-days'!$C$12*IF($E23=$E$5,(S$5),(S$6))</f>
        <v>0</v>
      </c>
      <c r="T23" s="39">
        <f>'Degree-days'!$C$12*IF($E23=$E$5,(T$5),(T$6))</f>
        <v>0</v>
      </c>
      <c r="U23" s="39">
        <f>'Degree-days'!$C$12*IF($E23=$E$5,(U$5),(U$6))</f>
        <v>3.5107768311559071</v>
      </c>
      <c r="V23" s="39">
        <f>'Degree-days'!$C$12*IF($E23=$E$5,(V$5),(V$6))</f>
        <v>3.5107768311559071</v>
      </c>
      <c r="W23" s="39">
        <f>'Degree-days'!$C$12*IF($E23=$E$5,(W$5),(W$6))</f>
        <v>3.5107768311559071</v>
      </c>
      <c r="X23" s="39">
        <f>'Degree-days'!$C$12*IF($E23=$E$5,(X$5),(X$6))</f>
        <v>3.5107768311559071</v>
      </c>
      <c r="Y23" s="39">
        <f>'Degree-days'!$C$12*IF($E23=$E$5,(Y$5),(Y$6))</f>
        <v>3.5107768311559071</v>
      </c>
      <c r="Z23" s="39">
        <f>'Degree-days'!$C$12*IF($E23=$E$5,(Z$5),(Z$6))</f>
        <v>3.5107768311559071</v>
      </c>
      <c r="AA23" s="39">
        <f>'Degree-days'!$C$12*IF($E23=$E$5,(AA$5),(AA$6))</f>
        <v>3.5107768311559071</v>
      </c>
      <c r="AB23" s="39">
        <f>'Degree-days'!$C$12*IF($E23=$E$5,(AB$5),(AB$6))</f>
        <v>0</v>
      </c>
      <c r="AC23" s="39">
        <f>'Degree-days'!$C$12*IF($E23=$E$5,(AC$5),(AC$6))</f>
        <v>0</v>
      </c>
      <c r="AD23" s="39">
        <f t="shared" si="1"/>
        <v>31.596991480403169</v>
      </c>
    </row>
    <row r="24" spans="4:32" x14ac:dyDescent="0.2">
      <c r="D24" s="37">
        <v>44943</v>
      </c>
      <c r="E24" s="17" t="str">
        <f t="shared" si="0"/>
        <v>weekday</v>
      </c>
      <c r="F24" s="39">
        <f>'Degree-days'!$C$12*IF($E24=$E$5,(F$5),(F$6))</f>
        <v>0</v>
      </c>
      <c r="G24" s="39">
        <f>'Degree-days'!$C$12*IF($E24=$E$5,(G$5),(G$6))</f>
        <v>0</v>
      </c>
      <c r="H24" s="39">
        <f>'Degree-days'!$C$12*IF($E24=$E$5,(H$5),(H$6))</f>
        <v>0</v>
      </c>
      <c r="I24" s="39">
        <f>'Degree-days'!$C$12*IF($E24=$E$5,(I$5),(I$6))</f>
        <v>0</v>
      </c>
      <c r="J24" s="39">
        <f>'Degree-days'!$C$12*IF($E24=$E$5,(J$5),(J$6))</f>
        <v>0</v>
      </c>
      <c r="K24" s="39">
        <f>'Degree-days'!$C$12*IF($E24=$E$5,(K$5),(K$6))</f>
        <v>0</v>
      </c>
      <c r="L24" s="39">
        <f>'Degree-days'!$C$12*IF($E24=$E$5,(L$5),(L$6))</f>
        <v>3.5107768311559071</v>
      </c>
      <c r="M24" s="39">
        <f>'Degree-days'!$C$12*IF($E24=$E$5,(M$5),(M$6))</f>
        <v>3.5107768311559071</v>
      </c>
      <c r="N24" s="39">
        <f>'Degree-days'!$C$12*IF($E24=$E$5,(N$5),(N$6))</f>
        <v>0</v>
      </c>
      <c r="O24" s="39">
        <f>'Degree-days'!$C$12*IF($E24=$E$5,(O$5),(O$6))</f>
        <v>0</v>
      </c>
      <c r="P24" s="39">
        <f>'Degree-days'!$C$12*IF($E24=$E$5,(P$5),(P$6))</f>
        <v>0</v>
      </c>
      <c r="Q24" s="39">
        <f>'Degree-days'!$C$12*IF($E24=$E$5,(Q$5),(Q$6))</f>
        <v>0</v>
      </c>
      <c r="R24" s="39">
        <f>'Degree-days'!$C$12*IF($E24=$E$5,(R$5),(R$6))</f>
        <v>0</v>
      </c>
      <c r="S24" s="39">
        <f>'Degree-days'!$C$12*IF($E24=$E$5,(S$5),(S$6))</f>
        <v>0</v>
      </c>
      <c r="T24" s="39">
        <f>'Degree-days'!$C$12*IF($E24=$E$5,(T$5),(T$6))</f>
        <v>0</v>
      </c>
      <c r="U24" s="39">
        <f>'Degree-days'!$C$12*IF($E24=$E$5,(U$5),(U$6))</f>
        <v>3.5107768311559071</v>
      </c>
      <c r="V24" s="39">
        <f>'Degree-days'!$C$12*IF($E24=$E$5,(V$5),(V$6))</f>
        <v>3.5107768311559071</v>
      </c>
      <c r="W24" s="39">
        <f>'Degree-days'!$C$12*IF($E24=$E$5,(W$5),(W$6))</f>
        <v>3.5107768311559071</v>
      </c>
      <c r="X24" s="39">
        <f>'Degree-days'!$C$12*IF($E24=$E$5,(X$5),(X$6))</f>
        <v>3.5107768311559071</v>
      </c>
      <c r="Y24" s="39">
        <f>'Degree-days'!$C$12*IF($E24=$E$5,(Y$5),(Y$6))</f>
        <v>3.5107768311559071</v>
      </c>
      <c r="Z24" s="39">
        <f>'Degree-days'!$C$12*IF($E24=$E$5,(Z$5),(Z$6))</f>
        <v>3.5107768311559071</v>
      </c>
      <c r="AA24" s="39">
        <f>'Degree-days'!$C$12*IF($E24=$E$5,(AA$5),(AA$6))</f>
        <v>3.5107768311559071</v>
      </c>
      <c r="AB24" s="39">
        <f>'Degree-days'!$C$12*IF($E24=$E$5,(AB$5),(AB$6))</f>
        <v>0</v>
      </c>
      <c r="AC24" s="39">
        <f>'Degree-days'!$C$12*IF($E24=$E$5,(AC$5),(AC$6))</f>
        <v>0</v>
      </c>
      <c r="AD24" s="39">
        <f t="shared" si="1"/>
        <v>31.596991480403169</v>
      </c>
    </row>
    <row r="25" spans="4:32" x14ac:dyDescent="0.2">
      <c r="D25" s="37">
        <v>44944</v>
      </c>
      <c r="E25" s="17" t="str">
        <f t="shared" si="0"/>
        <v>weekday</v>
      </c>
      <c r="F25" s="39">
        <f>'Degree-days'!$C$12*IF($E25=$E$5,(F$5),(F$6))</f>
        <v>0</v>
      </c>
      <c r="G25" s="39">
        <f>'Degree-days'!$C$12*IF($E25=$E$5,(G$5),(G$6))</f>
        <v>0</v>
      </c>
      <c r="H25" s="39">
        <f>'Degree-days'!$C$12*IF($E25=$E$5,(H$5),(H$6))</f>
        <v>0</v>
      </c>
      <c r="I25" s="39">
        <f>'Degree-days'!$C$12*IF($E25=$E$5,(I$5),(I$6))</f>
        <v>0</v>
      </c>
      <c r="J25" s="39">
        <f>'Degree-days'!$C$12*IF($E25=$E$5,(J$5),(J$6))</f>
        <v>0</v>
      </c>
      <c r="K25" s="39">
        <f>'Degree-days'!$C$12*IF($E25=$E$5,(K$5),(K$6))</f>
        <v>0</v>
      </c>
      <c r="L25" s="39">
        <f>'Degree-days'!$C$12*IF($E25=$E$5,(L$5),(L$6))</f>
        <v>3.5107768311559071</v>
      </c>
      <c r="M25" s="39">
        <f>'Degree-days'!$C$12*IF($E25=$E$5,(M$5),(M$6))</f>
        <v>3.5107768311559071</v>
      </c>
      <c r="N25" s="39">
        <f>'Degree-days'!$C$12*IF($E25=$E$5,(N$5),(N$6))</f>
        <v>0</v>
      </c>
      <c r="O25" s="39">
        <f>'Degree-days'!$C$12*IF($E25=$E$5,(O$5),(O$6))</f>
        <v>0</v>
      </c>
      <c r="P25" s="39">
        <f>'Degree-days'!$C$12*IF($E25=$E$5,(P$5),(P$6))</f>
        <v>0</v>
      </c>
      <c r="Q25" s="39">
        <f>'Degree-days'!$C$12*IF($E25=$E$5,(Q$5),(Q$6))</f>
        <v>0</v>
      </c>
      <c r="R25" s="39">
        <f>'Degree-days'!$C$12*IF($E25=$E$5,(R$5),(R$6))</f>
        <v>0</v>
      </c>
      <c r="S25" s="39">
        <f>'Degree-days'!$C$12*IF($E25=$E$5,(S$5),(S$6))</f>
        <v>0</v>
      </c>
      <c r="T25" s="39">
        <f>'Degree-days'!$C$12*IF($E25=$E$5,(T$5),(T$6))</f>
        <v>0</v>
      </c>
      <c r="U25" s="39">
        <f>'Degree-days'!$C$12*IF($E25=$E$5,(U$5),(U$6))</f>
        <v>3.5107768311559071</v>
      </c>
      <c r="V25" s="39">
        <f>'Degree-days'!$C$12*IF($E25=$E$5,(V$5),(V$6))</f>
        <v>3.5107768311559071</v>
      </c>
      <c r="W25" s="39">
        <f>'Degree-days'!$C$12*IF($E25=$E$5,(W$5),(W$6))</f>
        <v>3.5107768311559071</v>
      </c>
      <c r="X25" s="39">
        <f>'Degree-days'!$C$12*IF($E25=$E$5,(X$5),(X$6))</f>
        <v>3.5107768311559071</v>
      </c>
      <c r="Y25" s="39">
        <f>'Degree-days'!$C$12*IF($E25=$E$5,(Y$5),(Y$6))</f>
        <v>3.5107768311559071</v>
      </c>
      <c r="Z25" s="39">
        <f>'Degree-days'!$C$12*IF($E25=$E$5,(Z$5),(Z$6))</f>
        <v>3.5107768311559071</v>
      </c>
      <c r="AA25" s="39">
        <f>'Degree-days'!$C$12*IF($E25=$E$5,(AA$5),(AA$6))</f>
        <v>3.5107768311559071</v>
      </c>
      <c r="AB25" s="39">
        <f>'Degree-days'!$C$12*IF($E25=$E$5,(AB$5),(AB$6))</f>
        <v>0</v>
      </c>
      <c r="AC25" s="39">
        <f>'Degree-days'!$C$12*IF($E25=$E$5,(AC$5),(AC$6))</f>
        <v>0</v>
      </c>
      <c r="AD25" s="39">
        <f t="shared" si="1"/>
        <v>31.596991480403169</v>
      </c>
    </row>
    <row r="26" spans="4:32" x14ac:dyDescent="0.2">
      <c r="D26" s="37">
        <v>44945</v>
      </c>
      <c r="E26" s="17" t="str">
        <f t="shared" si="0"/>
        <v>weekday</v>
      </c>
      <c r="F26" s="39">
        <f>'Degree-days'!$C$12*IF($E26=$E$5,(F$5),(F$6))</f>
        <v>0</v>
      </c>
      <c r="G26" s="39">
        <f>'Degree-days'!$C$12*IF($E26=$E$5,(G$5),(G$6))</f>
        <v>0</v>
      </c>
      <c r="H26" s="39">
        <f>'Degree-days'!$C$12*IF($E26=$E$5,(H$5),(H$6))</f>
        <v>0</v>
      </c>
      <c r="I26" s="39">
        <f>'Degree-days'!$C$12*IF($E26=$E$5,(I$5),(I$6))</f>
        <v>0</v>
      </c>
      <c r="J26" s="39">
        <f>'Degree-days'!$C$12*IF($E26=$E$5,(J$5),(J$6))</f>
        <v>0</v>
      </c>
      <c r="K26" s="39">
        <f>'Degree-days'!$C$12*IF($E26=$E$5,(K$5),(K$6))</f>
        <v>0</v>
      </c>
      <c r="L26" s="39">
        <f>'Degree-days'!$C$12*IF($E26=$E$5,(L$5),(L$6))</f>
        <v>3.5107768311559071</v>
      </c>
      <c r="M26" s="39">
        <f>'Degree-days'!$C$12*IF($E26=$E$5,(M$5),(M$6))</f>
        <v>3.5107768311559071</v>
      </c>
      <c r="N26" s="39">
        <f>'Degree-days'!$C$12*IF($E26=$E$5,(N$5),(N$6))</f>
        <v>0</v>
      </c>
      <c r="O26" s="39">
        <f>'Degree-days'!$C$12*IF($E26=$E$5,(O$5),(O$6))</f>
        <v>0</v>
      </c>
      <c r="P26" s="39">
        <f>'Degree-days'!$C$12*IF($E26=$E$5,(P$5),(P$6))</f>
        <v>0</v>
      </c>
      <c r="Q26" s="39">
        <f>'Degree-days'!$C$12*IF($E26=$E$5,(Q$5),(Q$6))</f>
        <v>0</v>
      </c>
      <c r="R26" s="39">
        <f>'Degree-days'!$C$12*IF($E26=$E$5,(R$5),(R$6))</f>
        <v>0</v>
      </c>
      <c r="S26" s="39">
        <f>'Degree-days'!$C$12*IF($E26=$E$5,(S$5),(S$6))</f>
        <v>0</v>
      </c>
      <c r="T26" s="39">
        <f>'Degree-days'!$C$12*IF($E26=$E$5,(T$5),(T$6))</f>
        <v>0</v>
      </c>
      <c r="U26" s="39">
        <f>'Degree-days'!$C$12*IF($E26=$E$5,(U$5),(U$6))</f>
        <v>3.5107768311559071</v>
      </c>
      <c r="V26" s="39">
        <f>'Degree-days'!$C$12*IF($E26=$E$5,(V$5),(V$6))</f>
        <v>3.5107768311559071</v>
      </c>
      <c r="W26" s="39">
        <f>'Degree-days'!$C$12*IF($E26=$E$5,(W$5),(W$6))</f>
        <v>3.5107768311559071</v>
      </c>
      <c r="X26" s="39">
        <f>'Degree-days'!$C$12*IF($E26=$E$5,(X$5),(X$6))</f>
        <v>3.5107768311559071</v>
      </c>
      <c r="Y26" s="39">
        <f>'Degree-days'!$C$12*IF($E26=$E$5,(Y$5),(Y$6))</f>
        <v>3.5107768311559071</v>
      </c>
      <c r="Z26" s="39">
        <f>'Degree-days'!$C$12*IF($E26=$E$5,(Z$5),(Z$6))</f>
        <v>3.5107768311559071</v>
      </c>
      <c r="AA26" s="39">
        <f>'Degree-days'!$C$12*IF($E26=$E$5,(AA$5),(AA$6))</f>
        <v>3.5107768311559071</v>
      </c>
      <c r="AB26" s="39">
        <f>'Degree-days'!$C$12*IF($E26=$E$5,(AB$5),(AB$6))</f>
        <v>0</v>
      </c>
      <c r="AC26" s="39">
        <f>'Degree-days'!$C$12*IF($E26=$E$5,(AC$5),(AC$6))</f>
        <v>0</v>
      </c>
      <c r="AD26" s="39">
        <f t="shared" si="1"/>
        <v>31.596991480403169</v>
      </c>
    </row>
    <row r="27" spans="4:32" x14ac:dyDescent="0.2">
      <c r="D27" s="37">
        <v>44946</v>
      </c>
      <c r="E27" s="17" t="str">
        <f t="shared" si="0"/>
        <v>weekday</v>
      </c>
      <c r="F27" s="39">
        <f>'Degree-days'!$C$12*IF($E27=$E$5,(F$5),(F$6))</f>
        <v>0</v>
      </c>
      <c r="G27" s="39">
        <f>'Degree-days'!$C$12*IF($E27=$E$5,(G$5),(G$6))</f>
        <v>0</v>
      </c>
      <c r="H27" s="39">
        <f>'Degree-days'!$C$12*IF($E27=$E$5,(H$5),(H$6))</f>
        <v>0</v>
      </c>
      <c r="I27" s="39">
        <f>'Degree-days'!$C$12*IF($E27=$E$5,(I$5),(I$6))</f>
        <v>0</v>
      </c>
      <c r="J27" s="39">
        <f>'Degree-days'!$C$12*IF($E27=$E$5,(J$5),(J$6))</f>
        <v>0</v>
      </c>
      <c r="K27" s="39">
        <f>'Degree-days'!$C$12*IF($E27=$E$5,(K$5),(K$6))</f>
        <v>0</v>
      </c>
      <c r="L27" s="39">
        <f>'Degree-days'!$C$12*IF($E27=$E$5,(L$5),(L$6))</f>
        <v>3.5107768311559071</v>
      </c>
      <c r="M27" s="39">
        <f>'Degree-days'!$C$12*IF($E27=$E$5,(M$5),(M$6))</f>
        <v>3.5107768311559071</v>
      </c>
      <c r="N27" s="39">
        <f>'Degree-days'!$C$12*IF($E27=$E$5,(N$5),(N$6))</f>
        <v>0</v>
      </c>
      <c r="O27" s="39">
        <f>'Degree-days'!$C$12*IF($E27=$E$5,(O$5),(O$6))</f>
        <v>0</v>
      </c>
      <c r="P27" s="39">
        <f>'Degree-days'!$C$12*IF($E27=$E$5,(P$5),(P$6))</f>
        <v>0</v>
      </c>
      <c r="Q27" s="39">
        <f>'Degree-days'!$C$12*IF($E27=$E$5,(Q$5),(Q$6))</f>
        <v>0</v>
      </c>
      <c r="R27" s="39">
        <f>'Degree-days'!$C$12*IF($E27=$E$5,(R$5),(R$6))</f>
        <v>0</v>
      </c>
      <c r="S27" s="39">
        <f>'Degree-days'!$C$12*IF($E27=$E$5,(S$5),(S$6))</f>
        <v>0</v>
      </c>
      <c r="T27" s="39">
        <f>'Degree-days'!$C$12*IF($E27=$E$5,(T$5),(T$6))</f>
        <v>0</v>
      </c>
      <c r="U27" s="39">
        <f>'Degree-days'!$C$12*IF($E27=$E$5,(U$5),(U$6))</f>
        <v>3.5107768311559071</v>
      </c>
      <c r="V27" s="39">
        <f>'Degree-days'!$C$12*IF($E27=$E$5,(V$5),(V$6))</f>
        <v>3.5107768311559071</v>
      </c>
      <c r="W27" s="39">
        <f>'Degree-days'!$C$12*IF($E27=$E$5,(W$5),(W$6))</f>
        <v>3.5107768311559071</v>
      </c>
      <c r="X27" s="39">
        <f>'Degree-days'!$C$12*IF($E27=$E$5,(X$5),(X$6))</f>
        <v>3.5107768311559071</v>
      </c>
      <c r="Y27" s="39">
        <f>'Degree-days'!$C$12*IF($E27=$E$5,(Y$5),(Y$6))</f>
        <v>3.5107768311559071</v>
      </c>
      <c r="Z27" s="39">
        <f>'Degree-days'!$C$12*IF($E27=$E$5,(Z$5),(Z$6))</f>
        <v>3.5107768311559071</v>
      </c>
      <c r="AA27" s="39">
        <f>'Degree-days'!$C$12*IF($E27=$E$5,(AA$5),(AA$6))</f>
        <v>3.5107768311559071</v>
      </c>
      <c r="AB27" s="39">
        <f>'Degree-days'!$C$12*IF($E27=$E$5,(AB$5),(AB$6))</f>
        <v>0</v>
      </c>
      <c r="AC27" s="39">
        <f>'Degree-days'!$C$12*IF($E27=$E$5,(AC$5),(AC$6))</f>
        <v>0</v>
      </c>
      <c r="AD27" s="39">
        <f t="shared" si="1"/>
        <v>31.596991480403169</v>
      </c>
    </row>
    <row r="28" spans="4:32" x14ac:dyDescent="0.2">
      <c r="D28" s="37">
        <v>44947</v>
      </c>
      <c r="E28" s="17" t="str">
        <f t="shared" si="0"/>
        <v>weekend</v>
      </c>
      <c r="F28" s="39">
        <f>'Degree-days'!$C$12*IF($E28=$E$5,(F$5),(F$6))</f>
        <v>0</v>
      </c>
      <c r="G28" s="39">
        <f>'Degree-days'!$C$12*IF($E28=$E$5,(G$5),(G$6))</f>
        <v>0</v>
      </c>
      <c r="H28" s="39">
        <f>'Degree-days'!$C$12*IF($E28=$E$5,(H$5),(H$6))</f>
        <v>0</v>
      </c>
      <c r="I28" s="39">
        <f>'Degree-days'!$C$12*IF($E28=$E$5,(I$5),(I$6))</f>
        <v>0</v>
      </c>
      <c r="J28" s="39">
        <f>'Degree-days'!$C$12*IF($E28=$E$5,(J$5),(J$6))</f>
        <v>0</v>
      </c>
      <c r="K28" s="39">
        <f>'Degree-days'!$C$12*IF($E28=$E$5,(K$5),(K$6))</f>
        <v>0</v>
      </c>
      <c r="L28" s="39">
        <f>'Degree-days'!$C$12*IF($E28=$E$5,(L$5),(L$6))</f>
        <v>3.5107768311559071</v>
      </c>
      <c r="M28" s="39">
        <f>'Degree-days'!$C$12*IF($E28=$E$5,(M$5),(M$6))</f>
        <v>3.5107768311559071</v>
      </c>
      <c r="N28" s="39">
        <f>'Degree-days'!$C$12*IF($E28=$E$5,(N$5),(N$6))</f>
        <v>3.5107768311559071</v>
      </c>
      <c r="O28" s="39">
        <f>'Degree-days'!$C$12*IF($E28=$E$5,(O$5),(O$6))</f>
        <v>3.5107768311559071</v>
      </c>
      <c r="P28" s="39">
        <f>'Degree-days'!$C$12*IF($E28=$E$5,(P$5),(P$6))</f>
        <v>3.5107768311559071</v>
      </c>
      <c r="Q28" s="39">
        <f>'Degree-days'!$C$12*IF($E28=$E$5,(Q$5),(Q$6))</f>
        <v>3.5107768311559071</v>
      </c>
      <c r="R28" s="39">
        <f>'Degree-days'!$C$12*IF($E28=$E$5,(R$5),(R$6))</f>
        <v>3.5107768311559071</v>
      </c>
      <c r="S28" s="39">
        <f>'Degree-days'!$C$12*IF($E28=$E$5,(S$5),(S$6))</f>
        <v>3.5107768311559071</v>
      </c>
      <c r="T28" s="39">
        <f>'Degree-days'!$C$12*IF($E28=$E$5,(T$5),(T$6))</f>
        <v>3.5107768311559071</v>
      </c>
      <c r="U28" s="39">
        <f>'Degree-days'!$C$12*IF($E28=$E$5,(U$5),(U$6))</f>
        <v>3.5107768311559071</v>
      </c>
      <c r="V28" s="39">
        <f>'Degree-days'!$C$12*IF($E28=$E$5,(V$5),(V$6))</f>
        <v>3.5107768311559071</v>
      </c>
      <c r="W28" s="39">
        <f>'Degree-days'!$C$12*IF($E28=$E$5,(W$5),(W$6))</f>
        <v>3.5107768311559071</v>
      </c>
      <c r="X28" s="39">
        <f>'Degree-days'!$C$12*IF($E28=$E$5,(X$5),(X$6))</f>
        <v>3.5107768311559071</v>
      </c>
      <c r="Y28" s="39">
        <f>'Degree-days'!$C$12*IF($E28=$E$5,(Y$5),(Y$6))</f>
        <v>3.5107768311559071</v>
      </c>
      <c r="Z28" s="39">
        <f>'Degree-days'!$C$12*IF($E28=$E$5,(Z$5),(Z$6))</f>
        <v>3.5107768311559071</v>
      </c>
      <c r="AA28" s="39">
        <f>'Degree-days'!$C$12*IF($E28=$E$5,(AA$5),(AA$6))</f>
        <v>3.5107768311559071</v>
      </c>
      <c r="AB28" s="39">
        <f>'Degree-days'!$C$12*IF($E28=$E$5,(AB$5),(AB$6))</f>
        <v>0</v>
      </c>
      <c r="AC28" s="39">
        <f>'Degree-days'!$C$12*IF($E28=$E$5,(AC$5),(AC$6))</f>
        <v>0</v>
      </c>
      <c r="AD28" s="39">
        <f t="shared" si="1"/>
        <v>56.172429298494528</v>
      </c>
    </row>
    <row r="29" spans="4:32" x14ac:dyDescent="0.2">
      <c r="D29" s="37">
        <v>44948</v>
      </c>
      <c r="E29" s="17" t="str">
        <f t="shared" si="0"/>
        <v>weekend</v>
      </c>
      <c r="F29" s="39">
        <f>'Degree-days'!$C$12*IF($E29=$E$5,(F$5),(F$6))</f>
        <v>0</v>
      </c>
      <c r="G29" s="39">
        <f>'Degree-days'!$C$12*IF($E29=$E$5,(G$5),(G$6))</f>
        <v>0</v>
      </c>
      <c r="H29" s="39">
        <f>'Degree-days'!$C$12*IF($E29=$E$5,(H$5),(H$6))</f>
        <v>0</v>
      </c>
      <c r="I29" s="39">
        <f>'Degree-days'!$C$12*IF($E29=$E$5,(I$5),(I$6))</f>
        <v>0</v>
      </c>
      <c r="J29" s="39">
        <f>'Degree-days'!$C$12*IF($E29=$E$5,(J$5),(J$6))</f>
        <v>0</v>
      </c>
      <c r="K29" s="39">
        <f>'Degree-days'!$C$12*IF($E29=$E$5,(K$5),(K$6))</f>
        <v>0</v>
      </c>
      <c r="L29" s="39">
        <f>'Degree-days'!$C$12*IF($E29=$E$5,(L$5),(L$6))</f>
        <v>3.5107768311559071</v>
      </c>
      <c r="M29" s="39">
        <f>'Degree-days'!$C$12*IF($E29=$E$5,(M$5),(M$6))</f>
        <v>3.5107768311559071</v>
      </c>
      <c r="N29" s="39">
        <f>'Degree-days'!$C$12*IF($E29=$E$5,(N$5),(N$6))</f>
        <v>3.5107768311559071</v>
      </c>
      <c r="O29" s="39">
        <f>'Degree-days'!$C$12*IF($E29=$E$5,(O$5),(O$6))</f>
        <v>3.5107768311559071</v>
      </c>
      <c r="P29" s="39">
        <f>'Degree-days'!$C$12*IF($E29=$E$5,(P$5),(P$6))</f>
        <v>3.5107768311559071</v>
      </c>
      <c r="Q29" s="39">
        <f>'Degree-days'!$C$12*IF($E29=$E$5,(Q$5),(Q$6))</f>
        <v>3.5107768311559071</v>
      </c>
      <c r="R29" s="39">
        <f>'Degree-days'!$C$12*IF($E29=$E$5,(R$5),(R$6))</f>
        <v>3.5107768311559071</v>
      </c>
      <c r="S29" s="39">
        <f>'Degree-days'!$C$12*IF($E29=$E$5,(S$5),(S$6))</f>
        <v>3.5107768311559071</v>
      </c>
      <c r="T29" s="39">
        <f>'Degree-days'!$C$12*IF($E29=$E$5,(T$5),(T$6))</f>
        <v>3.5107768311559071</v>
      </c>
      <c r="U29" s="39">
        <f>'Degree-days'!$C$12*IF($E29=$E$5,(U$5),(U$6))</f>
        <v>3.5107768311559071</v>
      </c>
      <c r="V29" s="39">
        <f>'Degree-days'!$C$12*IF($E29=$E$5,(V$5),(V$6))</f>
        <v>3.5107768311559071</v>
      </c>
      <c r="W29" s="39">
        <f>'Degree-days'!$C$12*IF($E29=$E$5,(W$5),(W$6))</f>
        <v>3.5107768311559071</v>
      </c>
      <c r="X29" s="39">
        <f>'Degree-days'!$C$12*IF($E29=$E$5,(X$5),(X$6))</f>
        <v>3.5107768311559071</v>
      </c>
      <c r="Y29" s="39">
        <f>'Degree-days'!$C$12*IF($E29=$E$5,(Y$5),(Y$6))</f>
        <v>3.5107768311559071</v>
      </c>
      <c r="Z29" s="39">
        <f>'Degree-days'!$C$12*IF($E29=$E$5,(Z$5),(Z$6))</f>
        <v>3.5107768311559071</v>
      </c>
      <c r="AA29" s="39">
        <f>'Degree-days'!$C$12*IF($E29=$E$5,(AA$5),(AA$6))</f>
        <v>3.5107768311559071</v>
      </c>
      <c r="AB29" s="39">
        <f>'Degree-days'!$C$12*IF($E29=$E$5,(AB$5),(AB$6))</f>
        <v>0</v>
      </c>
      <c r="AC29" s="39">
        <f>'Degree-days'!$C$12*IF($E29=$E$5,(AC$5),(AC$6))</f>
        <v>0</v>
      </c>
      <c r="AD29" s="39">
        <f t="shared" si="1"/>
        <v>56.172429298494528</v>
      </c>
    </row>
    <row r="30" spans="4:32" x14ac:dyDescent="0.2">
      <c r="D30" s="37">
        <v>44949</v>
      </c>
      <c r="E30" s="17" t="str">
        <f t="shared" si="0"/>
        <v>weekday</v>
      </c>
      <c r="F30" s="39">
        <f>'Degree-days'!$C$12*IF($E30=$E$5,(F$5),(F$6))</f>
        <v>0</v>
      </c>
      <c r="G30" s="39">
        <f>'Degree-days'!$C$12*IF($E30=$E$5,(G$5),(G$6))</f>
        <v>0</v>
      </c>
      <c r="H30" s="39">
        <f>'Degree-days'!$C$12*IF($E30=$E$5,(H$5),(H$6))</f>
        <v>0</v>
      </c>
      <c r="I30" s="39">
        <f>'Degree-days'!$C$12*IF($E30=$E$5,(I$5),(I$6))</f>
        <v>0</v>
      </c>
      <c r="J30" s="39">
        <f>'Degree-days'!$C$12*IF($E30=$E$5,(J$5),(J$6))</f>
        <v>0</v>
      </c>
      <c r="K30" s="39">
        <f>'Degree-days'!$C$12*IF($E30=$E$5,(K$5),(K$6))</f>
        <v>0</v>
      </c>
      <c r="L30" s="39">
        <f>'Degree-days'!$C$12*IF($E30=$E$5,(L$5),(L$6))</f>
        <v>3.5107768311559071</v>
      </c>
      <c r="M30" s="39">
        <f>'Degree-days'!$C$12*IF($E30=$E$5,(M$5),(M$6))</f>
        <v>3.5107768311559071</v>
      </c>
      <c r="N30" s="39">
        <f>'Degree-days'!$C$12*IF($E30=$E$5,(N$5),(N$6))</f>
        <v>0</v>
      </c>
      <c r="O30" s="39">
        <f>'Degree-days'!$C$12*IF($E30=$E$5,(O$5),(O$6))</f>
        <v>0</v>
      </c>
      <c r="P30" s="39">
        <f>'Degree-days'!$C$12*IF($E30=$E$5,(P$5),(P$6))</f>
        <v>0</v>
      </c>
      <c r="Q30" s="39">
        <f>'Degree-days'!$C$12*IF($E30=$E$5,(Q$5),(Q$6))</f>
        <v>0</v>
      </c>
      <c r="R30" s="39">
        <f>'Degree-days'!$C$12*IF($E30=$E$5,(R$5),(R$6))</f>
        <v>0</v>
      </c>
      <c r="S30" s="39">
        <f>'Degree-days'!$C$12*IF($E30=$E$5,(S$5),(S$6))</f>
        <v>0</v>
      </c>
      <c r="T30" s="39">
        <f>'Degree-days'!$C$12*IF($E30=$E$5,(T$5),(T$6))</f>
        <v>0</v>
      </c>
      <c r="U30" s="39">
        <f>'Degree-days'!$C$12*IF($E30=$E$5,(U$5),(U$6))</f>
        <v>3.5107768311559071</v>
      </c>
      <c r="V30" s="39">
        <f>'Degree-days'!$C$12*IF($E30=$E$5,(V$5),(V$6))</f>
        <v>3.5107768311559071</v>
      </c>
      <c r="W30" s="39">
        <f>'Degree-days'!$C$12*IF($E30=$E$5,(W$5),(W$6))</f>
        <v>3.5107768311559071</v>
      </c>
      <c r="X30" s="39">
        <f>'Degree-days'!$C$12*IF($E30=$E$5,(X$5),(X$6))</f>
        <v>3.5107768311559071</v>
      </c>
      <c r="Y30" s="39">
        <f>'Degree-days'!$C$12*IF($E30=$E$5,(Y$5),(Y$6))</f>
        <v>3.5107768311559071</v>
      </c>
      <c r="Z30" s="39">
        <f>'Degree-days'!$C$12*IF($E30=$E$5,(Z$5),(Z$6))</f>
        <v>3.5107768311559071</v>
      </c>
      <c r="AA30" s="39">
        <f>'Degree-days'!$C$12*IF($E30=$E$5,(AA$5),(AA$6))</f>
        <v>3.5107768311559071</v>
      </c>
      <c r="AB30" s="39">
        <f>'Degree-days'!$C$12*IF($E30=$E$5,(AB$5),(AB$6))</f>
        <v>0</v>
      </c>
      <c r="AC30" s="39">
        <f>'Degree-days'!$C$12*IF($E30=$E$5,(AC$5),(AC$6))</f>
        <v>0</v>
      </c>
      <c r="AD30" s="39">
        <f t="shared" si="1"/>
        <v>31.596991480403169</v>
      </c>
    </row>
    <row r="31" spans="4:32" x14ac:dyDescent="0.2">
      <c r="D31" s="37">
        <v>44950</v>
      </c>
      <c r="E31" s="17" t="str">
        <f t="shared" si="0"/>
        <v>weekday</v>
      </c>
      <c r="F31" s="39">
        <f>'Degree-days'!$C$12*IF($E31=$E$5,(F$5),(F$6))</f>
        <v>0</v>
      </c>
      <c r="G31" s="39">
        <f>'Degree-days'!$C$12*IF($E31=$E$5,(G$5),(G$6))</f>
        <v>0</v>
      </c>
      <c r="H31" s="39">
        <f>'Degree-days'!$C$12*IF($E31=$E$5,(H$5),(H$6))</f>
        <v>0</v>
      </c>
      <c r="I31" s="39">
        <f>'Degree-days'!$C$12*IF($E31=$E$5,(I$5),(I$6))</f>
        <v>0</v>
      </c>
      <c r="J31" s="39">
        <f>'Degree-days'!$C$12*IF($E31=$E$5,(J$5),(J$6))</f>
        <v>0</v>
      </c>
      <c r="K31" s="39">
        <f>'Degree-days'!$C$12*IF($E31=$E$5,(K$5),(K$6))</f>
        <v>0</v>
      </c>
      <c r="L31" s="39">
        <f>'Degree-days'!$C$12*IF($E31=$E$5,(L$5),(L$6))</f>
        <v>3.5107768311559071</v>
      </c>
      <c r="M31" s="39">
        <f>'Degree-days'!$C$12*IF($E31=$E$5,(M$5),(M$6))</f>
        <v>3.5107768311559071</v>
      </c>
      <c r="N31" s="39">
        <f>'Degree-days'!$C$12*IF($E31=$E$5,(N$5),(N$6))</f>
        <v>0</v>
      </c>
      <c r="O31" s="39">
        <f>'Degree-days'!$C$12*IF($E31=$E$5,(O$5),(O$6))</f>
        <v>0</v>
      </c>
      <c r="P31" s="39">
        <f>'Degree-days'!$C$12*IF($E31=$E$5,(P$5),(P$6))</f>
        <v>0</v>
      </c>
      <c r="Q31" s="39">
        <f>'Degree-days'!$C$12*IF($E31=$E$5,(Q$5),(Q$6))</f>
        <v>0</v>
      </c>
      <c r="R31" s="39">
        <f>'Degree-days'!$C$12*IF($E31=$E$5,(R$5),(R$6))</f>
        <v>0</v>
      </c>
      <c r="S31" s="39">
        <f>'Degree-days'!$C$12*IF($E31=$E$5,(S$5),(S$6))</f>
        <v>0</v>
      </c>
      <c r="T31" s="39">
        <f>'Degree-days'!$C$12*IF($E31=$E$5,(T$5),(T$6))</f>
        <v>0</v>
      </c>
      <c r="U31" s="39">
        <f>'Degree-days'!$C$12*IF($E31=$E$5,(U$5),(U$6))</f>
        <v>3.5107768311559071</v>
      </c>
      <c r="V31" s="39">
        <f>'Degree-days'!$C$12*IF($E31=$E$5,(V$5),(V$6))</f>
        <v>3.5107768311559071</v>
      </c>
      <c r="W31" s="39">
        <f>'Degree-days'!$C$12*IF($E31=$E$5,(W$5),(W$6))</f>
        <v>3.5107768311559071</v>
      </c>
      <c r="X31" s="39">
        <f>'Degree-days'!$C$12*IF($E31=$E$5,(X$5),(X$6))</f>
        <v>3.5107768311559071</v>
      </c>
      <c r="Y31" s="39">
        <f>'Degree-days'!$C$12*IF($E31=$E$5,(Y$5),(Y$6))</f>
        <v>3.5107768311559071</v>
      </c>
      <c r="Z31" s="39">
        <f>'Degree-days'!$C$12*IF($E31=$E$5,(Z$5),(Z$6))</f>
        <v>3.5107768311559071</v>
      </c>
      <c r="AA31" s="39">
        <f>'Degree-days'!$C$12*IF($E31=$E$5,(AA$5),(AA$6))</f>
        <v>3.5107768311559071</v>
      </c>
      <c r="AB31" s="39">
        <f>'Degree-days'!$C$12*IF($E31=$E$5,(AB$5),(AB$6))</f>
        <v>0</v>
      </c>
      <c r="AC31" s="39">
        <f>'Degree-days'!$C$12*IF($E31=$E$5,(AC$5),(AC$6))</f>
        <v>0</v>
      </c>
      <c r="AD31" s="39">
        <f t="shared" si="1"/>
        <v>31.596991480403169</v>
      </c>
    </row>
    <row r="32" spans="4:32" x14ac:dyDescent="0.2">
      <c r="D32" s="37">
        <v>44951</v>
      </c>
      <c r="E32" s="17" t="str">
        <f t="shared" si="0"/>
        <v>weekday</v>
      </c>
      <c r="F32" s="39">
        <f>'Degree-days'!$C$12*IF($E32=$E$5,(F$5),(F$6))</f>
        <v>0</v>
      </c>
      <c r="G32" s="39">
        <f>'Degree-days'!$C$12*IF($E32=$E$5,(G$5),(G$6))</f>
        <v>0</v>
      </c>
      <c r="H32" s="39">
        <f>'Degree-days'!$C$12*IF($E32=$E$5,(H$5),(H$6))</f>
        <v>0</v>
      </c>
      <c r="I32" s="39">
        <f>'Degree-days'!$C$12*IF($E32=$E$5,(I$5),(I$6))</f>
        <v>0</v>
      </c>
      <c r="J32" s="39">
        <f>'Degree-days'!$C$12*IF($E32=$E$5,(J$5),(J$6))</f>
        <v>0</v>
      </c>
      <c r="K32" s="39">
        <f>'Degree-days'!$C$12*IF($E32=$E$5,(K$5),(K$6))</f>
        <v>0</v>
      </c>
      <c r="L32" s="39">
        <f>'Degree-days'!$C$12*IF($E32=$E$5,(L$5),(L$6))</f>
        <v>3.5107768311559071</v>
      </c>
      <c r="M32" s="39">
        <f>'Degree-days'!$C$12*IF($E32=$E$5,(M$5),(M$6))</f>
        <v>3.5107768311559071</v>
      </c>
      <c r="N32" s="39">
        <f>'Degree-days'!$C$12*IF($E32=$E$5,(N$5),(N$6))</f>
        <v>0</v>
      </c>
      <c r="O32" s="39">
        <f>'Degree-days'!$C$12*IF($E32=$E$5,(O$5),(O$6))</f>
        <v>0</v>
      </c>
      <c r="P32" s="39">
        <f>'Degree-days'!$C$12*IF($E32=$E$5,(P$5),(P$6))</f>
        <v>0</v>
      </c>
      <c r="Q32" s="39">
        <f>'Degree-days'!$C$12*IF($E32=$E$5,(Q$5),(Q$6))</f>
        <v>0</v>
      </c>
      <c r="R32" s="39">
        <f>'Degree-days'!$C$12*IF($E32=$E$5,(R$5),(R$6))</f>
        <v>0</v>
      </c>
      <c r="S32" s="39">
        <f>'Degree-days'!$C$12*IF($E32=$E$5,(S$5),(S$6))</f>
        <v>0</v>
      </c>
      <c r="T32" s="39">
        <f>'Degree-days'!$C$12*IF($E32=$E$5,(T$5),(T$6))</f>
        <v>0</v>
      </c>
      <c r="U32" s="39">
        <f>'Degree-days'!$C$12*IF($E32=$E$5,(U$5),(U$6))</f>
        <v>3.5107768311559071</v>
      </c>
      <c r="V32" s="39">
        <f>'Degree-days'!$C$12*IF($E32=$E$5,(V$5),(V$6))</f>
        <v>3.5107768311559071</v>
      </c>
      <c r="W32" s="39">
        <f>'Degree-days'!$C$12*IF($E32=$E$5,(W$5),(W$6))</f>
        <v>3.5107768311559071</v>
      </c>
      <c r="X32" s="39">
        <f>'Degree-days'!$C$12*IF($E32=$E$5,(X$5),(X$6))</f>
        <v>3.5107768311559071</v>
      </c>
      <c r="Y32" s="39">
        <f>'Degree-days'!$C$12*IF($E32=$E$5,(Y$5),(Y$6))</f>
        <v>3.5107768311559071</v>
      </c>
      <c r="Z32" s="39">
        <f>'Degree-days'!$C$12*IF($E32=$E$5,(Z$5),(Z$6))</f>
        <v>3.5107768311559071</v>
      </c>
      <c r="AA32" s="39">
        <f>'Degree-days'!$C$12*IF($E32=$E$5,(AA$5),(AA$6))</f>
        <v>3.5107768311559071</v>
      </c>
      <c r="AB32" s="39">
        <f>'Degree-days'!$C$12*IF($E32=$E$5,(AB$5),(AB$6))</f>
        <v>0</v>
      </c>
      <c r="AC32" s="39">
        <f>'Degree-days'!$C$12*IF($E32=$E$5,(AC$5),(AC$6))</f>
        <v>0</v>
      </c>
      <c r="AD32" s="39">
        <f t="shared" si="1"/>
        <v>31.596991480403169</v>
      </c>
    </row>
    <row r="33" spans="4:32" x14ac:dyDescent="0.2">
      <c r="D33" s="37">
        <v>44952</v>
      </c>
      <c r="E33" s="17" t="str">
        <f t="shared" si="0"/>
        <v>weekday</v>
      </c>
      <c r="F33" s="39">
        <f>'Degree-days'!$C$12*IF($E33=$E$5,(F$5),(F$6))</f>
        <v>0</v>
      </c>
      <c r="G33" s="39">
        <f>'Degree-days'!$C$12*IF($E33=$E$5,(G$5),(G$6))</f>
        <v>0</v>
      </c>
      <c r="H33" s="39">
        <f>'Degree-days'!$C$12*IF($E33=$E$5,(H$5),(H$6))</f>
        <v>0</v>
      </c>
      <c r="I33" s="39">
        <f>'Degree-days'!$C$12*IF($E33=$E$5,(I$5),(I$6))</f>
        <v>0</v>
      </c>
      <c r="J33" s="39">
        <f>'Degree-days'!$C$12*IF($E33=$E$5,(J$5),(J$6))</f>
        <v>0</v>
      </c>
      <c r="K33" s="39">
        <f>'Degree-days'!$C$12*IF($E33=$E$5,(K$5),(K$6))</f>
        <v>0</v>
      </c>
      <c r="L33" s="39">
        <f>'Degree-days'!$C$12*IF($E33=$E$5,(L$5),(L$6))</f>
        <v>3.5107768311559071</v>
      </c>
      <c r="M33" s="39">
        <f>'Degree-days'!$C$12*IF($E33=$E$5,(M$5),(M$6))</f>
        <v>3.5107768311559071</v>
      </c>
      <c r="N33" s="39">
        <f>'Degree-days'!$C$12*IF($E33=$E$5,(N$5),(N$6))</f>
        <v>0</v>
      </c>
      <c r="O33" s="39">
        <f>'Degree-days'!$C$12*IF($E33=$E$5,(O$5),(O$6))</f>
        <v>0</v>
      </c>
      <c r="P33" s="39">
        <f>'Degree-days'!$C$12*IF($E33=$E$5,(P$5),(P$6))</f>
        <v>0</v>
      </c>
      <c r="Q33" s="39">
        <f>'Degree-days'!$C$12*IF($E33=$E$5,(Q$5),(Q$6))</f>
        <v>0</v>
      </c>
      <c r="R33" s="39">
        <f>'Degree-days'!$C$12*IF($E33=$E$5,(R$5),(R$6))</f>
        <v>0</v>
      </c>
      <c r="S33" s="39">
        <f>'Degree-days'!$C$12*IF($E33=$E$5,(S$5),(S$6))</f>
        <v>0</v>
      </c>
      <c r="T33" s="39">
        <f>'Degree-days'!$C$12*IF($E33=$E$5,(T$5),(T$6))</f>
        <v>0</v>
      </c>
      <c r="U33" s="39">
        <f>'Degree-days'!$C$12*IF($E33=$E$5,(U$5),(U$6))</f>
        <v>3.5107768311559071</v>
      </c>
      <c r="V33" s="39">
        <f>'Degree-days'!$C$12*IF($E33=$E$5,(V$5),(V$6))</f>
        <v>3.5107768311559071</v>
      </c>
      <c r="W33" s="39">
        <f>'Degree-days'!$C$12*IF($E33=$E$5,(W$5),(W$6))</f>
        <v>3.5107768311559071</v>
      </c>
      <c r="X33" s="39">
        <f>'Degree-days'!$C$12*IF($E33=$E$5,(X$5),(X$6))</f>
        <v>3.5107768311559071</v>
      </c>
      <c r="Y33" s="39">
        <f>'Degree-days'!$C$12*IF($E33=$E$5,(Y$5),(Y$6))</f>
        <v>3.5107768311559071</v>
      </c>
      <c r="Z33" s="39">
        <f>'Degree-days'!$C$12*IF($E33=$E$5,(Z$5),(Z$6))</f>
        <v>3.5107768311559071</v>
      </c>
      <c r="AA33" s="39">
        <f>'Degree-days'!$C$12*IF($E33=$E$5,(AA$5),(AA$6))</f>
        <v>3.5107768311559071</v>
      </c>
      <c r="AB33" s="39">
        <f>'Degree-days'!$C$12*IF($E33=$E$5,(AB$5),(AB$6))</f>
        <v>0</v>
      </c>
      <c r="AC33" s="39">
        <f>'Degree-days'!$C$12*IF($E33=$E$5,(AC$5),(AC$6))</f>
        <v>0</v>
      </c>
      <c r="AD33" s="39">
        <f t="shared" si="1"/>
        <v>31.596991480403169</v>
      </c>
    </row>
    <row r="34" spans="4:32" x14ac:dyDescent="0.2">
      <c r="D34" s="37">
        <v>44953</v>
      </c>
      <c r="E34" s="17" t="str">
        <f t="shared" si="0"/>
        <v>weekday</v>
      </c>
      <c r="F34" s="39">
        <f>'Degree-days'!$C$12*IF($E34=$E$5,(F$5),(F$6))</f>
        <v>0</v>
      </c>
      <c r="G34" s="39">
        <f>'Degree-days'!$C$12*IF($E34=$E$5,(G$5),(G$6))</f>
        <v>0</v>
      </c>
      <c r="H34" s="39">
        <f>'Degree-days'!$C$12*IF($E34=$E$5,(H$5),(H$6))</f>
        <v>0</v>
      </c>
      <c r="I34" s="39">
        <f>'Degree-days'!$C$12*IF($E34=$E$5,(I$5),(I$6))</f>
        <v>0</v>
      </c>
      <c r="J34" s="39">
        <f>'Degree-days'!$C$12*IF($E34=$E$5,(J$5),(J$6))</f>
        <v>0</v>
      </c>
      <c r="K34" s="39">
        <f>'Degree-days'!$C$12*IF($E34=$E$5,(K$5),(K$6))</f>
        <v>0</v>
      </c>
      <c r="L34" s="39">
        <f>'Degree-days'!$C$12*IF($E34=$E$5,(L$5),(L$6))</f>
        <v>3.5107768311559071</v>
      </c>
      <c r="M34" s="39">
        <f>'Degree-days'!$C$12*IF($E34=$E$5,(M$5),(M$6))</f>
        <v>3.5107768311559071</v>
      </c>
      <c r="N34" s="39">
        <f>'Degree-days'!$C$12*IF($E34=$E$5,(N$5),(N$6))</f>
        <v>0</v>
      </c>
      <c r="O34" s="39">
        <f>'Degree-days'!$C$12*IF($E34=$E$5,(O$5),(O$6))</f>
        <v>0</v>
      </c>
      <c r="P34" s="39">
        <f>'Degree-days'!$C$12*IF($E34=$E$5,(P$5),(P$6))</f>
        <v>0</v>
      </c>
      <c r="Q34" s="39">
        <f>'Degree-days'!$C$12*IF($E34=$E$5,(Q$5),(Q$6))</f>
        <v>0</v>
      </c>
      <c r="R34" s="39">
        <f>'Degree-days'!$C$12*IF($E34=$E$5,(R$5),(R$6))</f>
        <v>0</v>
      </c>
      <c r="S34" s="39">
        <f>'Degree-days'!$C$12*IF($E34=$E$5,(S$5),(S$6))</f>
        <v>0</v>
      </c>
      <c r="T34" s="39">
        <f>'Degree-days'!$C$12*IF($E34=$E$5,(T$5),(T$6))</f>
        <v>0</v>
      </c>
      <c r="U34" s="39">
        <f>'Degree-days'!$C$12*IF($E34=$E$5,(U$5),(U$6))</f>
        <v>3.5107768311559071</v>
      </c>
      <c r="V34" s="39">
        <f>'Degree-days'!$C$12*IF($E34=$E$5,(V$5),(V$6))</f>
        <v>3.5107768311559071</v>
      </c>
      <c r="W34" s="39">
        <f>'Degree-days'!$C$12*IF($E34=$E$5,(W$5),(W$6))</f>
        <v>3.5107768311559071</v>
      </c>
      <c r="X34" s="39">
        <f>'Degree-days'!$C$12*IF($E34=$E$5,(X$5),(X$6))</f>
        <v>3.5107768311559071</v>
      </c>
      <c r="Y34" s="39">
        <f>'Degree-days'!$C$12*IF($E34=$E$5,(Y$5),(Y$6))</f>
        <v>3.5107768311559071</v>
      </c>
      <c r="Z34" s="39">
        <f>'Degree-days'!$C$12*IF($E34=$E$5,(Z$5),(Z$6))</f>
        <v>3.5107768311559071</v>
      </c>
      <c r="AA34" s="39">
        <f>'Degree-days'!$C$12*IF($E34=$E$5,(AA$5),(AA$6))</f>
        <v>3.5107768311559071</v>
      </c>
      <c r="AB34" s="39">
        <f>'Degree-days'!$C$12*IF($E34=$E$5,(AB$5),(AB$6))</f>
        <v>0</v>
      </c>
      <c r="AC34" s="39">
        <f>'Degree-days'!$C$12*IF($E34=$E$5,(AC$5),(AC$6))</f>
        <v>0</v>
      </c>
      <c r="AD34" s="39">
        <f t="shared" si="1"/>
        <v>31.596991480403169</v>
      </c>
    </row>
    <row r="35" spans="4:32" x14ac:dyDescent="0.2">
      <c r="D35" s="37">
        <v>44954</v>
      </c>
      <c r="E35" s="17" t="str">
        <f t="shared" si="0"/>
        <v>weekend</v>
      </c>
      <c r="F35" s="39">
        <f>'Degree-days'!$C$12*IF($E35=$E$5,(F$5),(F$6))</f>
        <v>0</v>
      </c>
      <c r="G35" s="39">
        <f>'Degree-days'!$C$12*IF($E35=$E$5,(G$5),(G$6))</f>
        <v>0</v>
      </c>
      <c r="H35" s="39">
        <f>'Degree-days'!$C$12*IF($E35=$E$5,(H$5),(H$6))</f>
        <v>0</v>
      </c>
      <c r="I35" s="39">
        <f>'Degree-days'!$C$12*IF($E35=$E$5,(I$5),(I$6))</f>
        <v>0</v>
      </c>
      <c r="J35" s="39">
        <f>'Degree-days'!$C$12*IF($E35=$E$5,(J$5),(J$6))</f>
        <v>0</v>
      </c>
      <c r="K35" s="39">
        <f>'Degree-days'!$C$12*IF($E35=$E$5,(K$5),(K$6))</f>
        <v>0</v>
      </c>
      <c r="L35" s="39">
        <f>'Degree-days'!$C$12*IF($E35=$E$5,(L$5),(L$6))</f>
        <v>3.5107768311559071</v>
      </c>
      <c r="M35" s="39">
        <f>'Degree-days'!$C$12*IF($E35=$E$5,(M$5),(M$6))</f>
        <v>3.5107768311559071</v>
      </c>
      <c r="N35" s="39">
        <f>'Degree-days'!$C$12*IF($E35=$E$5,(N$5),(N$6))</f>
        <v>3.5107768311559071</v>
      </c>
      <c r="O35" s="39">
        <f>'Degree-days'!$C$12*IF($E35=$E$5,(O$5),(O$6))</f>
        <v>3.5107768311559071</v>
      </c>
      <c r="P35" s="39">
        <f>'Degree-days'!$C$12*IF($E35=$E$5,(P$5),(P$6))</f>
        <v>3.5107768311559071</v>
      </c>
      <c r="Q35" s="39">
        <f>'Degree-days'!$C$12*IF($E35=$E$5,(Q$5),(Q$6))</f>
        <v>3.5107768311559071</v>
      </c>
      <c r="R35" s="39">
        <f>'Degree-days'!$C$12*IF($E35=$E$5,(R$5),(R$6))</f>
        <v>3.5107768311559071</v>
      </c>
      <c r="S35" s="39">
        <f>'Degree-days'!$C$12*IF($E35=$E$5,(S$5),(S$6))</f>
        <v>3.5107768311559071</v>
      </c>
      <c r="T35" s="39">
        <f>'Degree-days'!$C$12*IF($E35=$E$5,(T$5),(T$6))</f>
        <v>3.5107768311559071</v>
      </c>
      <c r="U35" s="39">
        <f>'Degree-days'!$C$12*IF($E35=$E$5,(U$5),(U$6))</f>
        <v>3.5107768311559071</v>
      </c>
      <c r="V35" s="39">
        <f>'Degree-days'!$C$12*IF($E35=$E$5,(V$5),(V$6))</f>
        <v>3.5107768311559071</v>
      </c>
      <c r="W35" s="39">
        <f>'Degree-days'!$C$12*IF($E35=$E$5,(W$5),(W$6))</f>
        <v>3.5107768311559071</v>
      </c>
      <c r="X35" s="39">
        <f>'Degree-days'!$C$12*IF($E35=$E$5,(X$5),(X$6))</f>
        <v>3.5107768311559071</v>
      </c>
      <c r="Y35" s="39">
        <f>'Degree-days'!$C$12*IF($E35=$E$5,(Y$5),(Y$6))</f>
        <v>3.5107768311559071</v>
      </c>
      <c r="Z35" s="39">
        <f>'Degree-days'!$C$12*IF($E35=$E$5,(Z$5),(Z$6))</f>
        <v>3.5107768311559071</v>
      </c>
      <c r="AA35" s="39">
        <f>'Degree-days'!$C$12*IF($E35=$E$5,(AA$5),(AA$6))</f>
        <v>3.5107768311559071</v>
      </c>
      <c r="AB35" s="39">
        <f>'Degree-days'!$C$12*IF($E35=$E$5,(AB$5),(AB$6))</f>
        <v>0</v>
      </c>
      <c r="AC35" s="39">
        <f>'Degree-days'!$C$12*IF($E35=$E$5,(AC$5),(AC$6))</f>
        <v>0</v>
      </c>
      <c r="AD35" s="39">
        <f t="shared" si="1"/>
        <v>56.172429298494528</v>
      </c>
    </row>
    <row r="36" spans="4:32" x14ac:dyDescent="0.2">
      <c r="D36" s="37">
        <v>44955</v>
      </c>
      <c r="E36" s="17" t="str">
        <f t="shared" si="0"/>
        <v>weekend</v>
      </c>
      <c r="F36" s="39">
        <f>'Degree-days'!$C$12*IF($E36=$E$5,(F$5),(F$6))</f>
        <v>0</v>
      </c>
      <c r="G36" s="39">
        <f>'Degree-days'!$C$12*IF($E36=$E$5,(G$5),(G$6))</f>
        <v>0</v>
      </c>
      <c r="H36" s="39">
        <f>'Degree-days'!$C$12*IF($E36=$E$5,(H$5),(H$6))</f>
        <v>0</v>
      </c>
      <c r="I36" s="39">
        <f>'Degree-days'!$C$12*IF($E36=$E$5,(I$5),(I$6))</f>
        <v>0</v>
      </c>
      <c r="J36" s="39">
        <f>'Degree-days'!$C$12*IF($E36=$E$5,(J$5),(J$6))</f>
        <v>0</v>
      </c>
      <c r="K36" s="39">
        <f>'Degree-days'!$C$12*IF($E36=$E$5,(K$5),(K$6))</f>
        <v>0</v>
      </c>
      <c r="L36" s="39">
        <f>'Degree-days'!$C$12*IF($E36=$E$5,(L$5),(L$6))</f>
        <v>3.5107768311559071</v>
      </c>
      <c r="M36" s="39">
        <f>'Degree-days'!$C$12*IF($E36=$E$5,(M$5),(M$6))</f>
        <v>3.5107768311559071</v>
      </c>
      <c r="N36" s="39">
        <f>'Degree-days'!$C$12*IF($E36=$E$5,(N$5),(N$6))</f>
        <v>3.5107768311559071</v>
      </c>
      <c r="O36" s="39">
        <f>'Degree-days'!$C$12*IF($E36=$E$5,(O$5),(O$6))</f>
        <v>3.5107768311559071</v>
      </c>
      <c r="P36" s="39">
        <f>'Degree-days'!$C$12*IF($E36=$E$5,(P$5),(P$6))</f>
        <v>3.5107768311559071</v>
      </c>
      <c r="Q36" s="39">
        <f>'Degree-days'!$C$12*IF($E36=$E$5,(Q$5),(Q$6))</f>
        <v>3.5107768311559071</v>
      </c>
      <c r="R36" s="39">
        <f>'Degree-days'!$C$12*IF($E36=$E$5,(R$5),(R$6))</f>
        <v>3.5107768311559071</v>
      </c>
      <c r="S36" s="39">
        <f>'Degree-days'!$C$12*IF($E36=$E$5,(S$5),(S$6))</f>
        <v>3.5107768311559071</v>
      </c>
      <c r="T36" s="39">
        <f>'Degree-days'!$C$12*IF($E36=$E$5,(T$5),(T$6))</f>
        <v>3.5107768311559071</v>
      </c>
      <c r="U36" s="39">
        <f>'Degree-days'!$C$12*IF($E36=$E$5,(U$5),(U$6))</f>
        <v>3.5107768311559071</v>
      </c>
      <c r="V36" s="39">
        <f>'Degree-days'!$C$12*IF($E36=$E$5,(V$5),(V$6))</f>
        <v>3.5107768311559071</v>
      </c>
      <c r="W36" s="39">
        <f>'Degree-days'!$C$12*IF($E36=$E$5,(W$5),(W$6))</f>
        <v>3.5107768311559071</v>
      </c>
      <c r="X36" s="39">
        <f>'Degree-days'!$C$12*IF($E36=$E$5,(X$5),(X$6))</f>
        <v>3.5107768311559071</v>
      </c>
      <c r="Y36" s="39">
        <f>'Degree-days'!$C$12*IF($E36=$E$5,(Y$5),(Y$6))</f>
        <v>3.5107768311559071</v>
      </c>
      <c r="Z36" s="39">
        <f>'Degree-days'!$C$12*IF($E36=$E$5,(Z$5),(Z$6))</f>
        <v>3.5107768311559071</v>
      </c>
      <c r="AA36" s="39">
        <f>'Degree-days'!$C$12*IF($E36=$E$5,(AA$5),(AA$6))</f>
        <v>3.5107768311559071</v>
      </c>
      <c r="AB36" s="39">
        <f>'Degree-days'!$C$12*IF($E36=$E$5,(AB$5),(AB$6))</f>
        <v>0</v>
      </c>
      <c r="AC36" s="39">
        <f>'Degree-days'!$C$12*IF($E36=$E$5,(AC$5),(AC$6))</f>
        <v>0</v>
      </c>
      <c r="AD36" s="39">
        <f t="shared" si="1"/>
        <v>56.172429298494528</v>
      </c>
    </row>
    <row r="37" spans="4:32" x14ac:dyDescent="0.2">
      <c r="D37" s="37">
        <v>44956</v>
      </c>
      <c r="E37" s="17" t="str">
        <f t="shared" si="0"/>
        <v>weekday</v>
      </c>
      <c r="F37" s="39">
        <f>'Degree-days'!$C$12*IF($E37=$E$5,(F$5),(F$6))</f>
        <v>0</v>
      </c>
      <c r="G37" s="39">
        <f>'Degree-days'!$C$12*IF($E37=$E$5,(G$5),(G$6))</f>
        <v>0</v>
      </c>
      <c r="H37" s="39">
        <f>'Degree-days'!$C$12*IF($E37=$E$5,(H$5),(H$6))</f>
        <v>0</v>
      </c>
      <c r="I37" s="39">
        <f>'Degree-days'!$C$12*IF($E37=$E$5,(I$5),(I$6))</f>
        <v>0</v>
      </c>
      <c r="J37" s="39">
        <f>'Degree-days'!$C$12*IF($E37=$E$5,(J$5),(J$6))</f>
        <v>0</v>
      </c>
      <c r="K37" s="39">
        <f>'Degree-days'!$C$12*IF($E37=$E$5,(K$5),(K$6))</f>
        <v>0</v>
      </c>
      <c r="L37" s="39">
        <f>'Degree-days'!$C$12*IF($E37=$E$5,(L$5),(L$6))</f>
        <v>3.5107768311559071</v>
      </c>
      <c r="M37" s="39">
        <f>'Degree-days'!$C$12*IF($E37=$E$5,(M$5),(M$6))</f>
        <v>3.5107768311559071</v>
      </c>
      <c r="N37" s="39">
        <f>'Degree-days'!$C$12*IF($E37=$E$5,(N$5),(N$6))</f>
        <v>0</v>
      </c>
      <c r="O37" s="39">
        <f>'Degree-days'!$C$12*IF($E37=$E$5,(O$5),(O$6))</f>
        <v>0</v>
      </c>
      <c r="P37" s="39">
        <f>'Degree-days'!$C$12*IF($E37=$E$5,(P$5),(P$6))</f>
        <v>0</v>
      </c>
      <c r="Q37" s="39">
        <f>'Degree-days'!$C$12*IF($E37=$E$5,(Q$5),(Q$6))</f>
        <v>0</v>
      </c>
      <c r="R37" s="39">
        <f>'Degree-days'!$C$12*IF($E37=$E$5,(R$5),(R$6))</f>
        <v>0</v>
      </c>
      <c r="S37" s="39">
        <f>'Degree-days'!$C$12*IF($E37=$E$5,(S$5),(S$6))</f>
        <v>0</v>
      </c>
      <c r="T37" s="39">
        <f>'Degree-days'!$C$12*IF($E37=$E$5,(T$5),(T$6))</f>
        <v>0</v>
      </c>
      <c r="U37" s="39">
        <f>'Degree-days'!$C$12*IF($E37=$E$5,(U$5),(U$6))</f>
        <v>3.5107768311559071</v>
      </c>
      <c r="V37" s="39">
        <f>'Degree-days'!$C$12*IF($E37=$E$5,(V$5),(V$6))</f>
        <v>3.5107768311559071</v>
      </c>
      <c r="W37" s="39">
        <f>'Degree-days'!$C$12*IF($E37=$E$5,(W$5),(W$6))</f>
        <v>3.5107768311559071</v>
      </c>
      <c r="X37" s="39">
        <f>'Degree-days'!$C$12*IF($E37=$E$5,(X$5),(X$6))</f>
        <v>3.5107768311559071</v>
      </c>
      <c r="Y37" s="39">
        <f>'Degree-days'!$C$12*IF($E37=$E$5,(Y$5),(Y$6))</f>
        <v>3.5107768311559071</v>
      </c>
      <c r="Z37" s="39">
        <f>'Degree-days'!$C$12*IF($E37=$E$5,(Z$5),(Z$6))</f>
        <v>3.5107768311559071</v>
      </c>
      <c r="AA37" s="39">
        <f>'Degree-days'!$C$12*IF($E37=$E$5,(AA$5),(AA$6))</f>
        <v>3.5107768311559071</v>
      </c>
      <c r="AB37" s="39">
        <f>'Degree-days'!$C$12*IF($E37=$E$5,(AB$5),(AB$6))</f>
        <v>0</v>
      </c>
      <c r="AC37" s="39">
        <f>'Degree-days'!$C$12*IF($E37=$E$5,(AC$5),(AC$6))</f>
        <v>0</v>
      </c>
      <c r="AD37" s="39">
        <f t="shared" si="1"/>
        <v>31.596991480403169</v>
      </c>
    </row>
    <row r="38" spans="4:32" x14ac:dyDescent="0.2">
      <c r="D38" s="37">
        <v>44957</v>
      </c>
      <c r="E38" s="17" t="str">
        <f t="shared" si="0"/>
        <v>weekday</v>
      </c>
      <c r="F38" s="39">
        <f>'Degree-days'!$C$12*IF($E38=$E$5,(F$5),(F$6))</f>
        <v>0</v>
      </c>
      <c r="G38" s="39">
        <f>'Degree-days'!$C$12*IF($E38=$E$5,(G$5),(G$6))</f>
        <v>0</v>
      </c>
      <c r="H38" s="39">
        <f>'Degree-days'!$C$12*IF($E38=$E$5,(H$5),(H$6))</f>
        <v>0</v>
      </c>
      <c r="I38" s="39">
        <f>'Degree-days'!$C$12*IF($E38=$E$5,(I$5),(I$6))</f>
        <v>0</v>
      </c>
      <c r="J38" s="39">
        <f>'Degree-days'!$C$12*IF($E38=$E$5,(J$5),(J$6))</f>
        <v>0</v>
      </c>
      <c r="K38" s="39">
        <f>'Degree-days'!$C$12*IF($E38=$E$5,(K$5),(K$6))</f>
        <v>0</v>
      </c>
      <c r="L38" s="39">
        <f>'Degree-days'!$C$12*IF($E38=$E$5,(L$5),(L$6))</f>
        <v>3.5107768311559071</v>
      </c>
      <c r="M38" s="39">
        <f>'Degree-days'!$C$12*IF($E38=$E$5,(M$5),(M$6))</f>
        <v>3.5107768311559071</v>
      </c>
      <c r="N38" s="39">
        <f>'Degree-days'!$C$12*IF($E38=$E$5,(N$5),(N$6))</f>
        <v>0</v>
      </c>
      <c r="O38" s="39">
        <f>'Degree-days'!$C$12*IF($E38=$E$5,(O$5),(O$6))</f>
        <v>0</v>
      </c>
      <c r="P38" s="39">
        <f>'Degree-days'!$C$12*IF($E38=$E$5,(P$5),(P$6))</f>
        <v>0</v>
      </c>
      <c r="Q38" s="39">
        <f>'Degree-days'!$C$12*IF($E38=$E$5,(Q$5),(Q$6))</f>
        <v>0</v>
      </c>
      <c r="R38" s="39">
        <f>'Degree-days'!$C$12*IF($E38=$E$5,(R$5),(R$6))</f>
        <v>0</v>
      </c>
      <c r="S38" s="39">
        <f>'Degree-days'!$C$12*IF($E38=$E$5,(S$5),(S$6))</f>
        <v>0</v>
      </c>
      <c r="T38" s="39">
        <f>'Degree-days'!$C$12*IF($E38=$E$5,(T$5),(T$6))</f>
        <v>0</v>
      </c>
      <c r="U38" s="39">
        <f>'Degree-days'!$C$12*IF($E38=$E$5,(U$5),(U$6))</f>
        <v>3.5107768311559071</v>
      </c>
      <c r="V38" s="39">
        <f>'Degree-days'!$C$12*IF($E38=$E$5,(V$5),(V$6))</f>
        <v>3.5107768311559071</v>
      </c>
      <c r="W38" s="39">
        <f>'Degree-days'!$C$12*IF($E38=$E$5,(W$5),(W$6))</f>
        <v>3.5107768311559071</v>
      </c>
      <c r="X38" s="39">
        <f>'Degree-days'!$C$12*IF($E38=$E$5,(X$5),(X$6))</f>
        <v>3.5107768311559071</v>
      </c>
      <c r="Y38" s="39">
        <f>'Degree-days'!$C$12*IF($E38=$E$5,(Y$5),(Y$6))</f>
        <v>3.5107768311559071</v>
      </c>
      <c r="Z38" s="39">
        <f>'Degree-days'!$C$12*IF($E38=$E$5,(Z$5),(Z$6))</f>
        <v>3.5107768311559071</v>
      </c>
      <c r="AA38" s="39">
        <f>'Degree-days'!$C$12*IF($E38=$E$5,(AA$5),(AA$6))</f>
        <v>3.5107768311559071</v>
      </c>
      <c r="AB38" s="39">
        <f>'Degree-days'!$C$12*IF($E38=$E$5,(AB$5),(AB$6))</f>
        <v>0</v>
      </c>
      <c r="AC38" s="39">
        <f>'Degree-days'!$C$12*IF($E38=$E$5,(AC$5),(AC$6))</f>
        <v>0</v>
      </c>
      <c r="AD38" s="39">
        <f t="shared" si="1"/>
        <v>31.596991480403169</v>
      </c>
      <c r="AE38" s="40">
        <f>SUM(AD8:AD38)</f>
        <v>1200.6856762553205</v>
      </c>
      <c r="AF38" s="35">
        <f>'Degree-days'!C11</f>
        <v>1200.6856762553202</v>
      </c>
    </row>
    <row r="39" spans="4:32" x14ac:dyDescent="0.2">
      <c r="D39" s="37">
        <v>44958</v>
      </c>
      <c r="E39" s="17" t="str">
        <f t="shared" si="0"/>
        <v>weekday</v>
      </c>
      <c r="F39" s="39">
        <f>'Degree-days'!$D$12*IF($E39=$E$5,(F$5),(F$6))</f>
        <v>0</v>
      </c>
      <c r="G39" s="39">
        <f>'Degree-days'!$D$12*IF($E39=$E$5,(G$5),(G$6))</f>
        <v>0</v>
      </c>
      <c r="H39" s="39">
        <f>'Degree-days'!$D$12*IF($E39=$E$5,(H$5),(H$6))</f>
        <v>0</v>
      </c>
      <c r="I39" s="39">
        <f>'Degree-days'!$D$12*IF($E39=$E$5,(I$5),(I$6))</f>
        <v>0</v>
      </c>
      <c r="J39" s="39">
        <f>'Degree-days'!$D$12*IF($E39=$E$5,(J$5),(J$6))</f>
        <v>0</v>
      </c>
      <c r="K39" s="39">
        <f>'Degree-days'!$D$12*IF($E39=$E$5,(K$5),(K$6))</f>
        <v>0</v>
      </c>
      <c r="L39" s="39">
        <f>'Degree-days'!$D$12*IF($E39=$E$5,(L$5),(L$6))</f>
        <v>3.4347685255344489</v>
      </c>
      <c r="M39" s="39">
        <f>'Degree-days'!$D$12*IF($E39=$E$5,(M$5),(M$6))</f>
        <v>3.4347685255344489</v>
      </c>
      <c r="N39" s="39">
        <f>'Degree-days'!$D$12*IF($E39=$E$5,(N$5),(N$6))</f>
        <v>0</v>
      </c>
      <c r="O39" s="39">
        <f>'Degree-days'!$D$12*IF($E39=$E$5,(O$5),(O$6))</f>
        <v>0</v>
      </c>
      <c r="P39" s="39">
        <f>'Degree-days'!$D$12*IF($E39=$E$5,(P$5),(P$6))</f>
        <v>0</v>
      </c>
      <c r="Q39" s="39">
        <f>'Degree-days'!$D$12*IF($E39=$E$5,(Q$5),(Q$6))</f>
        <v>0</v>
      </c>
      <c r="R39" s="39">
        <f>'Degree-days'!$D$12*IF($E39=$E$5,(R$5),(R$6))</f>
        <v>0</v>
      </c>
      <c r="S39" s="39">
        <f>'Degree-days'!$D$12*IF($E39=$E$5,(S$5),(S$6))</f>
        <v>0</v>
      </c>
      <c r="T39" s="39">
        <f>'Degree-days'!$D$12*IF($E39=$E$5,(T$5),(T$6))</f>
        <v>0</v>
      </c>
      <c r="U39" s="39">
        <f>'Degree-days'!$D$12*IF($E39=$E$5,(U$5),(U$6))</f>
        <v>3.4347685255344489</v>
      </c>
      <c r="V39" s="39">
        <f>'Degree-days'!$D$12*IF($E39=$E$5,(V$5),(V$6))</f>
        <v>3.4347685255344489</v>
      </c>
      <c r="W39" s="39">
        <f>'Degree-days'!$D$12*IF($E39=$E$5,(W$5),(W$6))</f>
        <v>3.4347685255344489</v>
      </c>
      <c r="X39" s="39">
        <f>'Degree-days'!$D$12*IF($E39=$E$5,(X$5),(X$6))</f>
        <v>3.4347685255344489</v>
      </c>
      <c r="Y39" s="39">
        <f>'Degree-days'!$D$12*IF($E39=$E$5,(Y$5),(Y$6))</f>
        <v>3.4347685255344489</v>
      </c>
      <c r="Z39" s="39">
        <f>'Degree-days'!$D$12*IF($E39=$E$5,(Z$5),(Z$6))</f>
        <v>3.4347685255344489</v>
      </c>
      <c r="AA39" s="39">
        <f>'Degree-days'!$D$12*IF($E39=$E$5,(AA$5),(AA$6))</f>
        <v>3.4347685255344489</v>
      </c>
      <c r="AB39" s="39">
        <f>'Degree-days'!$D$12*IF($E39=$E$5,(AB$5),(AB$6))</f>
        <v>0</v>
      </c>
      <c r="AC39" s="39">
        <f>'Degree-days'!$D$12*IF($E39=$E$5,(AC$5),(AC$6))</f>
        <v>0</v>
      </c>
      <c r="AD39" s="39">
        <f t="shared" si="1"/>
        <v>30.912916729810036</v>
      </c>
    </row>
    <row r="40" spans="4:32" x14ac:dyDescent="0.2">
      <c r="D40" s="37">
        <v>44959</v>
      </c>
      <c r="E40" s="17" t="str">
        <f t="shared" si="0"/>
        <v>weekday</v>
      </c>
      <c r="F40" s="39">
        <f>'Degree-days'!$D$12*IF($E40=$E$5,(F$5),(F$6))</f>
        <v>0</v>
      </c>
      <c r="G40" s="39">
        <f>'Degree-days'!$D$12*IF($E40=$E$5,(G$5),(G$6))</f>
        <v>0</v>
      </c>
      <c r="H40" s="39">
        <f>'Degree-days'!$D$12*IF($E40=$E$5,(H$5),(H$6))</f>
        <v>0</v>
      </c>
      <c r="I40" s="39">
        <f>'Degree-days'!$D$12*IF($E40=$E$5,(I$5),(I$6))</f>
        <v>0</v>
      </c>
      <c r="J40" s="39">
        <f>'Degree-days'!$D$12*IF($E40=$E$5,(J$5),(J$6))</f>
        <v>0</v>
      </c>
      <c r="K40" s="39">
        <f>'Degree-days'!$D$12*IF($E40=$E$5,(K$5),(K$6))</f>
        <v>0</v>
      </c>
      <c r="L40" s="39">
        <f>'Degree-days'!$D$12*IF($E40=$E$5,(L$5),(L$6))</f>
        <v>3.4347685255344489</v>
      </c>
      <c r="M40" s="39">
        <f>'Degree-days'!$D$12*IF($E40=$E$5,(M$5),(M$6))</f>
        <v>3.4347685255344489</v>
      </c>
      <c r="N40" s="39">
        <f>'Degree-days'!$D$12*IF($E40=$E$5,(N$5),(N$6))</f>
        <v>0</v>
      </c>
      <c r="O40" s="39">
        <f>'Degree-days'!$D$12*IF($E40=$E$5,(O$5),(O$6))</f>
        <v>0</v>
      </c>
      <c r="P40" s="39">
        <f>'Degree-days'!$D$12*IF($E40=$E$5,(P$5),(P$6))</f>
        <v>0</v>
      </c>
      <c r="Q40" s="39">
        <f>'Degree-days'!$D$12*IF($E40=$E$5,(Q$5),(Q$6))</f>
        <v>0</v>
      </c>
      <c r="R40" s="39">
        <f>'Degree-days'!$D$12*IF($E40=$E$5,(R$5),(R$6))</f>
        <v>0</v>
      </c>
      <c r="S40" s="39">
        <f>'Degree-days'!$D$12*IF($E40=$E$5,(S$5),(S$6))</f>
        <v>0</v>
      </c>
      <c r="T40" s="39">
        <f>'Degree-days'!$D$12*IF($E40=$E$5,(T$5),(T$6))</f>
        <v>0</v>
      </c>
      <c r="U40" s="39">
        <f>'Degree-days'!$D$12*IF($E40=$E$5,(U$5),(U$6))</f>
        <v>3.4347685255344489</v>
      </c>
      <c r="V40" s="39">
        <f>'Degree-days'!$D$12*IF($E40=$E$5,(V$5),(V$6))</f>
        <v>3.4347685255344489</v>
      </c>
      <c r="W40" s="39">
        <f>'Degree-days'!$D$12*IF($E40=$E$5,(W$5),(W$6))</f>
        <v>3.4347685255344489</v>
      </c>
      <c r="X40" s="39">
        <f>'Degree-days'!$D$12*IF($E40=$E$5,(X$5),(X$6))</f>
        <v>3.4347685255344489</v>
      </c>
      <c r="Y40" s="39">
        <f>'Degree-days'!$D$12*IF($E40=$E$5,(Y$5),(Y$6))</f>
        <v>3.4347685255344489</v>
      </c>
      <c r="Z40" s="39">
        <f>'Degree-days'!$D$12*IF($E40=$E$5,(Z$5),(Z$6))</f>
        <v>3.4347685255344489</v>
      </c>
      <c r="AA40" s="39">
        <f>'Degree-days'!$D$12*IF($E40=$E$5,(AA$5),(AA$6))</f>
        <v>3.4347685255344489</v>
      </c>
      <c r="AB40" s="39">
        <f>'Degree-days'!$D$12*IF($E40=$E$5,(AB$5),(AB$6))</f>
        <v>0</v>
      </c>
      <c r="AC40" s="39">
        <f>'Degree-days'!$D$12*IF($E40=$E$5,(AC$5),(AC$6))</f>
        <v>0</v>
      </c>
      <c r="AD40" s="39">
        <f t="shared" si="1"/>
        <v>30.912916729810036</v>
      </c>
    </row>
    <row r="41" spans="4:32" x14ac:dyDescent="0.2">
      <c r="D41" s="37">
        <v>44960</v>
      </c>
      <c r="E41" s="17" t="str">
        <f t="shared" si="0"/>
        <v>weekday</v>
      </c>
      <c r="F41" s="39">
        <f>'Degree-days'!$D$12*IF($E41=$E$5,(F$5),(F$6))</f>
        <v>0</v>
      </c>
      <c r="G41" s="39">
        <f>'Degree-days'!$D$12*IF($E41=$E$5,(G$5),(G$6))</f>
        <v>0</v>
      </c>
      <c r="H41" s="39">
        <f>'Degree-days'!$D$12*IF($E41=$E$5,(H$5),(H$6))</f>
        <v>0</v>
      </c>
      <c r="I41" s="39">
        <f>'Degree-days'!$D$12*IF($E41=$E$5,(I$5),(I$6))</f>
        <v>0</v>
      </c>
      <c r="J41" s="39">
        <f>'Degree-days'!$D$12*IF($E41=$E$5,(J$5),(J$6))</f>
        <v>0</v>
      </c>
      <c r="K41" s="39">
        <f>'Degree-days'!$D$12*IF($E41=$E$5,(K$5),(K$6))</f>
        <v>0</v>
      </c>
      <c r="L41" s="39">
        <f>'Degree-days'!$D$12*IF($E41=$E$5,(L$5),(L$6))</f>
        <v>3.4347685255344489</v>
      </c>
      <c r="M41" s="39">
        <f>'Degree-days'!$D$12*IF($E41=$E$5,(M$5),(M$6))</f>
        <v>3.4347685255344489</v>
      </c>
      <c r="N41" s="39">
        <f>'Degree-days'!$D$12*IF($E41=$E$5,(N$5),(N$6))</f>
        <v>0</v>
      </c>
      <c r="O41" s="39">
        <f>'Degree-days'!$D$12*IF($E41=$E$5,(O$5),(O$6))</f>
        <v>0</v>
      </c>
      <c r="P41" s="39">
        <f>'Degree-days'!$D$12*IF($E41=$E$5,(P$5),(P$6))</f>
        <v>0</v>
      </c>
      <c r="Q41" s="39">
        <f>'Degree-days'!$D$12*IF($E41=$E$5,(Q$5),(Q$6))</f>
        <v>0</v>
      </c>
      <c r="R41" s="39">
        <f>'Degree-days'!$D$12*IF($E41=$E$5,(R$5),(R$6))</f>
        <v>0</v>
      </c>
      <c r="S41" s="39">
        <f>'Degree-days'!$D$12*IF($E41=$E$5,(S$5),(S$6))</f>
        <v>0</v>
      </c>
      <c r="T41" s="39">
        <f>'Degree-days'!$D$12*IF($E41=$E$5,(T$5),(T$6))</f>
        <v>0</v>
      </c>
      <c r="U41" s="39">
        <f>'Degree-days'!$D$12*IF($E41=$E$5,(U$5),(U$6))</f>
        <v>3.4347685255344489</v>
      </c>
      <c r="V41" s="39">
        <f>'Degree-days'!$D$12*IF($E41=$E$5,(V$5),(V$6))</f>
        <v>3.4347685255344489</v>
      </c>
      <c r="W41" s="39">
        <f>'Degree-days'!$D$12*IF($E41=$E$5,(W$5),(W$6))</f>
        <v>3.4347685255344489</v>
      </c>
      <c r="X41" s="39">
        <f>'Degree-days'!$D$12*IF($E41=$E$5,(X$5),(X$6))</f>
        <v>3.4347685255344489</v>
      </c>
      <c r="Y41" s="39">
        <f>'Degree-days'!$D$12*IF($E41=$E$5,(Y$5),(Y$6))</f>
        <v>3.4347685255344489</v>
      </c>
      <c r="Z41" s="39">
        <f>'Degree-days'!$D$12*IF($E41=$E$5,(Z$5),(Z$6))</f>
        <v>3.4347685255344489</v>
      </c>
      <c r="AA41" s="39">
        <f>'Degree-days'!$D$12*IF($E41=$E$5,(AA$5),(AA$6))</f>
        <v>3.4347685255344489</v>
      </c>
      <c r="AB41" s="39">
        <f>'Degree-days'!$D$12*IF($E41=$E$5,(AB$5),(AB$6))</f>
        <v>0</v>
      </c>
      <c r="AC41" s="39">
        <f>'Degree-days'!$D$12*IF($E41=$E$5,(AC$5),(AC$6))</f>
        <v>0</v>
      </c>
      <c r="AD41" s="39">
        <f t="shared" si="1"/>
        <v>30.912916729810036</v>
      </c>
    </row>
    <row r="42" spans="4:32" x14ac:dyDescent="0.2">
      <c r="D42" s="37">
        <v>44961</v>
      </c>
      <c r="E42" s="17" t="str">
        <f t="shared" si="0"/>
        <v>weekend</v>
      </c>
      <c r="F42" s="39">
        <f>'Degree-days'!$D$12*IF($E42=$E$5,(F$5),(F$6))</f>
        <v>0</v>
      </c>
      <c r="G42" s="39">
        <f>'Degree-days'!$D$12*IF($E42=$E$5,(G$5),(G$6))</f>
        <v>0</v>
      </c>
      <c r="H42" s="39">
        <f>'Degree-days'!$D$12*IF($E42=$E$5,(H$5),(H$6))</f>
        <v>0</v>
      </c>
      <c r="I42" s="39">
        <f>'Degree-days'!$D$12*IF($E42=$E$5,(I$5),(I$6))</f>
        <v>0</v>
      </c>
      <c r="J42" s="39">
        <f>'Degree-days'!$D$12*IF($E42=$E$5,(J$5),(J$6))</f>
        <v>0</v>
      </c>
      <c r="K42" s="39">
        <f>'Degree-days'!$D$12*IF($E42=$E$5,(K$5),(K$6))</f>
        <v>0</v>
      </c>
      <c r="L42" s="39">
        <f>'Degree-days'!$D$12*IF($E42=$E$5,(L$5),(L$6))</f>
        <v>3.4347685255344489</v>
      </c>
      <c r="M42" s="39">
        <f>'Degree-days'!$D$12*IF($E42=$E$5,(M$5),(M$6))</f>
        <v>3.4347685255344489</v>
      </c>
      <c r="N42" s="39">
        <f>'Degree-days'!$D$12*IF($E42=$E$5,(N$5),(N$6))</f>
        <v>3.4347685255344489</v>
      </c>
      <c r="O42" s="39">
        <f>'Degree-days'!$D$12*IF($E42=$E$5,(O$5),(O$6))</f>
        <v>3.4347685255344489</v>
      </c>
      <c r="P42" s="39">
        <f>'Degree-days'!$D$12*IF($E42=$E$5,(P$5),(P$6))</f>
        <v>3.4347685255344489</v>
      </c>
      <c r="Q42" s="39">
        <f>'Degree-days'!$D$12*IF($E42=$E$5,(Q$5),(Q$6))</f>
        <v>3.4347685255344489</v>
      </c>
      <c r="R42" s="39">
        <f>'Degree-days'!$D$12*IF($E42=$E$5,(R$5),(R$6))</f>
        <v>3.4347685255344489</v>
      </c>
      <c r="S42" s="39">
        <f>'Degree-days'!$D$12*IF($E42=$E$5,(S$5),(S$6))</f>
        <v>3.4347685255344489</v>
      </c>
      <c r="T42" s="39">
        <f>'Degree-days'!$D$12*IF($E42=$E$5,(T$5),(T$6))</f>
        <v>3.4347685255344489</v>
      </c>
      <c r="U42" s="39">
        <f>'Degree-days'!$D$12*IF($E42=$E$5,(U$5),(U$6))</f>
        <v>3.4347685255344489</v>
      </c>
      <c r="V42" s="39">
        <f>'Degree-days'!$D$12*IF($E42=$E$5,(V$5),(V$6))</f>
        <v>3.4347685255344489</v>
      </c>
      <c r="W42" s="39">
        <f>'Degree-days'!$D$12*IF($E42=$E$5,(W$5),(W$6))</f>
        <v>3.4347685255344489</v>
      </c>
      <c r="X42" s="39">
        <f>'Degree-days'!$D$12*IF($E42=$E$5,(X$5),(X$6))</f>
        <v>3.4347685255344489</v>
      </c>
      <c r="Y42" s="39">
        <f>'Degree-days'!$D$12*IF($E42=$E$5,(Y$5),(Y$6))</f>
        <v>3.4347685255344489</v>
      </c>
      <c r="Z42" s="39">
        <f>'Degree-days'!$D$12*IF($E42=$E$5,(Z$5),(Z$6))</f>
        <v>3.4347685255344489</v>
      </c>
      <c r="AA42" s="39">
        <f>'Degree-days'!$D$12*IF($E42=$E$5,(AA$5),(AA$6))</f>
        <v>3.4347685255344489</v>
      </c>
      <c r="AB42" s="39">
        <f>'Degree-days'!$D$12*IF($E42=$E$5,(AB$5),(AB$6))</f>
        <v>0</v>
      </c>
      <c r="AC42" s="39">
        <f>'Degree-days'!$D$12*IF($E42=$E$5,(AC$5),(AC$6))</f>
        <v>0</v>
      </c>
      <c r="AD42" s="39">
        <f t="shared" si="1"/>
        <v>54.956296408551196</v>
      </c>
    </row>
    <row r="43" spans="4:32" x14ac:dyDescent="0.2">
      <c r="D43" s="37">
        <v>44962</v>
      </c>
      <c r="E43" s="17" t="str">
        <f t="shared" si="0"/>
        <v>weekend</v>
      </c>
      <c r="F43" s="39">
        <f>'Degree-days'!$D$12*IF($E43=$E$5,(F$5),(F$6))</f>
        <v>0</v>
      </c>
      <c r="G43" s="39">
        <f>'Degree-days'!$D$12*IF($E43=$E$5,(G$5),(G$6))</f>
        <v>0</v>
      </c>
      <c r="H43" s="39">
        <f>'Degree-days'!$D$12*IF($E43=$E$5,(H$5),(H$6))</f>
        <v>0</v>
      </c>
      <c r="I43" s="39">
        <f>'Degree-days'!$D$12*IF($E43=$E$5,(I$5),(I$6))</f>
        <v>0</v>
      </c>
      <c r="J43" s="39">
        <f>'Degree-days'!$D$12*IF($E43=$E$5,(J$5),(J$6))</f>
        <v>0</v>
      </c>
      <c r="K43" s="39">
        <f>'Degree-days'!$D$12*IF($E43=$E$5,(K$5),(K$6))</f>
        <v>0</v>
      </c>
      <c r="L43" s="39">
        <f>'Degree-days'!$D$12*IF($E43=$E$5,(L$5),(L$6))</f>
        <v>3.4347685255344489</v>
      </c>
      <c r="M43" s="39">
        <f>'Degree-days'!$D$12*IF($E43=$E$5,(M$5),(M$6))</f>
        <v>3.4347685255344489</v>
      </c>
      <c r="N43" s="39">
        <f>'Degree-days'!$D$12*IF($E43=$E$5,(N$5),(N$6))</f>
        <v>3.4347685255344489</v>
      </c>
      <c r="O43" s="39">
        <f>'Degree-days'!$D$12*IF($E43=$E$5,(O$5),(O$6))</f>
        <v>3.4347685255344489</v>
      </c>
      <c r="P43" s="39">
        <f>'Degree-days'!$D$12*IF($E43=$E$5,(P$5),(P$6))</f>
        <v>3.4347685255344489</v>
      </c>
      <c r="Q43" s="39">
        <f>'Degree-days'!$D$12*IF($E43=$E$5,(Q$5),(Q$6))</f>
        <v>3.4347685255344489</v>
      </c>
      <c r="R43" s="39">
        <f>'Degree-days'!$D$12*IF($E43=$E$5,(R$5),(R$6))</f>
        <v>3.4347685255344489</v>
      </c>
      <c r="S43" s="39">
        <f>'Degree-days'!$D$12*IF($E43=$E$5,(S$5),(S$6))</f>
        <v>3.4347685255344489</v>
      </c>
      <c r="T43" s="39">
        <f>'Degree-days'!$D$12*IF($E43=$E$5,(T$5),(T$6))</f>
        <v>3.4347685255344489</v>
      </c>
      <c r="U43" s="39">
        <f>'Degree-days'!$D$12*IF($E43=$E$5,(U$5),(U$6))</f>
        <v>3.4347685255344489</v>
      </c>
      <c r="V43" s="39">
        <f>'Degree-days'!$D$12*IF($E43=$E$5,(V$5),(V$6))</f>
        <v>3.4347685255344489</v>
      </c>
      <c r="W43" s="39">
        <f>'Degree-days'!$D$12*IF($E43=$E$5,(W$5),(W$6))</f>
        <v>3.4347685255344489</v>
      </c>
      <c r="X43" s="39">
        <f>'Degree-days'!$D$12*IF($E43=$E$5,(X$5),(X$6))</f>
        <v>3.4347685255344489</v>
      </c>
      <c r="Y43" s="39">
        <f>'Degree-days'!$D$12*IF($E43=$E$5,(Y$5),(Y$6))</f>
        <v>3.4347685255344489</v>
      </c>
      <c r="Z43" s="39">
        <f>'Degree-days'!$D$12*IF($E43=$E$5,(Z$5),(Z$6))</f>
        <v>3.4347685255344489</v>
      </c>
      <c r="AA43" s="39">
        <f>'Degree-days'!$D$12*IF($E43=$E$5,(AA$5),(AA$6))</f>
        <v>3.4347685255344489</v>
      </c>
      <c r="AB43" s="39">
        <f>'Degree-days'!$D$12*IF($E43=$E$5,(AB$5),(AB$6))</f>
        <v>0</v>
      </c>
      <c r="AC43" s="39">
        <f>'Degree-days'!$D$12*IF($E43=$E$5,(AC$5),(AC$6))</f>
        <v>0</v>
      </c>
      <c r="AD43" s="39">
        <f t="shared" si="1"/>
        <v>54.956296408551196</v>
      </c>
    </row>
    <row r="44" spans="4:32" x14ac:dyDescent="0.2">
      <c r="D44" s="37">
        <v>44963</v>
      </c>
      <c r="E44" s="17" t="str">
        <f t="shared" si="0"/>
        <v>weekday</v>
      </c>
      <c r="F44" s="39">
        <f>'Degree-days'!$D$12*IF($E44=$E$5,(F$5),(F$6))</f>
        <v>0</v>
      </c>
      <c r="G44" s="39">
        <f>'Degree-days'!$D$12*IF($E44=$E$5,(G$5),(G$6))</f>
        <v>0</v>
      </c>
      <c r="H44" s="39">
        <f>'Degree-days'!$D$12*IF($E44=$E$5,(H$5),(H$6))</f>
        <v>0</v>
      </c>
      <c r="I44" s="39">
        <f>'Degree-days'!$D$12*IF($E44=$E$5,(I$5),(I$6))</f>
        <v>0</v>
      </c>
      <c r="J44" s="39">
        <f>'Degree-days'!$D$12*IF($E44=$E$5,(J$5),(J$6))</f>
        <v>0</v>
      </c>
      <c r="K44" s="39">
        <f>'Degree-days'!$D$12*IF($E44=$E$5,(K$5),(K$6))</f>
        <v>0</v>
      </c>
      <c r="L44" s="39">
        <f>'Degree-days'!$D$12*IF($E44=$E$5,(L$5),(L$6))</f>
        <v>3.4347685255344489</v>
      </c>
      <c r="M44" s="39">
        <f>'Degree-days'!$D$12*IF($E44=$E$5,(M$5),(M$6))</f>
        <v>3.4347685255344489</v>
      </c>
      <c r="N44" s="39">
        <f>'Degree-days'!$D$12*IF($E44=$E$5,(N$5),(N$6))</f>
        <v>0</v>
      </c>
      <c r="O44" s="39">
        <f>'Degree-days'!$D$12*IF($E44=$E$5,(O$5),(O$6))</f>
        <v>0</v>
      </c>
      <c r="P44" s="39">
        <f>'Degree-days'!$D$12*IF($E44=$E$5,(P$5),(P$6))</f>
        <v>0</v>
      </c>
      <c r="Q44" s="39">
        <f>'Degree-days'!$D$12*IF($E44=$E$5,(Q$5),(Q$6))</f>
        <v>0</v>
      </c>
      <c r="R44" s="39">
        <f>'Degree-days'!$D$12*IF($E44=$E$5,(R$5),(R$6))</f>
        <v>0</v>
      </c>
      <c r="S44" s="39">
        <f>'Degree-days'!$D$12*IF($E44=$E$5,(S$5),(S$6))</f>
        <v>0</v>
      </c>
      <c r="T44" s="39">
        <f>'Degree-days'!$D$12*IF($E44=$E$5,(T$5),(T$6))</f>
        <v>0</v>
      </c>
      <c r="U44" s="39">
        <f>'Degree-days'!$D$12*IF($E44=$E$5,(U$5),(U$6))</f>
        <v>3.4347685255344489</v>
      </c>
      <c r="V44" s="39">
        <f>'Degree-days'!$D$12*IF($E44=$E$5,(V$5),(V$6))</f>
        <v>3.4347685255344489</v>
      </c>
      <c r="W44" s="39">
        <f>'Degree-days'!$D$12*IF($E44=$E$5,(W$5),(W$6))</f>
        <v>3.4347685255344489</v>
      </c>
      <c r="X44" s="39">
        <f>'Degree-days'!$D$12*IF($E44=$E$5,(X$5),(X$6))</f>
        <v>3.4347685255344489</v>
      </c>
      <c r="Y44" s="39">
        <f>'Degree-days'!$D$12*IF($E44=$E$5,(Y$5),(Y$6))</f>
        <v>3.4347685255344489</v>
      </c>
      <c r="Z44" s="39">
        <f>'Degree-days'!$D$12*IF($E44=$E$5,(Z$5),(Z$6))</f>
        <v>3.4347685255344489</v>
      </c>
      <c r="AA44" s="39">
        <f>'Degree-days'!$D$12*IF($E44=$E$5,(AA$5),(AA$6))</f>
        <v>3.4347685255344489</v>
      </c>
      <c r="AB44" s="39">
        <f>'Degree-days'!$D$12*IF($E44=$E$5,(AB$5),(AB$6))</f>
        <v>0</v>
      </c>
      <c r="AC44" s="39">
        <f>'Degree-days'!$D$12*IF($E44=$E$5,(AC$5),(AC$6))</f>
        <v>0</v>
      </c>
      <c r="AD44" s="39">
        <f t="shared" si="1"/>
        <v>30.912916729810036</v>
      </c>
    </row>
    <row r="45" spans="4:32" x14ac:dyDescent="0.2">
      <c r="D45" s="37">
        <v>44964</v>
      </c>
      <c r="E45" s="17" t="str">
        <f t="shared" si="0"/>
        <v>weekday</v>
      </c>
      <c r="F45" s="39">
        <f>'Degree-days'!$D$12*IF($E45=$E$5,(F$5),(F$6))</f>
        <v>0</v>
      </c>
      <c r="G45" s="39">
        <f>'Degree-days'!$D$12*IF($E45=$E$5,(G$5),(G$6))</f>
        <v>0</v>
      </c>
      <c r="H45" s="39">
        <f>'Degree-days'!$D$12*IF($E45=$E$5,(H$5),(H$6))</f>
        <v>0</v>
      </c>
      <c r="I45" s="39">
        <f>'Degree-days'!$D$12*IF($E45=$E$5,(I$5),(I$6))</f>
        <v>0</v>
      </c>
      <c r="J45" s="39">
        <f>'Degree-days'!$D$12*IF($E45=$E$5,(J$5),(J$6))</f>
        <v>0</v>
      </c>
      <c r="K45" s="39">
        <f>'Degree-days'!$D$12*IF($E45=$E$5,(K$5),(K$6))</f>
        <v>0</v>
      </c>
      <c r="L45" s="39">
        <f>'Degree-days'!$D$12*IF($E45=$E$5,(L$5),(L$6))</f>
        <v>3.4347685255344489</v>
      </c>
      <c r="M45" s="39">
        <f>'Degree-days'!$D$12*IF($E45=$E$5,(M$5),(M$6))</f>
        <v>3.4347685255344489</v>
      </c>
      <c r="N45" s="39">
        <f>'Degree-days'!$D$12*IF($E45=$E$5,(N$5),(N$6))</f>
        <v>0</v>
      </c>
      <c r="O45" s="39">
        <f>'Degree-days'!$D$12*IF($E45=$E$5,(O$5),(O$6))</f>
        <v>0</v>
      </c>
      <c r="P45" s="39">
        <f>'Degree-days'!$D$12*IF($E45=$E$5,(P$5),(P$6))</f>
        <v>0</v>
      </c>
      <c r="Q45" s="39">
        <f>'Degree-days'!$D$12*IF($E45=$E$5,(Q$5),(Q$6))</f>
        <v>0</v>
      </c>
      <c r="R45" s="39">
        <f>'Degree-days'!$D$12*IF($E45=$E$5,(R$5),(R$6))</f>
        <v>0</v>
      </c>
      <c r="S45" s="39">
        <f>'Degree-days'!$D$12*IF($E45=$E$5,(S$5),(S$6))</f>
        <v>0</v>
      </c>
      <c r="T45" s="39">
        <f>'Degree-days'!$D$12*IF($E45=$E$5,(T$5),(T$6))</f>
        <v>0</v>
      </c>
      <c r="U45" s="39">
        <f>'Degree-days'!$D$12*IF($E45=$E$5,(U$5),(U$6))</f>
        <v>3.4347685255344489</v>
      </c>
      <c r="V45" s="39">
        <f>'Degree-days'!$D$12*IF($E45=$E$5,(V$5),(V$6))</f>
        <v>3.4347685255344489</v>
      </c>
      <c r="W45" s="39">
        <f>'Degree-days'!$D$12*IF($E45=$E$5,(W$5),(W$6))</f>
        <v>3.4347685255344489</v>
      </c>
      <c r="X45" s="39">
        <f>'Degree-days'!$D$12*IF($E45=$E$5,(X$5),(X$6))</f>
        <v>3.4347685255344489</v>
      </c>
      <c r="Y45" s="39">
        <f>'Degree-days'!$D$12*IF($E45=$E$5,(Y$5),(Y$6))</f>
        <v>3.4347685255344489</v>
      </c>
      <c r="Z45" s="39">
        <f>'Degree-days'!$D$12*IF($E45=$E$5,(Z$5),(Z$6))</f>
        <v>3.4347685255344489</v>
      </c>
      <c r="AA45" s="39">
        <f>'Degree-days'!$D$12*IF($E45=$E$5,(AA$5),(AA$6))</f>
        <v>3.4347685255344489</v>
      </c>
      <c r="AB45" s="39">
        <f>'Degree-days'!$D$12*IF($E45=$E$5,(AB$5),(AB$6))</f>
        <v>0</v>
      </c>
      <c r="AC45" s="39">
        <f>'Degree-days'!$D$12*IF($E45=$E$5,(AC$5),(AC$6))</f>
        <v>0</v>
      </c>
      <c r="AD45" s="39">
        <f t="shared" si="1"/>
        <v>30.912916729810036</v>
      </c>
    </row>
    <row r="46" spans="4:32" x14ac:dyDescent="0.2">
      <c r="D46" s="37">
        <v>44965</v>
      </c>
      <c r="E46" s="17" t="str">
        <f t="shared" si="0"/>
        <v>weekday</v>
      </c>
      <c r="F46" s="39">
        <f>'Degree-days'!$D$12*IF($E46=$E$5,(F$5),(F$6))</f>
        <v>0</v>
      </c>
      <c r="G46" s="39">
        <f>'Degree-days'!$D$12*IF($E46=$E$5,(G$5),(G$6))</f>
        <v>0</v>
      </c>
      <c r="H46" s="39">
        <f>'Degree-days'!$D$12*IF($E46=$E$5,(H$5),(H$6))</f>
        <v>0</v>
      </c>
      <c r="I46" s="39">
        <f>'Degree-days'!$D$12*IF($E46=$E$5,(I$5),(I$6))</f>
        <v>0</v>
      </c>
      <c r="J46" s="39">
        <f>'Degree-days'!$D$12*IF($E46=$E$5,(J$5),(J$6))</f>
        <v>0</v>
      </c>
      <c r="K46" s="39">
        <f>'Degree-days'!$D$12*IF($E46=$E$5,(K$5),(K$6))</f>
        <v>0</v>
      </c>
      <c r="L46" s="39">
        <f>'Degree-days'!$D$12*IF($E46=$E$5,(L$5),(L$6))</f>
        <v>3.4347685255344489</v>
      </c>
      <c r="M46" s="39">
        <f>'Degree-days'!$D$12*IF($E46=$E$5,(M$5),(M$6))</f>
        <v>3.4347685255344489</v>
      </c>
      <c r="N46" s="39">
        <f>'Degree-days'!$D$12*IF($E46=$E$5,(N$5),(N$6))</f>
        <v>0</v>
      </c>
      <c r="O46" s="39">
        <f>'Degree-days'!$D$12*IF($E46=$E$5,(O$5),(O$6))</f>
        <v>0</v>
      </c>
      <c r="P46" s="39">
        <f>'Degree-days'!$D$12*IF($E46=$E$5,(P$5),(P$6))</f>
        <v>0</v>
      </c>
      <c r="Q46" s="39">
        <f>'Degree-days'!$D$12*IF($E46=$E$5,(Q$5),(Q$6))</f>
        <v>0</v>
      </c>
      <c r="R46" s="39">
        <f>'Degree-days'!$D$12*IF($E46=$E$5,(R$5),(R$6))</f>
        <v>0</v>
      </c>
      <c r="S46" s="39">
        <f>'Degree-days'!$D$12*IF($E46=$E$5,(S$5),(S$6))</f>
        <v>0</v>
      </c>
      <c r="T46" s="39">
        <f>'Degree-days'!$D$12*IF($E46=$E$5,(T$5),(T$6))</f>
        <v>0</v>
      </c>
      <c r="U46" s="39">
        <f>'Degree-days'!$D$12*IF($E46=$E$5,(U$5),(U$6))</f>
        <v>3.4347685255344489</v>
      </c>
      <c r="V46" s="39">
        <f>'Degree-days'!$D$12*IF($E46=$E$5,(V$5),(V$6))</f>
        <v>3.4347685255344489</v>
      </c>
      <c r="W46" s="39">
        <f>'Degree-days'!$D$12*IF($E46=$E$5,(W$5),(W$6))</f>
        <v>3.4347685255344489</v>
      </c>
      <c r="X46" s="39">
        <f>'Degree-days'!$D$12*IF($E46=$E$5,(X$5),(X$6))</f>
        <v>3.4347685255344489</v>
      </c>
      <c r="Y46" s="39">
        <f>'Degree-days'!$D$12*IF($E46=$E$5,(Y$5),(Y$6))</f>
        <v>3.4347685255344489</v>
      </c>
      <c r="Z46" s="39">
        <f>'Degree-days'!$D$12*IF($E46=$E$5,(Z$5),(Z$6))</f>
        <v>3.4347685255344489</v>
      </c>
      <c r="AA46" s="39">
        <f>'Degree-days'!$D$12*IF($E46=$E$5,(AA$5),(AA$6))</f>
        <v>3.4347685255344489</v>
      </c>
      <c r="AB46" s="39">
        <f>'Degree-days'!$D$12*IF($E46=$E$5,(AB$5),(AB$6))</f>
        <v>0</v>
      </c>
      <c r="AC46" s="39">
        <f>'Degree-days'!$D$12*IF($E46=$E$5,(AC$5),(AC$6))</f>
        <v>0</v>
      </c>
      <c r="AD46" s="39">
        <f t="shared" si="1"/>
        <v>30.912916729810036</v>
      </c>
    </row>
    <row r="47" spans="4:32" x14ac:dyDescent="0.2">
      <c r="D47" s="37">
        <v>44966</v>
      </c>
      <c r="E47" s="17" t="str">
        <f t="shared" si="0"/>
        <v>weekday</v>
      </c>
      <c r="F47" s="39">
        <f>'Degree-days'!$D$12*IF($E47=$E$5,(F$5),(F$6))</f>
        <v>0</v>
      </c>
      <c r="G47" s="39">
        <f>'Degree-days'!$D$12*IF($E47=$E$5,(G$5),(G$6))</f>
        <v>0</v>
      </c>
      <c r="H47" s="39">
        <f>'Degree-days'!$D$12*IF($E47=$E$5,(H$5),(H$6))</f>
        <v>0</v>
      </c>
      <c r="I47" s="39">
        <f>'Degree-days'!$D$12*IF($E47=$E$5,(I$5),(I$6))</f>
        <v>0</v>
      </c>
      <c r="J47" s="39">
        <f>'Degree-days'!$D$12*IF($E47=$E$5,(J$5),(J$6))</f>
        <v>0</v>
      </c>
      <c r="K47" s="39">
        <f>'Degree-days'!$D$12*IF($E47=$E$5,(K$5),(K$6))</f>
        <v>0</v>
      </c>
      <c r="L47" s="39">
        <f>'Degree-days'!$D$12*IF($E47=$E$5,(L$5),(L$6))</f>
        <v>3.4347685255344489</v>
      </c>
      <c r="M47" s="39">
        <f>'Degree-days'!$D$12*IF($E47=$E$5,(M$5),(M$6))</f>
        <v>3.4347685255344489</v>
      </c>
      <c r="N47" s="39">
        <f>'Degree-days'!$D$12*IF($E47=$E$5,(N$5),(N$6))</f>
        <v>0</v>
      </c>
      <c r="O47" s="39">
        <f>'Degree-days'!$D$12*IF($E47=$E$5,(O$5),(O$6))</f>
        <v>0</v>
      </c>
      <c r="P47" s="39">
        <f>'Degree-days'!$D$12*IF($E47=$E$5,(P$5),(P$6))</f>
        <v>0</v>
      </c>
      <c r="Q47" s="39">
        <f>'Degree-days'!$D$12*IF($E47=$E$5,(Q$5),(Q$6))</f>
        <v>0</v>
      </c>
      <c r="R47" s="39">
        <f>'Degree-days'!$D$12*IF($E47=$E$5,(R$5),(R$6))</f>
        <v>0</v>
      </c>
      <c r="S47" s="39">
        <f>'Degree-days'!$D$12*IF($E47=$E$5,(S$5),(S$6))</f>
        <v>0</v>
      </c>
      <c r="T47" s="39">
        <f>'Degree-days'!$D$12*IF($E47=$E$5,(T$5),(T$6))</f>
        <v>0</v>
      </c>
      <c r="U47" s="39">
        <f>'Degree-days'!$D$12*IF($E47=$E$5,(U$5),(U$6))</f>
        <v>3.4347685255344489</v>
      </c>
      <c r="V47" s="39">
        <f>'Degree-days'!$D$12*IF($E47=$E$5,(V$5),(V$6))</f>
        <v>3.4347685255344489</v>
      </c>
      <c r="W47" s="39">
        <f>'Degree-days'!$D$12*IF($E47=$E$5,(W$5),(W$6))</f>
        <v>3.4347685255344489</v>
      </c>
      <c r="X47" s="39">
        <f>'Degree-days'!$D$12*IF($E47=$E$5,(X$5),(X$6))</f>
        <v>3.4347685255344489</v>
      </c>
      <c r="Y47" s="39">
        <f>'Degree-days'!$D$12*IF($E47=$E$5,(Y$5),(Y$6))</f>
        <v>3.4347685255344489</v>
      </c>
      <c r="Z47" s="39">
        <f>'Degree-days'!$D$12*IF($E47=$E$5,(Z$5),(Z$6))</f>
        <v>3.4347685255344489</v>
      </c>
      <c r="AA47" s="39">
        <f>'Degree-days'!$D$12*IF($E47=$E$5,(AA$5),(AA$6))</f>
        <v>3.4347685255344489</v>
      </c>
      <c r="AB47" s="39">
        <f>'Degree-days'!$D$12*IF($E47=$E$5,(AB$5),(AB$6))</f>
        <v>0</v>
      </c>
      <c r="AC47" s="39">
        <f>'Degree-days'!$D$12*IF($E47=$E$5,(AC$5),(AC$6))</f>
        <v>0</v>
      </c>
      <c r="AD47" s="39">
        <f t="shared" si="1"/>
        <v>30.912916729810036</v>
      </c>
    </row>
    <row r="48" spans="4:32" x14ac:dyDescent="0.2">
      <c r="D48" s="37">
        <v>44967</v>
      </c>
      <c r="E48" s="17" t="str">
        <f t="shared" si="0"/>
        <v>weekday</v>
      </c>
      <c r="F48" s="39">
        <f>'Degree-days'!$D$12*IF($E48=$E$5,(F$5),(F$6))</f>
        <v>0</v>
      </c>
      <c r="G48" s="39">
        <f>'Degree-days'!$D$12*IF($E48=$E$5,(G$5),(G$6))</f>
        <v>0</v>
      </c>
      <c r="H48" s="39">
        <f>'Degree-days'!$D$12*IF($E48=$E$5,(H$5),(H$6))</f>
        <v>0</v>
      </c>
      <c r="I48" s="39">
        <f>'Degree-days'!$D$12*IF($E48=$E$5,(I$5),(I$6))</f>
        <v>0</v>
      </c>
      <c r="J48" s="39">
        <f>'Degree-days'!$D$12*IF($E48=$E$5,(J$5),(J$6))</f>
        <v>0</v>
      </c>
      <c r="K48" s="39">
        <f>'Degree-days'!$D$12*IF($E48=$E$5,(K$5),(K$6))</f>
        <v>0</v>
      </c>
      <c r="L48" s="39">
        <f>'Degree-days'!$D$12*IF($E48=$E$5,(L$5),(L$6))</f>
        <v>3.4347685255344489</v>
      </c>
      <c r="M48" s="39">
        <f>'Degree-days'!$D$12*IF($E48=$E$5,(M$5),(M$6))</f>
        <v>3.4347685255344489</v>
      </c>
      <c r="N48" s="39">
        <f>'Degree-days'!$D$12*IF($E48=$E$5,(N$5),(N$6))</f>
        <v>0</v>
      </c>
      <c r="O48" s="39">
        <f>'Degree-days'!$D$12*IF($E48=$E$5,(O$5),(O$6))</f>
        <v>0</v>
      </c>
      <c r="P48" s="39">
        <f>'Degree-days'!$D$12*IF($E48=$E$5,(P$5),(P$6))</f>
        <v>0</v>
      </c>
      <c r="Q48" s="39">
        <f>'Degree-days'!$D$12*IF($E48=$E$5,(Q$5),(Q$6))</f>
        <v>0</v>
      </c>
      <c r="R48" s="39">
        <f>'Degree-days'!$D$12*IF($E48=$E$5,(R$5),(R$6))</f>
        <v>0</v>
      </c>
      <c r="S48" s="39">
        <f>'Degree-days'!$D$12*IF($E48=$E$5,(S$5),(S$6))</f>
        <v>0</v>
      </c>
      <c r="T48" s="39">
        <f>'Degree-days'!$D$12*IF($E48=$E$5,(T$5),(T$6))</f>
        <v>0</v>
      </c>
      <c r="U48" s="39">
        <f>'Degree-days'!$D$12*IF($E48=$E$5,(U$5),(U$6))</f>
        <v>3.4347685255344489</v>
      </c>
      <c r="V48" s="39">
        <f>'Degree-days'!$D$12*IF($E48=$E$5,(V$5),(V$6))</f>
        <v>3.4347685255344489</v>
      </c>
      <c r="W48" s="39">
        <f>'Degree-days'!$D$12*IF($E48=$E$5,(W$5),(W$6))</f>
        <v>3.4347685255344489</v>
      </c>
      <c r="X48" s="39">
        <f>'Degree-days'!$D$12*IF($E48=$E$5,(X$5),(X$6))</f>
        <v>3.4347685255344489</v>
      </c>
      <c r="Y48" s="39">
        <f>'Degree-days'!$D$12*IF($E48=$E$5,(Y$5),(Y$6))</f>
        <v>3.4347685255344489</v>
      </c>
      <c r="Z48" s="39">
        <f>'Degree-days'!$D$12*IF($E48=$E$5,(Z$5),(Z$6))</f>
        <v>3.4347685255344489</v>
      </c>
      <c r="AA48" s="39">
        <f>'Degree-days'!$D$12*IF($E48=$E$5,(AA$5),(AA$6))</f>
        <v>3.4347685255344489</v>
      </c>
      <c r="AB48" s="39">
        <f>'Degree-days'!$D$12*IF($E48=$E$5,(AB$5),(AB$6))</f>
        <v>0</v>
      </c>
      <c r="AC48" s="39">
        <f>'Degree-days'!$D$12*IF($E48=$E$5,(AC$5),(AC$6))</f>
        <v>0</v>
      </c>
      <c r="AD48" s="39">
        <f t="shared" si="1"/>
        <v>30.912916729810036</v>
      </c>
    </row>
    <row r="49" spans="4:30" x14ac:dyDescent="0.2">
      <c r="D49" s="37">
        <v>44968</v>
      </c>
      <c r="E49" s="17" t="str">
        <f t="shared" si="0"/>
        <v>weekend</v>
      </c>
      <c r="F49" s="39">
        <f>'Degree-days'!$D$12*IF($E49=$E$5,(F$5),(F$6))</f>
        <v>0</v>
      </c>
      <c r="G49" s="39">
        <f>'Degree-days'!$D$12*IF($E49=$E$5,(G$5),(G$6))</f>
        <v>0</v>
      </c>
      <c r="H49" s="39">
        <f>'Degree-days'!$D$12*IF($E49=$E$5,(H$5),(H$6))</f>
        <v>0</v>
      </c>
      <c r="I49" s="39">
        <f>'Degree-days'!$D$12*IF($E49=$E$5,(I$5),(I$6))</f>
        <v>0</v>
      </c>
      <c r="J49" s="39">
        <f>'Degree-days'!$D$12*IF($E49=$E$5,(J$5),(J$6))</f>
        <v>0</v>
      </c>
      <c r="K49" s="39">
        <f>'Degree-days'!$D$12*IF($E49=$E$5,(K$5),(K$6))</f>
        <v>0</v>
      </c>
      <c r="L49" s="39">
        <f>'Degree-days'!$D$12*IF($E49=$E$5,(L$5),(L$6))</f>
        <v>3.4347685255344489</v>
      </c>
      <c r="M49" s="39">
        <f>'Degree-days'!$D$12*IF($E49=$E$5,(M$5),(M$6))</f>
        <v>3.4347685255344489</v>
      </c>
      <c r="N49" s="39">
        <f>'Degree-days'!$D$12*IF($E49=$E$5,(N$5),(N$6))</f>
        <v>3.4347685255344489</v>
      </c>
      <c r="O49" s="39">
        <f>'Degree-days'!$D$12*IF($E49=$E$5,(O$5),(O$6))</f>
        <v>3.4347685255344489</v>
      </c>
      <c r="P49" s="39">
        <f>'Degree-days'!$D$12*IF($E49=$E$5,(P$5),(P$6))</f>
        <v>3.4347685255344489</v>
      </c>
      <c r="Q49" s="39">
        <f>'Degree-days'!$D$12*IF($E49=$E$5,(Q$5),(Q$6))</f>
        <v>3.4347685255344489</v>
      </c>
      <c r="R49" s="39">
        <f>'Degree-days'!$D$12*IF($E49=$E$5,(R$5),(R$6))</f>
        <v>3.4347685255344489</v>
      </c>
      <c r="S49" s="39">
        <f>'Degree-days'!$D$12*IF($E49=$E$5,(S$5),(S$6))</f>
        <v>3.4347685255344489</v>
      </c>
      <c r="T49" s="39">
        <f>'Degree-days'!$D$12*IF($E49=$E$5,(T$5),(T$6))</f>
        <v>3.4347685255344489</v>
      </c>
      <c r="U49" s="39">
        <f>'Degree-days'!$D$12*IF($E49=$E$5,(U$5),(U$6))</f>
        <v>3.4347685255344489</v>
      </c>
      <c r="V49" s="39">
        <f>'Degree-days'!$D$12*IF($E49=$E$5,(V$5),(V$6))</f>
        <v>3.4347685255344489</v>
      </c>
      <c r="W49" s="39">
        <f>'Degree-days'!$D$12*IF($E49=$E$5,(W$5),(W$6))</f>
        <v>3.4347685255344489</v>
      </c>
      <c r="X49" s="39">
        <f>'Degree-days'!$D$12*IF($E49=$E$5,(X$5),(X$6))</f>
        <v>3.4347685255344489</v>
      </c>
      <c r="Y49" s="39">
        <f>'Degree-days'!$D$12*IF($E49=$E$5,(Y$5),(Y$6))</f>
        <v>3.4347685255344489</v>
      </c>
      <c r="Z49" s="39">
        <f>'Degree-days'!$D$12*IF($E49=$E$5,(Z$5),(Z$6))</f>
        <v>3.4347685255344489</v>
      </c>
      <c r="AA49" s="39">
        <f>'Degree-days'!$D$12*IF($E49=$E$5,(AA$5),(AA$6))</f>
        <v>3.4347685255344489</v>
      </c>
      <c r="AB49" s="39">
        <f>'Degree-days'!$D$12*IF($E49=$E$5,(AB$5),(AB$6))</f>
        <v>0</v>
      </c>
      <c r="AC49" s="39">
        <f>'Degree-days'!$D$12*IF($E49=$E$5,(AC$5),(AC$6))</f>
        <v>0</v>
      </c>
      <c r="AD49" s="39">
        <f t="shared" si="1"/>
        <v>54.956296408551196</v>
      </c>
    </row>
    <row r="50" spans="4:30" x14ac:dyDescent="0.2">
      <c r="D50" s="37">
        <v>44969</v>
      </c>
      <c r="E50" s="17" t="str">
        <f t="shared" si="0"/>
        <v>weekend</v>
      </c>
      <c r="F50" s="39">
        <f>'Degree-days'!$D$12*IF($E50=$E$5,(F$5),(F$6))</f>
        <v>0</v>
      </c>
      <c r="G50" s="39">
        <f>'Degree-days'!$D$12*IF($E50=$E$5,(G$5),(G$6))</f>
        <v>0</v>
      </c>
      <c r="H50" s="39">
        <f>'Degree-days'!$D$12*IF($E50=$E$5,(H$5),(H$6))</f>
        <v>0</v>
      </c>
      <c r="I50" s="39">
        <f>'Degree-days'!$D$12*IF($E50=$E$5,(I$5),(I$6))</f>
        <v>0</v>
      </c>
      <c r="J50" s="39">
        <f>'Degree-days'!$D$12*IF($E50=$E$5,(J$5),(J$6))</f>
        <v>0</v>
      </c>
      <c r="K50" s="39">
        <f>'Degree-days'!$D$12*IF($E50=$E$5,(K$5),(K$6))</f>
        <v>0</v>
      </c>
      <c r="L50" s="39">
        <f>'Degree-days'!$D$12*IF($E50=$E$5,(L$5),(L$6))</f>
        <v>3.4347685255344489</v>
      </c>
      <c r="M50" s="39">
        <f>'Degree-days'!$D$12*IF($E50=$E$5,(M$5),(M$6))</f>
        <v>3.4347685255344489</v>
      </c>
      <c r="N50" s="39">
        <f>'Degree-days'!$D$12*IF($E50=$E$5,(N$5),(N$6))</f>
        <v>3.4347685255344489</v>
      </c>
      <c r="O50" s="39">
        <f>'Degree-days'!$D$12*IF($E50=$E$5,(O$5),(O$6))</f>
        <v>3.4347685255344489</v>
      </c>
      <c r="P50" s="39">
        <f>'Degree-days'!$D$12*IF($E50=$E$5,(P$5),(P$6))</f>
        <v>3.4347685255344489</v>
      </c>
      <c r="Q50" s="39">
        <f>'Degree-days'!$D$12*IF($E50=$E$5,(Q$5),(Q$6))</f>
        <v>3.4347685255344489</v>
      </c>
      <c r="R50" s="39">
        <f>'Degree-days'!$D$12*IF($E50=$E$5,(R$5),(R$6))</f>
        <v>3.4347685255344489</v>
      </c>
      <c r="S50" s="39">
        <f>'Degree-days'!$D$12*IF($E50=$E$5,(S$5),(S$6))</f>
        <v>3.4347685255344489</v>
      </c>
      <c r="T50" s="39">
        <f>'Degree-days'!$D$12*IF($E50=$E$5,(T$5),(T$6))</f>
        <v>3.4347685255344489</v>
      </c>
      <c r="U50" s="39">
        <f>'Degree-days'!$D$12*IF($E50=$E$5,(U$5),(U$6))</f>
        <v>3.4347685255344489</v>
      </c>
      <c r="V50" s="39">
        <f>'Degree-days'!$D$12*IF($E50=$E$5,(V$5),(V$6))</f>
        <v>3.4347685255344489</v>
      </c>
      <c r="W50" s="39">
        <f>'Degree-days'!$D$12*IF($E50=$E$5,(W$5),(W$6))</f>
        <v>3.4347685255344489</v>
      </c>
      <c r="X50" s="39">
        <f>'Degree-days'!$D$12*IF($E50=$E$5,(X$5),(X$6))</f>
        <v>3.4347685255344489</v>
      </c>
      <c r="Y50" s="39">
        <f>'Degree-days'!$D$12*IF($E50=$E$5,(Y$5),(Y$6))</f>
        <v>3.4347685255344489</v>
      </c>
      <c r="Z50" s="39">
        <f>'Degree-days'!$D$12*IF($E50=$E$5,(Z$5),(Z$6))</f>
        <v>3.4347685255344489</v>
      </c>
      <c r="AA50" s="39">
        <f>'Degree-days'!$D$12*IF($E50=$E$5,(AA$5),(AA$6))</f>
        <v>3.4347685255344489</v>
      </c>
      <c r="AB50" s="39">
        <f>'Degree-days'!$D$12*IF($E50=$E$5,(AB$5),(AB$6))</f>
        <v>0</v>
      </c>
      <c r="AC50" s="39">
        <f>'Degree-days'!$D$12*IF($E50=$E$5,(AC$5),(AC$6))</f>
        <v>0</v>
      </c>
      <c r="AD50" s="39">
        <f t="shared" si="1"/>
        <v>54.956296408551196</v>
      </c>
    </row>
    <row r="51" spans="4:30" x14ac:dyDescent="0.2">
      <c r="D51" s="37">
        <v>44970</v>
      </c>
      <c r="E51" s="17" t="str">
        <f t="shared" si="0"/>
        <v>weekday</v>
      </c>
      <c r="F51" s="39">
        <f>'Degree-days'!$D$12*IF($E51=$E$5,(F$5),(F$6))</f>
        <v>0</v>
      </c>
      <c r="G51" s="39">
        <f>'Degree-days'!$D$12*IF($E51=$E$5,(G$5),(G$6))</f>
        <v>0</v>
      </c>
      <c r="H51" s="39">
        <f>'Degree-days'!$D$12*IF($E51=$E$5,(H$5),(H$6))</f>
        <v>0</v>
      </c>
      <c r="I51" s="39">
        <f>'Degree-days'!$D$12*IF($E51=$E$5,(I$5),(I$6))</f>
        <v>0</v>
      </c>
      <c r="J51" s="39">
        <f>'Degree-days'!$D$12*IF($E51=$E$5,(J$5),(J$6))</f>
        <v>0</v>
      </c>
      <c r="K51" s="39">
        <f>'Degree-days'!$D$12*IF($E51=$E$5,(K$5),(K$6))</f>
        <v>0</v>
      </c>
      <c r="L51" s="39">
        <f>'Degree-days'!$D$12*IF($E51=$E$5,(L$5),(L$6))</f>
        <v>3.4347685255344489</v>
      </c>
      <c r="M51" s="39">
        <f>'Degree-days'!$D$12*IF($E51=$E$5,(M$5),(M$6))</f>
        <v>3.4347685255344489</v>
      </c>
      <c r="N51" s="39">
        <f>'Degree-days'!$D$12*IF($E51=$E$5,(N$5),(N$6))</f>
        <v>0</v>
      </c>
      <c r="O51" s="39">
        <f>'Degree-days'!$D$12*IF($E51=$E$5,(O$5),(O$6))</f>
        <v>0</v>
      </c>
      <c r="P51" s="39">
        <f>'Degree-days'!$D$12*IF($E51=$E$5,(P$5),(P$6))</f>
        <v>0</v>
      </c>
      <c r="Q51" s="39">
        <f>'Degree-days'!$D$12*IF($E51=$E$5,(Q$5),(Q$6))</f>
        <v>0</v>
      </c>
      <c r="R51" s="39">
        <f>'Degree-days'!$D$12*IF($E51=$E$5,(R$5),(R$6))</f>
        <v>0</v>
      </c>
      <c r="S51" s="39">
        <f>'Degree-days'!$D$12*IF($E51=$E$5,(S$5),(S$6))</f>
        <v>0</v>
      </c>
      <c r="T51" s="39">
        <f>'Degree-days'!$D$12*IF($E51=$E$5,(T$5),(T$6))</f>
        <v>0</v>
      </c>
      <c r="U51" s="39">
        <f>'Degree-days'!$D$12*IF($E51=$E$5,(U$5),(U$6))</f>
        <v>3.4347685255344489</v>
      </c>
      <c r="V51" s="39">
        <f>'Degree-days'!$D$12*IF($E51=$E$5,(V$5),(V$6))</f>
        <v>3.4347685255344489</v>
      </c>
      <c r="W51" s="39">
        <f>'Degree-days'!$D$12*IF($E51=$E$5,(W$5),(W$6))</f>
        <v>3.4347685255344489</v>
      </c>
      <c r="X51" s="39">
        <f>'Degree-days'!$D$12*IF($E51=$E$5,(X$5),(X$6))</f>
        <v>3.4347685255344489</v>
      </c>
      <c r="Y51" s="39">
        <f>'Degree-days'!$D$12*IF($E51=$E$5,(Y$5),(Y$6))</f>
        <v>3.4347685255344489</v>
      </c>
      <c r="Z51" s="39">
        <f>'Degree-days'!$D$12*IF($E51=$E$5,(Z$5),(Z$6))</f>
        <v>3.4347685255344489</v>
      </c>
      <c r="AA51" s="39">
        <f>'Degree-days'!$D$12*IF($E51=$E$5,(AA$5),(AA$6))</f>
        <v>3.4347685255344489</v>
      </c>
      <c r="AB51" s="39">
        <f>'Degree-days'!$D$12*IF($E51=$E$5,(AB$5),(AB$6))</f>
        <v>0</v>
      </c>
      <c r="AC51" s="39">
        <f>'Degree-days'!$D$12*IF($E51=$E$5,(AC$5),(AC$6))</f>
        <v>0</v>
      </c>
      <c r="AD51" s="39">
        <f t="shared" si="1"/>
        <v>30.912916729810036</v>
      </c>
    </row>
    <row r="52" spans="4:30" x14ac:dyDescent="0.2">
      <c r="D52" s="37">
        <v>44971</v>
      </c>
      <c r="E52" s="17" t="str">
        <f t="shared" si="0"/>
        <v>weekday</v>
      </c>
      <c r="F52" s="39">
        <f>'Degree-days'!$D$12*IF($E52=$E$5,(F$5),(F$6))</f>
        <v>0</v>
      </c>
      <c r="G52" s="39">
        <f>'Degree-days'!$D$12*IF($E52=$E$5,(G$5),(G$6))</f>
        <v>0</v>
      </c>
      <c r="H52" s="39">
        <f>'Degree-days'!$D$12*IF($E52=$E$5,(H$5),(H$6))</f>
        <v>0</v>
      </c>
      <c r="I52" s="39">
        <f>'Degree-days'!$D$12*IF($E52=$E$5,(I$5),(I$6))</f>
        <v>0</v>
      </c>
      <c r="J52" s="39">
        <f>'Degree-days'!$D$12*IF($E52=$E$5,(J$5),(J$6))</f>
        <v>0</v>
      </c>
      <c r="K52" s="39">
        <f>'Degree-days'!$D$12*IF($E52=$E$5,(K$5),(K$6))</f>
        <v>0</v>
      </c>
      <c r="L52" s="39">
        <f>'Degree-days'!$D$12*IF($E52=$E$5,(L$5),(L$6))</f>
        <v>3.4347685255344489</v>
      </c>
      <c r="M52" s="39">
        <f>'Degree-days'!$D$12*IF($E52=$E$5,(M$5),(M$6))</f>
        <v>3.4347685255344489</v>
      </c>
      <c r="N52" s="39">
        <f>'Degree-days'!$D$12*IF($E52=$E$5,(N$5),(N$6))</f>
        <v>0</v>
      </c>
      <c r="O52" s="39">
        <f>'Degree-days'!$D$12*IF($E52=$E$5,(O$5),(O$6))</f>
        <v>0</v>
      </c>
      <c r="P52" s="39">
        <f>'Degree-days'!$D$12*IF($E52=$E$5,(P$5),(P$6))</f>
        <v>0</v>
      </c>
      <c r="Q52" s="39">
        <f>'Degree-days'!$D$12*IF($E52=$E$5,(Q$5),(Q$6))</f>
        <v>0</v>
      </c>
      <c r="R52" s="39">
        <f>'Degree-days'!$D$12*IF($E52=$E$5,(R$5),(R$6))</f>
        <v>0</v>
      </c>
      <c r="S52" s="39">
        <f>'Degree-days'!$D$12*IF($E52=$E$5,(S$5),(S$6))</f>
        <v>0</v>
      </c>
      <c r="T52" s="39">
        <f>'Degree-days'!$D$12*IF($E52=$E$5,(T$5),(T$6))</f>
        <v>0</v>
      </c>
      <c r="U52" s="39">
        <f>'Degree-days'!$D$12*IF($E52=$E$5,(U$5),(U$6))</f>
        <v>3.4347685255344489</v>
      </c>
      <c r="V52" s="39">
        <f>'Degree-days'!$D$12*IF($E52=$E$5,(V$5),(V$6))</f>
        <v>3.4347685255344489</v>
      </c>
      <c r="W52" s="39">
        <f>'Degree-days'!$D$12*IF($E52=$E$5,(W$5),(W$6))</f>
        <v>3.4347685255344489</v>
      </c>
      <c r="X52" s="39">
        <f>'Degree-days'!$D$12*IF($E52=$E$5,(X$5),(X$6))</f>
        <v>3.4347685255344489</v>
      </c>
      <c r="Y52" s="39">
        <f>'Degree-days'!$D$12*IF($E52=$E$5,(Y$5),(Y$6))</f>
        <v>3.4347685255344489</v>
      </c>
      <c r="Z52" s="39">
        <f>'Degree-days'!$D$12*IF($E52=$E$5,(Z$5),(Z$6))</f>
        <v>3.4347685255344489</v>
      </c>
      <c r="AA52" s="39">
        <f>'Degree-days'!$D$12*IF($E52=$E$5,(AA$5),(AA$6))</f>
        <v>3.4347685255344489</v>
      </c>
      <c r="AB52" s="39">
        <f>'Degree-days'!$D$12*IF($E52=$E$5,(AB$5),(AB$6))</f>
        <v>0</v>
      </c>
      <c r="AC52" s="39">
        <f>'Degree-days'!$D$12*IF($E52=$E$5,(AC$5),(AC$6))</f>
        <v>0</v>
      </c>
      <c r="AD52" s="39">
        <f t="shared" si="1"/>
        <v>30.912916729810036</v>
      </c>
    </row>
    <row r="53" spans="4:30" x14ac:dyDescent="0.2">
      <c r="D53" s="37">
        <v>44972</v>
      </c>
      <c r="E53" s="17" t="str">
        <f t="shared" si="0"/>
        <v>weekday</v>
      </c>
      <c r="F53" s="39">
        <f>'Degree-days'!$D$12*IF($E53=$E$5,(F$5),(F$6))</f>
        <v>0</v>
      </c>
      <c r="G53" s="39">
        <f>'Degree-days'!$D$12*IF($E53=$E$5,(G$5),(G$6))</f>
        <v>0</v>
      </c>
      <c r="H53" s="39">
        <f>'Degree-days'!$D$12*IF($E53=$E$5,(H$5),(H$6))</f>
        <v>0</v>
      </c>
      <c r="I53" s="39">
        <f>'Degree-days'!$D$12*IF($E53=$E$5,(I$5),(I$6))</f>
        <v>0</v>
      </c>
      <c r="J53" s="39">
        <f>'Degree-days'!$D$12*IF($E53=$E$5,(J$5),(J$6))</f>
        <v>0</v>
      </c>
      <c r="K53" s="39">
        <f>'Degree-days'!$D$12*IF($E53=$E$5,(K$5),(K$6))</f>
        <v>0</v>
      </c>
      <c r="L53" s="39">
        <f>'Degree-days'!$D$12*IF($E53=$E$5,(L$5),(L$6))</f>
        <v>3.4347685255344489</v>
      </c>
      <c r="M53" s="39">
        <f>'Degree-days'!$D$12*IF($E53=$E$5,(M$5),(M$6))</f>
        <v>3.4347685255344489</v>
      </c>
      <c r="N53" s="39">
        <f>'Degree-days'!$D$12*IF($E53=$E$5,(N$5),(N$6))</f>
        <v>0</v>
      </c>
      <c r="O53" s="39">
        <f>'Degree-days'!$D$12*IF($E53=$E$5,(O$5),(O$6))</f>
        <v>0</v>
      </c>
      <c r="P53" s="39">
        <f>'Degree-days'!$D$12*IF($E53=$E$5,(P$5),(P$6))</f>
        <v>0</v>
      </c>
      <c r="Q53" s="39">
        <f>'Degree-days'!$D$12*IF($E53=$E$5,(Q$5),(Q$6))</f>
        <v>0</v>
      </c>
      <c r="R53" s="39">
        <f>'Degree-days'!$D$12*IF($E53=$E$5,(R$5),(R$6))</f>
        <v>0</v>
      </c>
      <c r="S53" s="39">
        <f>'Degree-days'!$D$12*IF($E53=$E$5,(S$5),(S$6))</f>
        <v>0</v>
      </c>
      <c r="T53" s="39">
        <f>'Degree-days'!$D$12*IF($E53=$E$5,(T$5),(T$6))</f>
        <v>0</v>
      </c>
      <c r="U53" s="39">
        <f>'Degree-days'!$D$12*IF($E53=$E$5,(U$5),(U$6))</f>
        <v>3.4347685255344489</v>
      </c>
      <c r="V53" s="39">
        <f>'Degree-days'!$D$12*IF($E53=$E$5,(V$5),(V$6))</f>
        <v>3.4347685255344489</v>
      </c>
      <c r="W53" s="39">
        <f>'Degree-days'!$D$12*IF($E53=$E$5,(W$5),(W$6))</f>
        <v>3.4347685255344489</v>
      </c>
      <c r="X53" s="39">
        <f>'Degree-days'!$D$12*IF($E53=$E$5,(X$5),(X$6))</f>
        <v>3.4347685255344489</v>
      </c>
      <c r="Y53" s="39">
        <f>'Degree-days'!$D$12*IF($E53=$E$5,(Y$5),(Y$6))</f>
        <v>3.4347685255344489</v>
      </c>
      <c r="Z53" s="39">
        <f>'Degree-days'!$D$12*IF($E53=$E$5,(Z$5),(Z$6))</f>
        <v>3.4347685255344489</v>
      </c>
      <c r="AA53" s="39">
        <f>'Degree-days'!$D$12*IF($E53=$E$5,(AA$5),(AA$6))</f>
        <v>3.4347685255344489</v>
      </c>
      <c r="AB53" s="39">
        <f>'Degree-days'!$D$12*IF($E53=$E$5,(AB$5),(AB$6))</f>
        <v>0</v>
      </c>
      <c r="AC53" s="39">
        <f>'Degree-days'!$D$12*IF($E53=$E$5,(AC$5),(AC$6))</f>
        <v>0</v>
      </c>
      <c r="AD53" s="39">
        <f t="shared" si="1"/>
        <v>30.912916729810036</v>
      </c>
    </row>
    <row r="54" spans="4:30" x14ac:dyDescent="0.2">
      <c r="D54" s="37">
        <v>44973</v>
      </c>
      <c r="E54" s="17" t="str">
        <f t="shared" si="0"/>
        <v>weekday</v>
      </c>
      <c r="F54" s="39">
        <f>'Degree-days'!$D$12*IF($E54=$E$5,(F$5),(F$6))</f>
        <v>0</v>
      </c>
      <c r="G54" s="39">
        <f>'Degree-days'!$D$12*IF($E54=$E$5,(G$5),(G$6))</f>
        <v>0</v>
      </c>
      <c r="H54" s="39">
        <f>'Degree-days'!$D$12*IF($E54=$E$5,(H$5),(H$6))</f>
        <v>0</v>
      </c>
      <c r="I54" s="39">
        <f>'Degree-days'!$D$12*IF($E54=$E$5,(I$5),(I$6))</f>
        <v>0</v>
      </c>
      <c r="J54" s="39">
        <f>'Degree-days'!$D$12*IF($E54=$E$5,(J$5),(J$6))</f>
        <v>0</v>
      </c>
      <c r="K54" s="39">
        <f>'Degree-days'!$D$12*IF($E54=$E$5,(K$5),(K$6))</f>
        <v>0</v>
      </c>
      <c r="L54" s="39">
        <f>'Degree-days'!$D$12*IF($E54=$E$5,(L$5),(L$6))</f>
        <v>3.4347685255344489</v>
      </c>
      <c r="M54" s="39">
        <f>'Degree-days'!$D$12*IF($E54=$E$5,(M$5),(M$6))</f>
        <v>3.4347685255344489</v>
      </c>
      <c r="N54" s="39">
        <f>'Degree-days'!$D$12*IF($E54=$E$5,(N$5),(N$6))</f>
        <v>0</v>
      </c>
      <c r="O54" s="39">
        <f>'Degree-days'!$D$12*IF($E54=$E$5,(O$5),(O$6))</f>
        <v>0</v>
      </c>
      <c r="P54" s="39">
        <f>'Degree-days'!$D$12*IF($E54=$E$5,(P$5),(P$6))</f>
        <v>0</v>
      </c>
      <c r="Q54" s="39">
        <f>'Degree-days'!$D$12*IF($E54=$E$5,(Q$5),(Q$6))</f>
        <v>0</v>
      </c>
      <c r="R54" s="39">
        <f>'Degree-days'!$D$12*IF($E54=$E$5,(R$5),(R$6))</f>
        <v>0</v>
      </c>
      <c r="S54" s="39">
        <f>'Degree-days'!$D$12*IF($E54=$E$5,(S$5),(S$6))</f>
        <v>0</v>
      </c>
      <c r="T54" s="39">
        <f>'Degree-days'!$D$12*IF($E54=$E$5,(T$5),(T$6))</f>
        <v>0</v>
      </c>
      <c r="U54" s="39">
        <f>'Degree-days'!$D$12*IF($E54=$E$5,(U$5),(U$6))</f>
        <v>3.4347685255344489</v>
      </c>
      <c r="V54" s="39">
        <f>'Degree-days'!$D$12*IF($E54=$E$5,(V$5),(V$6))</f>
        <v>3.4347685255344489</v>
      </c>
      <c r="W54" s="39">
        <f>'Degree-days'!$D$12*IF($E54=$E$5,(W$5),(W$6))</f>
        <v>3.4347685255344489</v>
      </c>
      <c r="X54" s="39">
        <f>'Degree-days'!$D$12*IF($E54=$E$5,(X$5),(X$6))</f>
        <v>3.4347685255344489</v>
      </c>
      <c r="Y54" s="39">
        <f>'Degree-days'!$D$12*IF($E54=$E$5,(Y$5),(Y$6))</f>
        <v>3.4347685255344489</v>
      </c>
      <c r="Z54" s="39">
        <f>'Degree-days'!$D$12*IF($E54=$E$5,(Z$5),(Z$6))</f>
        <v>3.4347685255344489</v>
      </c>
      <c r="AA54" s="39">
        <f>'Degree-days'!$D$12*IF($E54=$E$5,(AA$5),(AA$6))</f>
        <v>3.4347685255344489</v>
      </c>
      <c r="AB54" s="39">
        <f>'Degree-days'!$D$12*IF($E54=$E$5,(AB$5),(AB$6))</f>
        <v>0</v>
      </c>
      <c r="AC54" s="39">
        <f>'Degree-days'!$D$12*IF($E54=$E$5,(AC$5),(AC$6))</f>
        <v>0</v>
      </c>
      <c r="AD54" s="39">
        <f t="shared" si="1"/>
        <v>30.912916729810036</v>
      </c>
    </row>
    <row r="55" spans="4:30" x14ac:dyDescent="0.2">
      <c r="D55" s="37">
        <v>44974</v>
      </c>
      <c r="E55" s="17" t="str">
        <f t="shared" si="0"/>
        <v>weekday</v>
      </c>
      <c r="F55" s="39">
        <f>'Degree-days'!$D$12*IF($E55=$E$5,(F$5),(F$6))</f>
        <v>0</v>
      </c>
      <c r="G55" s="39">
        <f>'Degree-days'!$D$12*IF($E55=$E$5,(G$5),(G$6))</f>
        <v>0</v>
      </c>
      <c r="H55" s="39">
        <f>'Degree-days'!$D$12*IF($E55=$E$5,(H$5),(H$6))</f>
        <v>0</v>
      </c>
      <c r="I55" s="39">
        <f>'Degree-days'!$D$12*IF($E55=$E$5,(I$5),(I$6))</f>
        <v>0</v>
      </c>
      <c r="J55" s="39">
        <f>'Degree-days'!$D$12*IF($E55=$E$5,(J$5),(J$6))</f>
        <v>0</v>
      </c>
      <c r="K55" s="39">
        <f>'Degree-days'!$D$12*IF($E55=$E$5,(K$5),(K$6))</f>
        <v>0</v>
      </c>
      <c r="L55" s="39">
        <f>'Degree-days'!$D$12*IF($E55=$E$5,(L$5),(L$6))</f>
        <v>3.4347685255344489</v>
      </c>
      <c r="M55" s="39">
        <f>'Degree-days'!$D$12*IF($E55=$E$5,(M$5),(M$6))</f>
        <v>3.4347685255344489</v>
      </c>
      <c r="N55" s="39">
        <f>'Degree-days'!$D$12*IF($E55=$E$5,(N$5),(N$6))</f>
        <v>0</v>
      </c>
      <c r="O55" s="39">
        <f>'Degree-days'!$D$12*IF($E55=$E$5,(O$5),(O$6))</f>
        <v>0</v>
      </c>
      <c r="P55" s="39">
        <f>'Degree-days'!$D$12*IF($E55=$E$5,(P$5),(P$6))</f>
        <v>0</v>
      </c>
      <c r="Q55" s="39">
        <f>'Degree-days'!$D$12*IF($E55=$E$5,(Q$5),(Q$6))</f>
        <v>0</v>
      </c>
      <c r="R55" s="39">
        <f>'Degree-days'!$D$12*IF($E55=$E$5,(R$5),(R$6))</f>
        <v>0</v>
      </c>
      <c r="S55" s="39">
        <f>'Degree-days'!$D$12*IF($E55=$E$5,(S$5),(S$6))</f>
        <v>0</v>
      </c>
      <c r="T55" s="39">
        <f>'Degree-days'!$D$12*IF($E55=$E$5,(T$5),(T$6))</f>
        <v>0</v>
      </c>
      <c r="U55" s="39">
        <f>'Degree-days'!$D$12*IF($E55=$E$5,(U$5),(U$6))</f>
        <v>3.4347685255344489</v>
      </c>
      <c r="V55" s="39">
        <f>'Degree-days'!$D$12*IF($E55=$E$5,(V$5),(V$6))</f>
        <v>3.4347685255344489</v>
      </c>
      <c r="W55" s="39">
        <f>'Degree-days'!$D$12*IF($E55=$E$5,(W$5),(W$6))</f>
        <v>3.4347685255344489</v>
      </c>
      <c r="X55" s="39">
        <f>'Degree-days'!$D$12*IF($E55=$E$5,(X$5),(X$6))</f>
        <v>3.4347685255344489</v>
      </c>
      <c r="Y55" s="39">
        <f>'Degree-days'!$D$12*IF($E55=$E$5,(Y$5),(Y$6))</f>
        <v>3.4347685255344489</v>
      </c>
      <c r="Z55" s="39">
        <f>'Degree-days'!$D$12*IF($E55=$E$5,(Z$5),(Z$6))</f>
        <v>3.4347685255344489</v>
      </c>
      <c r="AA55" s="39">
        <f>'Degree-days'!$D$12*IF($E55=$E$5,(AA$5),(AA$6))</f>
        <v>3.4347685255344489</v>
      </c>
      <c r="AB55" s="39">
        <f>'Degree-days'!$D$12*IF($E55=$E$5,(AB$5),(AB$6))</f>
        <v>0</v>
      </c>
      <c r="AC55" s="39">
        <f>'Degree-days'!$D$12*IF($E55=$E$5,(AC$5),(AC$6))</f>
        <v>0</v>
      </c>
      <c r="AD55" s="39">
        <f t="shared" si="1"/>
        <v>30.912916729810036</v>
      </c>
    </row>
    <row r="56" spans="4:30" x14ac:dyDescent="0.2">
      <c r="D56" s="37">
        <v>44975</v>
      </c>
      <c r="E56" s="17" t="str">
        <f t="shared" si="0"/>
        <v>weekend</v>
      </c>
      <c r="F56" s="39">
        <f>'Degree-days'!$D$12*IF($E56=$E$5,(F$5),(F$6))</f>
        <v>0</v>
      </c>
      <c r="G56" s="39">
        <f>'Degree-days'!$D$12*IF($E56=$E$5,(G$5),(G$6))</f>
        <v>0</v>
      </c>
      <c r="H56" s="39">
        <f>'Degree-days'!$D$12*IF($E56=$E$5,(H$5),(H$6))</f>
        <v>0</v>
      </c>
      <c r="I56" s="39">
        <f>'Degree-days'!$D$12*IF($E56=$E$5,(I$5),(I$6))</f>
        <v>0</v>
      </c>
      <c r="J56" s="39">
        <f>'Degree-days'!$D$12*IF($E56=$E$5,(J$5),(J$6))</f>
        <v>0</v>
      </c>
      <c r="K56" s="39">
        <f>'Degree-days'!$D$12*IF($E56=$E$5,(K$5),(K$6))</f>
        <v>0</v>
      </c>
      <c r="L56" s="39">
        <f>'Degree-days'!$D$12*IF($E56=$E$5,(L$5),(L$6))</f>
        <v>3.4347685255344489</v>
      </c>
      <c r="M56" s="39">
        <f>'Degree-days'!$D$12*IF($E56=$E$5,(M$5),(M$6))</f>
        <v>3.4347685255344489</v>
      </c>
      <c r="N56" s="39">
        <f>'Degree-days'!$D$12*IF($E56=$E$5,(N$5),(N$6))</f>
        <v>3.4347685255344489</v>
      </c>
      <c r="O56" s="39">
        <f>'Degree-days'!$D$12*IF($E56=$E$5,(O$5),(O$6))</f>
        <v>3.4347685255344489</v>
      </c>
      <c r="P56" s="39">
        <f>'Degree-days'!$D$12*IF($E56=$E$5,(P$5),(P$6))</f>
        <v>3.4347685255344489</v>
      </c>
      <c r="Q56" s="39">
        <f>'Degree-days'!$D$12*IF($E56=$E$5,(Q$5),(Q$6))</f>
        <v>3.4347685255344489</v>
      </c>
      <c r="R56" s="39">
        <f>'Degree-days'!$D$12*IF($E56=$E$5,(R$5),(R$6))</f>
        <v>3.4347685255344489</v>
      </c>
      <c r="S56" s="39">
        <f>'Degree-days'!$D$12*IF($E56=$E$5,(S$5),(S$6))</f>
        <v>3.4347685255344489</v>
      </c>
      <c r="T56" s="39">
        <f>'Degree-days'!$D$12*IF($E56=$E$5,(T$5),(T$6))</f>
        <v>3.4347685255344489</v>
      </c>
      <c r="U56" s="39">
        <f>'Degree-days'!$D$12*IF($E56=$E$5,(U$5),(U$6))</f>
        <v>3.4347685255344489</v>
      </c>
      <c r="V56" s="39">
        <f>'Degree-days'!$D$12*IF($E56=$E$5,(V$5),(V$6))</f>
        <v>3.4347685255344489</v>
      </c>
      <c r="W56" s="39">
        <f>'Degree-days'!$D$12*IF($E56=$E$5,(W$5),(W$6))</f>
        <v>3.4347685255344489</v>
      </c>
      <c r="X56" s="39">
        <f>'Degree-days'!$D$12*IF($E56=$E$5,(X$5),(X$6))</f>
        <v>3.4347685255344489</v>
      </c>
      <c r="Y56" s="39">
        <f>'Degree-days'!$D$12*IF($E56=$E$5,(Y$5),(Y$6))</f>
        <v>3.4347685255344489</v>
      </c>
      <c r="Z56" s="39">
        <f>'Degree-days'!$D$12*IF($E56=$E$5,(Z$5),(Z$6))</f>
        <v>3.4347685255344489</v>
      </c>
      <c r="AA56" s="39">
        <f>'Degree-days'!$D$12*IF($E56=$E$5,(AA$5),(AA$6))</f>
        <v>3.4347685255344489</v>
      </c>
      <c r="AB56" s="39">
        <f>'Degree-days'!$D$12*IF($E56=$E$5,(AB$5),(AB$6))</f>
        <v>0</v>
      </c>
      <c r="AC56" s="39">
        <f>'Degree-days'!$D$12*IF($E56=$E$5,(AC$5),(AC$6))</f>
        <v>0</v>
      </c>
      <c r="AD56" s="39">
        <f t="shared" si="1"/>
        <v>54.956296408551196</v>
      </c>
    </row>
    <row r="57" spans="4:30" x14ac:dyDescent="0.2">
      <c r="D57" s="37">
        <v>44976</v>
      </c>
      <c r="E57" s="17" t="str">
        <f t="shared" si="0"/>
        <v>weekend</v>
      </c>
      <c r="F57" s="39">
        <f>'Degree-days'!$D$12*IF($E57=$E$5,(F$5),(F$6))</f>
        <v>0</v>
      </c>
      <c r="G57" s="39">
        <f>'Degree-days'!$D$12*IF($E57=$E$5,(G$5),(G$6))</f>
        <v>0</v>
      </c>
      <c r="H57" s="39">
        <f>'Degree-days'!$D$12*IF($E57=$E$5,(H$5),(H$6))</f>
        <v>0</v>
      </c>
      <c r="I57" s="39">
        <f>'Degree-days'!$D$12*IF($E57=$E$5,(I$5),(I$6))</f>
        <v>0</v>
      </c>
      <c r="J57" s="39">
        <f>'Degree-days'!$D$12*IF($E57=$E$5,(J$5),(J$6))</f>
        <v>0</v>
      </c>
      <c r="K57" s="39">
        <f>'Degree-days'!$D$12*IF($E57=$E$5,(K$5),(K$6))</f>
        <v>0</v>
      </c>
      <c r="L57" s="39">
        <f>'Degree-days'!$D$12*IF($E57=$E$5,(L$5),(L$6))</f>
        <v>3.4347685255344489</v>
      </c>
      <c r="M57" s="39">
        <f>'Degree-days'!$D$12*IF($E57=$E$5,(M$5),(M$6))</f>
        <v>3.4347685255344489</v>
      </c>
      <c r="N57" s="39">
        <f>'Degree-days'!$D$12*IF($E57=$E$5,(N$5),(N$6))</f>
        <v>3.4347685255344489</v>
      </c>
      <c r="O57" s="39">
        <f>'Degree-days'!$D$12*IF($E57=$E$5,(O$5),(O$6))</f>
        <v>3.4347685255344489</v>
      </c>
      <c r="P57" s="39">
        <f>'Degree-days'!$D$12*IF($E57=$E$5,(P$5),(P$6))</f>
        <v>3.4347685255344489</v>
      </c>
      <c r="Q57" s="39">
        <f>'Degree-days'!$D$12*IF($E57=$E$5,(Q$5),(Q$6))</f>
        <v>3.4347685255344489</v>
      </c>
      <c r="R57" s="39">
        <f>'Degree-days'!$D$12*IF($E57=$E$5,(R$5),(R$6))</f>
        <v>3.4347685255344489</v>
      </c>
      <c r="S57" s="39">
        <f>'Degree-days'!$D$12*IF($E57=$E$5,(S$5),(S$6))</f>
        <v>3.4347685255344489</v>
      </c>
      <c r="T57" s="39">
        <f>'Degree-days'!$D$12*IF($E57=$E$5,(T$5),(T$6))</f>
        <v>3.4347685255344489</v>
      </c>
      <c r="U57" s="39">
        <f>'Degree-days'!$D$12*IF($E57=$E$5,(U$5),(U$6))</f>
        <v>3.4347685255344489</v>
      </c>
      <c r="V57" s="39">
        <f>'Degree-days'!$D$12*IF($E57=$E$5,(V$5),(V$6))</f>
        <v>3.4347685255344489</v>
      </c>
      <c r="W57" s="39">
        <f>'Degree-days'!$D$12*IF($E57=$E$5,(W$5),(W$6))</f>
        <v>3.4347685255344489</v>
      </c>
      <c r="X57" s="39">
        <f>'Degree-days'!$D$12*IF($E57=$E$5,(X$5),(X$6))</f>
        <v>3.4347685255344489</v>
      </c>
      <c r="Y57" s="39">
        <f>'Degree-days'!$D$12*IF($E57=$E$5,(Y$5),(Y$6))</f>
        <v>3.4347685255344489</v>
      </c>
      <c r="Z57" s="39">
        <f>'Degree-days'!$D$12*IF($E57=$E$5,(Z$5),(Z$6))</f>
        <v>3.4347685255344489</v>
      </c>
      <c r="AA57" s="39">
        <f>'Degree-days'!$D$12*IF($E57=$E$5,(AA$5),(AA$6))</f>
        <v>3.4347685255344489</v>
      </c>
      <c r="AB57" s="39">
        <f>'Degree-days'!$D$12*IF($E57=$E$5,(AB$5),(AB$6))</f>
        <v>0</v>
      </c>
      <c r="AC57" s="39">
        <f>'Degree-days'!$D$12*IF($E57=$E$5,(AC$5),(AC$6))</f>
        <v>0</v>
      </c>
      <c r="AD57" s="39">
        <f t="shared" si="1"/>
        <v>54.956296408551196</v>
      </c>
    </row>
    <row r="58" spans="4:30" x14ac:dyDescent="0.2">
      <c r="D58" s="37">
        <v>44977</v>
      </c>
      <c r="E58" s="17" t="str">
        <f t="shared" si="0"/>
        <v>weekday</v>
      </c>
      <c r="F58" s="39">
        <f>'Degree-days'!$D$12*IF($E58=$E$5,(F$5),(F$6))</f>
        <v>0</v>
      </c>
      <c r="G58" s="39">
        <f>'Degree-days'!$D$12*IF($E58=$E$5,(G$5),(G$6))</f>
        <v>0</v>
      </c>
      <c r="H58" s="39">
        <f>'Degree-days'!$D$12*IF($E58=$E$5,(H$5),(H$6))</f>
        <v>0</v>
      </c>
      <c r="I58" s="39">
        <f>'Degree-days'!$D$12*IF($E58=$E$5,(I$5),(I$6))</f>
        <v>0</v>
      </c>
      <c r="J58" s="39">
        <f>'Degree-days'!$D$12*IF($E58=$E$5,(J$5),(J$6))</f>
        <v>0</v>
      </c>
      <c r="K58" s="39">
        <f>'Degree-days'!$D$12*IF($E58=$E$5,(K$5),(K$6))</f>
        <v>0</v>
      </c>
      <c r="L58" s="39">
        <f>'Degree-days'!$D$12*IF($E58=$E$5,(L$5),(L$6))</f>
        <v>3.4347685255344489</v>
      </c>
      <c r="M58" s="39">
        <f>'Degree-days'!$D$12*IF($E58=$E$5,(M$5),(M$6))</f>
        <v>3.4347685255344489</v>
      </c>
      <c r="N58" s="39">
        <f>'Degree-days'!$D$12*IF($E58=$E$5,(N$5),(N$6))</f>
        <v>0</v>
      </c>
      <c r="O58" s="39">
        <f>'Degree-days'!$D$12*IF($E58=$E$5,(O$5),(O$6))</f>
        <v>0</v>
      </c>
      <c r="P58" s="39">
        <f>'Degree-days'!$D$12*IF($E58=$E$5,(P$5),(P$6))</f>
        <v>0</v>
      </c>
      <c r="Q58" s="39">
        <f>'Degree-days'!$D$12*IF($E58=$E$5,(Q$5),(Q$6))</f>
        <v>0</v>
      </c>
      <c r="R58" s="39">
        <f>'Degree-days'!$D$12*IF($E58=$E$5,(R$5),(R$6))</f>
        <v>0</v>
      </c>
      <c r="S58" s="39">
        <f>'Degree-days'!$D$12*IF($E58=$E$5,(S$5),(S$6))</f>
        <v>0</v>
      </c>
      <c r="T58" s="39">
        <f>'Degree-days'!$D$12*IF($E58=$E$5,(T$5),(T$6))</f>
        <v>0</v>
      </c>
      <c r="U58" s="39">
        <f>'Degree-days'!$D$12*IF($E58=$E$5,(U$5),(U$6))</f>
        <v>3.4347685255344489</v>
      </c>
      <c r="V58" s="39">
        <f>'Degree-days'!$D$12*IF($E58=$E$5,(V$5),(V$6))</f>
        <v>3.4347685255344489</v>
      </c>
      <c r="W58" s="39">
        <f>'Degree-days'!$D$12*IF($E58=$E$5,(W$5),(W$6))</f>
        <v>3.4347685255344489</v>
      </c>
      <c r="X58" s="39">
        <f>'Degree-days'!$D$12*IF($E58=$E$5,(X$5),(X$6))</f>
        <v>3.4347685255344489</v>
      </c>
      <c r="Y58" s="39">
        <f>'Degree-days'!$D$12*IF($E58=$E$5,(Y$5),(Y$6))</f>
        <v>3.4347685255344489</v>
      </c>
      <c r="Z58" s="39">
        <f>'Degree-days'!$D$12*IF($E58=$E$5,(Z$5),(Z$6))</f>
        <v>3.4347685255344489</v>
      </c>
      <c r="AA58" s="39">
        <f>'Degree-days'!$D$12*IF($E58=$E$5,(AA$5),(AA$6))</f>
        <v>3.4347685255344489</v>
      </c>
      <c r="AB58" s="39">
        <f>'Degree-days'!$D$12*IF($E58=$E$5,(AB$5),(AB$6))</f>
        <v>0</v>
      </c>
      <c r="AC58" s="39">
        <f>'Degree-days'!$D$12*IF($E58=$E$5,(AC$5),(AC$6))</f>
        <v>0</v>
      </c>
      <c r="AD58" s="39">
        <f t="shared" si="1"/>
        <v>30.912916729810036</v>
      </c>
    </row>
    <row r="59" spans="4:30" x14ac:dyDescent="0.2">
      <c r="D59" s="37">
        <v>44978</v>
      </c>
      <c r="E59" s="17" t="str">
        <f t="shared" si="0"/>
        <v>weekday</v>
      </c>
      <c r="F59" s="39">
        <f>'Degree-days'!$D$12*IF($E59=$E$5,(F$5),(F$6))</f>
        <v>0</v>
      </c>
      <c r="G59" s="39">
        <f>'Degree-days'!$D$12*IF($E59=$E$5,(G$5),(G$6))</f>
        <v>0</v>
      </c>
      <c r="H59" s="39">
        <f>'Degree-days'!$D$12*IF($E59=$E$5,(H$5),(H$6))</f>
        <v>0</v>
      </c>
      <c r="I59" s="39">
        <f>'Degree-days'!$D$12*IF($E59=$E$5,(I$5),(I$6))</f>
        <v>0</v>
      </c>
      <c r="J59" s="39">
        <f>'Degree-days'!$D$12*IF($E59=$E$5,(J$5),(J$6))</f>
        <v>0</v>
      </c>
      <c r="K59" s="39">
        <f>'Degree-days'!$D$12*IF($E59=$E$5,(K$5),(K$6))</f>
        <v>0</v>
      </c>
      <c r="L59" s="39">
        <f>'Degree-days'!$D$12*IF($E59=$E$5,(L$5),(L$6))</f>
        <v>3.4347685255344489</v>
      </c>
      <c r="M59" s="39">
        <f>'Degree-days'!$D$12*IF($E59=$E$5,(M$5),(M$6))</f>
        <v>3.4347685255344489</v>
      </c>
      <c r="N59" s="39">
        <f>'Degree-days'!$D$12*IF($E59=$E$5,(N$5),(N$6))</f>
        <v>0</v>
      </c>
      <c r="O59" s="39">
        <f>'Degree-days'!$D$12*IF($E59=$E$5,(O$5),(O$6))</f>
        <v>0</v>
      </c>
      <c r="P59" s="39">
        <f>'Degree-days'!$D$12*IF($E59=$E$5,(P$5),(P$6))</f>
        <v>0</v>
      </c>
      <c r="Q59" s="39">
        <f>'Degree-days'!$D$12*IF($E59=$E$5,(Q$5),(Q$6))</f>
        <v>0</v>
      </c>
      <c r="R59" s="39">
        <f>'Degree-days'!$D$12*IF($E59=$E$5,(R$5),(R$6))</f>
        <v>0</v>
      </c>
      <c r="S59" s="39">
        <f>'Degree-days'!$D$12*IF($E59=$E$5,(S$5),(S$6))</f>
        <v>0</v>
      </c>
      <c r="T59" s="39">
        <f>'Degree-days'!$D$12*IF($E59=$E$5,(T$5),(T$6))</f>
        <v>0</v>
      </c>
      <c r="U59" s="39">
        <f>'Degree-days'!$D$12*IF($E59=$E$5,(U$5),(U$6))</f>
        <v>3.4347685255344489</v>
      </c>
      <c r="V59" s="39">
        <f>'Degree-days'!$D$12*IF($E59=$E$5,(V$5),(V$6))</f>
        <v>3.4347685255344489</v>
      </c>
      <c r="W59" s="39">
        <f>'Degree-days'!$D$12*IF($E59=$E$5,(W$5),(W$6))</f>
        <v>3.4347685255344489</v>
      </c>
      <c r="X59" s="39">
        <f>'Degree-days'!$D$12*IF($E59=$E$5,(X$5),(X$6))</f>
        <v>3.4347685255344489</v>
      </c>
      <c r="Y59" s="39">
        <f>'Degree-days'!$D$12*IF($E59=$E$5,(Y$5),(Y$6))</f>
        <v>3.4347685255344489</v>
      </c>
      <c r="Z59" s="39">
        <f>'Degree-days'!$D$12*IF($E59=$E$5,(Z$5),(Z$6))</f>
        <v>3.4347685255344489</v>
      </c>
      <c r="AA59" s="39">
        <f>'Degree-days'!$D$12*IF($E59=$E$5,(AA$5),(AA$6))</f>
        <v>3.4347685255344489</v>
      </c>
      <c r="AB59" s="39">
        <f>'Degree-days'!$D$12*IF($E59=$E$5,(AB$5),(AB$6))</f>
        <v>0</v>
      </c>
      <c r="AC59" s="39">
        <f>'Degree-days'!$D$12*IF($E59=$E$5,(AC$5),(AC$6))</f>
        <v>0</v>
      </c>
      <c r="AD59" s="39">
        <f t="shared" si="1"/>
        <v>30.912916729810036</v>
      </c>
    </row>
    <row r="60" spans="4:30" x14ac:dyDescent="0.2">
      <c r="D60" s="37">
        <v>44979</v>
      </c>
      <c r="E60" s="17" t="str">
        <f t="shared" si="0"/>
        <v>weekday</v>
      </c>
      <c r="F60" s="39">
        <f>'Degree-days'!$D$12*IF($E60=$E$5,(F$5),(F$6))</f>
        <v>0</v>
      </c>
      <c r="G60" s="39">
        <f>'Degree-days'!$D$12*IF($E60=$E$5,(G$5),(G$6))</f>
        <v>0</v>
      </c>
      <c r="H60" s="39">
        <f>'Degree-days'!$D$12*IF($E60=$E$5,(H$5),(H$6))</f>
        <v>0</v>
      </c>
      <c r="I60" s="39">
        <f>'Degree-days'!$D$12*IF($E60=$E$5,(I$5),(I$6))</f>
        <v>0</v>
      </c>
      <c r="J60" s="39">
        <f>'Degree-days'!$D$12*IF($E60=$E$5,(J$5),(J$6))</f>
        <v>0</v>
      </c>
      <c r="K60" s="39">
        <f>'Degree-days'!$D$12*IF($E60=$E$5,(K$5),(K$6))</f>
        <v>0</v>
      </c>
      <c r="L60" s="39">
        <f>'Degree-days'!$D$12*IF($E60=$E$5,(L$5),(L$6))</f>
        <v>3.4347685255344489</v>
      </c>
      <c r="M60" s="39">
        <f>'Degree-days'!$D$12*IF($E60=$E$5,(M$5),(M$6))</f>
        <v>3.4347685255344489</v>
      </c>
      <c r="N60" s="39">
        <f>'Degree-days'!$D$12*IF($E60=$E$5,(N$5),(N$6))</f>
        <v>0</v>
      </c>
      <c r="O60" s="39">
        <f>'Degree-days'!$D$12*IF($E60=$E$5,(O$5),(O$6))</f>
        <v>0</v>
      </c>
      <c r="P60" s="39">
        <f>'Degree-days'!$D$12*IF($E60=$E$5,(P$5),(P$6))</f>
        <v>0</v>
      </c>
      <c r="Q60" s="39">
        <f>'Degree-days'!$D$12*IF($E60=$E$5,(Q$5),(Q$6))</f>
        <v>0</v>
      </c>
      <c r="R60" s="39">
        <f>'Degree-days'!$D$12*IF($E60=$E$5,(R$5),(R$6))</f>
        <v>0</v>
      </c>
      <c r="S60" s="39">
        <f>'Degree-days'!$D$12*IF($E60=$E$5,(S$5),(S$6))</f>
        <v>0</v>
      </c>
      <c r="T60" s="39">
        <f>'Degree-days'!$D$12*IF($E60=$E$5,(T$5),(T$6))</f>
        <v>0</v>
      </c>
      <c r="U60" s="39">
        <f>'Degree-days'!$D$12*IF($E60=$E$5,(U$5),(U$6))</f>
        <v>3.4347685255344489</v>
      </c>
      <c r="V60" s="39">
        <f>'Degree-days'!$D$12*IF($E60=$E$5,(V$5),(V$6))</f>
        <v>3.4347685255344489</v>
      </c>
      <c r="W60" s="39">
        <f>'Degree-days'!$D$12*IF($E60=$E$5,(W$5),(W$6))</f>
        <v>3.4347685255344489</v>
      </c>
      <c r="X60" s="39">
        <f>'Degree-days'!$D$12*IF($E60=$E$5,(X$5),(X$6))</f>
        <v>3.4347685255344489</v>
      </c>
      <c r="Y60" s="39">
        <f>'Degree-days'!$D$12*IF($E60=$E$5,(Y$5),(Y$6))</f>
        <v>3.4347685255344489</v>
      </c>
      <c r="Z60" s="39">
        <f>'Degree-days'!$D$12*IF($E60=$E$5,(Z$5),(Z$6))</f>
        <v>3.4347685255344489</v>
      </c>
      <c r="AA60" s="39">
        <f>'Degree-days'!$D$12*IF($E60=$E$5,(AA$5),(AA$6))</f>
        <v>3.4347685255344489</v>
      </c>
      <c r="AB60" s="39">
        <f>'Degree-days'!$D$12*IF($E60=$E$5,(AB$5),(AB$6))</f>
        <v>0</v>
      </c>
      <c r="AC60" s="39">
        <f>'Degree-days'!$D$12*IF($E60=$E$5,(AC$5),(AC$6))</f>
        <v>0</v>
      </c>
      <c r="AD60" s="39">
        <f t="shared" si="1"/>
        <v>30.912916729810036</v>
      </c>
    </row>
    <row r="61" spans="4:30" x14ac:dyDescent="0.2">
      <c r="D61" s="37">
        <v>44980</v>
      </c>
      <c r="E61" s="17" t="str">
        <f t="shared" si="0"/>
        <v>weekday</v>
      </c>
      <c r="F61" s="39">
        <f>'Degree-days'!$D$12*IF($E61=$E$5,(F$5),(F$6))</f>
        <v>0</v>
      </c>
      <c r="G61" s="39">
        <f>'Degree-days'!$D$12*IF($E61=$E$5,(G$5),(G$6))</f>
        <v>0</v>
      </c>
      <c r="H61" s="39">
        <f>'Degree-days'!$D$12*IF($E61=$E$5,(H$5),(H$6))</f>
        <v>0</v>
      </c>
      <c r="I61" s="39">
        <f>'Degree-days'!$D$12*IF($E61=$E$5,(I$5),(I$6))</f>
        <v>0</v>
      </c>
      <c r="J61" s="39">
        <f>'Degree-days'!$D$12*IF($E61=$E$5,(J$5),(J$6))</f>
        <v>0</v>
      </c>
      <c r="K61" s="39">
        <f>'Degree-days'!$D$12*IF($E61=$E$5,(K$5),(K$6))</f>
        <v>0</v>
      </c>
      <c r="L61" s="39">
        <f>'Degree-days'!$D$12*IF($E61=$E$5,(L$5),(L$6))</f>
        <v>3.4347685255344489</v>
      </c>
      <c r="M61" s="39">
        <f>'Degree-days'!$D$12*IF($E61=$E$5,(M$5),(M$6))</f>
        <v>3.4347685255344489</v>
      </c>
      <c r="N61" s="39">
        <f>'Degree-days'!$D$12*IF($E61=$E$5,(N$5),(N$6))</f>
        <v>0</v>
      </c>
      <c r="O61" s="39">
        <f>'Degree-days'!$D$12*IF($E61=$E$5,(O$5),(O$6))</f>
        <v>0</v>
      </c>
      <c r="P61" s="39">
        <f>'Degree-days'!$D$12*IF($E61=$E$5,(P$5),(P$6))</f>
        <v>0</v>
      </c>
      <c r="Q61" s="39">
        <f>'Degree-days'!$D$12*IF($E61=$E$5,(Q$5),(Q$6))</f>
        <v>0</v>
      </c>
      <c r="R61" s="39">
        <f>'Degree-days'!$D$12*IF($E61=$E$5,(R$5),(R$6))</f>
        <v>0</v>
      </c>
      <c r="S61" s="39">
        <f>'Degree-days'!$D$12*IF($E61=$E$5,(S$5),(S$6))</f>
        <v>0</v>
      </c>
      <c r="T61" s="39">
        <f>'Degree-days'!$D$12*IF($E61=$E$5,(T$5),(T$6))</f>
        <v>0</v>
      </c>
      <c r="U61" s="39">
        <f>'Degree-days'!$D$12*IF($E61=$E$5,(U$5),(U$6))</f>
        <v>3.4347685255344489</v>
      </c>
      <c r="V61" s="39">
        <f>'Degree-days'!$D$12*IF($E61=$E$5,(V$5),(V$6))</f>
        <v>3.4347685255344489</v>
      </c>
      <c r="W61" s="39">
        <f>'Degree-days'!$D$12*IF($E61=$E$5,(W$5),(W$6))</f>
        <v>3.4347685255344489</v>
      </c>
      <c r="X61" s="39">
        <f>'Degree-days'!$D$12*IF($E61=$E$5,(X$5),(X$6))</f>
        <v>3.4347685255344489</v>
      </c>
      <c r="Y61" s="39">
        <f>'Degree-days'!$D$12*IF($E61=$E$5,(Y$5),(Y$6))</f>
        <v>3.4347685255344489</v>
      </c>
      <c r="Z61" s="39">
        <f>'Degree-days'!$D$12*IF($E61=$E$5,(Z$5),(Z$6))</f>
        <v>3.4347685255344489</v>
      </c>
      <c r="AA61" s="39">
        <f>'Degree-days'!$D$12*IF($E61=$E$5,(AA$5),(AA$6))</f>
        <v>3.4347685255344489</v>
      </c>
      <c r="AB61" s="39">
        <f>'Degree-days'!$D$12*IF($E61=$E$5,(AB$5),(AB$6))</f>
        <v>0</v>
      </c>
      <c r="AC61" s="39">
        <f>'Degree-days'!$D$12*IF($E61=$E$5,(AC$5),(AC$6))</f>
        <v>0</v>
      </c>
      <c r="AD61" s="39">
        <f t="shared" si="1"/>
        <v>30.912916729810036</v>
      </c>
    </row>
    <row r="62" spans="4:30" x14ac:dyDescent="0.2">
      <c r="D62" s="37">
        <v>44981</v>
      </c>
      <c r="E62" s="17" t="str">
        <f t="shared" si="0"/>
        <v>weekday</v>
      </c>
      <c r="F62" s="39">
        <f>'Degree-days'!$D$12*IF($E62=$E$5,(F$5),(F$6))</f>
        <v>0</v>
      </c>
      <c r="G62" s="39">
        <f>'Degree-days'!$D$12*IF($E62=$E$5,(G$5),(G$6))</f>
        <v>0</v>
      </c>
      <c r="H62" s="39">
        <f>'Degree-days'!$D$12*IF($E62=$E$5,(H$5),(H$6))</f>
        <v>0</v>
      </c>
      <c r="I62" s="39">
        <f>'Degree-days'!$D$12*IF($E62=$E$5,(I$5),(I$6))</f>
        <v>0</v>
      </c>
      <c r="J62" s="39">
        <f>'Degree-days'!$D$12*IF($E62=$E$5,(J$5),(J$6))</f>
        <v>0</v>
      </c>
      <c r="K62" s="39">
        <f>'Degree-days'!$D$12*IF($E62=$E$5,(K$5),(K$6))</f>
        <v>0</v>
      </c>
      <c r="L62" s="39">
        <f>'Degree-days'!$D$12*IF($E62=$E$5,(L$5),(L$6))</f>
        <v>3.4347685255344489</v>
      </c>
      <c r="M62" s="39">
        <f>'Degree-days'!$D$12*IF($E62=$E$5,(M$5),(M$6))</f>
        <v>3.4347685255344489</v>
      </c>
      <c r="N62" s="39">
        <f>'Degree-days'!$D$12*IF($E62=$E$5,(N$5),(N$6))</f>
        <v>0</v>
      </c>
      <c r="O62" s="39">
        <f>'Degree-days'!$D$12*IF($E62=$E$5,(O$5),(O$6))</f>
        <v>0</v>
      </c>
      <c r="P62" s="39">
        <f>'Degree-days'!$D$12*IF($E62=$E$5,(P$5),(P$6))</f>
        <v>0</v>
      </c>
      <c r="Q62" s="39">
        <f>'Degree-days'!$D$12*IF($E62=$E$5,(Q$5),(Q$6))</f>
        <v>0</v>
      </c>
      <c r="R62" s="39">
        <f>'Degree-days'!$D$12*IF($E62=$E$5,(R$5),(R$6))</f>
        <v>0</v>
      </c>
      <c r="S62" s="39">
        <f>'Degree-days'!$D$12*IF($E62=$E$5,(S$5),(S$6))</f>
        <v>0</v>
      </c>
      <c r="T62" s="39">
        <f>'Degree-days'!$D$12*IF($E62=$E$5,(T$5),(T$6))</f>
        <v>0</v>
      </c>
      <c r="U62" s="39">
        <f>'Degree-days'!$D$12*IF($E62=$E$5,(U$5),(U$6))</f>
        <v>3.4347685255344489</v>
      </c>
      <c r="V62" s="39">
        <f>'Degree-days'!$D$12*IF($E62=$E$5,(V$5),(V$6))</f>
        <v>3.4347685255344489</v>
      </c>
      <c r="W62" s="39">
        <f>'Degree-days'!$D$12*IF($E62=$E$5,(W$5),(W$6))</f>
        <v>3.4347685255344489</v>
      </c>
      <c r="X62" s="39">
        <f>'Degree-days'!$D$12*IF($E62=$E$5,(X$5),(X$6))</f>
        <v>3.4347685255344489</v>
      </c>
      <c r="Y62" s="39">
        <f>'Degree-days'!$D$12*IF($E62=$E$5,(Y$5),(Y$6))</f>
        <v>3.4347685255344489</v>
      </c>
      <c r="Z62" s="39">
        <f>'Degree-days'!$D$12*IF($E62=$E$5,(Z$5),(Z$6))</f>
        <v>3.4347685255344489</v>
      </c>
      <c r="AA62" s="39">
        <f>'Degree-days'!$D$12*IF($E62=$E$5,(AA$5),(AA$6))</f>
        <v>3.4347685255344489</v>
      </c>
      <c r="AB62" s="39">
        <f>'Degree-days'!$D$12*IF($E62=$E$5,(AB$5),(AB$6))</f>
        <v>0</v>
      </c>
      <c r="AC62" s="39">
        <f>'Degree-days'!$D$12*IF($E62=$E$5,(AC$5),(AC$6))</f>
        <v>0</v>
      </c>
      <c r="AD62" s="39">
        <f t="shared" si="1"/>
        <v>30.912916729810036</v>
      </c>
    </row>
    <row r="63" spans="4:30" x14ac:dyDescent="0.2">
      <c r="D63" s="37">
        <v>44982</v>
      </c>
      <c r="E63" s="17" t="str">
        <f t="shared" si="0"/>
        <v>weekend</v>
      </c>
      <c r="F63" s="39">
        <f>'Degree-days'!$D$12*IF($E63=$E$5,(F$5),(F$6))</f>
        <v>0</v>
      </c>
      <c r="G63" s="39">
        <f>'Degree-days'!$D$12*IF($E63=$E$5,(G$5),(G$6))</f>
        <v>0</v>
      </c>
      <c r="H63" s="39">
        <f>'Degree-days'!$D$12*IF($E63=$E$5,(H$5),(H$6))</f>
        <v>0</v>
      </c>
      <c r="I63" s="39">
        <f>'Degree-days'!$D$12*IF($E63=$E$5,(I$5),(I$6))</f>
        <v>0</v>
      </c>
      <c r="J63" s="39">
        <f>'Degree-days'!$D$12*IF($E63=$E$5,(J$5),(J$6))</f>
        <v>0</v>
      </c>
      <c r="K63" s="39">
        <f>'Degree-days'!$D$12*IF($E63=$E$5,(K$5),(K$6))</f>
        <v>0</v>
      </c>
      <c r="L63" s="39">
        <f>'Degree-days'!$D$12*IF($E63=$E$5,(L$5),(L$6))</f>
        <v>3.4347685255344489</v>
      </c>
      <c r="M63" s="39">
        <f>'Degree-days'!$D$12*IF($E63=$E$5,(M$5),(M$6))</f>
        <v>3.4347685255344489</v>
      </c>
      <c r="N63" s="39">
        <f>'Degree-days'!$D$12*IF($E63=$E$5,(N$5),(N$6))</f>
        <v>3.4347685255344489</v>
      </c>
      <c r="O63" s="39">
        <f>'Degree-days'!$D$12*IF($E63=$E$5,(O$5),(O$6))</f>
        <v>3.4347685255344489</v>
      </c>
      <c r="P63" s="39">
        <f>'Degree-days'!$D$12*IF($E63=$E$5,(P$5),(P$6))</f>
        <v>3.4347685255344489</v>
      </c>
      <c r="Q63" s="39">
        <f>'Degree-days'!$D$12*IF($E63=$E$5,(Q$5),(Q$6))</f>
        <v>3.4347685255344489</v>
      </c>
      <c r="R63" s="39">
        <f>'Degree-days'!$D$12*IF($E63=$E$5,(R$5),(R$6))</f>
        <v>3.4347685255344489</v>
      </c>
      <c r="S63" s="39">
        <f>'Degree-days'!$D$12*IF($E63=$E$5,(S$5),(S$6))</f>
        <v>3.4347685255344489</v>
      </c>
      <c r="T63" s="39">
        <f>'Degree-days'!$D$12*IF($E63=$E$5,(T$5),(T$6))</f>
        <v>3.4347685255344489</v>
      </c>
      <c r="U63" s="39">
        <f>'Degree-days'!$D$12*IF($E63=$E$5,(U$5),(U$6))</f>
        <v>3.4347685255344489</v>
      </c>
      <c r="V63" s="39">
        <f>'Degree-days'!$D$12*IF($E63=$E$5,(V$5),(V$6))</f>
        <v>3.4347685255344489</v>
      </c>
      <c r="W63" s="39">
        <f>'Degree-days'!$D$12*IF($E63=$E$5,(W$5),(W$6))</f>
        <v>3.4347685255344489</v>
      </c>
      <c r="X63" s="39">
        <f>'Degree-days'!$D$12*IF($E63=$E$5,(X$5),(X$6))</f>
        <v>3.4347685255344489</v>
      </c>
      <c r="Y63" s="39">
        <f>'Degree-days'!$D$12*IF($E63=$E$5,(Y$5),(Y$6))</f>
        <v>3.4347685255344489</v>
      </c>
      <c r="Z63" s="39">
        <f>'Degree-days'!$D$12*IF($E63=$E$5,(Z$5),(Z$6))</f>
        <v>3.4347685255344489</v>
      </c>
      <c r="AA63" s="39">
        <f>'Degree-days'!$D$12*IF($E63=$E$5,(AA$5),(AA$6))</f>
        <v>3.4347685255344489</v>
      </c>
      <c r="AB63" s="39">
        <f>'Degree-days'!$D$12*IF($E63=$E$5,(AB$5),(AB$6))</f>
        <v>0</v>
      </c>
      <c r="AC63" s="39">
        <f>'Degree-days'!$D$12*IF($E63=$E$5,(AC$5),(AC$6))</f>
        <v>0</v>
      </c>
      <c r="AD63" s="39">
        <f t="shared" si="1"/>
        <v>54.956296408551196</v>
      </c>
    </row>
    <row r="64" spans="4:30" x14ac:dyDescent="0.2">
      <c r="D64" s="37">
        <v>44983</v>
      </c>
      <c r="E64" s="17" t="str">
        <f t="shared" si="0"/>
        <v>weekend</v>
      </c>
      <c r="F64" s="39">
        <f>'Degree-days'!$D$12*IF($E64=$E$5,(F$5),(F$6))</f>
        <v>0</v>
      </c>
      <c r="G64" s="39">
        <f>'Degree-days'!$D$12*IF($E64=$E$5,(G$5),(G$6))</f>
        <v>0</v>
      </c>
      <c r="H64" s="39">
        <f>'Degree-days'!$D$12*IF($E64=$E$5,(H$5),(H$6))</f>
        <v>0</v>
      </c>
      <c r="I64" s="39">
        <f>'Degree-days'!$D$12*IF($E64=$E$5,(I$5),(I$6))</f>
        <v>0</v>
      </c>
      <c r="J64" s="39">
        <f>'Degree-days'!$D$12*IF($E64=$E$5,(J$5),(J$6))</f>
        <v>0</v>
      </c>
      <c r="K64" s="39">
        <f>'Degree-days'!$D$12*IF($E64=$E$5,(K$5),(K$6))</f>
        <v>0</v>
      </c>
      <c r="L64" s="39">
        <f>'Degree-days'!$D$12*IF($E64=$E$5,(L$5),(L$6))</f>
        <v>3.4347685255344489</v>
      </c>
      <c r="M64" s="39">
        <f>'Degree-days'!$D$12*IF($E64=$E$5,(M$5),(M$6))</f>
        <v>3.4347685255344489</v>
      </c>
      <c r="N64" s="39">
        <f>'Degree-days'!$D$12*IF($E64=$E$5,(N$5),(N$6))</f>
        <v>3.4347685255344489</v>
      </c>
      <c r="O64" s="39">
        <f>'Degree-days'!$D$12*IF($E64=$E$5,(O$5),(O$6))</f>
        <v>3.4347685255344489</v>
      </c>
      <c r="P64" s="39">
        <f>'Degree-days'!$D$12*IF($E64=$E$5,(P$5),(P$6))</f>
        <v>3.4347685255344489</v>
      </c>
      <c r="Q64" s="39">
        <f>'Degree-days'!$D$12*IF($E64=$E$5,(Q$5),(Q$6))</f>
        <v>3.4347685255344489</v>
      </c>
      <c r="R64" s="39">
        <f>'Degree-days'!$D$12*IF($E64=$E$5,(R$5),(R$6))</f>
        <v>3.4347685255344489</v>
      </c>
      <c r="S64" s="39">
        <f>'Degree-days'!$D$12*IF($E64=$E$5,(S$5),(S$6))</f>
        <v>3.4347685255344489</v>
      </c>
      <c r="T64" s="39">
        <f>'Degree-days'!$D$12*IF($E64=$E$5,(T$5),(T$6))</f>
        <v>3.4347685255344489</v>
      </c>
      <c r="U64" s="39">
        <f>'Degree-days'!$D$12*IF($E64=$E$5,(U$5),(U$6))</f>
        <v>3.4347685255344489</v>
      </c>
      <c r="V64" s="39">
        <f>'Degree-days'!$D$12*IF($E64=$E$5,(V$5),(V$6))</f>
        <v>3.4347685255344489</v>
      </c>
      <c r="W64" s="39">
        <f>'Degree-days'!$D$12*IF($E64=$E$5,(W$5),(W$6))</f>
        <v>3.4347685255344489</v>
      </c>
      <c r="X64" s="39">
        <f>'Degree-days'!$D$12*IF($E64=$E$5,(X$5),(X$6))</f>
        <v>3.4347685255344489</v>
      </c>
      <c r="Y64" s="39">
        <f>'Degree-days'!$D$12*IF($E64=$E$5,(Y$5),(Y$6))</f>
        <v>3.4347685255344489</v>
      </c>
      <c r="Z64" s="39">
        <f>'Degree-days'!$D$12*IF($E64=$E$5,(Z$5),(Z$6))</f>
        <v>3.4347685255344489</v>
      </c>
      <c r="AA64" s="39">
        <f>'Degree-days'!$D$12*IF($E64=$E$5,(AA$5),(AA$6))</f>
        <v>3.4347685255344489</v>
      </c>
      <c r="AB64" s="39">
        <f>'Degree-days'!$D$12*IF($E64=$E$5,(AB$5),(AB$6))</f>
        <v>0</v>
      </c>
      <c r="AC64" s="39">
        <f>'Degree-days'!$D$12*IF($E64=$E$5,(AC$5),(AC$6))</f>
        <v>0</v>
      </c>
      <c r="AD64" s="39">
        <f t="shared" si="1"/>
        <v>54.956296408551196</v>
      </c>
    </row>
    <row r="65" spans="4:32" x14ac:dyDescent="0.2">
      <c r="D65" s="37">
        <v>44984</v>
      </c>
      <c r="E65" s="17" t="str">
        <f t="shared" si="0"/>
        <v>weekday</v>
      </c>
      <c r="F65" s="39">
        <f>'Degree-days'!$D$12*IF($E65=$E$5,(F$5),(F$6))</f>
        <v>0</v>
      </c>
      <c r="G65" s="39">
        <f>'Degree-days'!$D$12*IF($E65=$E$5,(G$5),(G$6))</f>
        <v>0</v>
      </c>
      <c r="H65" s="39">
        <f>'Degree-days'!$D$12*IF($E65=$E$5,(H$5),(H$6))</f>
        <v>0</v>
      </c>
      <c r="I65" s="39">
        <f>'Degree-days'!$D$12*IF($E65=$E$5,(I$5),(I$6))</f>
        <v>0</v>
      </c>
      <c r="J65" s="39">
        <f>'Degree-days'!$D$12*IF($E65=$E$5,(J$5),(J$6))</f>
        <v>0</v>
      </c>
      <c r="K65" s="39">
        <f>'Degree-days'!$D$12*IF($E65=$E$5,(K$5),(K$6))</f>
        <v>0</v>
      </c>
      <c r="L65" s="39">
        <f>'Degree-days'!$D$12*IF($E65=$E$5,(L$5),(L$6))</f>
        <v>3.4347685255344489</v>
      </c>
      <c r="M65" s="39">
        <f>'Degree-days'!$D$12*IF($E65=$E$5,(M$5),(M$6))</f>
        <v>3.4347685255344489</v>
      </c>
      <c r="N65" s="39">
        <f>'Degree-days'!$D$12*IF($E65=$E$5,(N$5),(N$6))</f>
        <v>0</v>
      </c>
      <c r="O65" s="39">
        <f>'Degree-days'!$D$12*IF($E65=$E$5,(O$5),(O$6))</f>
        <v>0</v>
      </c>
      <c r="P65" s="39">
        <f>'Degree-days'!$D$12*IF($E65=$E$5,(P$5),(P$6))</f>
        <v>0</v>
      </c>
      <c r="Q65" s="39">
        <f>'Degree-days'!$D$12*IF($E65=$E$5,(Q$5),(Q$6))</f>
        <v>0</v>
      </c>
      <c r="R65" s="39">
        <f>'Degree-days'!$D$12*IF($E65=$E$5,(R$5),(R$6))</f>
        <v>0</v>
      </c>
      <c r="S65" s="39">
        <f>'Degree-days'!$D$12*IF($E65=$E$5,(S$5),(S$6))</f>
        <v>0</v>
      </c>
      <c r="T65" s="39">
        <f>'Degree-days'!$D$12*IF($E65=$E$5,(T$5),(T$6))</f>
        <v>0</v>
      </c>
      <c r="U65" s="39">
        <f>'Degree-days'!$D$12*IF($E65=$E$5,(U$5),(U$6))</f>
        <v>3.4347685255344489</v>
      </c>
      <c r="V65" s="39">
        <f>'Degree-days'!$D$12*IF($E65=$E$5,(V$5),(V$6))</f>
        <v>3.4347685255344489</v>
      </c>
      <c r="W65" s="39">
        <f>'Degree-days'!$D$12*IF($E65=$E$5,(W$5),(W$6))</f>
        <v>3.4347685255344489</v>
      </c>
      <c r="X65" s="39">
        <f>'Degree-days'!$D$12*IF($E65=$E$5,(X$5),(X$6))</f>
        <v>3.4347685255344489</v>
      </c>
      <c r="Y65" s="39">
        <f>'Degree-days'!$D$12*IF($E65=$E$5,(Y$5),(Y$6))</f>
        <v>3.4347685255344489</v>
      </c>
      <c r="Z65" s="39">
        <f>'Degree-days'!$D$12*IF($E65=$E$5,(Z$5),(Z$6))</f>
        <v>3.4347685255344489</v>
      </c>
      <c r="AA65" s="39">
        <f>'Degree-days'!$D$12*IF($E65=$E$5,(AA$5),(AA$6))</f>
        <v>3.4347685255344489</v>
      </c>
      <c r="AB65" s="39">
        <f>'Degree-days'!$D$12*IF($E65=$E$5,(AB$5),(AB$6))</f>
        <v>0</v>
      </c>
      <c r="AC65" s="39">
        <f>'Degree-days'!$D$12*IF($E65=$E$5,(AC$5),(AC$6))</f>
        <v>0</v>
      </c>
      <c r="AD65" s="39">
        <f t="shared" si="1"/>
        <v>30.912916729810036</v>
      </c>
    </row>
    <row r="66" spans="4:32" x14ac:dyDescent="0.2">
      <c r="D66" s="37">
        <v>44985</v>
      </c>
      <c r="E66" s="17" t="str">
        <f t="shared" si="0"/>
        <v>weekday</v>
      </c>
      <c r="F66" s="39">
        <f>'Degree-days'!$D$12*IF($E66=$E$5,(F$5),(F$6))</f>
        <v>0</v>
      </c>
      <c r="G66" s="39">
        <f>'Degree-days'!$D$12*IF($E66=$E$5,(G$5),(G$6))</f>
        <v>0</v>
      </c>
      <c r="H66" s="39">
        <f>'Degree-days'!$D$12*IF($E66=$E$5,(H$5),(H$6))</f>
        <v>0</v>
      </c>
      <c r="I66" s="39">
        <f>'Degree-days'!$D$12*IF($E66=$E$5,(I$5),(I$6))</f>
        <v>0</v>
      </c>
      <c r="J66" s="39">
        <f>'Degree-days'!$D$12*IF($E66=$E$5,(J$5),(J$6))</f>
        <v>0</v>
      </c>
      <c r="K66" s="39">
        <f>'Degree-days'!$D$12*IF($E66=$E$5,(K$5),(K$6))</f>
        <v>0</v>
      </c>
      <c r="L66" s="39">
        <f>'Degree-days'!$D$12*IF($E66=$E$5,(L$5),(L$6))</f>
        <v>3.4347685255344489</v>
      </c>
      <c r="M66" s="39">
        <f>'Degree-days'!$D$12*IF($E66=$E$5,(M$5),(M$6))</f>
        <v>3.4347685255344489</v>
      </c>
      <c r="N66" s="39">
        <f>'Degree-days'!$D$12*IF($E66=$E$5,(N$5),(N$6))</f>
        <v>0</v>
      </c>
      <c r="O66" s="39">
        <f>'Degree-days'!$D$12*IF($E66=$E$5,(O$5),(O$6))</f>
        <v>0</v>
      </c>
      <c r="P66" s="39">
        <f>'Degree-days'!$D$12*IF($E66=$E$5,(P$5),(P$6))</f>
        <v>0</v>
      </c>
      <c r="Q66" s="39">
        <f>'Degree-days'!$D$12*IF($E66=$E$5,(Q$5),(Q$6))</f>
        <v>0</v>
      </c>
      <c r="R66" s="39">
        <f>'Degree-days'!$D$12*IF($E66=$E$5,(R$5),(R$6))</f>
        <v>0</v>
      </c>
      <c r="S66" s="39">
        <f>'Degree-days'!$D$12*IF($E66=$E$5,(S$5),(S$6))</f>
        <v>0</v>
      </c>
      <c r="T66" s="39">
        <f>'Degree-days'!$D$12*IF($E66=$E$5,(T$5),(T$6))</f>
        <v>0</v>
      </c>
      <c r="U66" s="39">
        <f>'Degree-days'!$D$12*IF($E66=$E$5,(U$5),(U$6))</f>
        <v>3.4347685255344489</v>
      </c>
      <c r="V66" s="39">
        <f>'Degree-days'!$D$12*IF($E66=$E$5,(V$5),(V$6))</f>
        <v>3.4347685255344489</v>
      </c>
      <c r="W66" s="39">
        <f>'Degree-days'!$D$12*IF($E66=$E$5,(W$5),(W$6))</f>
        <v>3.4347685255344489</v>
      </c>
      <c r="X66" s="39">
        <f>'Degree-days'!$D$12*IF($E66=$E$5,(X$5),(X$6))</f>
        <v>3.4347685255344489</v>
      </c>
      <c r="Y66" s="39">
        <f>'Degree-days'!$D$12*IF($E66=$E$5,(Y$5),(Y$6))</f>
        <v>3.4347685255344489</v>
      </c>
      <c r="Z66" s="39">
        <f>'Degree-days'!$D$12*IF($E66=$E$5,(Z$5),(Z$6))</f>
        <v>3.4347685255344489</v>
      </c>
      <c r="AA66" s="39">
        <f>'Degree-days'!$D$12*IF($E66=$E$5,(AA$5),(AA$6))</f>
        <v>3.4347685255344489</v>
      </c>
      <c r="AB66" s="39">
        <f>'Degree-days'!$D$12*IF($E66=$E$5,(AB$5),(AB$6))</f>
        <v>0</v>
      </c>
      <c r="AC66" s="39">
        <f>'Degree-days'!$D$12*IF($E66=$E$5,(AC$5),(AC$6))</f>
        <v>0</v>
      </c>
      <c r="AD66" s="39">
        <f t="shared" si="1"/>
        <v>30.912916729810036</v>
      </c>
      <c r="AE66" s="40">
        <f>SUM(AD39:AD66)</f>
        <v>1057.9087058646105</v>
      </c>
      <c r="AF66" s="35">
        <f>'Degree-days'!D11</f>
        <v>1057.9087058646103</v>
      </c>
    </row>
    <row r="67" spans="4:32" x14ac:dyDescent="0.2">
      <c r="D67" s="37">
        <v>44986</v>
      </c>
      <c r="E67" s="17" t="str">
        <f t="shared" si="0"/>
        <v>weekday</v>
      </c>
      <c r="F67" s="39">
        <f>'Degree-days'!$E$12*IF($E67=$E$5,(F$5),(F$6))</f>
        <v>0</v>
      </c>
      <c r="G67" s="39">
        <f>'Degree-days'!$E$12*IF($E67=$E$5,(G$5),(G$6))</f>
        <v>0</v>
      </c>
      <c r="H67" s="39">
        <f>'Degree-days'!$E$12*IF($E67=$E$5,(H$5),(H$6))</f>
        <v>0</v>
      </c>
      <c r="I67" s="39">
        <f>'Degree-days'!$E$12*IF($E67=$E$5,(I$5),(I$6))</f>
        <v>0</v>
      </c>
      <c r="J67" s="39">
        <f>'Degree-days'!$E$12*IF($E67=$E$5,(J$5),(J$6))</f>
        <v>0</v>
      </c>
      <c r="K67" s="39">
        <f>'Degree-days'!$E$12*IF($E67=$E$5,(K$5),(K$6))</f>
        <v>0</v>
      </c>
      <c r="L67" s="39">
        <f>'Degree-days'!$E$12*IF($E67=$E$5,(L$5),(L$6))</f>
        <v>2.9591257357571754</v>
      </c>
      <c r="M67" s="39">
        <f>'Degree-days'!$E$12*IF($E67=$E$5,(M$5),(M$6))</f>
        <v>2.9591257357571754</v>
      </c>
      <c r="N67" s="39">
        <f>'Degree-days'!$E$12*IF($E67=$E$5,(N$5),(N$6))</f>
        <v>0</v>
      </c>
      <c r="O67" s="39">
        <f>'Degree-days'!$E$12*IF($E67=$E$5,(O$5),(O$6))</f>
        <v>0</v>
      </c>
      <c r="P67" s="39">
        <f>'Degree-days'!$E$12*IF($E67=$E$5,(P$5),(P$6))</f>
        <v>0</v>
      </c>
      <c r="Q67" s="39">
        <f>'Degree-days'!$E$12*IF($E67=$E$5,(Q$5),(Q$6))</f>
        <v>0</v>
      </c>
      <c r="R67" s="39">
        <f>'Degree-days'!$E$12*IF($E67=$E$5,(R$5),(R$6))</f>
        <v>0</v>
      </c>
      <c r="S67" s="39">
        <f>'Degree-days'!$E$12*IF($E67=$E$5,(S$5),(S$6))</f>
        <v>0</v>
      </c>
      <c r="T67" s="39">
        <f>'Degree-days'!$E$12*IF($E67=$E$5,(T$5),(T$6))</f>
        <v>0</v>
      </c>
      <c r="U67" s="39">
        <f>'Degree-days'!$E$12*IF($E67=$E$5,(U$5),(U$6))</f>
        <v>2.9591257357571754</v>
      </c>
      <c r="V67" s="39">
        <f>'Degree-days'!$E$12*IF($E67=$E$5,(V$5),(V$6))</f>
        <v>2.9591257357571754</v>
      </c>
      <c r="W67" s="39">
        <f>'Degree-days'!$E$12*IF($E67=$E$5,(W$5),(W$6))</f>
        <v>2.9591257357571754</v>
      </c>
      <c r="X67" s="39">
        <f>'Degree-days'!$E$12*IF($E67=$E$5,(X$5),(X$6))</f>
        <v>2.9591257357571754</v>
      </c>
      <c r="Y67" s="39">
        <f>'Degree-days'!$E$12*IF($E67=$E$5,(Y$5),(Y$6))</f>
        <v>2.9591257357571754</v>
      </c>
      <c r="Z67" s="39">
        <f>'Degree-days'!$E$12*IF($E67=$E$5,(Z$5),(Z$6))</f>
        <v>2.9591257357571754</v>
      </c>
      <c r="AA67" s="39">
        <f>'Degree-days'!$E$12*IF($E67=$E$5,(AA$5),(AA$6))</f>
        <v>2.9591257357571754</v>
      </c>
      <c r="AB67" s="39">
        <f>'Degree-days'!$E$12*IF($E67=$E$5,(AB$5),(AB$6))</f>
        <v>0</v>
      </c>
      <c r="AC67" s="39">
        <f>'Degree-days'!$E$12*IF($E67=$E$5,(AC$5),(AC$6))</f>
        <v>0</v>
      </c>
      <c r="AD67" s="39">
        <f t="shared" si="1"/>
        <v>26.632131621814583</v>
      </c>
    </row>
    <row r="68" spans="4:32" x14ac:dyDescent="0.2">
      <c r="D68" s="37">
        <v>44987</v>
      </c>
      <c r="E68" s="17" t="str">
        <f t="shared" si="0"/>
        <v>weekday</v>
      </c>
      <c r="F68" s="39">
        <f>'Degree-days'!$E$12*IF($E68=$E$5,(F$5),(F$6))</f>
        <v>0</v>
      </c>
      <c r="G68" s="39">
        <f>'Degree-days'!$E$12*IF($E68=$E$5,(G$5),(G$6))</f>
        <v>0</v>
      </c>
      <c r="H68" s="39">
        <f>'Degree-days'!$E$12*IF($E68=$E$5,(H$5),(H$6))</f>
        <v>0</v>
      </c>
      <c r="I68" s="39">
        <f>'Degree-days'!$E$12*IF($E68=$E$5,(I$5),(I$6))</f>
        <v>0</v>
      </c>
      <c r="J68" s="39">
        <f>'Degree-days'!$E$12*IF($E68=$E$5,(J$5),(J$6))</f>
        <v>0</v>
      </c>
      <c r="K68" s="39">
        <f>'Degree-days'!$E$12*IF($E68=$E$5,(K$5),(K$6))</f>
        <v>0</v>
      </c>
      <c r="L68" s="39">
        <f>'Degree-days'!$E$12*IF($E68=$E$5,(L$5),(L$6))</f>
        <v>2.9591257357571754</v>
      </c>
      <c r="M68" s="39">
        <f>'Degree-days'!$E$12*IF($E68=$E$5,(M$5),(M$6))</f>
        <v>2.9591257357571754</v>
      </c>
      <c r="N68" s="39">
        <f>'Degree-days'!$E$12*IF($E68=$E$5,(N$5),(N$6))</f>
        <v>0</v>
      </c>
      <c r="O68" s="39">
        <f>'Degree-days'!$E$12*IF($E68=$E$5,(O$5),(O$6))</f>
        <v>0</v>
      </c>
      <c r="P68" s="39">
        <f>'Degree-days'!$E$12*IF($E68=$E$5,(P$5),(P$6))</f>
        <v>0</v>
      </c>
      <c r="Q68" s="39">
        <f>'Degree-days'!$E$12*IF($E68=$E$5,(Q$5),(Q$6))</f>
        <v>0</v>
      </c>
      <c r="R68" s="39">
        <f>'Degree-days'!$E$12*IF($E68=$E$5,(R$5),(R$6))</f>
        <v>0</v>
      </c>
      <c r="S68" s="39">
        <f>'Degree-days'!$E$12*IF($E68=$E$5,(S$5),(S$6))</f>
        <v>0</v>
      </c>
      <c r="T68" s="39">
        <f>'Degree-days'!$E$12*IF($E68=$E$5,(T$5),(T$6))</f>
        <v>0</v>
      </c>
      <c r="U68" s="39">
        <f>'Degree-days'!$E$12*IF($E68=$E$5,(U$5),(U$6))</f>
        <v>2.9591257357571754</v>
      </c>
      <c r="V68" s="39">
        <f>'Degree-days'!$E$12*IF($E68=$E$5,(V$5),(V$6))</f>
        <v>2.9591257357571754</v>
      </c>
      <c r="W68" s="39">
        <f>'Degree-days'!$E$12*IF($E68=$E$5,(W$5),(W$6))</f>
        <v>2.9591257357571754</v>
      </c>
      <c r="X68" s="39">
        <f>'Degree-days'!$E$12*IF($E68=$E$5,(X$5),(X$6))</f>
        <v>2.9591257357571754</v>
      </c>
      <c r="Y68" s="39">
        <f>'Degree-days'!$E$12*IF($E68=$E$5,(Y$5),(Y$6))</f>
        <v>2.9591257357571754</v>
      </c>
      <c r="Z68" s="39">
        <f>'Degree-days'!$E$12*IF($E68=$E$5,(Z$5),(Z$6))</f>
        <v>2.9591257357571754</v>
      </c>
      <c r="AA68" s="39">
        <f>'Degree-days'!$E$12*IF($E68=$E$5,(AA$5),(AA$6))</f>
        <v>2.9591257357571754</v>
      </c>
      <c r="AB68" s="39">
        <f>'Degree-days'!$E$12*IF($E68=$E$5,(AB$5),(AB$6))</f>
        <v>0</v>
      </c>
      <c r="AC68" s="39">
        <f>'Degree-days'!$E$12*IF($E68=$E$5,(AC$5),(AC$6))</f>
        <v>0</v>
      </c>
      <c r="AD68" s="39">
        <f t="shared" si="1"/>
        <v>26.632131621814583</v>
      </c>
    </row>
    <row r="69" spans="4:32" x14ac:dyDescent="0.2">
      <c r="D69" s="37">
        <v>44988</v>
      </c>
      <c r="E69" s="17" t="str">
        <f t="shared" si="0"/>
        <v>weekday</v>
      </c>
      <c r="F69" s="39">
        <f>'Degree-days'!$E$12*IF($E69=$E$5,(F$5),(F$6))</f>
        <v>0</v>
      </c>
      <c r="G69" s="39">
        <f>'Degree-days'!$E$12*IF($E69=$E$5,(G$5),(G$6))</f>
        <v>0</v>
      </c>
      <c r="H69" s="39">
        <f>'Degree-days'!$E$12*IF($E69=$E$5,(H$5),(H$6))</f>
        <v>0</v>
      </c>
      <c r="I69" s="39">
        <f>'Degree-days'!$E$12*IF($E69=$E$5,(I$5),(I$6))</f>
        <v>0</v>
      </c>
      <c r="J69" s="39">
        <f>'Degree-days'!$E$12*IF($E69=$E$5,(J$5),(J$6))</f>
        <v>0</v>
      </c>
      <c r="K69" s="39">
        <f>'Degree-days'!$E$12*IF($E69=$E$5,(K$5),(K$6))</f>
        <v>0</v>
      </c>
      <c r="L69" s="39">
        <f>'Degree-days'!$E$12*IF($E69=$E$5,(L$5),(L$6))</f>
        <v>2.9591257357571754</v>
      </c>
      <c r="M69" s="39">
        <f>'Degree-days'!$E$12*IF($E69=$E$5,(M$5),(M$6))</f>
        <v>2.9591257357571754</v>
      </c>
      <c r="N69" s="39">
        <f>'Degree-days'!$E$12*IF($E69=$E$5,(N$5),(N$6))</f>
        <v>0</v>
      </c>
      <c r="O69" s="39">
        <f>'Degree-days'!$E$12*IF($E69=$E$5,(O$5),(O$6))</f>
        <v>0</v>
      </c>
      <c r="P69" s="39">
        <f>'Degree-days'!$E$12*IF($E69=$E$5,(P$5),(P$6))</f>
        <v>0</v>
      </c>
      <c r="Q69" s="39">
        <f>'Degree-days'!$E$12*IF($E69=$E$5,(Q$5),(Q$6))</f>
        <v>0</v>
      </c>
      <c r="R69" s="39">
        <f>'Degree-days'!$E$12*IF($E69=$E$5,(R$5),(R$6))</f>
        <v>0</v>
      </c>
      <c r="S69" s="39">
        <f>'Degree-days'!$E$12*IF($E69=$E$5,(S$5),(S$6))</f>
        <v>0</v>
      </c>
      <c r="T69" s="39">
        <f>'Degree-days'!$E$12*IF($E69=$E$5,(T$5),(T$6))</f>
        <v>0</v>
      </c>
      <c r="U69" s="39">
        <f>'Degree-days'!$E$12*IF($E69=$E$5,(U$5),(U$6))</f>
        <v>2.9591257357571754</v>
      </c>
      <c r="V69" s="39">
        <f>'Degree-days'!$E$12*IF($E69=$E$5,(V$5),(V$6))</f>
        <v>2.9591257357571754</v>
      </c>
      <c r="W69" s="39">
        <f>'Degree-days'!$E$12*IF($E69=$E$5,(W$5),(W$6))</f>
        <v>2.9591257357571754</v>
      </c>
      <c r="X69" s="39">
        <f>'Degree-days'!$E$12*IF($E69=$E$5,(X$5),(X$6))</f>
        <v>2.9591257357571754</v>
      </c>
      <c r="Y69" s="39">
        <f>'Degree-days'!$E$12*IF($E69=$E$5,(Y$5),(Y$6))</f>
        <v>2.9591257357571754</v>
      </c>
      <c r="Z69" s="39">
        <f>'Degree-days'!$E$12*IF($E69=$E$5,(Z$5),(Z$6))</f>
        <v>2.9591257357571754</v>
      </c>
      <c r="AA69" s="39">
        <f>'Degree-days'!$E$12*IF($E69=$E$5,(AA$5),(AA$6))</f>
        <v>2.9591257357571754</v>
      </c>
      <c r="AB69" s="39">
        <f>'Degree-days'!$E$12*IF($E69=$E$5,(AB$5),(AB$6))</f>
        <v>0</v>
      </c>
      <c r="AC69" s="39">
        <f>'Degree-days'!$E$12*IF($E69=$E$5,(AC$5),(AC$6))</f>
        <v>0</v>
      </c>
      <c r="AD69" s="39">
        <f t="shared" si="1"/>
        <v>26.632131621814583</v>
      </c>
    </row>
    <row r="70" spans="4:32" x14ac:dyDescent="0.2">
      <c r="D70" s="37">
        <v>44989</v>
      </c>
      <c r="E70" s="17" t="str">
        <f t="shared" si="0"/>
        <v>weekend</v>
      </c>
      <c r="F70" s="39">
        <f>'Degree-days'!$E$12*IF($E70=$E$5,(F$5),(F$6))</f>
        <v>0</v>
      </c>
      <c r="G70" s="39">
        <f>'Degree-days'!$E$12*IF($E70=$E$5,(G$5),(G$6))</f>
        <v>0</v>
      </c>
      <c r="H70" s="39">
        <f>'Degree-days'!$E$12*IF($E70=$E$5,(H$5),(H$6))</f>
        <v>0</v>
      </c>
      <c r="I70" s="39">
        <f>'Degree-days'!$E$12*IF($E70=$E$5,(I$5),(I$6))</f>
        <v>0</v>
      </c>
      <c r="J70" s="39">
        <f>'Degree-days'!$E$12*IF($E70=$E$5,(J$5),(J$6))</f>
        <v>0</v>
      </c>
      <c r="K70" s="39">
        <f>'Degree-days'!$E$12*IF($E70=$E$5,(K$5),(K$6))</f>
        <v>0</v>
      </c>
      <c r="L70" s="39">
        <f>'Degree-days'!$E$12*IF($E70=$E$5,(L$5),(L$6))</f>
        <v>2.9591257357571754</v>
      </c>
      <c r="M70" s="39">
        <f>'Degree-days'!$E$12*IF($E70=$E$5,(M$5),(M$6))</f>
        <v>2.9591257357571754</v>
      </c>
      <c r="N70" s="39">
        <f>'Degree-days'!$E$12*IF($E70=$E$5,(N$5),(N$6))</f>
        <v>2.9591257357571754</v>
      </c>
      <c r="O70" s="39">
        <f>'Degree-days'!$E$12*IF($E70=$E$5,(O$5),(O$6))</f>
        <v>2.9591257357571754</v>
      </c>
      <c r="P70" s="39">
        <f>'Degree-days'!$E$12*IF($E70=$E$5,(P$5),(P$6))</f>
        <v>2.9591257357571754</v>
      </c>
      <c r="Q70" s="39">
        <f>'Degree-days'!$E$12*IF($E70=$E$5,(Q$5),(Q$6))</f>
        <v>2.9591257357571754</v>
      </c>
      <c r="R70" s="39">
        <f>'Degree-days'!$E$12*IF($E70=$E$5,(R$5),(R$6))</f>
        <v>2.9591257357571754</v>
      </c>
      <c r="S70" s="39">
        <f>'Degree-days'!$E$12*IF($E70=$E$5,(S$5),(S$6))</f>
        <v>2.9591257357571754</v>
      </c>
      <c r="T70" s="39">
        <f>'Degree-days'!$E$12*IF($E70=$E$5,(T$5),(T$6))</f>
        <v>2.9591257357571754</v>
      </c>
      <c r="U70" s="39">
        <f>'Degree-days'!$E$12*IF($E70=$E$5,(U$5),(U$6))</f>
        <v>2.9591257357571754</v>
      </c>
      <c r="V70" s="39">
        <f>'Degree-days'!$E$12*IF($E70=$E$5,(V$5),(V$6))</f>
        <v>2.9591257357571754</v>
      </c>
      <c r="W70" s="39">
        <f>'Degree-days'!$E$12*IF($E70=$E$5,(W$5),(W$6))</f>
        <v>2.9591257357571754</v>
      </c>
      <c r="X70" s="39">
        <f>'Degree-days'!$E$12*IF($E70=$E$5,(X$5),(X$6))</f>
        <v>2.9591257357571754</v>
      </c>
      <c r="Y70" s="39">
        <f>'Degree-days'!$E$12*IF($E70=$E$5,(Y$5),(Y$6))</f>
        <v>2.9591257357571754</v>
      </c>
      <c r="Z70" s="39">
        <f>'Degree-days'!$E$12*IF($E70=$E$5,(Z$5),(Z$6))</f>
        <v>2.9591257357571754</v>
      </c>
      <c r="AA70" s="39">
        <f>'Degree-days'!$E$12*IF($E70=$E$5,(AA$5),(AA$6))</f>
        <v>2.9591257357571754</v>
      </c>
      <c r="AB70" s="39">
        <f>'Degree-days'!$E$12*IF($E70=$E$5,(AB$5),(AB$6))</f>
        <v>0</v>
      </c>
      <c r="AC70" s="39">
        <f>'Degree-days'!$E$12*IF($E70=$E$5,(AC$5),(AC$6))</f>
        <v>0</v>
      </c>
      <c r="AD70" s="39">
        <f t="shared" si="1"/>
        <v>47.346011772114814</v>
      </c>
    </row>
    <row r="71" spans="4:32" x14ac:dyDescent="0.2">
      <c r="D71" s="37">
        <v>44990</v>
      </c>
      <c r="E71" s="17" t="str">
        <f t="shared" si="0"/>
        <v>weekend</v>
      </c>
      <c r="F71" s="39">
        <f>'Degree-days'!$E$12*IF($E71=$E$5,(F$5),(F$6))</f>
        <v>0</v>
      </c>
      <c r="G71" s="39">
        <f>'Degree-days'!$E$12*IF($E71=$E$5,(G$5),(G$6))</f>
        <v>0</v>
      </c>
      <c r="H71" s="39">
        <f>'Degree-days'!$E$12*IF($E71=$E$5,(H$5),(H$6))</f>
        <v>0</v>
      </c>
      <c r="I71" s="39">
        <f>'Degree-days'!$E$12*IF($E71=$E$5,(I$5),(I$6))</f>
        <v>0</v>
      </c>
      <c r="J71" s="39">
        <f>'Degree-days'!$E$12*IF($E71=$E$5,(J$5),(J$6))</f>
        <v>0</v>
      </c>
      <c r="K71" s="39">
        <f>'Degree-days'!$E$12*IF($E71=$E$5,(K$5),(K$6))</f>
        <v>0</v>
      </c>
      <c r="L71" s="39">
        <f>'Degree-days'!$E$12*IF($E71=$E$5,(L$5),(L$6))</f>
        <v>2.9591257357571754</v>
      </c>
      <c r="M71" s="39">
        <f>'Degree-days'!$E$12*IF($E71=$E$5,(M$5),(M$6))</f>
        <v>2.9591257357571754</v>
      </c>
      <c r="N71" s="39">
        <f>'Degree-days'!$E$12*IF($E71=$E$5,(N$5),(N$6))</f>
        <v>2.9591257357571754</v>
      </c>
      <c r="O71" s="39">
        <f>'Degree-days'!$E$12*IF($E71=$E$5,(O$5),(O$6))</f>
        <v>2.9591257357571754</v>
      </c>
      <c r="P71" s="39">
        <f>'Degree-days'!$E$12*IF($E71=$E$5,(P$5),(P$6))</f>
        <v>2.9591257357571754</v>
      </c>
      <c r="Q71" s="39">
        <f>'Degree-days'!$E$12*IF($E71=$E$5,(Q$5),(Q$6))</f>
        <v>2.9591257357571754</v>
      </c>
      <c r="R71" s="39">
        <f>'Degree-days'!$E$12*IF($E71=$E$5,(R$5),(R$6))</f>
        <v>2.9591257357571754</v>
      </c>
      <c r="S71" s="39">
        <f>'Degree-days'!$E$12*IF($E71=$E$5,(S$5),(S$6))</f>
        <v>2.9591257357571754</v>
      </c>
      <c r="T71" s="39">
        <f>'Degree-days'!$E$12*IF($E71=$E$5,(T$5),(T$6))</f>
        <v>2.9591257357571754</v>
      </c>
      <c r="U71" s="39">
        <f>'Degree-days'!$E$12*IF($E71=$E$5,(U$5),(U$6))</f>
        <v>2.9591257357571754</v>
      </c>
      <c r="V71" s="39">
        <f>'Degree-days'!$E$12*IF($E71=$E$5,(V$5),(V$6))</f>
        <v>2.9591257357571754</v>
      </c>
      <c r="W71" s="39">
        <f>'Degree-days'!$E$12*IF($E71=$E$5,(W$5),(W$6))</f>
        <v>2.9591257357571754</v>
      </c>
      <c r="X71" s="39">
        <f>'Degree-days'!$E$12*IF($E71=$E$5,(X$5),(X$6))</f>
        <v>2.9591257357571754</v>
      </c>
      <c r="Y71" s="39">
        <f>'Degree-days'!$E$12*IF($E71=$E$5,(Y$5),(Y$6))</f>
        <v>2.9591257357571754</v>
      </c>
      <c r="Z71" s="39">
        <f>'Degree-days'!$E$12*IF($E71=$E$5,(Z$5),(Z$6))</f>
        <v>2.9591257357571754</v>
      </c>
      <c r="AA71" s="39">
        <f>'Degree-days'!$E$12*IF($E71=$E$5,(AA$5),(AA$6))</f>
        <v>2.9591257357571754</v>
      </c>
      <c r="AB71" s="39">
        <f>'Degree-days'!$E$12*IF($E71=$E$5,(AB$5),(AB$6))</f>
        <v>0</v>
      </c>
      <c r="AC71" s="39">
        <f>'Degree-days'!$E$12*IF($E71=$E$5,(AC$5),(AC$6))</f>
        <v>0</v>
      </c>
      <c r="AD71" s="39">
        <f t="shared" si="1"/>
        <v>47.346011772114814</v>
      </c>
    </row>
    <row r="72" spans="4:32" x14ac:dyDescent="0.2">
      <c r="D72" s="37">
        <v>44991</v>
      </c>
      <c r="E72" s="17" t="str">
        <f t="shared" si="0"/>
        <v>weekday</v>
      </c>
      <c r="F72" s="39">
        <f>'Degree-days'!$E$12*IF($E72=$E$5,(F$5),(F$6))</f>
        <v>0</v>
      </c>
      <c r="G72" s="39">
        <f>'Degree-days'!$E$12*IF($E72=$E$5,(G$5),(G$6))</f>
        <v>0</v>
      </c>
      <c r="H72" s="39">
        <f>'Degree-days'!$E$12*IF($E72=$E$5,(H$5),(H$6))</f>
        <v>0</v>
      </c>
      <c r="I72" s="39">
        <f>'Degree-days'!$E$12*IF($E72=$E$5,(I$5),(I$6))</f>
        <v>0</v>
      </c>
      <c r="J72" s="39">
        <f>'Degree-days'!$E$12*IF($E72=$E$5,(J$5),(J$6))</f>
        <v>0</v>
      </c>
      <c r="K72" s="39">
        <f>'Degree-days'!$E$12*IF($E72=$E$5,(K$5),(K$6))</f>
        <v>0</v>
      </c>
      <c r="L72" s="39">
        <f>'Degree-days'!$E$12*IF($E72=$E$5,(L$5),(L$6))</f>
        <v>2.9591257357571754</v>
      </c>
      <c r="M72" s="39">
        <f>'Degree-days'!$E$12*IF($E72=$E$5,(M$5),(M$6))</f>
        <v>2.9591257357571754</v>
      </c>
      <c r="N72" s="39">
        <f>'Degree-days'!$E$12*IF($E72=$E$5,(N$5),(N$6))</f>
        <v>0</v>
      </c>
      <c r="O72" s="39">
        <f>'Degree-days'!$E$12*IF($E72=$E$5,(O$5),(O$6))</f>
        <v>0</v>
      </c>
      <c r="P72" s="39">
        <f>'Degree-days'!$E$12*IF($E72=$E$5,(P$5),(P$6))</f>
        <v>0</v>
      </c>
      <c r="Q72" s="39">
        <f>'Degree-days'!$E$12*IF($E72=$E$5,(Q$5),(Q$6))</f>
        <v>0</v>
      </c>
      <c r="R72" s="39">
        <f>'Degree-days'!$E$12*IF($E72=$E$5,(R$5),(R$6))</f>
        <v>0</v>
      </c>
      <c r="S72" s="39">
        <f>'Degree-days'!$E$12*IF($E72=$E$5,(S$5),(S$6))</f>
        <v>0</v>
      </c>
      <c r="T72" s="39">
        <f>'Degree-days'!$E$12*IF($E72=$E$5,(T$5),(T$6))</f>
        <v>0</v>
      </c>
      <c r="U72" s="39">
        <f>'Degree-days'!$E$12*IF($E72=$E$5,(U$5),(U$6))</f>
        <v>2.9591257357571754</v>
      </c>
      <c r="V72" s="39">
        <f>'Degree-days'!$E$12*IF($E72=$E$5,(V$5),(V$6))</f>
        <v>2.9591257357571754</v>
      </c>
      <c r="W72" s="39">
        <f>'Degree-days'!$E$12*IF($E72=$E$5,(W$5),(W$6))</f>
        <v>2.9591257357571754</v>
      </c>
      <c r="X72" s="39">
        <f>'Degree-days'!$E$12*IF($E72=$E$5,(X$5),(X$6))</f>
        <v>2.9591257357571754</v>
      </c>
      <c r="Y72" s="39">
        <f>'Degree-days'!$E$12*IF($E72=$E$5,(Y$5),(Y$6))</f>
        <v>2.9591257357571754</v>
      </c>
      <c r="Z72" s="39">
        <f>'Degree-days'!$E$12*IF($E72=$E$5,(Z$5),(Z$6))</f>
        <v>2.9591257357571754</v>
      </c>
      <c r="AA72" s="39">
        <f>'Degree-days'!$E$12*IF($E72=$E$5,(AA$5),(AA$6))</f>
        <v>2.9591257357571754</v>
      </c>
      <c r="AB72" s="39">
        <f>'Degree-days'!$E$12*IF($E72=$E$5,(AB$5),(AB$6))</f>
        <v>0</v>
      </c>
      <c r="AC72" s="39">
        <f>'Degree-days'!$E$12*IF($E72=$E$5,(AC$5),(AC$6))</f>
        <v>0</v>
      </c>
      <c r="AD72" s="39">
        <f t="shared" si="1"/>
        <v>26.632131621814583</v>
      </c>
    </row>
    <row r="73" spans="4:32" x14ac:dyDescent="0.2">
      <c r="D73" s="37">
        <v>44992</v>
      </c>
      <c r="E73" s="17" t="str">
        <f t="shared" ref="E73:E136" si="2">IF(WEEKDAY(D73, 2)&lt;6, "weekday", "weekend")</f>
        <v>weekday</v>
      </c>
      <c r="F73" s="39">
        <f>'Degree-days'!$E$12*IF($E73=$E$5,(F$5),(F$6))</f>
        <v>0</v>
      </c>
      <c r="G73" s="39">
        <f>'Degree-days'!$E$12*IF($E73=$E$5,(G$5),(G$6))</f>
        <v>0</v>
      </c>
      <c r="H73" s="39">
        <f>'Degree-days'!$E$12*IF($E73=$E$5,(H$5),(H$6))</f>
        <v>0</v>
      </c>
      <c r="I73" s="39">
        <f>'Degree-days'!$E$12*IF($E73=$E$5,(I$5),(I$6))</f>
        <v>0</v>
      </c>
      <c r="J73" s="39">
        <f>'Degree-days'!$E$12*IF($E73=$E$5,(J$5),(J$6))</f>
        <v>0</v>
      </c>
      <c r="K73" s="39">
        <f>'Degree-days'!$E$12*IF($E73=$E$5,(K$5),(K$6))</f>
        <v>0</v>
      </c>
      <c r="L73" s="39">
        <f>'Degree-days'!$E$12*IF($E73=$E$5,(L$5),(L$6))</f>
        <v>2.9591257357571754</v>
      </c>
      <c r="M73" s="39">
        <f>'Degree-days'!$E$12*IF($E73=$E$5,(M$5),(M$6))</f>
        <v>2.9591257357571754</v>
      </c>
      <c r="N73" s="39">
        <f>'Degree-days'!$E$12*IF($E73=$E$5,(N$5),(N$6))</f>
        <v>0</v>
      </c>
      <c r="O73" s="39">
        <f>'Degree-days'!$E$12*IF($E73=$E$5,(O$5),(O$6))</f>
        <v>0</v>
      </c>
      <c r="P73" s="39">
        <f>'Degree-days'!$E$12*IF($E73=$E$5,(P$5),(P$6))</f>
        <v>0</v>
      </c>
      <c r="Q73" s="39">
        <f>'Degree-days'!$E$12*IF($E73=$E$5,(Q$5),(Q$6))</f>
        <v>0</v>
      </c>
      <c r="R73" s="39">
        <f>'Degree-days'!$E$12*IF($E73=$E$5,(R$5),(R$6))</f>
        <v>0</v>
      </c>
      <c r="S73" s="39">
        <f>'Degree-days'!$E$12*IF($E73=$E$5,(S$5),(S$6))</f>
        <v>0</v>
      </c>
      <c r="T73" s="39">
        <f>'Degree-days'!$E$12*IF($E73=$E$5,(T$5),(T$6))</f>
        <v>0</v>
      </c>
      <c r="U73" s="39">
        <f>'Degree-days'!$E$12*IF($E73=$E$5,(U$5),(U$6))</f>
        <v>2.9591257357571754</v>
      </c>
      <c r="V73" s="39">
        <f>'Degree-days'!$E$12*IF($E73=$E$5,(V$5),(V$6))</f>
        <v>2.9591257357571754</v>
      </c>
      <c r="W73" s="39">
        <f>'Degree-days'!$E$12*IF($E73=$E$5,(W$5),(W$6))</f>
        <v>2.9591257357571754</v>
      </c>
      <c r="X73" s="39">
        <f>'Degree-days'!$E$12*IF($E73=$E$5,(X$5),(X$6))</f>
        <v>2.9591257357571754</v>
      </c>
      <c r="Y73" s="39">
        <f>'Degree-days'!$E$12*IF($E73=$E$5,(Y$5),(Y$6))</f>
        <v>2.9591257357571754</v>
      </c>
      <c r="Z73" s="39">
        <f>'Degree-days'!$E$12*IF($E73=$E$5,(Z$5),(Z$6))</f>
        <v>2.9591257357571754</v>
      </c>
      <c r="AA73" s="39">
        <f>'Degree-days'!$E$12*IF($E73=$E$5,(AA$5),(AA$6))</f>
        <v>2.9591257357571754</v>
      </c>
      <c r="AB73" s="39">
        <f>'Degree-days'!$E$12*IF($E73=$E$5,(AB$5),(AB$6))</f>
        <v>0</v>
      </c>
      <c r="AC73" s="39">
        <f>'Degree-days'!$E$12*IF($E73=$E$5,(AC$5),(AC$6))</f>
        <v>0</v>
      </c>
      <c r="AD73" s="39">
        <f t="shared" ref="AD73:AD98" si="3">SUM(F73:AC73)</f>
        <v>26.632131621814583</v>
      </c>
    </row>
    <row r="74" spans="4:32" x14ac:dyDescent="0.2">
      <c r="D74" s="37">
        <v>44993</v>
      </c>
      <c r="E74" s="17" t="str">
        <f t="shared" si="2"/>
        <v>weekday</v>
      </c>
      <c r="F74" s="39">
        <f>'Degree-days'!$E$12*IF($E74=$E$5,(F$5),(F$6))</f>
        <v>0</v>
      </c>
      <c r="G74" s="39">
        <f>'Degree-days'!$E$12*IF($E74=$E$5,(G$5),(G$6))</f>
        <v>0</v>
      </c>
      <c r="H74" s="39">
        <f>'Degree-days'!$E$12*IF($E74=$E$5,(H$5),(H$6))</f>
        <v>0</v>
      </c>
      <c r="I74" s="39">
        <f>'Degree-days'!$E$12*IF($E74=$E$5,(I$5),(I$6))</f>
        <v>0</v>
      </c>
      <c r="J74" s="39">
        <f>'Degree-days'!$E$12*IF($E74=$E$5,(J$5),(J$6))</f>
        <v>0</v>
      </c>
      <c r="K74" s="39">
        <f>'Degree-days'!$E$12*IF($E74=$E$5,(K$5),(K$6))</f>
        <v>0</v>
      </c>
      <c r="L74" s="39">
        <f>'Degree-days'!$E$12*IF($E74=$E$5,(L$5),(L$6))</f>
        <v>2.9591257357571754</v>
      </c>
      <c r="M74" s="39">
        <f>'Degree-days'!$E$12*IF($E74=$E$5,(M$5),(M$6))</f>
        <v>2.9591257357571754</v>
      </c>
      <c r="N74" s="39">
        <f>'Degree-days'!$E$12*IF($E74=$E$5,(N$5),(N$6))</f>
        <v>0</v>
      </c>
      <c r="O74" s="39">
        <f>'Degree-days'!$E$12*IF($E74=$E$5,(O$5),(O$6))</f>
        <v>0</v>
      </c>
      <c r="P74" s="39">
        <f>'Degree-days'!$E$12*IF($E74=$E$5,(P$5),(P$6))</f>
        <v>0</v>
      </c>
      <c r="Q74" s="39">
        <f>'Degree-days'!$E$12*IF($E74=$E$5,(Q$5),(Q$6))</f>
        <v>0</v>
      </c>
      <c r="R74" s="39">
        <f>'Degree-days'!$E$12*IF($E74=$E$5,(R$5),(R$6))</f>
        <v>0</v>
      </c>
      <c r="S74" s="39">
        <f>'Degree-days'!$E$12*IF($E74=$E$5,(S$5),(S$6))</f>
        <v>0</v>
      </c>
      <c r="T74" s="39">
        <f>'Degree-days'!$E$12*IF($E74=$E$5,(T$5),(T$6))</f>
        <v>0</v>
      </c>
      <c r="U74" s="39">
        <f>'Degree-days'!$E$12*IF($E74=$E$5,(U$5),(U$6))</f>
        <v>2.9591257357571754</v>
      </c>
      <c r="V74" s="39">
        <f>'Degree-days'!$E$12*IF($E74=$E$5,(V$5),(V$6))</f>
        <v>2.9591257357571754</v>
      </c>
      <c r="W74" s="39">
        <f>'Degree-days'!$E$12*IF($E74=$E$5,(W$5),(W$6))</f>
        <v>2.9591257357571754</v>
      </c>
      <c r="X74" s="39">
        <f>'Degree-days'!$E$12*IF($E74=$E$5,(X$5),(X$6))</f>
        <v>2.9591257357571754</v>
      </c>
      <c r="Y74" s="39">
        <f>'Degree-days'!$E$12*IF($E74=$E$5,(Y$5),(Y$6))</f>
        <v>2.9591257357571754</v>
      </c>
      <c r="Z74" s="39">
        <f>'Degree-days'!$E$12*IF($E74=$E$5,(Z$5),(Z$6))</f>
        <v>2.9591257357571754</v>
      </c>
      <c r="AA74" s="39">
        <f>'Degree-days'!$E$12*IF($E74=$E$5,(AA$5),(AA$6))</f>
        <v>2.9591257357571754</v>
      </c>
      <c r="AB74" s="39">
        <f>'Degree-days'!$E$12*IF($E74=$E$5,(AB$5),(AB$6))</f>
        <v>0</v>
      </c>
      <c r="AC74" s="39">
        <f>'Degree-days'!$E$12*IF($E74=$E$5,(AC$5),(AC$6))</f>
        <v>0</v>
      </c>
      <c r="AD74" s="39">
        <f t="shared" si="3"/>
        <v>26.632131621814583</v>
      </c>
    </row>
    <row r="75" spans="4:32" x14ac:dyDescent="0.2">
      <c r="D75" s="37">
        <v>44994</v>
      </c>
      <c r="E75" s="17" t="str">
        <f t="shared" si="2"/>
        <v>weekday</v>
      </c>
      <c r="F75" s="39">
        <f>'Degree-days'!$E$12*IF($E75=$E$5,(F$5),(F$6))</f>
        <v>0</v>
      </c>
      <c r="G75" s="39">
        <f>'Degree-days'!$E$12*IF($E75=$E$5,(G$5),(G$6))</f>
        <v>0</v>
      </c>
      <c r="H75" s="39">
        <f>'Degree-days'!$E$12*IF($E75=$E$5,(H$5),(H$6))</f>
        <v>0</v>
      </c>
      <c r="I75" s="39">
        <f>'Degree-days'!$E$12*IF($E75=$E$5,(I$5),(I$6))</f>
        <v>0</v>
      </c>
      <c r="J75" s="39">
        <f>'Degree-days'!$E$12*IF($E75=$E$5,(J$5),(J$6))</f>
        <v>0</v>
      </c>
      <c r="K75" s="39">
        <f>'Degree-days'!$E$12*IF($E75=$E$5,(K$5),(K$6))</f>
        <v>0</v>
      </c>
      <c r="L75" s="39">
        <f>'Degree-days'!$E$12*IF($E75=$E$5,(L$5),(L$6))</f>
        <v>2.9591257357571754</v>
      </c>
      <c r="M75" s="39">
        <f>'Degree-days'!$E$12*IF($E75=$E$5,(M$5),(M$6))</f>
        <v>2.9591257357571754</v>
      </c>
      <c r="N75" s="39">
        <f>'Degree-days'!$E$12*IF($E75=$E$5,(N$5),(N$6))</f>
        <v>0</v>
      </c>
      <c r="O75" s="39">
        <f>'Degree-days'!$E$12*IF($E75=$E$5,(O$5),(O$6))</f>
        <v>0</v>
      </c>
      <c r="P75" s="39">
        <f>'Degree-days'!$E$12*IF($E75=$E$5,(P$5),(P$6))</f>
        <v>0</v>
      </c>
      <c r="Q75" s="39">
        <f>'Degree-days'!$E$12*IF($E75=$E$5,(Q$5),(Q$6))</f>
        <v>0</v>
      </c>
      <c r="R75" s="39">
        <f>'Degree-days'!$E$12*IF($E75=$E$5,(R$5),(R$6))</f>
        <v>0</v>
      </c>
      <c r="S75" s="39">
        <f>'Degree-days'!$E$12*IF($E75=$E$5,(S$5),(S$6))</f>
        <v>0</v>
      </c>
      <c r="T75" s="39">
        <f>'Degree-days'!$E$12*IF($E75=$E$5,(T$5),(T$6))</f>
        <v>0</v>
      </c>
      <c r="U75" s="39">
        <f>'Degree-days'!$E$12*IF($E75=$E$5,(U$5),(U$6))</f>
        <v>2.9591257357571754</v>
      </c>
      <c r="V75" s="39">
        <f>'Degree-days'!$E$12*IF($E75=$E$5,(V$5),(V$6))</f>
        <v>2.9591257357571754</v>
      </c>
      <c r="W75" s="39">
        <f>'Degree-days'!$E$12*IF($E75=$E$5,(W$5),(W$6))</f>
        <v>2.9591257357571754</v>
      </c>
      <c r="X75" s="39">
        <f>'Degree-days'!$E$12*IF($E75=$E$5,(X$5),(X$6))</f>
        <v>2.9591257357571754</v>
      </c>
      <c r="Y75" s="39">
        <f>'Degree-days'!$E$12*IF($E75=$E$5,(Y$5),(Y$6))</f>
        <v>2.9591257357571754</v>
      </c>
      <c r="Z75" s="39">
        <f>'Degree-days'!$E$12*IF($E75=$E$5,(Z$5),(Z$6))</f>
        <v>2.9591257357571754</v>
      </c>
      <c r="AA75" s="39">
        <f>'Degree-days'!$E$12*IF($E75=$E$5,(AA$5),(AA$6))</f>
        <v>2.9591257357571754</v>
      </c>
      <c r="AB75" s="39">
        <f>'Degree-days'!$E$12*IF($E75=$E$5,(AB$5),(AB$6))</f>
        <v>0</v>
      </c>
      <c r="AC75" s="39">
        <f>'Degree-days'!$E$12*IF($E75=$E$5,(AC$5),(AC$6))</f>
        <v>0</v>
      </c>
      <c r="AD75" s="39">
        <f t="shared" si="3"/>
        <v>26.632131621814583</v>
      </c>
    </row>
    <row r="76" spans="4:32" x14ac:dyDescent="0.2">
      <c r="D76" s="37">
        <v>44995</v>
      </c>
      <c r="E76" s="17" t="str">
        <f t="shared" si="2"/>
        <v>weekday</v>
      </c>
      <c r="F76" s="39">
        <f>'Degree-days'!$E$12*IF($E76=$E$5,(F$5),(F$6))</f>
        <v>0</v>
      </c>
      <c r="G76" s="39">
        <f>'Degree-days'!$E$12*IF($E76=$E$5,(G$5),(G$6))</f>
        <v>0</v>
      </c>
      <c r="H76" s="39">
        <f>'Degree-days'!$E$12*IF($E76=$E$5,(H$5),(H$6))</f>
        <v>0</v>
      </c>
      <c r="I76" s="39">
        <f>'Degree-days'!$E$12*IF($E76=$E$5,(I$5),(I$6))</f>
        <v>0</v>
      </c>
      <c r="J76" s="39">
        <f>'Degree-days'!$E$12*IF($E76=$E$5,(J$5),(J$6))</f>
        <v>0</v>
      </c>
      <c r="K76" s="39">
        <f>'Degree-days'!$E$12*IF($E76=$E$5,(K$5),(K$6))</f>
        <v>0</v>
      </c>
      <c r="L76" s="39">
        <f>'Degree-days'!$E$12*IF($E76=$E$5,(L$5),(L$6))</f>
        <v>2.9591257357571754</v>
      </c>
      <c r="M76" s="39">
        <f>'Degree-days'!$E$12*IF($E76=$E$5,(M$5),(M$6))</f>
        <v>2.9591257357571754</v>
      </c>
      <c r="N76" s="39">
        <f>'Degree-days'!$E$12*IF($E76=$E$5,(N$5),(N$6))</f>
        <v>0</v>
      </c>
      <c r="O76" s="39">
        <f>'Degree-days'!$E$12*IF($E76=$E$5,(O$5),(O$6))</f>
        <v>0</v>
      </c>
      <c r="P76" s="39">
        <f>'Degree-days'!$E$12*IF($E76=$E$5,(P$5),(P$6))</f>
        <v>0</v>
      </c>
      <c r="Q76" s="39">
        <f>'Degree-days'!$E$12*IF($E76=$E$5,(Q$5),(Q$6))</f>
        <v>0</v>
      </c>
      <c r="R76" s="39">
        <f>'Degree-days'!$E$12*IF($E76=$E$5,(R$5),(R$6))</f>
        <v>0</v>
      </c>
      <c r="S76" s="39">
        <f>'Degree-days'!$E$12*IF($E76=$E$5,(S$5),(S$6))</f>
        <v>0</v>
      </c>
      <c r="T76" s="39">
        <f>'Degree-days'!$E$12*IF($E76=$E$5,(T$5),(T$6))</f>
        <v>0</v>
      </c>
      <c r="U76" s="39">
        <f>'Degree-days'!$E$12*IF($E76=$E$5,(U$5),(U$6))</f>
        <v>2.9591257357571754</v>
      </c>
      <c r="V76" s="39">
        <f>'Degree-days'!$E$12*IF($E76=$E$5,(V$5),(V$6))</f>
        <v>2.9591257357571754</v>
      </c>
      <c r="W76" s="39">
        <f>'Degree-days'!$E$12*IF($E76=$E$5,(W$5),(W$6))</f>
        <v>2.9591257357571754</v>
      </c>
      <c r="X76" s="39">
        <f>'Degree-days'!$E$12*IF($E76=$E$5,(X$5),(X$6))</f>
        <v>2.9591257357571754</v>
      </c>
      <c r="Y76" s="39">
        <f>'Degree-days'!$E$12*IF($E76=$E$5,(Y$5),(Y$6))</f>
        <v>2.9591257357571754</v>
      </c>
      <c r="Z76" s="39">
        <f>'Degree-days'!$E$12*IF($E76=$E$5,(Z$5),(Z$6))</f>
        <v>2.9591257357571754</v>
      </c>
      <c r="AA76" s="39">
        <f>'Degree-days'!$E$12*IF($E76=$E$5,(AA$5),(AA$6))</f>
        <v>2.9591257357571754</v>
      </c>
      <c r="AB76" s="39">
        <f>'Degree-days'!$E$12*IF($E76=$E$5,(AB$5),(AB$6))</f>
        <v>0</v>
      </c>
      <c r="AC76" s="39">
        <f>'Degree-days'!$E$12*IF($E76=$E$5,(AC$5),(AC$6))</f>
        <v>0</v>
      </c>
      <c r="AD76" s="39">
        <f t="shared" si="3"/>
        <v>26.632131621814583</v>
      </c>
    </row>
    <row r="77" spans="4:32" x14ac:dyDescent="0.2">
      <c r="D77" s="37">
        <v>44996</v>
      </c>
      <c r="E77" s="17" t="str">
        <f t="shared" si="2"/>
        <v>weekend</v>
      </c>
      <c r="F77" s="39">
        <f>'Degree-days'!$E$12*IF($E77=$E$5,(F$5),(F$6))</f>
        <v>0</v>
      </c>
      <c r="G77" s="39">
        <f>'Degree-days'!$E$12*IF($E77=$E$5,(G$5),(G$6))</f>
        <v>0</v>
      </c>
      <c r="H77" s="39">
        <f>'Degree-days'!$E$12*IF($E77=$E$5,(H$5),(H$6))</f>
        <v>0</v>
      </c>
      <c r="I77" s="39">
        <f>'Degree-days'!$E$12*IF($E77=$E$5,(I$5),(I$6))</f>
        <v>0</v>
      </c>
      <c r="J77" s="39">
        <f>'Degree-days'!$E$12*IF($E77=$E$5,(J$5),(J$6))</f>
        <v>0</v>
      </c>
      <c r="K77" s="39">
        <f>'Degree-days'!$E$12*IF($E77=$E$5,(K$5),(K$6))</f>
        <v>0</v>
      </c>
      <c r="L77" s="39">
        <f>'Degree-days'!$E$12*IF($E77=$E$5,(L$5),(L$6))</f>
        <v>2.9591257357571754</v>
      </c>
      <c r="M77" s="39">
        <f>'Degree-days'!$E$12*IF($E77=$E$5,(M$5),(M$6))</f>
        <v>2.9591257357571754</v>
      </c>
      <c r="N77" s="39">
        <f>'Degree-days'!$E$12*IF($E77=$E$5,(N$5),(N$6))</f>
        <v>2.9591257357571754</v>
      </c>
      <c r="O77" s="39">
        <f>'Degree-days'!$E$12*IF($E77=$E$5,(O$5),(O$6))</f>
        <v>2.9591257357571754</v>
      </c>
      <c r="P77" s="39">
        <f>'Degree-days'!$E$12*IF($E77=$E$5,(P$5),(P$6))</f>
        <v>2.9591257357571754</v>
      </c>
      <c r="Q77" s="39">
        <f>'Degree-days'!$E$12*IF($E77=$E$5,(Q$5),(Q$6))</f>
        <v>2.9591257357571754</v>
      </c>
      <c r="R77" s="39">
        <f>'Degree-days'!$E$12*IF($E77=$E$5,(R$5),(R$6))</f>
        <v>2.9591257357571754</v>
      </c>
      <c r="S77" s="39">
        <f>'Degree-days'!$E$12*IF($E77=$E$5,(S$5),(S$6))</f>
        <v>2.9591257357571754</v>
      </c>
      <c r="T77" s="39">
        <f>'Degree-days'!$E$12*IF($E77=$E$5,(T$5),(T$6))</f>
        <v>2.9591257357571754</v>
      </c>
      <c r="U77" s="39">
        <f>'Degree-days'!$E$12*IF($E77=$E$5,(U$5),(U$6))</f>
        <v>2.9591257357571754</v>
      </c>
      <c r="V77" s="39">
        <f>'Degree-days'!$E$12*IF($E77=$E$5,(V$5),(V$6))</f>
        <v>2.9591257357571754</v>
      </c>
      <c r="W77" s="39">
        <f>'Degree-days'!$E$12*IF($E77=$E$5,(W$5),(W$6))</f>
        <v>2.9591257357571754</v>
      </c>
      <c r="X77" s="39">
        <f>'Degree-days'!$E$12*IF($E77=$E$5,(X$5),(X$6))</f>
        <v>2.9591257357571754</v>
      </c>
      <c r="Y77" s="39">
        <f>'Degree-days'!$E$12*IF($E77=$E$5,(Y$5),(Y$6))</f>
        <v>2.9591257357571754</v>
      </c>
      <c r="Z77" s="39">
        <f>'Degree-days'!$E$12*IF($E77=$E$5,(Z$5),(Z$6))</f>
        <v>2.9591257357571754</v>
      </c>
      <c r="AA77" s="39">
        <f>'Degree-days'!$E$12*IF($E77=$E$5,(AA$5),(AA$6))</f>
        <v>2.9591257357571754</v>
      </c>
      <c r="AB77" s="39">
        <f>'Degree-days'!$E$12*IF($E77=$E$5,(AB$5),(AB$6))</f>
        <v>0</v>
      </c>
      <c r="AC77" s="39">
        <f>'Degree-days'!$E$12*IF($E77=$E$5,(AC$5),(AC$6))</f>
        <v>0</v>
      </c>
      <c r="AD77" s="39">
        <f t="shared" si="3"/>
        <v>47.346011772114814</v>
      </c>
    </row>
    <row r="78" spans="4:32" x14ac:dyDescent="0.2">
      <c r="D78" s="37">
        <v>44997</v>
      </c>
      <c r="E78" s="17" t="str">
        <f t="shared" si="2"/>
        <v>weekend</v>
      </c>
      <c r="F78" s="39">
        <f>'Degree-days'!$E$12*IF($E78=$E$5,(F$5),(F$6))</f>
        <v>0</v>
      </c>
      <c r="G78" s="39">
        <f>'Degree-days'!$E$12*IF($E78=$E$5,(G$5),(G$6))</f>
        <v>0</v>
      </c>
      <c r="H78" s="39">
        <f>'Degree-days'!$E$12*IF($E78=$E$5,(H$5),(H$6))</f>
        <v>0</v>
      </c>
      <c r="I78" s="39">
        <f>'Degree-days'!$E$12*IF($E78=$E$5,(I$5),(I$6))</f>
        <v>0</v>
      </c>
      <c r="J78" s="39">
        <f>'Degree-days'!$E$12*IF($E78=$E$5,(J$5),(J$6))</f>
        <v>0</v>
      </c>
      <c r="K78" s="39">
        <f>'Degree-days'!$E$12*IF($E78=$E$5,(K$5),(K$6))</f>
        <v>0</v>
      </c>
      <c r="L78" s="39">
        <f>'Degree-days'!$E$12*IF($E78=$E$5,(L$5),(L$6))</f>
        <v>2.9591257357571754</v>
      </c>
      <c r="M78" s="39">
        <f>'Degree-days'!$E$12*IF($E78=$E$5,(M$5),(M$6))</f>
        <v>2.9591257357571754</v>
      </c>
      <c r="N78" s="39">
        <f>'Degree-days'!$E$12*IF($E78=$E$5,(N$5),(N$6))</f>
        <v>2.9591257357571754</v>
      </c>
      <c r="O78" s="39">
        <f>'Degree-days'!$E$12*IF($E78=$E$5,(O$5),(O$6))</f>
        <v>2.9591257357571754</v>
      </c>
      <c r="P78" s="39">
        <f>'Degree-days'!$E$12*IF($E78=$E$5,(P$5),(P$6))</f>
        <v>2.9591257357571754</v>
      </c>
      <c r="Q78" s="39">
        <f>'Degree-days'!$E$12*IF($E78=$E$5,(Q$5),(Q$6))</f>
        <v>2.9591257357571754</v>
      </c>
      <c r="R78" s="39">
        <f>'Degree-days'!$E$12*IF($E78=$E$5,(R$5),(R$6))</f>
        <v>2.9591257357571754</v>
      </c>
      <c r="S78" s="39">
        <f>'Degree-days'!$E$12*IF($E78=$E$5,(S$5),(S$6))</f>
        <v>2.9591257357571754</v>
      </c>
      <c r="T78" s="39">
        <f>'Degree-days'!$E$12*IF($E78=$E$5,(T$5),(T$6))</f>
        <v>2.9591257357571754</v>
      </c>
      <c r="U78" s="39">
        <f>'Degree-days'!$E$12*IF($E78=$E$5,(U$5),(U$6))</f>
        <v>2.9591257357571754</v>
      </c>
      <c r="V78" s="39">
        <f>'Degree-days'!$E$12*IF($E78=$E$5,(V$5),(V$6))</f>
        <v>2.9591257357571754</v>
      </c>
      <c r="W78" s="39">
        <f>'Degree-days'!$E$12*IF($E78=$E$5,(W$5),(W$6))</f>
        <v>2.9591257357571754</v>
      </c>
      <c r="X78" s="39">
        <f>'Degree-days'!$E$12*IF($E78=$E$5,(X$5),(X$6))</f>
        <v>2.9591257357571754</v>
      </c>
      <c r="Y78" s="39">
        <f>'Degree-days'!$E$12*IF($E78=$E$5,(Y$5),(Y$6))</f>
        <v>2.9591257357571754</v>
      </c>
      <c r="Z78" s="39">
        <f>'Degree-days'!$E$12*IF($E78=$E$5,(Z$5),(Z$6))</f>
        <v>2.9591257357571754</v>
      </c>
      <c r="AA78" s="39">
        <f>'Degree-days'!$E$12*IF($E78=$E$5,(AA$5),(AA$6))</f>
        <v>2.9591257357571754</v>
      </c>
      <c r="AB78" s="39">
        <f>'Degree-days'!$E$12*IF($E78=$E$5,(AB$5),(AB$6))</f>
        <v>0</v>
      </c>
      <c r="AC78" s="39">
        <f>'Degree-days'!$E$12*IF($E78=$E$5,(AC$5),(AC$6))</f>
        <v>0</v>
      </c>
      <c r="AD78" s="39">
        <f t="shared" si="3"/>
        <v>47.346011772114814</v>
      </c>
    </row>
    <row r="79" spans="4:32" x14ac:dyDescent="0.2">
      <c r="D79" s="37">
        <v>44998</v>
      </c>
      <c r="E79" s="17" t="str">
        <f t="shared" si="2"/>
        <v>weekday</v>
      </c>
      <c r="F79" s="39">
        <f>'Degree-days'!$E$12*IF($E79=$E$5,(F$5),(F$6))</f>
        <v>0</v>
      </c>
      <c r="G79" s="39">
        <f>'Degree-days'!$E$12*IF($E79=$E$5,(G$5),(G$6))</f>
        <v>0</v>
      </c>
      <c r="H79" s="39">
        <f>'Degree-days'!$E$12*IF($E79=$E$5,(H$5),(H$6))</f>
        <v>0</v>
      </c>
      <c r="I79" s="39">
        <f>'Degree-days'!$E$12*IF($E79=$E$5,(I$5),(I$6))</f>
        <v>0</v>
      </c>
      <c r="J79" s="39">
        <f>'Degree-days'!$E$12*IF($E79=$E$5,(J$5),(J$6))</f>
        <v>0</v>
      </c>
      <c r="K79" s="39">
        <f>'Degree-days'!$E$12*IF($E79=$E$5,(K$5),(K$6))</f>
        <v>0</v>
      </c>
      <c r="L79" s="39">
        <f>'Degree-days'!$E$12*IF($E79=$E$5,(L$5),(L$6))</f>
        <v>2.9591257357571754</v>
      </c>
      <c r="M79" s="39">
        <f>'Degree-days'!$E$12*IF($E79=$E$5,(M$5),(M$6))</f>
        <v>2.9591257357571754</v>
      </c>
      <c r="N79" s="39">
        <f>'Degree-days'!$E$12*IF($E79=$E$5,(N$5),(N$6))</f>
        <v>0</v>
      </c>
      <c r="O79" s="39">
        <f>'Degree-days'!$E$12*IF($E79=$E$5,(O$5),(O$6))</f>
        <v>0</v>
      </c>
      <c r="P79" s="39">
        <f>'Degree-days'!$E$12*IF($E79=$E$5,(P$5),(P$6))</f>
        <v>0</v>
      </c>
      <c r="Q79" s="39">
        <f>'Degree-days'!$E$12*IF($E79=$E$5,(Q$5),(Q$6))</f>
        <v>0</v>
      </c>
      <c r="R79" s="39">
        <f>'Degree-days'!$E$12*IF($E79=$E$5,(R$5),(R$6))</f>
        <v>0</v>
      </c>
      <c r="S79" s="39">
        <f>'Degree-days'!$E$12*IF($E79=$E$5,(S$5),(S$6))</f>
        <v>0</v>
      </c>
      <c r="T79" s="39">
        <f>'Degree-days'!$E$12*IF($E79=$E$5,(T$5),(T$6))</f>
        <v>0</v>
      </c>
      <c r="U79" s="39">
        <f>'Degree-days'!$E$12*IF($E79=$E$5,(U$5),(U$6))</f>
        <v>2.9591257357571754</v>
      </c>
      <c r="V79" s="39">
        <f>'Degree-days'!$E$12*IF($E79=$E$5,(V$5),(V$6))</f>
        <v>2.9591257357571754</v>
      </c>
      <c r="W79" s="39">
        <f>'Degree-days'!$E$12*IF($E79=$E$5,(W$5),(W$6))</f>
        <v>2.9591257357571754</v>
      </c>
      <c r="X79" s="39">
        <f>'Degree-days'!$E$12*IF($E79=$E$5,(X$5),(X$6))</f>
        <v>2.9591257357571754</v>
      </c>
      <c r="Y79" s="39">
        <f>'Degree-days'!$E$12*IF($E79=$E$5,(Y$5),(Y$6))</f>
        <v>2.9591257357571754</v>
      </c>
      <c r="Z79" s="39">
        <f>'Degree-days'!$E$12*IF($E79=$E$5,(Z$5),(Z$6))</f>
        <v>2.9591257357571754</v>
      </c>
      <c r="AA79" s="39">
        <f>'Degree-days'!$E$12*IF($E79=$E$5,(AA$5),(AA$6))</f>
        <v>2.9591257357571754</v>
      </c>
      <c r="AB79" s="39">
        <f>'Degree-days'!$E$12*IF($E79=$E$5,(AB$5),(AB$6))</f>
        <v>0</v>
      </c>
      <c r="AC79" s="39">
        <f>'Degree-days'!$E$12*IF($E79=$E$5,(AC$5),(AC$6))</f>
        <v>0</v>
      </c>
      <c r="AD79" s="39">
        <f t="shared" si="3"/>
        <v>26.632131621814583</v>
      </c>
    </row>
    <row r="80" spans="4:32" x14ac:dyDescent="0.2">
      <c r="D80" s="37">
        <v>44999</v>
      </c>
      <c r="E80" s="17" t="str">
        <f t="shared" si="2"/>
        <v>weekday</v>
      </c>
      <c r="F80" s="39">
        <f>'Degree-days'!$E$12*IF($E80=$E$5,(F$5),(F$6))</f>
        <v>0</v>
      </c>
      <c r="G80" s="39">
        <f>'Degree-days'!$E$12*IF($E80=$E$5,(G$5),(G$6))</f>
        <v>0</v>
      </c>
      <c r="H80" s="39">
        <f>'Degree-days'!$E$12*IF($E80=$E$5,(H$5),(H$6))</f>
        <v>0</v>
      </c>
      <c r="I80" s="39">
        <f>'Degree-days'!$E$12*IF($E80=$E$5,(I$5),(I$6))</f>
        <v>0</v>
      </c>
      <c r="J80" s="39">
        <f>'Degree-days'!$E$12*IF($E80=$E$5,(J$5),(J$6))</f>
        <v>0</v>
      </c>
      <c r="K80" s="39">
        <f>'Degree-days'!$E$12*IF($E80=$E$5,(K$5),(K$6))</f>
        <v>0</v>
      </c>
      <c r="L80" s="39">
        <f>'Degree-days'!$E$12*IF($E80=$E$5,(L$5),(L$6))</f>
        <v>2.9591257357571754</v>
      </c>
      <c r="M80" s="39">
        <f>'Degree-days'!$E$12*IF($E80=$E$5,(M$5),(M$6))</f>
        <v>2.9591257357571754</v>
      </c>
      <c r="N80" s="39">
        <f>'Degree-days'!$E$12*IF($E80=$E$5,(N$5),(N$6))</f>
        <v>0</v>
      </c>
      <c r="O80" s="39">
        <f>'Degree-days'!$E$12*IF($E80=$E$5,(O$5),(O$6))</f>
        <v>0</v>
      </c>
      <c r="P80" s="39">
        <f>'Degree-days'!$E$12*IF($E80=$E$5,(P$5),(P$6))</f>
        <v>0</v>
      </c>
      <c r="Q80" s="39">
        <f>'Degree-days'!$E$12*IF($E80=$E$5,(Q$5),(Q$6))</f>
        <v>0</v>
      </c>
      <c r="R80" s="39">
        <f>'Degree-days'!$E$12*IF($E80=$E$5,(R$5),(R$6))</f>
        <v>0</v>
      </c>
      <c r="S80" s="39">
        <f>'Degree-days'!$E$12*IF($E80=$E$5,(S$5),(S$6))</f>
        <v>0</v>
      </c>
      <c r="T80" s="39">
        <f>'Degree-days'!$E$12*IF($E80=$E$5,(T$5),(T$6))</f>
        <v>0</v>
      </c>
      <c r="U80" s="39">
        <f>'Degree-days'!$E$12*IF($E80=$E$5,(U$5),(U$6))</f>
        <v>2.9591257357571754</v>
      </c>
      <c r="V80" s="39">
        <f>'Degree-days'!$E$12*IF($E80=$E$5,(V$5),(V$6))</f>
        <v>2.9591257357571754</v>
      </c>
      <c r="W80" s="39">
        <f>'Degree-days'!$E$12*IF($E80=$E$5,(W$5),(W$6))</f>
        <v>2.9591257357571754</v>
      </c>
      <c r="X80" s="39">
        <f>'Degree-days'!$E$12*IF($E80=$E$5,(X$5),(X$6))</f>
        <v>2.9591257357571754</v>
      </c>
      <c r="Y80" s="39">
        <f>'Degree-days'!$E$12*IF($E80=$E$5,(Y$5),(Y$6))</f>
        <v>2.9591257357571754</v>
      </c>
      <c r="Z80" s="39">
        <f>'Degree-days'!$E$12*IF($E80=$E$5,(Z$5),(Z$6))</f>
        <v>2.9591257357571754</v>
      </c>
      <c r="AA80" s="39">
        <f>'Degree-days'!$E$12*IF($E80=$E$5,(AA$5),(AA$6))</f>
        <v>2.9591257357571754</v>
      </c>
      <c r="AB80" s="39">
        <f>'Degree-days'!$E$12*IF($E80=$E$5,(AB$5),(AB$6))</f>
        <v>0</v>
      </c>
      <c r="AC80" s="39">
        <f>'Degree-days'!$E$12*IF($E80=$E$5,(AC$5),(AC$6))</f>
        <v>0</v>
      </c>
      <c r="AD80" s="39">
        <f t="shared" si="3"/>
        <v>26.632131621814583</v>
      </c>
    </row>
    <row r="81" spans="4:30" x14ac:dyDescent="0.2">
      <c r="D81" s="37">
        <v>45000</v>
      </c>
      <c r="E81" s="17" t="str">
        <f t="shared" si="2"/>
        <v>weekday</v>
      </c>
      <c r="F81" s="39">
        <f>'Degree-days'!$E$12*IF($E81=$E$5,(F$5),(F$6))</f>
        <v>0</v>
      </c>
      <c r="G81" s="39">
        <f>'Degree-days'!$E$12*IF($E81=$E$5,(G$5),(G$6))</f>
        <v>0</v>
      </c>
      <c r="H81" s="39">
        <f>'Degree-days'!$E$12*IF($E81=$E$5,(H$5),(H$6))</f>
        <v>0</v>
      </c>
      <c r="I81" s="39">
        <f>'Degree-days'!$E$12*IF($E81=$E$5,(I$5),(I$6))</f>
        <v>0</v>
      </c>
      <c r="J81" s="39">
        <f>'Degree-days'!$E$12*IF($E81=$E$5,(J$5),(J$6))</f>
        <v>0</v>
      </c>
      <c r="K81" s="39">
        <f>'Degree-days'!$E$12*IF($E81=$E$5,(K$5),(K$6))</f>
        <v>0</v>
      </c>
      <c r="L81" s="39">
        <f>'Degree-days'!$E$12*IF($E81=$E$5,(L$5),(L$6))</f>
        <v>2.9591257357571754</v>
      </c>
      <c r="M81" s="39">
        <f>'Degree-days'!$E$12*IF($E81=$E$5,(M$5),(M$6))</f>
        <v>2.9591257357571754</v>
      </c>
      <c r="N81" s="39">
        <f>'Degree-days'!$E$12*IF($E81=$E$5,(N$5),(N$6))</f>
        <v>0</v>
      </c>
      <c r="O81" s="39">
        <f>'Degree-days'!$E$12*IF($E81=$E$5,(O$5),(O$6))</f>
        <v>0</v>
      </c>
      <c r="P81" s="39">
        <f>'Degree-days'!$E$12*IF($E81=$E$5,(P$5),(P$6))</f>
        <v>0</v>
      </c>
      <c r="Q81" s="39">
        <f>'Degree-days'!$E$12*IF($E81=$E$5,(Q$5),(Q$6))</f>
        <v>0</v>
      </c>
      <c r="R81" s="39">
        <f>'Degree-days'!$E$12*IF($E81=$E$5,(R$5),(R$6))</f>
        <v>0</v>
      </c>
      <c r="S81" s="39">
        <f>'Degree-days'!$E$12*IF($E81=$E$5,(S$5),(S$6))</f>
        <v>0</v>
      </c>
      <c r="T81" s="39">
        <f>'Degree-days'!$E$12*IF($E81=$E$5,(T$5),(T$6))</f>
        <v>0</v>
      </c>
      <c r="U81" s="39">
        <f>'Degree-days'!$E$12*IF($E81=$E$5,(U$5),(U$6))</f>
        <v>2.9591257357571754</v>
      </c>
      <c r="V81" s="39">
        <f>'Degree-days'!$E$12*IF($E81=$E$5,(V$5),(V$6))</f>
        <v>2.9591257357571754</v>
      </c>
      <c r="W81" s="39">
        <f>'Degree-days'!$E$12*IF($E81=$E$5,(W$5),(W$6))</f>
        <v>2.9591257357571754</v>
      </c>
      <c r="X81" s="39">
        <f>'Degree-days'!$E$12*IF($E81=$E$5,(X$5),(X$6))</f>
        <v>2.9591257357571754</v>
      </c>
      <c r="Y81" s="39">
        <f>'Degree-days'!$E$12*IF($E81=$E$5,(Y$5),(Y$6))</f>
        <v>2.9591257357571754</v>
      </c>
      <c r="Z81" s="39">
        <f>'Degree-days'!$E$12*IF($E81=$E$5,(Z$5),(Z$6))</f>
        <v>2.9591257357571754</v>
      </c>
      <c r="AA81" s="39">
        <f>'Degree-days'!$E$12*IF($E81=$E$5,(AA$5),(AA$6))</f>
        <v>2.9591257357571754</v>
      </c>
      <c r="AB81" s="39">
        <f>'Degree-days'!$E$12*IF($E81=$E$5,(AB$5),(AB$6))</f>
        <v>0</v>
      </c>
      <c r="AC81" s="39">
        <f>'Degree-days'!$E$12*IF($E81=$E$5,(AC$5),(AC$6))</f>
        <v>0</v>
      </c>
      <c r="AD81" s="39">
        <f t="shared" si="3"/>
        <v>26.632131621814583</v>
      </c>
    </row>
    <row r="82" spans="4:30" x14ac:dyDescent="0.2">
      <c r="D82" s="37">
        <v>45001</v>
      </c>
      <c r="E82" s="17" t="str">
        <f t="shared" si="2"/>
        <v>weekday</v>
      </c>
      <c r="F82" s="39">
        <f>'Degree-days'!$E$12*IF($E82=$E$5,(F$5),(F$6))</f>
        <v>0</v>
      </c>
      <c r="G82" s="39">
        <f>'Degree-days'!$E$12*IF($E82=$E$5,(G$5),(G$6))</f>
        <v>0</v>
      </c>
      <c r="H82" s="39">
        <f>'Degree-days'!$E$12*IF($E82=$E$5,(H$5),(H$6))</f>
        <v>0</v>
      </c>
      <c r="I82" s="39">
        <f>'Degree-days'!$E$12*IF($E82=$E$5,(I$5),(I$6))</f>
        <v>0</v>
      </c>
      <c r="J82" s="39">
        <f>'Degree-days'!$E$12*IF($E82=$E$5,(J$5),(J$6))</f>
        <v>0</v>
      </c>
      <c r="K82" s="39">
        <f>'Degree-days'!$E$12*IF($E82=$E$5,(K$5),(K$6))</f>
        <v>0</v>
      </c>
      <c r="L82" s="39">
        <f>'Degree-days'!$E$12*IF($E82=$E$5,(L$5),(L$6))</f>
        <v>2.9591257357571754</v>
      </c>
      <c r="M82" s="39">
        <f>'Degree-days'!$E$12*IF($E82=$E$5,(M$5),(M$6))</f>
        <v>2.9591257357571754</v>
      </c>
      <c r="N82" s="39">
        <f>'Degree-days'!$E$12*IF($E82=$E$5,(N$5),(N$6))</f>
        <v>0</v>
      </c>
      <c r="O82" s="39">
        <f>'Degree-days'!$E$12*IF($E82=$E$5,(O$5),(O$6))</f>
        <v>0</v>
      </c>
      <c r="P82" s="39">
        <f>'Degree-days'!$E$12*IF($E82=$E$5,(P$5),(P$6))</f>
        <v>0</v>
      </c>
      <c r="Q82" s="39">
        <f>'Degree-days'!$E$12*IF($E82=$E$5,(Q$5),(Q$6))</f>
        <v>0</v>
      </c>
      <c r="R82" s="39">
        <f>'Degree-days'!$E$12*IF($E82=$E$5,(R$5),(R$6))</f>
        <v>0</v>
      </c>
      <c r="S82" s="39">
        <f>'Degree-days'!$E$12*IF($E82=$E$5,(S$5),(S$6))</f>
        <v>0</v>
      </c>
      <c r="T82" s="39">
        <f>'Degree-days'!$E$12*IF($E82=$E$5,(T$5),(T$6))</f>
        <v>0</v>
      </c>
      <c r="U82" s="39">
        <f>'Degree-days'!$E$12*IF($E82=$E$5,(U$5),(U$6))</f>
        <v>2.9591257357571754</v>
      </c>
      <c r="V82" s="39">
        <f>'Degree-days'!$E$12*IF($E82=$E$5,(V$5),(V$6))</f>
        <v>2.9591257357571754</v>
      </c>
      <c r="W82" s="39">
        <f>'Degree-days'!$E$12*IF($E82=$E$5,(W$5),(W$6))</f>
        <v>2.9591257357571754</v>
      </c>
      <c r="X82" s="39">
        <f>'Degree-days'!$E$12*IF($E82=$E$5,(X$5),(X$6))</f>
        <v>2.9591257357571754</v>
      </c>
      <c r="Y82" s="39">
        <f>'Degree-days'!$E$12*IF($E82=$E$5,(Y$5),(Y$6))</f>
        <v>2.9591257357571754</v>
      </c>
      <c r="Z82" s="39">
        <f>'Degree-days'!$E$12*IF($E82=$E$5,(Z$5),(Z$6))</f>
        <v>2.9591257357571754</v>
      </c>
      <c r="AA82" s="39">
        <f>'Degree-days'!$E$12*IF($E82=$E$5,(AA$5),(AA$6))</f>
        <v>2.9591257357571754</v>
      </c>
      <c r="AB82" s="39">
        <f>'Degree-days'!$E$12*IF($E82=$E$5,(AB$5),(AB$6))</f>
        <v>0</v>
      </c>
      <c r="AC82" s="39">
        <f>'Degree-days'!$E$12*IF($E82=$E$5,(AC$5),(AC$6))</f>
        <v>0</v>
      </c>
      <c r="AD82" s="39">
        <f t="shared" si="3"/>
        <v>26.632131621814583</v>
      </c>
    </row>
    <row r="83" spans="4:30" x14ac:dyDescent="0.2">
      <c r="D83" s="37">
        <v>45002</v>
      </c>
      <c r="E83" s="17" t="str">
        <f t="shared" si="2"/>
        <v>weekday</v>
      </c>
      <c r="F83" s="39">
        <f>'Degree-days'!$E$12*IF($E83=$E$5,(F$5),(F$6))</f>
        <v>0</v>
      </c>
      <c r="G83" s="39">
        <f>'Degree-days'!$E$12*IF($E83=$E$5,(G$5),(G$6))</f>
        <v>0</v>
      </c>
      <c r="H83" s="39">
        <f>'Degree-days'!$E$12*IF($E83=$E$5,(H$5),(H$6))</f>
        <v>0</v>
      </c>
      <c r="I83" s="39">
        <f>'Degree-days'!$E$12*IF($E83=$E$5,(I$5),(I$6))</f>
        <v>0</v>
      </c>
      <c r="J83" s="39">
        <f>'Degree-days'!$E$12*IF($E83=$E$5,(J$5),(J$6))</f>
        <v>0</v>
      </c>
      <c r="K83" s="39">
        <f>'Degree-days'!$E$12*IF($E83=$E$5,(K$5),(K$6))</f>
        <v>0</v>
      </c>
      <c r="L83" s="39">
        <f>'Degree-days'!$E$12*IF($E83=$E$5,(L$5),(L$6))</f>
        <v>2.9591257357571754</v>
      </c>
      <c r="M83" s="39">
        <f>'Degree-days'!$E$12*IF($E83=$E$5,(M$5),(M$6))</f>
        <v>2.9591257357571754</v>
      </c>
      <c r="N83" s="39">
        <f>'Degree-days'!$E$12*IF($E83=$E$5,(N$5),(N$6))</f>
        <v>0</v>
      </c>
      <c r="O83" s="39">
        <f>'Degree-days'!$E$12*IF($E83=$E$5,(O$5),(O$6))</f>
        <v>0</v>
      </c>
      <c r="P83" s="39">
        <f>'Degree-days'!$E$12*IF($E83=$E$5,(P$5),(P$6))</f>
        <v>0</v>
      </c>
      <c r="Q83" s="39">
        <f>'Degree-days'!$E$12*IF($E83=$E$5,(Q$5),(Q$6))</f>
        <v>0</v>
      </c>
      <c r="R83" s="39">
        <f>'Degree-days'!$E$12*IF($E83=$E$5,(R$5),(R$6))</f>
        <v>0</v>
      </c>
      <c r="S83" s="39">
        <f>'Degree-days'!$E$12*IF($E83=$E$5,(S$5),(S$6))</f>
        <v>0</v>
      </c>
      <c r="T83" s="39">
        <f>'Degree-days'!$E$12*IF($E83=$E$5,(T$5),(T$6))</f>
        <v>0</v>
      </c>
      <c r="U83" s="39">
        <f>'Degree-days'!$E$12*IF($E83=$E$5,(U$5),(U$6))</f>
        <v>2.9591257357571754</v>
      </c>
      <c r="V83" s="39">
        <f>'Degree-days'!$E$12*IF($E83=$E$5,(V$5),(V$6))</f>
        <v>2.9591257357571754</v>
      </c>
      <c r="W83" s="39">
        <f>'Degree-days'!$E$12*IF($E83=$E$5,(W$5),(W$6))</f>
        <v>2.9591257357571754</v>
      </c>
      <c r="X83" s="39">
        <f>'Degree-days'!$E$12*IF($E83=$E$5,(X$5),(X$6))</f>
        <v>2.9591257357571754</v>
      </c>
      <c r="Y83" s="39">
        <f>'Degree-days'!$E$12*IF($E83=$E$5,(Y$5),(Y$6))</f>
        <v>2.9591257357571754</v>
      </c>
      <c r="Z83" s="39">
        <f>'Degree-days'!$E$12*IF($E83=$E$5,(Z$5),(Z$6))</f>
        <v>2.9591257357571754</v>
      </c>
      <c r="AA83" s="39">
        <f>'Degree-days'!$E$12*IF($E83=$E$5,(AA$5),(AA$6))</f>
        <v>2.9591257357571754</v>
      </c>
      <c r="AB83" s="39">
        <f>'Degree-days'!$E$12*IF($E83=$E$5,(AB$5),(AB$6))</f>
        <v>0</v>
      </c>
      <c r="AC83" s="39">
        <f>'Degree-days'!$E$12*IF($E83=$E$5,(AC$5),(AC$6))</f>
        <v>0</v>
      </c>
      <c r="AD83" s="39">
        <f t="shared" si="3"/>
        <v>26.632131621814583</v>
      </c>
    </row>
    <row r="84" spans="4:30" x14ac:dyDescent="0.2">
      <c r="D84" s="37">
        <v>45003</v>
      </c>
      <c r="E84" s="17" t="str">
        <f t="shared" si="2"/>
        <v>weekend</v>
      </c>
      <c r="F84" s="39">
        <f>'Degree-days'!$E$12*IF($E84=$E$5,(F$5),(F$6))</f>
        <v>0</v>
      </c>
      <c r="G84" s="39">
        <f>'Degree-days'!$E$12*IF($E84=$E$5,(G$5),(G$6))</f>
        <v>0</v>
      </c>
      <c r="H84" s="39">
        <f>'Degree-days'!$E$12*IF($E84=$E$5,(H$5),(H$6))</f>
        <v>0</v>
      </c>
      <c r="I84" s="39">
        <f>'Degree-days'!$E$12*IF($E84=$E$5,(I$5),(I$6))</f>
        <v>0</v>
      </c>
      <c r="J84" s="39">
        <f>'Degree-days'!$E$12*IF($E84=$E$5,(J$5),(J$6))</f>
        <v>0</v>
      </c>
      <c r="K84" s="39">
        <f>'Degree-days'!$E$12*IF($E84=$E$5,(K$5),(K$6))</f>
        <v>0</v>
      </c>
      <c r="L84" s="39">
        <f>'Degree-days'!$E$12*IF($E84=$E$5,(L$5),(L$6))</f>
        <v>2.9591257357571754</v>
      </c>
      <c r="M84" s="39">
        <f>'Degree-days'!$E$12*IF($E84=$E$5,(M$5),(M$6))</f>
        <v>2.9591257357571754</v>
      </c>
      <c r="N84" s="39">
        <f>'Degree-days'!$E$12*IF($E84=$E$5,(N$5),(N$6))</f>
        <v>2.9591257357571754</v>
      </c>
      <c r="O84" s="39">
        <f>'Degree-days'!$E$12*IF($E84=$E$5,(O$5),(O$6))</f>
        <v>2.9591257357571754</v>
      </c>
      <c r="P84" s="39">
        <f>'Degree-days'!$E$12*IF($E84=$E$5,(P$5),(P$6))</f>
        <v>2.9591257357571754</v>
      </c>
      <c r="Q84" s="39">
        <f>'Degree-days'!$E$12*IF($E84=$E$5,(Q$5),(Q$6))</f>
        <v>2.9591257357571754</v>
      </c>
      <c r="R84" s="39">
        <f>'Degree-days'!$E$12*IF($E84=$E$5,(R$5),(R$6))</f>
        <v>2.9591257357571754</v>
      </c>
      <c r="S84" s="39">
        <f>'Degree-days'!$E$12*IF($E84=$E$5,(S$5),(S$6))</f>
        <v>2.9591257357571754</v>
      </c>
      <c r="T84" s="39">
        <f>'Degree-days'!$E$12*IF($E84=$E$5,(T$5),(T$6))</f>
        <v>2.9591257357571754</v>
      </c>
      <c r="U84" s="39">
        <f>'Degree-days'!$E$12*IF($E84=$E$5,(U$5),(U$6))</f>
        <v>2.9591257357571754</v>
      </c>
      <c r="V84" s="39">
        <f>'Degree-days'!$E$12*IF($E84=$E$5,(V$5),(V$6))</f>
        <v>2.9591257357571754</v>
      </c>
      <c r="W84" s="39">
        <f>'Degree-days'!$E$12*IF($E84=$E$5,(W$5),(W$6))</f>
        <v>2.9591257357571754</v>
      </c>
      <c r="X84" s="39">
        <f>'Degree-days'!$E$12*IF($E84=$E$5,(X$5),(X$6))</f>
        <v>2.9591257357571754</v>
      </c>
      <c r="Y84" s="39">
        <f>'Degree-days'!$E$12*IF($E84=$E$5,(Y$5),(Y$6))</f>
        <v>2.9591257357571754</v>
      </c>
      <c r="Z84" s="39">
        <f>'Degree-days'!$E$12*IF($E84=$E$5,(Z$5),(Z$6))</f>
        <v>2.9591257357571754</v>
      </c>
      <c r="AA84" s="39">
        <f>'Degree-days'!$E$12*IF($E84=$E$5,(AA$5),(AA$6))</f>
        <v>2.9591257357571754</v>
      </c>
      <c r="AB84" s="39">
        <f>'Degree-days'!$E$12*IF($E84=$E$5,(AB$5),(AB$6))</f>
        <v>0</v>
      </c>
      <c r="AC84" s="39">
        <f>'Degree-days'!$E$12*IF($E84=$E$5,(AC$5),(AC$6))</f>
        <v>0</v>
      </c>
      <c r="AD84" s="39">
        <f t="shared" si="3"/>
        <v>47.346011772114814</v>
      </c>
    </row>
    <row r="85" spans="4:30" x14ac:dyDescent="0.2">
      <c r="D85" s="37">
        <v>45004</v>
      </c>
      <c r="E85" s="17" t="str">
        <f t="shared" si="2"/>
        <v>weekend</v>
      </c>
      <c r="F85" s="39">
        <f>'Degree-days'!$E$12*IF($E85=$E$5,(F$5),(F$6))</f>
        <v>0</v>
      </c>
      <c r="G85" s="39">
        <f>'Degree-days'!$E$12*IF($E85=$E$5,(G$5),(G$6))</f>
        <v>0</v>
      </c>
      <c r="H85" s="39">
        <f>'Degree-days'!$E$12*IF($E85=$E$5,(H$5),(H$6))</f>
        <v>0</v>
      </c>
      <c r="I85" s="39">
        <f>'Degree-days'!$E$12*IF($E85=$E$5,(I$5),(I$6))</f>
        <v>0</v>
      </c>
      <c r="J85" s="39">
        <f>'Degree-days'!$E$12*IF($E85=$E$5,(J$5),(J$6))</f>
        <v>0</v>
      </c>
      <c r="K85" s="39">
        <f>'Degree-days'!$E$12*IF($E85=$E$5,(K$5),(K$6))</f>
        <v>0</v>
      </c>
      <c r="L85" s="39">
        <f>'Degree-days'!$E$12*IF($E85=$E$5,(L$5),(L$6))</f>
        <v>2.9591257357571754</v>
      </c>
      <c r="M85" s="39">
        <f>'Degree-days'!$E$12*IF($E85=$E$5,(M$5),(M$6))</f>
        <v>2.9591257357571754</v>
      </c>
      <c r="N85" s="39">
        <f>'Degree-days'!$E$12*IF($E85=$E$5,(N$5),(N$6))</f>
        <v>2.9591257357571754</v>
      </c>
      <c r="O85" s="39">
        <f>'Degree-days'!$E$12*IF($E85=$E$5,(O$5),(O$6))</f>
        <v>2.9591257357571754</v>
      </c>
      <c r="P85" s="39">
        <f>'Degree-days'!$E$12*IF($E85=$E$5,(P$5),(P$6))</f>
        <v>2.9591257357571754</v>
      </c>
      <c r="Q85" s="39">
        <f>'Degree-days'!$E$12*IF($E85=$E$5,(Q$5),(Q$6))</f>
        <v>2.9591257357571754</v>
      </c>
      <c r="R85" s="39">
        <f>'Degree-days'!$E$12*IF($E85=$E$5,(R$5),(R$6))</f>
        <v>2.9591257357571754</v>
      </c>
      <c r="S85" s="39">
        <f>'Degree-days'!$E$12*IF($E85=$E$5,(S$5),(S$6))</f>
        <v>2.9591257357571754</v>
      </c>
      <c r="T85" s="39">
        <f>'Degree-days'!$E$12*IF($E85=$E$5,(T$5),(T$6))</f>
        <v>2.9591257357571754</v>
      </c>
      <c r="U85" s="39">
        <f>'Degree-days'!$E$12*IF($E85=$E$5,(U$5),(U$6))</f>
        <v>2.9591257357571754</v>
      </c>
      <c r="V85" s="39">
        <f>'Degree-days'!$E$12*IF($E85=$E$5,(V$5),(V$6))</f>
        <v>2.9591257357571754</v>
      </c>
      <c r="W85" s="39">
        <f>'Degree-days'!$E$12*IF($E85=$E$5,(W$5),(W$6))</f>
        <v>2.9591257357571754</v>
      </c>
      <c r="X85" s="39">
        <f>'Degree-days'!$E$12*IF($E85=$E$5,(X$5),(X$6))</f>
        <v>2.9591257357571754</v>
      </c>
      <c r="Y85" s="39">
        <f>'Degree-days'!$E$12*IF($E85=$E$5,(Y$5),(Y$6))</f>
        <v>2.9591257357571754</v>
      </c>
      <c r="Z85" s="39">
        <f>'Degree-days'!$E$12*IF($E85=$E$5,(Z$5),(Z$6))</f>
        <v>2.9591257357571754</v>
      </c>
      <c r="AA85" s="39">
        <f>'Degree-days'!$E$12*IF($E85=$E$5,(AA$5),(AA$6))</f>
        <v>2.9591257357571754</v>
      </c>
      <c r="AB85" s="39">
        <f>'Degree-days'!$E$12*IF($E85=$E$5,(AB$5),(AB$6))</f>
        <v>0</v>
      </c>
      <c r="AC85" s="39">
        <f>'Degree-days'!$E$12*IF($E85=$E$5,(AC$5),(AC$6))</f>
        <v>0</v>
      </c>
      <c r="AD85" s="39">
        <f t="shared" si="3"/>
        <v>47.346011772114814</v>
      </c>
    </row>
    <row r="86" spans="4:30" x14ac:dyDescent="0.2">
      <c r="D86" s="37">
        <v>45005</v>
      </c>
      <c r="E86" s="17" t="str">
        <f t="shared" si="2"/>
        <v>weekday</v>
      </c>
      <c r="F86" s="39">
        <f>'Degree-days'!$E$12*IF($E86=$E$5,(F$5),(F$6))</f>
        <v>0</v>
      </c>
      <c r="G86" s="39">
        <f>'Degree-days'!$E$12*IF($E86=$E$5,(G$5),(G$6))</f>
        <v>0</v>
      </c>
      <c r="H86" s="39">
        <f>'Degree-days'!$E$12*IF($E86=$E$5,(H$5),(H$6))</f>
        <v>0</v>
      </c>
      <c r="I86" s="39">
        <f>'Degree-days'!$E$12*IF($E86=$E$5,(I$5),(I$6))</f>
        <v>0</v>
      </c>
      <c r="J86" s="39">
        <f>'Degree-days'!$E$12*IF($E86=$E$5,(J$5),(J$6))</f>
        <v>0</v>
      </c>
      <c r="K86" s="39">
        <f>'Degree-days'!$E$12*IF($E86=$E$5,(K$5),(K$6))</f>
        <v>0</v>
      </c>
      <c r="L86" s="39">
        <f>'Degree-days'!$E$12*IF($E86=$E$5,(L$5),(L$6))</f>
        <v>2.9591257357571754</v>
      </c>
      <c r="M86" s="39">
        <f>'Degree-days'!$E$12*IF($E86=$E$5,(M$5),(M$6))</f>
        <v>2.9591257357571754</v>
      </c>
      <c r="N86" s="39">
        <f>'Degree-days'!$E$12*IF($E86=$E$5,(N$5),(N$6))</f>
        <v>0</v>
      </c>
      <c r="O86" s="39">
        <f>'Degree-days'!$E$12*IF($E86=$E$5,(O$5),(O$6))</f>
        <v>0</v>
      </c>
      <c r="P86" s="39">
        <f>'Degree-days'!$E$12*IF($E86=$E$5,(P$5),(P$6))</f>
        <v>0</v>
      </c>
      <c r="Q86" s="39">
        <f>'Degree-days'!$E$12*IF($E86=$E$5,(Q$5),(Q$6))</f>
        <v>0</v>
      </c>
      <c r="R86" s="39">
        <f>'Degree-days'!$E$12*IF($E86=$E$5,(R$5),(R$6))</f>
        <v>0</v>
      </c>
      <c r="S86" s="39">
        <f>'Degree-days'!$E$12*IF($E86=$E$5,(S$5),(S$6))</f>
        <v>0</v>
      </c>
      <c r="T86" s="39">
        <f>'Degree-days'!$E$12*IF($E86=$E$5,(T$5),(T$6))</f>
        <v>0</v>
      </c>
      <c r="U86" s="39">
        <f>'Degree-days'!$E$12*IF($E86=$E$5,(U$5),(U$6))</f>
        <v>2.9591257357571754</v>
      </c>
      <c r="V86" s="39">
        <f>'Degree-days'!$E$12*IF($E86=$E$5,(V$5),(V$6))</f>
        <v>2.9591257357571754</v>
      </c>
      <c r="W86" s="39">
        <f>'Degree-days'!$E$12*IF($E86=$E$5,(W$5),(W$6))</f>
        <v>2.9591257357571754</v>
      </c>
      <c r="X86" s="39">
        <f>'Degree-days'!$E$12*IF($E86=$E$5,(X$5),(X$6))</f>
        <v>2.9591257357571754</v>
      </c>
      <c r="Y86" s="39">
        <f>'Degree-days'!$E$12*IF($E86=$E$5,(Y$5),(Y$6))</f>
        <v>2.9591257357571754</v>
      </c>
      <c r="Z86" s="39">
        <f>'Degree-days'!$E$12*IF($E86=$E$5,(Z$5),(Z$6))</f>
        <v>2.9591257357571754</v>
      </c>
      <c r="AA86" s="39">
        <f>'Degree-days'!$E$12*IF($E86=$E$5,(AA$5),(AA$6))</f>
        <v>2.9591257357571754</v>
      </c>
      <c r="AB86" s="39">
        <f>'Degree-days'!$E$12*IF($E86=$E$5,(AB$5),(AB$6))</f>
        <v>0</v>
      </c>
      <c r="AC86" s="39">
        <f>'Degree-days'!$E$12*IF($E86=$E$5,(AC$5),(AC$6))</f>
        <v>0</v>
      </c>
      <c r="AD86" s="39">
        <f t="shared" si="3"/>
        <v>26.632131621814583</v>
      </c>
    </row>
    <row r="87" spans="4:30" x14ac:dyDescent="0.2">
      <c r="D87" s="37">
        <v>45006</v>
      </c>
      <c r="E87" s="17" t="str">
        <f t="shared" si="2"/>
        <v>weekday</v>
      </c>
      <c r="F87" s="39">
        <f>'Degree-days'!$E$12*IF($E87=$E$5,(F$5),(F$6))</f>
        <v>0</v>
      </c>
      <c r="G87" s="39">
        <f>'Degree-days'!$E$12*IF($E87=$E$5,(G$5),(G$6))</f>
        <v>0</v>
      </c>
      <c r="H87" s="39">
        <f>'Degree-days'!$E$12*IF($E87=$E$5,(H$5),(H$6))</f>
        <v>0</v>
      </c>
      <c r="I87" s="39">
        <f>'Degree-days'!$E$12*IF($E87=$E$5,(I$5),(I$6))</f>
        <v>0</v>
      </c>
      <c r="J87" s="39">
        <f>'Degree-days'!$E$12*IF($E87=$E$5,(J$5),(J$6))</f>
        <v>0</v>
      </c>
      <c r="K87" s="39">
        <f>'Degree-days'!$E$12*IF($E87=$E$5,(K$5),(K$6))</f>
        <v>0</v>
      </c>
      <c r="L87" s="39">
        <f>'Degree-days'!$E$12*IF($E87=$E$5,(L$5),(L$6))</f>
        <v>2.9591257357571754</v>
      </c>
      <c r="M87" s="39">
        <f>'Degree-days'!$E$12*IF($E87=$E$5,(M$5),(M$6))</f>
        <v>2.9591257357571754</v>
      </c>
      <c r="N87" s="39">
        <f>'Degree-days'!$E$12*IF($E87=$E$5,(N$5),(N$6))</f>
        <v>0</v>
      </c>
      <c r="O87" s="39">
        <f>'Degree-days'!$E$12*IF($E87=$E$5,(O$5),(O$6))</f>
        <v>0</v>
      </c>
      <c r="P87" s="39">
        <f>'Degree-days'!$E$12*IF($E87=$E$5,(P$5),(P$6))</f>
        <v>0</v>
      </c>
      <c r="Q87" s="39">
        <f>'Degree-days'!$E$12*IF($E87=$E$5,(Q$5),(Q$6))</f>
        <v>0</v>
      </c>
      <c r="R87" s="39">
        <f>'Degree-days'!$E$12*IF($E87=$E$5,(R$5),(R$6))</f>
        <v>0</v>
      </c>
      <c r="S87" s="39">
        <f>'Degree-days'!$E$12*IF($E87=$E$5,(S$5),(S$6))</f>
        <v>0</v>
      </c>
      <c r="T87" s="39">
        <f>'Degree-days'!$E$12*IF($E87=$E$5,(T$5),(T$6))</f>
        <v>0</v>
      </c>
      <c r="U87" s="39">
        <f>'Degree-days'!$E$12*IF($E87=$E$5,(U$5),(U$6))</f>
        <v>2.9591257357571754</v>
      </c>
      <c r="V87" s="39">
        <f>'Degree-days'!$E$12*IF($E87=$E$5,(V$5),(V$6))</f>
        <v>2.9591257357571754</v>
      </c>
      <c r="W87" s="39">
        <f>'Degree-days'!$E$12*IF($E87=$E$5,(W$5),(W$6))</f>
        <v>2.9591257357571754</v>
      </c>
      <c r="X87" s="39">
        <f>'Degree-days'!$E$12*IF($E87=$E$5,(X$5),(X$6))</f>
        <v>2.9591257357571754</v>
      </c>
      <c r="Y87" s="39">
        <f>'Degree-days'!$E$12*IF($E87=$E$5,(Y$5),(Y$6))</f>
        <v>2.9591257357571754</v>
      </c>
      <c r="Z87" s="39">
        <f>'Degree-days'!$E$12*IF($E87=$E$5,(Z$5),(Z$6))</f>
        <v>2.9591257357571754</v>
      </c>
      <c r="AA87" s="39">
        <f>'Degree-days'!$E$12*IF($E87=$E$5,(AA$5),(AA$6))</f>
        <v>2.9591257357571754</v>
      </c>
      <c r="AB87" s="39">
        <f>'Degree-days'!$E$12*IF($E87=$E$5,(AB$5),(AB$6))</f>
        <v>0</v>
      </c>
      <c r="AC87" s="39">
        <f>'Degree-days'!$E$12*IF($E87=$E$5,(AC$5),(AC$6))</f>
        <v>0</v>
      </c>
      <c r="AD87" s="39">
        <f t="shared" si="3"/>
        <v>26.632131621814583</v>
      </c>
    </row>
    <row r="88" spans="4:30" x14ac:dyDescent="0.2">
      <c r="D88" s="37">
        <v>45007</v>
      </c>
      <c r="E88" s="17" t="str">
        <f t="shared" si="2"/>
        <v>weekday</v>
      </c>
      <c r="F88" s="39">
        <f>'Degree-days'!$E$12*IF($E88=$E$5,(F$5),(F$6))</f>
        <v>0</v>
      </c>
      <c r="G88" s="39">
        <f>'Degree-days'!$E$12*IF($E88=$E$5,(G$5),(G$6))</f>
        <v>0</v>
      </c>
      <c r="H88" s="39">
        <f>'Degree-days'!$E$12*IF($E88=$E$5,(H$5),(H$6))</f>
        <v>0</v>
      </c>
      <c r="I88" s="39">
        <f>'Degree-days'!$E$12*IF($E88=$E$5,(I$5),(I$6))</f>
        <v>0</v>
      </c>
      <c r="J88" s="39">
        <f>'Degree-days'!$E$12*IF($E88=$E$5,(J$5),(J$6))</f>
        <v>0</v>
      </c>
      <c r="K88" s="39">
        <f>'Degree-days'!$E$12*IF($E88=$E$5,(K$5),(K$6))</f>
        <v>0</v>
      </c>
      <c r="L88" s="39">
        <f>'Degree-days'!$E$12*IF($E88=$E$5,(L$5),(L$6))</f>
        <v>2.9591257357571754</v>
      </c>
      <c r="M88" s="39">
        <f>'Degree-days'!$E$12*IF($E88=$E$5,(M$5),(M$6))</f>
        <v>2.9591257357571754</v>
      </c>
      <c r="N88" s="39">
        <f>'Degree-days'!$E$12*IF($E88=$E$5,(N$5),(N$6))</f>
        <v>0</v>
      </c>
      <c r="O88" s="39">
        <f>'Degree-days'!$E$12*IF($E88=$E$5,(O$5),(O$6))</f>
        <v>0</v>
      </c>
      <c r="P88" s="39">
        <f>'Degree-days'!$E$12*IF($E88=$E$5,(P$5),(P$6))</f>
        <v>0</v>
      </c>
      <c r="Q88" s="39">
        <f>'Degree-days'!$E$12*IF($E88=$E$5,(Q$5),(Q$6))</f>
        <v>0</v>
      </c>
      <c r="R88" s="39">
        <f>'Degree-days'!$E$12*IF($E88=$E$5,(R$5),(R$6))</f>
        <v>0</v>
      </c>
      <c r="S88" s="39">
        <f>'Degree-days'!$E$12*IF($E88=$E$5,(S$5),(S$6))</f>
        <v>0</v>
      </c>
      <c r="T88" s="39">
        <f>'Degree-days'!$E$12*IF($E88=$E$5,(T$5),(T$6))</f>
        <v>0</v>
      </c>
      <c r="U88" s="39">
        <f>'Degree-days'!$E$12*IF($E88=$E$5,(U$5),(U$6))</f>
        <v>2.9591257357571754</v>
      </c>
      <c r="V88" s="39">
        <f>'Degree-days'!$E$12*IF($E88=$E$5,(V$5),(V$6))</f>
        <v>2.9591257357571754</v>
      </c>
      <c r="W88" s="39">
        <f>'Degree-days'!$E$12*IF($E88=$E$5,(W$5),(W$6))</f>
        <v>2.9591257357571754</v>
      </c>
      <c r="X88" s="39">
        <f>'Degree-days'!$E$12*IF($E88=$E$5,(X$5),(X$6))</f>
        <v>2.9591257357571754</v>
      </c>
      <c r="Y88" s="39">
        <f>'Degree-days'!$E$12*IF($E88=$E$5,(Y$5),(Y$6))</f>
        <v>2.9591257357571754</v>
      </c>
      <c r="Z88" s="39">
        <f>'Degree-days'!$E$12*IF($E88=$E$5,(Z$5),(Z$6))</f>
        <v>2.9591257357571754</v>
      </c>
      <c r="AA88" s="39">
        <f>'Degree-days'!$E$12*IF($E88=$E$5,(AA$5),(AA$6))</f>
        <v>2.9591257357571754</v>
      </c>
      <c r="AB88" s="39">
        <f>'Degree-days'!$E$12*IF($E88=$E$5,(AB$5),(AB$6))</f>
        <v>0</v>
      </c>
      <c r="AC88" s="39">
        <f>'Degree-days'!$E$12*IF($E88=$E$5,(AC$5),(AC$6))</f>
        <v>0</v>
      </c>
      <c r="AD88" s="39">
        <f t="shared" si="3"/>
        <v>26.632131621814583</v>
      </c>
    </row>
    <row r="89" spans="4:30" x14ac:dyDescent="0.2">
      <c r="D89" s="37">
        <v>45008</v>
      </c>
      <c r="E89" s="17" t="str">
        <f t="shared" si="2"/>
        <v>weekday</v>
      </c>
      <c r="F89" s="39">
        <f>'Degree-days'!$E$12*IF($E89=$E$5,(F$5),(F$6))</f>
        <v>0</v>
      </c>
      <c r="G89" s="39">
        <f>'Degree-days'!$E$12*IF($E89=$E$5,(G$5),(G$6))</f>
        <v>0</v>
      </c>
      <c r="H89" s="39">
        <f>'Degree-days'!$E$12*IF($E89=$E$5,(H$5),(H$6))</f>
        <v>0</v>
      </c>
      <c r="I89" s="39">
        <f>'Degree-days'!$E$12*IF($E89=$E$5,(I$5),(I$6))</f>
        <v>0</v>
      </c>
      <c r="J89" s="39">
        <f>'Degree-days'!$E$12*IF($E89=$E$5,(J$5),(J$6))</f>
        <v>0</v>
      </c>
      <c r="K89" s="39">
        <f>'Degree-days'!$E$12*IF($E89=$E$5,(K$5),(K$6))</f>
        <v>0</v>
      </c>
      <c r="L89" s="39">
        <f>'Degree-days'!$E$12*IF($E89=$E$5,(L$5),(L$6))</f>
        <v>2.9591257357571754</v>
      </c>
      <c r="M89" s="39">
        <f>'Degree-days'!$E$12*IF($E89=$E$5,(M$5),(M$6))</f>
        <v>2.9591257357571754</v>
      </c>
      <c r="N89" s="39">
        <f>'Degree-days'!$E$12*IF($E89=$E$5,(N$5),(N$6))</f>
        <v>0</v>
      </c>
      <c r="O89" s="39">
        <f>'Degree-days'!$E$12*IF($E89=$E$5,(O$5),(O$6))</f>
        <v>0</v>
      </c>
      <c r="P89" s="39">
        <f>'Degree-days'!$E$12*IF($E89=$E$5,(P$5),(P$6))</f>
        <v>0</v>
      </c>
      <c r="Q89" s="39">
        <f>'Degree-days'!$E$12*IF($E89=$E$5,(Q$5),(Q$6))</f>
        <v>0</v>
      </c>
      <c r="R89" s="39">
        <f>'Degree-days'!$E$12*IF($E89=$E$5,(R$5),(R$6))</f>
        <v>0</v>
      </c>
      <c r="S89" s="39">
        <f>'Degree-days'!$E$12*IF($E89=$E$5,(S$5),(S$6))</f>
        <v>0</v>
      </c>
      <c r="T89" s="39">
        <f>'Degree-days'!$E$12*IF($E89=$E$5,(T$5),(T$6))</f>
        <v>0</v>
      </c>
      <c r="U89" s="39">
        <f>'Degree-days'!$E$12*IF($E89=$E$5,(U$5),(U$6))</f>
        <v>2.9591257357571754</v>
      </c>
      <c r="V89" s="39">
        <f>'Degree-days'!$E$12*IF($E89=$E$5,(V$5),(V$6))</f>
        <v>2.9591257357571754</v>
      </c>
      <c r="W89" s="39">
        <f>'Degree-days'!$E$12*IF($E89=$E$5,(W$5),(W$6))</f>
        <v>2.9591257357571754</v>
      </c>
      <c r="X89" s="39">
        <f>'Degree-days'!$E$12*IF($E89=$E$5,(X$5),(X$6))</f>
        <v>2.9591257357571754</v>
      </c>
      <c r="Y89" s="39">
        <f>'Degree-days'!$E$12*IF($E89=$E$5,(Y$5),(Y$6))</f>
        <v>2.9591257357571754</v>
      </c>
      <c r="Z89" s="39">
        <f>'Degree-days'!$E$12*IF($E89=$E$5,(Z$5),(Z$6))</f>
        <v>2.9591257357571754</v>
      </c>
      <c r="AA89" s="39">
        <f>'Degree-days'!$E$12*IF($E89=$E$5,(AA$5),(AA$6))</f>
        <v>2.9591257357571754</v>
      </c>
      <c r="AB89" s="39">
        <f>'Degree-days'!$E$12*IF($E89=$E$5,(AB$5),(AB$6))</f>
        <v>0</v>
      </c>
      <c r="AC89" s="39">
        <f>'Degree-days'!$E$12*IF($E89=$E$5,(AC$5),(AC$6))</f>
        <v>0</v>
      </c>
      <c r="AD89" s="39">
        <f t="shared" si="3"/>
        <v>26.632131621814583</v>
      </c>
    </row>
    <row r="90" spans="4:30" x14ac:dyDescent="0.2">
      <c r="D90" s="37">
        <v>45009</v>
      </c>
      <c r="E90" s="17" t="str">
        <f t="shared" si="2"/>
        <v>weekday</v>
      </c>
      <c r="F90" s="39">
        <f>'Degree-days'!$E$12*IF($E90=$E$5,(F$5),(F$6))</f>
        <v>0</v>
      </c>
      <c r="G90" s="39">
        <f>'Degree-days'!$E$12*IF($E90=$E$5,(G$5),(G$6))</f>
        <v>0</v>
      </c>
      <c r="H90" s="39">
        <f>'Degree-days'!$E$12*IF($E90=$E$5,(H$5),(H$6))</f>
        <v>0</v>
      </c>
      <c r="I90" s="39">
        <f>'Degree-days'!$E$12*IF($E90=$E$5,(I$5),(I$6))</f>
        <v>0</v>
      </c>
      <c r="J90" s="39">
        <f>'Degree-days'!$E$12*IF($E90=$E$5,(J$5),(J$6))</f>
        <v>0</v>
      </c>
      <c r="K90" s="39">
        <f>'Degree-days'!$E$12*IF($E90=$E$5,(K$5),(K$6))</f>
        <v>0</v>
      </c>
      <c r="L90" s="39">
        <f>'Degree-days'!$E$12*IF($E90=$E$5,(L$5),(L$6))</f>
        <v>2.9591257357571754</v>
      </c>
      <c r="M90" s="39">
        <f>'Degree-days'!$E$12*IF($E90=$E$5,(M$5),(M$6))</f>
        <v>2.9591257357571754</v>
      </c>
      <c r="N90" s="39">
        <f>'Degree-days'!$E$12*IF($E90=$E$5,(N$5),(N$6))</f>
        <v>0</v>
      </c>
      <c r="O90" s="39">
        <f>'Degree-days'!$E$12*IF($E90=$E$5,(O$5),(O$6))</f>
        <v>0</v>
      </c>
      <c r="P90" s="39">
        <f>'Degree-days'!$E$12*IF($E90=$E$5,(P$5),(P$6))</f>
        <v>0</v>
      </c>
      <c r="Q90" s="39">
        <f>'Degree-days'!$E$12*IF($E90=$E$5,(Q$5),(Q$6))</f>
        <v>0</v>
      </c>
      <c r="R90" s="39">
        <f>'Degree-days'!$E$12*IF($E90=$E$5,(R$5),(R$6))</f>
        <v>0</v>
      </c>
      <c r="S90" s="39">
        <f>'Degree-days'!$E$12*IF($E90=$E$5,(S$5),(S$6))</f>
        <v>0</v>
      </c>
      <c r="T90" s="39">
        <f>'Degree-days'!$E$12*IF($E90=$E$5,(T$5),(T$6))</f>
        <v>0</v>
      </c>
      <c r="U90" s="39">
        <f>'Degree-days'!$E$12*IF($E90=$E$5,(U$5),(U$6))</f>
        <v>2.9591257357571754</v>
      </c>
      <c r="V90" s="39">
        <f>'Degree-days'!$E$12*IF($E90=$E$5,(V$5),(V$6))</f>
        <v>2.9591257357571754</v>
      </c>
      <c r="W90" s="39">
        <f>'Degree-days'!$E$12*IF($E90=$E$5,(W$5),(W$6))</f>
        <v>2.9591257357571754</v>
      </c>
      <c r="X90" s="39">
        <f>'Degree-days'!$E$12*IF($E90=$E$5,(X$5),(X$6))</f>
        <v>2.9591257357571754</v>
      </c>
      <c r="Y90" s="39">
        <f>'Degree-days'!$E$12*IF($E90=$E$5,(Y$5),(Y$6))</f>
        <v>2.9591257357571754</v>
      </c>
      <c r="Z90" s="39">
        <f>'Degree-days'!$E$12*IF($E90=$E$5,(Z$5),(Z$6))</f>
        <v>2.9591257357571754</v>
      </c>
      <c r="AA90" s="39">
        <f>'Degree-days'!$E$12*IF($E90=$E$5,(AA$5),(AA$6))</f>
        <v>2.9591257357571754</v>
      </c>
      <c r="AB90" s="39">
        <f>'Degree-days'!$E$12*IF($E90=$E$5,(AB$5),(AB$6))</f>
        <v>0</v>
      </c>
      <c r="AC90" s="39">
        <f>'Degree-days'!$E$12*IF($E90=$E$5,(AC$5),(AC$6))</f>
        <v>0</v>
      </c>
      <c r="AD90" s="39">
        <f t="shared" si="3"/>
        <v>26.632131621814583</v>
      </c>
    </row>
    <row r="91" spans="4:30" x14ac:dyDescent="0.2">
      <c r="D91" s="37">
        <v>45010</v>
      </c>
      <c r="E91" s="17" t="str">
        <f t="shared" si="2"/>
        <v>weekend</v>
      </c>
      <c r="F91" s="39">
        <f>'Degree-days'!$E$12*IF($E91=$E$5,(F$5),(F$6))</f>
        <v>0</v>
      </c>
      <c r="G91" s="39">
        <f>'Degree-days'!$E$12*IF($E91=$E$5,(G$5),(G$6))</f>
        <v>0</v>
      </c>
      <c r="H91" s="39">
        <f>'Degree-days'!$E$12*IF($E91=$E$5,(H$5),(H$6))</f>
        <v>0</v>
      </c>
      <c r="I91" s="39">
        <f>'Degree-days'!$E$12*IF($E91=$E$5,(I$5),(I$6))</f>
        <v>0</v>
      </c>
      <c r="J91" s="39">
        <f>'Degree-days'!$E$12*IF($E91=$E$5,(J$5),(J$6))</f>
        <v>0</v>
      </c>
      <c r="K91" s="39">
        <f>'Degree-days'!$E$12*IF($E91=$E$5,(K$5),(K$6))</f>
        <v>0</v>
      </c>
      <c r="L91" s="39">
        <f>'Degree-days'!$E$12*IF($E91=$E$5,(L$5),(L$6))</f>
        <v>2.9591257357571754</v>
      </c>
      <c r="M91" s="39">
        <f>'Degree-days'!$E$12*IF($E91=$E$5,(M$5),(M$6))</f>
        <v>2.9591257357571754</v>
      </c>
      <c r="N91" s="39">
        <f>'Degree-days'!$E$12*IF($E91=$E$5,(N$5),(N$6))</f>
        <v>2.9591257357571754</v>
      </c>
      <c r="O91" s="39">
        <f>'Degree-days'!$E$12*IF($E91=$E$5,(O$5),(O$6))</f>
        <v>2.9591257357571754</v>
      </c>
      <c r="P91" s="39">
        <f>'Degree-days'!$E$12*IF($E91=$E$5,(P$5),(P$6))</f>
        <v>2.9591257357571754</v>
      </c>
      <c r="Q91" s="39">
        <f>'Degree-days'!$E$12*IF($E91=$E$5,(Q$5),(Q$6))</f>
        <v>2.9591257357571754</v>
      </c>
      <c r="R91" s="39">
        <f>'Degree-days'!$E$12*IF($E91=$E$5,(R$5),(R$6))</f>
        <v>2.9591257357571754</v>
      </c>
      <c r="S91" s="39">
        <f>'Degree-days'!$E$12*IF($E91=$E$5,(S$5),(S$6))</f>
        <v>2.9591257357571754</v>
      </c>
      <c r="T91" s="39">
        <f>'Degree-days'!$E$12*IF($E91=$E$5,(T$5),(T$6))</f>
        <v>2.9591257357571754</v>
      </c>
      <c r="U91" s="39">
        <f>'Degree-days'!$E$12*IF($E91=$E$5,(U$5),(U$6))</f>
        <v>2.9591257357571754</v>
      </c>
      <c r="V91" s="39">
        <f>'Degree-days'!$E$12*IF($E91=$E$5,(V$5),(V$6))</f>
        <v>2.9591257357571754</v>
      </c>
      <c r="W91" s="39">
        <f>'Degree-days'!$E$12*IF($E91=$E$5,(W$5),(W$6))</f>
        <v>2.9591257357571754</v>
      </c>
      <c r="X91" s="39">
        <f>'Degree-days'!$E$12*IF($E91=$E$5,(X$5),(X$6))</f>
        <v>2.9591257357571754</v>
      </c>
      <c r="Y91" s="39">
        <f>'Degree-days'!$E$12*IF($E91=$E$5,(Y$5),(Y$6))</f>
        <v>2.9591257357571754</v>
      </c>
      <c r="Z91" s="39">
        <f>'Degree-days'!$E$12*IF($E91=$E$5,(Z$5),(Z$6))</f>
        <v>2.9591257357571754</v>
      </c>
      <c r="AA91" s="39">
        <f>'Degree-days'!$E$12*IF($E91=$E$5,(AA$5),(AA$6))</f>
        <v>2.9591257357571754</v>
      </c>
      <c r="AB91" s="39">
        <f>'Degree-days'!$E$12*IF($E91=$E$5,(AB$5),(AB$6))</f>
        <v>0</v>
      </c>
      <c r="AC91" s="39">
        <f>'Degree-days'!$E$12*IF($E91=$E$5,(AC$5),(AC$6))</f>
        <v>0</v>
      </c>
      <c r="AD91" s="39">
        <f t="shared" si="3"/>
        <v>47.346011772114814</v>
      </c>
    </row>
    <row r="92" spans="4:30" x14ac:dyDescent="0.2">
      <c r="D92" s="37">
        <v>45011</v>
      </c>
      <c r="E92" s="17" t="str">
        <f t="shared" si="2"/>
        <v>weekend</v>
      </c>
      <c r="F92" s="39">
        <f>'Degree-days'!$E$12*IF($E92=$E$5,(F$5),(F$6))</f>
        <v>0</v>
      </c>
      <c r="G92" s="39">
        <f>'Degree-days'!$E$12*IF($E92=$E$5,(G$5),(G$6))</f>
        <v>0</v>
      </c>
      <c r="H92" s="39">
        <f>'Degree-days'!$E$12*IF($E92=$E$5,(H$5),(H$6))</f>
        <v>0</v>
      </c>
      <c r="I92" s="39">
        <f>'Degree-days'!$E$12*IF($E92=$E$5,(I$5),(I$6))</f>
        <v>0</v>
      </c>
      <c r="J92" s="39">
        <f>'Degree-days'!$E$12*IF($E92=$E$5,(J$5),(J$6))</f>
        <v>0</v>
      </c>
      <c r="K92" s="39">
        <f>'Degree-days'!$E$12*IF($E92=$E$5,(K$5),(K$6))</f>
        <v>0</v>
      </c>
      <c r="L92" s="39">
        <f>'Degree-days'!$E$12*IF($E92=$E$5,(L$5),(L$6))</f>
        <v>2.9591257357571754</v>
      </c>
      <c r="M92" s="39">
        <f>'Degree-days'!$E$12*IF($E92=$E$5,(M$5),(M$6))</f>
        <v>2.9591257357571754</v>
      </c>
      <c r="N92" s="39">
        <f>'Degree-days'!$E$12*IF($E92=$E$5,(N$5),(N$6))</f>
        <v>2.9591257357571754</v>
      </c>
      <c r="O92" s="39">
        <f>'Degree-days'!$E$12*IF($E92=$E$5,(O$5),(O$6))</f>
        <v>2.9591257357571754</v>
      </c>
      <c r="P92" s="39">
        <f>'Degree-days'!$E$12*IF($E92=$E$5,(P$5),(P$6))</f>
        <v>2.9591257357571754</v>
      </c>
      <c r="Q92" s="39">
        <f>'Degree-days'!$E$12*IF($E92=$E$5,(Q$5),(Q$6))</f>
        <v>2.9591257357571754</v>
      </c>
      <c r="R92" s="39">
        <f>'Degree-days'!$E$12*IF($E92=$E$5,(R$5),(R$6))</f>
        <v>2.9591257357571754</v>
      </c>
      <c r="S92" s="39">
        <f>'Degree-days'!$E$12*IF($E92=$E$5,(S$5),(S$6))</f>
        <v>2.9591257357571754</v>
      </c>
      <c r="T92" s="39">
        <f>'Degree-days'!$E$12*IF($E92=$E$5,(T$5),(T$6))</f>
        <v>2.9591257357571754</v>
      </c>
      <c r="U92" s="39">
        <f>'Degree-days'!$E$12*IF($E92=$E$5,(U$5),(U$6))</f>
        <v>2.9591257357571754</v>
      </c>
      <c r="V92" s="39">
        <f>'Degree-days'!$E$12*IF($E92=$E$5,(V$5),(V$6))</f>
        <v>2.9591257357571754</v>
      </c>
      <c r="W92" s="39">
        <f>'Degree-days'!$E$12*IF($E92=$E$5,(W$5),(W$6))</f>
        <v>2.9591257357571754</v>
      </c>
      <c r="X92" s="39">
        <f>'Degree-days'!$E$12*IF($E92=$E$5,(X$5),(X$6))</f>
        <v>2.9591257357571754</v>
      </c>
      <c r="Y92" s="39">
        <f>'Degree-days'!$E$12*IF($E92=$E$5,(Y$5),(Y$6))</f>
        <v>2.9591257357571754</v>
      </c>
      <c r="Z92" s="39">
        <f>'Degree-days'!$E$12*IF($E92=$E$5,(Z$5),(Z$6))</f>
        <v>2.9591257357571754</v>
      </c>
      <c r="AA92" s="39">
        <f>'Degree-days'!$E$12*IF($E92=$E$5,(AA$5),(AA$6))</f>
        <v>2.9591257357571754</v>
      </c>
      <c r="AB92" s="39">
        <f>'Degree-days'!$E$12*IF($E92=$E$5,(AB$5),(AB$6))</f>
        <v>0</v>
      </c>
      <c r="AC92" s="39">
        <f>'Degree-days'!$E$12*IF($E92=$E$5,(AC$5),(AC$6))</f>
        <v>0</v>
      </c>
      <c r="AD92" s="39">
        <f t="shared" si="3"/>
        <v>47.346011772114814</v>
      </c>
    </row>
    <row r="93" spans="4:30" x14ac:dyDescent="0.2">
      <c r="D93" s="37">
        <v>45012</v>
      </c>
      <c r="E93" s="17" t="str">
        <f t="shared" si="2"/>
        <v>weekday</v>
      </c>
      <c r="F93" s="39">
        <f>'Degree-days'!$E$12*IF($E93=$E$5,(F$5),(F$6))</f>
        <v>0</v>
      </c>
      <c r="G93" s="39">
        <f>'Degree-days'!$E$12*IF($E93=$E$5,(G$5),(G$6))</f>
        <v>0</v>
      </c>
      <c r="H93" s="39">
        <f>'Degree-days'!$E$12*IF($E93=$E$5,(H$5),(H$6))</f>
        <v>0</v>
      </c>
      <c r="I93" s="39">
        <f>'Degree-days'!$E$12*IF($E93=$E$5,(I$5),(I$6))</f>
        <v>0</v>
      </c>
      <c r="J93" s="39">
        <f>'Degree-days'!$E$12*IF($E93=$E$5,(J$5),(J$6))</f>
        <v>0</v>
      </c>
      <c r="K93" s="39">
        <f>'Degree-days'!$E$12*IF($E93=$E$5,(K$5),(K$6))</f>
        <v>0</v>
      </c>
      <c r="L93" s="39">
        <f>'Degree-days'!$E$12*IF($E93=$E$5,(L$5),(L$6))</f>
        <v>2.9591257357571754</v>
      </c>
      <c r="M93" s="39">
        <f>'Degree-days'!$E$12*IF($E93=$E$5,(M$5),(M$6))</f>
        <v>2.9591257357571754</v>
      </c>
      <c r="N93" s="39">
        <f>'Degree-days'!$E$12*IF($E93=$E$5,(N$5),(N$6))</f>
        <v>0</v>
      </c>
      <c r="O93" s="39">
        <f>'Degree-days'!$E$12*IF($E93=$E$5,(O$5),(O$6))</f>
        <v>0</v>
      </c>
      <c r="P93" s="39">
        <f>'Degree-days'!$E$12*IF($E93=$E$5,(P$5),(P$6))</f>
        <v>0</v>
      </c>
      <c r="Q93" s="39">
        <f>'Degree-days'!$E$12*IF($E93=$E$5,(Q$5),(Q$6))</f>
        <v>0</v>
      </c>
      <c r="R93" s="39">
        <f>'Degree-days'!$E$12*IF($E93=$E$5,(R$5),(R$6))</f>
        <v>0</v>
      </c>
      <c r="S93" s="39">
        <f>'Degree-days'!$E$12*IF($E93=$E$5,(S$5),(S$6))</f>
        <v>0</v>
      </c>
      <c r="T93" s="39">
        <f>'Degree-days'!$E$12*IF($E93=$E$5,(T$5),(T$6))</f>
        <v>0</v>
      </c>
      <c r="U93" s="39">
        <f>'Degree-days'!$E$12*IF($E93=$E$5,(U$5),(U$6))</f>
        <v>2.9591257357571754</v>
      </c>
      <c r="V93" s="39">
        <f>'Degree-days'!$E$12*IF($E93=$E$5,(V$5),(V$6))</f>
        <v>2.9591257357571754</v>
      </c>
      <c r="W93" s="39">
        <f>'Degree-days'!$E$12*IF($E93=$E$5,(W$5),(W$6))</f>
        <v>2.9591257357571754</v>
      </c>
      <c r="X93" s="39">
        <f>'Degree-days'!$E$12*IF($E93=$E$5,(X$5),(X$6))</f>
        <v>2.9591257357571754</v>
      </c>
      <c r="Y93" s="39">
        <f>'Degree-days'!$E$12*IF($E93=$E$5,(Y$5),(Y$6))</f>
        <v>2.9591257357571754</v>
      </c>
      <c r="Z93" s="39">
        <f>'Degree-days'!$E$12*IF($E93=$E$5,(Z$5),(Z$6))</f>
        <v>2.9591257357571754</v>
      </c>
      <c r="AA93" s="39">
        <f>'Degree-days'!$E$12*IF($E93=$E$5,(AA$5),(AA$6))</f>
        <v>2.9591257357571754</v>
      </c>
      <c r="AB93" s="39">
        <f>'Degree-days'!$E$12*IF($E93=$E$5,(AB$5),(AB$6))</f>
        <v>0</v>
      </c>
      <c r="AC93" s="39">
        <f>'Degree-days'!$E$12*IF($E93=$E$5,(AC$5),(AC$6))</f>
        <v>0</v>
      </c>
      <c r="AD93" s="39">
        <f t="shared" si="3"/>
        <v>26.632131621814583</v>
      </c>
    </row>
    <row r="94" spans="4:30" x14ac:dyDescent="0.2">
      <c r="D94" s="37">
        <v>45013</v>
      </c>
      <c r="E94" s="17" t="str">
        <f t="shared" si="2"/>
        <v>weekday</v>
      </c>
      <c r="F94" s="39">
        <f>'Degree-days'!$E$12*IF($E94=$E$5,(F$5),(F$6))</f>
        <v>0</v>
      </c>
      <c r="G94" s="39">
        <f>'Degree-days'!$E$12*IF($E94=$E$5,(G$5),(G$6))</f>
        <v>0</v>
      </c>
      <c r="H94" s="39">
        <f>'Degree-days'!$E$12*IF($E94=$E$5,(H$5),(H$6))</f>
        <v>0</v>
      </c>
      <c r="I94" s="39">
        <f>'Degree-days'!$E$12*IF($E94=$E$5,(I$5),(I$6))</f>
        <v>0</v>
      </c>
      <c r="J94" s="39">
        <f>'Degree-days'!$E$12*IF($E94=$E$5,(J$5),(J$6))</f>
        <v>0</v>
      </c>
      <c r="K94" s="39">
        <f>'Degree-days'!$E$12*IF($E94=$E$5,(K$5),(K$6))</f>
        <v>0</v>
      </c>
      <c r="L94" s="39">
        <f>'Degree-days'!$E$12*IF($E94=$E$5,(L$5),(L$6))</f>
        <v>2.9591257357571754</v>
      </c>
      <c r="M94" s="39">
        <f>'Degree-days'!$E$12*IF($E94=$E$5,(M$5),(M$6))</f>
        <v>2.9591257357571754</v>
      </c>
      <c r="N94" s="39">
        <f>'Degree-days'!$E$12*IF($E94=$E$5,(N$5),(N$6))</f>
        <v>0</v>
      </c>
      <c r="O94" s="39">
        <f>'Degree-days'!$E$12*IF($E94=$E$5,(O$5),(O$6))</f>
        <v>0</v>
      </c>
      <c r="P94" s="39">
        <f>'Degree-days'!$E$12*IF($E94=$E$5,(P$5),(P$6))</f>
        <v>0</v>
      </c>
      <c r="Q94" s="39">
        <f>'Degree-days'!$E$12*IF($E94=$E$5,(Q$5),(Q$6))</f>
        <v>0</v>
      </c>
      <c r="R94" s="39">
        <f>'Degree-days'!$E$12*IF($E94=$E$5,(R$5),(R$6))</f>
        <v>0</v>
      </c>
      <c r="S94" s="39">
        <f>'Degree-days'!$E$12*IF($E94=$E$5,(S$5),(S$6))</f>
        <v>0</v>
      </c>
      <c r="T94" s="39">
        <f>'Degree-days'!$E$12*IF($E94=$E$5,(T$5),(T$6))</f>
        <v>0</v>
      </c>
      <c r="U94" s="39">
        <f>'Degree-days'!$E$12*IF($E94=$E$5,(U$5),(U$6))</f>
        <v>2.9591257357571754</v>
      </c>
      <c r="V94" s="39">
        <f>'Degree-days'!$E$12*IF($E94=$E$5,(V$5),(V$6))</f>
        <v>2.9591257357571754</v>
      </c>
      <c r="W94" s="39">
        <f>'Degree-days'!$E$12*IF($E94=$E$5,(W$5),(W$6))</f>
        <v>2.9591257357571754</v>
      </c>
      <c r="X94" s="39">
        <f>'Degree-days'!$E$12*IF($E94=$E$5,(X$5),(X$6))</f>
        <v>2.9591257357571754</v>
      </c>
      <c r="Y94" s="39">
        <f>'Degree-days'!$E$12*IF($E94=$E$5,(Y$5),(Y$6))</f>
        <v>2.9591257357571754</v>
      </c>
      <c r="Z94" s="39">
        <f>'Degree-days'!$E$12*IF($E94=$E$5,(Z$5),(Z$6))</f>
        <v>2.9591257357571754</v>
      </c>
      <c r="AA94" s="39">
        <f>'Degree-days'!$E$12*IF($E94=$E$5,(AA$5),(AA$6))</f>
        <v>2.9591257357571754</v>
      </c>
      <c r="AB94" s="39">
        <f>'Degree-days'!$E$12*IF($E94=$E$5,(AB$5),(AB$6))</f>
        <v>0</v>
      </c>
      <c r="AC94" s="39">
        <f>'Degree-days'!$E$12*IF($E94=$E$5,(AC$5),(AC$6))</f>
        <v>0</v>
      </c>
      <c r="AD94" s="39">
        <f t="shared" si="3"/>
        <v>26.632131621814583</v>
      </c>
    </row>
    <row r="95" spans="4:30" x14ac:dyDescent="0.2">
      <c r="D95" s="37">
        <v>45014</v>
      </c>
      <c r="E95" s="17" t="str">
        <f t="shared" si="2"/>
        <v>weekday</v>
      </c>
      <c r="F95" s="39">
        <f>'Degree-days'!$E$12*IF($E95=$E$5,(F$5),(F$6))</f>
        <v>0</v>
      </c>
      <c r="G95" s="39">
        <f>'Degree-days'!$E$12*IF($E95=$E$5,(G$5),(G$6))</f>
        <v>0</v>
      </c>
      <c r="H95" s="39">
        <f>'Degree-days'!$E$12*IF($E95=$E$5,(H$5),(H$6))</f>
        <v>0</v>
      </c>
      <c r="I95" s="39">
        <f>'Degree-days'!$E$12*IF($E95=$E$5,(I$5),(I$6))</f>
        <v>0</v>
      </c>
      <c r="J95" s="39">
        <f>'Degree-days'!$E$12*IF($E95=$E$5,(J$5),(J$6))</f>
        <v>0</v>
      </c>
      <c r="K95" s="39">
        <f>'Degree-days'!$E$12*IF($E95=$E$5,(K$5),(K$6))</f>
        <v>0</v>
      </c>
      <c r="L95" s="39">
        <f>'Degree-days'!$E$12*IF($E95=$E$5,(L$5),(L$6))</f>
        <v>2.9591257357571754</v>
      </c>
      <c r="M95" s="39">
        <f>'Degree-days'!$E$12*IF($E95=$E$5,(M$5),(M$6))</f>
        <v>2.9591257357571754</v>
      </c>
      <c r="N95" s="39">
        <f>'Degree-days'!$E$12*IF($E95=$E$5,(N$5),(N$6))</f>
        <v>0</v>
      </c>
      <c r="O95" s="39">
        <f>'Degree-days'!$E$12*IF($E95=$E$5,(O$5),(O$6))</f>
        <v>0</v>
      </c>
      <c r="P95" s="39">
        <f>'Degree-days'!$E$12*IF($E95=$E$5,(P$5),(P$6))</f>
        <v>0</v>
      </c>
      <c r="Q95" s="39">
        <f>'Degree-days'!$E$12*IF($E95=$E$5,(Q$5),(Q$6))</f>
        <v>0</v>
      </c>
      <c r="R95" s="39">
        <f>'Degree-days'!$E$12*IF($E95=$E$5,(R$5),(R$6))</f>
        <v>0</v>
      </c>
      <c r="S95" s="39">
        <f>'Degree-days'!$E$12*IF($E95=$E$5,(S$5),(S$6))</f>
        <v>0</v>
      </c>
      <c r="T95" s="39">
        <f>'Degree-days'!$E$12*IF($E95=$E$5,(T$5),(T$6))</f>
        <v>0</v>
      </c>
      <c r="U95" s="39">
        <f>'Degree-days'!$E$12*IF($E95=$E$5,(U$5),(U$6))</f>
        <v>2.9591257357571754</v>
      </c>
      <c r="V95" s="39">
        <f>'Degree-days'!$E$12*IF($E95=$E$5,(V$5),(V$6))</f>
        <v>2.9591257357571754</v>
      </c>
      <c r="W95" s="39">
        <f>'Degree-days'!$E$12*IF($E95=$E$5,(W$5),(W$6))</f>
        <v>2.9591257357571754</v>
      </c>
      <c r="X95" s="39">
        <f>'Degree-days'!$E$12*IF($E95=$E$5,(X$5),(X$6))</f>
        <v>2.9591257357571754</v>
      </c>
      <c r="Y95" s="39">
        <f>'Degree-days'!$E$12*IF($E95=$E$5,(Y$5),(Y$6))</f>
        <v>2.9591257357571754</v>
      </c>
      <c r="Z95" s="39">
        <f>'Degree-days'!$E$12*IF($E95=$E$5,(Z$5),(Z$6))</f>
        <v>2.9591257357571754</v>
      </c>
      <c r="AA95" s="39">
        <f>'Degree-days'!$E$12*IF($E95=$E$5,(AA$5),(AA$6))</f>
        <v>2.9591257357571754</v>
      </c>
      <c r="AB95" s="39">
        <f>'Degree-days'!$E$12*IF($E95=$E$5,(AB$5),(AB$6))</f>
        <v>0</v>
      </c>
      <c r="AC95" s="39">
        <f>'Degree-days'!$E$12*IF($E95=$E$5,(AC$5),(AC$6))</f>
        <v>0</v>
      </c>
      <c r="AD95" s="39">
        <f t="shared" si="3"/>
        <v>26.632131621814583</v>
      </c>
    </row>
    <row r="96" spans="4:30" x14ac:dyDescent="0.2">
      <c r="D96" s="37">
        <v>45015</v>
      </c>
      <c r="E96" s="17" t="str">
        <f t="shared" si="2"/>
        <v>weekday</v>
      </c>
      <c r="F96" s="39">
        <f>'Degree-days'!$E$12*IF($E96=$E$5,(F$5),(F$6))</f>
        <v>0</v>
      </c>
      <c r="G96" s="39">
        <f>'Degree-days'!$E$12*IF($E96=$E$5,(G$5),(G$6))</f>
        <v>0</v>
      </c>
      <c r="H96" s="39">
        <f>'Degree-days'!$E$12*IF($E96=$E$5,(H$5),(H$6))</f>
        <v>0</v>
      </c>
      <c r="I96" s="39">
        <f>'Degree-days'!$E$12*IF($E96=$E$5,(I$5),(I$6))</f>
        <v>0</v>
      </c>
      <c r="J96" s="39">
        <f>'Degree-days'!$E$12*IF($E96=$E$5,(J$5),(J$6))</f>
        <v>0</v>
      </c>
      <c r="K96" s="39">
        <f>'Degree-days'!$E$12*IF($E96=$E$5,(K$5),(K$6))</f>
        <v>0</v>
      </c>
      <c r="L96" s="39">
        <f>'Degree-days'!$E$12*IF($E96=$E$5,(L$5),(L$6))</f>
        <v>2.9591257357571754</v>
      </c>
      <c r="M96" s="39">
        <f>'Degree-days'!$E$12*IF($E96=$E$5,(M$5),(M$6))</f>
        <v>2.9591257357571754</v>
      </c>
      <c r="N96" s="39">
        <f>'Degree-days'!$E$12*IF($E96=$E$5,(N$5),(N$6))</f>
        <v>0</v>
      </c>
      <c r="O96" s="39">
        <f>'Degree-days'!$E$12*IF($E96=$E$5,(O$5),(O$6))</f>
        <v>0</v>
      </c>
      <c r="P96" s="39">
        <f>'Degree-days'!$E$12*IF($E96=$E$5,(P$5),(P$6))</f>
        <v>0</v>
      </c>
      <c r="Q96" s="39">
        <f>'Degree-days'!$E$12*IF($E96=$E$5,(Q$5),(Q$6))</f>
        <v>0</v>
      </c>
      <c r="R96" s="39">
        <f>'Degree-days'!$E$12*IF($E96=$E$5,(R$5),(R$6))</f>
        <v>0</v>
      </c>
      <c r="S96" s="39">
        <f>'Degree-days'!$E$12*IF($E96=$E$5,(S$5),(S$6))</f>
        <v>0</v>
      </c>
      <c r="T96" s="39">
        <f>'Degree-days'!$E$12*IF($E96=$E$5,(T$5),(T$6))</f>
        <v>0</v>
      </c>
      <c r="U96" s="39">
        <f>'Degree-days'!$E$12*IF($E96=$E$5,(U$5),(U$6))</f>
        <v>2.9591257357571754</v>
      </c>
      <c r="V96" s="39">
        <f>'Degree-days'!$E$12*IF($E96=$E$5,(V$5),(V$6))</f>
        <v>2.9591257357571754</v>
      </c>
      <c r="W96" s="39">
        <f>'Degree-days'!$E$12*IF($E96=$E$5,(W$5),(W$6))</f>
        <v>2.9591257357571754</v>
      </c>
      <c r="X96" s="39">
        <f>'Degree-days'!$E$12*IF($E96=$E$5,(X$5),(X$6))</f>
        <v>2.9591257357571754</v>
      </c>
      <c r="Y96" s="39">
        <f>'Degree-days'!$E$12*IF($E96=$E$5,(Y$5),(Y$6))</f>
        <v>2.9591257357571754</v>
      </c>
      <c r="Z96" s="39">
        <f>'Degree-days'!$E$12*IF($E96=$E$5,(Z$5),(Z$6))</f>
        <v>2.9591257357571754</v>
      </c>
      <c r="AA96" s="39">
        <f>'Degree-days'!$E$12*IF($E96=$E$5,(AA$5),(AA$6))</f>
        <v>2.9591257357571754</v>
      </c>
      <c r="AB96" s="39">
        <f>'Degree-days'!$E$12*IF($E96=$E$5,(AB$5),(AB$6))</f>
        <v>0</v>
      </c>
      <c r="AC96" s="39">
        <f>'Degree-days'!$E$12*IF($E96=$E$5,(AC$5),(AC$6))</f>
        <v>0</v>
      </c>
      <c r="AD96" s="39">
        <f t="shared" si="3"/>
        <v>26.632131621814583</v>
      </c>
    </row>
    <row r="97" spans="4:32" x14ac:dyDescent="0.2">
      <c r="D97" s="37">
        <v>45016</v>
      </c>
      <c r="E97" s="17" t="str">
        <f t="shared" si="2"/>
        <v>weekday</v>
      </c>
      <c r="F97" s="39">
        <f>'Degree-days'!$E$12*IF($E97=$E$5,(F$5),(F$6))</f>
        <v>0</v>
      </c>
      <c r="G97" s="39">
        <f>'Degree-days'!$E$12*IF($E97=$E$5,(G$5),(G$6))</f>
        <v>0</v>
      </c>
      <c r="H97" s="39">
        <f>'Degree-days'!$E$12*IF($E97=$E$5,(H$5),(H$6))</f>
        <v>0</v>
      </c>
      <c r="I97" s="39">
        <f>'Degree-days'!$E$12*IF($E97=$E$5,(I$5),(I$6))</f>
        <v>0</v>
      </c>
      <c r="J97" s="39">
        <f>'Degree-days'!$E$12*IF($E97=$E$5,(J$5),(J$6))</f>
        <v>0</v>
      </c>
      <c r="K97" s="39">
        <f>'Degree-days'!$E$12*IF($E97=$E$5,(K$5),(K$6))</f>
        <v>0</v>
      </c>
      <c r="L97" s="39">
        <f>'Degree-days'!$E$12*IF($E97=$E$5,(L$5),(L$6))</f>
        <v>2.9591257357571754</v>
      </c>
      <c r="M97" s="39">
        <f>'Degree-days'!$E$12*IF($E97=$E$5,(M$5),(M$6))</f>
        <v>2.9591257357571754</v>
      </c>
      <c r="N97" s="39">
        <f>'Degree-days'!$E$12*IF($E97=$E$5,(N$5),(N$6))</f>
        <v>0</v>
      </c>
      <c r="O97" s="39">
        <f>'Degree-days'!$E$12*IF($E97=$E$5,(O$5),(O$6))</f>
        <v>0</v>
      </c>
      <c r="P97" s="39">
        <f>'Degree-days'!$E$12*IF($E97=$E$5,(P$5),(P$6))</f>
        <v>0</v>
      </c>
      <c r="Q97" s="39">
        <f>'Degree-days'!$E$12*IF($E97=$E$5,(Q$5),(Q$6))</f>
        <v>0</v>
      </c>
      <c r="R97" s="39">
        <f>'Degree-days'!$E$12*IF($E97=$E$5,(R$5),(R$6))</f>
        <v>0</v>
      </c>
      <c r="S97" s="39">
        <f>'Degree-days'!$E$12*IF($E97=$E$5,(S$5),(S$6))</f>
        <v>0</v>
      </c>
      <c r="T97" s="39">
        <f>'Degree-days'!$E$12*IF($E97=$E$5,(T$5),(T$6))</f>
        <v>0</v>
      </c>
      <c r="U97" s="39">
        <f>'Degree-days'!$E$12*IF($E97=$E$5,(U$5),(U$6))</f>
        <v>2.9591257357571754</v>
      </c>
      <c r="V97" s="39">
        <f>'Degree-days'!$E$12*IF($E97=$E$5,(V$5),(V$6))</f>
        <v>2.9591257357571754</v>
      </c>
      <c r="W97" s="39">
        <f>'Degree-days'!$E$12*IF($E97=$E$5,(W$5),(W$6))</f>
        <v>2.9591257357571754</v>
      </c>
      <c r="X97" s="39">
        <f>'Degree-days'!$E$12*IF($E97=$E$5,(X$5),(X$6))</f>
        <v>2.9591257357571754</v>
      </c>
      <c r="Y97" s="39">
        <f>'Degree-days'!$E$12*IF($E97=$E$5,(Y$5),(Y$6))</f>
        <v>2.9591257357571754</v>
      </c>
      <c r="Z97" s="39">
        <f>'Degree-days'!$E$12*IF($E97=$E$5,(Z$5),(Z$6))</f>
        <v>2.9591257357571754</v>
      </c>
      <c r="AA97" s="39">
        <f>'Degree-days'!$E$12*IF($E97=$E$5,(AA$5),(AA$6))</f>
        <v>2.9591257357571754</v>
      </c>
      <c r="AB97" s="39">
        <f>'Degree-days'!$E$12*IF($E97=$E$5,(AB$5),(AB$6))</f>
        <v>0</v>
      </c>
      <c r="AC97" s="39">
        <f>'Degree-days'!$E$12*IF($E97=$E$5,(AC$5),(AC$6))</f>
        <v>0</v>
      </c>
      <c r="AD97" s="39">
        <f t="shared" si="3"/>
        <v>26.632131621814583</v>
      </c>
      <c r="AE97" s="40">
        <f>SUM(AD67:AD97)</f>
        <v>991.30712147865381</v>
      </c>
      <c r="AF97" s="35">
        <f>'Degree-days'!E11</f>
        <v>991.30712147865381</v>
      </c>
    </row>
    <row r="98" spans="4:32" x14ac:dyDescent="0.2">
      <c r="D98" s="37">
        <v>45017</v>
      </c>
      <c r="E98" s="17" t="str">
        <f t="shared" si="2"/>
        <v>weekend</v>
      </c>
      <c r="F98" s="39">
        <f>'Degree-days'!$F$12*IF($E98=$E$5,(F$5),(F$6))</f>
        <v>0</v>
      </c>
      <c r="G98" s="39">
        <f>'Degree-days'!$F$12*IF($E98=$E$5,(G$5),(G$6))</f>
        <v>0</v>
      </c>
      <c r="H98" s="39">
        <f>'Degree-days'!$F$12*IF($E98=$E$5,(H$5),(H$6))</f>
        <v>0</v>
      </c>
      <c r="I98" s="39">
        <f>'Degree-days'!$F$12*IF($E98=$E$5,(I$5),(I$6))</f>
        <v>0</v>
      </c>
      <c r="J98" s="39">
        <f>'Degree-days'!$F$12*IF($E98=$E$5,(J$5),(J$6))</f>
        <v>0</v>
      </c>
      <c r="K98" s="39">
        <f>'Degree-days'!$F$12*IF($E98=$E$5,(K$5),(K$6))</f>
        <v>0</v>
      </c>
      <c r="L98" s="39">
        <f>'Degree-days'!$F$12*IF($E98=$E$5,(L$5),(L$6))</f>
        <v>2.1331041704226341</v>
      </c>
      <c r="M98" s="39">
        <f>'Degree-days'!$F$12*IF($E98=$E$5,(M$5),(M$6))</f>
        <v>2.1331041704226341</v>
      </c>
      <c r="N98" s="39">
        <f>'Degree-days'!$F$12*IF($E98=$E$5,(N$5),(N$6))</f>
        <v>2.1331041704226341</v>
      </c>
      <c r="O98" s="39">
        <f>'Degree-days'!$F$12*IF($E98=$E$5,(O$5),(O$6))</f>
        <v>2.1331041704226341</v>
      </c>
      <c r="P98" s="39">
        <f>'Degree-days'!$F$12*IF($E98=$E$5,(P$5),(P$6))</f>
        <v>2.1331041704226341</v>
      </c>
      <c r="Q98" s="39">
        <f>'Degree-days'!$F$12*IF($E98=$E$5,(Q$5),(Q$6))</f>
        <v>2.1331041704226341</v>
      </c>
      <c r="R98" s="39">
        <f>'Degree-days'!$F$12*IF($E98=$E$5,(R$5),(R$6))</f>
        <v>2.1331041704226341</v>
      </c>
      <c r="S98" s="39">
        <f>'Degree-days'!$F$12*IF($E98=$E$5,(S$5),(S$6))</f>
        <v>2.1331041704226341</v>
      </c>
      <c r="T98" s="39">
        <f>'Degree-days'!$F$12*IF($E98=$E$5,(T$5),(T$6))</f>
        <v>2.1331041704226341</v>
      </c>
      <c r="U98" s="39">
        <f>'Degree-days'!$F$12*IF($E98=$E$5,(U$5),(U$6))</f>
        <v>2.1331041704226341</v>
      </c>
      <c r="V98" s="39">
        <f>'Degree-days'!$F$12*IF($E98=$E$5,(V$5),(V$6))</f>
        <v>2.1331041704226341</v>
      </c>
      <c r="W98" s="39">
        <f>'Degree-days'!$F$12*IF($E98=$E$5,(W$5),(W$6))</f>
        <v>2.1331041704226341</v>
      </c>
      <c r="X98" s="39">
        <f>'Degree-days'!$F$12*IF($E98=$E$5,(X$5),(X$6))</f>
        <v>2.1331041704226341</v>
      </c>
      <c r="Y98" s="39">
        <f>'Degree-days'!$F$12*IF($E98=$E$5,(Y$5),(Y$6))</f>
        <v>2.1331041704226341</v>
      </c>
      <c r="Z98" s="39">
        <f>'Degree-days'!$F$12*IF($E98=$E$5,(Z$5),(Z$6))</f>
        <v>2.1331041704226341</v>
      </c>
      <c r="AA98" s="39">
        <f>'Degree-days'!$F$12*IF($E98=$E$5,(AA$5),(AA$6))</f>
        <v>2.1331041704226341</v>
      </c>
      <c r="AB98" s="39">
        <f>'Degree-days'!$F$12*IF($E98=$E$5,(AB$5),(AB$6))</f>
        <v>0</v>
      </c>
      <c r="AC98" s="39">
        <f>'Degree-days'!$F$12*IF($E98=$E$5,(AC$5),(AC$6))</f>
        <v>0</v>
      </c>
      <c r="AD98" s="39">
        <f t="shared" si="3"/>
        <v>34.129666726762146</v>
      </c>
    </row>
    <row r="99" spans="4:32" x14ac:dyDescent="0.2">
      <c r="D99" s="37">
        <v>45018</v>
      </c>
      <c r="E99" s="17" t="str">
        <f t="shared" si="2"/>
        <v>weekend</v>
      </c>
      <c r="F99" s="39">
        <f>'Degree-days'!$F$12*IF($E99=$E$5,(F$5),(F$6))</f>
        <v>0</v>
      </c>
      <c r="G99" s="39">
        <f>'Degree-days'!$F$12*IF($E99=$E$5,(G$5),(G$6))</f>
        <v>0</v>
      </c>
      <c r="H99" s="39">
        <f>'Degree-days'!$F$12*IF($E99=$E$5,(H$5),(H$6))</f>
        <v>0</v>
      </c>
      <c r="I99" s="39">
        <f>'Degree-days'!$F$12*IF($E99=$E$5,(I$5),(I$6))</f>
        <v>0</v>
      </c>
      <c r="J99" s="39">
        <f>'Degree-days'!$F$12*IF($E99=$E$5,(J$5),(J$6))</f>
        <v>0</v>
      </c>
      <c r="K99" s="39">
        <f>'Degree-days'!$F$12*IF($E99=$E$5,(K$5),(K$6))</f>
        <v>0</v>
      </c>
      <c r="L99" s="39">
        <f>'Degree-days'!$F$12*IF($E99=$E$5,(L$5),(L$6))</f>
        <v>2.1331041704226341</v>
      </c>
      <c r="M99" s="39">
        <f>'Degree-days'!$F$12*IF($E99=$E$5,(M$5),(M$6))</f>
        <v>2.1331041704226341</v>
      </c>
      <c r="N99" s="39">
        <f>'Degree-days'!$F$12*IF($E99=$E$5,(N$5),(N$6))</f>
        <v>2.1331041704226341</v>
      </c>
      <c r="O99" s="39">
        <f>'Degree-days'!$F$12*IF($E99=$E$5,(O$5),(O$6))</f>
        <v>2.1331041704226341</v>
      </c>
      <c r="P99" s="39">
        <f>'Degree-days'!$F$12*IF($E99=$E$5,(P$5),(P$6))</f>
        <v>2.1331041704226341</v>
      </c>
      <c r="Q99" s="39">
        <f>'Degree-days'!$F$12*IF($E99=$E$5,(Q$5),(Q$6))</f>
        <v>2.1331041704226341</v>
      </c>
      <c r="R99" s="39">
        <f>'Degree-days'!$F$12*IF($E99=$E$5,(R$5),(R$6))</f>
        <v>2.1331041704226341</v>
      </c>
      <c r="S99" s="39">
        <f>'Degree-days'!$F$12*IF($E99=$E$5,(S$5),(S$6))</f>
        <v>2.1331041704226341</v>
      </c>
      <c r="T99" s="39">
        <f>'Degree-days'!$F$12*IF($E99=$E$5,(T$5),(T$6))</f>
        <v>2.1331041704226341</v>
      </c>
      <c r="U99" s="39">
        <f>'Degree-days'!$F$12*IF($E99=$E$5,(U$5),(U$6))</f>
        <v>2.1331041704226341</v>
      </c>
      <c r="V99" s="39">
        <f>'Degree-days'!$F$12*IF($E99=$E$5,(V$5),(V$6))</f>
        <v>2.1331041704226341</v>
      </c>
      <c r="W99" s="39">
        <f>'Degree-days'!$F$12*IF($E99=$E$5,(W$5),(W$6))</f>
        <v>2.1331041704226341</v>
      </c>
      <c r="X99" s="39">
        <f>'Degree-days'!$F$12*IF($E99=$E$5,(X$5),(X$6))</f>
        <v>2.1331041704226341</v>
      </c>
      <c r="Y99" s="39">
        <f>'Degree-days'!$F$12*IF($E99=$E$5,(Y$5),(Y$6))</f>
        <v>2.1331041704226341</v>
      </c>
      <c r="Z99" s="39">
        <f>'Degree-days'!$F$12*IF($E99=$E$5,(Z$5),(Z$6))</f>
        <v>2.1331041704226341</v>
      </c>
      <c r="AA99" s="39">
        <f>'Degree-days'!$F$12*IF($E99=$E$5,(AA$5),(AA$6))</f>
        <v>2.1331041704226341</v>
      </c>
      <c r="AB99" s="39">
        <f>'Degree-days'!$F$12*IF($E99=$E$5,(AB$5),(AB$6))</f>
        <v>0</v>
      </c>
      <c r="AC99" s="39">
        <f>'Degree-days'!$F$12*IF($E99=$E$5,(AC$5),(AC$6))</f>
        <v>0</v>
      </c>
      <c r="AD99" s="39">
        <f t="shared" ref="AD99:AD127" si="4">SUM(F99:AC99)</f>
        <v>34.129666726762146</v>
      </c>
    </row>
    <row r="100" spans="4:32" x14ac:dyDescent="0.2">
      <c r="D100" s="37">
        <v>45019</v>
      </c>
      <c r="E100" s="17" t="str">
        <f t="shared" si="2"/>
        <v>weekday</v>
      </c>
      <c r="F100" s="39">
        <f>'Degree-days'!$F$12*IF($E100=$E$5,(F$5),(F$6))</f>
        <v>0</v>
      </c>
      <c r="G100" s="39">
        <f>'Degree-days'!$F$12*IF($E100=$E$5,(G$5),(G$6))</f>
        <v>0</v>
      </c>
      <c r="H100" s="39">
        <f>'Degree-days'!$F$12*IF($E100=$E$5,(H$5),(H$6))</f>
        <v>0</v>
      </c>
      <c r="I100" s="39">
        <f>'Degree-days'!$F$12*IF($E100=$E$5,(I$5),(I$6))</f>
        <v>0</v>
      </c>
      <c r="J100" s="39">
        <f>'Degree-days'!$F$12*IF($E100=$E$5,(J$5),(J$6))</f>
        <v>0</v>
      </c>
      <c r="K100" s="39">
        <f>'Degree-days'!$F$12*IF($E100=$E$5,(K$5),(K$6))</f>
        <v>0</v>
      </c>
      <c r="L100" s="39">
        <f>'Degree-days'!$F$12*IF($E100=$E$5,(L$5),(L$6))</f>
        <v>2.1331041704226341</v>
      </c>
      <c r="M100" s="39">
        <f>'Degree-days'!$F$12*IF($E100=$E$5,(M$5),(M$6))</f>
        <v>2.1331041704226341</v>
      </c>
      <c r="N100" s="39">
        <f>'Degree-days'!$F$12*IF($E100=$E$5,(N$5),(N$6))</f>
        <v>0</v>
      </c>
      <c r="O100" s="39">
        <f>'Degree-days'!$F$12*IF($E100=$E$5,(O$5),(O$6))</f>
        <v>0</v>
      </c>
      <c r="P100" s="39">
        <f>'Degree-days'!$F$12*IF($E100=$E$5,(P$5),(P$6))</f>
        <v>0</v>
      </c>
      <c r="Q100" s="39">
        <f>'Degree-days'!$F$12*IF($E100=$E$5,(Q$5),(Q$6))</f>
        <v>0</v>
      </c>
      <c r="R100" s="39">
        <f>'Degree-days'!$F$12*IF($E100=$E$5,(R$5),(R$6))</f>
        <v>0</v>
      </c>
      <c r="S100" s="39">
        <f>'Degree-days'!$F$12*IF($E100=$E$5,(S$5),(S$6))</f>
        <v>0</v>
      </c>
      <c r="T100" s="39">
        <f>'Degree-days'!$F$12*IF($E100=$E$5,(T$5),(T$6))</f>
        <v>0</v>
      </c>
      <c r="U100" s="39">
        <f>'Degree-days'!$F$12*IF($E100=$E$5,(U$5),(U$6))</f>
        <v>2.1331041704226341</v>
      </c>
      <c r="V100" s="39">
        <f>'Degree-days'!$F$12*IF($E100=$E$5,(V$5),(V$6))</f>
        <v>2.1331041704226341</v>
      </c>
      <c r="W100" s="39">
        <f>'Degree-days'!$F$12*IF($E100=$E$5,(W$5),(W$6))</f>
        <v>2.1331041704226341</v>
      </c>
      <c r="X100" s="39">
        <f>'Degree-days'!$F$12*IF($E100=$E$5,(X$5),(X$6))</f>
        <v>2.1331041704226341</v>
      </c>
      <c r="Y100" s="39">
        <f>'Degree-days'!$F$12*IF($E100=$E$5,(Y$5),(Y$6))</f>
        <v>2.1331041704226341</v>
      </c>
      <c r="Z100" s="39">
        <f>'Degree-days'!$F$12*IF($E100=$E$5,(Z$5),(Z$6))</f>
        <v>2.1331041704226341</v>
      </c>
      <c r="AA100" s="39">
        <f>'Degree-days'!$F$12*IF($E100=$E$5,(AA$5),(AA$6))</f>
        <v>2.1331041704226341</v>
      </c>
      <c r="AB100" s="39">
        <f>'Degree-days'!$F$12*IF($E100=$E$5,(AB$5),(AB$6))</f>
        <v>0</v>
      </c>
      <c r="AC100" s="39">
        <f>'Degree-days'!$F$12*IF($E100=$E$5,(AC$5),(AC$6))</f>
        <v>0</v>
      </c>
      <c r="AD100" s="39">
        <f t="shared" si="4"/>
        <v>19.197937533803707</v>
      </c>
    </row>
    <row r="101" spans="4:32" x14ac:dyDescent="0.2">
      <c r="D101" s="37">
        <v>45020</v>
      </c>
      <c r="E101" s="17" t="str">
        <f t="shared" si="2"/>
        <v>weekday</v>
      </c>
      <c r="F101" s="39">
        <f>'Degree-days'!$F$12*IF($E101=$E$5,(F$5),(F$6))</f>
        <v>0</v>
      </c>
      <c r="G101" s="39">
        <f>'Degree-days'!$F$12*IF($E101=$E$5,(G$5),(G$6))</f>
        <v>0</v>
      </c>
      <c r="H101" s="39">
        <f>'Degree-days'!$F$12*IF($E101=$E$5,(H$5),(H$6))</f>
        <v>0</v>
      </c>
      <c r="I101" s="39">
        <f>'Degree-days'!$F$12*IF($E101=$E$5,(I$5),(I$6))</f>
        <v>0</v>
      </c>
      <c r="J101" s="39">
        <f>'Degree-days'!$F$12*IF($E101=$E$5,(J$5),(J$6))</f>
        <v>0</v>
      </c>
      <c r="K101" s="39">
        <f>'Degree-days'!$F$12*IF($E101=$E$5,(K$5),(K$6))</f>
        <v>0</v>
      </c>
      <c r="L101" s="39">
        <f>'Degree-days'!$F$12*IF($E101=$E$5,(L$5),(L$6))</f>
        <v>2.1331041704226341</v>
      </c>
      <c r="M101" s="39">
        <f>'Degree-days'!$F$12*IF($E101=$E$5,(M$5),(M$6))</f>
        <v>2.1331041704226341</v>
      </c>
      <c r="N101" s="39">
        <f>'Degree-days'!$F$12*IF($E101=$E$5,(N$5),(N$6))</f>
        <v>0</v>
      </c>
      <c r="O101" s="39">
        <f>'Degree-days'!$F$12*IF($E101=$E$5,(O$5),(O$6))</f>
        <v>0</v>
      </c>
      <c r="P101" s="39">
        <f>'Degree-days'!$F$12*IF($E101=$E$5,(P$5),(P$6))</f>
        <v>0</v>
      </c>
      <c r="Q101" s="39">
        <f>'Degree-days'!$F$12*IF($E101=$E$5,(Q$5),(Q$6))</f>
        <v>0</v>
      </c>
      <c r="R101" s="39">
        <f>'Degree-days'!$F$12*IF($E101=$E$5,(R$5),(R$6))</f>
        <v>0</v>
      </c>
      <c r="S101" s="39">
        <f>'Degree-days'!$F$12*IF($E101=$E$5,(S$5),(S$6))</f>
        <v>0</v>
      </c>
      <c r="T101" s="39">
        <f>'Degree-days'!$F$12*IF($E101=$E$5,(T$5),(T$6))</f>
        <v>0</v>
      </c>
      <c r="U101" s="39">
        <f>'Degree-days'!$F$12*IF($E101=$E$5,(U$5),(U$6))</f>
        <v>2.1331041704226341</v>
      </c>
      <c r="V101" s="39">
        <f>'Degree-days'!$F$12*IF($E101=$E$5,(V$5),(V$6))</f>
        <v>2.1331041704226341</v>
      </c>
      <c r="W101" s="39">
        <f>'Degree-days'!$F$12*IF($E101=$E$5,(W$5),(W$6))</f>
        <v>2.1331041704226341</v>
      </c>
      <c r="X101" s="39">
        <f>'Degree-days'!$F$12*IF($E101=$E$5,(X$5),(X$6))</f>
        <v>2.1331041704226341</v>
      </c>
      <c r="Y101" s="39">
        <f>'Degree-days'!$F$12*IF($E101=$E$5,(Y$5),(Y$6))</f>
        <v>2.1331041704226341</v>
      </c>
      <c r="Z101" s="39">
        <f>'Degree-days'!$F$12*IF($E101=$E$5,(Z$5),(Z$6))</f>
        <v>2.1331041704226341</v>
      </c>
      <c r="AA101" s="39">
        <f>'Degree-days'!$F$12*IF($E101=$E$5,(AA$5),(AA$6))</f>
        <v>2.1331041704226341</v>
      </c>
      <c r="AB101" s="39">
        <f>'Degree-days'!$F$12*IF($E101=$E$5,(AB$5),(AB$6))</f>
        <v>0</v>
      </c>
      <c r="AC101" s="39">
        <f>'Degree-days'!$F$12*IF($E101=$E$5,(AC$5),(AC$6))</f>
        <v>0</v>
      </c>
      <c r="AD101" s="39">
        <f t="shared" si="4"/>
        <v>19.197937533803707</v>
      </c>
    </row>
    <row r="102" spans="4:32" x14ac:dyDescent="0.2">
      <c r="D102" s="37">
        <v>45021</v>
      </c>
      <c r="E102" s="17" t="str">
        <f t="shared" si="2"/>
        <v>weekday</v>
      </c>
      <c r="F102" s="39">
        <f>'Degree-days'!$F$12*IF($E102=$E$5,(F$5),(F$6))</f>
        <v>0</v>
      </c>
      <c r="G102" s="39">
        <f>'Degree-days'!$F$12*IF($E102=$E$5,(G$5),(G$6))</f>
        <v>0</v>
      </c>
      <c r="H102" s="39">
        <f>'Degree-days'!$F$12*IF($E102=$E$5,(H$5),(H$6))</f>
        <v>0</v>
      </c>
      <c r="I102" s="39">
        <f>'Degree-days'!$F$12*IF($E102=$E$5,(I$5),(I$6))</f>
        <v>0</v>
      </c>
      <c r="J102" s="39">
        <f>'Degree-days'!$F$12*IF($E102=$E$5,(J$5),(J$6))</f>
        <v>0</v>
      </c>
      <c r="K102" s="39">
        <f>'Degree-days'!$F$12*IF($E102=$E$5,(K$5),(K$6))</f>
        <v>0</v>
      </c>
      <c r="L102" s="39">
        <f>'Degree-days'!$F$12*IF($E102=$E$5,(L$5),(L$6))</f>
        <v>2.1331041704226341</v>
      </c>
      <c r="M102" s="39">
        <f>'Degree-days'!$F$12*IF($E102=$E$5,(M$5),(M$6))</f>
        <v>2.1331041704226341</v>
      </c>
      <c r="N102" s="39">
        <f>'Degree-days'!$F$12*IF($E102=$E$5,(N$5),(N$6))</f>
        <v>0</v>
      </c>
      <c r="O102" s="39">
        <f>'Degree-days'!$F$12*IF($E102=$E$5,(O$5),(O$6))</f>
        <v>0</v>
      </c>
      <c r="P102" s="39">
        <f>'Degree-days'!$F$12*IF($E102=$E$5,(P$5),(P$6))</f>
        <v>0</v>
      </c>
      <c r="Q102" s="39">
        <f>'Degree-days'!$F$12*IF($E102=$E$5,(Q$5),(Q$6))</f>
        <v>0</v>
      </c>
      <c r="R102" s="39">
        <f>'Degree-days'!$F$12*IF($E102=$E$5,(R$5),(R$6))</f>
        <v>0</v>
      </c>
      <c r="S102" s="39">
        <f>'Degree-days'!$F$12*IF($E102=$E$5,(S$5),(S$6))</f>
        <v>0</v>
      </c>
      <c r="T102" s="39">
        <f>'Degree-days'!$F$12*IF($E102=$E$5,(T$5),(T$6))</f>
        <v>0</v>
      </c>
      <c r="U102" s="39">
        <f>'Degree-days'!$F$12*IF($E102=$E$5,(U$5),(U$6))</f>
        <v>2.1331041704226341</v>
      </c>
      <c r="V102" s="39">
        <f>'Degree-days'!$F$12*IF($E102=$E$5,(V$5),(V$6))</f>
        <v>2.1331041704226341</v>
      </c>
      <c r="W102" s="39">
        <f>'Degree-days'!$F$12*IF($E102=$E$5,(W$5),(W$6))</f>
        <v>2.1331041704226341</v>
      </c>
      <c r="X102" s="39">
        <f>'Degree-days'!$F$12*IF($E102=$E$5,(X$5),(X$6))</f>
        <v>2.1331041704226341</v>
      </c>
      <c r="Y102" s="39">
        <f>'Degree-days'!$F$12*IF($E102=$E$5,(Y$5),(Y$6))</f>
        <v>2.1331041704226341</v>
      </c>
      <c r="Z102" s="39">
        <f>'Degree-days'!$F$12*IF($E102=$E$5,(Z$5),(Z$6))</f>
        <v>2.1331041704226341</v>
      </c>
      <c r="AA102" s="39">
        <f>'Degree-days'!$F$12*IF($E102=$E$5,(AA$5),(AA$6))</f>
        <v>2.1331041704226341</v>
      </c>
      <c r="AB102" s="39">
        <f>'Degree-days'!$F$12*IF($E102=$E$5,(AB$5),(AB$6))</f>
        <v>0</v>
      </c>
      <c r="AC102" s="39">
        <f>'Degree-days'!$F$12*IF($E102=$E$5,(AC$5),(AC$6))</f>
        <v>0</v>
      </c>
      <c r="AD102" s="39">
        <f t="shared" si="4"/>
        <v>19.197937533803707</v>
      </c>
    </row>
    <row r="103" spans="4:32" x14ac:dyDescent="0.2">
      <c r="D103" s="37">
        <v>45022</v>
      </c>
      <c r="E103" s="17" t="str">
        <f t="shared" si="2"/>
        <v>weekday</v>
      </c>
      <c r="F103" s="39">
        <f>'Degree-days'!$F$12*IF($E103=$E$5,(F$5),(F$6))</f>
        <v>0</v>
      </c>
      <c r="G103" s="39">
        <f>'Degree-days'!$F$12*IF($E103=$E$5,(G$5),(G$6))</f>
        <v>0</v>
      </c>
      <c r="H103" s="39">
        <f>'Degree-days'!$F$12*IF($E103=$E$5,(H$5),(H$6))</f>
        <v>0</v>
      </c>
      <c r="I103" s="39">
        <f>'Degree-days'!$F$12*IF($E103=$E$5,(I$5),(I$6))</f>
        <v>0</v>
      </c>
      <c r="J103" s="39">
        <f>'Degree-days'!$F$12*IF($E103=$E$5,(J$5),(J$6))</f>
        <v>0</v>
      </c>
      <c r="K103" s="39">
        <f>'Degree-days'!$F$12*IF($E103=$E$5,(K$5),(K$6))</f>
        <v>0</v>
      </c>
      <c r="L103" s="39">
        <f>'Degree-days'!$F$12*IF($E103=$E$5,(L$5),(L$6))</f>
        <v>2.1331041704226341</v>
      </c>
      <c r="M103" s="39">
        <f>'Degree-days'!$F$12*IF($E103=$E$5,(M$5),(M$6))</f>
        <v>2.1331041704226341</v>
      </c>
      <c r="N103" s="39">
        <f>'Degree-days'!$F$12*IF($E103=$E$5,(N$5),(N$6))</f>
        <v>0</v>
      </c>
      <c r="O103" s="39">
        <f>'Degree-days'!$F$12*IF($E103=$E$5,(O$5),(O$6))</f>
        <v>0</v>
      </c>
      <c r="P103" s="39">
        <f>'Degree-days'!$F$12*IF($E103=$E$5,(P$5),(P$6))</f>
        <v>0</v>
      </c>
      <c r="Q103" s="39">
        <f>'Degree-days'!$F$12*IF($E103=$E$5,(Q$5),(Q$6))</f>
        <v>0</v>
      </c>
      <c r="R103" s="39">
        <f>'Degree-days'!$F$12*IF($E103=$E$5,(R$5),(R$6))</f>
        <v>0</v>
      </c>
      <c r="S103" s="39">
        <f>'Degree-days'!$F$12*IF($E103=$E$5,(S$5),(S$6))</f>
        <v>0</v>
      </c>
      <c r="T103" s="39">
        <f>'Degree-days'!$F$12*IF($E103=$E$5,(T$5),(T$6))</f>
        <v>0</v>
      </c>
      <c r="U103" s="39">
        <f>'Degree-days'!$F$12*IF($E103=$E$5,(U$5),(U$6))</f>
        <v>2.1331041704226341</v>
      </c>
      <c r="V103" s="39">
        <f>'Degree-days'!$F$12*IF($E103=$E$5,(V$5),(V$6))</f>
        <v>2.1331041704226341</v>
      </c>
      <c r="W103" s="39">
        <f>'Degree-days'!$F$12*IF($E103=$E$5,(W$5),(W$6))</f>
        <v>2.1331041704226341</v>
      </c>
      <c r="X103" s="39">
        <f>'Degree-days'!$F$12*IF($E103=$E$5,(X$5),(X$6))</f>
        <v>2.1331041704226341</v>
      </c>
      <c r="Y103" s="39">
        <f>'Degree-days'!$F$12*IF($E103=$E$5,(Y$5),(Y$6))</f>
        <v>2.1331041704226341</v>
      </c>
      <c r="Z103" s="39">
        <f>'Degree-days'!$F$12*IF($E103=$E$5,(Z$5),(Z$6))</f>
        <v>2.1331041704226341</v>
      </c>
      <c r="AA103" s="39">
        <f>'Degree-days'!$F$12*IF($E103=$E$5,(AA$5),(AA$6))</f>
        <v>2.1331041704226341</v>
      </c>
      <c r="AB103" s="39">
        <f>'Degree-days'!$F$12*IF($E103=$E$5,(AB$5),(AB$6))</f>
        <v>0</v>
      </c>
      <c r="AC103" s="39">
        <f>'Degree-days'!$F$12*IF($E103=$E$5,(AC$5),(AC$6))</f>
        <v>0</v>
      </c>
      <c r="AD103" s="39">
        <f t="shared" si="4"/>
        <v>19.197937533803707</v>
      </c>
    </row>
    <row r="104" spans="4:32" x14ac:dyDescent="0.2">
      <c r="D104" s="37">
        <v>45023</v>
      </c>
      <c r="E104" s="17" t="str">
        <f t="shared" si="2"/>
        <v>weekday</v>
      </c>
      <c r="F104" s="39">
        <f>'Degree-days'!$F$12*IF($E104=$E$5,(F$5),(F$6))</f>
        <v>0</v>
      </c>
      <c r="G104" s="39">
        <f>'Degree-days'!$F$12*IF($E104=$E$5,(G$5),(G$6))</f>
        <v>0</v>
      </c>
      <c r="H104" s="39">
        <f>'Degree-days'!$F$12*IF($E104=$E$5,(H$5),(H$6))</f>
        <v>0</v>
      </c>
      <c r="I104" s="39">
        <f>'Degree-days'!$F$12*IF($E104=$E$5,(I$5),(I$6))</f>
        <v>0</v>
      </c>
      <c r="J104" s="39">
        <f>'Degree-days'!$F$12*IF($E104=$E$5,(J$5),(J$6))</f>
        <v>0</v>
      </c>
      <c r="K104" s="39">
        <f>'Degree-days'!$F$12*IF($E104=$E$5,(K$5),(K$6))</f>
        <v>0</v>
      </c>
      <c r="L104" s="39">
        <f>'Degree-days'!$F$12*IF($E104=$E$5,(L$5),(L$6))</f>
        <v>2.1331041704226341</v>
      </c>
      <c r="M104" s="39">
        <f>'Degree-days'!$F$12*IF($E104=$E$5,(M$5),(M$6))</f>
        <v>2.1331041704226341</v>
      </c>
      <c r="N104" s="39">
        <f>'Degree-days'!$F$12*IF($E104=$E$5,(N$5),(N$6))</f>
        <v>0</v>
      </c>
      <c r="O104" s="39">
        <f>'Degree-days'!$F$12*IF($E104=$E$5,(O$5),(O$6))</f>
        <v>0</v>
      </c>
      <c r="P104" s="39">
        <f>'Degree-days'!$F$12*IF($E104=$E$5,(P$5),(P$6))</f>
        <v>0</v>
      </c>
      <c r="Q104" s="39">
        <f>'Degree-days'!$F$12*IF($E104=$E$5,(Q$5),(Q$6))</f>
        <v>0</v>
      </c>
      <c r="R104" s="39">
        <f>'Degree-days'!$F$12*IF($E104=$E$5,(R$5),(R$6))</f>
        <v>0</v>
      </c>
      <c r="S104" s="39">
        <f>'Degree-days'!$F$12*IF($E104=$E$5,(S$5),(S$6))</f>
        <v>0</v>
      </c>
      <c r="T104" s="39">
        <f>'Degree-days'!$F$12*IF($E104=$E$5,(T$5),(T$6))</f>
        <v>0</v>
      </c>
      <c r="U104" s="39">
        <f>'Degree-days'!$F$12*IF($E104=$E$5,(U$5),(U$6))</f>
        <v>2.1331041704226341</v>
      </c>
      <c r="V104" s="39">
        <f>'Degree-days'!$F$12*IF($E104=$E$5,(V$5),(V$6))</f>
        <v>2.1331041704226341</v>
      </c>
      <c r="W104" s="39">
        <f>'Degree-days'!$F$12*IF($E104=$E$5,(W$5),(W$6))</f>
        <v>2.1331041704226341</v>
      </c>
      <c r="X104" s="39">
        <f>'Degree-days'!$F$12*IF($E104=$E$5,(X$5),(X$6))</f>
        <v>2.1331041704226341</v>
      </c>
      <c r="Y104" s="39">
        <f>'Degree-days'!$F$12*IF($E104=$E$5,(Y$5),(Y$6))</f>
        <v>2.1331041704226341</v>
      </c>
      <c r="Z104" s="39">
        <f>'Degree-days'!$F$12*IF($E104=$E$5,(Z$5),(Z$6))</f>
        <v>2.1331041704226341</v>
      </c>
      <c r="AA104" s="39">
        <f>'Degree-days'!$F$12*IF($E104=$E$5,(AA$5),(AA$6))</f>
        <v>2.1331041704226341</v>
      </c>
      <c r="AB104" s="39">
        <f>'Degree-days'!$F$12*IF($E104=$E$5,(AB$5),(AB$6))</f>
        <v>0</v>
      </c>
      <c r="AC104" s="39">
        <f>'Degree-days'!$F$12*IF($E104=$E$5,(AC$5),(AC$6))</f>
        <v>0</v>
      </c>
      <c r="AD104" s="39">
        <f t="shared" si="4"/>
        <v>19.197937533803707</v>
      </c>
    </row>
    <row r="105" spans="4:32" x14ac:dyDescent="0.2">
      <c r="D105" s="37">
        <v>45024</v>
      </c>
      <c r="E105" s="17" t="str">
        <f t="shared" si="2"/>
        <v>weekend</v>
      </c>
      <c r="F105" s="39">
        <f>'Degree-days'!$F$12*IF($E105=$E$5,(F$5),(F$6))</f>
        <v>0</v>
      </c>
      <c r="G105" s="39">
        <f>'Degree-days'!$F$12*IF($E105=$E$5,(G$5),(G$6))</f>
        <v>0</v>
      </c>
      <c r="H105" s="39">
        <f>'Degree-days'!$F$12*IF($E105=$E$5,(H$5),(H$6))</f>
        <v>0</v>
      </c>
      <c r="I105" s="39">
        <f>'Degree-days'!$F$12*IF($E105=$E$5,(I$5),(I$6))</f>
        <v>0</v>
      </c>
      <c r="J105" s="39">
        <f>'Degree-days'!$F$12*IF($E105=$E$5,(J$5),(J$6))</f>
        <v>0</v>
      </c>
      <c r="K105" s="39">
        <f>'Degree-days'!$F$12*IF($E105=$E$5,(K$5),(K$6))</f>
        <v>0</v>
      </c>
      <c r="L105" s="39">
        <f>'Degree-days'!$F$12*IF($E105=$E$5,(L$5),(L$6))</f>
        <v>2.1331041704226341</v>
      </c>
      <c r="M105" s="39">
        <f>'Degree-days'!$F$12*IF($E105=$E$5,(M$5),(M$6))</f>
        <v>2.1331041704226341</v>
      </c>
      <c r="N105" s="39">
        <f>'Degree-days'!$F$12*IF($E105=$E$5,(N$5),(N$6))</f>
        <v>2.1331041704226341</v>
      </c>
      <c r="O105" s="39">
        <f>'Degree-days'!$F$12*IF($E105=$E$5,(O$5),(O$6))</f>
        <v>2.1331041704226341</v>
      </c>
      <c r="P105" s="39">
        <f>'Degree-days'!$F$12*IF($E105=$E$5,(P$5),(P$6))</f>
        <v>2.1331041704226341</v>
      </c>
      <c r="Q105" s="39">
        <f>'Degree-days'!$F$12*IF($E105=$E$5,(Q$5),(Q$6))</f>
        <v>2.1331041704226341</v>
      </c>
      <c r="R105" s="39">
        <f>'Degree-days'!$F$12*IF($E105=$E$5,(R$5),(R$6))</f>
        <v>2.1331041704226341</v>
      </c>
      <c r="S105" s="39">
        <f>'Degree-days'!$F$12*IF($E105=$E$5,(S$5),(S$6))</f>
        <v>2.1331041704226341</v>
      </c>
      <c r="T105" s="39">
        <f>'Degree-days'!$F$12*IF($E105=$E$5,(T$5),(T$6))</f>
        <v>2.1331041704226341</v>
      </c>
      <c r="U105" s="39">
        <f>'Degree-days'!$F$12*IF($E105=$E$5,(U$5),(U$6))</f>
        <v>2.1331041704226341</v>
      </c>
      <c r="V105" s="39">
        <f>'Degree-days'!$F$12*IF($E105=$E$5,(V$5),(V$6))</f>
        <v>2.1331041704226341</v>
      </c>
      <c r="W105" s="39">
        <f>'Degree-days'!$F$12*IF($E105=$E$5,(W$5),(W$6))</f>
        <v>2.1331041704226341</v>
      </c>
      <c r="X105" s="39">
        <f>'Degree-days'!$F$12*IF($E105=$E$5,(X$5),(X$6))</f>
        <v>2.1331041704226341</v>
      </c>
      <c r="Y105" s="39">
        <f>'Degree-days'!$F$12*IF($E105=$E$5,(Y$5),(Y$6))</f>
        <v>2.1331041704226341</v>
      </c>
      <c r="Z105" s="39">
        <f>'Degree-days'!$F$12*IF($E105=$E$5,(Z$5),(Z$6))</f>
        <v>2.1331041704226341</v>
      </c>
      <c r="AA105" s="39">
        <f>'Degree-days'!$F$12*IF($E105=$E$5,(AA$5),(AA$6))</f>
        <v>2.1331041704226341</v>
      </c>
      <c r="AB105" s="39">
        <f>'Degree-days'!$F$12*IF($E105=$E$5,(AB$5),(AB$6))</f>
        <v>0</v>
      </c>
      <c r="AC105" s="39">
        <f>'Degree-days'!$F$12*IF($E105=$E$5,(AC$5),(AC$6))</f>
        <v>0</v>
      </c>
      <c r="AD105" s="39">
        <f t="shared" si="4"/>
        <v>34.129666726762146</v>
      </c>
    </row>
    <row r="106" spans="4:32" x14ac:dyDescent="0.2">
      <c r="D106" s="37">
        <v>45025</v>
      </c>
      <c r="E106" s="17" t="str">
        <f t="shared" si="2"/>
        <v>weekend</v>
      </c>
      <c r="F106" s="39">
        <f>'Degree-days'!$F$12*IF($E106=$E$5,(F$5),(F$6))</f>
        <v>0</v>
      </c>
      <c r="G106" s="39">
        <f>'Degree-days'!$F$12*IF($E106=$E$5,(G$5),(G$6))</f>
        <v>0</v>
      </c>
      <c r="H106" s="39">
        <f>'Degree-days'!$F$12*IF($E106=$E$5,(H$5),(H$6))</f>
        <v>0</v>
      </c>
      <c r="I106" s="39">
        <f>'Degree-days'!$F$12*IF($E106=$E$5,(I$5),(I$6))</f>
        <v>0</v>
      </c>
      <c r="J106" s="39">
        <f>'Degree-days'!$F$12*IF($E106=$E$5,(J$5),(J$6))</f>
        <v>0</v>
      </c>
      <c r="K106" s="39">
        <f>'Degree-days'!$F$12*IF($E106=$E$5,(K$5),(K$6))</f>
        <v>0</v>
      </c>
      <c r="L106" s="39">
        <f>'Degree-days'!$F$12*IF($E106=$E$5,(L$5),(L$6))</f>
        <v>2.1331041704226341</v>
      </c>
      <c r="M106" s="39">
        <f>'Degree-days'!$F$12*IF($E106=$E$5,(M$5),(M$6))</f>
        <v>2.1331041704226341</v>
      </c>
      <c r="N106" s="39">
        <f>'Degree-days'!$F$12*IF($E106=$E$5,(N$5),(N$6))</f>
        <v>2.1331041704226341</v>
      </c>
      <c r="O106" s="39">
        <f>'Degree-days'!$F$12*IF($E106=$E$5,(O$5),(O$6))</f>
        <v>2.1331041704226341</v>
      </c>
      <c r="P106" s="39">
        <f>'Degree-days'!$F$12*IF($E106=$E$5,(P$5),(P$6))</f>
        <v>2.1331041704226341</v>
      </c>
      <c r="Q106" s="39">
        <f>'Degree-days'!$F$12*IF($E106=$E$5,(Q$5),(Q$6))</f>
        <v>2.1331041704226341</v>
      </c>
      <c r="R106" s="39">
        <f>'Degree-days'!$F$12*IF($E106=$E$5,(R$5),(R$6))</f>
        <v>2.1331041704226341</v>
      </c>
      <c r="S106" s="39">
        <f>'Degree-days'!$F$12*IF($E106=$E$5,(S$5),(S$6))</f>
        <v>2.1331041704226341</v>
      </c>
      <c r="T106" s="39">
        <f>'Degree-days'!$F$12*IF($E106=$E$5,(T$5),(T$6))</f>
        <v>2.1331041704226341</v>
      </c>
      <c r="U106" s="39">
        <f>'Degree-days'!$F$12*IF($E106=$E$5,(U$5),(U$6))</f>
        <v>2.1331041704226341</v>
      </c>
      <c r="V106" s="39">
        <f>'Degree-days'!$F$12*IF($E106=$E$5,(V$5),(V$6))</f>
        <v>2.1331041704226341</v>
      </c>
      <c r="W106" s="39">
        <f>'Degree-days'!$F$12*IF($E106=$E$5,(W$5),(W$6))</f>
        <v>2.1331041704226341</v>
      </c>
      <c r="X106" s="39">
        <f>'Degree-days'!$F$12*IF($E106=$E$5,(X$5),(X$6))</f>
        <v>2.1331041704226341</v>
      </c>
      <c r="Y106" s="39">
        <f>'Degree-days'!$F$12*IF($E106=$E$5,(Y$5),(Y$6))</f>
        <v>2.1331041704226341</v>
      </c>
      <c r="Z106" s="39">
        <f>'Degree-days'!$F$12*IF($E106=$E$5,(Z$5),(Z$6))</f>
        <v>2.1331041704226341</v>
      </c>
      <c r="AA106" s="39">
        <f>'Degree-days'!$F$12*IF($E106=$E$5,(AA$5),(AA$6))</f>
        <v>2.1331041704226341</v>
      </c>
      <c r="AB106" s="39">
        <f>'Degree-days'!$F$12*IF($E106=$E$5,(AB$5),(AB$6))</f>
        <v>0</v>
      </c>
      <c r="AC106" s="39">
        <f>'Degree-days'!$F$12*IF($E106=$E$5,(AC$5),(AC$6))</f>
        <v>0</v>
      </c>
      <c r="AD106" s="39">
        <f t="shared" si="4"/>
        <v>34.129666726762146</v>
      </c>
    </row>
    <row r="107" spans="4:32" x14ac:dyDescent="0.2">
      <c r="D107" s="37">
        <v>45026</v>
      </c>
      <c r="E107" s="17" t="str">
        <f t="shared" si="2"/>
        <v>weekday</v>
      </c>
      <c r="F107" s="39">
        <f>'Degree-days'!$F$12*IF($E107=$E$5,(F$5),(F$6))</f>
        <v>0</v>
      </c>
      <c r="G107" s="39">
        <f>'Degree-days'!$F$12*IF($E107=$E$5,(G$5),(G$6))</f>
        <v>0</v>
      </c>
      <c r="H107" s="39">
        <f>'Degree-days'!$F$12*IF($E107=$E$5,(H$5),(H$6))</f>
        <v>0</v>
      </c>
      <c r="I107" s="39">
        <f>'Degree-days'!$F$12*IF($E107=$E$5,(I$5),(I$6))</f>
        <v>0</v>
      </c>
      <c r="J107" s="39">
        <f>'Degree-days'!$F$12*IF($E107=$E$5,(J$5),(J$6))</f>
        <v>0</v>
      </c>
      <c r="K107" s="39">
        <f>'Degree-days'!$F$12*IF($E107=$E$5,(K$5),(K$6))</f>
        <v>0</v>
      </c>
      <c r="L107" s="39">
        <f>'Degree-days'!$F$12*IF($E107=$E$5,(L$5),(L$6))</f>
        <v>2.1331041704226341</v>
      </c>
      <c r="M107" s="39">
        <f>'Degree-days'!$F$12*IF($E107=$E$5,(M$5),(M$6))</f>
        <v>2.1331041704226341</v>
      </c>
      <c r="N107" s="39">
        <f>'Degree-days'!$F$12*IF($E107=$E$5,(N$5),(N$6))</f>
        <v>0</v>
      </c>
      <c r="O107" s="39">
        <f>'Degree-days'!$F$12*IF($E107=$E$5,(O$5),(O$6))</f>
        <v>0</v>
      </c>
      <c r="P107" s="39">
        <f>'Degree-days'!$F$12*IF($E107=$E$5,(P$5),(P$6))</f>
        <v>0</v>
      </c>
      <c r="Q107" s="39">
        <f>'Degree-days'!$F$12*IF($E107=$E$5,(Q$5),(Q$6))</f>
        <v>0</v>
      </c>
      <c r="R107" s="39">
        <f>'Degree-days'!$F$12*IF($E107=$E$5,(R$5),(R$6))</f>
        <v>0</v>
      </c>
      <c r="S107" s="39">
        <f>'Degree-days'!$F$12*IF($E107=$E$5,(S$5),(S$6))</f>
        <v>0</v>
      </c>
      <c r="T107" s="39">
        <f>'Degree-days'!$F$12*IF($E107=$E$5,(T$5),(T$6))</f>
        <v>0</v>
      </c>
      <c r="U107" s="39">
        <f>'Degree-days'!$F$12*IF($E107=$E$5,(U$5),(U$6))</f>
        <v>2.1331041704226341</v>
      </c>
      <c r="V107" s="39">
        <f>'Degree-days'!$F$12*IF($E107=$E$5,(V$5),(V$6))</f>
        <v>2.1331041704226341</v>
      </c>
      <c r="W107" s="39">
        <f>'Degree-days'!$F$12*IF($E107=$E$5,(W$5),(W$6))</f>
        <v>2.1331041704226341</v>
      </c>
      <c r="X107" s="39">
        <f>'Degree-days'!$F$12*IF($E107=$E$5,(X$5),(X$6))</f>
        <v>2.1331041704226341</v>
      </c>
      <c r="Y107" s="39">
        <f>'Degree-days'!$F$12*IF($E107=$E$5,(Y$5),(Y$6))</f>
        <v>2.1331041704226341</v>
      </c>
      <c r="Z107" s="39">
        <f>'Degree-days'!$F$12*IF($E107=$E$5,(Z$5),(Z$6))</f>
        <v>2.1331041704226341</v>
      </c>
      <c r="AA107" s="39">
        <f>'Degree-days'!$F$12*IF($E107=$E$5,(AA$5),(AA$6))</f>
        <v>2.1331041704226341</v>
      </c>
      <c r="AB107" s="39">
        <f>'Degree-days'!$F$12*IF($E107=$E$5,(AB$5),(AB$6))</f>
        <v>0</v>
      </c>
      <c r="AC107" s="39">
        <f>'Degree-days'!$F$12*IF($E107=$E$5,(AC$5),(AC$6))</f>
        <v>0</v>
      </c>
      <c r="AD107" s="39">
        <f t="shared" si="4"/>
        <v>19.197937533803707</v>
      </c>
    </row>
    <row r="108" spans="4:32" x14ac:dyDescent="0.2">
      <c r="D108" s="37">
        <v>45027</v>
      </c>
      <c r="E108" s="17" t="str">
        <f t="shared" si="2"/>
        <v>weekday</v>
      </c>
      <c r="F108" s="39">
        <f>'Degree-days'!$F$12*IF($E108=$E$5,(F$5),(F$6))</f>
        <v>0</v>
      </c>
      <c r="G108" s="39">
        <f>'Degree-days'!$F$12*IF($E108=$E$5,(G$5),(G$6))</f>
        <v>0</v>
      </c>
      <c r="H108" s="39">
        <f>'Degree-days'!$F$12*IF($E108=$E$5,(H$5),(H$6))</f>
        <v>0</v>
      </c>
      <c r="I108" s="39">
        <f>'Degree-days'!$F$12*IF($E108=$E$5,(I$5),(I$6))</f>
        <v>0</v>
      </c>
      <c r="J108" s="39">
        <f>'Degree-days'!$F$12*IF($E108=$E$5,(J$5),(J$6))</f>
        <v>0</v>
      </c>
      <c r="K108" s="39">
        <f>'Degree-days'!$F$12*IF($E108=$E$5,(K$5),(K$6))</f>
        <v>0</v>
      </c>
      <c r="L108" s="39">
        <f>'Degree-days'!$F$12*IF($E108=$E$5,(L$5),(L$6))</f>
        <v>2.1331041704226341</v>
      </c>
      <c r="M108" s="39">
        <f>'Degree-days'!$F$12*IF($E108=$E$5,(M$5),(M$6))</f>
        <v>2.1331041704226341</v>
      </c>
      <c r="N108" s="39">
        <f>'Degree-days'!$F$12*IF($E108=$E$5,(N$5),(N$6))</f>
        <v>0</v>
      </c>
      <c r="O108" s="39">
        <f>'Degree-days'!$F$12*IF($E108=$E$5,(O$5),(O$6))</f>
        <v>0</v>
      </c>
      <c r="P108" s="39">
        <f>'Degree-days'!$F$12*IF($E108=$E$5,(P$5),(P$6))</f>
        <v>0</v>
      </c>
      <c r="Q108" s="39">
        <f>'Degree-days'!$F$12*IF($E108=$E$5,(Q$5),(Q$6))</f>
        <v>0</v>
      </c>
      <c r="R108" s="39">
        <f>'Degree-days'!$F$12*IF($E108=$E$5,(R$5),(R$6))</f>
        <v>0</v>
      </c>
      <c r="S108" s="39">
        <f>'Degree-days'!$F$12*IF($E108=$E$5,(S$5),(S$6))</f>
        <v>0</v>
      </c>
      <c r="T108" s="39">
        <f>'Degree-days'!$F$12*IF($E108=$E$5,(T$5),(T$6))</f>
        <v>0</v>
      </c>
      <c r="U108" s="39">
        <f>'Degree-days'!$F$12*IF($E108=$E$5,(U$5),(U$6))</f>
        <v>2.1331041704226341</v>
      </c>
      <c r="V108" s="39">
        <f>'Degree-days'!$F$12*IF($E108=$E$5,(V$5),(V$6))</f>
        <v>2.1331041704226341</v>
      </c>
      <c r="W108" s="39">
        <f>'Degree-days'!$F$12*IF($E108=$E$5,(W$5),(W$6))</f>
        <v>2.1331041704226341</v>
      </c>
      <c r="X108" s="39">
        <f>'Degree-days'!$F$12*IF($E108=$E$5,(X$5),(X$6))</f>
        <v>2.1331041704226341</v>
      </c>
      <c r="Y108" s="39">
        <f>'Degree-days'!$F$12*IF($E108=$E$5,(Y$5),(Y$6))</f>
        <v>2.1331041704226341</v>
      </c>
      <c r="Z108" s="39">
        <f>'Degree-days'!$F$12*IF($E108=$E$5,(Z$5),(Z$6))</f>
        <v>2.1331041704226341</v>
      </c>
      <c r="AA108" s="39">
        <f>'Degree-days'!$F$12*IF($E108=$E$5,(AA$5),(AA$6))</f>
        <v>2.1331041704226341</v>
      </c>
      <c r="AB108" s="39">
        <f>'Degree-days'!$F$12*IF($E108=$E$5,(AB$5),(AB$6))</f>
        <v>0</v>
      </c>
      <c r="AC108" s="39">
        <f>'Degree-days'!$F$12*IF($E108=$E$5,(AC$5),(AC$6))</f>
        <v>0</v>
      </c>
      <c r="AD108" s="39">
        <f t="shared" si="4"/>
        <v>19.197937533803707</v>
      </c>
    </row>
    <row r="109" spans="4:32" x14ac:dyDescent="0.2">
      <c r="D109" s="37">
        <v>45028</v>
      </c>
      <c r="E109" s="17" t="str">
        <f t="shared" si="2"/>
        <v>weekday</v>
      </c>
      <c r="F109" s="39">
        <f>'Degree-days'!$F$12*IF($E109=$E$5,(F$5),(F$6))</f>
        <v>0</v>
      </c>
      <c r="G109" s="39">
        <f>'Degree-days'!$F$12*IF($E109=$E$5,(G$5),(G$6))</f>
        <v>0</v>
      </c>
      <c r="H109" s="39">
        <f>'Degree-days'!$F$12*IF($E109=$E$5,(H$5),(H$6))</f>
        <v>0</v>
      </c>
      <c r="I109" s="39">
        <f>'Degree-days'!$F$12*IF($E109=$E$5,(I$5),(I$6))</f>
        <v>0</v>
      </c>
      <c r="J109" s="39">
        <f>'Degree-days'!$F$12*IF($E109=$E$5,(J$5),(J$6))</f>
        <v>0</v>
      </c>
      <c r="K109" s="39">
        <f>'Degree-days'!$F$12*IF($E109=$E$5,(K$5),(K$6))</f>
        <v>0</v>
      </c>
      <c r="L109" s="39">
        <f>'Degree-days'!$F$12*IF($E109=$E$5,(L$5),(L$6))</f>
        <v>2.1331041704226341</v>
      </c>
      <c r="M109" s="39">
        <f>'Degree-days'!$F$12*IF($E109=$E$5,(M$5),(M$6))</f>
        <v>2.1331041704226341</v>
      </c>
      <c r="N109" s="39">
        <f>'Degree-days'!$F$12*IF($E109=$E$5,(N$5),(N$6))</f>
        <v>0</v>
      </c>
      <c r="O109" s="39">
        <f>'Degree-days'!$F$12*IF($E109=$E$5,(O$5),(O$6))</f>
        <v>0</v>
      </c>
      <c r="P109" s="39">
        <f>'Degree-days'!$F$12*IF($E109=$E$5,(P$5),(P$6))</f>
        <v>0</v>
      </c>
      <c r="Q109" s="39">
        <f>'Degree-days'!$F$12*IF($E109=$E$5,(Q$5),(Q$6))</f>
        <v>0</v>
      </c>
      <c r="R109" s="39">
        <f>'Degree-days'!$F$12*IF($E109=$E$5,(R$5),(R$6))</f>
        <v>0</v>
      </c>
      <c r="S109" s="39">
        <f>'Degree-days'!$F$12*IF($E109=$E$5,(S$5),(S$6))</f>
        <v>0</v>
      </c>
      <c r="T109" s="39">
        <f>'Degree-days'!$F$12*IF($E109=$E$5,(T$5),(T$6))</f>
        <v>0</v>
      </c>
      <c r="U109" s="39">
        <f>'Degree-days'!$F$12*IF($E109=$E$5,(U$5),(U$6))</f>
        <v>2.1331041704226341</v>
      </c>
      <c r="V109" s="39">
        <f>'Degree-days'!$F$12*IF($E109=$E$5,(V$5),(V$6))</f>
        <v>2.1331041704226341</v>
      </c>
      <c r="W109" s="39">
        <f>'Degree-days'!$F$12*IF($E109=$E$5,(W$5),(W$6))</f>
        <v>2.1331041704226341</v>
      </c>
      <c r="X109" s="39">
        <f>'Degree-days'!$F$12*IF($E109=$E$5,(X$5),(X$6))</f>
        <v>2.1331041704226341</v>
      </c>
      <c r="Y109" s="39">
        <f>'Degree-days'!$F$12*IF($E109=$E$5,(Y$5),(Y$6))</f>
        <v>2.1331041704226341</v>
      </c>
      <c r="Z109" s="39">
        <f>'Degree-days'!$F$12*IF($E109=$E$5,(Z$5),(Z$6))</f>
        <v>2.1331041704226341</v>
      </c>
      <c r="AA109" s="39">
        <f>'Degree-days'!$F$12*IF($E109=$E$5,(AA$5),(AA$6))</f>
        <v>2.1331041704226341</v>
      </c>
      <c r="AB109" s="39">
        <f>'Degree-days'!$F$12*IF($E109=$E$5,(AB$5),(AB$6))</f>
        <v>0</v>
      </c>
      <c r="AC109" s="39">
        <f>'Degree-days'!$F$12*IF($E109=$E$5,(AC$5),(AC$6))</f>
        <v>0</v>
      </c>
      <c r="AD109" s="39">
        <f t="shared" si="4"/>
        <v>19.197937533803707</v>
      </c>
    </row>
    <row r="110" spans="4:32" x14ac:dyDescent="0.2">
      <c r="D110" s="37">
        <v>45029</v>
      </c>
      <c r="E110" s="17" t="str">
        <f t="shared" si="2"/>
        <v>weekday</v>
      </c>
      <c r="F110" s="39">
        <f>'Degree-days'!$F$12*IF($E110=$E$5,(F$5),(F$6))</f>
        <v>0</v>
      </c>
      <c r="G110" s="39">
        <f>'Degree-days'!$F$12*IF($E110=$E$5,(G$5),(G$6))</f>
        <v>0</v>
      </c>
      <c r="H110" s="39">
        <f>'Degree-days'!$F$12*IF($E110=$E$5,(H$5),(H$6))</f>
        <v>0</v>
      </c>
      <c r="I110" s="39">
        <f>'Degree-days'!$F$12*IF($E110=$E$5,(I$5),(I$6))</f>
        <v>0</v>
      </c>
      <c r="J110" s="39">
        <f>'Degree-days'!$F$12*IF($E110=$E$5,(J$5),(J$6))</f>
        <v>0</v>
      </c>
      <c r="K110" s="39">
        <f>'Degree-days'!$F$12*IF($E110=$E$5,(K$5),(K$6))</f>
        <v>0</v>
      </c>
      <c r="L110" s="39">
        <f>'Degree-days'!$F$12*IF($E110=$E$5,(L$5),(L$6))</f>
        <v>2.1331041704226341</v>
      </c>
      <c r="M110" s="39">
        <f>'Degree-days'!$F$12*IF($E110=$E$5,(M$5),(M$6))</f>
        <v>2.1331041704226341</v>
      </c>
      <c r="N110" s="39">
        <f>'Degree-days'!$F$12*IF($E110=$E$5,(N$5),(N$6))</f>
        <v>0</v>
      </c>
      <c r="O110" s="39">
        <f>'Degree-days'!$F$12*IF($E110=$E$5,(O$5),(O$6))</f>
        <v>0</v>
      </c>
      <c r="P110" s="39">
        <f>'Degree-days'!$F$12*IF($E110=$E$5,(P$5),(P$6))</f>
        <v>0</v>
      </c>
      <c r="Q110" s="39">
        <f>'Degree-days'!$F$12*IF($E110=$E$5,(Q$5),(Q$6))</f>
        <v>0</v>
      </c>
      <c r="R110" s="39">
        <f>'Degree-days'!$F$12*IF($E110=$E$5,(R$5),(R$6))</f>
        <v>0</v>
      </c>
      <c r="S110" s="39">
        <f>'Degree-days'!$F$12*IF($E110=$E$5,(S$5),(S$6))</f>
        <v>0</v>
      </c>
      <c r="T110" s="39">
        <f>'Degree-days'!$F$12*IF($E110=$E$5,(T$5),(T$6))</f>
        <v>0</v>
      </c>
      <c r="U110" s="39">
        <f>'Degree-days'!$F$12*IF($E110=$E$5,(U$5),(U$6))</f>
        <v>2.1331041704226341</v>
      </c>
      <c r="V110" s="39">
        <f>'Degree-days'!$F$12*IF($E110=$E$5,(V$5),(V$6))</f>
        <v>2.1331041704226341</v>
      </c>
      <c r="W110" s="39">
        <f>'Degree-days'!$F$12*IF($E110=$E$5,(W$5),(W$6))</f>
        <v>2.1331041704226341</v>
      </c>
      <c r="X110" s="39">
        <f>'Degree-days'!$F$12*IF($E110=$E$5,(X$5),(X$6))</f>
        <v>2.1331041704226341</v>
      </c>
      <c r="Y110" s="39">
        <f>'Degree-days'!$F$12*IF($E110=$E$5,(Y$5),(Y$6))</f>
        <v>2.1331041704226341</v>
      </c>
      <c r="Z110" s="39">
        <f>'Degree-days'!$F$12*IF($E110=$E$5,(Z$5),(Z$6))</f>
        <v>2.1331041704226341</v>
      </c>
      <c r="AA110" s="39">
        <f>'Degree-days'!$F$12*IF($E110=$E$5,(AA$5),(AA$6))</f>
        <v>2.1331041704226341</v>
      </c>
      <c r="AB110" s="39">
        <f>'Degree-days'!$F$12*IF($E110=$E$5,(AB$5),(AB$6))</f>
        <v>0</v>
      </c>
      <c r="AC110" s="39">
        <f>'Degree-days'!$F$12*IF($E110=$E$5,(AC$5),(AC$6))</f>
        <v>0</v>
      </c>
      <c r="AD110" s="39">
        <f t="shared" si="4"/>
        <v>19.197937533803707</v>
      </c>
    </row>
    <row r="111" spans="4:32" x14ac:dyDescent="0.2">
      <c r="D111" s="37">
        <v>45030</v>
      </c>
      <c r="E111" s="17" t="str">
        <f t="shared" si="2"/>
        <v>weekday</v>
      </c>
      <c r="F111" s="39">
        <f>'Degree-days'!$F$12*IF($E111=$E$5,(F$5),(F$6))</f>
        <v>0</v>
      </c>
      <c r="G111" s="39">
        <f>'Degree-days'!$F$12*IF($E111=$E$5,(G$5),(G$6))</f>
        <v>0</v>
      </c>
      <c r="H111" s="39">
        <f>'Degree-days'!$F$12*IF($E111=$E$5,(H$5),(H$6))</f>
        <v>0</v>
      </c>
      <c r="I111" s="39">
        <f>'Degree-days'!$F$12*IF($E111=$E$5,(I$5),(I$6))</f>
        <v>0</v>
      </c>
      <c r="J111" s="39">
        <f>'Degree-days'!$F$12*IF($E111=$E$5,(J$5),(J$6))</f>
        <v>0</v>
      </c>
      <c r="K111" s="39">
        <f>'Degree-days'!$F$12*IF($E111=$E$5,(K$5),(K$6))</f>
        <v>0</v>
      </c>
      <c r="L111" s="39">
        <f>'Degree-days'!$F$12*IF($E111=$E$5,(L$5),(L$6))</f>
        <v>2.1331041704226341</v>
      </c>
      <c r="M111" s="39">
        <f>'Degree-days'!$F$12*IF($E111=$E$5,(M$5),(M$6))</f>
        <v>2.1331041704226341</v>
      </c>
      <c r="N111" s="39">
        <f>'Degree-days'!$F$12*IF($E111=$E$5,(N$5),(N$6))</f>
        <v>0</v>
      </c>
      <c r="O111" s="39">
        <f>'Degree-days'!$F$12*IF($E111=$E$5,(O$5),(O$6))</f>
        <v>0</v>
      </c>
      <c r="P111" s="39">
        <f>'Degree-days'!$F$12*IF($E111=$E$5,(P$5),(P$6))</f>
        <v>0</v>
      </c>
      <c r="Q111" s="39">
        <f>'Degree-days'!$F$12*IF($E111=$E$5,(Q$5),(Q$6))</f>
        <v>0</v>
      </c>
      <c r="R111" s="39">
        <f>'Degree-days'!$F$12*IF($E111=$E$5,(R$5),(R$6))</f>
        <v>0</v>
      </c>
      <c r="S111" s="39">
        <f>'Degree-days'!$F$12*IF($E111=$E$5,(S$5),(S$6))</f>
        <v>0</v>
      </c>
      <c r="T111" s="39">
        <f>'Degree-days'!$F$12*IF($E111=$E$5,(T$5),(T$6))</f>
        <v>0</v>
      </c>
      <c r="U111" s="39">
        <f>'Degree-days'!$F$12*IF($E111=$E$5,(U$5),(U$6))</f>
        <v>2.1331041704226341</v>
      </c>
      <c r="V111" s="39">
        <f>'Degree-days'!$F$12*IF($E111=$E$5,(V$5),(V$6))</f>
        <v>2.1331041704226341</v>
      </c>
      <c r="W111" s="39">
        <f>'Degree-days'!$F$12*IF($E111=$E$5,(W$5),(W$6))</f>
        <v>2.1331041704226341</v>
      </c>
      <c r="X111" s="39">
        <f>'Degree-days'!$F$12*IF($E111=$E$5,(X$5),(X$6))</f>
        <v>2.1331041704226341</v>
      </c>
      <c r="Y111" s="39">
        <f>'Degree-days'!$F$12*IF($E111=$E$5,(Y$5),(Y$6))</f>
        <v>2.1331041704226341</v>
      </c>
      <c r="Z111" s="39">
        <f>'Degree-days'!$F$12*IF($E111=$E$5,(Z$5),(Z$6))</f>
        <v>2.1331041704226341</v>
      </c>
      <c r="AA111" s="39">
        <f>'Degree-days'!$F$12*IF($E111=$E$5,(AA$5),(AA$6))</f>
        <v>2.1331041704226341</v>
      </c>
      <c r="AB111" s="39">
        <f>'Degree-days'!$F$12*IF($E111=$E$5,(AB$5),(AB$6))</f>
        <v>0</v>
      </c>
      <c r="AC111" s="39">
        <f>'Degree-days'!$F$12*IF($E111=$E$5,(AC$5),(AC$6))</f>
        <v>0</v>
      </c>
      <c r="AD111" s="39">
        <f t="shared" si="4"/>
        <v>19.197937533803707</v>
      </c>
    </row>
    <row r="112" spans="4:32" x14ac:dyDescent="0.2">
      <c r="D112" s="37">
        <v>45031</v>
      </c>
      <c r="E112" s="17" t="str">
        <f t="shared" si="2"/>
        <v>weekend</v>
      </c>
      <c r="F112" s="39">
        <f>'Degree-days'!$F$12*IF($E112=$E$5,(F$5),(F$6))</f>
        <v>0</v>
      </c>
      <c r="G112" s="39">
        <f>'Degree-days'!$F$12*IF($E112=$E$5,(G$5),(G$6))</f>
        <v>0</v>
      </c>
      <c r="H112" s="39">
        <f>'Degree-days'!$F$12*IF($E112=$E$5,(H$5),(H$6))</f>
        <v>0</v>
      </c>
      <c r="I112" s="39">
        <f>'Degree-days'!$F$12*IF($E112=$E$5,(I$5),(I$6))</f>
        <v>0</v>
      </c>
      <c r="J112" s="39">
        <f>'Degree-days'!$F$12*IF($E112=$E$5,(J$5),(J$6))</f>
        <v>0</v>
      </c>
      <c r="K112" s="39">
        <f>'Degree-days'!$F$12*IF($E112=$E$5,(K$5),(K$6))</f>
        <v>0</v>
      </c>
      <c r="L112" s="39">
        <f>'Degree-days'!$F$12*IF($E112=$E$5,(L$5),(L$6))</f>
        <v>2.1331041704226341</v>
      </c>
      <c r="M112" s="39">
        <f>'Degree-days'!$F$12*IF($E112=$E$5,(M$5),(M$6))</f>
        <v>2.1331041704226341</v>
      </c>
      <c r="N112" s="39">
        <f>'Degree-days'!$F$12*IF($E112=$E$5,(N$5),(N$6))</f>
        <v>2.1331041704226341</v>
      </c>
      <c r="O112" s="39">
        <f>'Degree-days'!$F$12*IF($E112=$E$5,(O$5),(O$6))</f>
        <v>2.1331041704226341</v>
      </c>
      <c r="P112" s="39">
        <f>'Degree-days'!$F$12*IF($E112=$E$5,(P$5),(P$6))</f>
        <v>2.1331041704226341</v>
      </c>
      <c r="Q112" s="39">
        <f>'Degree-days'!$F$12*IF($E112=$E$5,(Q$5),(Q$6))</f>
        <v>2.1331041704226341</v>
      </c>
      <c r="R112" s="39">
        <f>'Degree-days'!$F$12*IF($E112=$E$5,(R$5),(R$6))</f>
        <v>2.1331041704226341</v>
      </c>
      <c r="S112" s="39">
        <f>'Degree-days'!$F$12*IF($E112=$E$5,(S$5),(S$6))</f>
        <v>2.1331041704226341</v>
      </c>
      <c r="T112" s="39">
        <f>'Degree-days'!$F$12*IF($E112=$E$5,(T$5),(T$6))</f>
        <v>2.1331041704226341</v>
      </c>
      <c r="U112" s="39">
        <f>'Degree-days'!$F$12*IF($E112=$E$5,(U$5),(U$6))</f>
        <v>2.1331041704226341</v>
      </c>
      <c r="V112" s="39">
        <f>'Degree-days'!$F$12*IF($E112=$E$5,(V$5),(V$6))</f>
        <v>2.1331041704226341</v>
      </c>
      <c r="W112" s="39">
        <f>'Degree-days'!$F$12*IF($E112=$E$5,(W$5),(W$6))</f>
        <v>2.1331041704226341</v>
      </c>
      <c r="X112" s="39">
        <f>'Degree-days'!$F$12*IF($E112=$E$5,(X$5),(X$6))</f>
        <v>2.1331041704226341</v>
      </c>
      <c r="Y112" s="39">
        <f>'Degree-days'!$F$12*IF($E112=$E$5,(Y$5),(Y$6))</f>
        <v>2.1331041704226341</v>
      </c>
      <c r="Z112" s="39">
        <f>'Degree-days'!$F$12*IF($E112=$E$5,(Z$5),(Z$6))</f>
        <v>2.1331041704226341</v>
      </c>
      <c r="AA112" s="39">
        <f>'Degree-days'!$F$12*IF($E112=$E$5,(AA$5),(AA$6))</f>
        <v>2.1331041704226341</v>
      </c>
      <c r="AB112" s="39">
        <f>'Degree-days'!$F$12*IF($E112=$E$5,(AB$5),(AB$6))</f>
        <v>0</v>
      </c>
      <c r="AC112" s="39">
        <f>'Degree-days'!$F$12*IF($E112=$E$5,(AC$5),(AC$6))</f>
        <v>0</v>
      </c>
      <c r="AD112" s="39">
        <f t="shared" si="4"/>
        <v>34.129666726762146</v>
      </c>
    </row>
    <row r="113" spans="4:32" x14ac:dyDescent="0.2">
      <c r="D113" s="37">
        <v>45032</v>
      </c>
      <c r="E113" s="17" t="str">
        <f t="shared" si="2"/>
        <v>weekend</v>
      </c>
      <c r="F113" s="39">
        <f>'Degree-days'!$F$12*IF($E113=$E$5,(F$5),(F$6))</f>
        <v>0</v>
      </c>
      <c r="G113" s="39">
        <f>'Degree-days'!$F$12*IF($E113=$E$5,(G$5),(G$6))</f>
        <v>0</v>
      </c>
      <c r="H113" s="39">
        <f>'Degree-days'!$F$12*IF($E113=$E$5,(H$5),(H$6))</f>
        <v>0</v>
      </c>
      <c r="I113" s="39">
        <f>'Degree-days'!$F$12*IF($E113=$E$5,(I$5),(I$6))</f>
        <v>0</v>
      </c>
      <c r="J113" s="39">
        <f>'Degree-days'!$F$12*IF($E113=$E$5,(J$5),(J$6))</f>
        <v>0</v>
      </c>
      <c r="K113" s="39">
        <f>'Degree-days'!$F$12*IF($E113=$E$5,(K$5),(K$6))</f>
        <v>0</v>
      </c>
      <c r="L113" s="39">
        <f>'Degree-days'!$F$12*IF($E113=$E$5,(L$5),(L$6))</f>
        <v>2.1331041704226341</v>
      </c>
      <c r="M113" s="39">
        <f>'Degree-days'!$F$12*IF($E113=$E$5,(M$5),(M$6))</f>
        <v>2.1331041704226341</v>
      </c>
      <c r="N113" s="39">
        <f>'Degree-days'!$F$12*IF($E113=$E$5,(N$5),(N$6))</f>
        <v>2.1331041704226341</v>
      </c>
      <c r="O113" s="39">
        <f>'Degree-days'!$F$12*IF($E113=$E$5,(O$5),(O$6))</f>
        <v>2.1331041704226341</v>
      </c>
      <c r="P113" s="39">
        <f>'Degree-days'!$F$12*IF($E113=$E$5,(P$5),(P$6))</f>
        <v>2.1331041704226341</v>
      </c>
      <c r="Q113" s="39">
        <f>'Degree-days'!$F$12*IF($E113=$E$5,(Q$5),(Q$6))</f>
        <v>2.1331041704226341</v>
      </c>
      <c r="R113" s="39">
        <f>'Degree-days'!$F$12*IF($E113=$E$5,(R$5),(R$6))</f>
        <v>2.1331041704226341</v>
      </c>
      <c r="S113" s="39">
        <f>'Degree-days'!$F$12*IF($E113=$E$5,(S$5),(S$6))</f>
        <v>2.1331041704226341</v>
      </c>
      <c r="T113" s="39">
        <f>'Degree-days'!$F$12*IF($E113=$E$5,(T$5),(T$6))</f>
        <v>2.1331041704226341</v>
      </c>
      <c r="U113" s="39">
        <f>'Degree-days'!$F$12*IF($E113=$E$5,(U$5),(U$6))</f>
        <v>2.1331041704226341</v>
      </c>
      <c r="V113" s="39">
        <f>'Degree-days'!$F$12*IF($E113=$E$5,(V$5),(V$6))</f>
        <v>2.1331041704226341</v>
      </c>
      <c r="W113" s="39">
        <f>'Degree-days'!$F$12*IF($E113=$E$5,(W$5),(W$6))</f>
        <v>2.1331041704226341</v>
      </c>
      <c r="X113" s="39">
        <f>'Degree-days'!$F$12*IF($E113=$E$5,(X$5),(X$6))</f>
        <v>2.1331041704226341</v>
      </c>
      <c r="Y113" s="39">
        <f>'Degree-days'!$F$12*IF($E113=$E$5,(Y$5),(Y$6))</f>
        <v>2.1331041704226341</v>
      </c>
      <c r="Z113" s="39">
        <f>'Degree-days'!$F$12*IF($E113=$E$5,(Z$5),(Z$6))</f>
        <v>2.1331041704226341</v>
      </c>
      <c r="AA113" s="39">
        <f>'Degree-days'!$F$12*IF($E113=$E$5,(AA$5),(AA$6))</f>
        <v>2.1331041704226341</v>
      </c>
      <c r="AB113" s="39">
        <f>'Degree-days'!$F$12*IF($E113=$E$5,(AB$5),(AB$6))</f>
        <v>0</v>
      </c>
      <c r="AC113" s="39">
        <f>'Degree-days'!$F$12*IF($E113=$E$5,(AC$5),(AC$6))</f>
        <v>0</v>
      </c>
      <c r="AD113" s="39">
        <f t="shared" si="4"/>
        <v>34.129666726762146</v>
      </c>
    </row>
    <row r="114" spans="4:32" x14ac:dyDescent="0.2">
      <c r="D114" s="37">
        <v>45033</v>
      </c>
      <c r="E114" s="17" t="str">
        <f t="shared" si="2"/>
        <v>weekday</v>
      </c>
      <c r="F114" s="39">
        <f>'Degree-days'!$F$12*IF($E114=$E$5,(F$5),(F$6))</f>
        <v>0</v>
      </c>
      <c r="G114" s="39">
        <f>'Degree-days'!$F$12*IF($E114=$E$5,(G$5),(G$6))</f>
        <v>0</v>
      </c>
      <c r="H114" s="39">
        <f>'Degree-days'!$F$12*IF($E114=$E$5,(H$5),(H$6))</f>
        <v>0</v>
      </c>
      <c r="I114" s="39">
        <f>'Degree-days'!$F$12*IF($E114=$E$5,(I$5),(I$6))</f>
        <v>0</v>
      </c>
      <c r="J114" s="39">
        <f>'Degree-days'!$F$12*IF($E114=$E$5,(J$5),(J$6))</f>
        <v>0</v>
      </c>
      <c r="K114" s="39">
        <f>'Degree-days'!$F$12*IF($E114=$E$5,(K$5),(K$6))</f>
        <v>0</v>
      </c>
      <c r="L114" s="39">
        <f>'Degree-days'!$F$12*IF($E114=$E$5,(L$5),(L$6))</f>
        <v>2.1331041704226341</v>
      </c>
      <c r="M114" s="39">
        <f>'Degree-days'!$F$12*IF($E114=$E$5,(M$5),(M$6))</f>
        <v>2.1331041704226341</v>
      </c>
      <c r="N114" s="39">
        <f>'Degree-days'!$F$12*IF($E114=$E$5,(N$5),(N$6))</f>
        <v>0</v>
      </c>
      <c r="O114" s="39">
        <f>'Degree-days'!$F$12*IF($E114=$E$5,(O$5),(O$6))</f>
        <v>0</v>
      </c>
      <c r="P114" s="39">
        <f>'Degree-days'!$F$12*IF($E114=$E$5,(P$5),(P$6))</f>
        <v>0</v>
      </c>
      <c r="Q114" s="39">
        <f>'Degree-days'!$F$12*IF($E114=$E$5,(Q$5),(Q$6))</f>
        <v>0</v>
      </c>
      <c r="R114" s="39">
        <f>'Degree-days'!$F$12*IF($E114=$E$5,(R$5),(R$6))</f>
        <v>0</v>
      </c>
      <c r="S114" s="39">
        <f>'Degree-days'!$F$12*IF($E114=$E$5,(S$5),(S$6))</f>
        <v>0</v>
      </c>
      <c r="T114" s="39">
        <f>'Degree-days'!$F$12*IF($E114=$E$5,(T$5),(T$6))</f>
        <v>0</v>
      </c>
      <c r="U114" s="39">
        <f>'Degree-days'!$F$12*IF($E114=$E$5,(U$5),(U$6))</f>
        <v>2.1331041704226341</v>
      </c>
      <c r="V114" s="39">
        <f>'Degree-days'!$F$12*IF($E114=$E$5,(V$5),(V$6))</f>
        <v>2.1331041704226341</v>
      </c>
      <c r="W114" s="39">
        <f>'Degree-days'!$F$12*IF($E114=$E$5,(W$5),(W$6))</f>
        <v>2.1331041704226341</v>
      </c>
      <c r="X114" s="39">
        <f>'Degree-days'!$F$12*IF($E114=$E$5,(X$5),(X$6))</f>
        <v>2.1331041704226341</v>
      </c>
      <c r="Y114" s="39">
        <f>'Degree-days'!$F$12*IF($E114=$E$5,(Y$5),(Y$6))</f>
        <v>2.1331041704226341</v>
      </c>
      <c r="Z114" s="39">
        <f>'Degree-days'!$F$12*IF($E114=$E$5,(Z$5),(Z$6))</f>
        <v>2.1331041704226341</v>
      </c>
      <c r="AA114" s="39">
        <f>'Degree-days'!$F$12*IF($E114=$E$5,(AA$5),(AA$6))</f>
        <v>2.1331041704226341</v>
      </c>
      <c r="AB114" s="39">
        <f>'Degree-days'!$F$12*IF($E114=$E$5,(AB$5),(AB$6))</f>
        <v>0</v>
      </c>
      <c r="AC114" s="39">
        <f>'Degree-days'!$F$12*IF($E114=$E$5,(AC$5),(AC$6))</f>
        <v>0</v>
      </c>
      <c r="AD114" s="39">
        <f t="shared" si="4"/>
        <v>19.197937533803707</v>
      </c>
    </row>
    <row r="115" spans="4:32" x14ac:dyDescent="0.2">
      <c r="D115" s="37">
        <v>45034</v>
      </c>
      <c r="E115" s="17" t="str">
        <f t="shared" si="2"/>
        <v>weekday</v>
      </c>
      <c r="F115" s="39">
        <f>'Degree-days'!$F$12*IF($E115=$E$5,(F$5),(F$6))</f>
        <v>0</v>
      </c>
      <c r="G115" s="39">
        <f>'Degree-days'!$F$12*IF($E115=$E$5,(G$5),(G$6))</f>
        <v>0</v>
      </c>
      <c r="H115" s="39">
        <f>'Degree-days'!$F$12*IF($E115=$E$5,(H$5),(H$6))</f>
        <v>0</v>
      </c>
      <c r="I115" s="39">
        <f>'Degree-days'!$F$12*IF($E115=$E$5,(I$5),(I$6))</f>
        <v>0</v>
      </c>
      <c r="J115" s="39">
        <f>'Degree-days'!$F$12*IF($E115=$E$5,(J$5),(J$6))</f>
        <v>0</v>
      </c>
      <c r="K115" s="39">
        <f>'Degree-days'!$F$12*IF($E115=$E$5,(K$5),(K$6))</f>
        <v>0</v>
      </c>
      <c r="L115" s="39">
        <f>'Degree-days'!$F$12*IF($E115=$E$5,(L$5),(L$6))</f>
        <v>2.1331041704226341</v>
      </c>
      <c r="M115" s="39">
        <f>'Degree-days'!$F$12*IF($E115=$E$5,(M$5),(M$6))</f>
        <v>2.1331041704226341</v>
      </c>
      <c r="N115" s="39">
        <f>'Degree-days'!$F$12*IF($E115=$E$5,(N$5),(N$6))</f>
        <v>0</v>
      </c>
      <c r="O115" s="39">
        <f>'Degree-days'!$F$12*IF($E115=$E$5,(O$5),(O$6))</f>
        <v>0</v>
      </c>
      <c r="P115" s="39">
        <f>'Degree-days'!$F$12*IF($E115=$E$5,(P$5),(P$6))</f>
        <v>0</v>
      </c>
      <c r="Q115" s="39">
        <f>'Degree-days'!$F$12*IF($E115=$E$5,(Q$5),(Q$6))</f>
        <v>0</v>
      </c>
      <c r="R115" s="39">
        <f>'Degree-days'!$F$12*IF($E115=$E$5,(R$5),(R$6))</f>
        <v>0</v>
      </c>
      <c r="S115" s="39">
        <f>'Degree-days'!$F$12*IF($E115=$E$5,(S$5),(S$6))</f>
        <v>0</v>
      </c>
      <c r="T115" s="39">
        <f>'Degree-days'!$F$12*IF($E115=$E$5,(T$5),(T$6))</f>
        <v>0</v>
      </c>
      <c r="U115" s="39">
        <f>'Degree-days'!$F$12*IF($E115=$E$5,(U$5),(U$6))</f>
        <v>2.1331041704226341</v>
      </c>
      <c r="V115" s="39">
        <f>'Degree-days'!$F$12*IF($E115=$E$5,(V$5),(V$6))</f>
        <v>2.1331041704226341</v>
      </c>
      <c r="W115" s="39">
        <f>'Degree-days'!$F$12*IF($E115=$E$5,(W$5),(W$6))</f>
        <v>2.1331041704226341</v>
      </c>
      <c r="X115" s="39">
        <f>'Degree-days'!$F$12*IF($E115=$E$5,(X$5),(X$6))</f>
        <v>2.1331041704226341</v>
      </c>
      <c r="Y115" s="39">
        <f>'Degree-days'!$F$12*IF($E115=$E$5,(Y$5),(Y$6))</f>
        <v>2.1331041704226341</v>
      </c>
      <c r="Z115" s="39">
        <f>'Degree-days'!$F$12*IF($E115=$E$5,(Z$5),(Z$6))</f>
        <v>2.1331041704226341</v>
      </c>
      <c r="AA115" s="39">
        <f>'Degree-days'!$F$12*IF($E115=$E$5,(AA$5),(AA$6))</f>
        <v>2.1331041704226341</v>
      </c>
      <c r="AB115" s="39">
        <f>'Degree-days'!$F$12*IF($E115=$E$5,(AB$5),(AB$6))</f>
        <v>0</v>
      </c>
      <c r="AC115" s="39">
        <f>'Degree-days'!$F$12*IF($E115=$E$5,(AC$5),(AC$6))</f>
        <v>0</v>
      </c>
      <c r="AD115" s="39">
        <f t="shared" si="4"/>
        <v>19.197937533803707</v>
      </c>
    </row>
    <row r="116" spans="4:32" x14ac:dyDescent="0.2">
      <c r="D116" s="37">
        <v>45035</v>
      </c>
      <c r="E116" s="17" t="str">
        <f t="shared" si="2"/>
        <v>weekday</v>
      </c>
      <c r="F116" s="39">
        <f>'Degree-days'!$F$12*IF($E116=$E$5,(F$5),(F$6))</f>
        <v>0</v>
      </c>
      <c r="G116" s="39">
        <f>'Degree-days'!$F$12*IF($E116=$E$5,(G$5),(G$6))</f>
        <v>0</v>
      </c>
      <c r="H116" s="39">
        <f>'Degree-days'!$F$12*IF($E116=$E$5,(H$5),(H$6))</f>
        <v>0</v>
      </c>
      <c r="I116" s="39">
        <f>'Degree-days'!$F$12*IF($E116=$E$5,(I$5),(I$6))</f>
        <v>0</v>
      </c>
      <c r="J116" s="39">
        <f>'Degree-days'!$F$12*IF($E116=$E$5,(J$5),(J$6))</f>
        <v>0</v>
      </c>
      <c r="K116" s="39">
        <f>'Degree-days'!$F$12*IF($E116=$E$5,(K$5),(K$6))</f>
        <v>0</v>
      </c>
      <c r="L116" s="39">
        <f>'Degree-days'!$F$12*IF($E116=$E$5,(L$5),(L$6))</f>
        <v>2.1331041704226341</v>
      </c>
      <c r="M116" s="39">
        <f>'Degree-days'!$F$12*IF($E116=$E$5,(M$5),(M$6))</f>
        <v>2.1331041704226341</v>
      </c>
      <c r="N116" s="39">
        <f>'Degree-days'!$F$12*IF($E116=$E$5,(N$5),(N$6))</f>
        <v>0</v>
      </c>
      <c r="O116" s="39">
        <f>'Degree-days'!$F$12*IF($E116=$E$5,(O$5),(O$6))</f>
        <v>0</v>
      </c>
      <c r="P116" s="39">
        <f>'Degree-days'!$F$12*IF($E116=$E$5,(P$5),(P$6))</f>
        <v>0</v>
      </c>
      <c r="Q116" s="39">
        <f>'Degree-days'!$F$12*IF($E116=$E$5,(Q$5),(Q$6))</f>
        <v>0</v>
      </c>
      <c r="R116" s="39">
        <f>'Degree-days'!$F$12*IF($E116=$E$5,(R$5),(R$6))</f>
        <v>0</v>
      </c>
      <c r="S116" s="39">
        <f>'Degree-days'!$F$12*IF($E116=$E$5,(S$5),(S$6))</f>
        <v>0</v>
      </c>
      <c r="T116" s="39">
        <f>'Degree-days'!$F$12*IF($E116=$E$5,(T$5),(T$6))</f>
        <v>0</v>
      </c>
      <c r="U116" s="39">
        <f>'Degree-days'!$F$12*IF($E116=$E$5,(U$5),(U$6))</f>
        <v>2.1331041704226341</v>
      </c>
      <c r="V116" s="39">
        <f>'Degree-days'!$F$12*IF($E116=$E$5,(V$5),(V$6))</f>
        <v>2.1331041704226341</v>
      </c>
      <c r="W116" s="39">
        <f>'Degree-days'!$F$12*IF($E116=$E$5,(W$5),(W$6))</f>
        <v>2.1331041704226341</v>
      </c>
      <c r="X116" s="39">
        <f>'Degree-days'!$F$12*IF($E116=$E$5,(X$5),(X$6))</f>
        <v>2.1331041704226341</v>
      </c>
      <c r="Y116" s="39">
        <f>'Degree-days'!$F$12*IF($E116=$E$5,(Y$5),(Y$6))</f>
        <v>2.1331041704226341</v>
      </c>
      <c r="Z116" s="39">
        <f>'Degree-days'!$F$12*IF($E116=$E$5,(Z$5),(Z$6))</f>
        <v>2.1331041704226341</v>
      </c>
      <c r="AA116" s="39">
        <f>'Degree-days'!$F$12*IF($E116=$E$5,(AA$5),(AA$6))</f>
        <v>2.1331041704226341</v>
      </c>
      <c r="AB116" s="39">
        <f>'Degree-days'!$F$12*IF($E116=$E$5,(AB$5),(AB$6))</f>
        <v>0</v>
      </c>
      <c r="AC116" s="39">
        <f>'Degree-days'!$F$12*IF($E116=$E$5,(AC$5),(AC$6))</f>
        <v>0</v>
      </c>
      <c r="AD116" s="39">
        <f t="shared" si="4"/>
        <v>19.197937533803707</v>
      </c>
    </row>
    <row r="117" spans="4:32" x14ac:dyDescent="0.2">
      <c r="D117" s="37">
        <v>45036</v>
      </c>
      <c r="E117" s="17" t="str">
        <f t="shared" si="2"/>
        <v>weekday</v>
      </c>
      <c r="F117" s="39">
        <f>'Degree-days'!$F$12*IF($E117=$E$5,(F$5),(F$6))</f>
        <v>0</v>
      </c>
      <c r="G117" s="39">
        <f>'Degree-days'!$F$12*IF($E117=$E$5,(G$5),(G$6))</f>
        <v>0</v>
      </c>
      <c r="H117" s="39">
        <f>'Degree-days'!$F$12*IF($E117=$E$5,(H$5),(H$6))</f>
        <v>0</v>
      </c>
      <c r="I117" s="39">
        <f>'Degree-days'!$F$12*IF($E117=$E$5,(I$5),(I$6))</f>
        <v>0</v>
      </c>
      <c r="J117" s="39">
        <f>'Degree-days'!$F$12*IF($E117=$E$5,(J$5),(J$6))</f>
        <v>0</v>
      </c>
      <c r="K117" s="39">
        <f>'Degree-days'!$F$12*IF($E117=$E$5,(K$5),(K$6))</f>
        <v>0</v>
      </c>
      <c r="L117" s="39">
        <f>'Degree-days'!$F$12*IF($E117=$E$5,(L$5),(L$6))</f>
        <v>2.1331041704226341</v>
      </c>
      <c r="M117" s="39">
        <f>'Degree-days'!$F$12*IF($E117=$E$5,(M$5),(M$6))</f>
        <v>2.1331041704226341</v>
      </c>
      <c r="N117" s="39">
        <f>'Degree-days'!$F$12*IF($E117=$E$5,(N$5),(N$6))</f>
        <v>0</v>
      </c>
      <c r="O117" s="39">
        <f>'Degree-days'!$F$12*IF($E117=$E$5,(O$5),(O$6))</f>
        <v>0</v>
      </c>
      <c r="P117" s="39">
        <f>'Degree-days'!$F$12*IF($E117=$E$5,(P$5),(P$6))</f>
        <v>0</v>
      </c>
      <c r="Q117" s="39">
        <f>'Degree-days'!$F$12*IF($E117=$E$5,(Q$5),(Q$6))</f>
        <v>0</v>
      </c>
      <c r="R117" s="39">
        <f>'Degree-days'!$F$12*IF($E117=$E$5,(R$5),(R$6))</f>
        <v>0</v>
      </c>
      <c r="S117" s="39">
        <f>'Degree-days'!$F$12*IF($E117=$E$5,(S$5),(S$6))</f>
        <v>0</v>
      </c>
      <c r="T117" s="39">
        <f>'Degree-days'!$F$12*IF($E117=$E$5,(T$5),(T$6))</f>
        <v>0</v>
      </c>
      <c r="U117" s="39">
        <f>'Degree-days'!$F$12*IF($E117=$E$5,(U$5),(U$6))</f>
        <v>2.1331041704226341</v>
      </c>
      <c r="V117" s="39">
        <f>'Degree-days'!$F$12*IF($E117=$E$5,(V$5),(V$6))</f>
        <v>2.1331041704226341</v>
      </c>
      <c r="W117" s="39">
        <f>'Degree-days'!$F$12*IF($E117=$E$5,(W$5),(W$6))</f>
        <v>2.1331041704226341</v>
      </c>
      <c r="X117" s="39">
        <f>'Degree-days'!$F$12*IF($E117=$E$5,(X$5),(X$6))</f>
        <v>2.1331041704226341</v>
      </c>
      <c r="Y117" s="39">
        <f>'Degree-days'!$F$12*IF($E117=$E$5,(Y$5),(Y$6))</f>
        <v>2.1331041704226341</v>
      </c>
      <c r="Z117" s="39">
        <f>'Degree-days'!$F$12*IF($E117=$E$5,(Z$5),(Z$6))</f>
        <v>2.1331041704226341</v>
      </c>
      <c r="AA117" s="39">
        <f>'Degree-days'!$F$12*IF($E117=$E$5,(AA$5),(AA$6))</f>
        <v>2.1331041704226341</v>
      </c>
      <c r="AB117" s="39">
        <f>'Degree-days'!$F$12*IF($E117=$E$5,(AB$5),(AB$6))</f>
        <v>0</v>
      </c>
      <c r="AC117" s="39">
        <f>'Degree-days'!$F$12*IF($E117=$E$5,(AC$5),(AC$6))</f>
        <v>0</v>
      </c>
      <c r="AD117" s="39">
        <f t="shared" si="4"/>
        <v>19.197937533803707</v>
      </c>
    </row>
    <row r="118" spans="4:32" x14ac:dyDescent="0.2">
      <c r="D118" s="37">
        <v>45037</v>
      </c>
      <c r="E118" s="17" t="str">
        <f t="shared" si="2"/>
        <v>weekday</v>
      </c>
      <c r="F118" s="39">
        <f>'Degree-days'!$F$12*IF($E118=$E$5,(F$5),(F$6))</f>
        <v>0</v>
      </c>
      <c r="G118" s="39">
        <f>'Degree-days'!$F$12*IF($E118=$E$5,(G$5),(G$6))</f>
        <v>0</v>
      </c>
      <c r="H118" s="39">
        <f>'Degree-days'!$F$12*IF($E118=$E$5,(H$5),(H$6))</f>
        <v>0</v>
      </c>
      <c r="I118" s="39">
        <f>'Degree-days'!$F$12*IF($E118=$E$5,(I$5),(I$6))</f>
        <v>0</v>
      </c>
      <c r="J118" s="39">
        <f>'Degree-days'!$F$12*IF($E118=$E$5,(J$5),(J$6))</f>
        <v>0</v>
      </c>
      <c r="K118" s="39">
        <f>'Degree-days'!$F$12*IF($E118=$E$5,(K$5),(K$6))</f>
        <v>0</v>
      </c>
      <c r="L118" s="39">
        <f>'Degree-days'!$F$12*IF($E118=$E$5,(L$5),(L$6))</f>
        <v>2.1331041704226341</v>
      </c>
      <c r="M118" s="39">
        <f>'Degree-days'!$F$12*IF($E118=$E$5,(M$5),(M$6))</f>
        <v>2.1331041704226341</v>
      </c>
      <c r="N118" s="39">
        <f>'Degree-days'!$F$12*IF($E118=$E$5,(N$5),(N$6))</f>
        <v>0</v>
      </c>
      <c r="O118" s="39">
        <f>'Degree-days'!$F$12*IF($E118=$E$5,(O$5),(O$6))</f>
        <v>0</v>
      </c>
      <c r="P118" s="39">
        <f>'Degree-days'!$F$12*IF($E118=$E$5,(P$5),(P$6))</f>
        <v>0</v>
      </c>
      <c r="Q118" s="39">
        <f>'Degree-days'!$F$12*IF($E118=$E$5,(Q$5),(Q$6))</f>
        <v>0</v>
      </c>
      <c r="R118" s="39">
        <f>'Degree-days'!$F$12*IF($E118=$E$5,(R$5),(R$6))</f>
        <v>0</v>
      </c>
      <c r="S118" s="39">
        <f>'Degree-days'!$F$12*IF($E118=$E$5,(S$5),(S$6))</f>
        <v>0</v>
      </c>
      <c r="T118" s="39">
        <f>'Degree-days'!$F$12*IF($E118=$E$5,(T$5),(T$6))</f>
        <v>0</v>
      </c>
      <c r="U118" s="39">
        <f>'Degree-days'!$F$12*IF($E118=$E$5,(U$5),(U$6))</f>
        <v>2.1331041704226341</v>
      </c>
      <c r="V118" s="39">
        <f>'Degree-days'!$F$12*IF($E118=$E$5,(V$5),(V$6))</f>
        <v>2.1331041704226341</v>
      </c>
      <c r="W118" s="39">
        <f>'Degree-days'!$F$12*IF($E118=$E$5,(W$5),(W$6))</f>
        <v>2.1331041704226341</v>
      </c>
      <c r="X118" s="39">
        <f>'Degree-days'!$F$12*IF($E118=$E$5,(X$5),(X$6))</f>
        <v>2.1331041704226341</v>
      </c>
      <c r="Y118" s="39">
        <f>'Degree-days'!$F$12*IF($E118=$E$5,(Y$5),(Y$6))</f>
        <v>2.1331041704226341</v>
      </c>
      <c r="Z118" s="39">
        <f>'Degree-days'!$F$12*IF($E118=$E$5,(Z$5),(Z$6))</f>
        <v>2.1331041704226341</v>
      </c>
      <c r="AA118" s="39">
        <f>'Degree-days'!$F$12*IF($E118=$E$5,(AA$5),(AA$6))</f>
        <v>2.1331041704226341</v>
      </c>
      <c r="AB118" s="39">
        <f>'Degree-days'!$F$12*IF($E118=$E$5,(AB$5),(AB$6))</f>
        <v>0</v>
      </c>
      <c r="AC118" s="39">
        <f>'Degree-days'!$F$12*IF($E118=$E$5,(AC$5),(AC$6))</f>
        <v>0</v>
      </c>
      <c r="AD118" s="39">
        <f t="shared" si="4"/>
        <v>19.197937533803707</v>
      </c>
    </row>
    <row r="119" spans="4:32" x14ac:dyDescent="0.2">
      <c r="D119" s="37">
        <v>45038</v>
      </c>
      <c r="E119" s="17" t="str">
        <f t="shared" si="2"/>
        <v>weekend</v>
      </c>
      <c r="F119" s="39">
        <f>'Degree-days'!$F$12*IF($E119=$E$5,(F$5),(F$6))</f>
        <v>0</v>
      </c>
      <c r="G119" s="39">
        <f>'Degree-days'!$F$12*IF($E119=$E$5,(G$5),(G$6))</f>
        <v>0</v>
      </c>
      <c r="H119" s="39">
        <f>'Degree-days'!$F$12*IF($E119=$E$5,(H$5),(H$6))</f>
        <v>0</v>
      </c>
      <c r="I119" s="39">
        <f>'Degree-days'!$F$12*IF($E119=$E$5,(I$5),(I$6))</f>
        <v>0</v>
      </c>
      <c r="J119" s="39">
        <f>'Degree-days'!$F$12*IF($E119=$E$5,(J$5),(J$6))</f>
        <v>0</v>
      </c>
      <c r="K119" s="39">
        <f>'Degree-days'!$F$12*IF($E119=$E$5,(K$5),(K$6))</f>
        <v>0</v>
      </c>
      <c r="L119" s="39">
        <f>'Degree-days'!$F$12*IF($E119=$E$5,(L$5),(L$6))</f>
        <v>2.1331041704226341</v>
      </c>
      <c r="M119" s="39">
        <f>'Degree-days'!$F$12*IF($E119=$E$5,(M$5),(M$6))</f>
        <v>2.1331041704226341</v>
      </c>
      <c r="N119" s="39">
        <f>'Degree-days'!$F$12*IF($E119=$E$5,(N$5),(N$6))</f>
        <v>2.1331041704226341</v>
      </c>
      <c r="O119" s="39">
        <f>'Degree-days'!$F$12*IF($E119=$E$5,(O$5),(O$6))</f>
        <v>2.1331041704226341</v>
      </c>
      <c r="P119" s="39">
        <f>'Degree-days'!$F$12*IF($E119=$E$5,(P$5),(P$6))</f>
        <v>2.1331041704226341</v>
      </c>
      <c r="Q119" s="39">
        <f>'Degree-days'!$F$12*IF($E119=$E$5,(Q$5),(Q$6))</f>
        <v>2.1331041704226341</v>
      </c>
      <c r="R119" s="39">
        <f>'Degree-days'!$F$12*IF($E119=$E$5,(R$5),(R$6))</f>
        <v>2.1331041704226341</v>
      </c>
      <c r="S119" s="39">
        <f>'Degree-days'!$F$12*IF($E119=$E$5,(S$5),(S$6))</f>
        <v>2.1331041704226341</v>
      </c>
      <c r="T119" s="39">
        <f>'Degree-days'!$F$12*IF($E119=$E$5,(T$5),(T$6))</f>
        <v>2.1331041704226341</v>
      </c>
      <c r="U119" s="39">
        <f>'Degree-days'!$F$12*IF($E119=$E$5,(U$5),(U$6))</f>
        <v>2.1331041704226341</v>
      </c>
      <c r="V119" s="39">
        <f>'Degree-days'!$F$12*IF($E119=$E$5,(V$5),(V$6))</f>
        <v>2.1331041704226341</v>
      </c>
      <c r="W119" s="39">
        <f>'Degree-days'!$F$12*IF($E119=$E$5,(W$5),(W$6))</f>
        <v>2.1331041704226341</v>
      </c>
      <c r="X119" s="39">
        <f>'Degree-days'!$F$12*IF($E119=$E$5,(X$5),(X$6))</f>
        <v>2.1331041704226341</v>
      </c>
      <c r="Y119" s="39">
        <f>'Degree-days'!$F$12*IF($E119=$E$5,(Y$5),(Y$6))</f>
        <v>2.1331041704226341</v>
      </c>
      <c r="Z119" s="39">
        <f>'Degree-days'!$F$12*IF($E119=$E$5,(Z$5),(Z$6))</f>
        <v>2.1331041704226341</v>
      </c>
      <c r="AA119" s="39">
        <f>'Degree-days'!$F$12*IF($E119=$E$5,(AA$5),(AA$6))</f>
        <v>2.1331041704226341</v>
      </c>
      <c r="AB119" s="39">
        <f>'Degree-days'!$F$12*IF($E119=$E$5,(AB$5),(AB$6))</f>
        <v>0</v>
      </c>
      <c r="AC119" s="39">
        <f>'Degree-days'!$F$12*IF($E119=$E$5,(AC$5),(AC$6))</f>
        <v>0</v>
      </c>
      <c r="AD119" s="39">
        <f t="shared" si="4"/>
        <v>34.129666726762146</v>
      </c>
    </row>
    <row r="120" spans="4:32" x14ac:dyDescent="0.2">
      <c r="D120" s="37">
        <v>45039</v>
      </c>
      <c r="E120" s="17" t="str">
        <f t="shared" si="2"/>
        <v>weekend</v>
      </c>
      <c r="F120" s="39">
        <f>'Degree-days'!$F$12*IF($E120=$E$5,(F$5),(F$6))</f>
        <v>0</v>
      </c>
      <c r="G120" s="39">
        <f>'Degree-days'!$F$12*IF($E120=$E$5,(G$5),(G$6))</f>
        <v>0</v>
      </c>
      <c r="H120" s="39">
        <f>'Degree-days'!$F$12*IF($E120=$E$5,(H$5),(H$6))</f>
        <v>0</v>
      </c>
      <c r="I120" s="39">
        <f>'Degree-days'!$F$12*IF($E120=$E$5,(I$5),(I$6))</f>
        <v>0</v>
      </c>
      <c r="J120" s="39">
        <f>'Degree-days'!$F$12*IF($E120=$E$5,(J$5),(J$6))</f>
        <v>0</v>
      </c>
      <c r="K120" s="39">
        <f>'Degree-days'!$F$12*IF($E120=$E$5,(K$5),(K$6))</f>
        <v>0</v>
      </c>
      <c r="L120" s="39">
        <f>'Degree-days'!$F$12*IF($E120=$E$5,(L$5),(L$6))</f>
        <v>2.1331041704226341</v>
      </c>
      <c r="M120" s="39">
        <f>'Degree-days'!$F$12*IF($E120=$E$5,(M$5),(M$6))</f>
        <v>2.1331041704226341</v>
      </c>
      <c r="N120" s="39">
        <f>'Degree-days'!$F$12*IF($E120=$E$5,(N$5),(N$6))</f>
        <v>2.1331041704226341</v>
      </c>
      <c r="O120" s="39">
        <f>'Degree-days'!$F$12*IF($E120=$E$5,(O$5),(O$6))</f>
        <v>2.1331041704226341</v>
      </c>
      <c r="P120" s="39">
        <f>'Degree-days'!$F$12*IF($E120=$E$5,(P$5),(P$6))</f>
        <v>2.1331041704226341</v>
      </c>
      <c r="Q120" s="39">
        <f>'Degree-days'!$F$12*IF($E120=$E$5,(Q$5),(Q$6))</f>
        <v>2.1331041704226341</v>
      </c>
      <c r="R120" s="39">
        <f>'Degree-days'!$F$12*IF($E120=$E$5,(R$5),(R$6))</f>
        <v>2.1331041704226341</v>
      </c>
      <c r="S120" s="39">
        <f>'Degree-days'!$F$12*IF($E120=$E$5,(S$5),(S$6))</f>
        <v>2.1331041704226341</v>
      </c>
      <c r="T120" s="39">
        <f>'Degree-days'!$F$12*IF($E120=$E$5,(T$5),(T$6))</f>
        <v>2.1331041704226341</v>
      </c>
      <c r="U120" s="39">
        <f>'Degree-days'!$F$12*IF($E120=$E$5,(U$5),(U$6))</f>
        <v>2.1331041704226341</v>
      </c>
      <c r="V120" s="39">
        <f>'Degree-days'!$F$12*IF($E120=$E$5,(V$5),(V$6))</f>
        <v>2.1331041704226341</v>
      </c>
      <c r="W120" s="39">
        <f>'Degree-days'!$F$12*IF($E120=$E$5,(W$5),(W$6))</f>
        <v>2.1331041704226341</v>
      </c>
      <c r="X120" s="39">
        <f>'Degree-days'!$F$12*IF($E120=$E$5,(X$5),(X$6))</f>
        <v>2.1331041704226341</v>
      </c>
      <c r="Y120" s="39">
        <f>'Degree-days'!$F$12*IF($E120=$E$5,(Y$5),(Y$6))</f>
        <v>2.1331041704226341</v>
      </c>
      <c r="Z120" s="39">
        <f>'Degree-days'!$F$12*IF($E120=$E$5,(Z$5),(Z$6))</f>
        <v>2.1331041704226341</v>
      </c>
      <c r="AA120" s="39">
        <f>'Degree-days'!$F$12*IF($E120=$E$5,(AA$5),(AA$6))</f>
        <v>2.1331041704226341</v>
      </c>
      <c r="AB120" s="39">
        <f>'Degree-days'!$F$12*IF($E120=$E$5,(AB$5),(AB$6))</f>
        <v>0</v>
      </c>
      <c r="AC120" s="39">
        <f>'Degree-days'!$F$12*IF($E120=$E$5,(AC$5),(AC$6))</f>
        <v>0</v>
      </c>
      <c r="AD120" s="39">
        <f t="shared" si="4"/>
        <v>34.129666726762146</v>
      </c>
    </row>
    <row r="121" spans="4:32" x14ac:dyDescent="0.2">
      <c r="D121" s="37">
        <v>45040</v>
      </c>
      <c r="E121" s="17" t="str">
        <f t="shared" si="2"/>
        <v>weekday</v>
      </c>
      <c r="F121" s="39">
        <f>'Degree-days'!$F$12*IF($E121=$E$5,(F$5),(F$6))</f>
        <v>0</v>
      </c>
      <c r="G121" s="39">
        <f>'Degree-days'!$F$12*IF($E121=$E$5,(G$5),(G$6))</f>
        <v>0</v>
      </c>
      <c r="H121" s="39">
        <f>'Degree-days'!$F$12*IF($E121=$E$5,(H$5),(H$6))</f>
        <v>0</v>
      </c>
      <c r="I121" s="39">
        <f>'Degree-days'!$F$12*IF($E121=$E$5,(I$5),(I$6))</f>
        <v>0</v>
      </c>
      <c r="J121" s="39">
        <f>'Degree-days'!$F$12*IF($E121=$E$5,(J$5),(J$6))</f>
        <v>0</v>
      </c>
      <c r="K121" s="39">
        <f>'Degree-days'!$F$12*IF($E121=$E$5,(K$5),(K$6))</f>
        <v>0</v>
      </c>
      <c r="L121" s="39">
        <f>'Degree-days'!$F$12*IF($E121=$E$5,(L$5),(L$6))</f>
        <v>2.1331041704226341</v>
      </c>
      <c r="M121" s="39">
        <f>'Degree-days'!$F$12*IF($E121=$E$5,(M$5),(M$6))</f>
        <v>2.1331041704226341</v>
      </c>
      <c r="N121" s="39">
        <f>'Degree-days'!$F$12*IF($E121=$E$5,(N$5),(N$6))</f>
        <v>0</v>
      </c>
      <c r="O121" s="39">
        <f>'Degree-days'!$F$12*IF($E121=$E$5,(O$5),(O$6))</f>
        <v>0</v>
      </c>
      <c r="P121" s="39">
        <f>'Degree-days'!$F$12*IF($E121=$E$5,(P$5),(P$6))</f>
        <v>0</v>
      </c>
      <c r="Q121" s="39">
        <f>'Degree-days'!$F$12*IF($E121=$E$5,(Q$5),(Q$6))</f>
        <v>0</v>
      </c>
      <c r="R121" s="39">
        <f>'Degree-days'!$F$12*IF($E121=$E$5,(R$5),(R$6))</f>
        <v>0</v>
      </c>
      <c r="S121" s="39">
        <f>'Degree-days'!$F$12*IF($E121=$E$5,(S$5),(S$6))</f>
        <v>0</v>
      </c>
      <c r="T121" s="39">
        <f>'Degree-days'!$F$12*IF($E121=$E$5,(T$5),(T$6))</f>
        <v>0</v>
      </c>
      <c r="U121" s="39">
        <f>'Degree-days'!$F$12*IF($E121=$E$5,(U$5),(U$6))</f>
        <v>2.1331041704226341</v>
      </c>
      <c r="V121" s="39">
        <f>'Degree-days'!$F$12*IF($E121=$E$5,(V$5),(V$6))</f>
        <v>2.1331041704226341</v>
      </c>
      <c r="W121" s="39">
        <f>'Degree-days'!$F$12*IF($E121=$E$5,(W$5),(W$6))</f>
        <v>2.1331041704226341</v>
      </c>
      <c r="X121" s="39">
        <f>'Degree-days'!$F$12*IF($E121=$E$5,(X$5),(X$6))</f>
        <v>2.1331041704226341</v>
      </c>
      <c r="Y121" s="39">
        <f>'Degree-days'!$F$12*IF($E121=$E$5,(Y$5),(Y$6))</f>
        <v>2.1331041704226341</v>
      </c>
      <c r="Z121" s="39">
        <f>'Degree-days'!$F$12*IF($E121=$E$5,(Z$5),(Z$6))</f>
        <v>2.1331041704226341</v>
      </c>
      <c r="AA121" s="39">
        <f>'Degree-days'!$F$12*IF($E121=$E$5,(AA$5),(AA$6))</f>
        <v>2.1331041704226341</v>
      </c>
      <c r="AB121" s="39">
        <f>'Degree-days'!$F$12*IF($E121=$E$5,(AB$5),(AB$6))</f>
        <v>0</v>
      </c>
      <c r="AC121" s="39">
        <f>'Degree-days'!$F$12*IF($E121=$E$5,(AC$5),(AC$6))</f>
        <v>0</v>
      </c>
      <c r="AD121" s="39">
        <f t="shared" si="4"/>
        <v>19.197937533803707</v>
      </c>
    </row>
    <row r="122" spans="4:32" x14ac:dyDescent="0.2">
      <c r="D122" s="37">
        <v>45041</v>
      </c>
      <c r="E122" s="17" t="str">
        <f t="shared" si="2"/>
        <v>weekday</v>
      </c>
      <c r="F122" s="39">
        <f>'Degree-days'!$F$12*IF($E122=$E$5,(F$5),(F$6))</f>
        <v>0</v>
      </c>
      <c r="G122" s="39">
        <f>'Degree-days'!$F$12*IF($E122=$E$5,(G$5),(G$6))</f>
        <v>0</v>
      </c>
      <c r="H122" s="39">
        <f>'Degree-days'!$F$12*IF($E122=$E$5,(H$5),(H$6))</f>
        <v>0</v>
      </c>
      <c r="I122" s="39">
        <f>'Degree-days'!$F$12*IF($E122=$E$5,(I$5),(I$6))</f>
        <v>0</v>
      </c>
      <c r="J122" s="39">
        <f>'Degree-days'!$F$12*IF($E122=$E$5,(J$5),(J$6))</f>
        <v>0</v>
      </c>
      <c r="K122" s="39">
        <f>'Degree-days'!$F$12*IF($E122=$E$5,(K$5),(K$6))</f>
        <v>0</v>
      </c>
      <c r="L122" s="39">
        <f>'Degree-days'!$F$12*IF($E122=$E$5,(L$5),(L$6))</f>
        <v>2.1331041704226341</v>
      </c>
      <c r="M122" s="39">
        <f>'Degree-days'!$F$12*IF($E122=$E$5,(M$5),(M$6))</f>
        <v>2.1331041704226341</v>
      </c>
      <c r="N122" s="39">
        <f>'Degree-days'!$F$12*IF($E122=$E$5,(N$5),(N$6))</f>
        <v>0</v>
      </c>
      <c r="O122" s="39">
        <f>'Degree-days'!$F$12*IF($E122=$E$5,(O$5),(O$6))</f>
        <v>0</v>
      </c>
      <c r="P122" s="39">
        <f>'Degree-days'!$F$12*IF($E122=$E$5,(P$5),(P$6))</f>
        <v>0</v>
      </c>
      <c r="Q122" s="39">
        <f>'Degree-days'!$F$12*IF($E122=$E$5,(Q$5),(Q$6))</f>
        <v>0</v>
      </c>
      <c r="R122" s="39">
        <f>'Degree-days'!$F$12*IF($E122=$E$5,(R$5),(R$6))</f>
        <v>0</v>
      </c>
      <c r="S122" s="39">
        <f>'Degree-days'!$F$12*IF($E122=$E$5,(S$5),(S$6))</f>
        <v>0</v>
      </c>
      <c r="T122" s="39">
        <f>'Degree-days'!$F$12*IF($E122=$E$5,(T$5),(T$6))</f>
        <v>0</v>
      </c>
      <c r="U122" s="39">
        <f>'Degree-days'!$F$12*IF($E122=$E$5,(U$5),(U$6))</f>
        <v>2.1331041704226341</v>
      </c>
      <c r="V122" s="39">
        <f>'Degree-days'!$F$12*IF($E122=$E$5,(V$5),(V$6))</f>
        <v>2.1331041704226341</v>
      </c>
      <c r="W122" s="39">
        <f>'Degree-days'!$F$12*IF($E122=$E$5,(W$5),(W$6))</f>
        <v>2.1331041704226341</v>
      </c>
      <c r="X122" s="39">
        <f>'Degree-days'!$F$12*IF($E122=$E$5,(X$5),(X$6))</f>
        <v>2.1331041704226341</v>
      </c>
      <c r="Y122" s="39">
        <f>'Degree-days'!$F$12*IF($E122=$E$5,(Y$5),(Y$6))</f>
        <v>2.1331041704226341</v>
      </c>
      <c r="Z122" s="39">
        <f>'Degree-days'!$F$12*IF($E122=$E$5,(Z$5),(Z$6))</f>
        <v>2.1331041704226341</v>
      </c>
      <c r="AA122" s="39">
        <f>'Degree-days'!$F$12*IF($E122=$E$5,(AA$5),(AA$6))</f>
        <v>2.1331041704226341</v>
      </c>
      <c r="AB122" s="39">
        <f>'Degree-days'!$F$12*IF($E122=$E$5,(AB$5),(AB$6))</f>
        <v>0</v>
      </c>
      <c r="AC122" s="39">
        <f>'Degree-days'!$F$12*IF($E122=$E$5,(AC$5),(AC$6))</f>
        <v>0</v>
      </c>
      <c r="AD122" s="39">
        <f t="shared" si="4"/>
        <v>19.197937533803707</v>
      </c>
    </row>
    <row r="123" spans="4:32" x14ac:dyDescent="0.2">
      <c r="D123" s="37">
        <v>45042</v>
      </c>
      <c r="E123" s="17" t="str">
        <f t="shared" si="2"/>
        <v>weekday</v>
      </c>
      <c r="F123" s="39">
        <f>'Degree-days'!$F$12*IF($E123=$E$5,(F$5),(F$6))</f>
        <v>0</v>
      </c>
      <c r="G123" s="39">
        <f>'Degree-days'!$F$12*IF($E123=$E$5,(G$5),(G$6))</f>
        <v>0</v>
      </c>
      <c r="H123" s="39">
        <f>'Degree-days'!$F$12*IF($E123=$E$5,(H$5),(H$6))</f>
        <v>0</v>
      </c>
      <c r="I123" s="39">
        <f>'Degree-days'!$F$12*IF($E123=$E$5,(I$5),(I$6))</f>
        <v>0</v>
      </c>
      <c r="J123" s="39">
        <f>'Degree-days'!$F$12*IF($E123=$E$5,(J$5),(J$6))</f>
        <v>0</v>
      </c>
      <c r="K123" s="39">
        <f>'Degree-days'!$F$12*IF($E123=$E$5,(K$5),(K$6))</f>
        <v>0</v>
      </c>
      <c r="L123" s="39">
        <f>'Degree-days'!$F$12*IF($E123=$E$5,(L$5),(L$6))</f>
        <v>2.1331041704226341</v>
      </c>
      <c r="M123" s="39">
        <f>'Degree-days'!$F$12*IF($E123=$E$5,(M$5),(M$6))</f>
        <v>2.1331041704226341</v>
      </c>
      <c r="N123" s="39">
        <f>'Degree-days'!$F$12*IF($E123=$E$5,(N$5),(N$6))</f>
        <v>0</v>
      </c>
      <c r="O123" s="39">
        <f>'Degree-days'!$F$12*IF($E123=$E$5,(O$5),(O$6))</f>
        <v>0</v>
      </c>
      <c r="P123" s="39">
        <f>'Degree-days'!$F$12*IF($E123=$E$5,(P$5),(P$6))</f>
        <v>0</v>
      </c>
      <c r="Q123" s="39">
        <f>'Degree-days'!$F$12*IF($E123=$E$5,(Q$5),(Q$6))</f>
        <v>0</v>
      </c>
      <c r="R123" s="39">
        <f>'Degree-days'!$F$12*IF($E123=$E$5,(R$5),(R$6))</f>
        <v>0</v>
      </c>
      <c r="S123" s="39">
        <f>'Degree-days'!$F$12*IF($E123=$E$5,(S$5),(S$6))</f>
        <v>0</v>
      </c>
      <c r="T123" s="39">
        <f>'Degree-days'!$F$12*IF($E123=$E$5,(T$5),(T$6))</f>
        <v>0</v>
      </c>
      <c r="U123" s="39">
        <f>'Degree-days'!$F$12*IF($E123=$E$5,(U$5),(U$6))</f>
        <v>2.1331041704226341</v>
      </c>
      <c r="V123" s="39">
        <f>'Degree-days'!$F$12*IF($E123=$E$5,(V$5),(V$6))</f>
        <v>2.1331041704226341</v>
      </c>
      <c r="W123" s="39">
        <f>'Degree-days'!$F$12*IF($E123=$E$5,(W$5),(W$6))</f>
        <v>2.1331041704226341</v>
      </c>
      <c r="X123" s="39">
        <f>'Degree-days'!$F$12*IF($E123=$E$5,(X$5),(X$6))</f>
        <v>2.1331041704226341</v>
      </c>
      <c r="Y123" s="39">
        <f>'Degree-days'!$F$12*IF($E123=$E$5,(Y$5),(Y$6))</f>
        <v>2.1331041704226341</v>
      </c>
      <c r="Z123" s="39">
        <f>'Degree-days'!$F$12*IF($E123=$E$5,(Z$5),(Z$6))</f>
        <v>2.1331041704226341</v>
      </c>
      <c r="AA123" s="39">
        <f>'Degree-days'!$F$12*IF($E123=$E$5,(AA$5),(AA$6))</f>
        <v>2.1331041704226341</v>
      </c>
      <c r="AB123" s="39">
        <f>'Degree-days'!$F$12*IF($E123=$E$5,(AB$5),(AB$6))</f>
        <v>0</v>
      </c>
      <c r="AC123" s="39">
        <f>'Degree-days'!$F$12*IF($E123=$E$5,(AC$5),(AC$6))</f>
        <v>0</v>
      </c>
      <c r="AD123" s="39">
        <f t="shared" si="4"/>
        <v>19.197937533803707</v>
      </c>
    </row>
    <row r="124" spans="4:32" x14ac:dyDescent="0.2">
      <c r="D124" s="37">
        <v>45043</v>
      </c>
      <c r="E124" s="17" t="str">
        <f t="shared" si="2"/>
        <v>weekday</v>
      </c>
      <c r="F124" s="39">
        <f>'Degree-days'!$F$12*IF($E124=$E$5,(F$5),(F$6))</f>
        <v>0</v>
      </c>
      <c r="G124" s="39">
        <f>'Degree-days'!$F$12*IF($E124=$E$5,(G$5),(G$6))</f>
        <v>0</v>
      </c>
      <c r="H124" s="39">
        <f>'Degree-days'!$F$12*IF($E124=$E$5,(H$5),(H$6))</f>
        <v>0</v>
      </c>
      <c r="I124" s="39">
        <f>'Degree-days'!$F$12*IF($E124=$E$5,(I$5),(I$6))</f>
        <v>0</v>
      </c>
      <c r="J124" s="39">
        <f>'Degree-days'!$F$12*IF($E124=$E$5,(J$5),(J$6))</f>
        <v>0</v>
      </c>
      <c r="K124" s="39">
        <f>'Degree-days'!$F$12*IF($E124=$E$5,(K$5),(K$6))</f>
        <v>0</v>
      </c>
      <c r="L124" s="39">
        <f>'Degree-days'!$F$12*IF($E124=$E$5,(L$5),(L$6))</f>
        <v>2.1331041704226341</v>
      </c>
      <c r="M124" s="39">
        <f>'Degree-days'!$F$12*IF($E124=$E$5,(M$5),(M$6))</f>
        <v>2.1331041704226341</v>
      </c>
      <c r="N124" s="39">
        <f>'Degree-days'!$F$12*IF($E124=$E$5,(N$5),(N$6))</f>
        <v>0</v>
      </c>
      <c r="O124" s="39">
        <f>'Degree-days'!$F$12*IF($E124=$E$5,(O$5),(O$6))</f>
        <v>0</v>
      </c>
      <c r="P124" s="39">
        <f>'Degree-days'!$F$12*IF($E124=$E$5,(P$5),(P$6))</f>
        <v>0</v>
      </c>
      <c r="Q124" s="39">
        <f>'Degree-days'!$F$12*IF($E124=$E$5,(Q$5),(Q$6))</f>
        <v>0</v>
      </c>
      <c r="R124" s="39">
        <f>'Degree-days'!$F$12*IF($E124=$E$5,(R$5),(R$6))</f>
        <v>0</v>
      </c>
      <c r="S124" s="39">
        <f>'Degree-days'!$F$12*IF($E124=$E$5,(S$5),(S$6))</f>
        <v>0</v>
      </c>
      <c r="T124" s="39">
        <f>'Degree-days'!$F$12*IF($E124=$E$5,(T$5),(T$6))</f>
        <v>0</v>
      </c>
      <c r="U124" s="39">
        <f>'Degree-days'!$F$12*IF($E124=$E$5,(U$5),(U$6))</f>
        <v>2.1331041704226341</v>
      </c>
      <c r="V124" s="39">
        <f>'Degree-days'!$F$12*IF($E124=$E$5,(V$5),(V$6))</f>
        <v>2.1331041704226341</v>
      </c>
      <c r="W124" s="39">
        <f>'Degree-days'!$F$12*IF($E124=$E$5,(W$5),(W$6))</f>
        <v>2.1331041704226341</v>
      </c>
      <c r="X124" s="39">
        <f>'Degree-days'!$F$12*IF($E124=$E$5,(X$5),(X$6))</f>
        <v>2.1331041704226341</v>
      </c>
      <c r="Y124" s="39">
        <f>'Degree-days'!$F$12*IF($E124=$E$5,(Y$5),(Y$6))</f>
        <v>2.1331041704226341</v>
      </c>
      <c r="Z124" s="39">
        <f>'Degree-days'!$F$12*IF($E124=$E$5,(Z$5),(Z$6))</f>
        <v>2.1331041704226341</v>
      </c>
      <c r="AA124" s="39">
        <f>'Degree-days'!$F$12*IF($E124=$E$5,(AA$5),(AA$6))</f>
        <v>2.1331041704226341</v>
      </c>
      <c r="AB124" s="39">
        <f>'Degree-days'!$F$12*IF($E124=$E$5,(AB$5),(AB$6))</f>
        <v>0</v>
      </c>
      <c r="AC124" s="39">
        <f>'Degree-days'!$F$12*IF($E124=$E$5,(AC$5),(AC$6))</f>
        <v>0</v>
      </c>
      <c r="AD124" s="39">
        <f t="shared" si="4"/>
        <v>19.197937533803707</v>
      </c>
    </row>
    <row r="125" spans="4:32" x14ac:dyDescent="0.2">
      <c r="D125" s="37">
        <v>45044</v>
      </c>
      <c r="E125" s="17" t="str">
        <f t="shared" si="2"/>
        <v>weekday</v>
      </c>
      <c r="F125" s="39">
        <f>'Degree-days'!$F$12*IF($E125=$E$5,(F$5),(F$6))</f>
        <v>0</v>
      </c>
      <c r="G125" s="39">
        <f>'Degree-days'!$F$12*IF($E125=$E$5,(G$5),(G$6))</f>
        <v>0</v>
      </c>
      <c r="H125" s="39">
        <f>'Degree-days'!$F$12*IF($E125=$E$5,(H$5),(H$6))</f>
        <v>0</v>
      </c>
      <c r="I125" s="39">
        <f>'Degree-days'!$F$12*IF($E125=$E$5,(I$5),(I$6))</f>
        <v>0</v>
      </c>
      <c r="J125" s="39">
        <f>'Degree-days'!$F$12*IF($E125=$E$5,(J$5),(J$6))</f>
        <v>0</v>
      </c>
      <c r="K125" s="39">
        <f>'Degree-days'!$F$12*IF($E125=$E$5,(K$5),(K$6))</f>
        <v>0</v>
      </c>
      <c r="L125" s="39">
        <f>'Degree-days'!$F$12*IF($E125=$E$5,(L$5),(L$6))</f>
        <v>2.1331041704226341</v>
      </c>
      <c r="M125" s="39">
        <f>'Degree-days'!$F$12*IF($E125=$E$5,(M$5),(M$6))</f>
        <v>2.1331041704226341</v>
      </c>
      <c r="N125" s="39">
        <f>'Degree-days'!$F$12*IF($E125=$E$5,(N$5),(N$6))</f>
        <v>0</v>
      </c>
      <c r="O125" s="39">
        <f>'Degree-days'!$F$12*IF($E125=$E$5,(O$5),(O$6))</f>
        <v>0</v>
      </c>
      <c r="P125" s="39">
        <f>'Degree-days'!$F$12*IF($E125=$E$5,(P$5),(P$6))</f>
        <v>0</v>
      </c>
      <c r="Q125" s="39">
        <f>'Degree-days'!$F$12*IF($E125=$E$5,(Q$5),(Q$6))</f>
        <v>0</v>
      </c>
      <c r="R125" s="39">
        <f>'Degree-days'!$F$12*IF($E125=$E$5,(R$5),(R$6))</f>
        <v>0</v>
      </c>
      <c r="S125" s="39">
        <f>'Degree-days'!$F$12*IF($E125=$E$5,(S$5),(S$6))</f>
        <v>0</v>
      </c>
      <c r="T125" s="39">
        <f>'Degree-days'!$F$12*IF($E125=$E$5,(T$5),(T$6))</f>
        <v>0</v>
      </c>
      <c r="U125" s="39">
        <f>'Degree-days'!$F$12*IF($E125=$E$5,(U$5),(U$6))</f>
        <v>2.1331041704226341</v>
      </c>
      <c r="V125" s="39">
        <f>'Degree-days'!$F$12*IF($E125=$E$5,(V$5),(V$6))</f>
        <v>2.1331041704226341</v>
      </c>
      <c r="W125" s="39">
        <f>'Degree-days'!$F$12*IF($E125=$E$5,(W$5),(W$6))</f>
        <v>2.1331041704226341</v>
      </c>
      <c r="X125" s="39">
        <f>'Degree-days'!$F$12*IF($E125=$E$5,(X$5),(X$6))</f>
        <v>2.1331041704226341</v>
      </c>
      <c r="Y125" s="39">
        <f>'Degree-days'!$F$12*IF($E125=$E$5,(Y$5),(Y$6))</f>
        <v>2.1331041704226341</v>
      </c>
      <c r="Z125" s="39">
        <f>'Degree-days'!$F$12*IF($E125=$E$5,(Z$5),(Z$6))</f>
        <v>2.1331041704226341</v>
      </c>
      <c r="AA125" s="39">
        <f>'Degree-days'!$F$12*IF($E125=$E$5,(AA$5),(AA$6))</f>
        <v>2.1331041704226341</v>
      </c>
      <c r="AB125" s="39">
        <f>'Degree-days'!$F$12*IF($E125=$E$5,(AB$5),(AB$6))</f>
        <v>0</v>
      </c>
      <c r="AC125" s="39">
        <f>'Degree-days'!$F$12*IF($E125=$E$5,(AC$5),(AC$6))</f>
        <v>0</v>
      </c>
      <c r="AD125" s="39">
        <f t="shared" si="4"/>
        <v>19.197937533803707</v>
      </c>
    </row>
    <row r="126" spans="4:32" x14ac:dyDescent="0.2">
      <c r="D126" s="37">
        <v>45045</v>
      </c>
      <c r="E126" s="17" t="str">
        <f t="shared" si="2"/>
        <v>weekend</v>
      </c>
      <c r="F126" s="39">
        <f>'Degree-days'!$F$12*IF($E126=$E$5,(F$5),(F$6))</f>
        <v>0</v>
      </c>
      <c r="G126" s="39">
        <f>'Degree-days'!$F$12*IF($E126=$E$5,(G$5),(G$6))</f>
        <v>0</v>
      </c>
      <c r="H126" s="39">
        <f>'Degree-days'!$F$12*IF($E126=$E$5,(H$5),(H$6))</f>
        <v>0</v>
      </c>
      <c r="I126" s="39">
        <f>'Degree-days'!$F$12*IF($E126=$E$5,(I$5),(I$6))</f>
        <v>0</v>
      </c>
      <c r="J126" s="39">
        <f>'Degree-days'!$F$12*IF($E126=$E$5,(J$5),(J$6))</f>
        <v>0</v>
      </c>
      <c r="K126" s="39">
        <f>'Degree-days'!$F$12*IF($E126=$E$5,(K$5),(K$6))</f>
        <v>0</v>
      </c>
      <c r="L126" s="39">
        <f>'Degree-days'!$F$12*IF($E126=$E$5,(L$5),(L$6))</f>
        <v>2.1331041704226341</v>
      </c>
      <c r="M126" s="39">
        <f>'Degree-days'!$F$12*IF($E126=$E$5,(M$5),(M$6))</f>
        <v>2.1331041704226341</v>
      </c>
      <c r="N126" s="39">
        <f>'Degree-days'!$F$12*IF($E126=$E$5,(N$5),(N$6))</f>
        <v>2.1331041704226341</v>
      </c>
      <c r="O126" s="39">
        <f>'Degree-days'!$F$12*IF($E126=$E$5,(O$5),(O$6))</f>
        <v>2.1331041704226341</v>
      </c>
      <c r="P126" s="39">
        <f>'Degree-days'!$F$12*IF($E126=$E$5,(P$5),(P$6))</f>
        <v>2.1331041704226341</v>
      </c>
      <c r="Q126" s="39">
        <f>'Degree-days'!$F$12*IF($E126=$E$5,(Q$5),(Q$6))</f>
        <v>2.1331041704226341</v>
      </c>
      <c r="R126" s="39">
        <f>'Degree-days'!$F$12*IF($E126=$E$5,(R$5),(R$6))</f>
        <v>2.1331041704226341</v>
      </c>
      <c r="S126" s="39">
        <f>'Degree-days'!$F$12*IF($E126=$E$5,(S$5),(S$6))</f>
        <v>2.1331041704226341</v>
      </c>
      <c r="T126" s="39">
        <f>'Degree-days'!$F$12*IF($E126=$E$5,(T$5),(T$6))</f>
        <v>2.1331041704226341</v>
      </c>
      <c r="U126" s="39">
        <f>'Degree-days'!$F$12*IF($E126=$E$5,(U$5),(U$6))</f>
        <v>2.1331041704226341</v>
      </c>
      <c r="V126" s="39">
        <f>'Degree-days'!$F$12*IF($E126=$E$5,(V$5),(V$6))</f>
        <v>2.1331041704226341</v>
      </c>
      <c r="W126" s="39">
        <f>'Degree-days'!$F$12*IF($E126=$E$5,(W$5),(W$6))</f>
        <v>2.1331041704226341</v>
      </c>
      <c r="X126" s="39">
        <f>'Degree-days'!$F$12*IF($E126=$E$5,(X$5),(X$6))</f>
        <v>2.1331041704226341</v>
      </c>
      <c r="Y126" s="39">
        <f>'Degree-days'!$F$12*IF($E126=$E$5,(Y$5),(Y$6))</f>
        <v>2.1331041704226341</v>
      </c>
      <c r="Z126" s="39">
        <f>'Degree-days'!$F$12*IF($E126=$E$5,(Z$5),(Z$6))</f>
        <v>2.1331041704226341</v>
      </c>
      <c r="AA126" s="39">
        <f>'Degree-days'!$F$12*IF($E126=$E$5,(AA$5),(AA$6))</f>
        <v>2.1331041704226341</v>
      </c>
      <c r="AB126" s="39">
        <f>'Degree-days'!$F$12*IF($E126=$E$5,(AB$5),(AB$6))</f>
        <v>0</v>
      </c>
      <c r="AC126" s="39">
        <f>'Degree-days'!$F$12*IF($E126=$E$5,(AC$5),(AC$6))</f>
        <v>0</v>
      </c>
      <c r="AD126" s="39">
        <f t="shared" si="4"/>
        <v>34.129666726762146</v>
      </c>
    </row>
    <row r="127" spans="4:32" x14ac:dyDescent="0.2">
      <c r="D127" s="37">
        <v>45046</v>
      </c>
      <c r="E127" s="17" t="str">
        <f t="shared" si="2"/>
        <v>weekend</v>
      </c>
      <c r="F127" s="39">
        <f>'Degree-days'!$F$12*IF($E127=$E$5,(F$5),(F$6))</f>
        <v>0</v>
      </c>
      <c r="G127" s="39">
        <f>'Degree-days'!$F$12*IF($E127=$E$5,(G$5),(G$6))</f>
        <v>0</v>
      </c>
      <c r="H127" s="39">
        <f>'Degree-days'!$F$12*IF($E127=$E$5,(H$5),(H$6))</f>
        <v>0</v>
      </c>
      <c r="I127" s="39">
        <f>'Degree-days'!$F$12*IF($E127=$E$5,(I$5),(I$6))</f>
        <v>0</v>
      </c>
      <c r="J127" s="39">
        <f>'Degree-days'!$F$12*IF($E127=$E$5,(J$5),(J$6))</f>
        <v>0</v>
      </c>
      <c r="K127" s="39">
        <f>'Degree-days'!$F$12*IF($E127=$E$5,(K$5),(K$6))</f>
        <v>0</v>
      </c>
      <c r="L127" s="39">
        <f>'Degree-days'!$F$12*IF($E127=$E$5,(L$5),(L$6))</f>
        <v>2.1331041704226341</v>
      </c>
      <c r="M127" s="39">
        <f>'Degree-days'!$F$12*IF($E127=$E$5,(M$5),(M$6))</f>
        <v>2.1331041704226341</v>
      </c>
      <c r="N127" s="39">
        <f>'Degree-days'!$F$12*IF($E127=$E$5,(N$5),(N$6))</f>
        <v>2.1331041704226341</v>
      </c>
      <c r="O127" s="39">
        <f>'Degree-days'!$F$12*IF($E127=$E$5,(O$5),(O$6))</f>
        <v>2.1331041704226341</v>
      </c>
      <c r="P127" s="39">
        <f>'Degree-days'!$F$12*IF($E127=$E$5,(P$5),(P$6))</f>
        <v>2.1331041704226341</v>
      </c>
      <c r="Q127" s="39">
        <f>'Degree-days'!$F$12*IF($E127=$E$5,(Q$5),(Q$6))</f>
        <v>2.1331041704226341</v>
      </c>
      <c r="R127" s="39">
        <f>'Degree-days'!$F$12*IF($E127=$E$5,(R$5),(R$6))</f>
        <v>2.1331041704226341</v>
      </c>
      <c r="S127" s="39">
        <f>'Degree-days'!$F$12*IF($E127=$E$5,(S$5),(S$6))</f>
        <v>2.1331041704226341</v>
      </c>
      <c r="T127" s="39">
        <f>'Degree-days'!$F$12*IF($E127=$E$5,(T$5),(T$6))</f>
        <v>2.1331041704226341</v>
      </c>
      <c r="U127" s="39">
        <f>'Degree-days'!$F$12*IF($E127=$E$5,(U$5),(U$6))</f>
        <v>2.1331041704226341</v>
      </c>
      <c r="V127" s="39">
        <f>'Degree-days'!$F$12*IF($E127=$E$5,(V$5),(V$6))</f>
        <v>2.1331041704226341</v>
      </c>
      <c r="W127" s="39">
        <f>'Degree-days'!$F$12*IF($E127=$E$5,(W$5),(W$6))</f>
        <v>2.1331041704226341</v>
      </c>
      <c r="X127" s="39">
        <f>'Degree-days'!$F$12*IF($E127=$E$5,(X$5),(X$6))</f>
        <v>2.1331041704226341</v>
      </c>
      <c r="Y127" s="39">
        <f>'Degree-days'!$F$12*IF($E127=$E$5,(Y$5),(Y$6))</f>
        <v>2.1331041704226341</v>
      </c>
      <c r="Z127" s="39">
        <f>'Degree-days'!$F$12*IF($E127=$E$5,(Z$5),(Z$6))</f>
        <v>2.1331041704226341</v>
      </c>
      <c r="AA127" s="39">
        <f>'Degree-days'!$F$12*IF($E127=$E$5,(AA$5),(AA$6))</f>
        <v>2.1331041704226341</v>
      </c>
      <c r="AB127" s="39">
        <f>'Degree-days'!$F$12*IF($E127=$E$5,(AB$5),(AB$6))</f>
        <v>0</v>
      </c>
      <c r="AC127" s="39">
        <f>'Degree-days'!$F$12*IF($E127=$E$5,(AC$5),(AC$6))</f>
        <v>0</v>
      </c>
      <c r="AD127" s="39">
        <f t="shared" si="4"/>
        <v>34.129666726762146</v>
      </c>
      <c r="AE127" s="40">
        <f>SUM(AD98:AD127)</f>
        <v>725.25541794369576</v>
      </c>
      <c r="AF127" s="35">
        <f>'Degree-days'!F11</f>
        <v>725.25541794369553</v>
      </c>
    </row>
    <row r="128" spans="4:32" x14ac:dyDescent="0.2">
      <c r="D128" s="37">
        <v>45047</v>
      </c>
      <c r="E128" s="17" t="str">
        <f t="shared" si="2"/>
        <v>weekday</v>
      </c>
      <c r="F128" s="39">
        <f>'Degree-days'!$G$12*IF($E128=$E$5,(F$5),(F$6))</f>
        <v>0</v>
      </c>
      <c r="G128" s="39">
        <f>'Degree-days'!$G$12*IF($E128=$E$5,(G$5),(G$6))</f>
        <v>0</v>
      </c>
      <c r="H128" s="39">
        <f>'Degree-days'!$G$12*IF($E128=$E$5,(H$5),(H$6))</f>
        <v>0</v>
      </c>
      <c r="I128" s="39">
        <f>'Degree-days'!$G$12*IF($E128=$E$5,(I$5),(I$6))</f>
        <v>0</v>
      </c>
      <c r="J128" s="39">
        <f>'Degree-days'!$G$12*IF($E128=$E$5,(J$5),(J$6))</f>
        <v>0</v>
      </c>
      <c r="K128" s="39">
        <f>'Degree-days'!$G$12*IF($E128=$E$5,(K$5),(K$6))</f>
        <v>0</v>
      </c>
      <c r="L128" s="39">
        <f>'Degree-days'!$G$12*IF($E128=$E$5,(L$5),(L$6))</f>
        <v>1.3106918935612442</v>
      </c>
      <c r="M128" s="39">
        <f>'Degree-days'!$G$12*IF($E128=$E$5,(M$5),(M$6))</f>
        <v>1.3106918935612442</v>
      </c>
      <c r="N128" s="39">
        <f>'Degree-days'!$G$12*IF($E128=$E$5,(N$5),(N$6))</f>
        <v>0</v>
      </c>
      <c r="O128" s="39">
        <f>'Degree-days'!$G$12*IF($E128=$E$5,(O$5),(O$6))</f>
        <v>0</v>
      </c>
      <c r="P128" s="39">
        <f>'Degree-days'!$G$12*IF($E128=$E$5,(P$5),(P$6))</f>
        <v>0</v>
      </c>
      <c r="Q128" s="39">
        <f>'Degree-days'!$G$12*IF($E128=$E$5,(Q$5),(Q$6))</f>
        <v>0</v>
      </c>
      <c r="R128" s="39">
        <f>'Degree-days'!$G$12*IF($E128=$E$5,(R$5),(R$6))</f>
        <v>0</v>
      </c>
      <c r="S128" s="39">
        <f>'Degree-days'!$G$12*IF($E128=$E$5,(S$5),(S$6))</f>
        <v>0</v>
      </c>
      <c r="T128" s="39">
        <f>'Degree-days'!$G$12*IF($E128=$E$5,(T$5),(T$6))</f>
        <v>0</v>
      </c>
      <c r="U128" s="39">
        <f>'Degree-days'!$G$12*IF($E128=$E$5,(U$5),(U$6))</f>
        <v>1.3106918935612442</v>
      </c>
      <c r="V128" s="39">
        <f>'Degree-days'!$G$12*IF($E128=$E$5,(V$5),(V$6))</f>
        <v>1.3106918935612442</v>
      </c>
      <c r="W128" s="39">
        <f>'Degree-days'!$G$12*IF($E128=$E$5,(W$5),(W$6))</f>
        <v>1.3106918935612442</v>
      </c>
      <c r="X128" s="39">
        <f>'Degree-days'!$G$12*IF($E128=$E$5,(X$5),(X$6))</f>
        <v>1.3106918935612442</v>
      </c>
      <c r="Y128" s="39">
        <f>'Degree-days'!$G$12*IF($E128=$E$5,(Y$5),(Y$6))</f>
        <v>1.3106918935612442</v>
      </c>
      <c r="Z128" s="39">
        <f>'Degree-days'!$G$12*IF($E128=$E$5,(Z$5),(Z$6))</f>
        <v>1.3106918935612442</v>
      </c>
      <c r="AA128" s="39">
        <f>'Degree-days'!$G$12*IF($E128=$E$5,(AA$5),(AA$6))</f>
        <v>1.3106918935612442</v>
      </c>
      <c r="AB128" s="39">
        <f>'Degree-days'!$G$12*IF($E128=$E$5,(AB$5),(AB$6))</f>
        <v>0</v>
      </c>
      <c r="AC128" s="39">
        <f>'Degree-days'!$G$12*IF($E128=$E$5,(AC$5),(AC$6))</f>
        <v>0</v>
      </c>
      <c r="AD128" s="39">
        <f>SUM(F128:AC128)</f>
        <v>11.796227042051198</v>
      </c>
    </row>
    <row r="129" spans="4:30" x14ac:dyDescent="0.2">
      <c r="D129" s="37">
        <v>45048</v>
      </c>
      <c r="E129" s="17" t="str">
        <f t="shared" si="2"/>
        <v>weekday</v>
      </c>
      <c r="F129" s="39">
        <f>'Degree-days'!$G$12*IF($E129=$E$5,(F$5),(F$6))</f>
        <v>0</v>
      </c>
      <c r="G129" s="39">
        <f>'Degree-days'!$G$12*IF($E129=$E$5,(G$5),(G$6))</f>
        <v>0</v>
      </c>
      <c r="H129" s="39">
        <f>'Degree-days'!$G$12*IF($E129=$E$5,(H$5),(H$6))</f>
        <v>0</v>
      </c>
      <c r="I129" s="39">
        <f>'Degree-days'!$G$12*IF($E129=$E$5,(I$5),(I$6))</f>
        <v>0</v>
      </c>
      <c r="J129" s="39">
        <f>'Degree-days'!$G$12*IF($E129=$E$5,(J$5),(J$6))</f>
        <v>0</v>
      </c>
      <c r="K129" s="39">
        <f>'Degree-days'!$G$12*IF($E129=$E$5,(K$5),(K$6))</f>
        <v>0</v>
      </c>
      <c r="L129" s="39">
        <f>'Degree-days'!$G$12*IF($E129=$E$5,(L$5),(L$6))</f>
        <v>1.3106918935612442</v>
      </c>
      <c r="M129" s="39">
        <f>'Degree-days'!$G$12*IF($E129=$E$5,(M$5),(M$6))</f>
        <v>1.3106918935612442</v>
      </c>
      <c r="N129" s="39">
        <f>'Degree-days'!$G$12*IF($E129=$E$5,(N$5),(N$6))</f>
        <v>0</v>
      </c>
      <c r="O129" s="39">
        <f>'Degree-days'!$G$12*IF($E129=$E$5,(O$5),(O$6))</f>
        <v>0</v>
      </c>
      <c r="P129" s="39">
        <f>'Degree-days'!$G$12*IF($E129=$E$5,(P$5),(P$6))</f>
        <v>0</v>
      </c>
      <c r="Q129" s="39">
        <f>'Degree-days'!$G$12*IF($E129=$E$5,(Q$5),(Q$6))</f>
        <v>0</v>
      </c>
      <c r="R129" s="39">
        <f>'Degree-days'!$G$12*IF($E129=$E$5,(R$5),(R$6))</f>
        <v>0</v>
      </c>
      <c r="S129" s="39">
        <f>'Degree-days'!$G$12*IF($E129=$E$5,(S$5),(S$6))</f>
        <v>0</v>
      </c>
      <c r="T129" s="39">
        <f>'Degree-days'!$G$12*IF($E129=$E$5,(T$5),(T$6))</f>
        <v>0</v>
      </c>
      <c r="U129" s="39">
        <f>'Degree-days'!$G$12*IF($E129=$E$5,(U$5),(U$6))</f>
        <v>1.3106918935612442</v>
      </c>
      <c r="V129" s="39">
        <f>'Degree-days'!$G$12*IF($E129=$E$5,(V$5),(V$6))</f>
        <v>1.3106918935612442</v>
      </c>
      <c r="W129" s="39">
        <f>'Degree-days'!$G$12*IF($E129=$E$5,(W$5),(W$6))</f>
        <v>1.3106918935612442</v>
      </c>
      <c r="X129" s="39">
        <f>'Degree-days'!$G$12*IF($E129=$E$5,(X$5),(X$6))</f>
        <v>1.3106918935612442</v>
      </c>
      <c r="Y129" s="39">
        <f>'Degree-days'!$G$12*IF($E129=$E$5,(Y$5),(Y$6))</f>
        <v>1.3106918935612442</v>
      </c>
      <c r="Z129" s="39">
        <f>'Degree-days'!$G$12*IF($E129=$E$5,(Z$5),(Z$6))</f>
        <v>1.3106918935612442</v>
      </c>
      <c r="AA129" s="39">
        <f>'Degree-days'!$G$12*IF($E129=$E$5,(AA$5),(AA$6))</f>
        <v>1.3106918935612442</v>
      </c>
      <c r="AB129" s="39">
        <f>'Degree-days'!$G$12*IF($E129=$E$5,(AB$5),(AB$6))</f>
        <v>0</v>
      </c>
      <c r="AC129" s="39">
        <f>'Degree-days'!$G$12*IF($E129=$E$5,(AC$5),(AC$6))</f>
        <v>0</v>
      </c>
      <c r="AD129" s="39">
        <f t="shared" ref="AD129:AD158" si="5">SUM(F129:AC129)</f>
        <v>11.796227042051198</v>
      </c>
    </row>
    <row r="130" spans="4:30" x14ac:dyDescent="0.2">
      <c r="D130" s="37">
        <v>45049</v>
      </c>
      <c r="E130" s="17" t="str">
        <f t="shared" si="2"/>
        <v>weekday</v>
      </c>
      <c r="F130" s="39">
        <f>'Degree-days'!$G$12*IF($E130=$E$5,(F$5),(F$6))</f>
        <v>0</v>
      </c>
      <c r="G130" s="39">
        <f>'Degree-days'!$G$12*IF($E130=$E$5,(G$5),(G$6))</f>
        <v>0</v>
      </c>
      <c r="H130" s="39">
        <f>'Degree-days'!$G$12*IF($E130=$E$5,(H$5),(H$6))</f>
        <v>0</v>
      </c>
      <c r="I130" s="39">
        <f>'Degree-days'!$G$12*IF($E130=$E$5,(I$5),(I$6))</f>
        <v>0</v>
      </c>
      <c r="J130" s="39">
        <f>'Degree-days'!$G$12*IF($E130=$E$5,(J$5),(J$6))</f>
        <v>0</v>
      </c>
      <c r="K130" s="39">
        <f>'Degree-days'!$G$12*IF($E130=$E$5,(K$5),(K$6))</f>
        <v>0</v>
      </c>
      <c r="L130" s="39">
        <f>'Degree-days'!$G$12*IF($E130=$E$5,(L$5),(L$6))</f>
        <v>1.3106918935612442</v>
      </c>
      <c r="M130" s="39">
        <f>'Degree-days'!$G$12*IF($E130=$E$5,(M$5),(M$6))</f>
        <v>1.3106918935612442</v>
      </c>
      <c r="N130" s="39">
        <f>'Degree-days'!$G$12*IF($E130=$E$5,(N$5),(N$6))</f>
        <v>0</v>
      </c>
      <c r="O130" s="39">
        <f>'Degree-days'!$G$12*IF($E130=$E$5,(O$5),(O$6))</f>
        <v>0</v>
      </c>
      <c r="P130" s="39">
        <f>'Degree-days'!$G$12*IF($E130=$E$5,(P$5),(P$6))</f>
        <v>0</v>
      </c>
      <c r="Q130" s="39">
        <f>'Degree-days'!$G$12*IF($E130=$E$5,(Q$5),(Q$6))</f>
        <v>0</v>
      </c>
      <c r="R130" s="39">
        <f>'Degree-days'!$G$12*IF($E130=$E$5,(R$5),(R$6))</f>
        <v>0</v>
      </c>
      <c r="S130" s="39">
        <f>'Degree-days'!$G$12*IF($E130=$E$5,(S$5),(S$6))</f>
        <v>0</v>
      </c>
      <c r="T130" s="39">
        <f>'Degree-days'!$G$12*IF($E130=$E$5,(T$5),(T$6))</f>
        <v>0</v>
      </c>
      <c r="U130" s="39">
        <f>'Degree-days'!$G$12*IF($E130=$E$5,(U$5),(U$6))</f>
        <v>1.3106918935612442</v>
      </c>
      <c r="V130" s="39">
        <f>'Degree-days'!$G$12*IF($E130=$E$5,(V$5),(V$6))</f>
        <v>1.3106918935612442</v>
      </c>
      <c r="W130" s="39">
        <f>'Degree-days'!$G$12*IF($E130=$E$5,(W$5),(W$6))</f>
        <v>1.3106918935612442</v>
      </c>
      <c r="X130" s="39">
        <f>'Degree-days'!$G$12*IF($E130=$E$5,(X$5),(X$6))</f>
        <v>1.3106918935612442</v>
      </c>
      <c r="Y130" s="39">
        <f>'Degree-days'!$G$12*IF($E130=$E$5,(Y$5),(Y$6))</f>
        <v>1.3106918935612442</v>
      </c>
      <c r="Z130" s="39">
        <f>'Degree-days'!$G$12*IF($E130=$E$5,(Z$5),(Z$6))</f>
        <v>1.3106918935612442</v>
      </c>
      <c r="AA130" s="39">
        <f>'Degree-days'!$G$12*IF($E130=$E$5,(AA$5),(AA$6))</f>
        <v>1.3106918935612442</v>
      </c>
      <c r="AB130" s="39">
        <f>'Degree-days'!$G$12*IF($E130=$E$5,(AB$5),(AB$6))</f>
        <v>0</v>
      </c>
      <c r="AC130" s="39">
        <f>'Degree-days'!$G$12*IF($E130=$E$5,(AC$5),(AC$6))</f>
        <v>0</v>
      </c>
      <c r="AD130" s="39">
        <f t="shared" si="5"/>
        <v>11.796227042051198</v>
      </c>
    </row>
    <row r="131" spans="4:30" x14ac:dyDescent="0.2">
      <c r="D131" s="37">
        <v>45050</v>
      </c>
      <c r="E131" s="17" t="str">
        <f t="shared" si="2"/>
        <v>weekday</v>
      </c>
      <c r="F131" s="39">
        <f>'Degree-days'!$G$12*IF($E131=$E$5,(F$5),(F$6))</f>
        <v>0</v>
      </c>
      <c r="G131" s="39">
        <f>'Degree-days'!$G$12*IF($E131=$E$5,(G$5),(G$6))</f>
        <v>0</v>
      </c>
      <c r="H131" s="39">
        <f>'Degree-days'!$G$12*IF($E131=$E$5,(H$5),(H$6))</f>
        <v>0</v>
      </c>
      <c r="I131" s="39">
        <f>'Degree-days'!$G$12*IF($E131=$E$5,(I$5),(I$6))</f>
        <v>0</v>
      </c>
      <c r="J131" s="39">
        <f>'Degree-days'!$G$12*IF($E131=$E$5,(J$5),(J$6))</f>
        <v>0</v>
      </c>
      <c r="K131" s="39">
        <f>'Degree-days'!$G$12*IF($E131=$E$5,(K$5),(K$6))</f>
        <v>0</v>
      </c>
      <c r="L131" s="39">
        <f>'Degree-days'!$G$12*IF($E131=$E$5,(L$5),(L$6))</f>
        <v>1.3106918935612442</v>
      </c>
      <c r="M131" s="39">
        <f>'Degree-days'!$G$12*IF($E131=$E$5,(M$5),(M$6))</f>
        <v>1.3106918935612442</v>
      </c>
      <c r="N131" s="39">
        <f>'Degree-days'!$G$12*IF($E131=$E$5,(N$5),(N$6))</f>
        <v>0</v>
      </c>
      <c r="O131" s="39">
        <f>'Degree-days'!$G$12*IF($E131=$E$5,(O$5),(O$6))</f>
        <v>0</v>
      </c>
      <c r="P131" s="39">
        <f>'Degree-days'!$G$12*IF($E131=$E$5,(P$5),(P$6))</f>
        <v>0</v>
      </c>
      <c r="Q131" s="39">
        <f>'Degree-days'!$G$12*IF($E131=$E$5,(Q$5),(Q$6))</f>
        <v>0</v>
      </c>
      <c r="R131" s="39">
        <f>'Degree-days'!$G$12*IF($E131=$E$5,(R$5),(R$6))</f>
        <v>0</v>
      </c>
      <c r="S131" s="39">
        <f>'Degree-days'!$G$12*IF($E131=$E$5,(S$5),(S$6))</f>
        <v>0</v>
      </c>
      <c r="T131" s="39">
        <f>'Degree-days'!$G$12*IF($E131=$E$5,(T$5),(T$6))</f>
        <v>0</v>
      </c>
      <c r="U131" s="39">
        <f>'Degree-days'!$G$12*IF($E131=$E$5,(U$5),(U$6))</f>
        <v>1.3106918935612442</v>
      </c>
      <c r="V131" s="39">
        <f>'Degree-days'!$G$12*IF($E131=$E$5,(V$5),(V$6))</f>
        <v>1.3106918935612442</v>
      </c>
      <c r="W131" s="39">
        <f>'Degree-days'!$G$12*IF($E131=$E$5,(W$5),(W$6))</f>
        <v>1.3106918935612442</v>
      </c>
      <c r="X131" s="39">
        <f>'Degree-days'!$G$12*IF($E131=$E$5,(X$5),(X$6))</f>
        <v>1.3106918935612442</v>
      </c>
      <c r="Y131" s="39">
        <f>'Degree-days'!$G$12*IF($E131=$E$5,(Y$5),(Y$6))</f>
        <v>1.3106918935612442</v>
      </c>
      <c r="Z131" s="39">
        <f>'Degree-days'!$G$12*IF($E131=$E$5,(Z$5),(Z$6))</f>
        <v>1.3106918935612442</v>
      </c>
      <c r="AA131" s="39">
        <f>'Degree-days'!$G$12*IF($E131=$E$5,(AA$5),(AA$6))</f>
        <v>1.3106918935612442</v>
      </c>
      <c r="AB131" s="39">
        <f>'Degree-days'!$G$12*IF($E131=$E$5,(AB$5),(AB$6))</f>
        <v>0</v>
      </c>
      <c r="AC131" s="39">
        <f>'Degree-days'!$G$12*IF($E131=$E$5,(AC$5),(AC$6))</f>
        <v>0</v>
      </c>
      <c r="AD131" s="39">
        <f t="shared" si="5"/>
        <v>11.796227042051198</v>
      </c>
    </row>
    <row r="132" spans="4:30" x14ac:dyDescent="0.2">
      <c r="D132" s="37">
        <v>45051</v>
      </c>
      <c r="E132" s="17" t="str">
        <f t="shared" si="2"/>
        <v>weekday</v>
      </c>
      <c r="F132" s="39">
        <f>'Degree-days'!$G$12*IF($E132=$E$5,(F$5),(F$6))</f>
        <v>0</v>
      </c>
      <c r="G132" s="39">
        <f>'Degree-days'!$G$12*IF($E132=$E$5,(G$5),(G$6))</f>
        <v>0</v>
      </c>
      <c r="H132" s="39">
        <f>'Degree-days'!$G$12*IF($E132=$E$5,(H$5),(H$6))</f>
        <v>0</v>
      </c>
      <c r="I132" s="39">
        <f>'Degree-days'!$G$12*IF($E132=$E$5,(I$5),(I$6))</f>
        <v>0</v>
      </c>
      <c r="J132" s="39">
        <f>'Degree-days'!$G$12*IF($E132=$E$5,(J$5),(J$6))</f>
        <v>0</v>
      </c>
      <c r="K132" s="39">
        <f>'Degree-days'!$G$12*IF($E132=$E$5,(K$5),(K$6))</f>
        <v>0</v>
      </c>
      <c r="L132" s="39">
        <f>'Degree-days'!$G$12*IF($E132=$E$5,(L$5),(L$6))</f>
        <v>1.3106918935612442</v>
      </c>
      <c r="M132" s="39">
        <f>'Degree-days'!$G$12*IF($E132=$E$5,(M$5),(M$6))</f>
        <v>1.3106918935612442</v>
      </c>
      <c r="N132" s="39">
        <f>'Degree-days'!$G$12*IF($E132=$E$5,(N$5),(N$6))</f>
        <v>0</v>
      </c>
      <c r="O132" s="39">
        <f>'Degree-days'!$G$12*IF($E132=$E$5,(O$5),(O$6))</f>
        <v>0</v>
      </c>
      <c r="P132" s="39">
        <f>'Degree-days'!$G$12*IF($E132=$E$5,(P$5),(P$6))</f>
        <v>0</v>
      </c>
      <c r="Q132" s="39">
        <f>'Degree-days'!$G$12*IF($E132=$E$5,(Q$5),(Q$6))</f>
        <v>0</v>
      </c>
      <c r="R132" s="39">
        <f>'Degree-days'!$G$12*IF($E132=$E$5,(R$5),(R$6))</f>
        <v>0</v>
      </c>
      <c r="S132" s="39">
        <f>'Degree-days'!$G$12*IF($E132=$E$5,(S$5),(S$6))</f>
        <v>0</v>
      </c>
      <c r="T132" s="39">
        <f>'Degree-days'!$G$12*IF($E132=$E$5,(T$5),(T$6))</f>
        <v>0</v>
      </c>
      <c r="U132" s="39">
        <f>'Degree-days'!$G$12*IF($E132=$E$5,(U$5),(U$6))</f>
        <v>1.3106918935612442</v>
      </c>
      <c r="V132" s="39">
        <f>'Degree-days'!$G$12*IF($E132=$E$5,(V$5),(V$6))</f>
        <v>1.3106918935612442</v>
      </c>
      <c r="W132" s="39">
        <f>'Degree-days'!$G$12*IF($E132=$E$5,(W$5),(W$6))</f>
        <v>1.3106918935612442</v>
      </c>
      <c r="X132" s="39">
        <f>'Degree-days'!$G$12*IF($E132=$E$5,(X$5),(X$6))</f>
        <v>1.3106918935612442</v>
      </c>
      <c r="Y132" s="39">
        <f>'Degree-days'!$G$12*IF($E132=$E$5,(Y$5),(Y$6))</f>
        <v>1.3106918935612442</v>
      </c>
      <c r="Z132" s="39">
        <f>'Degree-days'!$G$12*IF($E132=$E$5,(Z$5),(Z$6))</f>
        <v>1.3106918935612442</v>
      </c>
      <c r="AA132" s="39">
        <f>'Degree-days'!$G$12*IF($E132=$E$5,(AA$5),(AA$6))</f>
        <v>1.3106918935612442</v>
      </c>
      <c r="AB132" s="39">
        <f>'Degree-days'!$G$12*IF($E132=$E$5,(AB$5),(AB$6))</f>
        <v>0</v>
      </c>
      <c r="AC132" s="39">
        <f>'Degree-days'!$G$12*IF($E132=$E$5,(AC$5),(AC$6))</f>
        <v>0</v>
      </c>
      <c r="AD132" s="39">
        <f t="shared" si="5"/>
        <v>11.796227042051198</v>
      </c>
    </row>
    <row r="133" spans="4:30" x14ac:dyDescent="0.2">
      <c r="D133" s="37">
        <v>45052</v>
      </c>
      <c r="E133" s="17" t="str">
        <f t="shared" si="2"/>
        <v>weekend</v>
      </c>
      <c r="F133" s="39">
        <f>'Degree-days'!$G$12*IF($E133=$E$5,(F$5),(F$6))</f>
        <v>0</v>
      </c>
      <c r="G133" s="39">
        <f>'Degree-days'!$G$12*IF($E133=$E$5,(G$5),(G$6))</f>
        <v>0</v>
      </c>
      <c r="H133" s="39">
        <f>'Degree-days'!$G$12*IF($E133=$E$5,(H$5),(H$6))</f>
        <v>0</v>
      </c>
      <c r="I133" s="39">
        <f>'Degree-days'!$G$12*IF($E133=$E$5,(I$5),(I$6))</f>
        <v>0</v>
      </c>
      <c r="J133" s="39">
        <f>'Degree-days'!$G$12*IF($E133=$E$5,(J$5),(J$6))</f>
        <v>0</v>
      </c>
      <c r="K133" s="39">
        <f>'Degree-days'!$G$12*IF($E133=$E$5,(K$5),(K$6))</f>
        <v>0</v>
      </c>
      <c r="L133" s="39">
        <f>'Degree-days'!$G$12*IF($E133=$E$5,(L$5),(L$6))</f>
        <v>1.3106918935612442</v>
      </c>
      <c r="M133" s="39">
        <f>'Degree-days'!$G$12*IF($E133=$E$5,(M$5),(M$6))</f>
        <v>1.3106918935612442</v>
      </c>
      <c r="N133" s="39">
        <f>'Degree-days'!$G$12*IF($E133=$E$5,(N$5),(N$6))</f>
        <v>1.3106918935612442</v>
      </c>
      <c r="O133" s="39">
        <f>'Degree-days'!$G$12*IF($E133=$E$5,(O$5),(O$6))</f>
        <v>1.3106918935612442</v>
      </c>
      <c r="P133" s="39">
        <f>'Degree-days'!$G$12*IF($E133=$E$5,(P$5),(P$6))</f>
        <v>1.3106918935612442</v>
      </c>
      <c r="Q133" s="39">
        <f>'Degree-days'!$G$12*IF($E133=$E$5,(Q$5),(Q$6))</f>
        <v>1.3106918935612442</v>
      </c>
      <c r="R133" s="39">
        <f>'Degree-days'!$G$12*IF($E133=$E$5,(R$5),(R$6))</f>
        <v>1.3106918935612442</v>
      </c>
      <c r="S133" s="39">
        <f>'Degree-days'!$G$12*IF($E133=$E$5,(S$5),(S$6))</f>
        <v>1.3106918935612442</v>
      </c>
      <c r="T133" s="39">
        <f>'Degree-days'!$G$12*IF($E133=$E$5,(T$5),(T$6))</f>
        <v>1.3106918935612442</v>
      </c>
      <c r="U133" s="39">
        <f>'Degree-days'!$G$12*IF($E133=$E$5,(U$5),(U$6))</f>
        <v>1.3106918935612442</v>
      </c>
      <c r="V133" s="39">
        <f>'Degree-days'!$G$12*IF($E133=$E$5,(V$5),(V$6))</f>
        <v>1.3106918935612442</v>
      </c>
      <c r="W133" s="39">
        <f>'Degree-days'!$G$12*IF($E133=$E$5,(W$5),(W$6))</f>
        <v>1.3106918935612442</v>
      </c>
      <c r="X133" s="39">
        <f>'Degree-days'!$G$12*IF($E133=$E$5,(X$5),(X$6))</f>
        <v>1.3106918935612442</v>
      </c>
      <c r="Y133" s="39">
        <f>'Degree-days'!$G$12*IF($E133=$E$5,(Y$5),(Y$6))</f>
        <v>1.3106918935612442</v>
      </c>
      <c r="Z133" s="39">
        <f>'Degree-days'!$G$12*IF($E133=$E$5,(Z$5),(Z$6))</f>
        <v>1.3106918935612442</v>
      </c>
      <c r="AA133" s="39">
        <f>'Degree-days'!$G$12*IF($E133=$E$5,(AA$5),(AA$6))</f>
        <v>1.3106918935612442</v>
      </c>
      <c r="AB133" s="39">
        <f>'Degree-days'!$G$12*IF($E133=$E$5,(AB$5),(AB$6))</f>
        <v>0</v>
      </c>
      <c r="AC133" s="39">
        <f>'Degree-days'!$G$12*IF($E133=$E$5,(AC$5),(AC$6))</f>
        <v>0</v>
      </c>
      <c r="AD133" s="39">
        <f t="shared" si="5"/>
        <v>20.97107029697991</v>
      </c>
    </row>
    <row r="134" spans="4:30" x14ac:dyDescent="0.2">
      <c r="D134" s="37">
        <v>45053</v>
      </c>
      <c r="E134" s="17" t="str">
        <f t="shared" si="2"/>
        <v>weekend</v>
      </c>
      <c r="F134" s="39">
        <f>'Degree-days'!$G$12*IF($E134=$E$5,(F$5),(F$6))</f>
        <v>0</v>
      </c>
      <c r="G134" s="39">
        <f>'Degree-days'!$G$12*IF($E134=$E$5,(G$5),(G$6))</f>
        <v>0</v>
      </c>
      <c r="H134" s="39">
        <f>'Degree-days'!$G$12*IF($E134=$E$5,(H$5),(H$6))</f>
        <v>0</v>
      </c>
      <c r="I134" s="39">
        <f>'Degree-days'!$G$12*IF($E134=$E$5,(I$5),(I$6))</f>
        <v>0</v>
      </c>
      <c r="J134" s="39">
        <f>'Degree-days'!$G$12*IF($E134=$E$5,(J$5),(J$6))</f>
        <v>0</v>
      </c>
      <c r="K134" s="39">
        <f>'Degree-days'!$G$12*IF($E134=$E$5,(K$5),(K$6))</f>
        <v>0</v>
      </c>
      <c r="L134" s="39">
        <f>'Degree-days'!$G$12*IF($E134=$E$5,(L$5),(L$6))</f>
        <v>1.3106918935612442</v>
      </c>
      <c r="M134" s="39">
        <f>'Degree-days'!$G$12*IF($E134=$E$5,(M$5),(M$6))</f>
        <v>1.3106918935612442</v>
      </c>
      <c r="N134" s="39">
        <f>'Degree-days'!$G$12*IF($E134=$E$5,(N$5),(N$6))</f>
        <v>1.3106918935612442</v>
      </c>
      <c r="O134" s="39">
        <f>'Degree-days'!$G$12*IF($E134=$E$5,(O$5),(O$6))</f>
        <v>1.3106918935612442</v>
      </c>
      <c r="P134" s="39">
        <f>'Degree-days'!$G$12*IF($E134=$E$5,(P$5),(P$6))</f>
        <v>1.3106918935612442</v>
      </c>
      <c r="Q134" s="39">
        <f>'Degree-days'!$G$12*IF($E134=$E$5,(Q$5),(Q$6))</f>
        <v>1.3106918935612442</v>
      </c>
      <c r="R134" s="39">
        <f>'Degree-days'!$G$12*IF($E134=$E$5,(R$5),(R$6))</f>
        <v>1.3106918935612442</v>
      </c>
      <c r="S134" s="39">
        <f>'Degree-days'!$G$12*IF($E134=$E$5,(S$5),(S$6))</f>
        <v>1.3106918935612442</v>
      </c>
      <c r="T134" s="39">
        <f>'Degree-days'!$G$12*IF($E134=$E$5,(T$5),(T$6))</f>
        <v>1.3106918935612442</v>
      </c>
      <c r="U134" s="39">
        <f>'Degree-days'!$G$12*IF($E134=$E$5,(U$5),(U$6))</f>
        <v>1.3106918935612442</v>
      </c>
      <c r="V134" s="39">
        <f>'Degree-days'!$G$12*IF($E134=$E$5,(V$5),(V$6))</f>
        <v>1.3106918935612442</v>
      </c>
      <c r="W134" s="39">
        <f>'Degree-days'!$G$12*IF($E134=$E$5,(W$5),(W$6))</f>
        <v>1.3106918935612442</v>
      </c>
      <c r="X134" s="39">
        <f>'Degree-days'!$G$12*IF($E134=$E$5,(X$5),(X$6))</f>
        <v>1.3106918935612442</v>
      </c>
      <c r="Y134" s="39">
        <f>'Degree-days'!$G$12*IF($E134=$E$5,(Y$5),(Y$6))</f>
        <v>1.3106918935612442</v>
      </c>
      <c r="Z134" s="39">
        <f>'Degree-days'!$G$12*IF($E134=$E$5,(Z$5),(Z$6))</f>
        <v>1.3106918935612442</v>
      </c>
      <c r="AA134" s="39">
        <f>'Degree-days'!$G$12*IF($E134=$E$5,(AA$5),(AA$6))</f>
        <v>1.3106918935612442</v>
      </c>
      <c r="AB134" s="39">
        <f>'Degree-days'!$G$12*IF($E134=$E$5,(AB$5),(AB$6))</f>
        <v>0</v>
      </c>
      <c r="AC134" s="39">
        <f>'Degree-days'!$G$12*IF($E134=$E$5,(AC$5),(AC$6))</f>
        <v>0</v>
      </c>
      <c r="AD134" s="39">
        <f t="shared" si="5"/>
        <v>20.97107029697991</v>
      </c>
    </row>
    <row r="135" spans="4:30" x14ac:dyDescent="0.2">
      <c r="D135" s="37">
        <v>45054</v>
      </c>
      <c r="E135" s="17" t="str">
        <f t="shared" si="2"/>
        <v>weekday</v>
      </c>
      <c r="F135" s="39">
        <f>'Degree-days'!$G$12*IF($E135=$E$5,(F$5),(F$6))</f>
        <v>0</v>
      </c>
      <c r="G135" s="39">
        <f>'Degree-days'!$G$12*IF($E135=$E$5,(G$5),(G$6))</f>
        <v>0</v>
      </c>
      <c r="H135" s="39">
        <f>'Degree-days'!$G$12*IF($E135=$E$5,(H$5),(H$6))</f>
        <v>0</v>
      </c>
      <c r="I135" s="39">
        <f>'Degree-days'!$G$12*IF($E135=$E$5,(I$5),(I$6))</f>
        <v>0</v>
      </c>
      <c r="J135" s="39">
        <f>'Degree-days'!$G$12*IF($E135=$E$5,(J$5),(J$6))</f>
        <v>0</v>
      </c>
      <c r="K135" s="39">
        <f>'Degree-days'!$G$12*IF($E135=$E$5,(K$5),(K$6))</f>
        <v>0</v>
      </c>
      <c r="L135" s="39">
        <f>'Degree-days'!$G$12*IF($E135=$E$5,(L$5),(L$6))</f>
        <v>1.3106918935612442</v>
      </c>
      <c r="M135" s="39">
        <f>'Degree-days'!$G$12*IF($E135=$E$5,(M$5),(M$6))</f>
        <v>1.3106918935612442</v>
      </c>
      <c r="N135" s="39">
        <f>'Degree-days'!$G$12*IF($E135=$E$5,(N$5),(N$6))</f>
        <v>0</v>
      </c>
      <c r="O135" s="39">
        <f>'Degree-days'!$G$12*IF($E135=$E$5,(O$5),(O$6))</f>
        <v>0</v>
      </c>
      <c r="P135" s="39">
        <f>'Degree-days'!$G$12*IF($E135=$E$5,(P$5),(P$6))</f>
        <v>0</v>
      </c>
      <c r="Q135" s="39">
        <f>'Degree-days'!$G$12*IF($E135=$E$5,(Q$5),(Q$6))</f>
        <v>0</v>
      </c>
      <c r="R135" s="39">
        <f>'Degree-days'!$G$12*IF($E135=$E$5,(R$5),(R$6))</f>
        <v>0</v>
      </c>
      <c r="S135" s="39">
        <f>'Degree-days'!$G$12*IF($E135=$E$5,(S$5),(S$6))</f>
        <v>0</v>
      </c>
      <c r="T135" s="39">
        <f>'Degree-days'!$G$12*IF($E135=$E$5,(T$5),(T$6))</f>
        <v>0</v>
      </c>
      <c r="U135" s="39">
        <f>'Degree-days'!$G$12*IF($E135=$E$5,(U$5),(U$6))</f>
        <v>1.3106918935612442</v>
      </c>
      <c r="V135" s="39">
        <f>'Degree-days'!$G$12*IF($E135=$E$5,(V$5),(V$6))</f>
        <v>1.3106918935612442</v>
      </c>
      <c r="W135" s="39">
        <f>'Degree-days'!$G$12*IF($E135=$E$5,(W$5),(W$6))</f>
        <v>1.3106918935612442</v>
      </c>
      <c r="X135" s="39">
        <f>'Degree-days'!$G$12*IF($E135=$E$5,(X$5),(X$6))</f>
        <v>1.3106918935612442</v>
      </c>
      <c r="Y135" s="39">
        <f>'Degree-days'!$G$12*IF($E135=$E$5,(Y$5),(Y$6))</f>
        <v>1.3106918935612442</v>
      </c>
      <c r="Z135" s="39">
        <f>'Degree-days'!$G$12*IF($E135=$E$5,(Z$5),(Z$6))</f>
        <v>1.3106918935612442</v>
      </c>
      <c r="AA135" s="39">
        <f>'Degree-days'!$G$12*IF($E135=$E$5,(AA$5),(AA$6))</f>
        <v>1.3106918935612442</v>
      </c>
      <c r="AB135" s="39">
        <f>'Degree-days'!$G$12*IF($E135=$E$5,(AB$5),(AB$6))</f>
        <v>0</v>
      </c>
      <c r="AC135" s="39">
        <f>'Degree-days'!$G$12*IF($E135=$E$5,(AC$5),(AC$6))</f>
        <v>0</v>
      </c>
      <c r="AD135" s="39">
        <f t="shared" si="5"/>
        <v>11.796227042051198</v>
      </c>
    </row>
    <row r="136" spans="4:30" x14ac:dyDescent="0.2">
      <c r="D136" s="37">
        <v>45055</v>
      </c>
      <c r="E136" s="17" t="str">
        <f t="shared" si="2"/>
        <v>weekday</v>
      </c>
      <c r="F136" s="39">
        <f>'Degree-days'!$G$12*IF($E136=$E$5,(F$5),(F$6))</f>
        <v>0</v>
      </c>
      <c r="G136" s="39">
        <f>'Degree-days'!$G$12*IF($E136=$E$5,(G$5),(G$6))</f>
        <v>0</v>
      </c>
      <c r="H136" s="39">
        <f>'Degree-days'!$G$12*IF($E136=$E$5,(H$5),(H$6))</f>
        <v>0</v>
      </c>
      <c r="I136" s="39">
        <f>'Degree-days'!$G$12*IF($E136=$E$5,(I$5),(I$6))</f>
        <v>0</v>
      </c>
      <c r="J136" s="39">
        <f>'Degree-days'!$G$12*IF($E136=$E$5,(J$5),(J$6))</f>
        <v>0</v>
      </c>
      <c r="K136" s="39">
        <f>'Degree-days'!$G$12*IF($E136=$E$5,(K$5),(K$6))</f>
        <v>0</v>
      </c>
      <c r="L136" s="39">
        <f>'Degree-days'!$G$12*IF($E136=$E$5,(L$5),(L$6))</f>
        <v>1.3106918935612442</v>
      </c>
      <c r="M136" s="39">
        <f>'Degree-days'!$G$12*IF($E136=$E$5,(M$5),(M$6))</f>
        <v>1.3106918935612442</v>
      </c>
      <c r="N136" s="39">
        <f>'Degree-days'!$G$12*IF($E136=$E$5,(N$5),(N$6))</f>
        <v>0</v>
      </c>
      <c r="O136" s="39">
        <f>'Degree-days'!$G$12*IF($E136=$E$5,(O$5),(O$6))</f>
        <v>0</v>
      </c>
      <c r="P136" s="39">
        <f>'Degree-days'!$G$12*IF($E136=$E$5,(P$5),(P$6))</f>
        <v>0</v>
      </c>
      <c r="Q136" s="39">
        <f>'Degree-days'!$G$12*IF($E136=$E$5,(Q$5),(Q$6))</f>
        <v>0</v>
      </c>
      <c r="R136" s="39">
        <f>'Degree-days'!$G$12*IF($E136=$E$5,(R$5),(R$6))</f>
        <v>0</v>
      </c>
      <c r="S136" s="39">
        <f>'Degree-days'!$G$12*IF($E136=$E$5,(S$5),(S$6))</f>
        <v>0</v>
      </c>
      <c r="T136" s="39">
        <f>'Degree-days'!$G$12*IF($E136=$E$5,(T$5),(T$6))</f>
        <v>0</v>
      </c>
      <c r="U136" s="39">
        <f>'Degree-days'!$G$12*IF($E136=$E$5,(U$5),(U$6))</f>
        <v>1.3106918935612442</v>
      </c>
      <c r="V136" s="39">
        <f>'Degree-days'!$G$12*IF($E136=$E$5,(V$5),(V$6))</f>
        <v>1.3106918935612442</v>
      </c>
      <c r="W136" s="39">
        <f>'Degree-days'!$G$12*IF($E136=$E$5,(W$5),(W$6))</f>
        <v>1.3106918935612442</v>
      </c>
      <c r="X136" s="39">
        <f>'Degree-days'!$G$12*IF($E136=$E$5,(X$5),(X$6))</f>
        <v>1.3106918935612442</v>
      </c>
      <c r="Y136" s="39">
        <f>'Degree-days'!$G$12*IF($E136=$E$5,(Y$5),(Y$6))</f>
        <v>1.3106918935612442</v>
      </c>
      <c r="Z136" s="39">
        <f>'Degree-days'!$G$12*IF($E136=$E$5,(Z$5),(Z$6))</f>
        <v>1.3106918935612442</v>
      </c>
      <c r="AA136" s="39">
        <f>'Degree-days'!$G$12*IF($E136=$E$5,(AA$5),(AA$6))</f>
        <v>1.3106918935612442</v>
      </c>
      <c r="AB136" s="39">
        <f>'Degree-days'!$G$12*IF($E136=$E$5,(AB$5),(AB$6))</f>
        <v>0</v>
      </c>
      <c r="AC136" s="39">
        <f>'Degree-days'!$G$12*IF($E136=$E$5,(AC$5),(AC$6))</f>
        <v>0</v>
      </c>
      <c r="AD136" s="39">
        <f t="shared" si="5"/>
        <v>11.796227042051198</v>
      </c>
    </row>
    <row r="137" spans="4:30" x14ac:dyDescent="0.2">
      <c r="D137" s="37">
        <v>45056</v>
      </c>
      <c r="E137" s="17" t="str">
        <f t="shared" ref="E137:E200" si="6">IF(WEEKDAY(D137, 2)&lt;6, "weekday", "weekend")</f>
        <v>weekday</v>
      </c>
      <c r="F137" s="39">
        <f>'Degree-days'!$G$12*IF($E137=$E$5,(F$5),(F$6))</f>
        <v>0</v>
      </c>
      <c r="G137" s="39">
        <f>'Degree-days'!$G$12*IF($E137=$E$5,(G$5),(G$6))</f>
        <v>0</v>
      </c>
      <c r="H137" s="39">
        <f>'Degree-days'!$G$12*IF($E137=$E$5,(H$5),(H$6))</f>
        <v>0</v>
      </c>
      <c r="I137" s="39">
        <f>'Degree-days'!$G$12*IF($E137=$E$5,(I$5),(I$6))</f>
        <v>0</v>
      </c>
      <c r="J137" s="39">
        <f>'Degree-days'!$G$12*IF($E137=$E$5,(J$5),(J$6))</f>
        <v>0</v>
      </c>
      <c r="K137" s="39">
        <f>'Degree-days'!$G$12*IF($E137=$E$5,(K$5),(K$6))</f>
        <v>0</v>
      </c>
      <c r="L137" s="39">
        <f>'Degree-days'!$G$12*IF($E137=$E$5,(L$5),(L$6))</f>
        <v>1.3106918935612442</v>
      </c>
      <c r="M137" s="39">
        <f>'Degree-days'!$G$12*IF($E137=$E$5,(M$5),(M$6))</f>
        <v>1.3106918935612442</v>
      </c>
      <c r="N137" s="39">
        <f>'Degree-days'!$G$12*IF($E137=$E$5,(N$5),(N$6))</f>
        <v>0</v>
      </c>
      <c r="O137" s="39">
        <f>'Degree-days'!$G$12*IF($E137=$E$5,(O$5),(O$6))</f>
        <v>0</v>
      </c>
      <c r="P137" s="39">
        <f>'Degree-days'!$G$12*IF($E137=$E$5,(P$5),(P$6))</f>
        <v>0</v>
      </c>
      <c r="Q137" s="39">
        <f>'Degree-days'!$G$12*IF($E137=$E$5,(Q$5),(Q$6))</f>
        <v>0</v>
      </c>
      <c r="R137" s="39">
        <f>'Degree-days'!$G$12*IF($E137=$E$5,(R$5),(R$6))</f>
        <v>0</v>
      </c>
      <c r="S137" s="39">
        <f>'Degree-days'!$G$12*IF($E137=$E$5,(S$5),(S$6))</f>
        <v>0</v>
      </c>
      <c r="T137" s="39">
        <f>'Degree-days'!$G$12*IF($E137=$E$5,(T$5),(T$6))</f>
        <v>0</v>
      </c>
      <c r="U137" s="39">
        <f>'Degree-days'!$G$12*IF($E137=$E$5,(U$5),(U$6))</f>
        <v>1.3106918935612442</v>
      </c>
      <c r="V137" s="39">
        <f>'Degree-days'!$G$12*IF($E137=$E$5,(V$5),(V$6))</f>
        <v>1.3106918935612442</v>
      </c>
      <c r="W137" s="39">
        <f>'Degree-days'!$G$12*IF($E137=$E$5,(W$5),(W$6))</f>
        <v>1.3106918935612442</v>
      </c>
      <c r="X137" s="39">
        <f>'Degree-days'!$G$12*IF($E137=$E$5,(X$5),(X$6))</f>
        <v>1.3106918935612442</v>
      </c>
      <c r="Y137" s="39">
        <f>'Degree-days'!$G$12*IF($E137=$E$5,(Y$5),(Y$6))</f>
        <v>1.3106918935612442</v>
      </c>
      <c r="Z137" s="39">
        <f>'Degree-days'!$G$12*IF($E137=$E$5,(Z$5),(Z$6))</f>
        <v>1.3106918935612442</v>
      </c>
      <c r="AA137" s="39">
        <f>'Degree-days'!$G$12*IF($E137=$E$5,(AA$5),(AA$6))</f>
        <v>1.3106918935612442</v>
      </c>
      <c r="AB137" s="39">
        <f>'Degree-days'!$G$12*IF($E137=$E$5,(AB$5),(AB$6))</f>
        <v>0</v>
      </c>
      <c r="AC137" s="39">
        <f>'Degree-days'!$G$12*IF($E137=$E$5,(AC$5),(AC$6))</f>
        <v>0</v>
      </c>
      <c r="AD137" s="39">
        <f t="shared" si="5"/>
        <v>11.796227042051198</v>
      </c>
    </row>
    <row r="138" spans="4:30" x14ac:dyDescent="0.2">
      <c r="D138" s="37">
        <v>45057</v>
      </c>
      <c r="E138" s="17" t="str">
        <f t="shared" si="6"/>
        <v>weekday</v>
      </c>
      <c r="F138" s="39">
        <f>'Degree-days'!$G$12*IF($E138=$E$5,(F$5),(F$6))</f>
        <v>0</v>
      </c>
      <c r="G138" s="39">
        <f>'Degree-days'!$G$12*IF($E138=$E$5,(G$5),(G$6))</f>
        <v>0</v>
      </c>
      <c r="H138" s="39">
        <f>'Degree-days'!$G$12*IF($E138=$E$5,(H$5),(H$6))</f>
        <v>0</v>
      </c>
      <c r="I138" s="39">
        <f>'Degree-days'!$G$12*IF($E138=$E$5,(I$5),(I$6))</f>
        <v>0</v>
      </c>
      <c r="J138" s="39">
        <f>'Degree-days'!$G$12*IF($E138=$E$5,(J$5),(J$6))</f>
        <v>0</v>
      </c>
      <c r="K138" s="39">
        <f>'Degree-days'!$G$12*IF($E138=$E$5,(K$5),(K$6))</f>
        <v>0</v>
      </c>
      <c r="L138" s="39">
        <f>'Degree-days'!$G$12*IF($E138=$E$5,(L$5),(L$6))</f>
        <v>1.3106918935612442</v>
      </c>
      <c r="M138" s="39">
        <f>'Degree-days'!$G$12*IF($E138=$E$5,(M$5),(M$6))</f>
        <v>1.3106918935612442</v>
      </c>
      <c r="N138" s="39">
        <f>'Degree-days'!$G$12*IF($E138=$E$5,(N$5),(N$6))</f>
        <v>0</v>
      </c>
      <c r="O138" s="39">
        <f>'Degree-days'!$G$12*IF($E138=$E$5,(O$5),(O$6))</f>
        <v>0</v>
      </c>
      <c r="P138" s="39">
        <f>'Degree-days'!$G$12*IF($E138=$E$5,(P$5),(P$6))</f>
        <v>0</v>
      </c>
      <c r="Q138" s="39">
        <f>'Degree-days'!$G$12*IF($E138=$E$5,(Q$5),(Q$6))</f>
        <v>0</v>
      </c>
      <c r="R138" s="39">
        <f>'Degree-days'!$G$12*IF($E138=$E$5,(R$5),(R$6))</f>
        <v>0</v>
      </c>
      <c r="S138" s="39">
        <f>'Degree-days'!$G$12*IF($E138=$E$5,(S$5),(S$6))</f>
        <v>0</v>
      </c>
      <c r="T138" s="39">
        <f>'Degree-days'!$G$12*IF($E138=$E$5,(T$5),(T$6))</f>
        <v>0</v>
      </c>
      <c r="U138" s="39">
        <f>'Degree-days'!$G$12*IF($E138=$E$5,(U$5),(U$6))</f>
        <v>1.3106918935612442</v>
      </c>
      <c r="V138" s="39">
        <f>'Degree-days'!$G$12*IF($E138=$E$5,(V$5),(V$6))</f>
        <v>1.3106918935612442</v>
      </c>
      <c r="W138" s="39">
        <f>'Degree-days'!$G$12*IF($E138=$E$5,(W$5),(W$6))</f>
        <v>1.3106918935612442</v>
      </c>
      <c r="X138" s="39">
        <f>'Degree-days'!$G$12*IF($E138=$E$5,(X$5),(X$6))</f>
        <v>1.3106918935612442</v>
      </c>
      <c r="Y138" s="39">
        <f>'Degree-days'!$G$12*IF($E138=$E$5,(Y$5),(Y$6))</f>
        <v>1.3106918935612442</v>
      </c>
      <c r="Z138" s="39">
        <f>'Degree-days'!$G$12*IF($E138=$E$5,(Z$5),(Z$6))</f>
        <v>1.3106918935612442</v>
      </c>
      <c r="AA138" s="39">
        <f>'Degree-days'!$G$12*IF($E138=$E$5,(AA$5),(AA$6))</f>
        <v>1.3106918935612442</v>
      </c>
      <c r="AB138" s="39">
        <f>'Degree-days'!$G$12*IF($E138=$E$5,(AB$5),(AB$6))</f>
        <v>0</v>
      </c>
      <c r="AC138" s="39">
        <f>'Degree-days'!$G$12*IF($E138=$E$5,(AC$5),(AC$6))</f>
        <v>0</v>
      </c>
      <c r="AD138" s="39">
        <f t="shared" si="5"/>
        <v>11.796227042051198</v>
      </c>
    </row>
    <row r="139" spans="4:30" x14ac:dyDescent="0.2">
      <c r="D139" s="37">
        <v>45058</v>
      </c>
      <c r="E139" s="17" t="str">
        <f t="shared" si="6"/>
        <v>weekday</v>
      </c>
      <c r="F139" s="39">
        <f>'Degree-days'!$G$12*IF($E139=$E$5,(F$5),(F$6))</f>
        <v>0</v>
      </c>
      <c r="G139" s="39">
        <f>'Degree-days'!$G$12*IF($E139=$E$5,(G$5),(G$6))</f>
        <v>0</v>
      </c>
      <c r="H139" s="39">
        <f>'Degree-days'!$G$12*IF($E139=$E$5,(H$5),(H$6))</f>
        <v>0</v>
      </c>
      <c r="I139" s="39">
        <f>'Degree-days'!$G$12*IF($E139=$E$5,(I$5),(I$6))</f>
        <v>0</v>
      </c>
      <c r="J139" s="39">
        <f>'Degree-days'!$G$12*IF($E139=$E$5,(J$5),(J$6))</f>
        <v>0</v>
      </c>
      <c r="K139" s="39">
        <f>'Degree-days'!$G$12*IF($E139=$E$5,(K$5),(K$6))</f>
        <v>0</v>
      </c>
      <c r="L139" s="39">
        <f>'Degree-days'!$G$12*IF($E139=$E$5,(L$5),(L$6))</f>
        <v>1.3106918935612442</v>
      </c>
      <c r="M139" s="39">
        <f>'Degree-days'!$G$12*IF($E139=$E$5,(M$5),(M$6))</f>
        <v>1.3106918935612442</v>
      </c>
      <c r="N139" s="39">
        <f>'Degree-days'!$G$12*IF($E139=$E$5,(N$5),(N$6))</f>
        <v>0</v>
      </c>
      <c r="O139" s="39">
        <f>'Degree-days'!$G$12*IF($E139=$E$5,(O$5),(O$6))</f>
        <v>0</v>
      </c>
      <c r="P139" s="39">
        <f>'Degree-days'!$G$12*IF($E139=$E$5,(P$5),(P$6))</f>
        <v>0</v>
      </c>
      <c r="Q139" s="39">
        <f>'Degree-days'!$G$12*IF($E139=$E$5,(Q$5),(Q$6))</f>
        <v>0</v>
      </c>
      <c r="R139" s="39">
        <f>'Degree-days'!$G$12*IF($E139=$E$5,(R$5),(R$6))</f>
        <v>0</v>
      </c>
      <c r="S139" s="39">
        <f>'Degree-days'!$G$12*IF($E139=$E$5,(S$5),(S$6))</f>
        <v>0</v>
      </c>
      <c r="T139" s="39">
        <f>'Degree-days'!$G$12*IF($E139=$E$5,(T$5),(T$6))</f>
        <v>0</v>
      </c>
      <c r="U139" s="39">
        <f>'Degree-days'!$G$12*IF($E139=$E$5,(U$5),(U$6))</f>
        <v>1.3106918935612442</v>
      </c>
      <c r="V139" s="39">
        <f>'Degree-days'!$G$12*IF($E139=$E$5,(V$5),(V$6))</f>
        <v>1.3106918935612442</v>
      </c>
      <c r="W139" s="39">
        <f>'Degree-days'!$G$12*IF($E139=$E$5,(W$5),(W$6))</f>
        <v>1.3106918935612442</v>
      </c>
      <c r="X139" s="39">
        <f>'Degree-days'!$G$12*IF($E139=$E$5,(X$5),(X$6))</f>
        <v>1.3106918935612442</v>
      </c>
      <c r="Y139" s="39">
        <f>'Degree-days'!$G$12*IF($E139=$E$5,(Y$5),(Y$6))</f>
        <v>1.3106918935612442</v>
      </c>
      <c r="Z139" s="39">
        <f>'Degree-days'!$G$12*IF($E139=$E$5,(Z$5),(Z$6))</f>
        <v>1.3106918935612442</v>
      </c>
      <c r="AA139" s="39">
        <f>'Degree-days'!$G$12*IF($E139=$E$5,(AA$5),(AA$6))</f>
        <v>1.3106918935612442</v>
      </c>
      <c r="AB139" s="39">
        <f>'Degree-days'!$G$12*IF($E139=$E$5,(AB$5),(AB$6))</f>
        <v>0</v>
      </c>
      <c r="AC139" s="39">
        <f>'Degree-days'!$G$12*IF($E139=$E$5,(AC$5),(AC$6))</f>
        <v>0</v>
      </c>
      <c r="AD139" s="39">
        <f t="shared" si="5"/>
        <v>11.796227042051198</v>
      </c>
    </row>
    <row r="140" spans="4:30" x14ac:dyDescent="0.2">
      <c r="D140" s="37">
        <v>45059</v>
      </c>
      <c r="E140" s="17" t="str">
        <f t="shared" si="6"/>
        <v>weekend</v>
      </c>
      <c r="F140" s="39">
        <f>'Degree-days'!$G$12*IF($E140=$E$5,(F$5),(F$6))</f>
        <v>0</v>
      </c>
      <c r="G140" s="39">
        <f>'Degree-days'!$G$12*IF($E140=$E$5,(G$5),(G$6))</f>
        <v>0</v>
      </c>
      <c r="H140" s="39">
        <f>'Degree-days'!$G$12*IF($E140=$E$5,(H$5),(H$6))</f>
        <v>0</v>
      </c>
      <c r="I140" s="39">
        <f>'Degree-days'!$G$12*IF($E140=$E$5,(I$5),(I$6))</f>
        <v>0</v>
      </c>
      <c r="J140" s="39">
        <f>'Degree-days'!$G$12*IF($E140=$E$5,(J$5),(J$6))</f>
        <v>0</v>
      </c>
      <c r="K140" s="39">
        <f>'Degree-days'!$G$12*IF($E140=$E$5,(K$5),(K$6))</f>
        <v>0</v>
      </c>
      <c r="L140" s="39">
        <f>'Degree-days'!$G$12*IF($E140=$E$5,(L$5),(L$6))</f>
        <v>1.3106918935612442</v>
      </c>
      <c r="M140" s="39">
        <f>'Degree-days'!$G$12*IF($E140=$E$5,(M$5),(M$6))</f>
        <v>1.3106918935612442</v>
      </c>
      <c r="N140" s="39">
        <f>'Degree-days'!$G$12*IF($E140=$E$5,(N$5),(N$6))</f>
        <v>1.3106918935612442</v>
      </c>
      <c r="O140" s="39">
        <f>'Degree-days'!$G$12*IF($E140=$E$5,(O$5),(O$6))</f>
        <v>1.3106918935612442</v>
      </c>
      <c r="P140" s="39">
        <f>'Degree-days'!$G$12*IF($E140=$E$5,(P$5),(P$6))</f>
        <v>1.3106918935612442</v>
      </c>
      <c r="Q140" s="39">
        <f>'Degree-days'!$G$12*IF($E140=$E$5,(Q$5),(Q$6))</f>
        <v>1.3106918935612442</v>
      </c>
      <c r="R140" s="39">
        <f>'Degree-days'!$G$12*IF($E140=$E$5,(R$5),(R$6))</f>
        <v>1.3106918935612442</v>
      </c>
      <c r="S140" s="39">
        <f>'Degree-days'!$G$12*IF($E140=$E$5,(S$5),(S$6))</f>
        <v>1.3106918935612442</v>
      </c>
      <c r="T140" s="39">
        <f>'Degree-days'!$G$12*IF($E140=$E$5,(T$5),(T$6))</f>
        <v>1.3106918935612442</v>
      </c>
      <c r="U140" s="39">
        <f>'Degree-days'!$G$12*IF($E140=$E$5,(U$5),(U$6))</f>
        <v>1.3106918935612442</v>
      </c>
      <c r="V140" s="39">
        <f>'Degree-days'!$G$12*IF($E140=$E$5,(V$5),(V$6))</f>
        <v>1.3106918935612442</v>
      </c>
      <c r="W140" s="39">
        <f>'Degree-days'!$G$12*IF($E140=$E$5,(W$5),(W$6))</f>
        <v>1.3106918935612442</v>
      </c>
      <c r="X140" s="39">
        <f>'Degree-days'!$G$12*IF($E140=$E$5,(X$5),(X$6))</f>
        <v>1.3106918935612442</v>
      </c>
      <c r="Y140" s="39">
        <f>'Degree-days'!$G$12*IF($E140=$E$5,(Y$5),(Y$6))</f>
        <v>1.3106918935612442</v>
      </c>
      <c r="Z140" s="39">
        <f>'Degree-days'!$G$12*IF($E140=$E$5,(Z$5),(Z$6))</f>
        <v>1.3106918935612442</v>
      </c>
      <c r="AA140" s="39">
        <f>'Degree-days'!$G$12*IF($E140=$E$5,(AA$5),(AA$6))</f>
        <v>1.3106918935612442</v>
      </c>
      <c r="AB140" s="39">
        <f>'Degree-days'!$G$12*IF($E140=$E$5,(AB$5),(AB$6))</f>
        <v>0</v>
      </c>
      <c r="AC140" s="39">
        <f>'Degree-days'!$G$12*IF($E140=$E$5,(AC$5),(AC$6))</f>
        <v>0</v>
      </c>
      <c r="AD140" s="39">
        <f t="shared" si="5"/>
        <v>20.97107029697991</v>
      </c>
    </row>
    <row r="141" spans="4:30" x14ac:dyDescent="0.2">
      <c r="D141" s="37">
        <v>45060</v>
      </c>
      <c r="E141" s="17" t="str">
        <f t="shared" si="6"/>
        <v>weekend</v>
      </c>
      <c r="F141" s="39">
        <f>'Degree-days'!$G$12*IF($E141=$E$5,(F$5),(F$6))</f>
        <v>0</v>
      </c>
      <c r="G141" s="39">
        <f>'Degree-days'!$G$12*IF($E141=$E$5,(G$5),(G$6))</f>
        <v>0</v>
      </c>
      <c r="H141" s="39">
        <f>'Degree-days'!$G$12*IF($E141=$E$5,(H$5),(H$6))</f>
        <v>0</v>
      </c>
      <c r="I141" s="39">
        <f>'Degree-days'!$G$12*IF($E141=$E$5,(I$5),(I$6))</f>
        <v>0</v>
      </c>
      <c r="J141" s="39">
        <f>'Degree-days'!$G$12*IF($E141=$E$5,(J$5),(J$6))</f>
        <v>0</v>
      </c>
      <c r="K141" s="39">
        <f>'Degree-days'!$G$12*IF($E141=$E$5,(K$5),(K$6))</f>
        <v>0</v>
      </c>
      <c r="L141" s="39">
        <f>'Degree-days'!$G$12*IF($E141=$E$5,(L$5),(L$6))</f>
        <v>1.3106918935612442</v>
      </c>
      <c r="M141" s="39">
        <f>'Degree-days'!$G$12*IF($E141=$E$5,(M$5),(M$6))</f>
        <v>1.3106918935612442</v>
      </c>
      <c r="N141" s="39">
        <f>'Degree-days'!$G$12*IF($E141=$E$5,(N$5),(N$6))</f>
        <v>1.3106918935612442</v>
      </c>
      <c r="O141" s="39">
        <f>'Degree-days'!$G$12*IF($E141=$E$5,(O$5),(O$6))</f>
        <v>1.3106918935612442</v>
      </c>
      <c r="P141" s="39">
        <f>'Degree-days'!$G$12*IF($E141=$E$5,(P$5),(P$6))</f>
        <v>1.3106918935612442</v>
      </c>
      <c r="Q141" s="39">
        <f>'Degree-days'!$G$12*IF($E141=$E$5,(Q$5),(Q$6))</f>
        <v>1.3106918935612442</v>
      </c>
      <c r="R141" s="39">
        <f>'Degree-days'!$G$12*IF($E141=$E$5,(R$5),(R$6))</f>
        <v>1.3106918935612442</v>
      </c>
      <c r="S141" s="39">
        <f>'Degree-days'!$G$12*IF($E141=$E$5,(S$5),(S$6))</f>
        <v>1.3106918935612442</v>
      </c>
      <c r="T141" s="39">
        <f>'Degree-days'!$G$12*IF($E141=$E$5,(T$5),(T$6))</f>
        <v>1.3106918935612442</v>
      </c>
      <c r="U141" s="39">
        <f>'Degree-days'!$G$12*IF($E141=$E$5,(U$5),(U$6))</f>
        <v>1.3106918935612442</v>
      </c>
      <c r="V141" s="39">
        <f>'Degree-days'!$G$12*IF($E141=$E$5,(V$5),(V$6))</f>
        <v>1.3106918935612442</v>
      </c>
      <c r="W141" s="39">
        <f>'Degree-days'!$G$12*IF($E141=$E$5,(W$5),(W$6))</f>
        <v>1.3106918935612442</v>
      </c>
      <c r="X141" s="39">
        <f>'Degree-days'!$G$12*IF($E141=$E$5,(X$5),(X$6))</f>
        <v>1.3106918935612442</v>
      </c>
      <c r="Y141" s="39">
        <f>'Degree-days'!$G$12*IF($E141=$E$5,(Y$5),(Y$6))</f>
        <v>1.3106918935612442</v>
      </c>
      <c r="Z141" s="39">
        <f>'Degree-days'!$G$12*IF($E141=$E$5,(Z$5),(Z$6))</f>
        <v>1.3106918935612442</v>
      </c>
      <c r="AA141" s="39">
        <f>'Degree-days'!$G$12*IF($E141=$E$5,(AA$5),(AA$6))</f>
        <v>1.3106918935612442</v>
      </c>
      <c r="AB141" s="39">
        <f>'Degree-days'!$G$12*IF($E141=$E$5,(AB$5),(AB$6))</f>
        <v>0</v>
      </c>
      <c r="AC141" s="39">
        <f>'Degree-days'!$G$12*IF($E141=$E$5,(AC$5),(AC$6))</f>
        <v>0</v>
      </c>
      <c r="AD141" s="39">
        <f t="shared" si="5"/>
        <v>20.97107029697991</v>
      </c>
    </row>
    <row r="142" spans="4:30" x14ac:dyDescent="0.2">
      <c r="D142" s="37">
        <v>45061</v>
      </c>
      <c r="E142" s="17" t="str">
        <f t="shared" si="6"/>
        <v>weekday</v>
      </c>
      <c r="F142" s="39">
        <f>'Degree-days'!$G$12*IF($E142=$E$5,(F$5),(F$6))</f>
        <v>0</v>
      </c>
      <c r="G142" s="39">
        <f>'Degree-days'!$G$12*IF($E142=$E$5,(G$5),(G$6))</f>
        <v>0</v>
      </c>
      <c r="H142" s="39">
        <f>'Degree-days'!$G$12*IF($E142=$E$5,(H$5),(H$6))</f>
        <v>0</v>
      </c>
      <c r="I142" s="39">
        <f>'Degree-days'!$G$12*IF($E142=$E$5,(I$5),(I$6))</f>
        <v>0</v>
      </c>
      <c r="J142" s="39">
        <f>'Degree-days'!$G$12*IF($E142=$E$5,(J$5),(J$6))</f>
        <v>0</v>
      </c>
      <c r="K142" s="39">
        <f>'Degree-days'!$G$12*IF($E142=$E$5,(K$5),(K$6))</f>
        <v>0</v>
      </c>
      <c r="L142" s="39">
        <f>'Degree-days'!$G$12*IF($E142=$E$5,(L$5),(L$6))</f>
        <v>1.3106918935612442</v>
      </c>
      <c r="M142" s="39">
        <f>'Degree-days'!$G$12*IF($E142=$E$5,(M$5),(M$6))</f>
        <v>1.3106918935612442</v>
      </c>
      <c r="N142" s="39">
        <f>'Degree-days'!$G$12*IF($E142=$E$5,(N$5),(N$6))</f>
        <v>0</v>
      </c>
      <c r="O142" s="39">
        <f>'Degree-days'!$G$12*IF($E142=$E$5,(O$5),(O$6))</f>
        <v>0</v>
      </c>
      <c r="P142" s="39">
        <f>'Degree-days'!$G$12*IF($E142=$E$5,(P$5),(P$6))</f>
        <v>0</v>
      </c>
      <c r="Q142" s="39">
        <f>'Degree-days'!$G$12*IF($E142=$E$5,(Q$5),(Q$6))</f>
        <v>0</v>
      </c>
      <c r="R142" s="39">
        <f>'Degree-days'!$G$12*IF($E142=$E$5,(R$5),(R$6))</f>
        <v>0</v>
      </c>
      <c r="S142" s="39">
        <f>'Degree-days'!$G$12*IF($E142=$E$5,(S$5),(S$6))</f>
        <v>0</v>
      </c>
      <c r="T142" s="39">
        <f>'Degree-days'!$G$12*IF($E142=$E$5,(T$5),(T$6))</f>
        <v>0</v>
      </c>
      <c r="U142" s="39">
        <f>'Degree-days'!$G$12*IF($E142=$E$5,(U$5),(U$6))</f>
        <v>1.3106918935612442</v>
      </c>
      <c r="V142" s="39">
        <f>'Degree-days'!$G$12*IF($E142=$E$5,(V$5),(V$6))</f>
        <v>1.3106918935612442</v>
      </c>
      <c r="W142" s="39">
        <f>'Degree-days'!$G$12*IF($E142=$E$5,(W$5),(W$6))</f>
        <v>1.3106918935612442</v>
      </c>
      <c r="X142" s="39">
        <f>'Degree-days'!$G$12*IF($E142=$E$5,(X$5),(X$6))</f>
        <v>1.3106918935612442</v>
      </c>
      <c r="Y142" s="39">
        <f>'Degree-days'!$G$12*IF($E142=$E$5,(Y$5),(Y$6))</f>
        <v>1.3106918935612442</v>
      </c>
      <c r="Z142" s="39">
        <f>'Degree-days'!$G$12*IF($E142=$E$5,(Z$5),(Z$6))</f>
        <v>1.3106918935612442</v>
      </c>
      <c r="AA142" s="39">
        <f>'Degree-days'!$G$12*IF($E142=$E$5,(AA$5),(AA$6))</f>
        <v>1.3106918935612442</v>
      </c>
      <c r="AB142" s="39">
        <f>'Degree-days'!$G$12*IF($E142=$E$5,(AB$5),(AB$6))</f>
        <v>0</v>
      </c>
      <c r="AC142" s="39">
        <f>'Degree-days'!$G$12*IF($E142=$E$5,(AC$5),(AC$6))</f>
        <v>0</v>
      </c>
      <c r="AD142" s="39">
        <f t="shared" si="5"/>
        <v>11.796227042051198</v>
      </c>
    </row>
    <row r="143" spans="4:30" x14ac:dyDescent="0.2">
      <c r="D143" s="37">
        <v>45062</v>
      </c>
      <c r="E143" s="17" t="str">
        <f t="shared" si="6"/>
        <v>weekday</v>
      </c>
      <c r="F143" s="39">
        <f>'Degree-days'!$G$12*IF($E143=$E$5,(F$5),(F$6))</f>
        <v>0</v>
      </c>
      <c r="G143" s="39">
        <f>'Degree-days'!$G$12*IF($E143=$E$5,(G$5),(G$6))</f>
        <v>0</v>
      </c>
      <c r="H143" s="39">
        <f>'Degree-days'!$G$12*IF($E143=$E$5,(H$5),(H$6))</f>
        <v>0</v>
      </c>
      <c r="I143" s="39">
        <f>'Degree-days'!$G$12*IF($E143=$E$5,(I$5),(I$6))</f>
        <v>0</v>
      </c>
      <c r="J143" s="39">
        <f>'Degree-days'!$G$12*IF($E143=$E$5,(J$5),(J$6))</f>
        <v>0</v>
      </c>
      <c r="K143" s="39">
        <f>'Degree-days'!$G$12*IF($E143=$E$5,(K$5),(K$6))</f>
        <v>0</v>
      </c>
      <c r="L143" s="39">
        <f>'Degree-days'!$G$12*IF($E143=$E$5,(L$5),(L$6))</f>
        <v>1.3106918935612442</v>
      </c>
      <c r="M143" s="39">
        <f>'Degree-days'!$G$12*IF($E143=$E$5,(M$5),(M$6))</f>
        <v>1.3106918935612442</v>
      </c>
      <c r="N143" s="39">
        <f>'Degree-days'!$G$12*IF($E143=$E$5,(N$5),(N$6))</f>
        <v>0</v>
      </c>
      <c r="O143" s="39">
        <f>'Degree-days'!$G$12*IF($E143=$E$5,(O$5),(O$6))</f>
        <v>0</v>
      </c>
      <c r="P143" s="39">
        <f>'Degree-days'!$G$12*IF($E143=$E$5,(P$5),(P$6))</f>
        <v>0</v>
      </c>
      <c r="Q143" s="39">
        <f>'Degree-days'!$G$12*IF($E143=$E$5,(Q$5),(Q$6))</f>
        <v>0</v>
      </c>
      <c r="R143" s="39">
        <f>'Degree-days'!$G$12*IF($E143=$E$5,(R$5),(R$6))</f>
        <v>0</v>
      </c>
      <c r="S143" s="39">
        <f>'Degree-days'!$G$12*IF($E143=$E$5,(S$5),(S$6))</f>
        <v>0</v>
      </c>
      <c r="T143" s="39">
        <f>'Degree-days'!$G$12*IF($E143=$E$5,(T$5),(T$6))</f>
        <v>0</v>
      </c>
      <c r="U143" s="39">
        <f>'Degree-days'!$G$12*IF($E143=$E$5,(U$5),(U$6))</f>
        <v>1.3106918935612442</v>
      </c>
      <c r="V143" s="39">
        <f>'Degree-days'!$G$12*IF($E143=$E$5,(V$5),(V$6))</f>
        <v>1.3106918935612442</v>
      </c>
      <c r="W143" s="39">
        <f>'Degree-days'!$G$12*IF($E143=$E$5,(W$5),(W$6))</f>
        <v>1.3106918935612442</v>
      </c>
      <c r="X143" s="39">
        <f>'Degree-days'!$G$12*IF($E143=$E$5,(X$5),(X$6))</f>
        <v>1.3106918935612442</v>
      </c>
      <c r="Y143" s="39">
        <f>'Degree-days'!$G$12*IF($E143=$E$5,(Y$5),(Y$6))</f>
        <v>1.3106918935612442</v>
      </c>
      <c r="Z143" s="39">
        <f>'Degree-days'!$G$12*IF($E143=$E$5,(Z$5),(Z$6))</f>
        <v>1.3106918935612442</v>
      </c>
      <c r="AA143" s="39">
        <f>'Degree-days'!$G$12*IF($E143=$E$5,(AA$5),(AA$6))</f>
        <v>1.3106918935612442</v>
      </c>
      <c r="AB143" s="39">
        <f>'Degree-days'!$G$12*IF($E143=$E$5,(AB$5),(AB$6))</f>
        <v>0</v>
      </c>
      <c r="AC143" s="39">
        <f>'Degree-days'!$G$12*IF($E143=$E$5,(AC$5),(AC$6))</f>
        <v>0</v>
      </c>
      <c r="AD143" s="39">
        <f t="shared" si="5"/>
        <v>11.796227042051198</v>
      </c>
    </row>
    <row r="144" spans="4:30" x14ac:dyDescent="0.2">
      <c r="D144" s="37">
        <v>45063</v>
      </c>
      <c r="E144" s="17" t="str">
        <f t="shared" si="6"/>
        <v>weekday</v>
      </c>
      <c r="F144" s="39">
        <f>'Degree-days'!$G$12*IF($E144=$E$5,(F$5),(F$6))</f>
        <v>0</v>
      </c>
      <c r="G144" s="39">
        <f>'Degree-days'!$G$12*IF($E144=$E$5,(G$5),(G$6))</f>
        <v>0</v>
      </c>
      <c r="H144" s="39">
        <f>'Degree-days'!$G$12*IF($E144=$E$5,(H$5),(H$6))</f>
        <v>0</v>
      </c>
      <c r="I144" s="39">
        <f>'Degree-days'!$G$12*IF($E144=$E$5,(I$5),(I$6))</f>
        <v>0</v>
      </c>
      <c r="J144" s="39">
        <f>'Degree-days'!$G$12*IF($E144=$E$5,(J$5),(J$6))</f>
        <v>0</v>
      </c>
      <c r="K144" s="39">
        <f>'Degree-days'!$G$12*IF($E144=$E$5,(K$5),(K$6))</f>
        <v>0</v>
      </c>
      <c r="L144" s="39">
        <f>'Degree-days'!$G$12*IF($E144=$E$5,(L$5),(L$6))</f>
        <v>1.3106918935612442</v>
      </c>
      <c r="M144" s="39">
        <f>'Degree-days'!$G$12*IF($E144=$E$5,(M$5),(M$6))</f>
        <v>1.3106918935612442</v>
      </c>
      <c r="N144" s="39">
        <f>'Degree-days'!$G$12*IF($E144=$E$5,(N$5),(N$6))</f>
        <v>0</v>
      </c>
      <c r="O144" s="39">
        <f>'Degree-days'!$G$12*IF($E144=$E$5,(O$5),(O$6))</f>
        <v>0</v>
      </c>
      <c r="P144" s="39">
        <f>'Degree-days'!$G$12*IF($E144=$E$5,(P$5),(P$6))</f>
        <v>0</v>
      </c>
      <c r="Q144" s="39">
        <f>'Degree-days'!$G$12*IF($E144=$E$5,(Q$5),(Q$6))</f>
        <v>0</v>
      </c>
      <c r="R144" s="39">
        <f>'Degree-days'!$G$12*IF($E144=$E$5,(R$5),(R$6))</f>
        <v>0</v>
      </c>
      <c r="S144" s="39">
        <f>'Degree-days'!$G$12*IF($E144=$E$5,(S$5),(S$6))</f>
        <v>0</v>
      </c>
      <c r="T144" s="39">
        <f>'Degree-days'!$G$12*IF($E144=$E$5,(T$5),(T$6))</f>
        <v>0</v>
      </c>
      <c r="U144" s="39">
        <f>'Degree-days'!$G$12*IF($E144=$E$5,(U$5),(U$6))</f>
        <v>1.3106918935612442</v>
      </c>
      <c r="V144" s="39">
        <f>'Degree-days'!$G$12*IF($E144=$E$5,(V$5),(V$6))</f>
        <v>1.3106918935612442</v>
      </c>
      <c r="W144" s="39">
        <f>'Degree-days'!$G$12*IF($E144=$E$5,(W$5),(W$6))</f>
        <v>1.3106918935612442</v>
      </c>
      <c r="X144" s="39">
        <f>'Degree-days'!$G$12*IF($E144=$E$5,(X$5),(X$6))</f>
        <v>1.3106918935612442</v>
      </c>
      <c r="Y144" s="39">
        <f>'Degree-days'!$G$12*IF($E144=$E$5,(Y$5),(Y$6))</f>
        <v>1.3106918935612442</v>
      </c>
      <c r="Z144" s="39">
        <f>'Degree-days'!$G$12*IF($E144=$E$5,(Z$5),(Z$6))</f>
        <v>1.3106918935612442</v>
      </c>
      <c r="AA144" s="39">
        <f>'Degree-days'!$G$12*IF($E144=$E$5,(AA$5),(AA$6))</f>
        <v>1.3106918935612442</v>
      </c>
      <c r="AB144" s="39">
        <f>'Degree-days'!$G$12*IF($E144=$E$5,(AB$5),(AB$6))</f>
        <v>0</v>
      </c>
      <c r="AC144" s="39">
        <f>'Degree-days'!$G$12*IF($E144=$E$5,(AC$5),(AC$6))</f>
        <v>0</v>
      </c>
      <c r="AD144" s="39">
        <f t="shared" si="5"/>
        <v>11.796227042051198</v>
      </c>
    </row>
    <row r="145" spans="4:32" x14ac:dyDescent="0.2">
      <c r="D145" s="37">
        <v>45064</v>
      </c>
      <c r="E145" s="17" t="str">
        <f t="shared" si="6"/>
        <v>weekday</v>
      </c>
      <c r="F145" s="39">
        <f>'Degree-days'!$G$12*IF($E145=$E$5,(F$5),(F$6))</f>
        <v>0</v>
      </c>
      <c r="G145" s="39">
        <f>'Degree-days'!$G$12*IF($E145=$E$5,(G$5),(G$6))</f>
        <v>0</v>
      </c>
      <c r="H145" s="39">
        <f>'Degree-days'!$G$12*IF($E145=$E$5,(H$5),(H$6))</f>
        <v>0</v>
      </c>
      <c r="I145" s="39">
        <f>'Degree-days'!$G$12*IF($E145=$E$5,(I$5),(I$6))</f>
        <v>0</v>
      </c>
      <c r="J145" s="39">
        <f>'Degree-days'!$G$12*IF($E145=$E$5,(J$5),(J$6))</f>
        <v>0</v>
      </c>
      <c r="K145" s="39">
        <f>'Degree-days'!$G$12*IF($E145=$E$5,(K$5),(K$6))</f>
        <v>0</v>
      </c>
      <c r="L145" s="39">
        <f>'Degree-days'!$G$12*IF($E145=$E$5,(L$5),(L$6))</f>
        <v>1.3106918935612442</v>
      </c>
      <c r="M145" s="39">
        <f>'Degree-days'!$G$12*IF($E145=$E$5,(M$5),(M$6))</f>
        <v>1.3106918935612442</v>
      </c>
      <c r="N145" s="39">
        <f>'Degree-days'!$G$12*IF($E145=$E$5,(N$5),(N$6))</f>
        <v>0</v>
      </c>
      <c r="O145" s="39">
        <f>'Degree-days'!$G$12*IF($E145=$E$5,(O$5),(O$6))</f>
        <v>0</v>
      </c>
      <c r="P145" s="39">
        <f>'Degree-days'!$G$12*IF($E145=$E$5,(P$5),(P$6))</f>
        <v>0</v>
      </c>
      <c r="Q145" s="39">
        <f>'Degree-days'!$G$12*IF($E145=$E$5,(Q$5),(Q$6))</f>
        <v>0</v>
      </c>
      <c r="R145" s="39">
        <f>'Degree-days'!$G$12*IF($E145=$E$5,(R$5),(R$6))</f>
        <v>0</v>
      </c>
      <c r="S145" s="39">
        <f>'Degree-days'!$G$12*IF($E145=$E$5,(S$5),(S$6))</f>
        <v>0</v>
      </c>
      <c r="T145" s="39">
        <f>'Degree-days'!$G$12*IF($E145=$E$5,(T$5),(T$6))</f>
        <v>0</v>
      </c>
      <c r="U145" s="39">
        <f>'Degree-days'!$G$12*IF($E145=$E$5,(U$5),(U$6))</f>
        <v>1.3106918935612442</v>
      </c>
      <c r="V145" s="39">
        <f>'Degree-days'!$G$12*IF($E145=$E$5,(V$5),(V$6))</f>
        <v>1.3106918935612442</v>
      </c>
      <c r="W145" s="39">
        <f>'Degree-days'!$G$12*IF($E145=$E$5,(W$5),(W$6))</f>
        <v>1.3106918935612442</v>
      </c>
      <c r="X145" s="39">
        <f>'Degree-days'!$G$12*IF($E145=$E$5,(X$5),(X$6))</f>
        <v>1.3106918935612442</v>
      </c>
      <c r="Y145" s="39">
        <f>'Degree-days'!$G$12*IF($E145=$E$5,(Y$5),(Y$6))</f>
        <v>1.3106918935612442</v>
      </c>
      <c r="Z145" s="39">
        <f>'Degree-days'!$G$12*IF($E145=$E$5,(Z$5),(Z$6))</f>
        <v>1.3106918935612442</v>
      </c>
      <c r="AA145" s="39">
        <f>'Degree-days'!$G$12*IF($E145=$E$5,(AA$5),(AA$6))</f>
        <v>1.3106918935612442</v>
      </c>
      <c r="AB145" s="39">
        <f>'Degree-days'!$G$12*IF($E145=$E$5,(AB$5),(AB$6))</f>
        <v>0</v>
      </c>
      <c r="AC145" s="39">
        <f>'Degree-days'!$G$12*IF($E145=$E$5,(AC$5),(AC$6))</f>
        <v>0</v>
      </c>
      <c r="AD145" s="39">
        <f t="shared" si="5"/>
        <v>11.796227042051198</v>
      </c>
    </row>
    <row r="146" spans="4:32" x14ac:dyDescent="0.2">
      <c r="D146" s="37">
        <v>45065</v>
      </c>
      <c r="E146" s="17" t="str">
        <f t="shared" si="6"/>
        <v>weekday</v>
      </c>
      <c r="F146" s="39">
        <f>'Degree-days'!$G$12*IF($E146=$E$5,(F$5),(F$6))</f>
        <v>0</v>
      </c>
      <c r="G146" s="39">
        <f>'Degree-days'!$G$12*IF($E146=$E$5,(G$5),(G$6))</f>
        <v>0</v>
      </c>
      <c r="H146" s="39">
        <f>'Degree-days'!$G$12*IF($E146=$E$5,(H$5),(H$6))</f>
        <v>0</v>
      </c>
      <c r="I146" s="39">
        <f>'Degree-days'!$G$12*IF($E146=$E$5,(I$5),(I$6))</f>
        <v>0</v>
      </c>
      <c r="J146" s="39">
        <f>'Degree-days'!$G$12*IF($E146=$E$5,(J$5),(J$6))</f>
        <v>0</v>
      </c>
      <c r="K146" s="39">
        <f>'Degree-days'!$G$12*IF($E146=$E$5,(K$5),(K$6))</f>
        <v>0</v>
      </c>
      <c r="L146" s="39">
        <f>'Degree-days'!$G$12*IF($E146=$E$5,(L$5),(L$6))</f>
        <v>1.3106918935612442</v>
      </c>
      <c r="M146" s="39">
        <f>'Degree-days'!$G$12*IF($E146=$E$5,(M$5),(M$6))</f>
        <v>1.3106918935612442</v>
      </c>
      <c r="N146" s="39">
        <f>'Degree-days'!$G$12*IF($E146=$E$5,(N$5),(N$6))</f>
        <v>0</v>
      </c>
      <c r="O146" s="39">
        <f>'Degree-days'!$G$12*IF($E146=$E$5,(O$5),(O$6))</f>
        <v>0</v>
      </c>
      <c r="P146" s="39">
        <f>'Degree-days'!$G$12*IF($E146=$E$5,(P$5),(P$6))</f>
        <v>0</v>
      </c>
      <c r="Q146" s="39">
        <f>'Degree-days'!$G$12*IF($E146=$E$5,(Q$5),(Q$6))</f>
        <v>0</v>
      </c>
      <c r="R146" s="39">
        <f>'Degree-days'!$G$12*IF($E146=$E$5,(R$5),(R$6))</f>
        <v>0</v>
      </c>
      <c r="S146" s="39">
        <f>'Degree-days'!$G$12*IF($E146=$E$5,(S$5),(S$6))</f>
        <v>0</v>
      </c>
      <c r="T146" s="39">
        <f>'Degree-days'!$G$12*IF($E146=$E$5,(T$5),(T$6))</f>
        <v>0</v>
      </c>
      <c r="U146" s="39">
        <f>'Degree-days'!$G$12*IF($E146=$E$5,(U$5),(U$6))</f>
        <v>1.3106918935612442</v>
      </c>
      <c r="V146" s="39">
        <f>'Degree-days'!$G$12*IF($E146=$E$5,(V$5),(V$6))</f>
        <v>1.3106918935612442</v>
      </c>
      <c r="W146" s="39">
        <f>'Degree-days'!$G$12*IF($E146=$E$5,(W$5),(W$6))</f>
        <v>1.3106918935612442</v>
      </c>
      <c r="X146" s="39">
        <f>'Degree-days'!$G$12*IF($E146=$E$5,(X$5),(X$6))</f>
        <v>1.3106918935612442</v>
      </c>
      <c r="Y146" s="39">
        <f>'Degree-days'!$G$12*IF($E146=$E$5,(Y$5),(Y$6))</f>
        <v>1.3106918935612442</v>
      </c>
      <c r="Z146" s="39">
        <f>'Degree-days'!$G$12*IF($E146=$E$5,(Z$5),(Z$6))</f>
        <v>1.3106918935612442</v>
      </c>
      <c r="AA146" s="39">
        <f>'Degree-days'!$G$12*IF($E146=$E$5,(AA$5),(AA$6))</f>
        <v>1.3106918935612442</v>
      </c>
      <c r="AB146" s="39">
        <f>'Degree-days'!$G$12*IF($E146=$E$5,(AB$5),(AB$6))</f>
        <v>0</v>
      </c>
      <c r="AC146" s="39">
        <f>'Degree-days'!$G$12*IF($E146=$E$5,(AC$5),(AC$6))</f>
        <v>0</v>
      </c>
      <c r="AD146" s="39">
        <f t="shared" si="5"/>
        <v>11.796227042051198</v>
      </c>
    </row>
    <row r="147" spans="4:32" x14ac:dyDescent="0.2">
      <c r="D147" s="37">
        <v>45066</v>
      </c>
      <c r="E147" s="17" t="str">
        <f t="shared" si="6"/>
        <v>weekend</v>
      </c>
      <c r="F147" s="39">
        <f>'Degree-days'!$G$12*IF($E147=$E$5,(F$5),(F$6))</f>
        <v>0</v>
      </c>
      <c r="G147" s="39">
        <f>'Degree-days'!$G$12*IF($E147=$E$5,(G$5),(G$6))</f>
        <v>0</v>
      </c>
      <c r="H147" s="39">
        <f>'Degree-days'!$G$12*IF($E147=$E$5,(H$5),(H$6))</f>
        <v>0</v>
      </c>
      <c r="I147" s="39">
        <f>'Degree-days'!$G$12*IF($E147=$E$5,(I$5),(I$6))</f>
        <v>0</v>
      </c>
      <c r="J147" s="39">
        <f>'Degree-days'!$G$12*IF($E147=$E$5,(J$5),(J$6))</f>
        <v>0</v>
      </c>
      <c r="K147" s="39">
        <f>'Degree-days'!$G$12*IF($E147=$E$5,(K$5),(K$6))</f>
        <v>0</v>
      </c>
      <c r="L147" s="39">
        <f>'Degree-days'!$G$12*IF($E147=$E$5,(L$5),(L$6))</f>
        <v>1.3106918935612442</v>
      </c>
      <c r="M147" s="39">
        <f>'Degree-days'!$G$12*IF($E147=$E$5,(M$5),(M$6))</f>
        <v>1.3106918935612442</v>
      </c>
      <c r="N147" s="39">
        <f>'Degree-days'!$G$12*IF($E147=$E$5,(N$5),(N$6))</f>
        <v>1.3106918935612442</v>
      </c>
      <c r="O147" s="39">
        <f>'Degree-days'!$G$12*IF($E147=$E$5,(O$5),(O$6))</f>
        <v>1.3106918935612442</v>
      </c>
      <c r="P147" s="39">
        <f>'Degree-days'!$G$12*IF($E147=$E$5,(P$5),(P$6))</f>
        <v>1.3106918935612442</v>
      </c>
      <c r="Q147" s="39">
        <f>'Degree-days'!$G$12*IF($E147=$E$5,(Q$5),(Q$6))</f>
        <v>1.3106918935612442</v>
      </c>
      <c r="R147" s="39">
        <f>'Degree-days'!$G$12*IF($E147=$E$5,(R$5),(R$6))</f>
        <v>1.3106918935612442</v>
      </c>
      <c r="S147" s="39">
        <f>'Degree-days'!$G$12*IF($E147=$E$5,(S$5),(S$6))</f>
        <v>1.3106918935612442</v>
      </c>
      <c r="T147" s="39">
        <f>'Degree-days'!$G$12*IF($E147=$E$5,(T$5),(T$6))</f>
        <v>1.3106918935612442</v>
      </c>
      <c r="U147" s="39">
        <f>'Degree-days'!$G$12*IF($E147=$E$5,(U$5),(U$6))</f>
        <v>1.3106918935612442</v>
      </c>
      <c r="V147" s="39">
        <f>'Degree-days'!$G$12*IF($E147=$E$5,(V$5),(V$6))</f>
        <v>1.3106918935612442</v>
      </c>
      <c r="W147" s="39">
        <f>'Degree-days'!$G$12*IF($E147=$E$5,(W$5),(W$6))</f>
        <v>1.3106918935612442</v>
      </c>
      <c r="X147" s="39">
        <f>'Degree-days'!$G$12*IF($E147=$E$5,(X$5),(X$6))</f>
        <v>1.3106918935612442</v>
      </c>
      <c r="Y147" s="39">
        <f>'Degree-days'!$G$12*IF($E147=$E$5,(Y$5),(Y$6))</f>
        <v>1.3106918935612442</v>
      </c>
      <c r="Z147" s="39">
        <f>'Degree-days'!$G$12*IF($E147=$E$5,(Z$5),(Z$6))</f>
        <v>1.3106918935612442</v>
      </c>
      <c r="AA147" s="39">
        <f>'Degree-days'!$G$12*IF($E147=$E$5,(AA$5),(AA$6))</f>
        <v>1.3106918935612442</v>
      </c>
      <c r="AB147" s="39">
        <f>'Degree-days'!$G$12*IF($E147=$E$5,(AB$5),(AB$6))</f>
        <v>0</v>
      </c>
      <c r="AC147" s="39">
        <f>'Degree-days'!$G$12*IF($E147=$E$5,(AC$5),(AC$6))</f>
        <v>0</v>
      </c>
      <c r="AD147" s="39">
        <f t="shared" si="5"/>
        <v>20.97107029697991</v>
      </c>
    </row>
    <row r="148" spans="4:32" x14ac:dyDescent="0.2">
      <c r="D148" s="37">
        <v>45067</v>
      </c>
      <c r="E148" s="17" t="str">
        <f t="shared" si="6"/>
        <v>weekend</v>
      </c>
      <c r="F148" s="39">
        <f>'Degree-days'!$G$12*IF($E148=$E$5,(F$5),(F$6))</f>
        <v>0</v>
      </c>
      <c r="G148" s="39">
        <f>'Degree-days'!$G$12*IF($E148=$E$5,(G$5),(G$6))</f>
        <v>0</v>
      </c>
      <c r="H148" s="39">
        <f>'Degree-days'!$G$12*IF($E148=$E$5,(H$5),(H$6))</f>
        <v>0</v>
      </c>
      <c r="I148" s="39">
        <f>'Degree-days'!$G$12*IF($E148=$E$5,(I$5),(I$6))</f>
        <v>0</v>
      </c>
      <c r="J148" s="39">
        <f>'Degree-days'!$G$12*IF($E148=$E$5,(J$5),(J$6))</f>
        <v>0</v>
      </c>
      <c r="K148" s="39">
        <f>'Degree-days'!$G$12*IF($E148=$E$5,(K$5),(K$6))</f>
        <v>0</v>
      </c>
      <c r="L148" s="39">
        <f>'Degree-days'!$G$12*IF($E148=$E$5,(L$5),(L$6))</f>
        <v>1.3106918935612442</v>
      </c>
      <c r="M148" s="39">
        <f>'Degree-days'!$G$12*IF($E148=$E$5,(M$5),(M$6))</f>
        <v>1.3106918935612442</v>
      </c>
      <c r="N148" s="39">
        <f>'Degree-days'!$G$12*IF($E148=$E$5,(N$5),(N$6))</f>
        <v>1.3106918935612442</v>
      </c>
      <c r="O148" s="39">
        <f>'Degree-days'!$G$12*IF($E148=$E$5,(O$5),(O$6))</f>
        <v>1.3106918935612442</v>
      </c>
      <c r="P148" s="39">
        <f>'Degree-days'!$G$12*IF($E148=$E$5,(P$5),(P$6))</f>
        <v>1.3106918935612442</v>
      </c>
      <c r="Q148" s="39">
        <f>'Degree-days'!$G$12*IF($E148=$E$5,(Q$5),(Q$6))</f>
        <v>1.3106918935612442</v>
      </c>
      <c r="R148" s="39">
        <f>'Degree-days'!$G$12*IF($E148=$E$5,(R$5),(R$6))</f>
        <v>1.3106918935612442</v>
      </c>
      <c r="S148" s="39">
        <f>'Degree-days'!$G$12*IF($E148=$E$5,(S$5),(S$6))</f>
        <v>1.3106918935612442</v>
      </c>
      <c r="T148" s="39">
        <f>'Degree-days'!$G$12*IF($E148=$E$5,(T$5),(T$6))</f>
        <v>1.3106918935612442</v>
      </c>
      <c r="U148" s="39">
        <f>'Degree-days'!$G$12*IF($E148=$E$5,(U$5),(U$6))</f>
        <v>1.3106918935612442</v>
      </c>
      <c r="V148" s="39">
        <f>'Degree-days'!$G$12*IF($E148=$E$5,(V$5),(V$6))</f>
        <v>1.3106918935612442</v>
      </c>
      <c r="W148" s="39">
        <f>'Degree-days'!$G$12*IF($E148=$E$5,(W$5),(W$6))</f>
        <v>1.3106918935612442</v>
      </c>
      <c r="X148" s="39">
        <f>'Degree-days'!$G$12*IF($E148=$E$5,(X$5),(X$6))</f>
        <v>1.3106918935612442</v>
      </c>
      <c r="Y148" s="39">
        <f>'Degree-days'!$G$12*IF($E148=$E$5,(Y$5),(Y$6))</f>
        <v>1.3106918935612442</v>
      </c>
      <c r="Z148" s="39">
        <f>'Degree-days'!$G$12*IF($E148=$E$5,(Z$5),(Z$6))</f>
        <v>1.3106918935612442</v>
      </c>
      <c r="AA148" s="39">
        <f>'Degree-days'!$G$12*IF($E148=$E$5,(AA$5),(AA$6))</f>
        <v>1.3106918935612442</v>
      </c>
      <c r="AB148" s="39">
        <f>'Degree-days'!$G$12*IF($E148=$E$5,(AB$5),(AB$6))</f>
        <v>0</v>
      </c>
      <c r="AC148" s="39">
        <f>'Degree-days'!$G$12*IF($E148=$E$5,(AC$5),(AC$6))</f>
        <v>0</v>
      </c>
      <c r="AD148" s="39">
        <f t="shared" si="5"/>
        <v>20.97107029697991</v>
      </c>
    </row>
    <row r="149" spans="4:32" x14ac:dyDescent="0.2">
      <c r="D149" s="37">
        <v>45068</v>
      </c>
      <c r="E149" s="17" t="str">
        <f t="shared" si="6"/>
        <v>weekday</v>
      </c>
      <c r="F149" s="39">
        <f>'Degree-days'!$G$12*IF($E149=$E$5,(F$5),(F$6))</f>
        <v>0</v>
      </c>
      <c r="G149" s="39">
        <f>'Degree-days'!$G$12*IF($E149=$E$5,(G$5),(G$6))</f>
        <v>0</v>
      </c>
      <c r="H149" s="39">
        <f>'Degree-days'!$G$12*IF($E149=$E$5,(H$5),(H$6))</f>
        <v>0</v>
      </c>
      <c r="I149" s="39">
        <f>'Degree-days'!$G$12*IF($E149=$E$5,(I$5),(I$6))</f>
        <v>0</v>
      </c>
      <c r="J149" s="39">
        <f>'Degree-days'!$G$12*IF($E149=$E$5,(J$5),(J$6))</f>
        <v>0</v>
      </c>
      <c r="K149" s="39">
        <f>'Degree-days'!$G$12*IF($E149=$E$5,(K$5),(K$6))</f>
        <v>0</v>
      </c>
      <c r="L149" s="39">
        <f>'Degree-days'!$G$12*IF($E149=$E$5,(L$5),(L$6))</f>
        <v>1.3106918935612442</v>
      </c>
      <c r="M149" s="39">
        <f>'Degree-days'!$G$12*IF($E149=$E$5,(M$5),(M$6))</f>
        <v>1.3106918935612442</v>
      </c>
      <c r="N149" s="39">
        <f>'Degree-days'!$G$12*IF($E149=$E$5,(N$5),(N$6))</f>
        <v>0</v>
      </c>
      <c r="O149" s="39">
        <f>'Degree-days'!$G$12*IF($E149=$E$5,(O$5),(O$6))</f>
        <v>0</v>
      </c>
      <c r="P149" s="39">
        <f>'Degree-days'!$G$12*IF($E149=$E$5,(P$5),(P$6))</f>
        <v>0</v>
      </c>
      <c r="Q149" s="39">
        <f>'Degree-days'!$G$12*IF($E149=$E$5,(Q$5),(Q$6))</f>
        <v>0</v>
      </c>
      <c r="R149" s="39">
        <f>'Degree-days'!$G$12*IF($E149=$E$5,(R$5),(R$6))</f>
        <v>0</v>
      </c>
      <c r="S149" s="39">
        <f>'Degree-days'!$G$12*IF($E149=$E$5,(S$5),(S$6))</f>
        <v>0</v>
      </c>
      <c r="T149" s="39">
        <f>'Degree-days'!$G$12*IF($E149=$E$5,(T$5),(T$6))</f>
        <v>0</v>
      </c>
      <c r="U149" s="39">
        <f>'Degree-days'!$G$12*IF($E149=$E$5,(U$5),(U$6))</f>
        <v>1.3106918935612442</v>
      </c>
      <c r="V149" s="39">
        <f>'Degree-days'!$G$12*IF($E149=$E$5,(V$5),(V$6))</f>
        <v>1.3106918935612442</v>
      </c>
      <c r="W149" s="39">
        <f>'Degree-days'!$G$12*IF($E149=$E$5,(W$5),(W$6))</f>
        <v>1.3106918935612442</v>
      </c>
      <c r="X149" s="39">
        <f>'Degree-days'!$G$12*IF($E149=$E$5,(X$5),(X$6))</f>
        <v>1.3106918935612442</v>
      </c>
      <c r="Y149" s="39">
        <f>'Degree-days'!$G$12*IF($E149=$E$5,(Y$5),(Y$6))</f>
        <v>1.3106918935612442</v>
      </c>
      <c r="Z149" s="39">
        <f>'Degree-days'!$G$12*IF($E149=$E$5,(Z$5),(Z$6))</f>
        <v>1.3106918935612442</v>
      </c>
      <c r="AA149" s="39">
        <f>'Degree-days'!$G$12*IF($E149=$E$5,(AA$5),(AA$6))</f>
        <v>1.3106918935612442</v>
      </c>
      <c r="AB149" s="39">
        <f>'Degree-days'!$G$12*IF($E149=$E$5,(AB$5),(AB$6))</f>
        <v>0</v>
      </c>
      <c r="AC149" s="39">
        <f>'Degree-days'!$G$12*IF($E149=$E$5,(AC$5),(AC$6))</f>
        <v>0</v>
      </c>
      <c r="AD149" s="39">
        <f t="shared" si="5"/>
        <v>11.796227042051198</v>
      </c>
    </row>
    <row r="150" spans="4:32" x14ac:dyDescent="0.2">
      <c r="D150" s="37">
        <v>45069</v>
      </c>
      <c r="E150" s="17" t="str">
        <f t="shared" si="6"/>
        <v>weekday</v>
      </c>
      <c r="F150" s="39">
        <f>'Degree-days'!$G$12*IF($E150=$E$5,(F$5),(F$6))</f>
        <v>0</v>
      </c>
      <c r="G150" s="39">
        <f>'Degree-days'!$G$12*IF($E150=$E$5,(G$5),(G$6))</f>
        <v>0</v>
      </c>
      <c r="H150" s="39">
        <f>'Degree-days'!$G$12*IF($E150=$E$5,(H$5),(H$6))</f>
        <v>0</v>
      </c>
      <c r="I150" s="39">
        <f>'Degree-days'!$G$12*IF($E150=$E$5,(I$5),(I$6))</f>
        <v>0</v>
      </c>
      <c r="J150" s="39">
        <f>'Degree-days'!$G$12*IF($E150=$E$5,(J$5),(J$6))</f>
        <v>0</v>
      </c>
      <c r="K150" s="39">
        <f>'Degree-days'!$G$12*IF($E150=$E$5,(K$5),(K$6))</f>
        <v>0</v>
      </c>
      <c r="L150" s="39">
        <f>'Degree-days'!$G$12*IF($E150=$E$5,(L$5),(L$6))</f>
        <v>1.3106918935612442</v>
      </c>
      <c r="M150" s="39">
        <f>'Degree-days'!$G$12*IF($E150=$E$5,(M$5),(M$6))</f>
        <v>1.3106918935612442</v>
      </c>
      <c r="N150" s="39">
        <f>'Degree-days'!$G$12*IF($E150=$E$5,(N$5),(N$6))</f>
        <v>0</v>
      </c>
      <c r="O150" s="39">
        <f>'Degree-days'!$G$12*IF($E150=$E$5,(O$5),(O$6))</f>
        <v>0</v>
      </c>
      <c r="P150" s="39">
        <f>'Degree-days'!$G$12*IF($E150=$E$5,(P$5),(P$6))</f>
        <v>0</v>
      </c>
      <c r="Q150" s="39">
        <f>'Degree-days'!$G$12*IF($E150=$E$5,(Q$5),(Q$6))</f>
        <v>0</v>
      </c>
      <c r="R150" s="39">
        <f>'Degree-days'!$G$12*IF($E150=$E$5,(R$5),(R$6))</f>
        <v>0</v>
      </c>
      <c r="S150" s="39">
        <f>'Degree-days'!$G$12*IF($E150=$E$5,(S$5),(S$6))</f>
        <v>0</v>
      </c>
      <c r="T150" s="39">
        <f>'Degree-days'!$G$12*IF($E150=$E$5,(T$5),(T$6))</f>
        <v>0</v>
      </c>
      <c r="U150" s="39">
        <f>'Degree-days'!$G$12*IF($E150=$E$5,(U$5),(U$6))</f>
        <v>1.3106918935612442</v>
      </c>
      <c r="V150" s="39">
        <f>'Degree-days'!$G$12*IF($E150=$E$5,(V$5),(V$6))</f>
        <v>1.3106918935612442</v>
      </c>
      <c r="W150" s="39">
        <f>'Degree-days'!$G$12*IF($E150=$E$5,(W$5),(W$6))</f>
        <v>1.3106918935612442</v>
      </c>
      <c r="X150" s="39">
        <f>'Degree-days'!$G$12*IF($E150=$E$5,(X$5),(X$6))</f>
        <v>1.3106918935612442</v>
      </c>
      <c r="Y150" s="39">
        <f>'Degree-days'!$G$12*IF($E150=$E$5,(Y$5),(Y$6))</f>
        <v>1.3106918935612442</v>
      </c>
      <c r="Z150" s="39">
        <f>'Degree-days'!$G$12*IF($E150=$E$5,(Z$5),(Z$6))</f>
        <v>1.3106918935612442</v>
      </c>
      <c r="AA150" s="39">
        <f>'Degree-days'!$G$12*IF($E150=$E$5,(AA$5),(AA$6))</f>
        <v>1.3106918935612442</v>
      </c>
      <c r="AB150" s="39">
        <f>'Degree-days'!$G$12*IF($E150=$E$5,(AB$5),(AB$6))</f>
        <v>0</v>
      </c>
      <c r="AC150" s="39">
        <f>'Degree-days'!$G$12*IF($E150=$E$5,(AC$5),(AC$6))</f>
        <v>0</v>
      </c>
      <c r="AD150" s="39">
        <f t="shared" si="5"/>
        <v>11.796227042051198</v>
      </c>
    </row>
    <row r="151" spans="4:32" x14ac:dyDescent="0.2">
      <c r="D151" s="37">
        <v>45070</v>
      </c>
      <c r="E151" s="17" t="str">
        <f t="shared" si="6"/>
        <v>weekday</v>
      </c>
      <c r="F151" s="39">
        <f>'Degree-days'!$G$12*IF($E151=$E$5,(F$5),(F$6))</f>
        <v>0</v>
      </c>
      <c r="G151" s="39">
        <f>'Degree-days'!$G$12*IF($E151=$E$5,(G$5),(G$6))</f>
        <v>0</v>
      </c>
      <c r="H151" s="39">
        <f>'Degree-days'!$G$12*IF($E151=$E$5,(H$5),(H$6))</f>
        <v>0</v>
      </c>
      <c r="I151" s="39">
        <f>'Degree-days'!$G$12*IF($E151=$E$5,(I$5),(I$6))</f>
        <v>0</v>
      </c>
      <c r="J151" s="39">
        <f>'Degree-days'!$G$12*IF($E151=$E$5,(J$5),(J$6))</f>
        <v>0</v>
      </c>
      <c r="K151" s="39">
        <f>'Degree-days'!$G$12*IF($E151=$E$5,(K$5),(K$6))</f>
        <v>0</v>
      </c>
      <c r="L151" s="39">
        <f>'Degree-days'!$G$12*IF($E151=$E$5,(L$5),(L$6))</f>
        <v>1.3106918935612442</v>
      </c>
      <c r="M151" s="39">
        <f>'Degree-days'!$G$12*IF($E151=$E$5,(M$5),(M$6))</f>
        <v>1.3106918935612442</v>
      </c>
      <c r="N151" s="39">
        <f>'Degree-days'!$G$12*IF($E151=$E$5,(N$5),(N$6))</f>
        <v>0</v>
      </c>
      <c r="O151" s="39">
        <f>'Degree-days'!$G$12*IF($E151=$E$5,(O$5),(O$6))</f>
        <v>0</v>
      </c>
      <c r="P151" s="39">
        <f>'Degree-days'!$G$12*IF($E151=$E$5,(P$5),(P$6))</f>
        <v>0</v>
      </c>
      <c r="Q151" s="39">
        <f>'Degree-days'!$G$12*IF($E151=$E$5,(Q$5),(Q$6))</f>
        <v>0</v>
      </c>
      <c r="R151" s="39">
        <f>'Degree-days'!$G$12*IF($E151=$E$5,(R$5),(R$6))</f>
        <v>0</v>
      </c>
      <c r="S151" s="39">
        <f>'Degree-days'!$G$12*IF($E151=$E$5,(S$5),(S$6))</f>
        <v>0</v>
      </c>
      <c r="T151" s="39">
        <f>'Degree-days'!$G$12*IF($E151=$E$5,(T$5),(T$6))</f>
        <v>0</v>
      </c>
      <c r="U151" s="39">
        <f>'Degree-days'!$G$12*IF($E151=$E$5,(U$5),(U$6))</f>
        <v>1.3106918935612442</v>
      </c>
      <c r="V151" s="39">
        <f>'Degree-days'!$G$12*IF($E151=$E$5,(V$5),(V$6))</f>
        <v>1.3106918935612442</v>
      </c>
      <c r="W151" s="39">
        <f>'Degree-days'!$G$12*IF($E151=$E$5,(W$5),(W$6))</f>
        <v>1.3106918935612442</v>
      </c>
      <c r="X151" s="39">
        <f>'Degree-days'!$G$12*IF($E151=$E$5,(X$5),(X$6))</f>
        <v>1.3106918935612442</v>
      </c>
      <c r="Y151" s="39">
        <f>'Degree-days'!$G$12*IF($E151=$E$5,(Y$5),(Y$6))</f>
        <v>1.3106918935612442</v>
      </c>
      <c r="Z151" s="39">
        <f>'Degree-days'!$G$12*IF($E151=$E$5,(Z$5),(Z$6))</f>
        <v>1.3106918935612442</v>
      </c>
      <c r="AA151" s="39">
        <f>'Degree-days'!$G$12*IF($E151=$E$5,(AA$5),(AA$6))</f>
        <v>1.3106918935612442</v>
      </c>
      <c r="AB151" s="39">
        <f>'Degree-days'!$G$12*IF($E151=$E$5,(AB$5),(AB$6))</f>
        <v>0</v>
      </c>
      <c r="AC151" s="39">
        <f>'Degree-days'!$G$12*IF($E151=$E$5,(AC$5),(AC$6))</f>
        <v>0</v>
      </c>
      <c r="AD151" s="39">
        <f t="shared" si="5"/>
        <v>11.796227042051198</v>
      </c>
    </row>
    <row r="152" spans="4:32" x14ac:dyDescent="0.2">
      <c r="D152" s="37">
        <v>45071</v>
      </c>
      <c r="E152" s="17" t="str">
        <f t="shared" si="6"/>
        <v>weekday</v>
      </c>
      <c r="F152" s="39">
        <f>'Degree-days'!$G$12*IF($E152=$E$5,(F$5),(F$6))</f>
        <v>0</v>
      </c>
      <c r="G152" s="39">
        <f>'Degree-days'!$G$12*IF($E152=$E$5,(G$5),(G$6))</f>
        <v>0</v>
      </c>
      <c r="H152" s="39">
        <f>'Degree-days'!$G$12*IF($E152=$E$5,(H$5),(H$6))</f>
        <v>0</v>
      </c>
      <c r="I152" s="39">
        <f>'Degree-days'!$G$12*IF($E152=$E$5,(I$5),(I$6))</f>
        <v>0</v>
      </c>
      <c r="J152" s="39">
        <f>'Degree-days'!$G$12*IF($E152=$E$5,(J$5),(J$6))</f>
        <v>0</v>
      </c>
      <c r="K152" s="39">
        <f>'Degree-days'!$G$12*IF($E152=$E$5,(K$5),(K$6))</f>
        <v>0</v>
      </c>
      <c r="L152" s="39">
        <f>'Degree-days'!$G$12*IF($E152=$E$5,(L$5),(L$6))</f>
        <v>1.3106918935612442</v>
      </c>
      <c r="M152" s="39">
        <f>'Degree-days'!$G$12*IF($E152=$E$5,(M$5),(M$6))</f>
        <v>1.3106918935612442</v>
      </c>
      <c r="N152" s="39">
        <f>'Degree-days'!$G$12*IF($E152=$E$5,(N$5),(N$6))</f>
        <v>0</v>
      </c>
      <c r="O152" s="39">
        <f>'Degree-days'!$G$12*IF($E152=$E$5,(O$5),(O$6))</f>
        <v>0</v>
      </c>
      <c r="P152" s="39">
        <f>'Degree-days'!$G$12*IF($E152=$E$5,(P$5),(P$6))</f>
        <v>0</v>
      </c>
      <c r="Q152" s="39">
        <f>'Degree-days'!$G$12*IF($E152=$E$5,(Q$5),(Q$6))</f>
        <v>0</v>
      </c>
      <c r="R152" s="39">
        <f>'Degree-days'!$G$12*IF($E152=$E$5,(R$5),(R$6))</f>
        <v>0</v>
      </c>
      <c r="S152" s="39">
        <f>'Degree-days'!$G$12*IF($E152=$E$5,(S$5),(S$6))</f>
        <v>0</v>
      </c>
      <c r="T152" s="39">
        <f>'Degree-days'!$G$12*IF($E152=$E$5,(T$5),(T$6))</f>
        <v>0</v>
      </c>
      <c r="U152" s="39">
        <f>'Degree-days'!$G$12*IF($E152=$E$5,(U$5),(U$6))</f>
        <v>1.3106918935612442</v>
      </c>
      <c r="V152" s="39">
        <f>'Degree-days'!$G$12*IF($E152=$E$5,(V$5),(V$6))</f>
        <v>1.3106918935612442</v>
      </c>
      <c r="W152" s="39">
        <f>'Degree-days'!$G$12*IF($E152=$E$5,(W$5),(W$6))</f>
        <v>1.3106918935612442</v>
      </c>
      <c r="X152" s="39">
        <f>'Degree-days'!$G$12*IF($E152=$E$5,(X$5),(X$6))</f>
        <v>1.3106918935612442</v>
      </c>
      <c r="Y152" s="39">
        <f>'Degree-days'!$G$12*IF($E152=$E$5,(Y$5),(Y$6))</f>
        <v>1.3106918935612442</v>
      </c>
      <c r="Z152" s="39">
        <f>'Degree-days'!$G$12*IF($E152=$E$5,(Z$5),(Z$6))</f>
        <v>1.3106918935612442</v>
      </c>
      <c r="AA152" s="39">
        <f>'Degree-days'!$G$12*IF($E152=$E$5,(AA$5),(AA$6))</f>
        <v>1.3106918935612442</v>
      </c>
      <c r="AB152" s="39">
        <f>'Degree-days'!$G$12*IF($E152=$E$5,(AB$5),(AB$6))</f>
        <v>0</v>
      </c>
      <c r="AC152" s="39">
        <f>'Degree-days'!$G$12*IF($E152=$E$5,(AC$5),(AC$6))</f>
        <v>0</v>
      </c>
      <c r="AD152" s="39">
        <f t="shared" si="5"/>
        <v>11.796227042051198</v>
      </c>
    </row>
    <row r="153" spans="4:32" x14ac:dyDescent="0.2">
      <c r="D153" s="37">
        <v>45072</v>
      </c>
      <c r="E153" s="17" t="str">
        <f t="shared" si="6"/>
        <v>weekday</v>
      </c>
      <c r="F153" s="39">
        <f>'Degree-days'!$G$12*IF($E153=$E$5,(F$5),(F$6))</f>
        <v>0</v>
      </c>
      <c r="G153" s="39">
        <f>'Degree-days'!$G$12*IF($E153=$E$5,(G$5),(G$6))</f>
        <v>0</v>
      </c>
      <c r="H153" s="39">
        <f>'Degree-days'!$G$12*IF($E153=$E$5,(H$5),(H$6))</f>
        <v>0</v>
      </c>
      <c r="I153" s="39">
        <f>'Degree-days'!$G$12*IF($E153=$E$5,(I$5),(I$6))</f>
        <v>0</v>
      </c>
      <c r="J153" s="39">
        <f>'Degree-days'!$G$12*IF($E153=$E$5,(J$5),(J$6))</f>
        <v>0</v>
      </c>
      <c r="K153" s="39">
        <f>'Degree-days'!$G$12*IF($E153=$E$5,(K$5),(K$6))</f>
        <v>0</v>
      </c>
      <c r="L153" s="39">
        <f>'Degree-days'!$G$12*IF($E153=$E$5,(L$5),(L$6))</f>
        <v>1.3106918935612442</v>
      </c>
      <c r="M153" s="39">
        <f>'Degree-days'!$G$12*IF($E153=$E$5,(M$5),(M$6))</f>
        <v>1.3106918935612442</v>
      </c>
      <c r="N153" s="39">
        <f>'Degree-days'!$G$12*IF($E153=$E$5,(N$5),(N$6))</f>
        <v>0</v>
      </c>
      <c r="O153" s="39">
        <f>'Degree-days'!$G$12*IF($E153=$E$5,(O$5),(O$6))</f>
        <v>0</v>
      </c>
      <c r="P153" s="39">
        <f>'Degree-days'!$G$12*IF($E153=$E$5,(P$5),(P$6))</f>
        <v>0</v>
      </c>
      <c r="Q153" s="39">
        <f>'Degree-days'!$G$12*IF($E153=$E$5,(Q$5),(Q$6))</f>
        <v>0</v>
      </c>
      <c r="R153" s="39">
        <f>'Degree-days'!$G$12*IF($E153=$E$5,(R$5),(R$6))</f>
        <v>0</v>
      </c>
      <c r="S153" s="39">
        <f>'Degree-days'!$G$12*IF($E153=$E$5,(S$5),(S$6))</f>
        <v>0</v>
      </c>
      <c r="T153" s="39">
        <f>'Degree-days'!$G$12*IF($E153=$E$5,(T$5),(T$6))</f>
        <v>0</v>
      </c>
      <c r="U153" s="39">
        <f>'Degree-days'!$G$12*IF($E153=$E$5,(U$5),(U$6))</f>
        <v>1.3106918935612442</v>
      </c>
      <c r="V153" s="39">
        <f>'Degree-days'!$G$12*IF($E153=$E$5,(V$5),(V$6))</f>
        <v>1.3106918935612442</v>
      </c>
      <c r="W153" s="39">
        <f>'Degree-days'!$G$12*IF($E153=$E$5,(W$5),(W$6))</f>
        <v>1.3106918935612442</v>
      </c>
      <c r="X153" s="39">
        <f>'Degree-days'!$G$12*IF($E153=$E$5,(X$5),(X$6))</f>
        <v>1.3106918935612442</v>
      </c>
      <c r="Y153" s="39">
        <f>'Degree-days'!$G$12*IF($E153=$E$5,(Y$5),(Y$6))</f>
        <v>1.3106918935612442</v>
      </c>
      <c r="Z153" s="39">
        <f>'Degree-days'!$G$12*IF($E153=$E$5,(Z$5),(Z$6))</f>
        <v>1.3106918935612442</v>
      </c>
      <c r="AA153" s="39">
        <f>'Degree-days'!$G$12*IF($E153=$E$5,(AA$5),(AA$6))</f>
        <v>1.3106918935612442</v>
      </c>
      <c r="AB153" s="39">
        <f>'Degree-days'!$G$12*IF($E153=$E$5,(AB$5),(AB$6))</f>
        <v>0</v>
      </c>
      <c r="AC153" s="39">
        <f>'Degree-days'!$G$12*IF($E153=$E$5,(AC$5),(AC$6))</f>
        <v>0</v>
      </c>
      <c r="AD153" s="39">
        <f t="shared" si="5"/>
        <v>11.796227042051198</v>
      </c>
    </row>
    <row r="154" spans="4:32" x14ac:dyDescent="0.2">
      <c r="D154" s="37">
        <v>45073</v>
      </c>
      <c r="E154" s="17" t="str">
        <f t="shared" si="6"/>
        <v>weekend</v>
      </c>
      <c r="F154" s="39">
        <f>'Degree-days'!$G$12*IF($E154=$E$5,(F$5),(F$6))</f>
        <v>0</v>
      </c>
      <c r="G154" s="39">
        <f>'Degree-days'!$G$12*IF($E154=$E$5,(G$5),(G$6))</f>
        <v>0</v>
      </c>
      <c r="H154" s="39">
        <f>'Degree-days'!$G$12*IF($E154=$E$5,(H$5),(H$6))</f>
        <v>0</v>
      </c>
      <c r="I154" s="39">
        <f>'Degree-days'!$G$12*IF($E154=$E$5,(I$5),(I$6))</f>
        <v>0</v>
      </c>
      <c r="J154" s="39">
        <f>'Degree-days'!$G$12*IF($E154=$E$5,(J$5),(J$6))</f>
        <v>0</v>
      </c>
      <c r="K154" s="39">
        <f>'Degree-days'!$G$12*IF($E154=$E$5,(K$5),(K$6))</f>
        <v>0</v>
      </c>
      <c r="L154" s="39">
        <f>'Degree-days'!$G$12*IF($E154=$E$5,(L$5),(L$6))</f>
        <v>1.3106918935612442</v>
      </c>
      <c r="M154" s="39">
        <f>'Degree-days'!$G$12*IF($E154=$E$5,(M$5),(M$6))</f>
        <v>1.3106918935612442</v>
      </c>
      <c r="N154" s="39">
        <f>'Degree-days'!$G$12*IF($E154=$E$5,(N$5),(N$6))</f>
        <v>1.3106918935612442</v>
      </c>
      <c r="O154" s="39">
        <f>'Degree-days'!$G$12*IF($E154=$E$5,(O$5),(O$6))</f>
        <v>1.3106918935612442</v>
      </c>
      <c r="P154" s="39">
        <f>'Degree-days'!$G$12*IF($E154=$E$5,(P$5),(P$6))</f>
        <v>1.3106918935612442</v>
      </c>
      <c r="Q154" s="39">
        <f>'Degree-days'!$G$12*IF($E154=$E$5,(Q$5),(Q$6))</f>
        <v>1.3106918935612442</v>
      </c>
      <c r="R154" s="39">
        <f>'Degree-days'!$G$12*IF($E154=$E$5,(R$5),(R$6))</f>
        <v>1.3106918935612442</v>
      </c>
      <c r="S154" s="39">
        <f>'Degree-days'!$G$12*IF($E154=$E$5,(S$5),(S$6))</f>
        <v>1.3106918935612442</v>
      </c>
      <c r="T154" s="39">
        <f>'Degree-days'!$G$12*IF($E154=$E$5,(T$5),(T$6))</f>
        <v>1.3106918935612442</v>
      </c>
      <c r="U154" s="39">
        <f>'Degree-days'!$G$12*IF($E154=$E$5,(U$5),(U$6))</f>
        <v>1.3106918935612442</v>
      </c>
      <c r="V154" s="39">
        <f>'Degree-days'!$G$12*IF($E154=$E$5,(V$5),(V$6))</f>
        <v>1.3106918935612442</v>
      </c>
      <c r="W154" s="39">
        <f>'Degree-days'!$G$12*IF($E154=$E$5,(W$5),(W$6))</f>
        <v>1.3106918935612442</v>
      </c>
      <c r="X154" s="39">
        <f>'Degree-days'!$G$12*IF($E154=$E$5,(X$5),(X$6))</f>
        <v>1.3106918935612442</v>
      </c>
      <c r="Y154" s="39">
        <f>'Degree-days'!$G$12*IF($E154=$E$5,(Y$5),(Y$6))</f>
        <v>1.3106918935612442</v>
      </c>
      <c r="Z154" s="39">
        <f>'Degree-days'!$G$12*IF($E154=$E$5,(Z$5),(Z$6))</f>
        <v>1.3106918935612442</v>
      </c>
      <c r="AA154" s="39">
        <f>'Degree-days'!$G$12*IF($E154=$E$5,(AA$5),(AA$6))</f>
        <v>1.3106918935612442</v>
      </c>
      <c r="AB154" s="39">
        <f>'Degree-days'!$G$12*IF($E154=$E$5,(AB$5),(AB$6))</f>
        <v>0</v>
      </c>
      <c r="AC154" s="39">
        <f>'Degree-days'!$G$12*IF($E154=$E$5,(AC$5),(AC$6))</f>
        <v>0</v>
      </c>
      <c r="AD154" s="39">
        <f t="shared" si="5"/>
        <v>20.97107029697991</v>
      </c>
    </row>
    <row r="155" spans="4:32" x14ac:dyDescent="0.2">
      <c r="D155" s="37">
        <v>45074</v>
      </c>
      <c r="E155" s="17" t="str">
        <f t="shared" si="6"/>
        <v>weekend</v>
      </c>
      <c r="F155" s="39">
        <f>'Degree-days'!$G$12*IF($E155=$E$5,(F$5),(F$6))</f>
        <v>0</v>
      </c>
      <c r="G155" s="39">
        <f>'Degree-days'!$G$12*IF($E155=$E$5,(G$5),(G$6))</f>
        <v>0</v>
      </c>
      <c r="H155" s="39">
        <f>'Degree-days'!$G$12*IF($E155=$E$5,(H$5),(H$6))</f>
        <v>0</v>
      </c>
      <c r="I155" s="39">
        <f>'Degree-days'!$G$12*IF($E155=$E$5,(I$5),(I$6))</f>
        <v>0</v>
      </c>
      <c r="J155" s="39">
        <f>'Degree-days'!$G$12*IF($E155=$E$5,(J$5),(J$6))</f>
        <v>0</v>
      </c>
      <c r="K155" s="39">
        <f>'Degree-days'!$G$12*IF($E155=$E$5,(K$5),(K$6))</f>
        <v>0</v>
      </c>
      <c r="L155" s="39">
        <f>'Degree-days'!$G$12*IF($E155=$E$5,(L$5),(L$6))</f>
        <v>1.3106918935612442</v>
      </c>
      <c r="M155" s="39">
        <f>'Degree-days'!$G$12*IF($E155=$E$5,(M$5),(M$6))</f>
        <v>1.3106918935612442</v>
      </c>
      <c r="N155" s="39">
        <f>'Degree-days'!$G$12*IF($E155=$E$5,(N$5),(N$6))</f>
        <v>1.3106918935612442</v>
      </c>
      <c r="O155" s="39">
        <f>'Degree-days'!$G$12*IF($E155=$E$5,(O$5),(O$6))</f>
        <v>1.3106918935612442</v>
      </c>
      <c r="P155" s="39">
        <f>'Degree-days'!$G$12*IF($E155=$E$5,(P$5),(P$6))</f>
        <v>1.3106918935612442</v>
      </c>
      <c r="Q155" s="39">
        <f>'Degree-days'!$G$12*IF($E155=$E$5,(Q$5),(Q$6))</f>
        <v>1.3106918935612442</v>
      </c>
      <c r="R155" s="39">
        <f>'Degree-days'!$G$12*IF($E155=$E$5,(R$5),(R$6))</f>
        <v>1.3106918935612442</v>
      </c>
      <c r="S155" s="39">
        <f>'Degree-days'!$G$12*IF($E155=$E$5,(S$5),(S$6))</f>
        <v>1.3106918935612442</v>
      </c>
      <c r="T155" s="39">
        <f>'Degree-days'!$G$12*IF($E155=$E$5,(T$5),(T$6))</f>
        <v>1.3106918935612442</v>
      </c>
      <c r="U155" s="39">
        <f>'Degree-days'!$G$12*IF($E155=$E$5,(U$5),(U$6))</f>
        <v>1.3106918935612442</v>
      </c>
      <c r="V155" s="39">
        <f>'Degree-days'!$G$12*IF($E155=$E$5,(V$5),(V$6))</f>
        <v>1.3106918935612442</v>
      </c>
      <c r="W155" s="39">
        <f>'Degree-days'!$G$12*IF($E155=$E$5,(W$5),(W$6))</f>
        <v>1.3106918935612442</v>
      </c>
      <c r="X155" s="39">
        <f>'Degree-days'!$G$12*IF($E155=$E$5,(X$5),(X$6))</f>
        <v>1.3106918935612442</v>
      </c>
      <c r="Y155" s="39">
        <f>'Degree-days'!$G$12*IF($E155=$E$5,(Y$5),(Y$6))</f>
        <v>1.3106918935612442</v>
      </c>
      <c r="Z155" s="39">
        <f>'Degree-days'!$G$12*IF($E155=$E$5,(Z$5),(Z$6))</f>
        <v>1.3106918935612442</v>
      </c>
      <c r="AA155" s="39">
        <f>'Degree-days'!$G$12*IF($E155=$E$5,(AA$5),(AA$6))</f>
        <v>1.3106918935612442</v>
      </c>
      <c r="AB155" s="39">
        <f>'Degree-days'!$G$12*IF($E155=$E$5,(AB$5),(AB$6))</f>
        <v>0</v>
      </c>
      <c r="AC155" s="39">
        <f>'Degree-days'!$G$12*IF($E155=$E$5,(AC$5),(AC$6))</f>
        <v>0</v>
      </c>
      <c r="AD155" s="39">
        <f t="shared" si="5"/>
        <v>20.97107029697991</v>
      </c>
    </row>
    <row r="156" spans="4:32" x14ac:dyDescent="0.2">
      <c r="D156" s="37">
        <v>45075</v>
      </c>
      <c r="E156" s="17" t="str">
        <f t="shared" si="6"/>
        <v>weekday</v>
      </c>
      <c r="F156" s="39">
        <f>'Degree-days'!$G$12*IF($E156=$E$5,(F$5),(F$6))</f>
        <v>0</v>
      </c>
      <c r="G156" s="39">
        <f>'Degree-days'!$G$12*IF($E156=$E$5,(G$5),(G$6))</f>
        <v>0</v>
      </c>
      <c r="H156" s="39">
        <f>'Degree-days'!$G$12*IF($E156=$E$5,(H$5),(H$6))</f>
        <v>0</v>
      </c>
      <c r="I156" s="39">
        <f>'Degree-days'!$G$12*IF($E156=$E$5,(I$5),(I$6))</f>
        <v>0</v>
      </c>
      <c r="J156" s="39">
        <f>'Degree-days'!$G$12*IF($E156=$E$5,(J$5),(J$6))</f>
        <v>0</v>
      </c>
      <c r="K156" s="39">
        <f>'Degree-days'!$G$12*IF($E156=$E$5,(K$5),(K$6))</f>
        <v>0</v>
      </c>
      <c r="L156" s="39">
        <f>'Degree-days'!$G$12*IF($E156=$E$5,(L$5),(L$6))</f>
        <v>1.3106918935612442</v>
      </c>
      <c r="M156" s="39">
        <f>'Degree-days'!$G$12*IF($E156=$E$5,(M$5),(M$6))</f>
        <v>1.3106918935612442</v>
      </c>
      <c r="N156" s="39">
        <f>'Degree-days'!$G$12*IF($E156=$E$5,(N$5),(N$6))</f>
        <v>0</v>
      </c>
      <c r="O156" s="39">
        <f>'Degree-days'!$G$12*IF($E156=$E$5,(O$5),(O$6))</f>
        <v>0</v>
      </c>
      <c r="P156" s="39">
        <f>'Degree-days'!$G$12*IF($E156=$E$5,(P$5),(P$6))</f>
        <v>0</v>
      </c>
      <c r="Q156" s="39">
        <f>'Degree-days'!$G$12*IF($E156=$E$5,(Q$5),(Q$6))</f>
        <v>0</v>
      </c>
      <c r="R156" s="39">
        <f>'Degree-days'!$G$12*IF($E156=$E$5,(R$5),(R$6))</f>
        <v>0</v>
      </c>
      <c r="S156" s="39">
        <f>'Degree-days'!$G$12*IF($E156=$E$5,(S$5),(S$6))</f>
        <v>0</v>
      </c>
      <c r="T156" s="39">
        <f>'Degree-days'!$G$12*IF($E156=$E$5,(T$5),(T$6))</f>
        <v>0</v>
      </c>
      <c r="U156" s="39">
        <f>'Degree-days'!$G$12*IF($E156=$E$5,(U$5),(U$6))</f>
        <v>1.3106918935612442</v>
      </c>
      <c r="V156" s="39">
        <f>'Degree-days'!$G$12*IF($E156=$E$5,(V$5),(V$6))</f>
        <v>1.3106918935612442</v>
      </c>
      <c r="W156" s="39">
        <f>'Degree-days'!$G$12*IF($E156=$E$5,(W$5),(W$6))</f>
        <v>1.3106918935612442</v>
      </c>
      <c r="X156" s="39">
        <f>'Degree-days'!$G$12*IF($E156=$E$5,(X$5),(X$6))</f>
        <v>1.3106918935612442</v>
      </c>
      <c r="Y156" s="39">
        <f>'Degree-days'!$G$12*IF($E156=$E$5,(Y$5),(Y$6))</f>
        <v>1.3106918935612442</v>
      </c>
      <c r="Z156" s="39">
        <f>'Degree-days'!$G$12*IF($E156=$E$5,(Z$5),(Z$6))</f>
        <v>1.3106918935612442</v>
      </c>
      <c r="AA156" s="39">
        <f>'Degree-days'!$G$12*IF($E156=$E$5,(AA$5),(AA$6))</f>
        <v>1.3106918935612442</v>
      </c>
      <c r="AB156" s="39">
        <f>'Degree-days'!$G$12*IF($E156=$E$5,(AB$5),(AB$6))</f>
        <v>0</v>
      </c>
      <c r="AC156" s="39">
        <f>'Degree-days'!$G$12*IF($E156=$E$5,(AC$5),(AC$6))</f>
        <v>0</v>
      </c>
      <c r="AD156" s="39">
        <f t="shared" si="5"/>
        <v>11.796227042051198</v>
      </c>
    </row>
    <row r="157" spans="4:32" x14ac:dyDescent="0.2">
      <c r="D157" s="37">
        <v>45076</v>
      </c>
      <c r="E157" s="17" t="str">
        <f t="shared" si="6"/>
        <v>weekday</v>
      </c>
      <c r="F157" s="39">
        <f>'Degree-days'!$G$12*IF($E157=$E$5,(F$5),(F$6))</f>
        <v>0</v>
      </c>
      <c r="G157" s="39">
        <f>'Degree-days'!$G$12*IF($E157=$E$5,(G$5),(G$6))</f>
        <v>0</v>
      </c>
      <c r="H157" s="39">
        <f>'Degree-days'!$G$12*IF($E157=$E$5,(H$5),(H$6))</f>
        <v>0</v>
      </c>
      <c r="I157" s="39">
        <f>'Degree-days'!$G$12*IF($E157=$E$5,(I$5),(I$6))</f>
        <v>0</v>
      </c>
      <c r="J157" s="39">
        <f>'Degree-days'!$G$12*IF($E157=$E$5,(J$5),(J$6))</f>
        <v>0</v>
      </c>
      <c r="K157" s="39">
        <f>'Degree-days'!$G$12*IF($E157=$E$5,(K$5),(K$6))</f>
        <v>0</v>
      </c>
      <c r="L157" s="39">
        <f>'Degree-days'!$G$12*IF($E157=$E$5,(L$5),(L$6))</f>
        <v>1.3106918935612442</v>
      </c>
      <c r="M157" s="39">
        <f>'Degree-days'!$G$12*IF($E157=$E$5,(M$5),(M$6))</f>
        <v>1.3106918935612442</v>
      </c>
      <c r="N157" s="39">
        <f>'Degree-days'!$G$12*IF($E157=$E$5,(N$5),(N$6))</f>
        <v>0</v>
      </c>
      <c r="O157" s="39">
        <f>'Degree-days'!$G$12*IF($E157=$E$5,(O$5),(O$6))</f>
        <v>0</v>
      </c>
      <c r="P157" s="39">
        <f>'Degree-days'!$G$12*IF($E157=$E$5,(P$5),(P$6))</f>
        <v>0</v>
      </c>
      <c r="Q157" s="39">
        <f>'Degree-days'!$G$12*IF($E157=$E$5,(Q$5),(Q$6))</f>
        <v>0</v>
      </c>
      <c r="R157" s="39">
        <f>'Degree-days'!$G$12*IF($E157=$E$5,(R$5),(R$6))</f>
        <v>0</v>
      </c>
      <c r="S157" s="39">
        <f>'Degree-days'!$G$12*IF($E157=$E$5,(S$5),(S$6))</f>
        <v>0</v>
      </c>
      <c r="T157" s="39">
        <f>'Degree-days'!$G$12*IF($E157=$E$5,(T$5),(T$6))</f>
        <v>0</v>
      </c>
      <c r="U157" s="39">
        <f>'Degree-days'!$G$12*IF($E157=$E$5,(U$5),(U$6))</f>
        <v>1.3106918935612442</v>
      </c>
      <c r="V157" s="39">
        <f>'Degree-days'!$G$12*IF($E157=$E$5,(V$5),(V$6))</f>
        <v>1.3106918935612442</v>
      </c>
      <c r="W157" s="39">
        <f>'Degree-days'!$G$12*IF($E157=$E$5,(W$5),(W$6))</f>
        <v>1.3106918935612442</v>
      </c>
      <c r="X157" s="39">
        <f>'Degree-days'!$G$12*IF($E157=$E$5,(X$5),(X$6))</f>
        <v>1.3106918935612442</v>
      </c>
      <c r="Y157" s="39">
        <f>'Degree-days'!$G$12*IF($E157=$E$5,(Y$5),(Y$6))</f>
        <v>1.3106918935612442</v>
      </c>
      <c r="Z157" s="39">
        <f>'Degree-days'!$G$12*IF($E157=$E$5,(Z$5),(Z$6))</f>
        <v>1.3106918935612442</v>
      </c>
      <c r="AA157" s="39">
        <f>'Degree-days'!$G$12*IF($E157=$E$5,(AA$5),(AA$6))</f>
        <v>1.3106918935612442</v>
      </c>
      <c r="AB157" s="39">
        <f>'Degree-days'!$G$12*IF($E157=$E$5,(AB$5),(AB$6))</f>
        <v>0</v>
      </c>
      <c r="AC157" s="39">
        <f>'Degree-days'!$G$12*IF($E157=$E$5,(AC$5),(AC$6))</f>
        <v>0</v>
      </c>
      <c r="AD157" s="39">
        <f t="shared" si="5"/>
        <v>11.796227042051198</v>
      </c>
    </row>
    <row r="158" spans="4:32" x14ac:dyDescent="0.2">
      <c r="D158" s="37">
        <v>45077</v>
      </c>
      <c r="E158" s="17" t="str">
        <f t="shared" si="6"/>
        <v>weekday</v>
      </c>
      <c r="F158" s="39">
        <f>'Degree-days'!$G$12*IF($E158=$E$5,(F$5),(F$6))</f>
        <v>0</v>
      </c>
      <c r="G158" s="39">
        <f>'Degree-days'!$G$12*IF($E158=$E$5,(G$5),(G$6))</f>
        <v>0</v>
      </c>
      <c r="H158" s="39">
        <f>'Degree-days'!$G$12*IF($E158=$E$5,(H$5),(H$6))</f>
        <v>0</v>
      </c>
      <c r="I158" s="39">
        <f>'Degree-days'!$G$12*IF($E158=$E$5,(I$5),(I$6))</f>
        <v>0</v>
      </c>
      <c r="J158" s="39">
        <f>'Degree-days'!$G$12*IF($E158=$E$5,(J$5),(J$6))</f>
        <v>0</v>
      </c>
      <c r="K158" s="39">
        <f>'Degree-days'!$G$12*IF($E158=$E$5,(K$5),(K$6))</f>
        <v>0</v>
      </c>
      <c r="L158" s="39">
        <f>'Degree-days'!$G$12*IF($E158=$E$5,(L$5),(L$6))</f>
        <v>1.3106918935612442</v>
      </c>
      <c r="M158" s="39">
        <f>'Degree-days'!$G$12*IF($E158=$E$5,(M$5),(M$6))</f>
        <v>1.3106918935612442</v>
      </c>
      <c r="N158" s="39">
        <f>'Degree-days'!$G$12*IF($E158=$E$5,(N$5),(N$6))</f>
        <v>0</v>
      </c>
      <c r="O158" s="39">
        <f>'Degree-days'!$G$12*IF($E158=$E$5,(O$5),(O$6))</f>
        <v>0</v>
      </c>
      <c r="P158" s="39">
        <f>'Degree-days'!$G$12*IF($E158=$E$5,(P$5),(P$6))</f>
        <v>0</v>
      </c>
      <c r="Q158" s="39">
        <f>'Degree-days'!$G$12*IF($E158=$E$5,(Q$5),(Q$6))</f>
        <v>0</v>
      </c>
      <c r="R158" s="39">
        <f>'Degree-days'!$G$12*IF($E158=$E$5,(R$5),(R$6))</f>
        <v>0</v>
      </c>
      <c r="S158" s="39">
        <f>'Degree-days'!$G$12*IF($E158=$E$5,(S$5),(S$6))</f>
        <v>0</v>
      </c>
      <c r="T158" s="39">
        <f>'Degree-days'!$G$12*IF($E158=$E$5,(T$5),(T$6))</f>
        <v>0</v>
      </c>
      <c r="U158" s="39">
        <f>'Degree-days'!$G$12*IF($E158=$E$5,(U$5),(U$6))</f>
        <v>1.3106918935612442</v>
      </c>
      <c r="V158" s="39">
        <f>'Degree-days'!$G$12*IF($E158=$E$5,(V$5),(V$6))</f>
        <v>1.3106918935612442</v>
      </c>
      <c r="W158" s="39">
        <f>'Degree-days'!$G$12*IF($E158=$E$5,(W$5),(W$6))</f>
        <v>1.3106918935612442</v>
      </c>
      <c r="X158" s="39">
        <f>'Degree-days'!$G$12*IF($E158=$E$5,(X$5),(X$6))</f>
        <v>1.3106918935612442</v>
      </c>
      <c r="Y158" s="39">
        <f>'Degree-days'!$G$12*IF($E158=$E$5,(Y$5),(Y$6))</f>
        <v>1.3106918935612442</v>
      </c>
      <c r="Z158" s="39">
        <f>'Degree-days'!$G$12*IF($E158=$E$5,(Z$5),(Z$6))</f>
        <v>1.3106918935612442</v>
      </c>
      <c r="AA158" s="39">
        <f>'Degree-days'!$G$12*IF($E158=$E$5,(AA$5),(AA$6))</f>
        <v>1.3106918935612442</v>
      </c>
      <c r="AB158" s="39">
        <f>'Degree-days'!$G$12*IF($E158=$E$5,(AB$5),(AB$6))</f>
        <v>0</v>
      </c>
      <c r="AC158" s="39">
        <f>'Degree-days'!$G$12*IF($E158=$E$5,(AC$5),(AC$6))</f>
        <v>0</v>
      </c>
      <c r="AD158" s="39">
        <f t="shared" si="5"/>
        <v>11.796227042051198</v>
      </c>
      <c r="AE158" s="40">
        <f>SUM(AD128:AD158)</f>
        <v>439.08178434301692</v>
      </c>
      <c r="AF158" s="35">
        <f>'Degree-days'!G11</f>
        <v>439.08178434301681</v>
      </c>
    </row>
    <row r="159" spans="4:32" x14ac:dyDescent="0.2">
      <c r="D159" s="37">
        <v>45078</v>
      </c>
      <c r="E159" s="17" t="str">
        <f t="shared" si="6"/>
        <v>weekday</v>
      </c>
      <c r="F159" s="39">
        <f>'Degree-days'!$H$12*IF($E159=$E$5,(F$5),(F$6))</f>
        <v>0</v>
      </c>
      <c r="G159" s="39">
        <f>'Degree-days'!$H$12*IF($E159=$E$5,(G$5),(G$6))</f>
        <v>0</v>
      </c>
      <c r="H159" s="39">
        <f>'Degree-days'!$H$12*IF($E159=$E$5,(H$5),(H$6))</f>
        <v>0</v>
      </c>
      <c r="I159" s="39">
        <f>'Degree-days'!$H$12*IF($E159=$E$5,(I$5),(I$6))</f>
        <v>0</v>
      </c>
      <c r="J159" s="39">
        <f>'Degree-days'!$H$12*IF($E159=$E$5,(J$5),(J$6))</f>
        <v>0</v>
      </c>
      <c r="K159" s="39">
        <f>'Degree-days'!$H$12*IF($E159=$E$5,(K$5),(K$6))</f>
        <v>0</v>
      </c>
      <c r="L159" s="39">
        <f>'Degree-days'!$H$12*IF($E159=$E$5,(L$5),(L$6))</f>
        <v>0.57508965997103323</v>
      </c>
      <c r="M159" s="39">
        <f>'Degree-days'!$H$12*IF($E159=$E$5,(M$5),(M$6))</f>
        <v>0.57508965997103323</v>
      </c>
      <c r="N159" s="39">
        <f>'Degree-days'!$H$12*IF($E159=$E$5,(N$5),(N$6))</f>
        <v>0</v>
      </c>
      <c r="O159" s="39">
        <f>'Degree-days'!$H$12*IF($E159=$E$5,(O$5),(O$6))</f>
        <v>0</v>
      </c>
      <c r="P159" s="39">
        <f>'Degree-days'!$H$12*IF($E159=$E$5,(P$5),(P$6))</f>
        <v>0</v>
      </c>
      <c r="Q159" s="39">
        <f>'Degree-days'!$H$12*IF($E159=$E$5,(Q$5),(Q$6))</f>
        <v>0</v>
      </c>
      <c r="R159" s="39">
        <f>'Degree-days'!$H$12*IF($E159=$E$5,(R$5),(R$6))</f>
        <v>0</v>
      </c>
      <c r="S159" s="39">
        <f>'Degree-days'!$H$12*IF($E159=$E$5,(S$5),(S$6))</f>
        <v>0</v>
      </c>
      <c r="T159" s="39">
        <f>'Degree-days'!$H$12*IF($E159=$E$5,(T$5),(T$6))</f>
        <v>0</v>
      </c>
      <c r="U159" s="39">
        <f>'Degree-days'!$H$12*IF($E159=$E$5,(U$5),(U$6))</f>
        <v>0.57508965997103323</v>
      </c>
      <c r="V159" s="39">
        <f>'Degree-days'!$H$12*IF($E159=$E$5,(V$5),(V$6))</f>
        <v>0.57508965997103323</v>
      </c>
      <c r="W159" s="39">
        <f>'Degree-days'!$H$12*IF($E159=$E$5,(W$5),(W$6))</f>
        <v>0.57508965997103323</v>
      </c>
      <c r="X159" s="39">
        <f>'Degree-days'!$H$12*IF($E159=$E$5,(X$5),(X$6))</f>
        <v>0.57508965997103323</v>
      </c>
      <c r="Y159" s="39">
        <f>'Degree-days'!$H$12*IF($E159=$E$5,(Y$5),(Y$6))</f>
        <v>0.57508965997103323</v>
      </c>
      <c r="Z159" s="39">
        <f>'Degree-days'!$H$12*IF($E159=$E$5,(Z$5),(Z$6))</f>
        <v>0.57508965997103323</v>
      </c>
      <c r="AA159" s="39">
        <f>'Degree-days'!$H$12*IF($E159=$E$5,(AA$5),(AA$6))</f>
        <v>0.57508965997103323</v>
      </c>
      <c r="AB159" s="39">
        <f>'Degree-days'!$H$12*IF($E159=$E$5,(AB$5),(AB$6))</f>
        <v>0</v>
      </c>
      <c r="AC159" s="39">
        <f>'Degree-days'!$H$12*IF($E159=$E$5,(AC$5),(AC$6))</f>
        <v>0</v>
      </c>
      <c r="AD159" s="39">
        <f>SUM(F159:AC159)</f>
        <v>5.1758069397392994</v>
      </c>
    </row>
    <row r="160" spans="4:32" x14ac:dyDescent="0.2">
      <c r="D160" s="37">
        <v>45079</v>
      </c>
      <c r="E160" s="17" t="str">
        <f t="shared" si="6"/>
        <v>weekday</v>
      </c>
      <c r="F160" s="39">
        <f>'Degree-days'!$H$12*IF($E160=$E$5,(F$5),(F$6))</f>
        <v>0</v>
      </c>
      <c r="G160" s="39">
        <f>'Degree-days'!$H$12*IF($E160=$E$5,(G$5),(G$6))</f>
        <v>0</v>
      </c>
      <c r="H160" s="39">
        <f>'Degree-days'!$H$12*IF($E160=$E$5,(H$5),(H$6))</f>
        <v>0</v>
      </c>
      <c r="I160" s="39">
        <f>'Degree-days'!$H$12*IF($E160=$E$5,(I$5),(I$6))</f>
        <v>0</v>
      </c>
      <c r="J160" s="39">
        <f>'Degree-days'!$H$12*IF($E160=$E$5,(J$5),(J$6))</f>
        <v>0</v>
      </c>
      <c r="K160" s="39">
        <f>'Degree-days'!$H$12*IF($E160=$E$5,(K$5),(K$6))</f>
        <v>0</v>
      </c>
      <c r="L160" s="39">
        <f>'Degree-days'!$H$12*IF($E160=$E$5,(L$5),(L$6))</f>
        <v>0.57508965997103323</v>
      </c>
      <c r="M160" s="39">
        <f>'Degree-days'!$H$12*IF($E160=$E$5,(M$5),(M$6))</f>
        <v>0.57508965997103323</v>
      </c>
      <c r="N160" s="39">
        <f>'Degree-days'!$H$12*IF($E160=$E$5,(N$5),(N$6))</f>
        <v>0</v>
      </c>
      <c r="O160" s="39">
        <f>'Degree-days'!$H$12*IF($E160=$E$5,(O$5),(O$6))</f>
        <v>0</v>
      </c>
      <c r="P160" s="39">
        <f>'Degree-days'!$H$12*IF($E160=$E$5,(P$5),(P$6))</f>
        <v>0</v>
      </c>
      <c r="Q160" s="39">
        <f>'Degree-days'!$H$12*IF($E160=$E$5,(Q$5),(Q$6))</f>
        <v>0</v>
      </c>
      <c r="R160" s="39">
        <f>'Degree-days'!$H$12*IF($E160=$E$5,(R$5),(R$6))</f>
        <v>0</v>
      </c>
      <c r="S160" s="39">
        <f>'Degree-days'!$H$12*IF($E160=$E$5,(S$5),(S$6))</f>
        <v>0</v>
      </c>
      <c r="T160" s="39">
        <f>'Degree-days'!$H$12*IF($E160=$E$5,(T$5),(T$6))</f>
        <v>0</v>
      </c>
      <c r="U160" s="39">
        <f>'Degree-days'!$H$12*IF($E160=$E$5,(U$5),(U$6))</f>
        <v>0.57508965997103323</v>
      </c>
      <c r="V160" s="39">
        <f>'Degree-days'!$H$12*IF($E160=$E$5,(V$5),(V$6))</f>
        <v>0.57508965997103323</v>
      </c>
      <c r="W160" s="39">
        <f>'Degree-days'!$H$12*IF($E160=$E$5,(W$5),(W$6))</f>
        <v>0.57508965997103323</v>
      </c>
      <c r="X160" s="39">
        <f>'Degree-days'!$H$12*IF($E160=$E$5,(X$5),(X$6))</f>
        <v>0.57508965997103323</v>
      </c>
      <c r="Y160" s="39">
        <f>'Degree-days'!$H$12*IF($E160=$E$5,(Y$5),(Y$6))</f>
        <v>0.57508965997103323</v>
      </c>
      <c r="Z160" s="39">
        <f>'Degree-days'!$H$12*IF($E160=$E$5,(Z$5),(Z$6))</f>
        <v>0.57508965997103323</v>
      </c>
      <c r="AA160" s="39">
        <f>'Degree-days'!$H$12*IF($E160=$E$5,(AA$5),(AA$6))</f>
        <v>0.57508965997103323</v>
      </c>
      <c r="AB160" s="39">
        <f>'Degree-days'!$H$12*IF($E160=$E$5,(AB$5),(AB$6))</f>
        <v>0</v>
      </c>
      <c r="AC160" s="39">
        <f>'Degree-days'!$H$12*IF($E160=$E$5,(AC$5),(AC$6))</f>
        <v>0</v>
      </c>
      <c r="AD160" s="39">
        <f t="shared" ref="AD160:AD188" si="7">SUM(F160:AC160)</f>
        <v>5.1758069397392994</v>
      </c>
    </row>
    <row r="161" spans="4:30" x14ac:dyDescent="0.2">
      <c r="D161" s="37">
        <v>45080</v>
      </c>
      <c r="E161" s="17" t="str">
        <f t="shared" si="6"/>
        <v>weekend</v>
      </c>
      <c r="F161" s="39">
        <f>'Degree-days'!$H$12*IF($E161=$E$5,(F$5),(F$6))</f>
        <v>0</v>
      </c>
      <c r="G161" s="39">
        <f>'Degree-days'!$H$12*IF($E161=$E$5,(G$5),(G$6))</f>
        <v>0</v>
      </c>
      <c r="H161" s="39">
        <f>'Degree-days'!$H$12*IF($E161=$E$5,(H$5),(H$6))</f>
        <v>0</v>
      </c>
      <c r="I161" s="39">
        <f>'Degree-days'!$H$12*IF($E161=$E$5,(I$5),(I$6))</f>
        <v>0</v>
      </c>
      <c r="J161" s="39">
        <f>'Degree-days'!$H$12*IF($E161=$E$5,(J$5),(J$6))</f>
        <v>0</v>
      </c>
      <c r="K161" s="39">
        <f>'Degree-days'!$H$12*IF($E161=$E$5,(K$5),(K$6))</f>
        <v>0</v>
      </c>
      <c r="L161" s="39">
        <f>'Degree-days'!$H$12*IF($E161=$E$5,(L$5),(L$6))</f>
        <v>0.57508965997103323</v>
      </c>
      <c r="M161" s="39">
        <f>'Degree-days'!$H$12*IF($E161=$E$5,(M$5),(M$6))</f>
        <v>0.57508965997103323</v>
      </c>
      <c r="N161" s="39">
        <f>'Degree-days'!$H$12*IF($E161=$E$5,(N$5),(N$6))</f>
        <v>0.57508965997103323</v>
      </c>
      <c r="O161" s="39">
        <f>'Degree-days'!$H$12*IF($E161=$E$5,(O$5),(O$6))</f>
        <v>0.57508965997103323</v>
      </c>
      <c r="P161" s="39">
        <f>'Degree-days'!$H$12*IF($E161=$E$5,(P$5),(P$6))</f>
        <v>0.57508965997103323</v>
      </c>
      <c r="Q161" s="39">
        <f>'Degree-days'!$H$12*IF($E161=$E$5,(Q$5),(Q$6))</f>
        <v>0.57508965997103323</v>
      </c>
      <c r="R161" s="39">
        <f>'Degree-days'!$H$12*IF($E161=$E$5,(R$5),(R$6))</f>
        <v>0.57508965997103323</v>
      </c>
      <c r="S161" s="39">
        <f>'Degree-days'!$H$12*IF($E161=$E$5,(S$5),(S$6))</f>
        <v>0.57508965997103323</v>
      </c>
      <c r="T161" s="39">
        <f>'Degree-days'!$H$12*IF($E161=$E$5,(T$5),(T$6))</f>
        <v>0.57508965997103323</v>
      </c>
      <c r="U161" s="39">
        <f>'Degree-days'!$H$12*IF($E161=$E$5,(U$5),(U$6))</f>
        <v>0.57508965997103323</v>
      </c>
      <c r="V161" s="39">
        <f>'Degree-days'!$H$12*IF($E161=$E$5,(V$5),(V$6))</f>
        <v>0.57508965997103323</v>
      </c>
      <c r="W161" s="39">
        <f>'Degree-days'!$H$12*IF($E161=$E$5,(W$5),(W$6))</f>
        <v>0.57508965997103323</v>
      </c>
      <c r="X161" s="39">
        <f>'Degree-days'!$H$12*IF($E161=$E$5,(X$5),(X$6))</f>
        <v>0.57508965997103323</v>
      </c>
      <c r="Y161" s="39">
        <f>'Degree-days'!$H$12*IF($E161=$E$5,(Y$5),(Y$6))</f>
        <v>0.57508965997103323</v>
      </c>
      <c r="Z161" s="39">
        <f>'Degree-days'!$H$12*IF($E161=$E$5,(Z$5),(Z$6))</f>
        <v>0.57508965997103323</v>
      </c>
      <c r="AA161" s="39">
        <f>'Degree-days'!$H$12*IF($E161=$E$5,(AA$5),(AA$6))</f>
        <v>0.57508965997103323</v>
      </c>
      <c r="AB161" s="39">
        <f>'Degree-days'!$H$12*IF($E161=$E$5,(AB$5),(AB$6))</f>
        <v>0</v>
      </c>
      <c r="AC161" s="39">
        <f>'Degree-days'!$H$12*IF($E161=$E$5,(AC$5),(AC$6))</f>
        <v>0</v>
      </c>
      <c r="AD161" s="39">
        <f t="shared" si="7"/>
        <v>9.2014345595365317</v>
      </c>
    </row>
    <row r="162" spans="4:30" x14ac:dyDescent="0.2">
      <c r="D162" s="37">
        <v>45081</v>
      </c>
      <c r="E162" s="17" t="str">
        <f t="shared" si="6"/>
        <v>weekend</v>
      </c>
      <c r="F162" s="39">
        <f>'Degree-days'!$H$12*IF($E162=$E$5,(F$5),(F$6))</f>
        <v>0</v>
      </c>
      <c r="G162" s="39">
        <f>'Degree-days'!$H$12*IF($E162=$E$5,(G$5),(G$6))</f>
        <v>0</v>
      </c>
      <c r="H162" s="39">
        <f>'Degree-days'!$H$12*IF($E162=$E$5,(H$5),(H$6))</f>
        <v>0</v>
      </c>
      <c r="I162" s="39">
        <f>'Degree-days'!$H$12*IF($E162=$E$5,(I$5),(I$6))</f>
        <v>0</v>
      </c>
      <c r="J162" s="39">
        <f>'Degree-days'!$H$12*IF($E162=$E$5,(J$5),(J$6))</f>
        <v>0</v>
      </c>
      <c r="K162" s="39">
        <f>'Degree-days'!$H$12*IF($E162=$E$5,(K$5),(K$6))</f>
        <v>0</v>
      </c>
      <c r="L162" s="39">
        <f>'Degree-days'!$H$12*IF($E162=$E$5,(L$5),(L$6))</f>
        <v>0.57508965997103323</v>
      </c>
      <c r="M162" s="39">
        <f>'Degree-days'!$H$12*IF($E162=$E$5,(M$5),(M$6))</f>
        <v>0.57508965997103323</v>
      </c>
      <c r="N162" s="39">
        <f>'Degree-days'!$H$12*IF($E162=$E$5,(N$5),(N$6))</f>
        <v>0.57508965997103323</v>
      </c>
      <c r="O162" s="39">
        <f>'Degree-days'!$H$12*IF($E162=$E$5,(O$5),(O$6))</f>
        <v>0.57508965997103323</v>
      </c>
      <c r="P162" s="39">
        <f>'Degree-days'!$H$12*IF($E162=$E$5,(P$5),(P$6))</f>
        <v>0.57508965997103323</v>
      </c>
      <c r="Q162" s="39">
        <f>'Degree-days'!$H$12*IF($E162=$E$5,(Q$5),(Q$6))</f>
        <v>0.57508965997103323</v>
      </c>
      <c r="R162" s="39">
        <f>'Degree-days'!$H$12*IF($E162=$E$5,(R$5),(R$6))</f>
        <v>0.57508965997103323</v>
      </c>
      <c r="S162" s="39">
        <f>'Degree-days'!$H$12*IF($E162=$E$5,(S$5),(S$6))</f>
        <v>0.57508965997103323</v>
      </c>
      <c r="T162" s="39">
        <f>'Degree-days'!$H$12*IF($E162=$E$5,(T$5),(T$6))</f>
        <v>0.57508965997103323</v>
      </c>
      <c r="U162" s="39">
        <f>'Degree-days'!$H$12*IF($E162=$E$5,(U$5),(U$6))</f>
        <v>0.57508965997103323</v>
      </c>
      <c r="V162" s="39">
        <f>'Degree-days'!$H$12*IF($E162=$E$5,(V$5),(V$6))</f>
        <v>0.57508965997103323</v>
      </c>
      <c r="W162" s="39">
        <f>'Degree-days'!$H$12*IF($E162=$E$5,(W$5),(W$6))</f>
        <v>0.57508965997103323</v>
      </c>
      <c r="X162" s="39">
        <f>'Degree-days'!$H$12*IF($E162=$E$5,(X$5),(X$6))</f>
        <v>0.57508965997103323</v>
      </c>
      <c r="Y162" s="39">
        <f>'Degree-days'!$H$12*IF($E162=$E$5,(Y$5),(Y$6))</f>
        <v>0.57508965997103323</v>
      </c>
      <c r="Z162" s="39">
        <f>'Degree-days'!$H$12*IF($E162=$E$5,(Z$5),(Z$6))</f>
        <v>0.57508965997103323</v>
      </c>
      <c r="AA162" s="39">
        <f>'Degree-days'!$H$12*IF($E162=$E$5,(AA$5),(AA$6))</f>
        <v>0.57508965997103323</v>
      </c>
      <c r="AB162" s="39">
        <f>'Degree-days'!$H$12*IF($E162=$E$5,(AB$5),(AB$6))</f>
        <v>0</v>
      </c>
      <c r="AC162" s="39">
        <f>'Degree-days'!$H$12*IF($E162=$E$5,(AC$5),(AC$6))</f>
        <v>0</v>
      </c>
      <c r="AD162" s="39">
        <f t="shared" si="7"/>
        <v>9.2014345595365317</v>
      </c>
    </row>
    <row r="163" spans="4:30" x14ac:dyDescent="0.2">
      <c r="D163" s="37">
        <v>45082</v>
      </c>
      <c r="E163" s="17" t="str">
        <f t="shared" si="6"/>
        <v>weekday</v>
      </c>
      <c r="F163" s="39">
        <f>'Degree-days'!$H$12*IF($E163=$E$5,(F$5),(F$6))</f>
        <v>0</v>
      </c>
      <c r="G163" s="39">
        <f>'Degree-days'!$H$12*IF($E163=$E$5,(G$5),(G$6))</f>
        <v>0</v>
      </c>
      <c r="H163" s="39">
        <f>'Degree-days'!$H$12*IF($E163=$E$5,(H$5),(H$6))</f>
        <v>0</v>
      </c>
      <c r="I163" s="39">
        <f>'Degree-days'!$H$12*IF($E163=$E$5,(I$5),(I$6))</f>
        <v>0</v>
      </c>
      <c r="J163" s="39">
        <f>'Degree-days'!$H$12*IF($E163=$E$5,(J$5),(J$6))</f>
        <v>0</v>
      </c>
      <c r="K163" s="39">
        <f>'Degree-days'!$H$12*IF($E163=$E$5,(K$5),(K$6))</f>
        <v>0</v>
      </c>
      <c r="L163" s="39">
        <f>'Degree-days'!$H$12*IF($E163=$E$5,(L$5),(L$6))</f>
        <v>0.57508965997103323</v>
      </c>
      <c r="M163" s="39">
        <f>'Degree-days'!$H$12*IF($E163=$E$5,(M$5),(M$6))</f>
        <v>0.57508965997103323</v>
      </c>
      <c r="N163" s="39">
        <f>'Degree-days'!$H$12*IF($E163=$E$5,(N$5),(N$6))</f>
        <v>0</v>
      </c>
      <c r="O163" s="39">
        <f>'Degree-days'!$H$12*IF($E163=$E$5,(O$5),(O$6))</f>
        <v>0</v>
      </c>
      <c r="P163" s="39">
        <f>'Degree-days'!$H$12*IF($E163=$E$5,(P$5),(P$6))</f>
        <v>0</v>
      </c>
      <c r="Q163" s="39">
        <f>'Degree-days'!$H$12*IF($E163=$E$5,(Q$5),(Q$6))</f>
        <v>0</v>
      </c>
      <c r="R163" s="39">
        <f>'Degree-days'!$H$12*IF($E163=$E$5,(R$5),(R$6))</f>
        <v>0</v>
      </c>
      <c r="S163" s="39">
        <f>'Degree-days'!$H$12*IF($E163=$E$5,(S$5),(S$6))</f>
        <v>0</v>
      </c>
      <c r="T163" s="39">
        <f>'Degree-days'!$H$12*IF($E163=$E$5,(T$5),(T$6))</f>
        <v>0</v>
      </c>
      <c r="U163" s="39">
        <f>'Degree-days'!$H$12*IF($E163=$E$5,(U$5),(U$6))</f>
        <v>0.57508965997103323</v>
      </c>
      <c r="V163" s="39">
        <f>'Degree-days'!$H$12*IF($E163=$E$5,(V$5),(V$6))</f>
        <v>0.57508965997103323</v>
      </c>
      <c r="W163" s="39">
        <f>'Degree-days'!$H$12*IF($E163=$E$5,(W$5),(W$6))</f>
        <v>0.57508965997103323</v>
      </c>
      <c r="X163" s="39">
        <f>'Degree-days'!$H$12*IF($E163=$E$5,(X$5),(X$6))</f>
        <v>0.57508965997103323</v>
      </c>
      <c r="Y163" s="39">
        <f>'Degree-days'!$H$12*IF($E163=$E$5,(Y$5),(Y$6))</f>
        <v>0.57508965997103323</v>
      </c>
      <c r="Z163" s="39">
        <f>'Degree-days'!$H$12*IF($E163=$E$5,(Z$5),(Z$6))</f>
        <v>0.57508965997103323</v>
      </c>
      <c r="AA163" s="39">
        <f>'Degree-days'!$H$12*IF($E163=$E$5,(AA$5),(AA$6))</f>
        <v>0.57508965997103323</v>
      </c>
      <c r="AB163" s="39">
        <f>'Degree-days'!$H$12*IF($E163=$E$5,(AB$5),(AB$6))</f>
        <v>0</v>
      </c>
      <c r="AC163" s="39">
        <f>'Degree-days'!$H$12*IF($E163=$E$5,(AC$5),(AC$6))</f>
        <v>0</v>
      </c>
      <c r="AD163" s="39">
        <f t="shared" si="7"/>
        <v>5.1758069397392994</v>
      </c>
    </row>
    <row r="164" spans="4:30" x14ac:dyDescent="0.2">
      <c r="D164" s="37">
        <v>45083</v>
      </c>
      <c r="E164" s="17" t="str">
        <f t="shared" si="6"/>
        <v>weekday</v>
      </c>
      <c r="F164" s="39">
        <f>'Degree-days'!$H$12*IF($E164=$E$5,(F$5),(F$6))</f>
        <v>0</v>
      </c>
      <c r="G164" s="39">
        <f>'Degree-days'!$H$12*IF($E164=$E$5,(G$5),(G$6))</f>
        <v>0</v>
      </c>
      <c r="H164" s="39">
        <f>'Degree-days'!$H$12*IF($E164=$E$5,(H$5),(H$6))</f>
        <v>0</v>
      </c>
      <c r="I164" s="39">
        <f>'Degree-days'!$H$12*IF($E164=$E$5,(I$5),(I$6))</f>
        <v>0</v>
      </c>
      <c r="J164" s="39">
        <f>'Degree-days'!$H$12*IF($E164=$E$5,(J$5),(J$6))</f>
        <v>0</v>
      </c>
      <c r="K164" s="39">
        <f>'Degree-days'!$H$12*IF($E164=$E$5,(K$5),(K$6))</f>
        <v>0</v>
      </c>
      <c r="L164" s="39">
        <f>'Degree-days'!$H$12*IF($E164=$E$5,(L$5),(L$6))</f>
        <v>0.57508965997103323</v>
      </c>
      <c r="M164" s="39">
        <f>'Degree-days'!$H$12*IF($E164=$E$5,(M$5),(M$6))</f>
        <v>0.57508965997103323</v>
      </c>
      <c r="N164" s="39">
        <f>'Degree-days'!$H$12*IF($E164=$E$5,(N$5),(N$6))</f>
        <v>0</v>
      </c>
      <c r="O164" s="39">
        <f>'Degree-days'!$H$12*IF($E164=$E$5,(O$5),(O$6))</f>
        <v>0</v>
      </c>
      <c r="P164" s="39">
        <f>'Degree-days'!$H$12*IF($E164=$E$5,(P$5),(P$6))</f>
        <v>0</v>
      </c>
      <c r="Q164" s="39">
        <f>'Degree-days'!$H$12*IF($E164=$E$5,(Q$5),(Q$6))</f>
        <v>0</v>
      </c>
      <c r="R164" s="39">
        <f>'Degree-days'!$H$12*IF($E164=$E$5,(R$5),(R$6))</f>
        <v>0</v>
      </c>
      <c r="S164" s="39">
        <f>'Degree-days'!$H$12*IF($E164=$E$5,(S$5),(S$6))</f>
        <v>0</v>
      </c>
      <c r="T164" s="39">
        <f>'Degree-days'!$H$12*IF($E164=$E$5,(T$5),(T$6))</f>
        <v>0</v>
      </c>
      <c r="U164" s="39">
        <f>'Degree-days'!$H$12*IF($E164=$E$5,(U$5),(U$6))</f>
        <v>0.57508965997103323</v>
      </c>
      <c r="V164" s="39">
        <f>'Degree-days'!$H$12*IF($E164=$E$5,(V$5),(V$6))</f>
        <v>0.57508965997103323</v>
      </c>
      <c r="W164" s="39">
        <f>'Degree-days'!$H$12*IF($E164=$E$5,(W$5),(W$6))</f>
        <v>0.57508965997103323</v>
      </c>
      <c r="X164" s="39">
        <f>'Degree-days'!$H$12*IF($E164=$E$5,(X$5),(X$6))</f>
        <v>0.57508965997103323</v>
      </c>
      <c r="Y164" s="39">
        <f>'Degree-days'!$H$12*IF($E164=$E$5,(Y$5),(Y$6))</f>
        <v>0.57508965997103323</v>
      </c>
      <c r="Z164" s="39">
        <f>'Degree-days'!$H$12*IF($E164=$E$5,(Z$5),(Z$6))</f>
        <v>0.57508965997103323</v>
      </c>
      <c r="AA164" s="39">
        <f>'Degree-days'!$H$12*IF($E164=$E$5,(AA$5),(AA$6))</f>
        <v>0.57508965997103323</v>
      </c>
      <c r="AB164" s="39">
        <f>'Degree-days'!$H$12*IF($E164=$E$5,(AB$5),(AB$6))</f>
        <v>0</v>
      </c>
      <c r="AC164" s="39">
        <f>'Degree-days'!$H$12*IF($E164=$E$5,(AC$5),(AC$6))</f>
        <v>0</v>
      </c>
      <c r="AD164" s="39">
        <f t="shared" si="7"/>
        <v>5.1758069397392994</v>
      </c>
    </row>
    <row r="165" spans="4:30" x14ac:dyDescent="0.2">
      <c r="D165" s="37">
        <v>45084</v>
      </c>
      <c r="E165" s="17" t="str">
        <f t="shared" si="6"/>
        <v>weekday</v>
      </c>
      <c r="F165" s="39">
        <f>'Degree-days'!$H$12*IF($E165=$E$5,(F$5),(F$6))</f>
        <v>0</v>
      </c>
      <c r="G165" s="39">
        <f>'Degree-days'!$H$12*IF($E165=$E$5,(G$5),(G$6))</f>
        <v>0</v>
      </c>
      <c r="H165" s="39">
        <f>'Degree-days'!$H$12*IF($E165=$E$5,(H$5),(H$6))</f>
        <v>0</v>
      </c>
      <c r="I165" s="39">
        <f>'Degree-days'!$H$12*IF($E165=$E$5,(I$5),(I$6))</f>
        <v>0</v>
      </c>
      <c r="J165" s="39">
        <f>'Degree-days'!$H$12*IF($E165=$E$5,(J$5),(J$6))</f>
        <v>0</v>
      </c>
      <c r="K165" s="39">
        <f>'Degree-days'!$H$12*IF($E165=$E$5,(K$5),(K$6))</f>
        <v>0</v>
      </c>
      <c r="L165" s="39">
        <f>'Degree-days'!$H$12*IF($E165=$E$5,(L$5),(L$6))</f>
        <v>0.57508965997103323</v>
      </c>
      <c r="M165" s="39">
        <f>'Degree-days'!$H$12*IF($E165=$E$5,(M$5),(M$6))</f>
        <v>0.57508965997103323</v>
      </c>
      <c r="N165" s="39">
        <f>'Degree-days'!$H$12*IF($E165=$E$5,(N$5),(N$6))</f>
        <v>0</v>
      </c>
      <c r="O165" s="39">
        <f>'Degree-days'!$H$12*IF($E165=$E$5,(O$5),(O$6))</f>
        <v>0</v>
      </c>
      <c r="P165" s="39">
        <f>'Degree-days'!$H$12*IF($E165=$E$5,(P$5),(P$6))</f>
        <v>0</v>
      </c>
      <c r="Q165" s="39">
        <f>'Degree-days'!$H$12*IF($E165=$E$5,(Q$5),(Q$6))</f>
        <v>0</v>
      </c>
      <c r="R165" s="39">
        <f>'Degree-days'!$H$12*IF($E165=$E$5,(R$5),(R$6))</f>
        <v>0</v>
      </c>
      <c r="S165" s="39">
        <f>'Degree-days'!$H$12*IF($E165=$E$5,(S$5),(S$6))</f>
        <v>0</v>
      </c>
      <c r="T165" s="39">
        <f>'Degree-days'!$H$12*IF($E165=$E$5,(T$5),(T$6))</f>
        <v>0</v>
      </c>
      <c r="U165" s="39">
        <f>'Degree-days'!$H$12*IF($E165=$E$5,(U$5),(U$6))</f>
        <v>0.57508965997103323</v>
      </c>
      <c r="V165" s="39">
        <f>'Degree-days'!$H$12*IF($E165=$E$5,(V$5),(V$6))</f>
        <v>0.57508965997103323</v>
      </c>
      <c r="W165" s="39">
        <f>'Degree-days'!$H$12*IF($E165=$E$5,(W$5),(W$6))</f>
        <v>0.57508965997103323</v>
      </c>
      <c r="X165" s="39">
        <f>'Degree-days'!$H$12*IF($E165=$E$5,(X$5),(X$6))</f>
        <v>0.57508965997103323</v>
      </c>
      <c r="Y165" s="39">
        <f>'Degree-days'!$H$12*IF($E165=$E$5,(Y$5),(Y$6))</f>
        <v>0.57508965997103323</v>
      </c>
      <c r="Z165" s="39">
        <f>'Degree-days'!$H$12*IF($E165=$E$5,(Z$5),(Z$6))</f>
        <v>0.57508965997103323</v>
      </c>
      <c r="AA165" s="39">
        <f>'Degree-days'!$H$12*IF($E165=$E$5,(AA$5),(AA$6))</f>
        <v>0.57508965997103323</v>
      </c>
      <c r="AB165" s="39">
        <f>'Degree-days'!$H$12*IF($E165=$E$5,(AB$5),(AB$6))</f>
        <v>0</v>
      </c>
      <c r="AC165" s="39">
        <f>'Degree-days'!$H$12*IF($E165=$E$5,(AC$5),(AC$6))</f>
        <v>0</v>
      </c>
      <c r="AD165" s="39">
        <f t="shared" si="7"/>
        <v>5.1758069397392994</v>
      </c>
    </row>
    <row r="166" spans="4:30" x14ac:dyDescent="0.2">
      <c r="D166" s="37">
        <v>45085</v>
      </c>
      <c r="E166" s="17" t="str">
        <f t="shared" si="6"/>
        <v>weekday</v>
      </c>
      <c r="F166" s="39">
        <f>'Degree-days'!$H$12*IF($E166=$E$5,(F$5),(F$6))</f>
        <v>0</v>
      </c>
      <c r="G166" s="39">
        <f>'Degree-days'!$H$12*IF($E166=$E$5,(G$5),(G$6))</f>
        <v>0</v>
      </c>
      <c r="H166" s="39">
        <f>'Degree-days'!$H$12*IF($E166=$E$5,(H$5),(H$6))</f>
        <v>0</v>
      </c>
      <c r="I166" s="39">
        <f>'Degree-days'!$H$12*IF($E166=$E$5,(I$5),(I$6))</f>
        <v>0</v>
      </c>
      <c r="J166" s="39">
        <f>'Degree-days'!$H$12*IF($E166=$E$5,(J$5),(J$6))</f>
        <v>0</v>
      </c>
      <c r="K166" s="39">
        <f>'Degree-days'!$H$12*IF($E166=$E$5,(K$5),(K$6))</f>
        <v>0</v>
      </c>
      <c r="L166" s="39">
        <f>'Degree-days'!$H$12*IF($E166=$E$5,(L$5),(L$6))</f>
        <v>0.57508965997103323</v>
      </c>
      <c r="M166" s="39">
        <f>'Degree-days'!$H$12*IF($E166=$E$5,(M$5),(M$6))</f>
        <v>0.57508965997103323</v>
      </c>
      <c r="N166" s="39">
        <f>'Degree-days'!$H$12*IF($E166=$E$5,(N$5),(N$6))</f>
        <v>0</v>
      </c>
      <c r="O166" s="39">
        <f>'Degree-days'!$H$12*IF($E166=$E$5,(O$5),(O$6))</f>
        <v>0</v>
      </c>
      <c r="P166" s="39">
        <f>'Degree-days'!$H$12*IF($E166=$E$5,(P$5),(P$6))</f>
        <v>0</v>
      </c>
      <c r="Q166" s="39">
        <f>'Degree-days'!$H$12*IF($E166=$E$5,(Q$5),(Q$6))</f>
        <v>0</v>
      </c>
      <c r="R166" s="39">
        <f>'Degree-days'!$H$12*IF($E166=$E$5,(R$5),(R$6))</f>
        <v>0</v>
      </c>
      <c r="S166" s="39">
        <f>'Degree-days'!$H$12*IF($E166=$E$5,(S$5),(S$6))</f>
        <v>0</v>
      </c>
      <c r="T166" s="39">
        <f>'Degree-days'!$H$12*IF($E166=$E$5,(T$5),(T$6))</f>
        <v>0</v>
      </c>
      <c r="U166" s="39">
        <f>'Degree-days'!$H$12*IF($E166=$E$5,(U$5),(U$6))</f>
        <v>0.57508965997103323</v>
      </c>
      <c r="V166" s="39">
        <f>'Degree-days'!$H$12*IF($E166=$E$5,(V$5),(V$6))</f>
        <v>0.57508965997103323</v>
      </c>
      <c r="W166" s="39">
        <f>'Degree-days'!$H$12*IF($E166=$E$5,(W$5),(W$6))</f>
        <v>0.57508965997103323</v>
      </c>
      <c r="X166" s="39">
        <f>'Degree-days'!$H$12*IF($E166=$E$5,(X$5),(X$6))</f>
        <v>0.57508965997103323</v>
      </c>
      <c r="Y166" s="39">
        <f>'Degree-days'!$H$12*IF($E166=$E$5,(Y$5),(Y$6))</f>
        <v>0.57508965997103323</v>
      </c>
      <c r="Z166" s="39">
        <f>'Degree-days'!$H$12*IF($E166=$E$5,(Z$5),(Z$6))</f>
        <v>0.57508965997103323</v>
      </c>
      <c r="AA166" s="39">
        <f>'Degree-days'!$H$12*IF($E166=$E$5,(AA$5),(AA$6))</f>
        <v>0.57508965997103323</v>
      </c>
      <c r="AB166" s="39">
        <f>'Degree-days'!$H$12*IF($E166=$E$5,(AB$5),(AB$6))</f>
        <v>0</v>
      </c>
      <c r="AC166" s="39">
        <f>'Degree-days'!$H$12*IF($E166=$E$5,(AC$5),(AC$6))</f>
        <v>0</v>
      </c>
      <c r="AD166" s="39">
        <f t="shared" si="7"/>
        <v>5.1758069397392994</v>
      </c>
    </row>
    <row r="167" spans="4:30" x14ac:dyDescent="0.2">
      <c r="D167" s="37">
        <v>45086</v>
      </c>
      <c r="E167" s="17" t="str">
        <f t="shared" si="6"/>
        <v>weekday</v>
      </c>
      <c r="F167" s="39">
        <f>'Degree-days'!$H$12*IF($E167=$E$5,(F$5),(F$6))</f>
        <v>0</v>
      </c>
      <c r="G167" s="39">
        <f>'Degree-days'!$H$12*IF($E167=$E$5,(G$5),(G$6))</f>
        <v>0</v>
      </c>
      <c r="H167" s="39">
        <f>'Degree-days'!$H$12*IF($E167=$E$5,(H$5),(H$6))</f>
        <v>0</v>
      </c>
      <c r="I167" s="39">
        <f>'Degree-days'!$H$12*IF($E167=$E$5,(I$5),(I$6))</f>
        <v>0</v>
      </c>
      <c r="J167" s="39">
        <f>'Degree-days'!$H$12*IF($E167=$E$5,(J$5),(J$6))</f>
        <v>0</v>
      </c>
      <c r="K167" s="39">
        <f>'Degree-days'!$H$12*IF($E167=$E$5,(K$5),(K$6))</f>
        <v>0</v>
      </c>
      <c r="L167" s="39">
        <f>'Degree-days'!$H$12*IF($E167=$E$5,(L$5),(L$6))</f>
        <v>0.57508965997103323</v>
      </c>
      <c r="M167" s="39">
        <f>'Degree-days'!$H$12*IF($E167=$E$5,(M$5),(M$6))</f>
        <v>0.57508965997103323</v>
      </c>
      <c r="N167" s="39">
        <f>'Degree-days'!$H$12*IF($E167=$E$5,(N$5),(N$6))</f>
        <v>0</v>
      </c>
      <c r="O167" s="39">
        <f>'Degree-days'!$H$12*IF($E167=$E$5,(O$5),(O$6))</f>
        <v>0</v>
      </c>
      <c r="P167" s="39">
        <f>'Degree-days'!$H$12*IF($E167=$E$5,(P$5),(P$6))</f>
        <v>0</v>
      </c>
      <c r="Q167" s="39">
        <f>'Degree-days'!$H$12*IF($E167=$E$5,(Q$5),(Q$6))</f>
        <v>0</v>
      </c>
      <c r="R167" s="39">
        <f>'Degree-days'!$H$12*IF($E167=$E$5,(R$5),(R$6))</f>
        <v>0</v>
      </c>
      <c r="S167" s="39">
        <f>'Degree-days'!$H$12*IF($E167=$E$5,(S$5),(S$6))</f>
        <v>0</v>
      </c>
      <c r="T167" s="39">
        <f>'Degree-days'!$H$12*IF($E167=$E$5,(T$5),(T$6))</f>
        <v>0</v>
      </c>
      <c r="U167" s="39">
        <f>'Degree-days'!$H$12*IF($E167=$E$5,(U$5),(U$6))</f>
        <v>0.57508965997103323</v>
      </c>
      <c r="V167" s="39">
        <f>'Degree-days'!$H$12*IF($E167=$E$5,(V$5),(V$6))</f>
        <v>0.57508965997103323</v>
      </c>
      <c r="W167" s="39">
        <f>'Degree-days'!$H$12*IF($E167=$E$5,(W$5),(W$6))</f>
        <v>0.57508965997103323</v>
      </c>
      <c r="X167" s="39">
        <f>'Degree-days'!$H$12*IF($E167=$E$5,(X$5),(X$6))</f>
        <v>0.57508965997103323</v>
      </c>
      <c r="Y167" s="39">
        <f>'Degree-days'!$H$12*IF($E167=$E$5,(Y$5),(Y$6))</f>
        <v>0.57508965997103323</v>
      </c>
      <c r="Z167" s="39">
        <f>'Degree-days'!$H$12*IF($E167=$E$5,(Z$5),(Z$6))</f>
        <v>0.57508965997103323</v>
      </c>
      <c r="AA167" s="39">
        <f>'Degree-days'!$H$12*IF($E167=$E$5,(AA$5),(AA$6))</f>
        <v>0.57508965997103323</v>
      </c>
      <c r="AB167" s="39">
        <f>'Degree-days'!$H$12*IF($E167=$E$5,(AB$5),(AB$6))</f>
        <v>0</v>
      </c>
      <c r="AC167" s="39">
        <f>'Degree-days'!$H$12*IF($E167=$E$5,(AC$5),(AC$6))</f>
        <v>0</v>
      </c>
      <c r="AD167" s="39">
        <f t="shared" si="7"/>
        <v>5.1758069397392994</v>
      </c>
    </row>
    <row r="168" spans="4:30" x14ac:dyDescent="0.2">
      <c r="D168" s="37">
        <v>45087</v>
      </c>
      <c r="E168" s="17" t="str">
        <f t="shared" si="6"/>
        <v>weekend</v>
      </c>
      <c r="F168" s="39">
        <f>'Degree-days'!$H$12*IF($E168=$E$5,(F$5),(F$6))</f>
        <v>0</v>
      </c>
      <c r="G168" s="39">
        <f>'Degree-days'!$H$12*IF($E168=$E$5,(G$5),(G$6))</f>
        <v>0</v>
      </c>
      <c r="H168" s="39">
        <f>'Degree-days'!$H$12*IF($E168=$E$5,(H$5),(H$6))</f>
        <v>0</v>
      </c>
      <c r="I168" s="39">
        <f>'Degree-days'!$H$12*IF($E168=$E$5,(I$5),(I$6))</f>
        <v>0</v>
      </c>
      <c r="J168" s="39">
        <f>'Degree-days'!$H$12*IF($E168=$E$5,(J$5),(J$6))</f>
        <v>0</v>
      </c>
      <c r="K168" s="39">
        <f>'Degree-days'!$H$12*IF($E168=$E$5,(K$5),(K$6))</f>
        <v>0</v>
      </c>
      <c r="L168" s="39">
        <f>'Degree-days'!$H$12*IF($E168=$E$5,(L$5),(L$6))</f>
        <v>0.57508965997103323</v>
      </c>
      <c r="M168" s="39">
        <f>'Degree-days'!$H$12*IF($E168=$E$5,(M$5),(M$6))</f>
        <v>0.57508965997103323</v>
      </c>
      <c r="N168" s="39">
        <f>'Degree-days'!$H$12*IF($E168=$E$5,(N$5),(N$6))</f>
        <v>0.57508965997103323</v>
      </c>
      <c r="O168" s="39">
        <f>'Degree-days'!$H$12*IF($E168=$E$5,(O$5),(O$6))</f>
        <v>0.57508965997103323</v>
      </c>
      <c r="P168" s="39">
        <f>'Degree-days'!$H$12*IF($E168=$E$5,(P$5),(P$6))</f>
        <v>0.57508965997103323</v>
      </c>
      <c r="Q168" s="39">
        <f>'Degree-days'!$H$12*IF($E168=$E$5,(Q$5),(Q$6))</f>
        <v>0.57508965997103323</v>
      </c>
      <c r="R168" s="39">
        <f>'Degree-days'!$H$12*IF($E168=$E$5,(R$5),(R$6))</f>
        <v>0.57508965997103323</v>
      </c>
      <c r="S168" s="39">
        <f>'Degree-days'!$H$12*IF($E168=$E$5,(S$5),(S$6))</f>
        <v>0.57508965997103323</v>
      </c>
      <c r="T168" s="39">
        <f>'Degree-days'!$H$12*IF($E168=$E$5,(T$5),(T$6))</f>
        <v>0.57508965997103323</v>
      </c>
      <c r="U168" s="39">
        <f>'Degree-days'!$H$12*IF($E168=$E$5,(U$5),(U$6))</f>
        <v>0.57508965997103323</v>
      </c>
      <c r="V168" s="39">
        <f>'Degree-days'!$H$12*IF($E168=$E$5,(V$5),(V$6))</f>
        <v>0.57508965997103323</v>
      </c>
      <c r="W168" s="39">
        <f>'Degree-days'!$H$12*IF($E168=$E$5,(W$5),(W$6))</f>
        <v>0.57508965997103323</v>
      </c>
      <c r="X168" s="39">
        <f>'Degree-days'!$H$12*IF($E168=$E$5,(X$5),(X$6))</f>
        <v>0.57508965997103323</v>
      </c>
      <c r="Y168" s="39">
        <f>'Degree-days'!$H$12*IF($E168=$E$5,(Y$5),(Y$6))</f>
        <v>0.57508965997103323</v>
      </c>
      <c r="Z168" s="39">
        <f>'Degree-days'!$H$12*IF($E168=$E$5,(Z$5),(Z$6))</f>
        <v>0.57508965997103323</v>
      </c>
      <c r="AA168" s="39">
        <f>'Degree-days'!$H$12*IF($E168=$E$5,(AA$5),(AA$6))</f>
        <v>0.57508965997103323</v>
      </c>
      <c r="AB168" s="39">
        <f>'Degree-days'!$H$12*IF($E168=$E$5,(AB$5),(AB$6))</f>
        <v>0</v>
      </c>
      <c r="AC168" s="39">
        <f>'Degree-days'!$H$12*IF($E168=$E$5,(AC$5),(AC$6))</f>
        <v>0</v>
      </c>
      <c r="AD168" s="39">
        <f t="shared" si="7"/>
        <v>9.2014345595365317</v>
      </c>
    </row>
    <row r="169" spans="4:30" x14ac:dyDescent="0.2">
      <c r="D169" s="37">
        <v>45088</v>
      </c>
      <c r="E169" s="17" t="str">
        <f t="shared" si="6"/>
        <v>weekend</v>
      </c>
      <c r="F169" s="39">
        <f>'Degree-days'!$H$12*IF($E169=$E$5,(F$5),(F$6))</f>
        <v>0</v>
      </c>
      <c r="G169" s="39">
        <f>'Degree-days'!$H$12*IF($E169=$E$5,(G$5),(G$6))</f>
        <v>0</v>
      </c>
      <c r="H169" s="39">
        <f>'Degree-days'!$H$12*IF($E169=$E$5,(H$5),(H$6))</f>
        <v>0</v>
      </c>
      <c r="I169" s="39">
        <f>'Degree-days'!$H$12*IF($E169=$E$5,(I$5),(I$6))</f>
        <v>0</v>
      </c>
      <c r="J169" s="39">
        <f>'Degree-days'!$H$12*IF($E169=$E$5,(J$5),(J$6))</f>
        <v>0</v>
      </c>
      <c r="K169" s="39">
        <f>'Degree-days'!$H$12*IF($E169=$E$5,(K$5),(K$6))</f>
        <v>0</v>
      </c>
      <c r="L169" s="39">
        <f>'Degree-days'!$H$12*IF($E169=$E$5,(L$5),(L$6))</f>
        <v>0.57508965997103323</v>
      </c>
      <c r="M169" s="39">
        <f>'Degree-days'!$H$12*IF($E169=$E$5,(M$5),(M$6))</f>
        <v>0.57508965997103323</v>
      </c>
      <c r="N169" s="39">
        <f>'Degree-days'!$H$12*IF($E169=$E$5,(N$5),(N$6))</f>
        <v>0.57508965997103323</v>
      </c>
      <c r="O169" s="39">
        <f>'Degree-days'!$H$12*IF($E169=$E$5,(O$5),(O$6))</f>
        <v>0.57508965997103323</v>
      </c>
      <c r="P169" s="39">
        <f>'Degree-days'!$H$12*IF($E169=$E$5,(P$5),(P$6))</f>
        <v>0.57508965997103323</v>
      </c>
      <c r="Q169" s="39">
        <f>'Degree-days'!$H$12*IF($E169=$E$5,(Q$5),(Q$6))</f>
        <v>0.57508965997103323</v>
      </c>
      <c r="R169" s="39">
        <f>'Degree-days'!$H$12*IF($E169=$E$5,(R$5),(R$6))</f>
        <v>0.57508965997103323</v>
      </c>
      <c r="S169" s="39">
        <f>'Degree-days'!$H$12*IF($E169=$E$5,(S$5),(S$6))</f>
        <v>0.57508965997103323</v>
      </c>
      <c r="T169" s="39">
        <f>'Degree-days'!$H$12*IF($E169=$E$5,(T$5),(T$6))</f>
        <v>0.57508965997103323</v>
      </c>
      <c r="U169" s="39">
        <f>'Degree-days'!$H$12*IF($E169=$E$5,(U$5),(U$6))</f>
        <v>0.57508965997103323</v>
      </c>
      <c r="V169" s="39">
        <f>'Degree-days'!$H$12*IF($E169=$E$5,(V$5),(V$6))</f>
        <v>0.57508965997103323</v>
      </c>
      <c r="W169" s="39">
        <f>'Degree-days'!$H$12*IF($E169=$E$5,(W$5),(W$6))</f>
        <v>0.57508965997103323</v>
      </c>
      <c r="X169" s="39">
        <f>'Degree-days'!$H$12*IF($E169=$E$5,(X$5),(X$6))</f>
        <v>0.57508965997103323</v>
      </c>
      <c r="Y169" s="39">
        <f>'Degree-days'!$H$12*IF($E169=$E$5,(Y$5),(Y$6))</f>
        <v>0.57508965997103323</v>
      </c>
      <c r="Z169" s="39">
        <f>'Degree-days'!$H$12*IF($E169=$E$5,(Z$5),(Z$6))</f>
        <v>0.57508965997103323</v>
      </c>
      <c r="AA169" s="39">
        <f>'Degree-days'!$H$12*IF($E169=$E$5,(AA$5),(AA$6))</f>
        <v>0.57508965997103323</v>
      </c>
      <c r="AB169" s="39">
        <f>'Degree-days'!$H$12*IF($E169=$E$5,(AB$5),(AB$6))</f>
        <v>0</v>
      </c>
      <c r="AC169" s="39">
        <f>'Degree-days'!$H$12*IF($E169=$E$5,(AC$5),(AC$6))</f>
        <v>0</v>
      </c>
      <c r="AD169" s="39">
        <f t="shared" si="7"/>
        <v>9.2014345595365317</v>
      </c>
    </row>
    <row r="170" spans="4:30" x14ac:dyDescent="0.2">
      <c r="D170" s="37">
        <v>45089</v>
      </c>
      <c r="E170" s="17" t="str">
        <f t="shared" si="6"/>
        <v>weekday</v>
      </c>
      <c r="F170" s="39">
        <f>'Degree-days'!$H$12*IF($E170=$E$5,(F$5),(F$6))</f>
        <v>0</v>
      </c>
      <c r="G170" s="39">
        <f>'Degree-days'!$H$12*IF($E170=$E$5,(G$5),(G$6))</f>
        <v>0</v>
      </c>
      <c r="H170" s="39">
        <f>'Degree-days'!$H$12*IF($E170=$E$5,(H$5),(H$6))</f>
        <v>0</v>
      </c>
      <c r="I170" s="39">
        <f>'Degree-days'!$H$12*IF($E170=$E$5,(I$5),(I$6))</f>
        <v>0</v>
      </c>
      <c r="J170" s="39">
        <f>'Degree-days'!$H$12*IF($E170=$E$5,(J$5),(J$6))</f>
        <v>0</v>
      </c>
      <c r="K170" s="39">
        <f>'Degree-days'!$H$12*IF($E170=$E$5,(K$5),(K$6))</f>
        <v>0</v>
      </c>
      <c r="L170" s="39">
        <f>'Degree-days'!$H$12*IF($E170=$E$5,(L$5),(L$6))</f>
        <v>0.57508965997103323</v>
      </c>
      <c r="M170" s="39">
        <f>'Degree-days'!$H$12*IF($E170=$E$5,(M$5),(M$6))</f>
        <v>0.57508965997103323</v>
      </c>
      <c r="N170" s="39">
        <f>'Degree-days'!$H$12*IF($E170=$E$5,(N$5),(N$6))</f>
        <v>0</v>
      </c>
      <c r="O170" s="39">
        <f>'Degree-days'!$H$12*IF($E170=$E$5,(O$5),(O$6))</f>
        <v>0</v>
      </c>
      <c r="P170" s="39">
        <f>'Degree-days'!$H$12*IF($E170=$E$5,(P$5),(P$6))</f>
        <v>0</v>
      </c>
      <c r="Q170" s="39">
        <f>'Degree-days'!$H$12*IF($E170=$E$5,(Q$5),(Q$6))</f>
        <v>0</v>
      </c>
      <c r="R170" s="39">
        <f>'Degree-days'!$H$12*IF($E170=$E$5,(R$5),(R$6))</f>
        <v>0</v>
      </c>
      <c r="S170" s="39">
        <f>'Degree-days'!$H$12*IF($E170=$E$5,(S$5),(S$6))</f>
        <v>0</v>
      </c>
      <c r="T170" s="39">
        <f>'Degree-days'!$H$12*IF($E170=$E$5,(T$5),(T$6))</f>
        <v>0</v>
      </c>
      <c r="U170" s="39">
        <f>'Degree-days'!$H$12*IF($E170=$E$5,(U$5),(U$6))</f>
        <v>0.57508965997103323</v>
      </c>
      <c r="V170" s="39">
        <f>'Degree-days'!$H$12*IF($E170=$E$5,(V$5),(V$6))</f>
        <v>0.57508965997103323</v>
      </c>
      <c r="W170" s="39">
        <f>'Degree-days'!$H$12*IF($E170=$E$5,(W$5),(W$6))</f>
        <v>0.57508965997103323</v>
      </c>
      <c r="X170" s="39">
        <f>'Degree-days'!$H$12*IF($E170=$E$5,(X$5),(X$6))</f>
        <v>0.57508965997103323</v>
      </c>
      <c r="Y170" s="39">
        <f>'Degree-days'!$H$12*IF($E170=$E$5,(Y$5),(Y$6))</f>
        <v>0.57508965997103323</v>
      </c>
      <c r="Z170" s="39">
        <f>'Degree-days'!$H$12*IF($E170=$E$5,(Z$5),(Z$6))</f>
        <v>0.57508965997103323</v>
      </c>
      <c r="AA170" s="39">
        <f>'Degree-days'!$H$12*IF($E170=$E$5,(AA$5),(AA$6))</f>
        <v>0.57508965997103323</v>
      </c>
      <c r="AB170" s="39">
        <f>'Degree-days'!$H$12*IF($E170=$E$5,(AB$5),(AB$6))</f>
        <v>0</v>
      </c>
      <c r="AC170" s="39">
        <f>'Degree-days'!$H$12*IF($E170=$E$5,(AC$5),(AC$6))</f>
        <v>0</v>
      </c>
      <c r="AD170" s="39">
        <f t="shared" si="7"/>
        <v>5.1758069397392994</v>
      </c>
    </row>
    <row r="171" spans="4:30" x14ac:dyDescent="0.2">
      <c r="D171" s="37">
        <v>45090</v>
      </c>
      <c r="E171" s="17" t="str">
        <f t="shared" si="6"/>
        <v>weekday</v>
      </c>
      <c r="F171" s="39">
        <f>'Degree-days'!$H$12*IF($E171=$E$5,(F$5),(F$6))</f>
        <v>0</v>
      </c>
      <c r="G171" s="39">
        <f>'Degree-days'!$H$12*IF($E171=$E$5,(G$5),(G$6))</f>
        <v>0</v>
      </c>
      <c r="H171" s="39">
        <f>'Degree-days'!$H$12*IF($E171=$E$5,(H$5),(H$6))</f>
        <v>0</v>
      </c>
      <c r="I171" s="39">
        <f>'Degree-days'!$H$12*IF($E171=$E$5,(I$5),(I$6))</f>
        <v>0</v>
      </c>
      <c r="J171" s="39">
        <f>'Degree-days'!$H$12*IF($E171=$E$5,(J$5),(J$6))</f>
        <v>0</v>
      </c>
      <c r="K171" s="39">
        <f>'Degree-days'!$H$12*IF($E171=$E$5,(K$5),(K$6))</f>
        <v>0</v>
      </c>
      <c r="L171" s="39">
        <f>'Degree-days'!$H$12*IF($E171=$E$5,(L$5),(L$6))</f>
        <v>0.57508965997103323</v>
      </c>
      <c r="M171" s="39">
        <f>'Degree-days'!$H$12*IF($E171=$E$5,(M$5),(M$6))</f>
        <v>0.57508965997103323</v>
      </c>
      <c r="N171" s="39">
        <f>'Degree-days'!$H$12*IF($E171=$E$5,(N$5),(N$6))</f>
        <v>0</v>
      </c>
      <c r="O171" s="39">
        <f>'Degree-days'!$H$12*IF($E171=$E$5,(O$5),(O$6))</f>
        <v>0</v>
      </c>
      <c r="P171" s="39">
        <f>'Degree-days'!$H$12*IF($E171=$E$5,(P$5),(P$6))</f>
        <v>0</v>
      </c>
      <c r="Q171" s="39">
        <f>'Degree-days'!$H$12*IF($E171=$E$5,(Q$5),(Q$6))</f>
        <v>0</v>
      </c>
      <c r="R171" s="39">
        <f>'Degree-days'!$H$12*IF($E171=$E$5,(R$5),(R$6))</f>
        <v>0</v>
      </c>
      <c r="S171" s="39">
        <f>'Degree-days'!$H$12*IF($E171=$E$5,(S$5),(S$6))</f>
        <v>0</v>
      </c>
      <c r="T171" s="39">
        <f>'Degree-days'!$H$12*IF($E171=$E$5,(T$5),(T$6))</f>
        <v>0</v>
      </c>
      <c r="U171" s="39">
        <f>'Degree-days'!$H$12*IF($E171=$E$5,(U$5),(U$6))</f>
        <v>0.57508965997103323</v>
      </c>
      <c r="V171" s="39">
        <f>'Degree-days'!$H$12*IF($E171=$E$5,(V$5),(V$6))</f>
        <v>0.57508965997103323</v>
      </c>
      <c r="W171" s="39">
        <f>'Degree-days'!$H$12*IF($E171=$E$5,(W$5),(W$6))</f>
        <v>0.57508965997103323</v>
      </c>
      <c r="X171" s="39">
        <f>'Degree-days'!$H$12*IF($E171=$E$5,(X$5),(X$6))</f>
        <v>0.57508965997103323</v>
      </c>
      <c r="Y171" s="39">
        <f>'Degree-days'!$H$12*IF($E171=$E$5,(Y$5),(Y$6))</f>
        <v>0.57508965997103323</v>
      </c>
      <c r="Z171" s="39">
        <f>'Degree-days'!$H$12*IF($E171=$E$5,(Z$5),(Z$6))</f>
        <v>0.57508965997103323</v>
      </c>
      <c r="AA171" s="39">
        <f>'Degree-days'!$H$12*IF($E171=$E$5,(AA$5),(AA$6))</f>
        <v>0.57508965997103323</v>
      </c>
      <c r="AB171" s="39">
        <f>'Degree-days'!$H$12*IF($E171=$E$5,(AB$5),(AB$6))</f>
        <v>0</v>
      </c>
      <c r="AC171" s="39">
        <f>'Degree-days'!$H$12*IF($E171=$E$5,(AC$5),(AC$6))</f>
        <v>0</v>
      </c>
      <c r="AD171" s="39">
        <f t="shared" si="7"/>
        <v>5.1758069397392994</v>
      </c>
    </row>
    <row r="172" spans="4:30" x14ac:dyDescent="0.2">
      <c r="D172" s="37">
        <v>45091</v>
      </c>
      <c r="E172" s="17" t="str">
        <f t="shared" si="6"/>
        <v>weekday</v>
      </c>
      <c r="F172" s="39">
        <f>'Degree-days'!$H$12*IF($E172=$E$5,(F$5),(F$6))</f>
        <v>0</v>
      </c>
      <c r="G172" s="39">
        <f>'Degree-days'!$H$12*IF($E172=$E$5,(G$5),(G$6))</f>
        <v>0</v>
      </c>
      <c r="H172" s="39">
        <f>'Degree-days'!$H$12*IF($E172=$E$5,(H$5),(H$6))</f>
        <v>0</v>
      </c>
      <c r="I172" s="39">
        <f>'Degree-days'!$H$12*IF($E172=$E$5,(I$5),(I$6))</f>
        <v>0</v>
      </c>
      <c r="J172" s="39">
        <f>'Degree-days'!$H$12*IF($E172=$E$5,(J$5),(J$6))</f>
        <v>0</v>
      </c>
      <c r="K172" s="39">
        <f>'Degree-days'!$H$12*IF($E172=$E$5,(K$5),(K$6))</f>
        <v>0</v>
      </c>
      <c r="L172" s="39">
        <f>'Degree-days'!$H$12*IF($E172=$E$5,(L$5),(L$6))</f>
        <v>0.57508965997103323</v>
      </c>
      <c r="M172" s="39">
        <f>'Degree-days'!$H$12*IF($E172=$E$5,(M$5),(M$6))</f>
        <v>0.57508965997103323</v>
      </c>
      <c r="N172" s="39">
        <f>'Degree-days'!$H$12*IF($E172=$E$5,(N$5),(N$6))</f>
        <v>0</v>
      </c>
      <c r="O172" s="39">
        <f>'Degree-days'!$H$12*IF($E172=$E$5,(O$5),(O$6))</f>
        <v>0</v>
      </c>
      <c r="P172" s="39">
        <f>'Degree-days'!$H$12*IF($E172=$E$5,(P$5),(P$6))</f>
        <v>0</v>
      </c>
      <c r="Q172" s="39">
        <f>'Degree-days'!$H$12*IF($E172=$E$5,(Q$5),(Q$6))</f>
        <v>0</v>
      </c>
      <c r="R172" s="39">
        <f>'Degree-days'!$H$12*IF($E172=$E$5,(R$5),(R$6))</f>
        <v>0</v>
      </c>
      <c r="S172" s="39">
        <f>'Degree-days'!$H$12*IF($E172=$E$5,(S$5),(S$6))</f>
        <v>0</v>
      </c>
      <c r="T172" s="39">
        <f>'Degree-days'!$H$12*IF($E172=$E$5,(T$5),(T$6))</f>
        <v>0</v>
      </c>
      <c r="U172" s="39">
        <f>'Degree-days'!$H$12*IF($E172=$E$5,(U$5),(U$6))</f>
        <v>0.57508965997103323</v>
      </c>
      <c r="V172" s="39">
        <f>'Degree-days'!$H$12*IF($E172=$E$5,(V$5),(V$6))</f>
        <v>0.57508965997103323</v>
      </c>
      <c r="W172" s="39">
        <f>'Degree-days'!$H$12*IF($E172=$E$5,(W$5),(W$6))</f>
        <v>0.57508965997103323</v>
      </c>
      <c r="X172" s="39">
        <f>'Degree-days'!$H$12*IF($E172=$E$5,(X$5),(X$6))</f>
        <v>0.57508965997103323</v>
      </c>
      <c r="Y172" s="39">
        <f>'Degree-days'!$H$12*IF($E172=$E$5,(Y$5),(Y$6))</f>
        <v>0.57508965997103323</v>
      </c>
      <c r="Z172" s="39">
        <f>'Degree-days'!$H$12*IF($E172=$E$5,(Z$5),(Z$6))</f>
        <v>0.57508965997103323</v>
      </c>
      <c r="AA172" s="39">
        <f>'Degree-days'!$H$12*IF($E172=$E$5,(AA$5),(AA$6))</f>
        <v>0.57508965997103323</v>
      </c>
      <c r="AB172" s="39">
        <f>'Degree-days'!$H$12*IF($E172=$E$5,(AB$5),(AB$6))</f>
        <v>0</v>
      </c>
      <c r="AC172" s="39">
        <f>'Degree-days'!$H$12*IF($E172=$E$5,(AC$5),(AC$6))</f>
        <v>0</v>
      </c>
      <c r="AD172" s="39">
        <f t="shared" si="7"/>
        <v>5.1758069397392994</v>
      </c>
    </row>
    <row r="173" spans="4:30" x14ac:dyDescent="0.2">
      <c r="D173" s="37">
        <v>45092</v>
      </c>
      <c r="E173" s="17" t="str">
        <f t="shared" si="6"/>
        <v>weekday</v>
      </c>
      <c r="F173" s="39">
        <f>'Degree-days'!$H$12*IF($E173=$E$5,(F$5),(F$6))</f>
        <v>0</v>
      </c>
      <c r="G173" s="39">
        <f>'Degree-days'!$H$12*IF($E173=$E$5,(G$5),(G$6))</f>
        <v>0</v>
      </c>
      <c r="H173" s="39">
        <f>'Degree-days'!$H$12*IF($E173=$E$5,(H$5),(H$6))</f>
        <v>0</v>
      </c>
      <c r="I173" s="39">
        <f>'Degree-days'!$H$12*IF($E173=$E$5,(I$5),(I$6))</f>
        <v>0</v>
      </c>
      <c r="J173" s="39">
        <f>'Degree-days'!$H$12*IF($E173=$E$5,(J$5),(J$6))</f>
        <v>0</v>
      </c>
      <c r="K173" s="39">
        <f>'Degree-days'!$H$12*IF($E173=$E$5,(K$5),(K$6))</f>
        <v>0</v>
      </c>
      <c r="L173" s="39">
        <f>'Degree-days'!$H$12*IF($E173=$E$5,(L$5),(L$6))</f>
        <v>0.57508965997103323</v>
      </c>
      <c r="M173" s="39">
        <f>'Degree-days'!$H$12*IF($E173=$E$5,(M$5),(M$6))</f>
        <v>0.57508965997103323</v>
      </c>
      <c r="N173" s="39">
        <f>'Degree-days'!$H$12*IF($E173=$E$5,(N$5),(N$6))</f>
        <v>0</v>
      </c>
      <c r="O173" s="39">
        <f>'Degree-days'!$H$12*IF($E173=$E$5,(O$5),(O$6))</f>
        <v>0</v>
      </c>
      <c r="P173" s="39">
        <f>'Degree-days'!$H$12*IF($E173=$E$5,(P$5),(P$6))</f>
        <v>0</v>
      </c>
      <c r="Q173" s="39">
        <f>'Degree-days'!$H$12*IF($E173=$E$5,(Q$5),(Q$6))</f>
        <v>0</v>
      </c>
      <c r="R173" s="39">
        <f>'Degree-days'!$H$12*IF($E173=$E$5,(R$5),(R$6))</f>
        <v>0</v>
      </c>
      <c r="S173" s="39">
        <f>'Degree-days'!$H$12*IF($E173=$E$5,(S$5),(S$6))</f>
        <v>0</v>
      </c>
      <c r="T173" s="39">
        <f>'Degree-days'!$H$12*IF($E173=$E$5,(T$5),(T$6))</f>
        <v>0</v>
      </c>
      <c r="U173" s="39">
        <f>'Degree-days'!$H$12*IF($E173=$E$5,(U$5),(U$6))</f>
        <v>0.57508965997103323</v>
      </c>
      <c r="V173" s="39">
        <f>'Degree-days'!$H$12*IF($E173=$E$5,(V$5),(V$6))</f>
        <v>0.57508965997103323</v>
      </c>
      <c r="W173" s="39">
        <f>'Degree-days'!$H$12*IF($E173=$E$5,(W$5),(W$6))</f>
        <v>0.57508965997103323</v>
      </c>
      <c r="X173" s="39">
        <f>'Degree-days'!$H$12*IF($E173=$E$5,(X$5),(X$6))</f>
        <v>0.57508965997103323</v>
      </c>
      <c r="Y173" s="39">
        <f>'Degree-days'!$H$12*IF($E173=$E$5,(Y$5),(Y$6))</f>
        <v>0.57508965997103323</v>
      </c>
      <c r="Z173" s="39">
        <f>'Degree-days'!$H$12*IF($E173=$E$5,(Z$5),(Z$6))</f>
        <v>0.57508965997103323</v>
      </c>
      <c r="AA173" s="39">
        <f>'Degree-days'!$H$12*IF($E173=$E$5,(AA$5),(AA$6))</f>
        <v>0.57508965997103323</v>
      </c>
      <c r="AB173" s="39">
        <f>'Degree-days'!$H$12*IF($E173=$E$5,(AB$5),(AB$6))</f>
        <v>0</v>
      </c>
      <c r="AC173" s="39">
        <f>'Degree-days'!$H$12*IF($E173=$E$5,(AC$5),(AC$6))</f>
        <v>0</v>
      </c>
      <c r="AD173" s="39">
        <f t="shared" si="7"/>
        <v>5.1758069397392994</v>
      </c>
    </row>
    <row r="174" spans="4:30" x14ac:dyDescent="0.2">
      <c r="D174" s="37">
        <v>45093</v>
      </c>
      <c r="E174" s="17" t="str">
        <f t="shared" si="6"/>
        <v>weekday</v>
      </c>
      <c r="F174" s="39">
        <f>'Degree-days'!$H$12*IF($E174=$E$5,(F$5),(F$6))</f>
        <v>0</v>
      </c>
      <c r="G174" s="39">
        <f>'Degree-days'!$H$12*IF($E174=$E$5,(G$5),(G$6))</f>
        <v>0</v>
      </c>
      <c r="H174" s="39">
        <f>'Degree-days'!$H$12*IF($E174=$E$5,(H$5),(H$6))</f>
        <v>0</v>
      </c>
      <c r="I174" s="39">
        <f>'Degree-days'!$H$12*IF($E174=$E$5,(I$5),(I$6))</f>
        <v>0</v>
      </c>
      <c r="J174" s="39">
        <f>'Degree-days'!$H$12*IF($E174=$E$5,(J$5),(J$6))</f>
        <v>0</v>
      </c>
      <c r="K174" s="39">
        <f>'Degree-days'!$H$12*IF($E174=$E$5,(K$5),(K$6))</f>
        <v>0</v>
      </c>
      <c r="L174" s="39">
        <f>'Degree-days'!$H$12*IF($E174=$E$5,(L$5),(L$6))</f>
        <v>0.57508965997103323</v>
      </c>
      <c r="M174" s="39">
        <f>'Degree-days'!$H$12*IF($E174=$E$5,(M$5),(M$6))</f>
        <v>0.57508965997103323</v>
      </c>
      <c r="N174" s="39">
        <f>'Degree-days'!$H$12*IF($E174=$E$5,(N$5),(N$6))</f>
        <v>0</v>
      </c>
      <c r="O174" s="39">
        <f>'Degree-days'!$H$12*IF($E174=$E$5,(O$5),(O$6))</f>
        <v>0</v>
      </c>
      <c r="P174" s="39">
        <f>'Degree-days'!$H$12*IF($E174=$E$5,(P$5),(P$6))</f>
        <v>0</v>
      </c>
      <c r="Q174" s="39">
        <f>'Degree-days'!$H$12*IF($E174=$E$5,(Q$5),(Q$6))</f>
        <v>0</v>
      </c>
      <c r="R174" s="39">
        <f>'Degree-days'!$H$12*IF($E174=$E$5,(R$5),(R$6))</f>
        <v>0</v>
      </c>
      <c r="S174" s="39">
        <f>'Degree-days'!$H$12*IF($E174=$E$5,(S$5),(S$6))</f>
        <v>0</v>
      </c>
      <c r="T174" s="39">
        <f>'Degree-days'!$H$12*IF($E174=$E$5,(T$5),(T$6))</f>
        <v>0</v>
      </c>
      <c r="U174" s="39">
        <f>'Degree-days'!$H$12*IF($E174=$E$5,(U$5),(U$6))</f>
        <v>0.57508965997103323</v>
      </c>
      <c r="V174" s="39">
        <f>'Degree-days'!$H$12*IF($E174=$E$5,(V$5),(V$6))</f>
        <v>0.57508965997103323</v>
      </c>
      <c r="W174" s="39">
        <f>'Degree-days'!$H$12*IF($E174=$E$5,(W$5),(W$6))</f>
        <v>0.57508965997103323</v>
      </c>
      <c r="X174" s="39">
        <f>'Degree-days'!$H$12*IF($E174=$E$5,(X$5),(X$6))</f>
        <v>0.57508965997103323</v>
      </c>
      <c r="Y174" s="39">
        <f>'Degree-days'!$H$12*IF($E174=$E$5,(Y$5),(Y$6))</f>
        <v>0.57508965997103323</v>
      </c>
      <c r="Z174" s="39">
        <f>'Degree-days'!$H$12*IF($E174=$E$5,(Z$5),(Z$6))</f>
        <v>0.57508965997103323</v>
      </c>
      <c r="AA174" s="39">
        <f>'Degree-days'!$H$12*IF($E174=$E$5,(AA$5),(AA$6))</f>
        <v>0.57508965997103323</v>
      </c>
      <c r="AB174" s="39">
        <f>'Degree-days'!$H$12*IF($E174=$E$5,(AB$5),(AB$6))</f>
        <v>0</v>
      </c>
      <c r="AC174" s="39">
        <f>'Degree-days'!$H$12*IF($E174=$E$5,(AC$5),(AC$6))</f>
        <v>0</v>
      </c>
      <c r="AD174" s="39">
        <f t="shared" si="7"/>
        <v>5.1758069397392994</v>
      </c>
    </row>
    <row r="175" spans="4:30" x14ac:dyDescent="0.2">
      <c r="D175" s="37">
        <v>45094</v>
      </c>
      <c r="E175" s="17" t="str">
        <f t="shared" si="6"/>
        <v>weekend</v>
      </c>
      <c r="F175" s="39">
        <f>'Degree-days'!$H$12*IF($E175=$E$5,(F$5),(F$6))</f>
        <v>0</v>
      </c>
      <c r="G175" s="39">
        <f>'Degree-days'!$H$12*IF($E175=$E$5,(G$5),(G$6))</f>
        <v>0</v>
      </c>
      <c r="H175" s="39">
        <f>'Degree-days'!$H$12*IF($E175=$E$5,(H$5),(H$6))</f>
        <v>0</v>
      </c>
      <c r="I175" s="39">
        <f>'Degree-days'!$H$12*IF($E175=$E$5,(I$5),(I$6))</f>
        <v>0</v>
      </c>
      <c r="J175" s="39">
        <f>'Degree-days'!$H$12*IF($E175=$E$5,(J$5),(J$6))</f>
        <v>0</v>
      </c>
      <c r="K175" s="39">
        <f>'Degree-days'!$H$12*IF($E175=$E$5,(K$5),(K$6))</f>
        <v>0</v>
      </c>
      <c r="L175" s="39">
        <f>'Degree-days'!$H$12*IF($E175=$E$5,(L$5),(L$6))</f>
        <v>0.57508965997103323</v>
      </c>
      <c r="M175" s="39">
        <f>'Degree-days'!$H$12*IF($E175=$E$5,(M$5),(M$6))</f>
        <v>0.57508965997103323</v>
      </c>
      <c r="N175" s="39">
        <f>'Degree-days'!$H$12*IF($E175=$E$5,(N$5),(N$6))</f>
        <v>0.57508965997103323</v>
      </c>
      <c r="O175" s="39">
        <f>'Degree-days'!$H$12*IF($E175=$E$5,(O$5),(O$6))</f>
        <v>0.57508965997103323</v>
      </c>
      <c r="P175" s="39">
        <f>'Degree-days'!$H$12*IF($E175=$E$5,(P$5),(P$6))</f>
        <v>0.57508965997103323</v>
      </c>
      <c r="Q175" s="39">
        <f>'Degree-days'!$H$12*IF($E175=$E$5,(Q$5),(Q$6))</f>
        <v>0.57508965997103323</v>
      </c>
      <c r="R175" s="39">
        <f>'Degree-days'!$H$12*IF($E175=$E$5,(R$5),(R$6))</f>
        <v>0.57508965997103323</v>
      </c>
      <c r="S175" s="39">
        <f>'Degree-days'!$H$12*IF($E175=$E$5,(S$5),(S$6))</f>
        <v>0.57508965997103323</v>
      </c>
      <c r="T175" s="39">
        <f>'Degree-days'!$H$12*IF($E175=$E$5,(T$5),(T$6))</f>
        <v>0.57508965997103323</v>
      </c>
      <c r="U175" s="39">
        <f>'Degree-days'!$H$12*IF($E175=$E$5,(U$5),(U$6))</f>
        <v>0.57508965997103323</v>
      </c>
      <c r="V175" s="39">
        <f>'Degree-days'!$H$12*IF($E175=$E$5,(V$5),(V$6))</f>
        <v>0.57508965997103323</v>
      </c>
      <c r="W175" s="39">
        <f>'Degree-days'!$H$12*IF($E175=$E$5,(W$5),(W$6))</f>
        <v>0.57508965997103323</v>
      </c>
      <c r="X175" s="39">
        <f>'Degree-days'!$H$12*IF($E175=$E$5,(X$5),(X$6))</f>
        <v>0.57508965997103323</v>
      </c>
      <c r="Y175" s="39">
        <f>'Degree-days'!$H$12*IF($E175=$E$5,(Y$5),(Y$6))</f>
        <v>0.57508965997103323</v>
      </c>
      <c r="Z175" s="39">
        <f>'Degree-days'!$H$12*IF($E175=$E$5,(Z$5),(Z$6))</f>
        <v>0.57508965997103323</v>
      </c>
      <c r="AA175" s="39">
        <f>'Degree-days'!$H$12*IF($E175=$E$5,(AA$5),(AA$6))</f>
        <v>0.57508965997103323</v>
      </c>
      <c r="AB175" s="39">
        <f>'Degree-days'!$H$12*IF($E175=$E$5,(AB$5),(AB$6))</f>
        <v>0</v>
      </c>
      <c r="AC175" s="39">
        <f>'Degree-days'!$H$12*IF($E175=$E$5,(AC$5),(AC$6))</f>
        <v>0</v>
      </c>
      <c r="AD175" s="39">
        <f t="shared" si="7"/>
        <v>9.2014345595365317</v>
      </c>
    </row>
    <row r="176" spans="4:30" x14ac:dyDescent="0.2">
      <c r="D176" s="37">
        <v>45095</v>
      </c>
      <c r="E176" s="17" t="str">
        <f t="shared" si="6"/>
        <v>weekend</v>
      </c>
      <c r="F176" s="39">
        <f>'Degree-days'!$H$12*IF($E176=$E$5,(F$5),(F$6))</f>
        <v>0</v>
      </c>
      <c r="G176" s="39">
        <f>'Degree-days'!$H$12*IF($E176=$E$5,(G$5),(G$6))</f>
        <v>0</v>
      </c>
      <c r="H176" s="39">
        <f>'Degree-days'!$H$12*IF($E176=$E$5,(H$5),(H$6))</f>
        <v>0</v>
      </c>
      <c r="I176" s="39">
        <f>'Degree-days'!$H$12*IF($E176=$E$5,(I$5),(I$6))</f>
        <v>0</v>
      </c>
      <c r="J176" s="39">
        <f>'Degree-days'!$H$12*IF($E176=$E$5,(J$5),(J$6))</f>
        <v>0</v>
      </c>
      <c r="K176" s="39">
        <f>'Degree-days'!$H$12*IF($E176=$E$5,(K$5),(K$6))</f>
        <v>0</v>
      </c>
      <c r="L176" s="39">
        <f>'Degree-days'!$H$12*IF($E176=$E$5,(L$5),(L$6))</f>
        <v>0.57508965997103323</v>
      </c>
      <c r="M176" s="39">
        <f>'Degree-days'!$H$12*IF($E176=$E$5,(M$5),(M$6))</f>
        <v>0.57508965997103323</v>
      </c>
      <c r="N176" s="39">
        <f>'Degree-days'!$H$12*IF($E176=$E$5,(N$5),(N$6))</f>
        <v>0.57508965997103323</v>
      </c>
      <c r="O176" s="39">
        <f>'Degree-days'!$H$12*IF($E176=$E$5,(O$5),(O$6))</f>
        <v>0.57508965997103323</v>
      </c>
      <c r="P176" s="39">
        <f>'Degree-days'!$H$12*IF($E176=$E$5,(P$5),(P$6))</f>
        <v>0.57508965997103323</v>
      </c>
      <c r="Q176" s="39">
        <f>'Degree-days'!$H$12*IF($E176=$E$5,(Q$5),(Q$6))</f>
        <v>0.57508965997103323</v>
      </c>
      <c r="R176" s="39">
        <f>'Degree-days'!$H$12*IF($E176=$E$5,(R$5),(R$6))</f>
        <v>0.57508965997103323</v>
      </c>
      <c r="S176" s="39">
        <f>'Degree-days'!$H$12*IF($E176=$E$5,(S$5),(S$6))</f>
        <v>0.57508965997103323</v>
      </c>
      <c r="T176" s="39">
        <f>'Degree-days'!$H$12*IF($E176=$E$5,(T$5),(T$6))</f>
        <v>0.57508965997103323</v>
      </c>
      <c r="U176" s="39">
        <f>'Degree-days'!$H$12*IF($E176=$E$5,(U$5),(U$6))</f>
        <v>0.57508965997103323</v>
      </c>
      <c r="V176" s="39">
        <f>'Degree-days'!$H$12*IF($E176=$E$5,(V$5),(V$6))</f>
        <v>0.57508965997103323</v>
      </c>
      <c r="W176" s="39">
        <f>'Degree-days'!$H$12*IF($E176=$E$5,(W$5),(W$6))</f>
        <v>0.57508965997103323</v>
      </c>
      <c r="X176" s="39">
        <f>'Degree-days'!$H$12*IF($E176=$E$5,(X$5),(X$6))</f>
        <v>0.57508965997103323</v>
      </c>
      <c r="Y176" s="39">
        <f>'Degree-days'!$H$12*IF($E176=$E$5,(Y$5),(Y$6))</f>
        <v>0.57508965997103323</v>
      </c>
      <c r="Z176" s="39">
        <f>'Degree-days'!$H$12*IF($E176=$E$5,(Z$5),(Z$6))</f>
        <v>0.57508965997103323</v>
      </c>
      <c r="AA176" s="39">
        <f>'Degree-days'!$H$12*IF($E176=$E$5,(AA$5),(AA$6))</f>
        <v>0.57508965997103323</v>
      </c>
      <c r="AB176" s="39">
        <f>'Degree-days'!$H$12*IF($E176=$E$5,(AB$5),(AB$6))</f>
        <v>0</v>
      </c>
      <c r="AC176" s="39">
        <f>'Degree-days'!$H$12*IF($E176=$E$5,(AC$5),(AC$6))</f>
        <v>0</v>
      </c>
      <c r="AD176" s="39">
        <f t="shared" si="7"/>
        <v>9.2014345595365317</v>
      </c>
    </row>
    <row r="177" spans="4:32" x14ac:dyDescent="0.2">
      <c r="D177" s="37">
        <v>45096</v>
      </c>
      <c r="E177" s="17" t="str">
        <f t="shared" si="6"/>
        <v>weekday</v>
      </c>
      <c r="F177" s="39">
        <f>'Degree-days'!$H$12*IF($E177=$E$5,(F$5),(F$6))</f>
        <v>0</v>
      </c>
      <c r="G177" s="39">
        <f>'Degree-days'!$H$12*IF($E177=$E$5,(G$5),(G$6))</f>
        <v>0</v>
      </c>
      <c r="H177" s="39">
        <f>'Degree-days'!$H$12*IF($E177=$E$5,(H$5),(H$6))</f>
        <v>0</v>
      </c>
      <c r="I177" s="39">
        <f>'Degree-days'!$H$12*IF($E177=$E$5,(I$5),(I$6))</f>
        <v>0</v>
      </c>
      <c r="J177" s="39">
        <f>'Degree-days'!$H$12*IF($E177=$E$5,(J$5),(J$6))</f>
        <v>0</v>
      </c>
      <c r="K177" s="39">
        <f>'Degree-days'!$H$12*IF($E177=$E$5,(K$5),(K$6))</f>
        <v>0</v>
      </c>
      <c r="L177" s="39">
        <f>'Degree-days'!$H$12*IF($E177=$E$5,(L$5),(L$6))</f>
        <v>0.57508965997103323</v>
      </c>
      <c r="M177" s="39">
        <f>'Degree-days'!$H$12*IF($E177=$E$5,(M$5),(M$6))</f>
        <v>0.57508965997103323</v>
      </c>
      <c r="N177" s="39">
        <f>'Degree-days'!$H$12*IF($E177=$E$5,(N$5),(N$6))</f>
        <v>0</v>
      </c>
      <c r="O177" s="39">
        <f>'Degree-days'!$H$12*IF($E177=$E$5,(O$5),(O$6))</f>
        <v>0</v>
      </c>
      <c r="P177" s="39">
        <f>'Degree-days'!$H$12*IF($E177=$E$5,(P$5),(P$6))</f>
        <v>0</v>
      </c>
      <c r="Q177" s="39">
        <f>'Degree-days'!$H$12*IF($E177=$E$5,(Q$5),(Q$6))</f>
        <v>0</v>
      </c>
      <c r="R177" s="39">
        <f>'Degree-days'!$H$12*IF($E177=$E$5,(R$5),(R$6))</f>
        <v>0</v>
      </c>
      <c r="S177" s="39">
        <f>'Degree-days'!$H$12*IF($E177=$E$5,(S$5),(S$6))</f>
        <v>0</v>
      </c>
      <c r="T177" s="39">
        <f>'Degree-days'!$H$12*IF($E177=$E$5,(T$5),(T$6))</f>
        <v>0</v>
      </c>
      <c r="U177" s="39">
        <f>'Degree-days'!$H$12*IF($E177=$E$5,(U$5),(U$6))</f>
        <v>0.57508965997103323</v>
      </c>
      <c r="V177" s="39">
        <f>'Degree-days'!$H$12*IF($E177=$E$5,(V$5),(V$6))</f>
        <v>0.57508965997103323</v>
      </c>
      <c r="W177" s="39">
        <f>'Degree-days'!$H$12*IF($E177=$E$5,(W$5),(W$6))</f>
        <v>0.57508965997103323</v>
      </c>
      <c r="X177" s="39">
        <f>'Degree-days'!$H$12*IF($E177=$E$5,(X$5),(X$6))</f>
        <v>0.57508965997103323</v>
      </c>
      <c r="Y177" s="39">
        <f>'Degree-days'!$H$12*IF($E177=$E$5,(Y$5),(Y$6))</f>
        <v>0.57508965997103323</v>
      </c>
      <c r="Z177" s="39">
        <f>'Degree-days'!$H$12*IF($E177=$E$5,(Z$5),(Z$6))</f>
        <v>0.57508965997103323</v>
      </c>
      <c r="AA177" s="39">
        <f>'Degree-days'!$H$12*IF($E177=$E$5,(AA$5),(AA$6))</f>
        <v>0.57508965997103323</v>
      </c>
      <c r="AB177" s="39">
        <f>'Degree-days'!$H$12*IF($E177=$E$5,(AB$5),(AB$6))</f>
        <v>0</v>
      </c>
      <c r="AC177" s="39">
        <f>'Degree-days'!$H$12*IF($E177=$E$5,(AC$5),(AC$6))</f>
        <v>0</v>
      </c>
      <c r="AD177" s="39">
        <f t="shared" si="7"/>
        <v>5.1758069397392994</v>
      </c>
    </row>
    <row r="178" spans="4:32" x14ac:dyDescent="0.2">
      <c r="D178" s="37">
        <v>45097</v>
      </c>
      <c r="E178" s="17" t="str">
        <f t="shared" si="6"/>
        <v>weekday</v>
      </c>
      <c r="F178" s="39">
        <f>'Degree-days'!$H$12*IF($E178=$E$5,(F$5),(F$6))</f>
        <v>0</v>
      </c>
      <c r="G178" s="39">
        <f>'Degree-days'!$H$12*IF($E178=$E$5,(G$5),(G$6))</f>
        <v>0</v>
      </c>
      <c r="H178" s="39">
        <f>'Degree-days'!$H$12*IF($E178=$E$5,(H$5),(H$6))</f>
        <v>0</v>
      </c>
      <c r="I178" s="39">
        <f>'Degree-days'!$H$12*IF($E178=$E$5,(I$5),(I$6))</f>
        <v>0</v>
      </c>
      <c r="J178" s="39">
        <f>'Degree-days'!$H$12*IF($E178=$E$5,(J$5),(J$6))</f>
        <v>0</v>
      </c>
      <c r="K178" s="39">
        <f>'Degree-days'!$H$12*IF($E178=$E$5,(K$5),(K$6))</f>
        <v>0</v>
      </c>
      <c r="L178" s="39">
        <f>'Degree-days'!$H$12*IF($E178=$E$5,(L$5),(L$6))</f>
        <v>0.57508965997103323</v>
      </c>
      <c r="M178" s="39">
        <f>'Degree-days'!$H$12*IF($E178=$E$5,(M$5),(M$6))</f>
        <v>0.57508965997103323</v>
      </c>
      <c r="N178" s="39">
        <f>'Degree-days'!$H$12*IF($E178=$E$5,(N$5),(N$6))</f>
        <v>0</v>
      </c>
      <c r="O178" s="39">
        <f>'Degree-days'!$H$12*IF($E178=$E$5,(O$5),(O$6))</f>
        <v>0</v>
      </c>
      <c r="P178" s="39">
        <f>'Degree-days'!$H$12*IF($E178=$E$5,(P$5),(P$6))</f>
        <v>0</v>
      </c>
      <c r="Q178" s="39">
        <f>'Degree-days'!$H$12*IF($E178=$E$5,(Q$5),(Q$6))</f>
        <v>0</v>
      </c>
      <c r="R178" s="39">
        <f>'Degree-days'!$H$12*IF($E178=$E$5,(R$5),(R$6))</f>
        <v>0</v>
      </c>
      <c r="S178" s="39">
        <f>'Degree-days'!$H$12*IF($E178=$E$5,(S$5),(S$6))</f>
        <v>0</v>
      </c>
      <c r="T178" s="39">
        <f>'Degree-days'!$H$12*IF($E178=$E$5,(T$5),(T$6))</f>
        <v>0</v>
      </c>
      <c r="U178" s="39">
        <f>'Degree-days'!$H$12*IF($E178=$E$5,(U$5),(U$6))</f>
        <v>0.57508965997103323</v>
      </c>
      <c r="V178" s="39">
        <f>'Degree-days'!$H$12*IF($E178=$E$5,(V$5),(V$6))</f>
        <v>0.57508965997103323</v>
      </c>
      <c r="W178" s="39">
        <f>'Degree-days'!$H$12*IF($E178=$E$5,(W$5),(W$6))</f>
        <v>0.57508965997103323</v>
      </c>
      <c r="X178" s="39">
        <f>'Degree-days'!$H$12*IF($E178=$E$5,(X$5),(X$6))</f>
        <v>0.57508965997103323</v>
      </c>
      <c r="Y178" s="39">
        <f>'Degree-days'!$H$12*IF($E178=$E$5,(Y$5),(Y$6))</f>
        <v>0.57508965997103323</v>
      </c>
      <c r="Z178" s="39">
        <f>'Degree-days'!$H$12*IF($E178=$E$5,(Z$5),(Z$6))</f>
        <v>0.57508965997103323</v>
      </c>
      <c r="AA178" s="39">
        <f>'Degree-days'!$H$12*IF($E178=$E$5,(AA$5),(AA$6))</f>
        <v>0.57508965997103323</v>
      </c>
      <c r="AB178" s="39">
        <f>'Degree-days'!$H$12*IF($E178=$E$5,(AB$5),(AB$6))</f>
        <v>0</v>
      </c>
      <c r="AC178" s="39">
        <f>'Degree-days'!$H$12*IF($E178=$E$5,(AC$5),(AC$6))</f>
        <v>0</v>
      </c>
      <c r="AD178" s="39">
        <f t="shared" si="7"/>
        <v>5.1758069397392994</v>
      </c>
    </row>
    <row r="179" spans="4:32" x14ac:dyDescent="0.2">
      <c r="D179" s="37">
        <v>45098</v>
      </c>
      <c r="E179" s="17" t="str">
        <f t="shared" si="6"/>
        <v>weekday</v>
      </c>
      <c r="F179" s="39">
        <f>'Degree-days'!$H$12*IF($E179=$E$5,(F$5),(F$6))</f>
        <v>0</v>
      </c>
      <c r="G179" s="39">
        <f>'Degree-days'!$H$12*IF($E179=$E$5,(G$5),(G$6))</f>
        <v>0</v>
      </c>
      <c r="H179" s="39">
        <f>'Degree-days'!$H$12*IF($E179=$E$5,(H$5),(H$6))</f>
        <v>0</v>
      </c>
      <c r="I179" s="39">
        <f>'Degree-days'!$H$12*IF($E179=$E$5,(I$5),(I$6))</f>
        <v>0</v>
      </c>
      <c r="J179" s="39">
        <f>'Degree-days'!$H$12*IF($E179=$E$5,(J$5),(J$6))</f>
        <v>0</v>
      </c>
      <c r="K179" s="39">
        <f>'Degree-days'!$H$12*IF($E179=$E$5,(K$5),(K$6))</f>
        <v>0</v>
      </c>
      <c r="L179" s="39">
        <f>'Degree-days'!$H$12*IF($E179=$E$5,(L$5),(L$6))</f>
        <v>0.57508965997103323</v>
      </c>
      <c r="M179" s="39">
        <f>'Degree-days'!$H$12*IF($E179=$E$5,(M$5),(M$6))</f>
        <v>0.57508965997103323</v>
      </c>
      <c r="N179" s="39">
        <f>'Degree-days'!$H$12*IF($E179=$E$5,(N$5),(N$6))</f>
        <v>0</v>
      </c>
      <c r="O179" s="39">
        <f>'Degree-days'!$H$12*IF($E179=$E$5,(O$5),(O$6))</f>
        <v>0</v>
      </c>
      <c r="P179" s="39">
        <f>'Degree-days'!$H$12*IF($E179=$E$5,(P$5),(P$6))</f>
        <v>0</v>
      </c>
      <c r="Q179" s="39">
        <f>'Degree-days'!$H$12*IF($E179=$E$5,(Q$5),(Q$6))</f>
        <v>0</v>
      </c>
      <c r="R179" s="39">
        <f>'Degree-days'!$H$12*IF($E179=$E$5,(R$5),(R$6))</f>
        <v>0</v>
      </c>
      <c r="S179" s="39">
        <f>'Degree-days'!$H$12*IF($E179=$E$5,(S$5),(S$6))</f>
        <v>0</v>
      </c>
      <c r="T179" s="39">
        <f>'Degree-days'!$H$12*IF($E179=$E$5,(T$5),(T$6))</f>
        <v>0</v>
      </c>
      <c r="U179" s="39">
        <f>'Degree-days'!$H$12*IF($E179=$E$5,(U$5),(U$6))</f>
        <v>0.57508965997103323</v>
      </c>
      <c r="V179" s="39">
        <f>'Degree-days'!$H$12*IF($E179=$E$5,(V$5),(V$6))</f>
        <v>0.57508965997103323</v>
      </c>
      <c r="W179" s="39">
        <f>'Degree-days'!$H$12*IF($E179=$E$5,(W$5),(W$6))</f>
        <v>0.57508965997103323</v>
      </c>
      <c r="X179" s="39">
        <f>'Degree-days'!$H$12*IF($E179=$E$5,(X$5),(X$6))</f>
        <v>0.57508965997103323</v>
      </c>
      <c r="Y179" s="39">
        <f>'Degree-days'!$H$12*IF($E179=$E$5,(Y$5),(Y$6))</f>
        <v>0.57508965997103323</v>
      </c>
      <c r="Z179" s="39">
        <f>'Degree-days'!$H$12*IF($E179=$E$5,(Z$5),(Z$6))</f>
        <v>0.57508965997103323</v>
      </c>
      <c r="AA179" s="39">
        <f>'Degree-days'!$H$12*IF($E179=$E$5,(AA$5),(AA$6))</f>
        <v>0.57508965997103323</v>
      </c>
      <c r="AB179" s="39">
        <f>'Degree-days'!$H$12*IF($E179=$E$5,(AB$5),(AB$6))</f>
        <v>0</v>
      </c>
      <c r="AC179" s="39">
        <f>'Degree-days'!$H$12*IF($E179=$E$5,(AC$5),(AC$6))</f>
        <v>0</v>
      </c>
      <c r="AD179" s="39">
        <f t="shared" si="7"/>
        <v>5.1758069397392994</v>
      </c>
    </row>
    <row r="180" spans="4:32" x14ac:dyDescent="0.2">
      <c r="D180" s="37">
        <v>45099</v>
      </c>
      <c r="E180" s="17" t="str">
        <f t="shared" si="6"/>
        <v>weekday</v>
      </c>
      <c r="F180" s="39">
        <f>'Degree-days'!$H$12*IF($E180=$E$5,(F$5),(F$6))</f>
        <v>0</v>
      </c>
      <c r="G180" s="39">
        <f>'Degree-days'!$H$12*IF($E180=$E$5,(G$5),(G$6))</f>
        <v>0</v>
      </c>
      <c r="H180" s="39">
        <f>'Degree-days'!$H$12*IF($E180=$E$5,(H$5),(H$6))</f>
        <v>0</v>
      </c>
      <c r="I180" s="39">
        <f>'Degree-days'!$H$12*IF($E180=$E$5,(I$5),(I$6))</f>
        <v>0</v>
      </c>
      <c r="J180" s="39">
        <f>'Degree-days'!$H$12*IF($E180=$E$5,(J$5),(J$6))</f>
        <v>0</v>
      </c>
      <c r="K180" s="39">
        <f>'Degree-days'!$H$12*IF($E180=$E$5,(K$5),(K$6))</f>
        <v>0</v>
      </c>
      <c r="L180" s="39">
        <f>'Degree-days'!$H$12*IF($E180=$E$5,(L$5),(L$6))</f>
        <v>0.57508965997103323</v>
      </c>
      <c r="M180" s="39">
        <f>'Degree-days'!$H$12*IF($E180=$E$5,(M$5),(M$6))</f>
        <v>0.57508965997103323</v>
      </c>
      <c r="N180" s="39">
        <f>'Degree-days'!$H$12*IF($E180=$E$5,(N$5),(N$6))</f>
        <v>0</v>
      </c>
      <c r="O180" s="39">
        <f>'Degree-days'!$H$12*IF($E180=$E$5,(O$5),(O$6))</f>
        <v>0</v>
      </c>
      <c r="P180" s="39">
        <f>'Degree-days'!$H$12*IF($E180=$E$5,(P$5),(P$6))</f>
        <v>0</v>
      </c>
      <c r="Q180" s="39">
        <f>'Degree-days'!$H$12*IF($E180=$E$5,(Q$5),(Q$6))</f>
        <v>0</v>
      </c>
      <c r="R180" s="39">
        <f>'Degree-days'!$H$12*IF($E180=$E$5,(R$5),(R$6))</f>
        <v>0</v>
      </c>
      <c r="S180" s="39">
        <f>'Degree-days'!$H$12*IF($E180=$E$5,(S$5),(S$6))</f>
        <v>0</v>
      </c>
      <c r="T180" s="39">
        <f>'Degree-days'!$H$12*IF($E180=$E$5,(T$5),(T$6))</f>
        <v>0</v>
      </c>
      <c r="U180" s="39">
        <f>'Degree-days'!$H$12*IF($E180=$E$5,(U$5),(U$6))</f>
        <v>0.57508965997103323</v>
      </c>
      <c r="V180" s="39">
        <f>'Degree-days'!$H$12*IF($E180=$E$5,(V$5),(V$6))</f>
        <v>0.57508965997103323</v>
      </c>
      <c r="W180" s="39">
        <f>'Degree-days'!$H$12*IF($E180=$E$5,(W$5),(W$6))</f>
        <v>0.57508965997103323</v>
      </c>
      <c r="X180" s="39">
        <f>'Degree-days'!$H$12*IF($E180=$E$5,(X$5),(X$6))</f>
        <v>0.57508965997103323</v>
      </c>
      <c r="Y180" s="39">
        <f>'Degree-days'!$H$12*IF($E180=$E$5,(Y$5),(Y$6))</f>
        <v>0.57508965997103323</v>
      </c>
      <c r="Z180" s="39">
        <f>'Degree-days'!$H$12*IF($E180=$E$5,(Z$5),(Z$6))</f>
        <v>0.57508965997103323</v>
      </c>
      <c r="AA180" s="39">
        <f>'Degree-days'!$H$12*IF($E180=$E$5,(AA$5),(AA$6))</f>
        <v>0.57508965997103323</v>
      </c>
      <c r="AB180" s="39">
        <f>'Degree-days'!$H$12*IF($E180=$E$5,(AB$5),(AB$6))</f>
        <v>0</v>
      </c>
      <c r="AC180" s="39">
        <f>'Degree-days'!$H$12*IF($E180=$E$5,(AC$5),(AC$6))</f>
        <v>0</v>
      </c>
      <c r="AD180" s="39">
        <f t="shared" si="7"/>
        <v>5.1758069397392994</v>
      </c>
    </row>
    <row r="181" spans="4:32" x14ac:dyDescent="0.2">
      <c r="D181" s="37">
        <v>45100</v>
      </c>
      <c r="E181" s="17" t="str">
        <f t="shared" si="6"/>
        <v>weekday</v>
      </c>
      <c r="F181" s="39">
        <f>'Degree-days'!$H$12*IF($E181=$E$5,(F$5),(F$6))</f>
        <v>0</v>
      </c>
      <c r="G181" s="39">
        <f>'Degree-days'!$H$12*IF($E181=$E$5,(G$5),(G$6))</f>
        <v>0</v>
      </c>
      <c r="H181" s="39">
        <f>'Degree-days'!$H$12*IF($E181=$E$5,(H$5),(H$6))</f>
        <v>0</v>
      </c>
      <c r="I181" s="39">
        <f>'Degree-days'!$H$12*IF($E181=$E$5,(I$5),(I$6))</f>
        <v>0</v>
      </c>
      <c r="J181" s="39">
        <f>'Degree-days'!$H$12*IF($E181=$E$5,(J$5),(J$6))</f>
        <v>0</v>
      </c>
      <c r="K181" s="39">
        <f>'Degree-days'!$H$12*IF($E181=$E$5,(K$5),(K$6))</f>
        <v>0</v>
      </c>
      <c r="L181" s="39">
        <f>'Degree-days'!$H$12*IF($E181=$E$5,(L$5),(L$6))</f>
        <v>0.57508965997103323</v>
      </c>
      <c r="M181" s="39">
        <f>'Degree-days'!$H$12*IF($E181=$E$5,(M$5),(M$6))</f>
        <v>0.57508965997103323</v>
      </c>
      <c r="N181" s="39">
        <f>'Degree-days'!$H$12*IF($E181=$E$5,(N$5),(N$6))</f>
        <v>0</v>
      </c>
      <c r="O181" s="39">
        <f>'Degree-days'!$H$12*IF($E181=$E$5,(O$5),(O$6))</f>
        <v>0</v>
      </c>
      <c r="P181" s="39">
        <f>'Degree-days'!$H$12*IF($E181=$E$5,(P$5),(P$6))</f>
        <v>0</v>
      </c>
      <c r="Q181" s="39">
        <f>'Degree-days'!$H$12*IF($E181=$E$5,(Q$5),(Q$6))</f>
        <v>0</v>
      </c>
      <c r="R181" s="39">
        <f>'Degree-days'!$H$12*IF($E181=$E$5,(R$5),(R$6))</f>
        <v>0</v>
      </c>
      <c r="S181" s="39">
        <f>'Degree-days'!$H$12*IF($E181=$E$5,(S$5),(S$6))</f>
        <v>0</v>
      </c>
      <c r="T181" s="39">
        <f>'Degree-days'!$H$12*IF($E181=$E$5,(T$5),(T$6))</f>
        <v>0</v>
      </c>
      <c r="U181" s="39">
        <f>'Degree-days'!$H$12*IF($E181=$E$5,(U$5),(U$6))</f>
        <v>0.57508965997103323</v>
      </c>
      <c r="V181" s="39">
        <f>'Degree-days'!$H$12*IF($E181=$E$5,(V$5),(V$6))</f>
        <v>0.57508965997103323</v>
      </c>
      <c r="W181" s="39">
        <f>'Degree-days'!$H$12*IF($E181=$E$5,(W$5),(W$6))</f>
        <v>0.57508965997103323</v>
      </c>
      <c r="X181" s="39">
        <f>'Degree-days'!$H$12*IF($E181=$E$5,(X$5),(X$6))</f>
        <v>0.57508965997103323</v>
      </c>
      <c r="Y181" s="39">
        <f>'Degree-days'!$H$12*IF($E181=$E$5,(Y$5),(Y$6))</f>
        <v>0.57508965997103323</v>
      </c>
      <c r="Z181" s="39">
        <f>'Degree-days'!$H$12*IF($E181=$E$5,(Z$5),(Z$6))</f>
        <v>0.57508965997103323</v>
      </c>
      <c r="AA181" s="39">
        <f>'Degree-days'!$H$12*IF($E181=$E$5,(AA$5),(AA$6))</f>
        <v>0.57508965997103323</v>
      </c>
      <c r="AB181" s="39">
        <f>'Degree-days'!$H$12*IF($E181=$E$5,(AB$5),(AB$6))</f>
        <v>0</v>
      </c>
      <c r="AC181" s="39">
        <f>'Degree-days'!$H$12*IF($E181=$E$5,(AC$5),(AC$6))</f>
        <v>0</v>
      </c>
      <c r="AD181" s="39">
        <f t="shared" si="7"/>
        <v>5.1758069397392994</v>
      </c>
    </row>
    <row r="182" spans="4:32" x14ac:dyDescent="0.2">
      <c r="D182" s="37">
        <v>45101</v>
      </c>
      <c r="E182" s="17" t="str">
        <f t="shared" si="6"/>
        <v>weekend</v>
      </c>
      <c r="F182" s="39">
        <f>'Degree-days'!$H$12*IF($E182=$E$5,(F$5),(F$6))</f>
        <v>0</v>
      </c>
      <c r="G182" s="39">
        <f>'Degree-days'!$H$12*IF($E182=$E$5,(G$5),(G$6))</f>
        <v>0</v>
      </c>
      <c r="H182" s="39">
        <f>'Degree-days'!$H$12*IF($E182=$E$5,(H$5),(H$6))</f>
        <v>0</v>
      </c>
      <c r="I182" s="39">
        <f>'Degree-days'!$H$12*IF($E182=$E$5,(I$5),(I$6))</f>
        <v>0</v>
      </c>
      <c r="J182" s="39">
        <f>'Degree-days'!$H$12*IF($E182=$E$5,(J$5),(J$6))</f>
        <v>0</v>
      </c>
      <c r="K182" s="39">
        <f>'Degree-days'!$H$12*IF($E182=$E$5,(K$5),(K$6))</f>
        <v>0</v>
      </c>
      <c r="L182" s="39">
        <f>'Degree-days'!$H$12*IF($E182=$E$5,(L$5),(L$6))</f>
        <v>0.57508965997103323</v>
      </c>
      <c r="M182" s="39">
        <f>'Degree-days'!$H$12*IF($E182=$E$5,(M$5),(M$6))</f>
        <v>0.57508965997103323</v>
      </c>
      <c r="N182" s="39">
        <f>'Degree-days'!$H$12*IF($E182=$E$5,(N$5),(N$6))</f>
        <v>0.57508965997103323</v>
      </c>
      <c r="O182" s="39">
        <f>'Degree-days'!$H$12*IF($E182=$E$5,(O$5),(O$6))</f>
        <v>0.57508965997103323</v>
      </c>
      <c r="P182" s="39">
        <f>'Degree-days'!$H$12*IF($E182=$E$5,(P$5),(P$6))</f>
        <v>0.57508965997103323</v>
      </c>
      <c r="Q182" s="39">
        <f>'Degree-days'!$H$12*IF($E182=$E$5,(Q$5),(Q$6))</f>
        <v>0.57508965997103323</v>
      </c>
      <c r="R182" s="39">
        <f>'Degree-days'!$H$12*IF($E182=$E$5,(R$5),(R$6))</f>
        <v>0.57508965997103323</v>
      </c>
      <c r="S182" s="39">
        <f>'Degree-days'!$H$12*IF($E182=$E$5,(S$5),(S$6))</f>
        <v>0.57508965997103323</v>
      </c>
      <c r="T182" s="39">
        <f>'Degree-days'!$H$12*IF($E182=$E$5,(T$5),(T$6))</f>
        <v>0.57508965997103323</v>
      </c>
      <c r="U182" s="39">
        <f>'Degree-days'!$H$12*IF($E182=$E$5,(U$5),(U$6))</f>
        <v>0.57508965997103323</v>
      </c>
      <c r="V182" s="39">
        <f>'Degree-days'!$H$12*IF($E182=$E$5,(V$5),(V$6))</f>
        <v>0.57508965997103323</v>
      </c>
      <c r="W182" s="39">
        <f>'Degree-days'!$H$12*IF($E182=$E$5,(W$5),(W$6))</f>
        <v>0.57508965997103323</v>
      </c>
      <c r="X182" s="39">
        <f>'Degree-days'!$H$12*IF($E182=$E$5,(X$5),(X$6))</f>
        <v>0.57508965997103323</v>
      </c>
      <c r="Y182" s="39">
        <f>'Degree-days'!$H$12*IF($E182=$E$5,(Y$5),(Y$6))</f>
        <v>0.57508965997103323</v>
      </c>
      <c r="Z182" s="39">
        <f>'Degree-days'!$H$12*IF($E182=$E$5,(Z$5),(Z$6))</f>
        <v>0.57508965997103323</v>
      </c>
      <c r="AA182" s="39">
        <f>'Degree-days'!$H$12*IF($E182=$E$5,(AA$5),(AA$6))</f>
        <v>0.57508965997103323</v>
      </c>
      <c r="AB182" s="39">
        <f>'Degree-days'!$H$12*IF($E182=$E$5,(AB$5),(AB$6))</f>
        <v>0</v>
      </c>
      <c r="AC182" s="39">
        <f>'Degree-days'!$H$12*IF($E182=$E$5,(AC$5),(AC$6))</f>
        <v>0</v>
      </c>
      <c r="AD182" s="39">
        <f t="shared" si="7"/>
        <v>9.2014345595365317</v>
      </c>
    </row>
    <row r="183" spans="4:32" x14ac:dyDescent="0.2">
      <c r="D183" s="37">
        <v>45102</v>
      </c>
      <c r="E183" s="17" t="str">
        <f t="shared" si="6"/>
        <v>weekend</v>
      </c>
      <c r="F183" s="39">
        <f>'Degree-days'!$H$12*IF($E183=$E$5,(F$5),(F$6))</f>
        <v>0</v>
      </c>
      <c r="G183" s="39">
        <f>'Degree-days'!$H$12*IF($E183=$E$5,(G$5),(G$6))</f>
        <v>0</v>
      </c>
      <c r="H183" s="39">
        <f>'Degree-days'!$H$12*IF($E183=$E$5,(H$5),(H$6))</f>
        <v>0</v>
      </c>
      <c r="I183" s="39">
        <f>'Degree-days'!$H$12*IF($E183=$E$5,(I$5),(I$6))</f>
        <v>0</v>
      </c>
      <c r="J183" s="39">
        <f>'Degree-days'!$H$12*IF($E183=$E$5,(J$5),(J$6))</f>
        <v>0</v>
      </c>
      <c r="K183" s="39">
        <f>'Degree-days'!$H$12*IF($E183=$E$5,(K$5),(K$6))</f>
        <v>0</v>
      </c>
      <c r="L183" s="39">
        <f>'Degree-days'!$H$12*IF($E183=$E$5,(L$5),(L$6))</f>
        <v>0.57508965997103323</v>
      </c>
      <c r="M183" s="39">
        <f>'Degree-days'!$H$12*IF($E183=$E$5,(M$5),(M$6))</f>
        <v>0.57508965997103323</v>
      </c>
      <c r="N183" s="39">
        <f>'Degree-days'!$H$12*IF($E183=$E$5,(N$5),(N$6))</f>
        <v>0.57508965997103323</v>
      </c>
      <c r="O183" s="39">
        <f>'Degree-days'!$H$12*IF($E183=$E$5,(O$5),(O$6))</f>
        <v>0.57508965997103323</v>
      </c>
      <c r="P183" s="39">
        <f>'Degree-days'!$H$12*IF($E183=$E$5,(P$5),(P$6))</f>
        <v>0.57508965997103323</v>
      </c>
      <c r="Q183" s="39">
        <f>'Degree-days'!$H$12*IF($E183=$E$5,(Q$5),(Q$6))</f>
        <v>0.57508965997103323</v>
      </c>
      <c r="R183" s="39">
        <f>'Degree-days'!$H$12*IF($E183=$E$5,(R$5),(R$6))</f>
        <v>0.57508965997103323</v>
      </c>
      <c r="S183" s="39">
        <f>'Degree-days'!$H$12*IF($E183=$E$5,(S$5),(S$6))</f>
        <v>0.57508965997103323</v>
      </c>
      <c r="T183" s="39">
        <f>'Degree-days'!$H$12*IF($E183=$E$5,(T$5),(T$6))</f>
        <v>0.57508965997103323</v>
      </c>
      <c r="U183" s="39">
        <f>'Degree-days'!$H$12*IF($E183=$E$5,(U$5),(U$6))</f>
        <v>0.57508965997103323</v>
      </c>
      <c r="V183" s="39">
        <f>'Degree-days'!$H$12*IF($E183=$E$5,(V$5),(V$6))</f>
        <v>0.57508965997103323</v>
      </c>
      <c r="W183" s="39">
        <f>'Degree-days'!$H$12*IF($E183=$E$5,(W$5),(W$6))</f>
        <v>0.57508965997103323</v>
      </c>
      <c r="X183" s="39">
        <f>'Degree-days'!$H$12*IF($E183=$E$5,(X$5),(X$6))</f>
        <v>0.57508965997103323</v>
      </c>
      <c r="Y183" s="39">
        <f>'Degree-days'!$H$12*IF($E183=$E$5,(Y$5),(Y$6))</f>
        <v>0.57508965997103323</v>
      </c>
      <c r="Z183" s="39">
        <f>'Degree-days'!$H$12*IF($E183=$E$5,(Z$5),(Z$6))</f>
        <v>0.57508965997103323</v>
      </c>
      <c r="AA183" s="39">
        <f>'Degree-days'!$H$12*IF($E183=$E$5,(AA$5),(AA$6))</f>
        <v>0.57508965997103323</v>
      </c>
      <c r="AB183" s="39">
        <f>'Degree-days'!$H$12*IF($E183=$E$5,(AB$5),(AB$6))</f>
        <v>0</v>
      </c>
      <c r="AC183" s="39">
        <f>'Degree-days'!$H$12*IF($E183=$E$5,(AC$5),(AC$6))</f>
        <v>0</v>
      </c>
      <c r="AD183" s="39">
        <f t="shared" si="7"/>
        <v>9.2014345595365317</v>
      </c>
    </row>
    <row r="184" spans="4:32" x14ac:dyDescent="0.2">
      <c r="D184" s="37">
        <v>45103</v>
      </c>
      <c r="E184" s="17" t="str">
        <f t="shared" si="6"/>
        <v>weekday</v>
      </c>
      <c r="F184" s="39">
        <f>'Degree-days'!$H$12*IF($E184=$E$5,(F$5),(F$6))</f>
        <v>0</v>
      </c>
      <c r="G184" s="39">
        <f>'Degree-days'!$H$12*IF($E184=$E$5,(G$5),(G$6))</f>
        <v>0</v>
      </c>
      <c r="H184" s="39">
        <f>'Degree-days'!$H$12*IF($E184=$E$5,(H$5),(H$6))</f>
        <v>0</v>
      </c>
      <c r="I184" s="39">
        <f>'Degree-days'!$H$12*IF($E184=$E$5,(I$5),(I$6))</f>
        <v>0</v>
      </c>
      <c r="J184" s="39">
        <f>'Degree-days'!$H$12*IF($E184=$E$5,(J$5),(J$6))</f>
        <v>0</v>
      </c>
      <c r="K184" s="39">
        <f>'Degree-days'!$H$12*IF($E184=$E$5,(K$5),(K$6))</f>
        <v>0</v>
      </c>
      <c r="L184" s="39">
        <f>'Degree-days'!$H$12*IF($E184=$E$5,(L$5),(L$6))</f>
        <v>0.57508965997103323</v>
      </c>
      <c r="M184" s="39">
        <f>'Degree-days'!$H$12*IF($E184=$E$5,(M$5),(M$6))</f>
        <v>0.57508965997103323</v>
      </c>
      <c r="N184" s="39">
        <f>'Degree-days'!$H$12*IF($E184=$E$5,(N$5),(N$6))</f>
        <v>0</v>
      </c>
      <c r="O184" s="39">
        <f>'Degree-days'!$H$12*IF($E184=$E$5,(O$5),(O$6))</f>
        <v>0</v>
      </c>
      <c r="P184" s="39">
        <f>'Degree-days'!$H$12*IF($E184=$E$5,(P$5),(P$6))</f>
        <v>0</v>
      </c>
      <c r="Q184" s="39">
        <f>'Degree-days'!$H$12*IF($E184=$E$5,(Q$5),(Q$6))</f>
        <v>0</v>
      </c>
      <c r="R184" s="39">
        <f>'Degree-days'!$H$12*IF($E184=$E$5,(R$5),(R$6))</f>
        <v>0</v>
      </c>
      <c r="S184" s="39">
        <f>'Degree-days'!$H$12*IF($E184=$E$5,(S$5),(S$6))</f>
        <v>0</v>
      </c>
      <c r="T184" s="39">
        <f>'Degree-days'!$H$12*IF($E184=$E$5,(T$5),(T$6))</f>
        <v>0</v>
      </c>
      <c r="U184" s="39">
        <f>'Degree-days'!$H$12*IF($E184=$E$5,(U$5),(U$6))</f>
        <v>0.57508965997103323</v>
      </c>
      <c r="V184" s="39">
        <f>'Degree-days'!$H$12*IF($E184=$E$5,(V$5),(V$6))</f>
        <v>0.57508965997103323</v>
      </c>
      <c r="W184" s="39">
        <f>'Degree-days'!$H$12*IF($E184=$E$5,(W$5),(W$6))</f>
        <v>0.57508965997103323</v>
      </c>
      <c r="X184" s="39">
        <f>'Degree-days'!$H$12*IF($E184=$E$5,(X$5),(X$6))</f>
        <v>0.57508965997103323</v>
      </c>
      <c r="Y184" s="39">
        <f>'Degree-days'!$H$12*IF($E184=$E$5,(Y$5),(Y$6))</f>
        <v>0.57508965997103323</v>
      </c>
      <c r="Z184" s="39">
        <f>'Degree-days'!$H$12*IF($E184=$E$5,(Z$5),(Z$6))</f>
        <v>0.57508965997103323</v>
      </c>
      <c r="AA184" s="39">
        <f>'Degree-days'!$H$12*IF($E184=$E$5,(AA$5),(AA$6))</f>
        <v>0.57508965997103323</v>
      </c>
      <c r="AB184" s="39">
        <f>'Degree-days'!$H$12*IF($E184=$E$5,(AB$5),(AB$6))</f>
        <v>0</v>
      </c>
      <c r="AC184" s="39">
        <f>'Degree-days'!$H$12*IF($E184=$E$5,(AC$5),(AC$6))</f>
        <v>0</v>
      </c>
      <c r="AD184" s="39">
        <f t="shared" si="7"/>
        <v>5.1758069397392994</v>
      </c>
    </row>
    <row r="185" spans="4:32" x14ac:dyDescent="0.2">
      <c r="D185" s="37">
        <v>45104</v>
      </c>
      <c r="E185" s="17" t="str">
        <f t="shared" si="6"/>
        <v>weekday</v>
      </c>
      <c r="F185" s="39">
        <f>'Degree-days'!$H$12*IF($E185=$E$5,(F$5),(F$6))</f>
        <v>0</v>
      </c>
      <c r="G185" s="39">
        <f>'Degree-days'!$H$12*IF($E185=$E$5,(G$5),(G$6))</f>
        <v>0</v>
      </c>
      <c r="H185" s="39">
        <f>'Degree-days'!$H$12*IF($E185=$E$5,(H$5),(H$6))</f>
        <v>0</v>
      </c>
      <c r="I185" s="39">
        <f>'Degree-days'!$H$12*IF($E185=$E$5,(I$5),(I$6))</f>
        <v>0</v>
      </c>
      <c r="J185" s="39">
        <f>'Degree-days'!$H$12*IF($E185=$E$5,(J$5),(J$6))</f>
        <v>0</v>
      </c>
      <c r="K185" s="39">
        <f>'Degree-days'!$H$12*IF($E185=$E$5,(K$5),(K$6))</f>
        <v>0</v>
      </c>
      <c r="L185" s="39">
        <f>'Degree-days'!$H$12*IF($E185=$E$5,(L$5),(L$6))</f>
        <v>0.57508965997103323</v>
      </c>
      <c r="M185" s="39">
        <f>'Degree-days'!$H$12*IF($E185=$E$5,(M$5),(M$6))</f>
        <v>0.57508965997103323</v>
      </c>
      <c r="N185" s="39">
        <f>'Degree-days'!$H$12*IF($E185=$E$5,(N$5),(N$6))</f>
        <v>0</v>
      </c>
      <c r="O185" s="39">
        <f>'Degree-days'!$H$12*IF($E185=$E$5,(O$5),(O$6))</f>
        <v>0</v>
      </c>
      <c r="P185" s="39">
        <f>'Degree-days'!$H$12*IF($E185=$E$5,(P$5),(P$6))</f>
        <v>0</v>
      </c>
      <c r="Q185" s="39">
        <f>'Degree-days'!$H$12*IF($E185=$E$5,(Q$5),(Q$6))</f>
        <v>0</v>
      </c>
      <c r="R185" s="39">
        <f>'Degree-days'!$H$12*IF($E185=$E$5,(R$5),(R$6))</f>
        <v>0</v>
      </c>
      <c r="S185" s="39">
        <f>'Degree-days'!$H$12*IF($E185=$E$5,(S$5),(S$6))</f>
        <v>0</v>
      </c>
      <c r="T185" s="39">
        <f>'Degree-days'!$H$12*IF($E185=$E$5,(T$5),(T$6))</f>
        <v>0</v>
      </c>
      <c r="U185" s="39">
        <f>'Degree-days'!$H$12*IF($E185=$E$5,(U$5),(U$6))</f>
        <v>0.57508965997103323</v>
      </c>
      <c r="V185" s="39">
        <f>'Degree-days'!$H$12*IF($E185=$E$5,(V$5),(V$6))</f>
        <v>0.57508965997103323</v>
      </c>
      <c r="W185" s="39">
        <f>'Degree-days'!$H$12*IF($E185=$E$5,(W$5),(W$6))</f>
        <v>0.57508965997103323</v>
      </c>
      <c r="X185" s="39">
        <f>'Degree-days'!$H$12*IF($E185=$E$5,(X$5),(X$6))</f>
        <v>0.57508965997103323</v>
      </c>
      <c r="Y185" s="39">
        <f>'Degree-days'!$H$12*IF($E185=$E$5,(Y$5),(Y$6))</f>
        <v>0.57508965997103323</v>
      </c>
      <c r="Z185" s="39">
        <f>'Degree-days'!$H$12*IF($E185=$E$5,(Z$5),(Z$6))</f>
        <v>0.57508965997103323</v>
      </c>
      <c r="AA185" s="39">
        <f>'Degree-days'!$H$12*IF($E185=$E$5,(AA$5),(AA$6))</f>
        <v>0.57508965997103323</v>
      </c>
      <c r="AB185" s="39">
        <f>'Degree-days'!$H$12*IF($E185=$E$5,(AB$5),(AB$6))</f>
        <v>0</v>
      </c>
      <c r="AC185" s="39">
        <f>'Degree-days'!$H$12*IF($E185=$E$5,(AC$5),(AC$6))</f>
        <v>0</v>
      </c>
      <c r="AD185" s="39">
        <f t="shared" si="7"/>
        <v>5.1758069397392994</v>
      </c>
    </row>
    <row r="186" spans="4:32" x14ac:dyDescent="0.2">
      <c r="D186" s="37">
        <v>45105</v>
      </c>
      <c r="E186" s="17" t="str">
        <f t="shared" si="6"/>
        <v>weekday</v>
      </c>
      <c r="F186" s="39">
        <f>'Degree-days'!$H$12*IF($E186=$E$5,(F$5),(F$6))</f>
        <v>0</v>
      </c>
      <c r="G186" s="39">
        <f>'Degree-days'!$H$12*IF($E186=$E$5,(G$5),(G$6))</f>
        <v>0</v>
      </c>
      <c r="H186" s="39">
        <f>'Degree-days'!$H$12*IF($E186=$E$5,(H$5),(H$6))</f>
        <v>0</v>
      </c>
      <c r="I186" s="39">
        <f>'Degree-days'!$H$12*IF($E186=$E$5,(I$5),(I$6))</f>
        <v>0</v>
      </c>
      <c r="J186" s="39">
        <f>'Degree-days'!$H$12*IF($E186=$E$5,(J$5),(J$6))</f>
        <v>0</v>
      </c>
      <c r="K186" s="39">
        <f>'Degree-days'!$H$12*IF($E186=$E$5,(K$5),(K$6))</f>
        <v>0</v>
      </c>
      <c r="L186" s="39">
        <f>'Degree-days'!$H$12*IF($E186=$E$5,(L$5),(L$6))</f>
        <v>0.57508965997103323</v>
      </c>
      <c r="M186" s="39">
        <f>'Degree-days'!$H$12*IF($E186=$E$5,(M$5),(M$6))</f>
        <v>0.57508965997103323</v>
      </c>
      <c r="N186" s="39">
        <f>'Degree-days'!$H$12*IF($E186=$E$5,(N$5),(N$6))</f>
        <v>0</v>
      </c>
      <c r="O186" s="39">
        <f>'Degree-days'!$H$12*IF($E186=$E$5,(O$5),(O$6))</f>
        <v>0</v>
      </c>
      <c r="P186" s="39">
        <f>'Degree-days'!$H$12*IF($E186=$E$5,(P$5),(P$6))</f>
        <v>0</v>
      </c>
      <c r="Q186" s="39">
        <f>'Degree-days'!$H$12*IF($E186=$E$5,(Q$5),(Q$6))</f>
        <v>0</v>
      </c>
      <c r="R186" s="39">
        <f>'Degree-days'!$H$12*IF($E186=$E$5,(R$5),(R$6))</f>
        <v>0</v>
      </c>
      <c r="S186" s="39">
        <f>'Degree-days'!$H$12*IF($E186=$E$5,(S$5),(S$6))</f>
        <v>0</v>
      </c>
      <c r="T186" s="39">
        <f>'Degree-days'!$H$12*IF($E186=$E$5,(T$5),(T$6))</f>
        <v>0</v>
      </c>
      <c r="U186" s="39">
        <f>'Degree-days'!$H$12*IF($E186=$E$5,(U$5),(U$6))</f>
        <v>0.57508965997103323</v>
      </c>
      <c r="V186" s="39">
        <f>'Degree-days'!$H$12*IF($E186=$E$5,(V$5),(V$6))</f>
        <v>0.57508965997103323</v>
      </c>
      <c r="W186" s="39">
        <f>'Degree-days'!$H$12*IF($E186=$E$5,(W$5),(W$6))</f>
        <v>0.57508965997103323</v>
      </c>
      <c r="X186" s="39">
        <f>'Degree-days'!$H$12*IF($E186=$E$5,(X$5),(X$6))</f>
        <v>0.57508965997103323</v>
      </c>
      <c r="Y186" s="39">
        <f>'Degree-days'!$H$12*IF($E186=$E$5,(Y$5),(Y$6))</f>
        <v>0.57508965997103323</v>
      </c>
      <c r="Z186" s="39">
        <f>'Degree-days'!$H$12*IF($E186=$E$5,(Z$5),(Z$6))</f>
        <v>0.57508965997103323</v>
      </c>
      <c r="AA186" s="39">
        <f>'Degree-days'!$H$12*IF($E186=$E$5,(AA$5),(AA$6))</f>
        <v>0.57508965997103323</v>
      </c>
      <c r="AB186" s="39">
        <f>'Degree-days'!$H$12*IF($E186=$E$5,(AB$5),(AB$6))</f>
        <v>0</v>
      </c>
      <c r="AC186" s="39">
        <f>'Degree-days'!$H$12*IF($E186=$E$5,(AC$5),(AC$6))</f>
        <v>0</v>
      </c>
      <c r="AD186" s="39">
        <f t="shared" si="7"/>
        <v>5.1758069397392994</v>
      </c>
    </row>
    <row r="187" spans="4:32" x14ac:dyDescent="0.2">
      <c r="D187" s="37">
        <v>45106</v>
      </c>
      <c r="E187" s="17" t="str">
        <f t="shared" si="6"/>
        <v>weekday</v>
      </c>
      <c r="F187" s="39">
        <f>'Degree-days'!$H$12*IF($E187=$E$5,(F$5),(F$6))</f>
        <v>0</v>
      </c>
      <c r="G187" s="39">
        <f>'Degree-days'!$H$12*IF($E187=$E$5,(G$5),(G$6))</f>
        <v>0</v>
      </c>
      <c r="H187" s="39">
        <f>'Degree-days'!$H$12*IF($E187=$E$5,(H$5),(H$6))</f>
        <v>0</v>
      </c>
      <c r="I187" s="39">
        <f>'Degree-days'!$H$12*IF($E187=$E$5,(I$5),(I$6))</f>
        <v>0</v>
      </c>
      <c r="J187" s="39">
        <f>'Degree-days'!$H$12*IF($E187=$E$5,(J$5),(J$6))</f>
        <v>0</v>
      </c>
      <c r="K187" s="39">
        <f>'Degree-days'!$H$12*IF($E187=$E$5,(K$5),(K$6))</f>
        <v>0</v>
      </c>
      <c r="L187" s="39">
        <f>'Degree-days'!$H$12*IF($E187=$E$5,(L$5),(L$6))</f>
        <v>0.57508965997103323</v>
      </c>
      <c r="M187" s="39">
        <f>'Degree-days'!$H$12*IF($E187=$E$5,(M$5),(M$6))</f>
        <v>0.57508965997103323</v>
      </c>
      <c r="N187" s="39">
        <f>'Degree-days'!$H$12*IF($E187=$E$5,(N$5),(N$6))</f>
        <v>0</v>
      </c>
      <c r="O187" s="39">
        <f>'Degree-days'!$H$12*IF($E187=$E$5,(O$5),(O$6))</f>
        <v>0</v>
      </c>
      <c r="P187" s="39">
        <f>'Degree-days'!$H$12*IF($E187=$E$5,(P$5),(P$6))</f>
        <v>0</v>
      </c>
      <c r="Q187" s="39">
        <f>'Degree-days'!$H$12*IF($E187=$E$5,(Q$5),(Q$6))</f>
        <v>0</v>
      </c>
      <c r="R187" s="39">
        <f>'Degree-days'!$H$12*IF($E187=$E$5,(R$5),(R$6))</f>
        <v>0</v>
      </c>
      <c r="S187" s="39">
        <f>'Degree-days'!$H$12*IF($E187=$E$5,(S$5),(S$6))</f>
        <v>0</v>
      </c>
      <c r="T187" s="39">
        <f>'Degree-days'!$H$12*IF($E187=$E$5,(T$5),(T$6))</f>
        <v>0</v>
      </c>
      <c r="U187" s="39">
        <f>'Degree-days'!$H$12*IF($E187=$E$5,(U$5),(U$6))</f>
        <v>0.57508965997103323</v>
      </c>
      <c r="V187" s="39">
        <f>'Degree-days'!$H$12*IF($E187=$E$5,(V$5),(V$6))</f>
        <v>0.57508965997103323</v>
      </c>
      <c r="W187" s="39">
        <f>'Degree-days'!$H$12*IF($E187=$E$5,(W$5),(W$6))</f>
        <v>0.57508965997103323</v>
      </c>
      <c r="X187" s="39">
        <f>'Degree-days'!$H$12*IF($E187=$E$5,(X$5),(X$6))</f>
        <v>0.57508965997103323</v>
      </c>
      <c r="Y187" s="39">
        <f>'Degree-days'!$H$12*IF($E187=$E$5,(Y$5),(Y$6))</f>
        <v>0.57508965997103323</v>
      </c>
      <c r="Z187" s="39">
        <f>'Degree-days'!$H$12*IF($E187=$E$5,(Z$5),(Z$6))</f>
        <v>0.57508965997103323</v>
      </c>
      <c r="AA187" s="39">
        <f>'Degree-days'!$H$12*IF($E187=$E$5,(AA$5),(AA$6))</f>
        <v>0.57508965997103323</v>
      </c>
      <c r="AB187" s="39">
        <f>'Degree-days'!$H$12*IF($E187=$E$5,(AB$5),(AB$6))</f>
        <v>0</v>
      </c>
      <c r="AC187" s="39">
        <f>'Degree-days'!$H$12*IF($E187=$E$5,(AC$5),(AC$6))</f>
        <v>0</v>
      </c>
      <c r="AD187" s="39">
        <f t="shared" si="7"/>
        <v>5.1758069397392994</v>
      </c>
    </row>
    <row r="188" spans="4:32" x14ac:dyDescent="0.2">
      <c r="D188" s="37">
        <v>45107</v>
      </c>
      <c r="E188" s="17" t="str">
        <f t="shared" si="6"/>
        <v>weekday</v>
      </c>
      <c r="F188" s="39">
        <f>'Degree-days'!$H$12*IF($E188=$E$5,(F$5),(F$6))</f>
        <v>0</v>
      </c>
      <c r="G188" s="39">
        <f>'Degree-days'!$H$12*IF($E188=$E$5,(G$5),(G$6))</f>
        <v>0</v>
      </c>
      <c r="H188" s="39">
        <f>'Degree-days'!$H$12*IF($E188=$E$5,(H$5),(H$6))</f>
        <v>0</v>
      </c>
      <c r="I188" s="39">
        <f>'Degree-days'!$H$12*IF($E188=$E$5,(I$5),(I$6))</f>
        <v>0</v>
      </c>
      <c r="J188" s="39">
        <f>'Degree-days'!$H$12*IF($E188=$E$5,(J$5),(J$6))</f>
        <v>0</v>
      </c>
      <c r="K188" s="39">
        <f>'Degree-days'!$H$12*IF($E188=$E$5,(K$5),(K$6))</f>
        <v>0</v>
      </c>
      <c r="L188" s="39">
        <f>'Degree-days'!$H$12*IF($E188=$E$5,(L$5),(L$6))</f>
        <v>0.57508965997103323</v>
      </c>
      <c r="M188" s="39">
        <f>'Degree-days'!$H$12*IF($E188=$E$5,(M$5),(M$6))</f>
        <v>0.57508965997103323</v>
      </c>
      <c r="N188" s="39">
        <f>'Degree-days'!$H$12*IF($E188=$E$5,(N$5),(N$6))</f>
        <v>0</v>
      </c>
      <c r="O188" s="39">
        <f>'Degree-days'!$H$12*IF($E188=$E$5,(O$5),(O$6))</f>
        <v>0</v>
      </c>
      <c r="P188" s="39">
        <f>'Degree-days'!$H$12*IF($E188=$E$5,(P$5),(P$6))</f>
        <v>0</v>
      </c>
      <c r="Q188" s="39">
        <f>'Degree-days'!$H$12*IF($E188=$E$5,(Q$5),(Q$6))</f>
        <v>0</v>
      </c>
      <c r="R188" s="39">
        <f>'Degree-days'!$H$12*IF($E188=$E$5,(R$5),(R$6))</f>
        <v>0</v>
      </c>
      <c r="S188" s="39">
        <f>'Degree-days'!$H$12*IF($E188=$E$5,(S$5),(S$6))</f>
        <v>0</v>
      </c>
      <c r="T188" s="39">
        <f>'Degree-days'!$H$12*IF($E188=$E$5,(T$5),(T$6))</f>
        <v>0</v>
      </c>
      <c r="U188" s="39">
        <f>'Degree-days'!$H$12*IF($E188=$E$5,(U$5),(U$6))</f>
        <v>0.57508965997103323</v>
      </c>
      <c r="V188" s="39">
        <f>'Degree-days'!$H$12*IF($E188=$E$5,(V$5),(V$6))</f>
        <v>0.57508965997103323</v>
      </c>
      <c r="W188" s="39">
        <f>'Degree-days'!$H$12*IF($E188=$E$5,(W$5),(W$6))</f>
        <v>0.57508965997103323</v>
      </c>
      <c r="X188" s="39">
        <f>'Degree-days'!$H$12*IF($E188=$E$5,(X$5),(X$6))</f>
        <v>0.57508965997103323</v>
      </c>
      <c r="Y188" s="39">
        <f>'Degree-days'!$H$12*IF($E188=$E$5,(Y$5),(Y$6))</f>
        <v>0.57508965997103323</v>
      </c>
      <c r="Z188" s="39">
        <f>'Degree-days'!$H$12*IF($E188=$E$5,(Z$5),(Z$6))</f>
        <v>0.57508965997103323</v>
      </c>
      <c r="AA188" s="39">
        <f>'Degree-days'!$H$12*IF($E188=$E$5,(AA$5),(AA$6))</f>
        <v>0.57508965997103323</v>
      </c>
      <c r="AB188" s="39">
        <f>'Degree-days'!$H$12*IF($E188=$E$5,(AB$5),(AB$6))</f>
        <v>0</v>
      </c>
      <c r="AC188" s="39">
        <f>'Degree-days'!$H$12*IF($E188=$E$5,(AC$5),(AC$6))</f>
        <v>0</v>
      </c>
      <c r="AD188" s="39">
        <f t="shared" si="7"/>
        <v>5.1758069397392994</v>
      </c>
      <c r="AE188" s="40">
        <f>SUM(AD159:AD188)</f>
        <v>187.47922915055679</v>
      </c>
      <c r="AF188" s="35">
        <f>'Degree-days'!H11</f>
        <v>187.47922915055685</v>
      </c>
    </row>
    <row r="189" spans="4:32" x14ac:dyDescent="0.2">
      <c r="D189" s="37">
        <v>45108</v>
      </c>
      <c r="E189" s="17" t="str">
        <f t="shared" si="6"/>
        <v>weekend</v>
      </c>
      <c r="F189" s="39">
        <f>'Degree-days'!$I$12*IF($E189=$E$5,(F$5),(F$6))</f>
        <v>0</v>
      </c>
      <c r="G189" s="39">
        <f>'Degree-days'!$I$12*IF($E189=$E$5,(G$5),(G$6))</f>
        <v>0</v>
      </c>
      <c r="H189" s="39">
        <f>'Degree-days'!$I$12*IF($E189=$E$5,(H$5),(H$6))</f>
        <v>0</v>
      </c>
      <c r="I189" s="39">
        <f>'Degree-days'!$I$12*IF($E189=$E$5,(I$5),(I$6))</f>
        <v>0</v>
      </c>
      <c r="J189" s="39">
        <f>'Degree-days'!$I$12*IF($E189=$E$5,(J$5),(J$6))</f>
        <v>0</v>
      </c>
      <c r="K189" s="39">
        <f>'Degree-days'!$I$12*IF($E189=$E$5,(K$5),(K$6))</f>
        <v>0</v>
      </c>
      <c r="L189" s="39">
        <f>'Degree-days'!$I$12*IF($E189=$E$5,(L$5),(L$6))</f>
        <v>0.19836484746205932</v>
      </c>
      <c r="M189" s="39">
        <f>'Degree-days'!$I$12*IF($E189=$E$5,(M$5),(M$6))</f>
        <v>0.19836484746205932</v>
      </c>
      <c r="N189" s="39">
        <f>'Degree-days'!$I$12*IF($E189=$E$5,(N$5),(N$6))</f>
        <v>0.19836484746205932</v>
      </c>
      <c r="O189" s="39">
        <f>'Degree-days'!$I$12*IF($E189=$E$5,(O$5),(O$6))</f>
        <v>0.19836484746205932</v>
      </c>
      <c r="P189" s="39">
        <f>'Degree-days'!$I$12*IF($E189=$E$5,(P$5),(P$6))</f>
        <v>0.19836484746205932</v>
      </c>
      <c r="Q189" s="39">
        <f>'Degree-days'!$I$12*IF($E189=$E$5,(Q$5),(Q$6))</f>
        <v>0.19836484746205932</v>
      </c>
      <c r="R189" s="39">
        <f>'Degree-days'!$I$12*IF($E189=$E$5,(R$5),(R$6))</f>
        <v>0.19836484746205932</v>
      </c>
      <c r="S189" s="39">
        <f>'Degree-days'!$I$12*IF($E189=$E$5,(S$5),(S$6))</f>
        <v>0.19836484746205932</v>
      </c>
      <c r="T189" s="39">
        <f>'Degree-days'!$I$12*IF($E189=$E$5,(T$5),(T$6))</f>
        <v>0.19836484746205932</v>
      </c>
      <c r="U189" s="39">
        <f>'Degree-days'!$I$12*IF($E189=$E$5,(U$5),(U$6))</f>
        <v>0.19836484746205932</v>
      </c>
      <c r="V189" s="39">
        <f>'Degree-days'!$I$12*IF($E189=$E$5,(V$5),(V$6))</f>
        <v>0.19836484746205932</v>
      </c>
      <c r="W189" s="39">
        <f>'Degree-days'!$I$12*IF($E189=$E$5,(W$5),(W$6))</f>
        <v>0.19836484746205932</v>
      </c>
      <c r="X189" s="39">
        <f>'Degree-days'!$I$12*IF($E189=$E$5,(X$5),(X$6))</f>
        <v>0.19836484746205932</v>
      </c>
      <c r="Y189" s="39">
        <f>'Degree-days'!$I$12*IF($E189=$E$5,(Y$5),(Y$6))</f>
        <v>0.19836484746205932</v>
      </c>
      <c r="Z189" s="39">
        <f>'Degree-days'!$I$12*IF($E189=$E$5,(Z$5),(Z$6))</f>
        <v>0.19836484746205932</v>
      </c>
      <c r="AA189" s="39">
        <f>'Degree-days'!$I$12*IF($E189=$E$5,(AA$5),(AA$6))</f>
        <v>0.19836484746205932</v>
      </c>
      <c r="AB189" s="39">
        <f>'Degree-days'!$I$12*IF($E189=$E$5,(AB$5),(AB$6))</f>
        <v>0</v>
      </c>
      <c r="AC189" s="39">
        <f>'Degree-days'!$I$12*IF($E189=$E$5,(AC$5),(AC$6))</f>
        <v>0</v>
      </c>
      <c r="AD189" s="39">
        <f>SUM(F189:AC189)</f>
        <v>3.17383755939295</v>
      </c>
      <c r="AE189" s="40"/>
    </row>
    <row r="190" spans="4:32" x14ac:dyDescent="0.2">
      <c r="D190" s="37">
        <v>45109</v>
      </c>
      <c r="E190" s="17" t="str">
        <f t="shared" si="6"/>
        <v>weekend</v>
      </c>
      <c r="F190" s="39">
        <f>'Degree-days'!$I$12*IF($E190=$E$5,(F$5),(F$6))</f>
        <v>0</v>
      </c>
      <c r="G190" s="39">
        <f>'Degree-days'!$I$12*IF($E190=$E$5,(G$5),(G$6))</f>
        <v>0</v>
      </c>
      <c r="H190" s="39">
        <f>'Degree-days'!$I$12*IF($E190=$E$5,(H$5),(H$6))</f>
        <v>0</v>
      </c>
      <c r="I190" s="39">
        <f>'Degree-days'!$I$12*IF($E190=$E$5,(I$5),(I$6))</f>
        <v>0</v>
      </c>
      <c r="J190" s="39">
        <f>'Degree-days'!$I$12*IF($E190=$E$5,(J$5),(J$6))</f>
        <v>0</v>
      </c>
      <c r="K190" s="39">
        <f>'Degree-days'!$I$12*IF($E190=$E$5,(K$5),(K$6))</f>
        <v>0</v>
      </c>
      <c r="L190" s="39">
        <f>'Degree-days'!$I$12*IF($E190=$E$5,(L$5),(L$6))</f>
        <v>0.19836484746205932</v>
      </c>
      <c r="M190" s="39">
        <f>'Degree-days'!$I$12*IF($E190=$E$5,(M$5),(M$6))</f>
        <v>0.19836484746205932</v>
      </c>
      <c r="N190" s="39">
        <f>'Degree-days'!$I$12*IF($E190=$E$5,(N$5),(N$6))</f>
        <v>0.19836484746205932</v>
      </c>
      <c r="O190" s="39">
        <f>'Degree-days'!$I$12*IF($E190=$E$5,(O$5),(O$6))</f>
        <v>0.19836484746205932</v>
      </c>
      <c r="P190" s="39">
        <f>'Degree-days'!$I$12*IF($E190=$E$5,(P$5),(P$6))</f>
        <v>0.19836484746205932</v>
      </c>
      <c r="Q190" s="39">
        <f>'Degree-days'!$I$12*IF($E190=$E$5,(Q$5),(Q$6))</f>
        <v>0.19836484746205932</v>
      </c>
      <c r="R190" s="39">
        <f>'Degree-days'!$I$12*IF($E190=$E$5,(R$5),(R$6))</f>
        <v>0.19836484746205932</v>
      </c>
      <c r="S190" s="39">
        <f>'Degree-days'!$I$12*IF($E190=$E$5,(S$5),(S$6))</f>
        <v>0.19836484746205932</v>
      </c>
      <c r="T190" s="39">
        <f>'Degree-days'!$I$12*IF($E190=$E$5,(T$5),(T$6))</f>
        <v>0.19836484746205932</v>
      </c>
      <c r="U190" s="39">
        <f>'Degree-days'!$I$12*IF($E190=$E$5,(U$5),(U$6))</f>
        <v>0.19836484746205932</v>
      </c>
      <c r="V190" s="39">
        <f>'Degree-days'!$I$12*IF($E190=$E$5,(V$5),(V$6))</f>
        <v>0.19836484746205932</v>
      </c>
      <c r="W190" s="39">
        <f>'Degree-days'!$I$12*IF($E190=$E$5,(W$5),(W$6))</f>
        <v>0.19836484746205932</v>
      </c>
      <c r="X190" s="39">
        <f>'Degree-days'!$I$12*IF($E190=$E$5,(X$5),(X$6))</f>
        <v>0.19836484746205932</v>
      </c>
      <c r="Y190" s="39">
        <f>'Degree-days'!$I$12*IF($E190=$E$5,(Y$5),(Y$6))</f>
        <v>0.19836484746205932</v>
      </c>
      <c r="Z190" s="39">
        <f>'Degree-days'!$I$12*IF($E190=$E$5,(Z$5),(Z$6))</f>
        <v>0.19836484746205932</v>
      </c>
      <c r="AA190" s="39">
        <f>'Degree-days'!$I$12*IF($E190=$E$5,(AA$5),(AA$6))</f>
        <v>0.19836484746205932</v>
      </c>
      <c r="AB190" s="39">
        <f>'Degree-days'!$I$12*IF($E190=$E$5,(AB$5),(AB$6))</f>
        <v>0</v>
      </c>
      <c r="AC190" s="39">
        <f>'Degree-days'!$I$12*IF($E190=$E$5,(AC$5),(AC$6))</f>
        <v>0</v>
      </c>
      <c r="AD190" s="39">
        <f t="shared" ref="AD190:AD250" si="8">SUM(F190:AC190)</f>
        <v>3.17383755939295</v>
      </c>
      <c r="AE190" s="40"/>
    </row>
    <row r="191" spans="4:32" x14ac:dyDescent="0.2">
      <c r="D191" s="37">
        <v>45110</v>
      </c>
      <c r="E191" s="17" t="str">
        <f t="shared" si="6"/>
        <v>weekday</v>
      </c>
      <c r="F191" s="39">
        <f>'Degree-days'!$I$12*IF($E191=$E$5,(F$5),(F$6))</f>
        <v>0</v>
      </c>
      <c r="G191" s="39">
        <f>'Degree-days'!$I$12*IF($E191=$E$5,(G$5),(G$6))</f>
        <v>0</v>
      </c>
      <c r="H191" s="39">
        <f>'Degree-days'!$I$12*IF($E191=$E$5,(H$5),(H$6))</f>
        <v>0</v>
      </c>
      <c r="I191" s="39">
        <f>'Degree-days'!$I$12*IF($E191=$E$5,(I$5),(I$6))</f>
        <v>0</v>
      </c>
      <c r="J191" s="39">
        <f>'Degree-days'!$I$12*IF($E191=$E$5,(J$5),(J$6))</f>
        <v>0</v>
      </c>
      <c r="K191" s="39">
        <f>'Degree-days'!$I$12*IF($E191=$E$5,(K$5),(K$6))</f>
        <v>0</v>
      </c>
      <c r="L191" s="39">
        <f>'Degree-days'!$I$12*IF($E191=$E$5,(L$5),(L$6))</f>
        <v>0.19836484746205932</v>
      </c>
      <c r="M191" s="39">
        <f>'Degree-days'!$I$12*IF($E191=$E$5,(M$5),(M$6))</f>
        <v>0.19836484746205932</v>
      </c>
      <c r="N191" s="39">
        <f>'Degree-days'!$I$12*IF($E191=$E$5,(N$5),(N$6))</f>
        <v>0</v>
      </c>
      <c r="O191" s="39">
        <f>'Degree-days'!$I$12*IF($E191=$E$5,(O$5),(O$6))</f>
        <v>0</v>
      </c>
      <c r="P191" s="39">
        <f>'Degree-days'!$I$12*IF($E191=$E$5,(P$5),(P$6))</f>
        <v>0</v>
      </c>
      <c r="Q191" s="39">
        <f>'Degree-days'!$I$12*IF($E191=$E$5,(Q$5),(Q$6))</f>
        <v>0</v>
      </c>
      <c r="R191" s="39">
        <f>'Degree-days'!$I$12*IF($E191=$E$5,(R$5),(R$6))</f>
        <v>0</v>
      </c>
      <c r="S191" s="39">
        <f>'Degree-days'!$I$12*IF($E191=$E$5,(S$5),(S$6))</f>
        <v>0</v>
      </c>
      <c r="T191" s="39">
        <f>'Degree-days'!$I$12*IF($E191=$E$5,(T$5),(T$6))</f>
        <v>0</v>
      </c>
      <c r="U191" s="39">
        <f>'Degree-days'!$I$12*IF($E191=$E$5,(U$5),(U$6))</f>
        <v>0.19836484746205932</v>
      </c>
      <c r="V191" s="39">
        <f>'Degree-days'!$I$12*IF($E191=$E$5,(V$5),(V$6))</f>
        <v>0.19836484746205932</v>
      </c>
      <c r="W191" s="39">
        <f>'Degree-days'!$I$12*IF($E191=$E$5,(W$5),(W$6))</f>
        <v>0.19836484746205932</v>
      </c>
      <c r="X191" s="39">
        <f>'Degree-days'!$I$12*IF($E191=$E$5,(X$5),(X$6))</f>
        <v>0.19836484746205932</v>
      </c>
      <c r="Y191" s="39">
        <f>'Degree-days'!$I$12*IF($E191=$E$5,(Y$5),(Y$6))</f>
        <v>0.19836484746205932</v>
      </c>
      <c r="Z191" s="39">
        <f>'Degree-days'!$I$12*IF($E191=$E$5,(Z$5),(Z$6))</f>
        <v>0.19836484746205932</v>
      </c>
      <c r="AA191" s="39">
        <f>'Degree-days'!$I$12*IF($E191=$E$5,(AA$5),(AA$6))</f>
        <v>0.19836484746205932</v>
      </c>
      <c r="AB191" s="39">
        <f>'Degree-days'!$I$12*IF($E191=$E$5,(AB$5),(AB$6))</f>
        <v>0</v>
      </c>
      <c r="AC191" s="39">
        <f>'Degree-days'!$I$12*IF($E191=$E$5,(AC$5),(AC$6))</f>
        <v>0</v>
      </c>
      <c r="AD191" s="39">
        <f t="shared" si="8"/>
        <v>1.7852836271585342</v>
      </c>
      <c r="AE191" s="40"/>
    </row>
    <row r="192" spans="4:32" x14ac:dyDescent="0.2">
      <c r="D192" s="37">
        <v>45111</v>
      </c>
      <c r="E192" s="17" t="str">
        <f t="shared" si="6"/>
        <v>weekday</v>
      </c>
      <c r="F192" s="39">
        <f>'Degree-days'!$I$12*IF($E192=$E$5,(F$5),(F$6))</f>
        <v>0</v>
      </c>
      <c r="G192" s="39">
        <f>'Degree-days'!$I$12*IF($E192=$E$5,(G$5),(G$6))</f>
        <v>0</v>
      </c>
      <c r="H192" s="39">
        <f>'Degree-days'!$I$12*IF($E192=$E$5,(H$5),(H$6))</f>
        <v>0</v>
      </c>
      <c r="I192" s="39">
        <f>'Degree-days'!$I$12*IF($E192=$E$5,(I$5),(I$6))</f>
        <v>0</v>
      </c>
      <c r="J192" s="39">
        <f>'Degree-days'!$I$12*IF($E192=$E$5,(J$5),(J$6))</f>
        <v>0</v>
      </c>
      <c r="K192" s="39">
        <f>'Degree-days'!$I$12*IF($E192=$E$5,(K$5),(K$6))</f>
        <v>0</v>
      </c>
      <c r="L192" s="39">
        <f>'Degree-days'!$I$12*IF($E192=$E$5,(L$5),(L$6))</f>
        <v>0.19836484746205932</v>
      </c>
      <c r="M192" s="39">
        <f>'Degree-days'!$I$12*IF($E192=$E$5,(M$5),(M$6))</f>
        <v>0.19836484746205932</v>
      </c>
      <c r="N192" s="39">
        <f>'Degree-days'!$I$12*IF($E192=$E$5,(N$5),(N$6))</f>
        <v>0</v>
      </c>
      <c r="O192" s="39">
        <f>'Degree-days'!$I$12*IF($E192=$E$5,(O$5),(O$6))</f>
        <v>0</v>
      </c>
      <c r="P192" s="39">
        <f>'Degree-days'!$I$12*IF($E192=$E$5,(P$5),(P$6))</f>
        <v>0</v>
      </c>
      <c r="Q192" s="39">
        <f>'Degree-days'!$I$12*IF($E192=$E$5,(Q$5),(Q$6))</f>
        <v>0</v>
      </c>
      <c r="R192" s="39">
        <f>'Degree-days'!$I$12*IF($E192=$E$5,(R$5),(R$6))</f>
        <v>0</v>
      </c>
      <c r="S192" s="39">
        <f>'Degree-days'!$I$12*IF($E192=$E$5,(S$5),(S$6))</f>
        <v>0</v>
      </c>
      <c r="T192" s="39">
        <f>'Degree-days'!$I$12*IF($E192=$E$5,(T$5),(T$6))</f>
        <v>0</v>
      </c>
      <c r="U192" s="39">
        <f>'Degree-days'!$I$12*IF($E192=$E$5,(U$5),(U$6))</f>
        <v>0.19836484746205932</v>
      </c>
      <c r="V192" s="39">
        <f>'Degree-days'!$I$12*IF($E192=$E$5,(V$5),(V$6))</f>
        <v>0.19836484746205932</v>
      </c>
      <c r="W192" s="39">
        <f>'Degree-days'!$I$12*IF($E192=$E$5,(W$5),(W$6))</f>
        <v>0.19836484746205932</v>
      </c>
      <c r="X192" s="39">
        <f>'Degree-days'!$I$12*IF($E192=$E$5,(X$5),(X$6))</f>
        <v>0.19836484746205932</v>
      </c>
      <c r="Y192" s="39">
        <f>'Degree-days'!$I$12*IF($E192=$E$5,(Y$5),(Y$6))</f>
        <v>0.19836484746205932</v>
      </c>
      <c r="Z192" s="39">
        <f>'Degree-days'!$I$12*IF($E192=$E$5,(Z$5),(Z$6))</f>
        <v>0.19836484746205932</v>
      </c>
      <c r="AA192" s="39">
        <f>'Degree-days'!$I$12*IF($E192=$E$5,(AA$5),(AA$6))</f>
        <v>0.19836484746205932</v>
      </c>
      <c r="AB192" s="39">
        <f>'Degree-days'!$I$12*IF($E192=$E$5,(AB$5),(AB$6))</f>
        <v>0</v>
      </c>
      <c r="AC192" s="39">
        <f>'Degree-days'!$I$12*IF($E192=$E$5,(AC$5),(AC$6))</f>
        <v>0</v>
      </c>
      <c r="AD192" s="39">
        <f t="shared" si="8"/>
        <v>1.7852836271585342</v>
      </c>
      <c r="AE192" s="40"/>
    </row>
    <row r="193" spans="4:31" x14ac:dyDescent="0.2">
      <c r="D193" s="37">
        <v>45112</v>
      </c>
      <c r="E193" s="17" t="str">
        <f t="shared" si="6"/>
        <v>weekday</v>
      </c>
      <c r="F193" s="39">
        <f>'Degree-days'!$I$12*IF($E193=$E$5,(F$5),(F$6))</f>
        <v>0</v>
      </c>
      <c r="G193" s="39">
        <f>'Degree-days'!$I$12*IF($E193=$E$5,(G$5),(G$6))</f>
        <v>0</v>
      </c>
      <c r="H193" s="39">
        <f>'Degree-days'!$I$12*IF($E193=$E$5,(H$5),(H$6))</f>
        <v>0</v>
      </c>
      <c r="I193" s="39">
        <f>'Degree-days'!$I$12*IF($E193=$E$5,(I$5),(I$6))</f>
        <v>0</v>
      </c>
      <c r="J193" s="39">
        <f>'Degree-days'!$I$12*IF($E193=$E$5,(J$5),(J$6))</f>
        <v>0</v>
      </c>
      <c r="K193" s="39">
        <f>'Degree-days'!$I$12*IF($E193=$E$5,(K$5),(K$6))</f>
        <v>0</v>
      </c>
      <c r="L193" s="39">
        <f>'Degree-days'!$I$12*IF($E193=$E$5,(L$5),(L$6))</f>
        <v>0.19836484746205932</v>
      </c>
      <c r="M193" s="39">
        <f>'Degree-days'!$I$12*IF($E193=$E$5,(M$5),(M$6))</f>
        <v>0.19836484746205932</v>
      </c>
      <c r="N193" s="39">
        <f>'Degree-days'!$I$12*IF($E193=$E$5,(N$5),(N$6))</f>
        <v>0</v>
      </c>
      <c r="O193" s="39">
        <f>'Degree-days'!$I$12*IF($E193=$E$5,(O$5),(O$6))</f>
        <v>0</v>
      </c>
      <c r="P193" s="39">
        <f>'Degree-days'!$I$12*IF($E193=$E$5,(P$5),(P$6))</f>
        <v>0</v>
      </c>
      <c r="Q193" s="39">
        <f>'Degree-days'!$I$12*IF($E193=$E$5,(Q$5),(Q$6))</f>
        <v>0</v>
      </c>
      <c r="R193" s="39">
        <f>'Degree-days'!$I$12*IF($E193=$E$5,(R$5),(R$6))</f>
        <v>0</v>
      </c>
      <c r="S193" s="39">
        <f>'Degree-days'!$I$12*IF($E193=$E$5,(S$5),(S$6))</f>
        <v>0</v>
      </c>
      <c r="T193" s="39">
        <f>'Degree-days'!$I$12*IF($E193=$E$5,(T$5),(T$6))</f>
        <v>0</v>
      </c>
      <c r="U193" s="39">
        <f>'Degree-days'!$I$12*IF($E193=$E$5,(U$5),(U$6))</f>
        <v>0.19836484746205932</v>
      </c>
      <c r="V193" s="39">
        <f>'Degree-days'!$I$12*IF($E193=$E$5,(V$5),(V$6))</f>
        <v>0.19836484746205932</v>
      </c>
      <c r="W193" s="39">
        <f>'Degree-days'!$I$12*IF($E193=$E$5,(W$5),(W$6))</f>
        <v>0.19836484746205932</v>
      </c>
      <c r="X193" s="39">
        <f>'Degree-days'!$I$12*IF($E193=$E$5,(X$5),(X$6))</f>
        <v>0.19836484746205932</v>
      </c>
      <c r="Y193" s="39">
        <f>'Degree-days'!$I$12*IF($E193=$E$5,(Y$5),(Y$6))</f>
        <v>0.19836484746205932</v>
      </c>
      <c r="Z193" s="39">
        <f>'Degree-days'!$I$12*IF($E193=$E$5,(Z$5),(Z$6))</f>
        <v>0.19836484746205932</v>
      </c>
      <c r="AA193" s="39">
        <f>'Degree-days'!$I$12*IF($E193=$E$5,(AA$5),(AA$6))</f>
        <v>0.19836484746205932</v>
      </c>
      <c r="AB193" s="39">
        <f>'Degree-days'!$I$12*IF($E193=$E$5,(AB$5),(AB$6))</f>
        <v>0</v>
      </c>
      <c r="AC193" s="39">
        <f>'Degree-days'!$I$12*IF($E193=$E$5,(AC$5),(AC$6))</f>
        <v>0</v>
      </c>
      <c r="AD193" s="39">
        <f t="shared" si="8"/>
        <v>1.7852836271585342</v>
      </c>
      <c r="AE193" s="40"/>
    </row>
    <row r="194" spans="4:31" x14ac:dyDescent="0.2">
      <c r="D194" s="37">
        <v>45113</v>
      </c>
      <c r="E194" s="17" t="str">
        <f t="shared" si="6"/>
        <v>weekday</v>
      </c>
      <c r="F194" s="39">
        <f>'Degree-days'!$I$12*IF($E194=$E$5,(F$5),(F$6))</f>
        <v>0</v>
      </c>
      <c r="G194" s="39">
        <f>'Degree-days'!$I$12*IF($E194=$E$5,(G$5),(G$6))</f>
        <v>0</v>
      </c>
      <c r="H194" s="39">
        <f>'Degree-days'!$I$12*IF($E194=$E$5,(H$5),(H$6))</f>
        <v>0</v>
      </c>
      <c r="I194" s="39">
        <f>'Degree-days'!$I$12*IF($E194=$E$5,(I$5),(I$6))</f>
        <v>0</v>
      </c>
      <c r="J194" s="39">
        <f>'Degree-days'!$I$12*IF($E194=$E$5,(J$5),(J$6))</f>
        <v>0</v>
      </c>
      <c r="K194" s="39">
        <f>'Degree-days'!$I$12*IF($E194=$E$5,(K$5),(K$6))</f>
        <v>0</v>
      </c>
      <c r="L194" s="39">
        <f>'Degree-days'!$I$12*IF($E194=$E$5,(L$5),(L$6))</f>
        <v>0.19836484746205932</v>
      </c>
      <c r="M194" s="39">
        <f>'Degree-days'!$I$12*IF($E194=$E$5,(M$5),(M$6))</f>
        <v>0.19836484746205932</v>
      </c>
      <c r="N194" s="39">
        <f>'Degree-days'!$I$12*IF($E194=$E$5,(N$5),(N$6))</f>
        <v>0</v>
      </c>
      <c r="O194" s="39">
        <f>'Degree-days'!$I$12*IF($E194=$E$5,(O$5),(O$6))</f>
        <v>0</v>
      </c>
      <c r="P194" s="39">
        <f>'Degree-days'!$I$12*IF($E194=$E$5,(P$5),(P$6))</f>
        <v>0</v>
      </c>
      <c r="Q194" s="39">
        <f>'Degree-days'!$I$12*IF($E194=$E$5,(Q$5),(Q$6))</f>
        <v>0</v>
      </c>
      <c r="R194" s="39">
        <f>'Degree-days'!$I$12*IF($E194=$E$5,(R$5),(R$6))</f>
        <v>0</v>
      </c>
      <c r="S194" s="39">
        <f>'Degree-days'!$I$12*IF($E194=$E$5,(S$5),(S$6))</f>
        <v>0</v>
      </c>
      <c r="T194" s="39">
        <f>'Degree-days'!$I$12*IF($E194=$E$5,(T$5),(T$6))</f>
        <v>0</v>
      </c>
      <c r="U194" s="39">
        <f>'Degree-days'!$I$12*IF($E194=$E$5,(U$5),(U$6))</f>
        <v>0.19836484746205932</v>
      </c>
      <c r="V194" s="39">
        <f>'Degree-days'!$I$12*IF($E194=$E$5,(V$5),(V$6))</f>
        <v>0.19836484746205932</v>
      </c>
      <c r="W194" s="39">
        <f>'Degree-days'!$I$12*IF($E194=$E$5,(W$5),(W$6))</f>
        <v>0.19836484746205932</v>
      </c>
      <c r="X194" s="39">
        <f>'Degree-days'!$I$12*IF($E194=$E$5,(X$5),(X$6))</f>
        <v>0.19836484746205932</v>
      </c>
      <c r="Y194" s="39">
        <f>'Degree-days'!$I$12*IF($E194=$E$5,(Y$5),(Y$6))</f>
        <v>0.19836484746205932</v>
      </c>
      <c r="Z194" s="39">
        <f>'Degree-days'!$I$12*IF($E194=$E$5,(Z$5),(Z$6))</f>
        <v>0.19836484746205932</v>
      </c>
      <c r="AA194" s="39">
        <f>'Degree-days'!$I$12*IF($E194=$E$5,(AA$5),(AA$6))</f>
        <v>0.19836484746205932</v>
      </c>
      <c r="AB194" s="39">
        <f>'Degree-days'!$I$12*IF($E194=$E$5,(AB$5),(AB$6))</f>
        <v>0</v>
      </c>
      <c r="AC194" s="39">
        <f>'Degree-days'!$I$12*IF($E194=$E$5,(AC$5),(AC$6))</f>
        <v>0</v>
      </c>
      <c r="AD194" s="39">
        <f t="shared" si="8"/>
        <v>1.7852836271585342</v>
      </c>
      <c r="AE194" s="40"/>
    </row>
    <row r="195" spans="4:31" x14ac:dyDescent="0.2">
      <c r="D195" s="37">
        <v>45114</v>
      </c>
      <c r="E195" s="17" t="str">
        <f t="shared" si="6"/>
        <v>weekday</v>
      </c>
      <c r="F195" s="39">
        <f>'Degree-days'!$I$12*IF($E195=$E$5,(F$5),(F$6))</f>
        <v>0</v>
      </c>
      <c r="G195" s="39">
        <f>'Degree-days'!$I$12*IF($E195=$E$5,(G$5),(G$6))</f>
        <v>0</v>
      </c>
      <c r="H195" s="39">
        <f>'Degree-days'!$I$12*IF($E195=$E$5,(H$5),(H$6))</f>
        <v>0</v>
      </c>
      <c r="I195" s="39">
        <f>'Degree-days'!$I$12*IF($E195=$E$5,(I$5),(I$6))</f>
        <v>0</v>
      </c>
      <c r="J195" s="39">
        <f>'Degree-days'!$I$12*IF($E195=$E$5,(J$5),(J$6))</f>
        <v>0</v>
      </c>
      <c r="K195" s="39">
        <f>'Degree-days'!$I$12*IF($E195=$E$5,(K$5),(K$6))</f>
        <v>0</v>
      </c>
      <c r="L195" s="39">
        <f>'Degree-days'!$I$12*IF($E195=$E$5,(L$5),(L$6))</f>
        <v>0.19836484746205932</v>
      </c>
      <c r="M195" s="39">
        <f>'Degree-days'!$I$12*IF($E195=$E$5,(M$5),(M$6))</f>
        <v>0.19836484746205932</v>
      </c>
      <c r="N195" s="39">
        <f>'Degree-days'!$I$12*IF($E195=$E$5,(N$5),(N$6))</f>
        <v>0</v>
      </c>
      <c r="O195" s="39">
        <f>'Degree-days'!$I$12*IF($E195=$E$5,(O$5),(O$6))</f>
        <v>0</v>
      </c>
      <c r="P195" s="39">
        <f>'Degree-days'!$I$12*IF($E195=$E$5,(P$5),(P$6))</f>
        <v>0</v>
      </c>
      <c r="Q195" s="39">
        <f>'Degree-days'!$I$12*IF($E195=$E$5,(Q$5),(Q$6))</f>
        <v>0</v>
      </c>
      <c r="R195" s="39">
        <f>'Degree-days'!$I$12*IF($E195=$E$5,(R$5),(R$6))</f>
        <v>0</v>
      </c>
      <c r="S195" s="39">
        <f>'Degree-days'!$I$12*IF($E195=$E$5,(S$5),(S$6))</f>
        <v>0</v>
      </c>
      <c r="T195" s="39">
        <f>'Degree-days'!$I$12*IF($E195=$E$5,(T$5),(T$6))</f>
        <v>0</v>
      </c>
      <c r="U195" s="39">
        <f>'Degree-days'!$I$12*IF($E195=$E$5,(U$5),(U$6))</f>
        <v>0.19836484746205932</v>
      </c>
      <c r="V195" s="39">
        <f>'Degree-days'!$I$12*IF($E195=$E$5,(V$5),(V$6))</f>
        <v>0.19836484746205932</v>
      </c>
      <c r="W195" s="39">
        <f>'Degree-days'!$I$12*IF($E195=$E$5,(W$5),(W$6))</f>
        <v>0.19836484746205932</v>
      </c>
      <c r="X195" s="39">
        <f>'Degree-days'!$I$12*IF($E195=$E$5,(X$5),(X$6))</f>
        <v>0.19836484746205932</v>
      </c>
      <c r="Y195" s="39">
        <f>'Degree-days'!$I$12*IF($E195=$E$5,(Y$5),(Y$6))</f>
        <v>0.19836484746205932</v>
      </c>
      <c r="Z195" s="39">
        <f>'Degree-days'!$I$12*IF($E195=$E$5,(Z$5),(Z$6))</f>
        <v>0.19836484746205932</v>
      </c>
      <c r="AA195" s="39">
        <f>'Degree-days'!$I$12*IF($E195=$E$5,(AA$5),(AA$6))</f>
        <v>0.19836484746205932</v>
      </c>
      <c r="AB195" s="39">
        <f>'Degree-days'!$I$12*IF($E195=$E$5,(AB$5),(AB$6))</f>
        <v>0</v>
      </c>
      <c r="AC195" s="39">
        <f>'Degree-days'!$I$12*IF($E195=$E$5,(AC$5),(AC$6))</f>
        <v>0</v>
      </c>
      <c r="AD195" s="39">
        <f t="shared" si="8"/>
        <v>1.7852836271585342</v>
      </c>
      <c r="AE195" s="40"/>
    </row>
    <row r="196" spans="4:31" x14ac:dyDescent="0.2">
      <c r="D196" s="37">
        <v>45115</v>
      </c>
      <c r="E196" s="17" t="str">
        <f t="shared" si="6"/>
        <v>weekend</v>
      </c>
      <c r="F196" s="39">
        <f>'Degree-days'!$I$12*IF($E196=$E$5,(F$5),(F$6))</f>
        <v>0</v>
      </c>
      <c r="G196" s="39">
        <f>'Degree-days'!$I$12*IF($E196=$E$5,(G$5),(G$6))</f>
        <v>0</v>
      </c>
      <c r="H196" s="39">
        <f>'Degree-days'!$I$12*IF($E196=$E$5,(H$5),(H$6))</f>
        <v>0</v>
      </c>
      <c r="I196" s="39">
        <f>'Degree-days'!$I$12*IF($E196=$E$5,(I$5),(I$6))</f>
        <v>0</v>
      </c>
      <c r="J196" s="39">
        <f>'Degree-days'!$I$12*IF($E196=$E$5,(J$5),(J$6))</f>
        <v>0</v>
      </c>
      <c r="K196" s="39">
        <f>'Degree-days'!$I$12*IF($E196=$E$5,(K$5),(K$6))</f>
        <v>0</v>
      </c>
      <c r="L196" s="39">
        <f>'Degree-days'!$I$12*IF($E196=$E$5,(L$5),(L$6))</f>
        <v>0.19836484746205932</v>
      </c>
      <c r="M196" s="39">
        <f>'Degree-days'!$I$12*IF($E196=$E$5,(M$5),(M$6))</f>
        <v>0.19836484746205932</v>
      </c>
      <c r="N196" s="39">
        <f>'Degree-days'!$I$12*IF($E196=$E$5,(N$5),(N$6))</f>
        <v>0.19836484746205932</v>
      </c>
      <c r="O196" s="39">
        <f>'Degree-days'!$I$12*IF($E196=$E$5,(O$5),(O$6))</f>
        <v>0.19836484746205932</v>
      </c>
      <c r="P196" s="39">
        <f>'Degree-days'!$I$12*IF($E196=$E$5,(P$5),(P$6))</f>
        <v>0.19836484746205932</v>
      </c>
      <c r="Q196" s="39">
        <f>'Degree-days'!$I$12*IF($E196=$E$5,(Q$5),(Q$6))</f>
        <v>0.19836484746205932</v>
      </c>
      <c r="R196" s="39">
        <f>'Degree-days'!$I$12*IF($E196=$E$5,(R$5),(R$6))</f>
        <v>0.19836484746205932</v>
      </c>
      <c r="S196" s="39">
        <f>'Degree-days'!$I$12*IF($E196=$E$5,(S$5),(S$6))</f>
        <v>0.19836484746205932</v>
      </c>
      <c r="T196" s="39">
        <f>'Degree-days'!$I$12*IF($E196=$E$5,(T$5),(T$6))</f>
        <v>0.19836484746205932</v>
      </c>
      <c r="U196" s="39">
        <f>'Degree-days'!$I$12*IF($E196=$E$5,(U$5),(U$6))</f>
        <v>0.19836484746205932</v>
      </c>
      <c r="V196" s="39">
        <f>'Degree-days'!$I$12*IF($E196=$E$5,(V$5),(V$6))</f>
        <v>0.19836484746205932</v>
      </c>
      <c r="W196" s="39">
        <f>'Degree-days'!$I$12*IF($E196=$E$5,(W$5),(W$6))</f>
        <v>0.19836484746205932</v>
      </c>
      <c r="X196" s="39">
        <f>'Degree-days'!$I$12*IF($E196=$E$5,(X$5),(X$6))</f>
        <v>0.19836484746205932</v>
      </c>
      <c r="Y196" s="39">
        <f>'Degree-days'!$I$12*IF($E196=$E$5,(Y$5),(Y$6))</f>
        <v>0.19836484746205932</v>
      </c>
      <c r="Z196" s="39">
        <f>'Degree-days'!$I$12*IF($E196=$E$5,(Z$5),(Z$6))</f>
        <v>0.19836484746205932</v>
      </c>
      <c r="AA196" s="39">
        <f>'Degree-days'!$I$12*IF($E196=$E$5,(AA$5),(AA$6))</f>
        <v>0.19836484746205932</v>
      </c>
      <c r="AB196" s="39">
        <f>'Degree-days'!$I$12*IF($E196=$E$5,(AB$5),(AB$6))</f>
        <v>0</v>
      </c>
      <c r="AC196" s="39">
        <f>'Degree-days'!$I$12*IF($E196=$E$5,(AC$5),(AC$6))</f>
        <v>0</v>
      </c>
      <c r="AD196" s="39">
        <f t="shared" si="8"/>
        <v>3.17383755939295</v>
      </c>
      <c r="AE196" s="40"/>
    </row>
    <row r="197" spans="4:31" x14ac:dyDescent="0.2">
      <c r="D197" s="37">
        <v>45116</v>
      </c>
      <c r="E197" s="17" t="str">
        <f t="shared" si="6"/>
        <v>weekend</v>
      </c>
      <c r="F197" s="39">
        <f>'Degree-days'!$I$12*IF($E197=$E$5,(F$5),(F$6))</f>
        <v>0</v>
      </c>
      <c r="G197" s="39">
        <f>'Degree-days'!$I$12*IF($E197=$E$5,(G$5),(G$6))</f>
        <v>0</v>
      </c>
      <c r="H197" s="39">
        <f>'Degree-days'!$I$12*IF($E197=$E$5,(H$5),(H$6))</f>
        <v>0</v>
      </c>
      <c r="I197" s="39">
        <f>'Degree-days'!$I$12*IF($E197=$E$5,(I$5),(I$6))</f>
        <v>0</v>
      </c>
      <c r="J197" s="39">
        <f>'Degree-days'!$I$12*IF($E197=$E$5,(J$5),(J$6))</f>
        <v>0</v>
      </c>
      <c r="K197" s="39">
        <f>'Degree-days'!$I$12*IF($E197=$E$5,(K$5),(K$6))</f>
        <v>0</v>
      </c>
      <c r="L197" s="39">
        <f>'Degree-days'!$I$12*IF($E197=$E$5,(L$5),(L$6))</f>
        <v>0.19836484746205932</v>
      </c>
      <c r="M197" s="39">
        <f>'Degree-days'!$I$12*IF($E197=$E$5,(M$5),(M$6))</f>
        <v>0.19836484746205932</v>
      </c>
      <c r="N197" s="39">
        <f>'Degree-days'!$I$12*IF($E197=$E$5,(N$5),(N$6))</f>
        <v>0.19836484746205932</v>
      </c>
      <c r="O197" s="39">
        <f>'Degree-days'!$I$12*IF($E197=$E$5,(O$5),(O$6))</f>
        <v>0.19836484746205932</v>
      </c>
      <c r="P197" s="39">
        <f>'Degree-days'!$I$12*IF($E197=$E$5,(P$5),(P$6))</f>
        <v>0.19836484746205932</v>
      </c>
      <c r="Q197" s="39">
        <f>'Degree-days'!$I$12*IF($E197=$E$5,(Q$5),(Q$6))</f>
        <v>0.19836484746205932</v>
      </c>
      <c r="R197" s="39">
        <f>'Degree-days'!$I$12*IF($E197=$E$5,(R$5),(R$6))</f>
        <v>0.19836484746205932</v>
      </c>
      <c r="S197" s="39">
        <f>'Degree-days'!$I$12*IF($E197=$E$5,(S$5),(S$6))</f>
        <v>0.19836484746205932</v>
      </c>
      <c r="T197" s="39">
        <f>'Degree-days'!$I$12*IF($E197=$E$5,(T$5),(T$6))</f>
        <v>0.19836484746205932</v>
      </c>
      <c r="U197" s="39">
        <f>'Degree-days'!$I$12*IF($E197=$E$5,(U$5),(U$6))</f>
        <v>0.19836484746205932</v>
      </c>
      <c r="V197" s="39">
        <f>'Degree-days'!$I$12*IF($E197=$E$5,(V$5),(V$6))</f>
        <v>0.19836484746205932</v>
      </c>
      <c r="W197" s="39">
        <f>'Degree-days'!$I$12*IF($E197=$E$5,(W$5),(W$6))</f>
        <v>0.19836484746205932</v>
      </c>
      <c r="X197" s="39">
        <f>'Degree-days'!$I$12*IF($E197=$E$5,(X$5),(X$6))</f>
        <v>0.19836484746205932</v>
      </c>
      <c r="Y197" s="39">
        <f>'Degree-days'!$I$12*IF($E197=$E$5,(Y$5),(Y$6))</f>
        <v>0.19836484746205932</v>
      </c>
      <c r="Z197" s="39">
        <f>'Degree-days'!$I$12*IF($E197=$E$5,(Z$5),(Z$6))</f>
        <v>0.19836484746205932</v>
      </c>
      <c r="AA197" s="39">
        <f>'Degree-days'!$I$12*IF($E197=$E$5,(AA$5),(AA$6))</f>
        <v>0.19836484746205932</v>
      </c>
      <c r="AB197" s="39">
        <f>'Degree-days'!$I$12*IF($E197=$E$5,(AB$5),(AB$6))</f>
        <v>0</v>
      </c>
      <c r="AC197" s="39">
        <f>'Degree-days'!$I$12*IF($E197=$E$5,(AC$5),(AC$6))</f>
        <v>0</v>
      </c>
      <c r="AD197" s="39">
        <f t="shared" si="8"/>
        <v>3.17383755939295</v>
      </c>
      <c r="AE197" s="40"/>
    </row>
    <row r="198" spans="4:31" x14ac:dyDescent="0.2">
      <c r="D198" s="37">
        <v>45117</v>
      </c>
      <c r="E198" s="17" t="str">
        <f t="shared" si="6"/>
        <v>weekday</v>
      </c>
      <c r="F198" s="39">
        <f>'Degree-days'!$I$12*IF($E198=$E$5,(F$5),(F$6))</f>
        <v>0</v>
      </c>
      <c r="G198" s="39">
        <f>'Degree-days'!$I$12*IF($E198=$E$5,(G$5),(G$6))</f>
        <v>0</v>
      </c>
      <c r="H198" s="39">
        <f>'Degree-days'!$I$12*IF($E198=$E$5,(H$5),(H$6))</f>
        <v>0</v>
      </c>
      <c r="I198" s="39">
        <f>'Degree-days'!$I$12*IF($E198=$E$5,(I$5),(I$6))</f>
        <v>0</v>
      </c>
      <c r="J198" s="39">
        <f>'Degree-days'!$I$12*IF($E198=$E$5,(J$5),(J$6))</f>
        <v>0</v>
      </c>
      <c r="K198" s="39">
        <f>'Degree-days'!$I$12*IF($E198=$E$5,(K$5),(K$6))</f>
        <v>0</v>
      </c>
      <c r="L198" s="39">
        <f>'Degree-days'!$I$12*IF($E198=$E$5,(L$5),(L$6))</f>
        <v>0.19836484746205932</v>
      </c>
      <c r="M198" s="39">
        <f>'Degree-days'!$I$12*IF($E198=$E$5,(M$5),(M$6))</f>
        <v>0.19836484746205932</v>
      </c>
      <c r="N198" s="39">
        <f>'Degree-days'!$I$12*IF($E198=$E$5,(N$5),(N$6))</f>
        <v>0</v>
      </c>
      <c r="O198" s="39">
        <f>'Degree-days'!$I$12*IF($E198=$E$5,(O$5),(O$6))</f>
        <v>0</v>
      </c>
      <c r="P198" s="39">
        <f>'Degree-days'!$I$12*IF($E198=$E$5,(P$5),(P$6))</f>
        <v>0</v>
      </c>
      <c r="Q198" s="39">
        <f>'Degree-days'!$I$12*IF($E198=$E$5,(Q$5),(Q$6))</f>
        <v>0</v>
      </c>
      <c r="R198" s="39">
        <f>'Degree-days'!$I$12*IF($E198=$E$5,(R$5),(R$6))</f>
        <v>0</v>
      </c>
      <c r="S198" s="39">
        <f>'Degree-days'!$I$12*IF($E198=$E$5,(S$5),(S$6))</f>
        <v>0</v>
      </c>
      <c r="T198" s="39">
        <f>'Degree-days'!$I$12*IF($E198=$E$5,(T$5),(T$6))</f>
        <v>0</v>
      </c>
      <c r="U198" s="39">
        <f>'Degree-days'!$I$12*IF($E198=$E$5,(U$5),(U$6))</f>
        <v>0.19836484746205932</v>
      </c>
      <c r="V198" s="39">
        <f>'Degree-days'!$I$12*IF($E198=$E$5,(V$5),(V$6))</f>
        <v>0.19836484746205932</v>
      </c>
      <c r="W198" s="39">
        <f>'Degree-days'!$I$12*IF($E198=$E$5,(W$5),(W$6))</f>
        <v>0.19836484746205932</v>
      </c>
      <c r="X198" s="39">
        <f>'Degree-days'!$I$12*IF($E198=$E$5,(X$5),(X$6))</f>
        <v>0.19836484746205932</v>
      </c>
      <c r="Y198" s="39">
        <f>'Degree-days'!$I$12*IF($E198=$E$5,(Y$5),(Y$6))</f>
        <v>0.19836484746205932</v>
      </c>
      <c r="Z198" s="39">
        <f>'Degree-days'!$I$12*IF($E198=$E$5,(Z$5),(Z$6))</f>
        <v>0.19836484746205932</v>
      </c>
      <c r="AA198" s="39">
        <f>'Degree-days'!$I$12*IF($E198=$E$5,(AA$5),(AA$6))</f>
        <v>0.19836484746205932</v>
      </c>
      <c r="AB198" s="39">
        <f>'Degree-days'!$I$12*IF($E198=$E$5,(AB$5),(AB$6))</f>
        <v>0</v>
      </c>
      <c r="AC198" s="39">
        <f>'Degree-days'!$I$12*IF($E198=$E$5,(AC$5),(AC$6))</f>
        <v>0</v>
      </c>
      <c r="AD198" s="39">
        <f t="shared" si="8"/>
        <v>1.7852836271585342</v>
      </c>
      <c r="AE198" s="40"/>
    </row>
    <row r="199" spans="4:31" x14ac:dyDescent="0.2">
      <c r="D199" s="37">
        <v>45118</v>
      </c>
      <c r="E199" s="17" t="str">
        <f t="shared" si="6"/>
        <v>weekday</v>
      </c>
      <c r="F199" s="39">
        <f>'Degree-days'!$I$12*IF($E199=$E$5,(F$5),(F$6))</f>
        <v>0</v>
      </c>
      <c r="G199" s="39">
        <f>'Degree-days'!$I$12*IF($E199=$E$5,(G$5),(G$6))</f>
        <v>0</v>
      </c>
      <c r="H199" s="39">
        <f>'Degree-days'!$I$12*IF($E199=$E$5,(H$5),(H$6))</f>
        <v>0</v>
      </c>
      <c r="I199" s="39">
        <f>'Degree-days'!$I$12*IF($E199=$E$5,(I$5),(I$6))</f>
        <v>0</v>
      </c>
      <c r="J199" s="39">
        <f>'Degree-days'!$I$12*IF($E199=$E$5,(J$5),(J$6))</f>
        <v>0</v>
      </c>
      <c r="K199" s="39">
        <f>'Degree-days'!$I$12*IF($E199=$E$5,(K$5),(K$6))</f>
        <v>0</v>
      </c>
      <c r="L199" s="39">
        <f>'Degree-days'!$I$12*IF($E199=$E$5,(L$5),(L$6))</f>
        <v>0.19836484746205932</v>
      </c>
      <c r="M199" s="39">
        <f>'Degree-days'!$I$12*IF($E199=$E$5,(M$5),(M$6))</f>
        <v>0.19836484746205932</v>
      </c>
      <c r="N199" s="39">
        <f>'Degree-days'!$I$12*IF($E199=$E$5,(N$5),(N$6))</f>
        <v>0</v>
      </c>
      <c r="O199" s="39">
        <f>'Degree-days'!$I$12*IF($E199=$E$5,(O$5),(O$6))</f>
        <v>0</v>
      </c>
      <c r="P199" s="39">
        <f>'Degree-days'!$I$12*IF($E199=$E$5,(P$5),(P$6))</f>
        <v>0</v>
      </c>
      <c r="Q199" s="39">
        <f>'Degree-days'!$I$12*IF($E199=$E$5,(Q$5),(Q$6))</f>
        <v>0</v>
      </c>
      <c r="R199" s="39">
        <f>'Degree-days'!$I$12*IF($E199=$E$5,(R$5),(R$6))</f>
        <v>0</v>
      </c>
      <c r="S199" s="39">
        <f>'Degree-days'!$I$12*IF($E199=$E$5,(S$5),(S$6))</f>
        <v>0</v>
      </c>
      <c r="T199" s="39">
        <f>'Degree-days'!$I$12*IF($E199=$E$5,(T$5),(T$6))</f>
        <v>0</v>
      </c>
      <c r="U199" s="39">
        <f>'Degree-days'!$I$12*IF($E199=$E$5,(U$5),(U$6))</f>
        <v>0.19836484746205932</v>
      </c>
      <c r="V199" s="39">
        <f>'Degree-days'!$I$12*IF($E199=$E$5,(V$5),(V$6))</f>
        <v>0.19836484746205932</v>
      </c>
      <c r="W199" s="39">
        <f>'Degree-days'!$I$12*IF($E199=$E$5,(W$5),(W$6))</f>
        <v>0.19836484746205932</v>
      </c>
      <c r="X199" s="39">
        <f>'Degree-days'!$I$12*IF($E199=$E$5,(X$5),(X$6))</f>
        <v>0.19836484746205932</v>
      </c>
      <c r="Y199" s="39">
        <f>'Degree-days'!$I$12*IF($E199=$E$5,(Y$5),(Y$6))</f>
        <v>0.19836484746205932</v>
      </c>
      <c r="Z199" s="39">
        <f>'Degree-days'!$I$12*IF($E199=$E$5,(Z$5),(Z$6))</f>
        <v>0.19836484746205932</v>
      </c>
      <c r="AA199" s="39">
        <f>'Degree-days'!$I$12*IF($E199=$E$5,(AA$5),(AA$6))</f>
        <v>0.19836484746205932</v>
      </c>
      <c r="AB199" s="39">
        <f>'Degree-days'!$I$12*IF($E199=$E$5,(AB$5),(AB$6))</f>
        <v>0</v>
      </c>
      <c r="AC199" s="39">
        <f>'Degree-days'!$I$12*IF($E199=$E$5,(AC$5),(AC$6))</f>
        <v>0</v>
      </c>
      <c r="AD199" s="39">
        <f t="shared" si="8"/>
        <v>1.7852836271585342</v>
      </c>
      <c r="AE199" s="40"/>
    </row>
    <row r="200" spans="4:31" x14ac:dyDescent="0.2">
      <c r="D200" s="37">
        <v>45119</v>
      </c>
      <c r="E200" s="17" t="str">
        <f t="shared" si="6"/>
        <v>weekday</v>
      </c>
      <c r="F200" s="39">
        <f>'Degree-days'!$I$12*IF($E200=$E$5,(F$5),(F$6))</f>
        <v>0</v>
      </c>
      <c r="G200" s="39">
        <f>'Degree-days'!$I$12*IF($E200=$E$5,(G$5),(G$6))</f>
        <v>0</v>
      </c>
      <c r="H200" s="39">
        <f>'Degree-days'!$I$12*IF($E200=$E$5,(H$5),(H$6))</f>
        <v>0</v>
      </c>
      <c r="I200" s="39">
        <f>'Degree-days'!$I$12*IF($E200=$E$5,(I$5),(I$6))</f>
        <v>0</v>
      </c>
      <c r="J200" s="39">
        <f>'Degree-days'!$I$12*IF($E200=$E$5,(J$5),(J$6))</f>
        <v>0</v>
      </c>
      <c r="K200" s="39">
        <f>'Degree-days'!$I$12*IF($E200=$E$5,(K$5),(K$6))</f>
        <v>0</v>
      </c>
      <c r="L200" s="39">
        <f>'Degree-days'!$I$12*IF($E200=$E$5,(L$5),(L$6))</f>
        <v>0.19836484746205932</v>
      </c>
      <c r="M200" s="39">
        <f>'Degree-days'!$I$12*IF($E200=$E$5,(M$5),(M$6))</f>
        <v>0.19836484746205932</v>
      </c>
      <c r="N200" s="39">
        <f>'Degree-days'!$I$12*IF($E200=$E$5,(N$5),(N$6))</f>
        <v>0</v>
      </c>
      <c r="O200" s="39">
        <f>'Degree-days'!$I$12*IF($E200=$E$5,(O$5),(O$6))</f>
        <v>0</v>
      </c>
      <c r="P200" s="39">
        <f>'Degree-days'!$I$12*IF($E200=$E$5,(P$5),(P$6))</f>
        <v>0</v>
      </c>
      <c r="Q200" s="39">
        <f>'Degree-days'!$I$12*IF($E200=$E$5,(Q$5),(Q$6))</f>
        <v>0</v>
      </c>
      <c r="R200" s="39">
        <f>'Degree-days'!$I$12*IF($E200=$E$5,(R$5),(R$6))</f>
        <v>0</v>
      </c>
      <c r="S200" s="39">
        <f>'Degree-days'!$I$12*IF($E200=$E$5,(S$5),(S$6))</f>
        <v>0</v>
      </c>
      <c r="T200" s="39">
        <f>'Degree-days'!$I$12*IF($E200=$E$5,(T$5),(T$6))</f>
        <v>0</v>
      </c>
      <c r="U200" s="39">
        <f>'Degree-days'!$I$12*IF($E200=$E$5,(U$5),(U$6))</f>
        <v>0.19836484746205932</v>
      </c>
      <c r="V200" s="39">
        <f>'Degree-days'!$I$12*IF($E200=$E$5,(V$5),(V$6))</f>
        <v>0.19836484746205932</v>
      </c>
      <c r="W200" s="39">
        <f>'Degree-days'!$I$12*IF($E200=$E$5,(W$5),(W$6))</f>
        <v>0.19836484746205932</v>
      </c>
      <c r="X200" s="39">
        <f>'Degree-days'!$I$12*IF($E200=$E$5,(X$5),(X$6))</f>
        <v>0.19836484746205932</v>
      </c>
      <c r="Y200" s="39">
        <f>'Degree-days'!$I$12*IF($E200=$E$5,(Y$5),(Y$6))</f>
        <v>0.19836484746205932</v>
      </c>
      <c r="Z200" s="39">
        <f>'Degree-days'!$I$12*IF($E200=$E$5,(Z$5),(Z$6))</f>
        <v>0.19836484746205932</v>
      </c>
      <c r="AA200" s="39">
        <f>'Degree-days'!$I$12*IF($E200=$E$5,(AA$5),(AA$6))</f>
        <v>0.19836484746205932</v>
      </c>
      <c r="AB200" s="39">
        <f>'Degree-days'!$I$12*IF($E200=$E$5,(AB$5),(AB$6))</f>
        <v>0</v>
      </c>
      <c r="AC200" s="39">
        <f>'Degree-days'!$I$12*IF($E200=$E$5,(AC$5),(AC$6))</f>
        <v>0</v>
      </c>
      <c r="AD200" s="39">
        <f t="shared" si="8"/>
        <v>1.7852836271585342</v>
      </c>
      <c r="AE200" s="40"/>
    </row>
    <row r="201" spans="4:31" x14ac:dyDescent="0.2">
      <c r="D201" s="37">
        <v>45120</v>
      </c>
      <c r="E201" s="17" t="str">
        <f t="shared" ref="E201:E264" si="9">IF(WEEKDAY(D201, 2)&lt;6, "weekday", "weekend")</f>
        <v>weekday</v>
      </c>
      <c r="F201" s="39">
        <f>'Degree-days'!$I$12*IF($E201=$E$5,(F$5),(F$6))</f>
        <v>0</v>
      </c>
      <c r="G201" s="39">
        <f>'Degree-days'!$I$12*IF($E201=$E$5,(G$5),(G$6))</f>
        <v>0</v>
      </c>
      <c r="H201" s="39">
        <f>'Degree-days'!$I$12*IF($E201=$E$5,(H$5),(H$6))</f>
        <v>0</v>
      </c>
      <c r="I201" s="39">
        <f>'Degree-days'!$I$12*IF($E201=$E$5,(I$5),(I$6))</f>
        <v>0</v>
      </c>
      <c r="J201" s="39">
        <f>'Degree-days'!$I$12*IF($E201=$E$5,(J$5),(J$6))</f>
        <v>0</v>
      </c>
      <c r="K201" s="39">
        <f>'Degree-days'!$I$12*IF($E201=$E$5,(K$5),(K$6))</f>
        <v>0</v>
      </c>
      <c r="L201" s="39">
        <f>'Degree-days'!$I$12*IF($E201=$E$5,(L$5),(L$6))</f>
        <v>0.19836484746205932</v>
      </c>
      <c r="M201" s="39">
        <f>'Degree-days'!$I$12*IF($E201=$E$5,(M$5),(M$6))</f>
        <v>0.19836484746205932</v>
      </c>
      <c r="N201" s="39">
        <f>'Degree-days'!$I$12*IF($E201=$E$5,(N$5),(N$6))</f>
        <v>0</v>
      </c>
      <c r="O201" s="39">
        <f>'Degree-days'!$I$12*IF($E201=$E$5,(O$5),(O$6))</f>
        <v>0</v>
      </c>
      <c r="P201" s="39">
        <f>'Degree-days'!$I$12*IF($E201=$E$5,(P$5),(P$6))</f>
        <v>0</v>
      </c>
      <c r="Q201" s="39">
        <f>'Degree-days'!$I$12*IF($E201=$E$5,(Q$5),(Q$6))</f>
        <v>0</v>
      </c>
      <c r="R201" s="39">
        <f>'Degree-days'!$I$12*IF($E201=$E$5,(R$5),(R$6))</f>
        <v>0</v>
      </c>
      <c r="S201" s="39">
        <f>'Degree-days'!$I$12*IF($E201=$E$5,(S$5),(S$6))</f>
        <v>0</v>
      </c>
      <c r="T201" s="39">
        <f>'Degree-days'!$I$12*IF($E201=$E$5,(T$5),(T$6))</f>
        <v>0</v>
      </c>
      <c r="U201" s="39">
        <f>'Degree-days'!$I$12*IF($E201=$E$5,(U$5),(U$6))</f>
        <v>0.19836484746205932</v>
      </c>
      <c r="V201" s="39">
        <f>'Degree-days'!$I$12*IF($E201=$E$5,(V$5),(V$6))</f>
        <v>0.19836484746205932</v>
      </c>
      <c r="W201" s="39">
        <f>'Degree-days'!$I$12*IF($E201=$E$5,(W$5),(W$6))</f>
        <v>0.19836484746205932</v>
      </c>
      <c r="X201" s="39">
        <f>'Degree-days'!$I$12*IF($E201=$E$5,(X$5),(X$6))</f>
        <v>0.19836484746205932</v>
      </c>
      <c r="Y201" s="39">
        <f>'Degree-days'!$I$12*IF($E201=$E$5,(Y$5),(Y$6))</f>
        <v>0.19836484746205932</v>
      </c>
      <c r="Z201" s="39">
        <f>'Degree-days'!$I$12*IF($E201=$E$5,(Z$5),(Z$6))</f>
        <v>0.19836484746205932</v>
      </c>
      <c r="AA201" s="39">
        <f>'Degree-days'!$I$12*IF($E201=$E$5,(AA$5),(AA$6))</f>
        <v>0.19836484746205932</v>
      </c>
      <c r="AB201" s="39">
        <f>'Degree-days'!$I$12*IF($E201=$E$5,(AB$5),(AB$6))</f>
        <v>0</v>
      </c>
      <c r="AC201" s="39">
        <f>'Degree-days'!$I$12*IF($E201=$E$5,(AC$5),(AC$6))</f>
        <v>0</v>
      </c>
      <c r="AD201" s="39">
        <f t="shared" si="8"/>
        <v>1.7852836271585342</v>
      </c>
      <c r="AE201" s="40"/>
    </row>
    <row r="202" spans="4:31" x14ac:dyDescent="0.2">
      <c r="D202" s="37">
        <v>45121</v>
      </c>
      <c r="E202" s="17" t="str">
        <f t="shared" si="9"/>
        <v>weekday</v>
      </c>
      <c r="F202" s="39">
        <f>'Degree-days'!$I$12*IF($E202=$E$5,(F$5),(F$6))</f>
        <v>0</v>
      </c>
      <c r="G202" s="39">
        <f>'Degree-days'!$I$12*IF($E202=$E$5,(G$5),(G$6))</f>
        <v>0</v>
      </c>
      <c r="H202" s="39">
        <f>'Degree-days'!$I$12*IF($E202=$E$5,(H$5),(H$6))</f>
        <v>0</v>
      </c>
      <c r="I202" s="39">
        <f>'Degree-days'!$I$12*IF($E202=$E$5,(I$5),(I$6))</f>
        <v>0</v>
      </c>
      <c r="J202" s="39">
        <f>'Degree-days'!$I$12*IF($E202=$E$5,(J$5),(J$6))</f>
        <v>0</v>
      </c>
      <c r="K202" s="39">
        <f>'Degree-days'!$I$12*IF($E202=$E$5,(K$5),(K$6))</f>
        <v>0</v>
      </c>
      <c r="L202" s="39">
        <f>'Degree-days'!$I$12*IF($E202=$E$5,(L$5),(L$6))</f>
        <v>0.19836484746205932</v>
      </c>
      <c r="M202" s="39">
        <f>'Degree-days'!$I$12*IF($E202=$E$5,(M$5),(M$6))</f>
        <v>0.19836484746205932</v>
      </c>
      <c r="N202" s="39">
        <f>'Degree-days'!$I$12*IF($E202=$E$5,(N$5),(N$6))</f>
        <v>0</v>
      </c>
      <c r="O202" s="39">
        <f>'Degree-days'!$I$12*IF($E202=$E$5,(O$5),(O$6))</f>
        <v>0</v>
      </c>
      <c r="P202" s="39">
        <f>'Degree-days'!$I$12*IF($E202=$E$5,(P$5),(P$6))</f>
        <v>0</v>
      </c>
      <c r="Q202" s="39">
        <f>'Degree-days'!$I$12*IF($E202=$E$5,(Q$5),(Q$6))</f>
        <v>0</v>
      </c>
      <c r="R202" s="39">
        <f>'Degree-days'!$I$12*IF($E202=$E$5,(R$5),(R$6))</f>
        <v>0</v>
      </c>
      <c r="S202" s="39">
        <f>'Degree-days'!$I$12*IF($E202=$E$5,(S$5),(S$6))</f>
        <v>0</v>
      </c>
      <c r="T202" s="39">
        <f>'Degree-days'!$I$12*IF($E202=$E$5,(T$5),(T$6))</f>
        <v>0</v>
      </c>
      <c r="U202" s="39">
        <f>'Degree-days'!$I$12*IF($E202=$E$5,(U$5),(U$6))</f>
        <v>0.19836484746205932</v>
      </c>
      <c r="V202" s="39">
        <f>'Degree-days'!$I$12*IF($E202=$E$5,(V$5),(V$6))</f>
        <v>0.19836484746205932</v>
      </c>
      <c r="W202" s="39">
        <f>'Degree-days'!$I$12*IF($E202=$E$5,(W$5),(W$6))</f>
        <v>0.19836484746205932</v>
      </c>
      <c r="X202" s="39">
        <f>'Degree-days'!$I$12*IF($E202=$E$5,(X$5),(X$6))</f>
        <v>0.19836484746205932</v>
      </c>
      <c r="Y202" s="39">
        <f>'Degree-days'!$I$12*IF($E202=$E$5,(Y$5),(Y$6))</f>
        <v>0.19836484746205932</v>
      </c>
      <c r="Z202" s="39">
        <f>'Degree-days'!$I$12*IF($E202=$E$5,(Z$5),(Z$6))</f>
        <v>0.19836484746205932</v>
      </c>
      <c r="AA202" s="39">
        <f>'Degree-days'!$I$12*IF($E202=$E$5,(AA$5),(AA$6))</f>
        <v>0.19836484746205932</v>
      </c>
      <c r="AB202" s="39">
        <f>'Degree-days'!$I$12*IF($E202=$E$5,(AB$5),(AB$6))</f>
        <v>0</v>
      </c>
      <c r="AC202" s="39">
        <f>'Degree-days'!$I$12*IF($E202=$E$5,(AC$5),(AC$6))</f>
        <v>0</v>
      </c>
      <c r="AD202" s="39">
        <f t="shared" si="8"/>
        <v>1.7852836271585342</v>
      </c>
      <c r="AE202" s="40"/>
    </row>
    <row r="203" spans="4:31" x14ac:dyDescent="0.2">
      <c r="D203" s="37">
        <v>45122</v>
      </c>
      <c r="E203" s="17" t="str">
        <f t="shared" si="9"/>
        <v>weekend</v>
      </c>
      <c r="F203" s="39">
        <f>'Degree-days'!$I$12*IF($E203=$E$5,(F$5),(F$6))</f>
        <v>0</v>
      </c>
      <c r="G203" s="39">
        <f>'Degree-days'!$I$12*IF($E203=$E$5,(G$5),(G$6))</f>
        <v>0</v>
      </c>
      <c r="H203" s="39">
        <f>'Degree-days'!$I$12*IF($E203=$E$5,(H$5),(H$6))</f>
        <v>0</v>
      </c>
      <c r="I203" s="39">
        <f>'Degree-days'!$I$12*IF($E203=$E$5,(I$5),(I$6))</f>
        <v>0</v>
      </c>
      <c r="J203" s="39">
        <f>'Degree-days'!$I$12*IF($E203=$E$5,(J$5),(J$6))</f>
        <v>0</v>
      </c>
      <c r="K203" s="39">
        <f>'Degree-days'!$I$12*IF($E203=$E$5,(K$5),(K$6))</f>
        <v>0</v>
      </c>
      <c r="L203" s="39">
        <f>'Degree-days'!$I$12*IF($E203=$E$5,(L$5),(L$6))</f>
        <v>0.19836484746205932</v>
      </c>
      <c r="M203" s="39">
        <f>'Degree-days'!$I$12*IF($E203=$E$5,(M$5),(M$6))</f>
        <v>0.19836484746205932</v>
      </c>
      <c r="N203" s="39">
        <f>'Degree-days'!$I$12*IF($E203=$E$5,(N$5),(N$6))</f>
        <v>0.19836484746205932</v>
      </c>
      <c r="O203" s="39">
        <f>'Degree-days'!$I$12*IF($E203=$E$5,(O$5),(O$6))</f>
        <v>0.19836484746205932</v>
      </c>
      <c r="P203" s="39">
        <f>'Degree-days'!$I$12*IF($E203=$E$5,(P$5),(P$6))</f>
        <v>0.19836484746205932</v>
      </c>
      <c r="Q203" s="39">
        <f>'Degree-days'!$I$12*IF($E203=$E$5,(Q$5),(Q$6))</f>
        <v>0.19836484746205932</v>
      </c>
      <c r="R203" s="39">
        <f>'Degree-days'!$I$12*IF($E203=$E$5,(R$5),(R$6))</f>
        <v>0.19836484746205932</v>
      </c>
      <c r="S203" s="39">
        <f>'Degree-days'!$I$12*IF($E203=$E$5,(S$5),(S$6))</f>
        <v>0.19836484746205932</v>
      </c>
      <c r="T203" s="39">
        <f>'Degree-days'!$I$12*IF($E203=$E$5,(T$5),(T$6))</f>
        <v>0.19836484746205932</v>
      </c>
      <c r="U203" s="39">
        <f>'Degree-days'!$I$12*IF($E203=$E$5,(U$5),(U$6))</f>
        <v>0.19836484746205932</v>
      </c>
      <c r="V203" s="39">
        <f>'Degree-days'!$I$12*IF($E203=$E$5,(V$5),(V$6))</f>
        <v>0.19836484746205932</v>
      </c>
      <c r="W203" s="39">
        <f>'Degree-days'!$I$12*IF($E203=$E$5,(W$5),(W$6))</f>
        <v>0.19836484746205932</v>
      </c>
      <c r="X203" s="39">
        <f>'Degree-days'!$I$12*IF($E203=$E$5,(X$5),(X$6))</f>
        <v>0.19836484746205932</v>
      </c>
      <c r="Y203" s="39">
        <f>'Degree-days'!$I$12*IF($E203=$E$5,(Y$5),(Y$6))</f>
        <v>0.19836484746205932</v>
      </c>
      <c r="Z203" s="39">
        <f>'Degree-days'!$I$12*IF($E203=$E$5,(Z$5),(Z$6))</f>
        <v>0.19836484746205932</v>
      </c>
      <c r="AA203" s="39">
        <f>'Degree-days'!$I$12*IF($E203=$E$5,(AA$5),(AA$6))</f>
        <v>0.19836484746205932</v>
      </c>
      <c r="AB203" s="39">
        <f>'Degree-days'!$I$12*IF($E203=$E$5,(AB$5),(AB$6))</f>
        <v>0</v>
      </c>
      <c r="AC203" s="39">
        <f>'Degree-days'!$I$12*IF($E203=$E$5,(AC$5),(AC$6))</f>
        <v>0</v>
      </c>
      <c r="AD203" s="39">
        <f t="shared" si="8"/>
        <v>3.17383755939295</v>
      </c>
      <c r="AE203" s="40"/>
    </row>
    <row r="204" spans="4:31" x14ac:dyDescent="0.2">
      <c r="D204" s="37">
        <v>45123</v>
      </c>
      <c r="E204" s="17" t="str">
        <f t="shared" si="9"/>
        <v>weekend</v>
      </c>
      <c r="F204" s="39">
        <f>'Degree-days'!$I$12*IF($E204=$E$5,(F$5),(F$6))</f>
        <v>0</v>
      </c>
      <c r="G204" s="39">
        <f>'Degree-days'!$I$12*IF($E204=$E$5,(G$5),(G$6))</f>
        <v>0</v>
      </c>
      <c r="H204" s="39">
        <f>'Degree-days'!$I$12*IF($E204=$E$5,(H$5),(H$6))</f>
        <v>0</v>
      </c>
      <c r="I204" s="39">
        <f>'Degree-days'!$I$12*IF($E204=$E$5,(I$5),(I$6))</f>
        <v>0</v>
      </c>
      <c r="J204" s="39">
        <f>'Degree-days'!$I$12*IF($E204=$E$5,(J$5),(J$6))</f>
        <v>0</v>
      </c>
      <c r="K204" s="39">
        <f>'Degree-days'!$I$12*IF($E204=$E$5,(K$5),(K$6))</f>
        <v>0</v>
      </c>
      <c r="L204" s="39">
        <f>'Degree-days'!$I$12*IF($E204=$E$5,(L$5),(L$6))</f>
        <v>0.19836484746205932</v>
      </c>
      <c r="M204" s="39">
        <f>'Degree-days'!$I$12*IF($E204=$E$5,(M$5),(M$6))</f>
        <v>0.19836484746205932</v>
      </c>
      <c r="N204" s="39">
        <f>'Degree-days'!$I$12*IF($E204=$E$5,(N$5),(N$6))</f>
        <v>0.19836484746205932</v>
      </c>
      <c r="O204" s="39">
        <f>'Degree-days'!$I$12*IF($E204=$E$5,(O$5),(O$6))</f>
        <v>0.19836484746205932</v>
      </c>
      <c r="P204" s="39">
        <f>'Degree-days'!$I$12*IF($E204=$E$5,(P$5),(P$6))</f>
        <v>0.19836484746205932</v>
      </c>
      <c r="Q204" s="39">
        <f>'Degree-days'!$I$12*IF($E204=$E$5,(Q$5),(Q$6))</f>
        <v>0.19836484746205932</v>
      </c>
      <c r="R204" s="39">
        <f>'Degree-days'!$I$12*IF($E204=$E$5,(R$5),(R$6))</f>
        <v>0.19836484746205932</v>
      </c>
      <c r="S204" s="39">
        <f>'Degree-days'!$I$12*IF($E204=$E$5,(S$5),(S$6))</f>
        <v>0.19836484746205932</v>
      </c>
      <c r="T204" s="39">
        <f>'Degree-days'!$I$12*IF($E204=$E$5,(T$5),(T$6))</f>
        <v>0.19836484746205932</v>
      </c>
      <c r="U204" s="39">
        <f>'Degree-days'!$I$12*IF($E204=$E$5,(U$5),(U$6))</f>
        <v>0.19836484746205932</v>
      </c>
      <c r="V204" s="39">
        <f>'Degree-days'!$I$12*IF($E204=$E$5,(V$5),(V$6))</f>
        <v>0.19836484746205932</v>
      </c>
      <c r="W204" s="39">
        <f>'Degree-days'!$I$12*IF($E204=$E$5,(W$5),(W$6))</f>
        <v>0.19836484746205932</v>
      </c>
      <c r="X204" s="39">
        <f>'Degree-days'!$I$12*IF($E204=$E$5,(X$5),(X$6))</f>
        <v>0.19836484746205932</v>
      </c>
      <c r="Y204" s="39">
        <f>'Degree-days'!$I$12*IF($E204=$E$5,(Y$5),(Y$6))</f>
        <v>0.19836484746205932</v>
      </c>
      <c r="Z204" s="39">
        <f>'Degree-days'!$I$12*IF($E204=$E$5,(Z$5),(Z$6))</f>
        <v>0.19836484746205932</v>
      </c>
      <c r="AA204" s="39">
        <f>'Degree-days'!$I$12*IF($E204=$E$5,(AA$5),(AA$6))</f>
        <v>0.19836484746205932</v>
      </c>
      <c r="AB204" s="39">
        <f>'Degree-days'!$I$12*IF($E204=$E$5,(AB$5),(AB$6))</f>
        <v>0</v>
      </c>
      <c r="AC204" s="39">
        <f>'Degree-days'!$I$12*IF($E204=$E$5,(AC$5),(AC$6))</f>
        <v>0</v>
      </c>
      <c r="AD204" s="39">
        <f t="shared" si="8"/>
        <v>3.17383755939295</v>
      </c>
      <c r="AE204" s="40"/>
    </row>
    <row r="205" spans="4:31" x14ac:dyDescent="0.2">
      <c r="D205" s="37">
        <v>45124</v>
      </c>
      <c r="E205" s="17" t="str">
        <f t="shared" si="9"/>
        <v>weekday</v>
      </c>
      <c r="F205" s="39">
        <f>'Degree-days'!$I$12*IF($E205=$E$5,(F$5),(F$6))</f>
        <v>0</v>
      </c>
      <c r="G205" s="39">
        <f>'Degree-days'!$I$12*IF($E205=$E$5,(G$5),(G$6))</f>
        <v>0</v>
      </c>
      <c r="H205" s="39">
        <f>'Degree-days'!$I$12*IF($E205=$E$5,(H$5),(H$6))</f>
        <v>0</v>
      </c>
      <c r="I205" s="39">
        <f>'Degree-days'!$I$12*IF($E205=$E$5,(I$5),(I$6))</f>
        <v>0</v>
      </c>
      <c r="J205" s="39">
        <f>'Degree-days'!$I$12*IF($E205=$E$5,(J$5),(J$6))</f>
        <v>0</v>
      </c>
      <c r="K205" s="39">
        <f>'Degree-days'!$I$12*IF($E205=$E$5,(K$5),(K$6))</f>
        <v>0</v>
      </c>
      <c r="L205" s="39">
        <f>'Degree-days'!$I$12*IF($E205=$E$5,(L$5),(L$6))</f>
        <v>0.19836484746205932</v>
      </c>
      <c r="M205" s="39">
        <f>'Degree-days'!$I$12*IF($E205=$E$5,(M$5),(M$6))</f>
        <v>0.19836484746205932</v>
      </c>
      <c r="N205" s="39">
        <f>'Degree-days'!$I$12*IF($E205=$E$5,(N$5),(N$6))</f>
        <v>0</v>
      </c>
      <c r="O205" s="39">
        <f>'Degree-days'!$I$12*IF($E205=$E$5,(O$5),(O$6))</f>
        <v>0</v>
      </c>
      <c r="P205" s="39">
        <f>'Degree-days'!$I$12*IF($E205=$E$5,(P$5),(P$6))</f>
        <v>0</v>
      </c>
      <c r="Q205" s="39">
        <f>'Degree-days'!$I$12*IF($E205=$E$5,(Q$5),(Q$6))</f>
        <v>0</v>
      </c>
      <c r="R205" s="39">
        <f>'Degree-days'!$I$12*IF($E205=$E$5,(R$5),(R$6))</f>
        <v>0</v>
      </c>
      <c r="S205" s="39">
        <f>'Degree-days'!$I$12*IF($E205=$E$5,(S$5),(S$6))</f>
        <v>0</v>
      </c>
      <c r="T205" s="39">
        <f>'Degree-days'!$I$12*IF($E205=$E$5,(T$5),(T$6))</f>
        <v>0</v>
      </c>
      <c r="U205" s="39">
        <f>'Degree-days'!$I$12*IF($E205=$E$5,(U$5),(U$6))</f>
        <v>0.19836484746205932</v>
      </c>
      <c r="V205" s="39">
        <f>'Degree-days'!$I$12*IF($E205=$E$5,(V$5),(V$6))</f>
        <v>0.19836484746205932</v>
      </c>
      <c r="W205" s="39">
        <f>'Degree-days'!$I$12*IF($E205=$E$5,(W$5),(W$6))</f>
        <v>0.19836484746205932</v>
      </c>
      <c r="X205" s="39">
        <f>'Degree-days'!$I$12*IF($E205=$E$5,(X$5),(X$6))</f>
        <v>0.19836484746205932</v>
      </c>
      <c r="Y205" s="39">
        <f>'Degree-days'!$I$12*IF($E205=$E$5,(Y$5),(Y$6))</f>
        <v>0.19836484746205932</v>
      </c>
      <c r="Z205" s="39">
        <f>'Degree-days'!$I$12*IF($E205=$E$5,(Z$5),(Z$6))</f>
        <v>0.19836484746205932</v>
      </c>
      <c r="AA205" s="39">
        <f>'Degree-days'!$I$12*IF($E205=$E$5,(AA$5),(AA$6))</f>
        <v>0.19836484746205932</v>
      </c>
      <c r="AB205" s="39">
        <f>'Degree-days'!$I$12*IF($E205=$E$5,(AB$5),(AB$6))</f>
        <v>0</v>
      </c>
      <c r="AC205" s="39">
        <f>'Degree-days'!$I$12*IF($E205=$E$5,(AC$5),(AC$6))</f>
        <v>0</v>
      </c>
      <c r="AD205" s="39">
        <f t="shared" si="8"/>
        <v>1.7852836271585342</v>
      </c>
      <c r="AE205" s="40"/>
    </row>
    <row r="206" spans="4:31" x14ac:dyDescent="0.2">
      <c r="D206" s="37">
        <v>45125</v>
      </c>
      <c r="E206" s="17" t="str">
        <f t="shared" si="9"/>
        <v>weekday</v>
      </c>
      <c r="F206" s="39">
        <f>'Degree-days'!$I$12*IF($E206=$E$5,(F$5),(F$6))</f>
        <v>0</v>
      </c>
      <c r="G206" s="39">
        <f>'Degree-days'!$I$12*IF($E206=$E$5,(G$5),(G$6))</f>
        <v>0</v>
      </c>
      <c r="H206" s="39">
        <f>'Degree-days'!$I$12*IF($E206=$E$5,(H$5),(H$6))</f>
        <v>0</v>
      </c>
      <c r="I206" s="39">
        <f>'Degree-days'!$I$12*IF($E206=$E$5,(I$5),(I$6))</f>
        <v>0</v>
      </c>
      <c r="J206" s="39">
        <f>'Degree-days'!$I$12*IF($E206=$E$5,(J$5),(J$6))</f>
        <v>0</v>
      </c>
      <c r="K206" s="39">
        <f>'Degree-days'!$I$12*IF($E206=$E$5,(K$5),(K$6))</f>
        <v>0</v>
      </c>
      <c r="L206" s="39">
        <f>'Degree-days'!$I$12*IF($E206=$E$5,(L$5),(L$6))</f>
        <v>0.19836484746205932</v>
      </c>
      <c r="M206" s="39">
        <f>'Degree-days'!$I$12*IF($E206=$E$5,(M$5),(M$6))</f>
        <v>0.19836484746205932</v>
      </c>
      <c r="N206" s="39">
        <f>'Degree-days'!$I$12*IF($E206=$E$5,(N$5),(N$6))</f>
        <v>0</v>
      </c>
      <c r="O206" s="39">
        <f>'Degree-days'!$I$12*IF($E206=$E$5,(O$5),(O$6))</f>
        <v>0</v>
      </c>
      <c r="P206" s="39">
        <f>'Degree-days'!$I$12*IF($E206=$E$5,(P$5),(P$6))</f>
        <v>0</v>
      </c>
      <c r="Q206" s="39">
        <f>'Degree-days'!$I$12*IF($E206=$E$5,(Q$5),(Q$6))</f>
        <v>0</v>
      </c>
      <c r="R206" s="39">
        <f>'Degree-days'!$I$12*IF($E206=$E$5,(R$5),(R$6))</f>
        <v>0</v>
      </c>
      <c r="S206" s="39">
        <f>'Degree-days'!$I$12*IF($E206=$E$5,(S$5),(S$6))</f>
        <v>0</v>
      </c>
      <c r="T206" s="39">
        <f>'Degree-days'!$I$12*IF($E206=$E$5,(T$5),(T$6))</f>
        <v>0</v>
      </c>
      <c r="U206" s="39">
        <f>'Degree-days'!$I$12*IF($E206=$E$5,(U$5),(U$6))</f>
        <v>0.19836484746205932</v>
      </c>
      <c r="V206" s="39">
        <f>'Degree-days'!$I$12*IF($E206=$E$5,(V$5),(V$6))</f>
        <v>0.19836484746205932</v>
      </c>
      <c r="W206" s="39">
        <f>'Degree-days'!$I$12*IF($E206=$E$5,(W$5),(W$6))</f>
        <v>0.19836484746205932</v>
      </c>
      <c r="X206" s="39">
        <f>'Degree-days'!$I$12*IF($E206=$E$5,(X$5),(X$6))</f>
        <v>0.19836484746205932</v>
      </c>
      <c r="Y206" s="39">
        <f>'Degree-days'!$I$12*IF($E206=$E$5,(Y$5),(Y$6))</f>
        <v>0.19836484746205932</v>
      </c>
      <c r="Z206" s="39">
        <f>'Degree-days'!$I$12*IF($E206=$E$5,(Z$5),(Z$6))</f>
        <v>0.19836484746205932</v>
      </c>
      <c r="AA206" s="39">
        <f>'Degree-days'!$I$12*IF($E206=$E$5,(AA$5),(AA$6))</f>
        <v>0.19836484746205932</v>
      </c>
      <c r="AB206" s="39">
        <f>'Degree-days'!$I$12*IF($E206=$E$5,(AB$5),(AB$6))</f>
        <v>0</v>
      </c>
      <c r="AC206" s="39">
        <f>'Degree-days'!$I$12*IF($E206=$E$5,(AC$5),(AC$6))</f>
        <v>0</v>
      </c>
      <c r="AD206" s="39">
        <f t="shared" si="8"/>
        <v>1.7852836271585342</v>
      </c>
      <c r="AE206" s="40"/>
    </row>
    <row r="207" spans="4:31" x14ac:dyDescent="0.2">
      <c r="D207" s="37">
        <v>45126</v>
      </c>
      <c r="E207" s="17" t="str">
        <f t="shared" si="9"/>
        <v>weekday</v>
      </c>
      <c r="F207" s="39">
        <f>'Degree-days'!$I$12*IF($E207=$E$5,(F$5),(F$6))</f>
        <v>0</v>
      </c>
      <c r="G207" s="39">
        <f>'Degree-days'!$I$12*IF($E207=$E$5,(G$5),(G$6))</f>
        <v>0</v>
      </c>
      <c r="H207" s="39">
        <f>'Degree-days'!$I$12*IF($E207=$E$5,(H$5),(H$6))</f>
        <v>0</v>
      </c>
      <c r="I207" s="39">
        <f>'Degree-days'!$I$12*IF($E207=$E$5,(I$5),(I$6))</f>
        <v>0</v>
      </c>
      <c r="J207" s="39">
        <f>'Degree-days'!$I$12*IF($E207=$E$5,(J$5),(J$6))</f>
        <v>0</v>
      </c>
      <c r="K207" s="39">
        <f>'Degree-days'!$I$12*IF($E207=$E$5,(K$5),(K$6))</f>
        <v>0</v>
      </c>
      <c r="L207" s="39">
        <f>'Degree-days'!$I$12*IF($E207=$E$5,(L$5),(L$6))</f>
        <v>0.19836484746205932</v>
      </c>
      <c r="M207" s="39">
        <f>'Degree-days'!$I$12*IF($E207=$E$5,(M$5),(M$6))</f>
        <v>0.19836484746205932</v>
      </c>
      <c r="N207" s="39">
        <f>'Degree-days'!$I$12*IF($E207=$E$5,(N$5),(N$6))</f>
        <v>0</v>
      </c>
      <c r="O207" s="39">
        <f>'Degree-days'!$I$12*IF($E207=$E$5,(O$5),(O$6))</f>
        <v>0</v>
      </c>
      <c r="P207" s="39">
        <f>'Degree-days'!$I$12*IF($E207=$E$5,(P$5),(P$6))</f>
        <v>0</v>
      </c>
      <c r="Q207" s="39">
        <f>'Degree-days'!$I$12*IF($E207=$E$5,(Q$5),(Q$6))</f>
        <v>0</v>
      </c>
      <c r="R207" s="39">
        <f>'Degree-days'!$I$12*IF($E207=$E$5,(R$5),(R$6))</f>
        <v>0</v>
      </c>
      <c r="S207" s="39">
        <f>'Degree-days'!$I$12*IF($E207=$E$5,(S$5),(S$6))</f>
        <v>0</v>
      </c>
      <c r="T207" s="39">
        <f>'Degree-days'!$I$12*IF($E207=$E$5,(T$5),(T$6))</f>
        <v>0</v>
      </c>
      <c r="U207" s="39">
        <f>'Degree-days'!$I$12*IF($E207=$E$5,(U$5),(U$6))</f>
        <v>0.19836484746205932</v>
      </c>
      <c r="V207" s="39">
        <f>'Degree-days'!$I$12*IF($E207=$E$5,(V$5),(V$6))</f>
        <v>0.19836484746205932</v>
      </c>
      <c r="W207" s="39">
        <f>'Degree-days'!$I$12*IF($E207=$E$5,(W$5),(W$6))</f>
        <v>0.19836484746205932</v>
      </c>
      <c r="X207" s="39">
        <f>'Degree-days'!$I$12*IF($E207=$E$5,(X$5),(X$6))</f>
        <v>0.19836484746205932</v>
      </c>
      <c r="Y207" s="39">
        <f>'Degree-days'!$I$12*IF($E207=$E$5,(Y$5),(Y$6))</f>
        <v>0.19836484746205932</v>
      </c>
      <c r="Z207" s="39">
        <f>'Degree-days'!$I$12*IF($E207=$E$5,(Z$5),(Z$6))</f>
        <v>0.19836484746205932</v>
      </c>
      <c r="AA207" s="39">
        <f>'Degree-days'!$I$12*IF($E207=$E$5,(AA$5),(AA$6))</f>
        <v>0.19836484746205932</v>
      </c>
      <c r="AB207" s="39">
        <f>'Degree-days'!$I$12*IF($E207=$E$5,(AB$5),(AB$6))</f>
        <v>0</v>
      </c>
      <c r="AC207" s="39">
        <f>'Degree-days'!$I$12*IF($E207=$E$5,(AC$5),(AC$6))</f>
        <v>0</v>
      </c>
      <c r="AD207" s="39">
        <f t="shared" si="8"/>
        <v>1.7852836271585342</v>
      </c>
      <c r="AE207" s="40"/>
    </row>
    <row r="208" spans="4:31" x14ac:dyDescent="0.2">
      <c r="D208" s="37">
        <v>45127</v>
      </c>
      <c r="E208" s="17" t="str">
        <f t="shared" si="9"/>
        <v>weekday</v>
      </c>
      <c r="F208" s="39">
        <f>'Degree-days'!$I$12*IF($E208=$E$5,(F$5),(F$6))</f>
        <v>0</v>
      </c>
      <c r="G208" s="39">
        <f>'Degree-days'!$I$12*IF($E208=$E$5,(G$5),(G$6))</f>
        <v>0</v>
      </c>
      <c r="H208" s="39">
        <f>'Degree-days'!$I$12*IF($E208=$E$5,(H$5),(H$6))</f>
        <v>0</v>
      </c>
      <c r="I208" s="39">
        <f>'Degree-days'!$I$12*IF($E208=$E$5,(I$5),(I$6))</f>
        <v>0</v>
      </c>
      <c r="J208" s="39">
        <f>'Degree-days'!$I$12*IF($E208=$E$5,(J$5),(J$6))</f>
        <v>0</v>
      </c>
      <c r="K208" s="39">
        <f>'Degree-days'!$I$12*IF($E208=$E$5,(K$5),(K$6))</f>
        <v>0</v>
      </c>
      <c r="L208" s="39">
        <f>'Degree-days'!$I$12*IF($E208=$E$5,(L$5),(L$6))</f>
        <v>0.19836484746205932</v>
      </c>
      <c r="M208" s="39">
        <f>'Degree-days'!$I$12*IF($E208=$E$5,(M$5),(M$6))</f>
        <v>0.19836484746205932</v>
      </c>
      <c r="N208" s="39">
        <f>'Degree-days'!$I$12*IF($E208=$E$5,(N$5),(N$6))</f>
        <v>0</v>
      </c>
      <c r="O208" s="39">
        <f>'Degree-days'!$I$12*IF($E208=$E$5,(O$5),(O$6))</f>
        <v>0</v>
      </c>
      <c r="P208" s="39">
        <f>'Degree-days'!$I$12*IF($E208=$E$5,(P$5),(P$6))</f>
        <v>0</v>
      </c>
      <c r="Q208" s="39">
        <f>'Degree-days'!$I$12*IF($E208=$E$5,(Q$5),(Q$6))</f>
        <v>0</v>
      </c>
      <c r="R208" s="39">
        <f>'Degree-days'!$I$12*IF($E208=$E$5,(R$5),(R$6))</f>
        <v>0</v>
      </c>
      <c r="S208" s="39">
        <f>'Degree-days'!$I$12*IF($E208=$E$5,(S$5),(S$6))</f>
        <v>0</v>
      </c>
      <c r="T208" s="39">
        <f>'Degree-days'!$I$12*IF($E208=$E$5,(T$5),(T$6))</f>
        <v>0</v>
      </c>
      <c r="U208" s="39">
        <f>'Degree-days'!$I$12*IF($E208=$E$5,(U$5),(U$6))</f>
        <v>0.19836484746205932</v>
      </c>
      <c r="V208" s="39">
        <f>'Degree-days'!$I$12*IF($E208=$E$5,(V$5),(V$6))</f>
        <v>0.19836484746205932</v>
      </c>
      <c r="W208" s="39">
        <f>'Degree-days'!$I$12*IF($E208=$E$5,(W$5),(W$6))</f>
        <v>0.19836484746205932</v>
      </c>
      <c r="X208" s="39">
        <f>'Degree-days'!$I$12*IF($E208=$E$5,(X$5),(X$6))</f>
        <v>0.19836484746205932</v>
      </c>
      <c r="Y208" s="39">
        <f>'Degree-days'!$I$12*IF($E208=$E$5,(Y$5),(Y$6))</f>
        <v>0.19836484746205932</v>
      </c>
      <c r="Z208" s="39">
        <f>'Degree-days'!$I$12*IF($E208=$E$5,(Z$5),(Z$6))</f>
        <v>0.19836484746205932</v>
      </c>
      <c r="AA208" s="39">
        <f>'Degree-days'!$I$12*IF($E208=$E$5,(AA$5),(AA$6))</f>
        <v>0.19836484746205932</v>
      </c>
      <c r="AB208" s="39">
        <f>'Degree-days'!$I$12*IF($E208=$E$5,(AB$5),(AB$6))</f>
        <v>0</v>
      </c>
      <c r="AC208" s="39">
        <f>'Degree-days'!$I$12*IF($E208=$E$5,(AC$5),(AC$6))</f>
        <v>0</v>
      </c>
      <c r="AD208" s="39">
        <f t="shared" si="8"/>
        <v>1.7852836271585342</v>
      </c>
      <c r="AE208" s="40"/>
    </row>
    <row r="209" spans="4:32" x14ac:dyDescent="0.2">
      <c r="D209" s="37">
        <v>45128</v>
      </c>
      <c r="E209" s="17" t="str">
        <f t="shared" si="9"/>
        <v>weekday</v>
      </c>
      <c r="F209" s="39">
        <f>'Degree-days'!$I$12*IF($E209=$E$5,(F$5),(F$6))</f>
        <v>0</v>
      </c>
      <c r="G209" s="39">
        <f>'Degree-days'!$I$12*IF($E209=$E$5,(G$5),(G$6))</f>
        <v>0</v>
      </c>
      <c r="H209" s="39">
        <f>'Degree-days'!$I$12*IF($E209=$E$5,(H$5),(H$6))</f>
        <v>0</v>
      </c>
      <c r="I209" s="39">
        <f>'Degree-days'!$I$12*IF($E209=$E$5,(I$5),(I$6))</f>
        <v>0</v>
      </c>
      <c r="J209" s="39">
        <f>'Degree-days'!$I$12*IF($E209=$E$5,(J$5),(J$6))</f>
        <v>0</v>
      </c>
      <c r="K209" s="39">
        <f>'Degree-days'!$I$12*IF($E209=$E$5,(K$5),(K$6))</f>
        <v>0</v>
      </c>
      <c r="L209" s="39">
        <f>'Degree-days'!$I$12*IF($E209=$E$5,(L$5),(L$6))</f>
        <v>0.19836484746205932</v>
      </c>
      <c r="M209" s="39">
        <f>'Degree-days'!$I$12*IF($E209=$E$5,(M$5),(M$6))</f>
        <v>0.19836484746205932</v>
      </c>
      <c r="N209" s="39">
        <f>'Degree-days'!$I$12*IF($E209=$E$5,(N$5),(N$6))</f>
        <v>0</v>
      </c>
      <c r="O209" s="39">
        <f>'Degree-days'!$I$12*IF($E209=$E$5,(O$5),(O$6))</f>
        <v>0</v>
      </c>
      <c r="P209" s="39">
        <f>'Degree-days'!$I$12*IF($E209=$E$5,(P$5),(P$6))</f>
        <v>0</v>
      </c>
      <c r="Q209" s="39">
        <f>'Degree-days'!$I$12*IF($E209=$E$5,(Q$5),(Q$6))</f>
        <v>0</v>
      </c>
      <c r="R209" s="39">
        <f>'Degree-days'!$I$12*IF($E209=$E$5,(R$5),(R$6))</f>
        <v>0</v>
      </c>
      <c r="S209" s="39">
        <f>'Degree-days'!$I$12*IF($E209=$E$5,(S$5),(S$6))</f>
        <v>0</v>
      </c>
      <c r="T209" s="39">
        <f>'Degree-days'!$I$12*IF($E209=$E$5,(T$5),(T$6))</f>
        <v>0</v>
      </c>
      <c r="U209" s="39">
        <f>'Degree-days'!$I$12*IF($E209=$E$5,(U$5),(U$6))</f>
        <v>0.19836484746205932</v>
      </c>
      <c r="V209" s="39">
        <f>'Degree-days'!$I$12*IF($E209=$E$5,(V$5),(V$6))</f>
        <v>0.19836484746205932</v>
      </c>
      <c r="W209" s="39">
        <f>'Degree-days'!$I$12*IF($E209=$E$5,(W$5),(W$6))</f>
        <v>0.19836484746205932</v>
      </c>
      <c r="X209" s="39">
        <f>'Degree-days'!$I$12*IF($E209=$E$5,(X$5),(X$6))</f>
        <v>0.19836484746205932</v>
      </c>
      <c r="Y209" s="39">
        <f>'Degree-days'!$I$12*IF($E209=$E$5,(Y$5),(Y$6))</f>
        <v>0.19836484746205932</v>
      </c>
      <c r="Z209" s="39">
        <f>'Degree-days'!$I$12*IF($E209=$E$5,(Z$5),(Z$6))</f>
        <v>0.19836484746205932</v>
      </c>
      <c r="AA209" s="39">
        <f>'Degree-days'!$I$12*IF($E209=$E$5,(AA$5),(AA$6))</f>
        <v>0.19836484746205932</v>
      </c>
      <c r="AB209" s="39">
        <f>'Degree-days'!$I$12*IF($E209=$E$5,(AB$5),(AB$6))</f>
        <v>0</v>
      </c>
      <c r="AC209" s="39">
        <f>'Degree-days'!$I$12*IF($E209=$E$5,(AC$5),(AC$6))</f>
        <v>0</v>
      </c>
      <c r="AD209" s="39">
        <f t="shared" si="8"/>
        <v>1.7852836271585342</v>
      </c>
      <c r="AE209" s="40"/>
    </row>
    <row r="210" spans="4:32" x14ac:dyDescent="0.2">
      <c r="D210" s="37">
        <v>45129</v>
      </c>
      <c r="E210" s="17" t="str">
        <f t="shared" si="9"/>
        <v>weekend</v>
      </c>
      <c r="F210" s="39">
        <f>'Degree-days'!$I$12*IF($E210=$E$5,(F$5),(F$6))</f>
        <v>0</v>
      </c>
      <c r="G210" s="39">
        <f>'Degree-days'!$I$12*IF($E210=$E$5,(G$5),(G$6))</f>
        <v>0</v>
      </c>
      <c r="H210" s="39">
        <f>'Degree-days'!$I$12*IF($E210=$E$5,(H$5),(H$6))</f>
        <v>0</v>
      </c>
      <c r="I210" s="39">
        <f>'Degree-days'!$I$12*IF($E210=$E$5,(I$5),(I$6))</f>
        <v>0</v>
      </c>
      <c r="J210" s="39">
        <f>'Degree-days'!$I$12*IF($E210=$E$5,(J$5),(J$6))</f>
        <v>0</v>
      </c>
      <c r="K210" s="39">
        <f>'Degree-days'!$I$12*IF($E210=$E$5,(K$5),(K$6))</f>
        <v>0</v>
      </c>
      <c r="L210" s="39">
        <f>'Degree-days'!$I$12*IF($E210=$E$5,(L$5),(L$6))</f>
        <v>0.19836484746205932</v>
      </c>
      <c r="M210" s="39">
        <f>'Degree-days'!$I$12*IF($E210=$E$5,(M$5),(M$6))</f>
        <v>0.19836484746205932</v>
      </c>
      <c r="N210" s="39">
        <f>'Degree-days'!$I$12*IF($E210=$E$5,(N$5),(N$6))</f>
        <v>0.19836484746205932</v>
      </c>
      <c r="O210" s="39">
        <f>'Degree-days'!$I$12*IF($E210=$E$5,(O$5),(O$6))</f>
        <v>0.19836484746205932</v>
      </c>
      <c r="P210" s="39">
        <f>'Degree-days'!$I$12*IF($E210=$E$5,(P$5),(P$6))</f>
        <v>0.19836484746205932</v>
      </c>
      <c r="Q210" s="39">
        <f>'Degree-days'!$I$12*IF($E210=$E$5,(Q$5),(Q$6))</f>
        <v>0.19836484746205932</v>
      </c>
      <c r="R210" s="39">
        <f>'Degree-days'!$I$12*IF($E210=$E$5,(R$5),(R$6))</f>
        <v>0.19836484746205932</v>
      </c>
      <c r="S210" s="39">
        <f>'Degree-days'!$I$12*IF($E210=$E$5,(S$5),(S$6))</f>
        <v>0.19836484746205932</v>
      </c>
      <c r="T210" s="39">
        <f>'Degree-days'!$I$12*IF($E210=$E$5,(T$5),(T$6))</f>
        <v>0.19836484746205932</v>
      </c>
      <c r="U210" s="39">
        <f>'Degree-days'!$I$12*IF($E210=$E$5,(U$5),(U$6))</f>
        <v>0.19836484746205932</v>
      </c>
      <c r="V210" s="39">
        <f>'Degree-days'!$I$12*IF($E210=$E$5,(V$5),(V$6))</f>
        <v>0.19836484746205932</v>
      </c>
      <c r="W210" s="39">
        <f>'Degree-days'!$I$12*IF($E210=$E$5,(W$5),(W$6))</f>
        <v>0.19836484746205932</v>
      </c>
      <c r="X210" s="39">
        <f>'Degree-days'!$I$12*IF($E210=$E$5,(X$5),(X$6))</f>
        <v>0.19836484746205932</v>
      </c>
      <c r="Y210" s="39">
        <f>'Degree-days'!$I$12*IF($E210=$E$5,(Y$5),(Y$6))</f>
        <v>0.19836484746205932</v>
      </c>
      <c r="Z210" s="39">
        <f>'Degree-days'!$I$12*IF($E210=$E$5,(Z$5),(Z$6))</f>
        <v>0.19836484746205932</v>
      </c>
      <c r="AA210" s="39">
        <f>'Degree-days'!$I$12*IF($E210=$E$5,(AA$5),(AA$6))</f>
        <v>0.19836484746205932</v>
      </c>
      <c r="AB210" s="39">
        <f>'Degree-days'!$I$12*IF($E210=$E$5,(AB$5),(AB$6))</f>
        <v>0</v>
      </c>
      <c r="AC210" s="39">
        <f>'Degree-days'!$I$12*IF($E210=$E$5,(AC$5),(AC$6))</f>
        <v>0</v>
      </c>
      <c r="AD210" s="39">
        <f t="shared" si="8"/>
        <v>3.17383755939295</v>
      </c>
      <c r="AE210" s="40"/>
    </row>
    <row r="211" spans="4:32" x14ac:dyDescent="0.2">
      <c r="D211" s="37">
        <v>45130</v>
      </c>
      <c r="E211" s="17" t="str">
        <f t="shared" si="9"/>
        <v>weekend</v>
      </c>
      <c r="F211" s="39">
        <f>'Degree-days'!$I$12*IF($E211=$E$5,(F$5),(F$6))</f>
        <v>0</v>
      </c>
      <c r="G211" s="39">
        <f>'Degree-days'!$I$12*IF($E211=$E$5,(G$5),(G$6))</f>
        <v>0</v>
      </c>
      <c r="H211" s="39">
        <f>'Degree-days'!$I$12*IF($E211=$E$5,(H$5),(H$6))</f>
        <v>0</v>
      </c>
      <c r="I211" s="39">
        <f>'Degree-days'!$I$12*IF($E211=$E$5,(I$5),(I$6))</f>
        <v>0</v>
      </c>
      <c r="J211" s="39">
        <f>'Degree-days'!$I$12*IF($E211=$E$5,(J$5),(J$6))</f>
        <v>0</v>
      </c>
      <c r="K211" s="39">
        <f>'Degree-days'!$I$12*IF($E211=$E$5,(K$5),(K$6))</f>
        <v>0</v>
      </c>
      <c r="L211" s="39">
        <f>'Degree-days'!$I$12*IF($E211=$E$5,(L$5),(L$6))</f>
        <v>0.19836484746205932</v>
      </c>
      <c r="M211" s="39">
        <f>'Degree-days'!$I$12*IF($E211=$E$5,(M$5),(M$6))</f>
        <v>0.19836484746205932</v>
      </c>
      <c r="N211" s="39">
        <f>'Degree-days'!$I$12*IF($E211=$E$5,(N$5),(N$6))</f>
        <v>0.19836484746205932</v>
      </c>
      <c r="O211" s="39">
        <f>'Degree-days'!$I$12*IF($E211=$E$5,(O$5),(O$6))</f>
        <v>0.19836484746205932</v>
      </c>
      <c r="P211" s="39">
        <f>'Degree-days'!$I$12*IF($E211=$E$5,(P$5),(P$6))</f>
        <v>0.19836484746205932</v>
      </c>
      <c r="Q211" s="39">
        <f>'Degree-days'!$I$12*IF($E211=$E$5,(Q$5),(Q$6))</f>
        <v>0.19836484746205932</v>
      </c>
      <c r="R211" s="39">
        <f>'Degree-days'!$I$12*IF($E211=$E$5,(R$5),(R$6))</f>
        <v>0.19836484746205932</v>
      </c>
      <c r="S211" s="39">
        <f>'Degree-days'!$I$12*IF($E211=$E$5,(S$5),(S$6))</f>
        <v>0.19836484746205932</v>
      </c>
      <c r="T211" s="39">
        <f>'Degree-days'!$I$12*IF($E211=$E$5,(T$5),(T$6))</f>
        <v>0.19836484746205932</v>
      </c>
      <c r="U211" s="39">
        <f>'Degree-days'!$I$12*IF($E211=$E$5,(U$5),(U$6))</f>
        <v>0.19836484746205932</v>
      </c>
      <c r="V211" s="39">
        <f>'Degree-days'!$I$12*IF($E211=$E$5,(V$5),(V$6))</f>
        <v>0.19836484746205932</v>
      </c>
      <c r="W211" s="39">
        <f>'Degree-days'!$I$12*IF($E211=$E$5,(W$5),(W$6))</f>
        <v>0.19836484746205932</v>
      </c>
      <c r="X211" s="39">
        <f>'Degree-days'!$I$12*IF($E211=$E$5,(X$5),(X$6))</f>
        <v>0.19836484746205932</v>
      </c>
      <c r="Y211" s="39">
        <f>'Degree-days'!$I$12*IF($E211=$E$5,(Y$5),(Y$6))</f>
        <v>0.19836484746205932</v>
      </c>
      <c r="Z211" s="39">
        <f>'Degree-days'!$I$12*IF($E211=$E$5,(Z$5),(Z$6))</f>
        <v>0.19836484746205932</v>
      </c>
      <c r="AA211" s="39">
        <f>'Degree-days'!$I$12*IF($E211=$E$5,(AA$5),(AA$6))</f>
        <v>0.19836484746205932</v>
      </c>
      <c r="AB211" s="39">
        <f>'Degree-days'!$I$12*IF($E211=$E$5,(AB$5),(AB$6))</f>
        <v>0</v>
      </c>
      <c r="AC211" s="39">
        <f>'Degree-days'!$I$12*IF($E211=$E$5,(AC$5),(AC$6))</f>
        <v>0</v>
      </c>
      <c r="AD211" s="39">
        <f t="shared" si="8"/>
        <v>3.17383755939295</v>
      </c>
      <c r="AE211" s="40"/>
    </row>
    <row r="212" spans="4:32" x14ac:dyDescent="0.2">
      <c r="D212" s="37">
        <v>45131</v>
      </c>
      <c r="E212" s="17" t="str">
        <f t="shared" si="9"/>
        <v>weekday</v>
      </c>
      <c r="F212" s="39">
        <f>'Degree-days'!$I$12*IF($E212=$E$5,(F$5),(F$6))</f>
        <v>0</v>
      </c>
      <c r="G212" s="39">
        <f>'Degree-days'!$I$12*IF($E212=$E$5,(G$5),(G$6))</f>
        <v>0</v>
      </c>
      <c r="H212" s="39">
        <f>'Degree-days'!$I$12*IF($E212=$E$5,(H$5),(H$6))</f>
        <v>0</v>
      </c>
      <c r="I212" s="39">
        <f>'Degree-days'!$I$12*IF($E212=$E$5,(I$5),(I$6))</f>
        <v>0</v>
      </c>
      <c r="J212" s="39">
        <f>'Degree-days'!$I$12*IF($E212=$E$5,(J$5),(J$6))</f>
        <v>0</v>
      </c>
      <c r="K212" s="39">
        <f>'Degree-days'!$I$12*IF($E212=$E$5,(K$5),(K$6))</f>
        <v>0</v>
      </c>
      <c r="L212" s="39">
        <f>'Degree-days'!$I$12*IF($E212=$E$5,(L$5),(L$6))</f>
        <v>0.19836484746205932</v>
      </c>
      <c r="M212" s="39">
        <f>'Degree-days'!$I$12*IF($E212=$E$5,(M$5),(M$6))</f>
        <v>0.19836484746205932</v>
      </c>
      <c r="N212" s="39">
        <f>'Degree-days'!$I$12*IF($E212=$E$5,(N$5),(N$6))</f>
        <v>0</v>
      </c>
      <c r="O212" s="39">
        <f>'Degree-days'!$I$12*IF($E212=$E$5,(O$5),(O$6))</f>
        <v>0</v>
      </c>
      <c r="P212" s="39">
        <f>'Degree-days'!$I$12*IF($E212=$E$5,(P$5),(P$6))</f>
        <v>0</v>
      </c>
      <c r="Q212" s="39">
        <f>'Degree-days'!$I$12*IF($E212=$E$5,(Q$5),(Q$6))</f>
        <v>0</v>
      </c>
      <c r="R212" s="39">
        <f>'Degree-days'!$I$12*IF($E212=$E$5,(R$5),(R$6))</f>
        <v>0</v>
      </c>
      <c r="S212" s="39">
        <f>'Degree-days'!$I$12*IF($E212=$E$5,(S$5),(S$6))</f>
        <v>0</v>
      </c>
      <c r="T212" s="39">
        <f>'Degree-days'!$I$12*IF($E212=$E$5,(T$5),(T$6))</f>
        <v>0</v>
      </c>
      <c r="U212" s="39">
        <f>'Degree-days'!$I$12*IF($E212=$E$5,(U$5),(U$6))</f>
        <v>0.19836484746205932</v>
      </c>
      <c r="V212" s="39">
        <f>'Degree-days'!$I$12*IF($E212=$E$5,(V$5),(V$6))</f>
        <v>0.19836484746205932</v>
      </c>
      <c r="W212" s="39">
        <f>'Degree-days'!$I$12*IF($E212=$E$5,(W$5),(W$6))</f>
        <v>0.19836484746205932</v>
      </c>
      <c r="X212" s="39">
        <f>'Degree-days'!$I$12*IF($E212=$E$5,(X$5),(X$6))</f>
        <v>0.19836484746205932</v>
      </c>
      <c r="Y212" s="39">
        <f>'Degree-days'!$I$12*IF($E212=$E$5,(Y$5),(Y$6))</f>
        <v>0.19836484746205932</v>
      </c>
      <c r="Z212" s="39">
        <f>'Degree-days'!$I$12*IF($E212=$E$5,(Z$5),(Z$6))</f>
        <v>0.19836484746205932</v>
      </c>
      <c r="AA212" s="39">
        <f>'Degree-days'!$I$12*IF($E212=$E$5,(AA$5),(AA$6))</f>
        <v>0.19836484746205932</v>
      </c>
      <c r="AB212" s="39">
        <f>'Degree-days'!$I$12*IF($E212=$E$5,(AB$5),(AB$6))</f>
        <v>0</v>
      </c>
      <c r="AC212" s="39">
        <f>'Degree-days'!$I$12*IF($E212=$E$5,(AC$5),(AC$6))</f>
        <v>0</v>
      </c>
      <c r="AD212" s="39">
        <f t="shared" si="8"/>
        <v>1.7852836271585342</v>
      </c>
      <c r="AE212" s="40"/>
    </row>
    <row r="213" spans="4:32" x14ac:dyDescent="0.2">
      <c r="D213" s="37">
        <v>45132</v>
      </c>
      <c r="E213" s="17" t="str">
        <f t="shared" si="9"/>
        <v>weekday</v>
      </c>
      <c r="F213" s="39">
        <f>'Degree-days'!$I$12*IF($E213=$E$5,(F$5),(F$6))</f>
        <v>0</v>
      </c>
      <c r="G213" s="39">
        <f>'Degree-days'!$I$12*IF($E213=$E$5,(G$5),(G$6))</f>
        <v>0</v>
      </c>
      <c r="H213" s="39">
        <f>'Degree-days'!$I$12*IF($E213=$E$5,(H$5),(H$6))</f>
        <v>0</v>
      </c>
      <c r="I213" s="39">
        <f>'Degree-days'!$I$12*IF($E213=$E$5,(I$5),(I$6))</f>
        <v>0</v>
      </c>
      <c r="J213" s="39">
        <f>'Degree-days'!$I$12*IF($E213=$E$5,(J$5),(J$6))</f>
        <v>0</v>
      </c>
      <c r="K213" s="39">
        <f>'Degree-days'!$I$12*IF($E213=$E$5,(K$5),(K$6))</f>
        <v>0</v>
      </c>
      <c r="L213" s="39">
        <f>'Degree-days'!$I$12*IF($E213=$E$5,(L$5),(L$6))</f>
        <v>0.19836484746205932</v>
      </c>
      <c r="M213" s="39">
        <f>'Degree-days'!$I$12*IF($E213=$E$5,(M$5),(M$6))</f>
        <v>0.19836484746205932</v>
      </c>
      <c r="N213" s="39">
        <f>'Degree-days'!$I$12*IF($E213=$E$5,(N$5),(N$6))</f>
        <v>0</v>
      </c>
      <c r="O213" s="39">
        <f>'Degree-days'!$I$12*IF($E213=$E$5,(O$5),(O$6))</f>
        <v>0</v>
      </c>
      <c r="P213" s="39">
        <f>'Degree-days'!$I$12*IF($E213=$E$5,(P$5),(P$6))</f>
        <v>0</v>
      </c>
      <c r="Q213" s="39">
        <f>'Degree-days'!$I$12*IF($E213=$E$5,(Q$5),(Q$6))</f>
        <v>0</v>
      </c>
      <c r="R213" s="39">
        <f>'Degree-days'!$I$12*IF($E213=$E$5,(R$5),(R$6))</f>
        <v>0</v>
      </c>
      <c r="S213" s="39">
        <f>'Degree-days'!$I$12*IF($E213=$E$5,(S$5),(S$6))</f>
        <v>0</v>
      </c>
      <c r="T213" s="39">
        <f>'Degree-days'!$I$12*IF($E213=$E$5,(T$5),(T$6))</f>
        <v>0</v>
      </c>
      <c r="U213" s="39">
        <f>'Degree-days'!$I$12*IF($E213=$E$5,(U$5),(U$6))</f>
        <v>0.19836484746205932</v>
      </c>
      <c r="V213" s="39">
        <f>'Degree-days'!$I$12*IF($E213=$E$5,(V$5),(V$6))</f>
        <v>0.19836484746205932</v>
      </c>
      <c r="W213" s="39">
        <f>'Degree-days'!$I$12*IF($E213=$E$5,(W$5),(W$6))</f>
        <v>0.19836484746205932</v>
      </c>
      <c r="X213" s="39">
        <f>'Degree-days'!$I$12*IF($E213=$E$5,(X$5),(X$6))</f>
        <v>0.19836484746205932</v>
      </c>
      <c r="Y213" s="39">
        <f>'Degree-days'!$I$12*IF($E213=$E$5,(Y$5),(Y$6))</f>
        <v>0.19836484746205932</v>
      </c>
      <c r="Z213" s="39">
        <f>'Degree-days'!$I$12*IF($E213=$E$5,(Z$5),(Z$6))</f>
        <v>0.19836484746205932</v>
      </c>
      <c r="AA213" s="39">
        <f>'Degree-days'!$I$12*IF($E213=$E$5,(AA$5),(AA$6))</f>
        <v>0.19836484746205932</v>
      </c>
      <c r="AB213" s="39">
        <f>'Degree-days'!$I$12*IF($E213=$E$5,(AB$5),(AB$6))</f>
        <v>0</v>
      </c>
      <c r="AC213" s="39">
        <f>'Degree-days'!$I$12*IF($E213=$E$5,(AC$5),(AC$6))</f>
        <v>0</v>
      </c>
      <c r="AD213" s="39">
        <f t="shared" si="8"/>
        <v>1.7852836271585342</v>
      </c>
      <c r="AE213" s="40"/>
    </row>
    <row r="214" spans="4:32" x14ac:dyDescent="0.2">
      <c r="D214" s="37">
        <v>45133</v>
      </c>
      <c r="E214" s="17" t="str">
        <f t="shared" si="9"/>
        <v>weekday</v>
      </c>
      <c r="F214" s="39">
        <f>'Degree-days'!$I$12*IF($E214=$E$5,(F$5),(F$6))</f>
        <v>0</v>
      </c>
      <c r="G214" s="39">
        <f>'Degree-days'!$I$12*IF($E214=$E$5,(G$5),(G$6))</f>
        <v>0</v>
      </c>
      <c r="H214" s="39">
        <f>'Degree-days'!$I$12*IF($E214=$E$5,(H$5),(H$6))</f>
        <v>0</v>
      </c>
      <c r="I214" s="39">
        <f>'Degree-days'!$I$12*IF($E214=$E$5,(I$5),(I$6))</f>
        <v>0</v>
      </c>
      <c r="J214" s="39">
        <f>'Degree-days'!$I$12*IF($E214=$E$5,(J$5),(J$6))</f>
        <v>0</v>
      </c>
      <c r="K214" s="39">
        <f>'Degree-days'!$I$12*IF($E214=$E$5,(K$5),(K$6))</f>
        <v>0</v>
      </c>
      <c r="L214" s="39">
        <f>'Degree-days'!$I$12*IF($E214=$E$5,(L$5),(L$6))</f>
        <v>0.19836484746205932</v>
      </c>
      <c r="M214" s="39">
        <f>'Degree-days'!$I$12*IF($E214=$E$5,(M$5),(M$6))</f>
        <v>0.19836484746205932</v>
      </c>
      <c r="N214" s="39">
        <f>'Degree-days'!$I$12*IF($E214=$E$5,(N$5),(N$6))</f>
        <v>0</v>
      </c>
      <c r="O214" s="39">
        <f>'Degree-days'!$I$12*IF($E214=$E$5,(O$5),(O$6))</f>
        <v>0</v>
      </c>
      <c r="P214" s="39">
        <f>'Degree-days'!$I$12*IF($E214=$E$5,(P$5),(P$6))</f>
        <v>0</v>
      </c>
      <c r="Q214" s="39">
        <f>'Degree-days'!$I$12*IF($E214=$E$5,(Q$5),(Q$6))</f>
        <v>0</v>
      </c>
      <c r="R214" s="39">
        <f>'Degree-days'!$I$12*IF($E214=$E$5,(R$5),(R$6))</f>
        <v>0</v>
      </c>
      <c r="S214" s="39">
        <f>'Degree-days'!$I$12*IF($E214=$E$5,(S$5),(S$6))</f>
        <v>0</v>
      </c>
      <c r="T214" s="39">
        <f>'Degree-days'!$I$12*IF($E214=$E$5,(T$5),(T$6))</f>
        <v>0</v>
      </c>
      <c r="U214" s="39">
        <f>'Degree-days'!$I$12*IF($E214=$E$5,(U$5),(U$6))</f>
        <v>0.19836484746205932</v>
      </c>
      <c r="V214" s="39">
        <f>'Degree-days'!$I$12*IF($E214=$E$5,(V$5),(V$6))</f>
        <v>0.19836484746205932</v>
      </c>
      <c r="W214" s="39">
        <f>'Degree-days'!$I$12*IF($E214=$E$5,(W$5),(W$6))</f>
        <v>0.19836484746205932</v>
      </c>
      <c r="X214" s="39">
        <f>'Degree-days'!$I$12*IF($E214=$E$5,(X$5),(X$6))</f>
        <v>0.19836484746205932</v>
      </c>
      <c r="Y214" s="39">
        <f>'Degree-days'!$I$12*IF($E214=$E$5,(Y$5),(Y$6))</f>
        <v>0.19836484746205932</v>
      </c>
      <c r="Z214" s="39">
        <f>'Degree-days'!$I$12*IF($E214=$E$5,(Z$5),(Z$6))</f>
        <v>0.19836484746205932</v>
      </c>
      <c r="AA214" s="39">
        <f>'Degree-days'!$I$12*IF($E214=$E$5,(AA$5),(AA$6))</f>
        <v>0.19836484746205932</v>
      </c>
      <c r="AB214" s="39">
        <f>'Degree-days'!$I$12*IF($E214=$E$5,(AB$5),(AB$6))</f>
        <v>0</v>
      </c>
      <c r="AC214" s="39">
        <f>'Degree-days'!$I$12*IF($E214=$E$5,(AC$5),(AC$6))</f>
        <v>0</v>
      </c>
      <c r="AD214" s="39">
        <f t="shared" si="8"/>
        <v>1.7852836271585342</v>
      </c>
      <c r="AE214" s="40"/>
    </row>
    <row r="215" spans="4:32" x14ac:dyDescent="0.2">
      <c r="D215" s="37">
        <v>45134</v>
      </c>
      <c r="E215" s="17" t="str">
        <f t="shared" si="9"/>
        <v>weekday</v>
      </c>
      <c r="F215" s="39">
        <f>'Degree-days'!$I$12*IF($E215=$E$5,(F$5),(F$6))</f>
        <v>0</v>
      </c>
      <c r="G215" s="39">
        <f>'Degree-days'!$I$12*IF($E215=$E$5,(G$5),(G$6))</f>
        <v>0</v>
      </c>
      <c r="H215" s="39">
        <f>'Degree-days'!$I$12*IF($E215=$E$5,(H$5),(H$6))</f>
        <v>0</v>
      </c>
      <c r="I215" s="39">
        <f>'Degree-days'!$I$12*IF($E215=$E$5,(I$5),(I$6))</f>
        <v>0</v>
      </c>
      <c r="J215" s="39">
        <f>'Degree-days'!$I$12*IF($E215=$E$5,(J$5),(J$6))</f>
        <v>0</v>
      </c>
      <c r="K215" s="39">
        <f>'Degree-days'!$I$12*IF($E215=$E$5,(K$5),(K$6))</f>
        <v>0</v>
      </c>
      <c r="L215" s="39">
        <f>'Degree-days'!$I$12*IF($E215=$E$5,(L$5),(L$6))</f>
        <v>0.19836484746205932</v>
      </c>
      <c r="M215" s="39">
        <f>'Degree-days'!$I$12*IF($E215=$E$5,(M$5),(M$6))</f>
        <v>0.19836484746205932</v>
      </c>
      <c r="N215" s="39">
        <f>'Degree-days'!$I$12*IF($E215=$E$5,(N$5),(N$6))</f>
        <v>0</v>
      </c>
      <c r="O215" s="39">
        <f>'Degree-days'!$I$12*IF($E215=$E$5,(O$5),(O$6))</f>
        <v>0</v>
      </c>
      <c r="P215" s="39">
        <f>'Degree-days'!$I$12*IF($E215=$E$5,(P$5),(P$6))</f>
        <v>0</v>
      </c>
      <c r="Q215" s="39">
        <f>'Degree-days'!$I$12*IF($E215=$E$5,(Q$5),(Q$6))</f>
        <v>0</v>
      </c>
      <c r="R215" s="39">
        <f>'Degree-days'!$I$12*IF($E215=$E$5,(R$5),(R$6))</f>
        <v>0</v>
      </c>
      <c r="S215" s="39">
        <f>'Degree-days'!$I$12*IF($E215=$E$5,(S$5),(S$6))</f>
        <v>0</v>
      </c>
      <c r="T215" s="39">
        <f>'Degree-days'!$I$12*IF($E215=$E$5,(T$5),(T$6))</f>
        <v>0</v>
      </c>
      <c r="U215" s="39">
        <f>'Degree-days'!$I$12*IF($E215=$E$5,(U$5),(U$6))</f>
        <v>0.19836484746205932</v>
      </c>
      <c r="V215" s="39">
        <f>'Degree-days'!$I$12*IF($E215=$E$5,(V$5),(V$6))</f>
        <v>0.19836484746205932</v>
      </c>
      <c r="W215" s="39">
        <f>'Degree-days'!$I$12*IF($E215=$E$5,(W$5),(W$6))</f>
        <v>0.19836484746205932</v>
      </c>
      <c r="X215" s="39">
        <f>'Degree-days'!$I$12*IF($E215=$E$5,(X$5),(X$6))</f>
        <v>0.19836484746205932</v>
      </c>
      <c r="Y215" s="39">
        <f>'Degree-days'!$I$12*IF($E215=$E$5,(Y$5),(Y$6))</f>
        <v>0.19836484746205932</v>
      </c>
      <c r="Z215" s="39">
        <f>'Degree-days'!$I$12*IF($E215=$E$5,(Z$5),(Z$6))</f>
        <v>0.19836484746205932</v>
      </c>
      <c r="AA215" s="39">
        <f>'Degree-days'!$I$12*IF($E215=$E$5,(AA$5),(AA$6))</f>
        <v>0.19836484746205932</v>
      </c>
      <c r="AB215" s="39">
        <f>'Degree-days'!$I$12*IF($E215=$E$5,(AB$5),(AB$6))</f>
        <v>0</v>
      </c>
      <c r="AC215" s="39">
        <f>'Degree-days'!$I$12*IF($E215=$E$5,(AC$5),(AC$6))</f>
        <v>0</v>
      </c>
      <c r="AD215" s="39">
        <f t="shared" si="8"/>
        <v>1.7852836271585342</v>
      </c>
      <c r="AE215" s="40"/>
    </row>
    <row r="216" spans="4:32" x14ac:dyDescent="0.2">
      <c r="D216" s="37">
        <v>45135</v>
      </c>
      <c r="E216" s="17" t="str">
        <f t="shared" si="9"/>
        <v>weekday</v>
      </c>
      <c r="F216" s="39">
        <f>'Degree-days'!$I$12*IF($E216=$E$5,(F$5),(F$6))</f>
        <v>0</v>
      </c>
      <c r="G216" s="39">
        <f>'Degree-days'!$I$12*IF($E216=$E$5,(G$5),(G$6))</f>
        <v>0</v>
      </c>
      <c r="H216" s="39">
        <f>'Degree-days'!$I$12*IF($E216=$E$5,(H$5),(H$6))</f>
        <v>0</v>
      </c>
      <c r="I216" s="39">
        <f>'Degree-days'!$I$12*IF($E216=$E$5,(I$5),(I$6))</f>
        <v>0</v>
      </c>
      <c r="J216" s="39">
        <f>'Degree-days'!$I$12*IF($E216=$E$5,(J$5),(J$6))</f>
        <v>0</v>
      </c>
      <c r="K216" s="39">
        <f>'Degree-days'!$I$12*IF($E216=$E$5,(K$5),(K$6))</f>
        <v>0</v>
      </c>
      <c r="L216" s="39">
        <f>'Degree-days'!$I$12*IF($E216=$E$5,(L$5),(L$6))</f>
        <v>0.19836484746205932</v>
      </c>
      <c r="M216" s="39">
        <f>'Degree-days'!$I$12*IF($E216=$E$5,(M$5),(M$6))</f>
        <v>0.19836484746205932</v>
      </c>
      <c r="N216" s="39">
        <f>'Degree-days'!$I$12*IF($E216=$E$5,(N$5),(N$6))</f>
        <v>0</v>
      </c>
      <c r="O216" s="39">
        <f>'Degree-days'!$I$12*IF($E216=$E$5,(O$5),(O$6))</f>
        <v>0</v>
      </c>
      <c r="P216" s="39">
        <f>'Degree-days'!$I$12*IF($E216=$E$5,(P$5),(P$6))</f>
        <v>0</v>
      </c>
      <c r="Q216" s="39">
        <f>'Degree-days'!$I$12*IF($E216=$E$5,(Q$5),(Q$6))</f>
        <v>0</v>
      </c>
      <c r="R216" s="39">
        <f>'Degree-days'!$I$12*IF($E216=$E$5,(R$5),(R$6))</f>
        <v>0</v>
      </c>
      <c r="S216" s="39">
        <f>'Degree-days'!$I$12*IF($E216=$E$5,(S$5),(S$6))</f>
        <v>0</v>
      </c>
      <c r="T216" s="39">
        <f>'Degree-days'!$I$12*IF($E216=$E$5,(T$5),(T$6))</f>
        <v>0</v>
      </c>
      <c r="U216" s="39">
        <f>'Degree-days'!$I$12*IF($E216=$E$5,(U$5),(U$6))</f>
        <v>0.19836484746205932</v>
      </c>
      <c r="V216" s="39">
        <f>'Degree-days'!$I$12*IF($E216=$E$5,(V$5),(V$6))</f>
        <v>0.19836484746205932</v>
      </c>
      <c r="W216" s="39">
        <f>'Degree-days'!$I$12*IF($E216=$E$5,(W$5),(W$6))</f>
        <v>0.19836484746205932</v>
      </c>
      <c r="X216" s="39">
        <f>'Degree-days'!$I$12*IF($E216=$E$5,(X$5),(X$6))</f>
        <v>0.19836484746205932</v>
      </c>
      <c r="Y216" s="39">
        <f>'Degree-days'!$I$12*IF($E216=$E$5,(Y$5),(Y$6))</f>
        <v>0.19836484746205932</v>
      </c>
      <c r="Z216" s="39">
        <f>'Degree-days'!$I$12*IF($E216=$E$5,(Z$5),(Z$6))</f>
        <v>0.19836484746205932</v>
      </c>
      <c r="AA216" s="39">
        <f>'Degree-days'!$I$12*IF($E216=$E$5,(AA$5),(AA$6))</f>
        <v>0.19836484746205932</v>
      </c>
      <c r="AB216" s="39">
        <f>'Degree-days'!$I$12*IF($E216=$E$5,(AB$5),(AB$6))</f>
        <v>0</v>
      </c>
      <c r="AC216" s="39">
        <f>'Degree-days'!$I$12*IF($E216=$E$5,(AC$5),(AC$6))</f>
        <v>0</v>
      </c>
      <c r="AD216" s="39">
        <f t="shared" si="8"/>
        <v>1.7852836271585342</v>
      </c>
      <c r="AE216" s="40"/>
    </row>
    <row r="217" spans="4:32" x14ac:dyDescent="0.2">
      <c r="D217" s="37">
        <v>45136</v>
      </c>
      <c r="E217" s="17" t="str">
        <f t="shared" si="9"/>
        <v>weekend</v>
      </c>
      <c r="F217" s="39">
        <f>'Degree-days'!$I$12*IF($E217=$E$5,(F$5),(F$6))</f>
        <v>0</v>
      </c>
      <c r="G217" s="39">
        <f>'Degree-days'!$I$12*IF($E217=$E$5,(G$5),(G$6))</f>
        <v>0</v>
      </c>
      <c r="H217" s="39">
        <f>'Degree-days'!$I$12*IF($E217=$E$5,(H$5),(H$6))</f>
        <v>0</v>
      </c>
      <c r="I217" s="39">
        <f>'Degree-days'!$I$12*IF($E217=$E$5,(I$5),(I$6))</f>
        <v>0</v>
      </c>
      <c r="J217" s="39">
        <f>'Degree-days'!$I$12*IF($E217=$E$5,(J$5),(J$6))</f>
        <v>0</v>
      </c>
      <c r="K217" s="39">
        <f>'Degree-days'!$I$12*IF($E217=$E$5,(K$5),(K$6))</f>
        <v>0</v>
      </c>
      <c r="L217" s="39">
        <f>'Degree-days'!$I$12*IF($E217=$E$5,(L$5),(L$6))</f>
        <v>0.19836484746205932</v>
      </c>
      <c r="M217" s="39">
        <f>'Degree-days'!$I$12*IF($E217=$E$5,(M$5),(M$6))</f>
        <v>0.19836484746205932</v>
      </c>
      <c r="N217" s="39">
        <f>'Degree-days'!$I$12*IF($E217=$E$5,(N$5),(N$6))</f>
        <v>0.19836484746205932</v>
      </c>
      <c r="O217" s="39">
        <f>'Degree-days'!$I$12*IF($E217=$E$5,(O$5),(O$6))</f>
        <v>0.19836484746205932</v>
      </c>
      <c r="P217" s="39">
        <f>'Degree-days'!$I$12*IF($E217=$E$5,(P$5),(P$6))</f>
        <v>0.19836484746205932</v>
      </c>
      <c r="Q217" s="39">
        <f>'Degree-days'!$I$12*IF($E217=$E$5,(Q$5),(Q$6))</f>
        <v>0.19836484746205932</v>
      </c>
      <c r="R217" s="39">
        <f>'Degree-days'!$I$12*IF($E217=$E$5,(R$5),(R$6))</f>
        <v>0.19836484746205932</v>
      </c>
      <c r="S217" s="39">
        <f>'Degree-days'!$I$12*IF($E217=$E$5,(S$5),(S$6))</f>
        <v>0.19836484746205932</v>
      </c>
      <c r="T217" s="39">
        <f>'Degree-days'!$I$12*IF($E217=$E$5,(T$5),(T$6))</f>
        <v>0.19836484746205932</v>
      </c>
      <c r="U217" s="39">
        <f>'Degree-days'!$I$12*IF($E217=$E$5,(U$5),(U$6))</f>
        <v>0.19836484746205932</v>
      </c>
      <c r="V217" s="39">
        <f>'Degree-days'!$I$12*IF($E217=$E$5,(V$5),(V$6))</f>
        <v>0.19836484746205932</v>
      </c>
      <c r="W217" s="39">
        <f>'Degree-days'!$I$12*IF($E217=$E$5,(W$5),(W$6))</f>
        <v>0.19836484746205932</v>
      </c>
      <c r="X217" s="39">
        <f>'Degree-days'!$I$12*IF($E217=$E$5,(X$5),(X$6))</f>
        <v>0.19836484746205932</v>
      </c>
      <c r="Y217" s="39">
        <f>'Degree-days'!$I$12*IF($E217=$E$5,(Y$5),(Y$6))</f>
        <v>0.19836484746205932</v>
      </c>
      <c r="Z217" s="39">
        <f>'Degree-days'!$I$12*IF($E217=$E$5,(Z$5),(Z$6))</f>
        <v>0.19836484746205932</v>
      </c>
      <c r="AA217" s="39">
        <f>'Degree-days'!$I$12*IF($E217=$E$5,(AA$5),(AA$6))</f>
        <v>0.19836484746205932</v>
      </c>
      <c r="AB217" s="39">
        <f>'Degree-days'!$I$12*IF($E217=$E$5,(AB$5),(AB$6))</f>
        <v>0</v>
      </c>
      <c r="AC217" s="39">
        <f>'Degree-days'!$I$12*IF($E217=$E$5,(AC$5),(AC$6))</f>
        <v>0</v>
      </c>
      <c r="AD217" s="39">
        <f t="shared" si="8"/>
        <v>3.17383755939295</v>
      </c>
      <c r="AE217" s="40"/>
    </row>
    <row r="218" spans="4:32" x14ac:dyDescent="0.2">
      <c r="D218" s="37">
        <v>45137</v>
      </c>
      <c r="E218" s="17" t="str">
        <f t="shared" si="9"/>
        <v>weekend</v>
      </c>
      <c r="F218" s="39">
        <f>'Degree-days'!$I$12*IF($E218=$E$5,(F$5),(F$6))</f>
        <v>0</v>
      </c>
      <c r="G218" s="39">
        <f>'Degree-days'!$I$12*IF($E218=$E$5,(G$5),(G$6))</f>
        <v>0</v>
      </c>
      <c r="H218" s="39">
        <f>'Degree-days'!$I$12*IF($E218=$E$5,(H$5),(H$6))</f>
        <v>0</v>
      </c>
      <c r="I218" s="39">
        <f>'Degree-days'!$I$12*IF($E218=$E$5,(I$5),(I$6))</f>
        <v>0</v>
      </c>
      <c r="J218" s="39">
        <f>'Degree-days'!$I$12*IF($E218=$E$5,(J$5),(J$6))</f>
        <v>0</v>
      </c>
      <c r="K218" s="39">
        <f>'Degree-days'!$I$12*IF($E218=$E$5,(K$5),(K$6))</f>
        <v>0</v>
      </c>
      <c r="L218" s="39">
        <f>'Degree-days'!$I$12*IF($E218=$E$5,(L$5),(L$6))</f>
        <v>0.19836484746205932</v>
      </c>
      <c r="M218" s="39">
        <f>'Degree-days'!$I$12*IF($E218=$E$5,(M$5),(M$6))</f>
        <v>0.19836484746205932</v>
      </c>
      <c r="N218" s="39">
        <f>'Degree-days'!$I$12*IF($E218=$E$5,(N$5),(N$6))</f>
        <v>0.19836484746205932</v>
      </c>
      <c r="O218" s="39">
        <f>'Degree-days'!$I$12*IF($E218=$E$5,(O$5),(O$6))</f>
        <v>0.19836484746205932</v>
      </c>
      <c r="P218" s="39">
        <f>'Degree-days'!$I$12*IF($E218=$E$5,(P$5),(P$6))</f>
        <v>0.19836484746205932</v>
      </c>
      <c r="Q218" s="39">
        <f>'Degree-days'!$I$12*IF($E218=$E$5,(Q$5),(Q$6))</f>
        <v>0.19836484746205932</v>
      </c>
      <c r="R218" s="39">
        <f>'Degree-days'!$I$12*IF($E218=$E$5,(R$5),(R$6))</f>
        <v>0.19836484746205932</v>
      </c>
      <c r="S218" s="39">
        <f>'Degree-days'!$I$12*IF($E218=$E$5,(S$5),(S$6))</f>
        <v>0.19836484746205932</v>
      </c>
      <c r="T218" s="39">
        <f>'Degree-days'!$I$12*IF($E218=$E$5,(T$5),(T$6))</f>
        <v>0.19836484746205932</v>
      </c>
      <c r="U218" s="39">
        <f>'Degree-days'!$I$12*IF($E218=$E$5,(U$5),(U$6))</f>
        <v>0.19836484746205932</v>
      </c>
      <c r="V218" s="39">
        <f>'Degree-days'!$I$12*IF($E218=$E$5,(V$5),(V$6))</f>
        <v>0.19836484746205932</v>
      </c>
      <c r="W218" s="39">
        <f>'Degree-days'!$I$12*IF($E218=$E$5,(W$5),(W$6))</f>
        <v>0.19836484746205932</v>
      </c>
      <c r="X218" s="39">
        <f>'Degree-days'!$I$12*IF($E218=$E$5,(X$5),(X$6))</f>
        <v>0.19836484746205932</v>
      </c>
      <c r="Y218" s="39">
        <f>'Degree-days'!$I$12*IF($E218=$E$5,(Y$5),(Y$6))</f>
        <v>0.19836484746205932</v>
      </c>
      <c r="Z218" s="39">
        <f>'Degree-days'!$I$12*IF($E218=$E$5,(Z$5),(Z$6))</f>
        <v>0.19836484746205932</v>
      </c>
      <c r="AA218" s="39">
        <f>'Degree-days'!$I$12*IF($E218=$E$5,(AA$5),(AA$6))</f>
        <v>0.19836484746205932</v>
      </c>
      <c r="AB218" s="39">
        <f>'Degree-days'!$I$12*IF($E218=$E$5,(AB$5),(AB$6))</f>
        <v>0</v>
      </c>
      <c r="AC218" s="39">
        <f>'Degree-days'!$I$12*IF($E218=$E$5,(AC$5),(AC$6))</f>
        <v>0</v>
      </c>
      <c r="AD218" s="39">
        <f t="shared" si="8"/>
        <v>3.17383755939295</v>
      </c>
      <c r="AE218" s="40"/>
    </row>
    <row r="219" spans="4:32" x14ac:dyDescent="0.2">
      <c r="D219" s="37">
        <v>45138</v>
      </c>
      <c r="E219" s="17" t="str">
        <f t="shared" si="9"/>
        <v>weekday</v>
      </c>
      <c r="F219" s="39">
        <f>'Degree-days'!$I$12*IF($E219=$E$5,(F$5),(F$6))</f>
        <v>0</v>
      </c>
      <c r="G219" s="39">
        <f>'Degree-days'!$I$12*IF($E219=$E$5,(G$5),(G$6))</f>
        <v>0</v>
      </c>
      <c r="H219" s="39">
        <f>'Degree-days'!$I$12*IF($E219=$E$5,(H$5),(H$6))</f>
        <v>0</v>
      </c>
      <c r="I219" s="39">
        <f>'Degree-days'!$I$12*IF($E219=$E$5,(I$5),(I$6))</f>
        <v>0</v>
      </c>
      <c r="J219" s="39">
        <f>'Degree-days'!$I$12*IF($E219=$E$5,(J$5),(J$6))</f>
        <v>0</v>
      </c>
      <c r="K219" s="39">
        <f>'Degree-days'!$I$12*IF($E219=$E$5,(K$5),(K$6))</f>
        <v>0</v>
      </c>
      <c r="L219" s="39">
        <f>'Degree-days'!$I$12*IF($E219=$E$5,(L$5),(L$6))</f>
        <v>0.19836484746205932</v>
      </c>
      <c r="M219" s="39">
        <f>'Degree-days'!$I$12*IF($E219=$E$5,(M$5),(M$6))</f>
        <v>0.19836484746205932</v>
      </c>
      <c r="N219" s="39">
        <f>'Degree-days'!$I$12*IF($E219=$E$5,(N$5),(N$6))</f>
        <v>0</v>
      </c>
      <c r="O219" s="39">
        <f>'Degree-days'!$I$12*IF($E219=$E$5,(O$5),(O$6))</f>
        <v>0</v>
      </c>
      <c r="P219" s="39">
        <f>'Degree-days'!$I$12*IF($E219=$E$5,(P$5),(P$6))</f>
        <v>0</v>
      </c>
      <c r="Q219" s="39">
        <f>'Degree-days'!$I$12*IF($E219=$E$5,(Q$5),(Q$6))</f>
        <v>0</v>
      </c>
      <c r="R219" s="39">
        <f>'Degree-days'!$I$12*IF($E219=$E$5,(R$5),(R$6))</f>
        <v>0</v>
      </c>
      <c r="S219" s="39">
        <f>'Degree-days'!$I$12*IF($E219=$E$5,(S$5),(S$6))</f>
        <v>0</v>
      </c>
      <c r="T219" s="39">
        <f>'Degree-days'!$I$12*IF($E219=$E$5,(T$5),(T$6))</f>
        <v>0</v>
      </c>
      <c r="U219" s="39">
        <f>'Degree-days'!$I$12*IF($E219=$E$5,(U$5),(U$6))</f>
        <v>0.19836484746205932</v>
      </c>
      <c r="V219" s="39">
        <f>'Degree-days'!$I$12*IF($E219=$E$5,(V$5),(V$6))</f>
        <v>0.19836484746205932</v>
      </c>
      <c r="W219" s="39">
        <f>'Degree-days'!$I$12*IF($E219=$E$5,(W$5),(W$6))</f>
        <v>0.19836484746205932</v>
      </c>
      <c r="X219" s="39">
        <f>'Degree-days'!$I$12*IF($E219=$E$5,(X$5),(X$6))</f>
        <v>0.19836484746205932</v>
      </c>
      <c r="Y219" s="39">
        <f>'Degree-days'!$I$12*IF($E219=$E$5,(Y$5),(Y$6))</f>
        <v>0.19836484746205932</v>
      </c>
      <c r="Z219" s="39">
        <f>'Degree-days'!$I$12*IF($E219=$E$5,(Z$5),(Z$6))</f>
        <v>0.19836484746205932</v>
      </c>
      <c r="AA219" s="39">
        <f>'Degree-days'!$I$12*IF($E219=$E$5,(AA$5),(AA$6))</f>
        <v>0.19836484746205932</v>
      </c>
      <c r="AB219" s="39">
        <f>'Degree-days'!$I$12*IF($E219=$E$5,(AB$5),(AB$6))</f>
        <v>0</v>
      </c>
      <c r="AC219" s="39">
        <f>'Degree-days'!$I$12*IF($E219=$E$5,(AC$5),(AC$6))</f>
        <v>0</v>
      </c>
      <c r="AD219" s="39">
        <f t="shared" si="8"/>
        <v>1.7852836271585342</v>
      </c>
      <c r="AE219" s="40">
        <f>SUM(AD189:AD219)</f>
        <v>69.229331764258717</v>
      </c>
      <c r="AF219" s="35">
        <f>'Degree-days'!I11</f>
        <v>69.229331764258703</v>
      </c>
    </row>
    <row r="220" spans="4:32" x14ac:dyDescent="0.2">
      <c r="D220" s="37">
        <v>45139</v>
      </c>
      <c r="E220" s="17" t="str">
        <f t="shared" si="9"/>
        <v>weekday</v>
      </c>
      <c r="F220" s="39">
        <f>'Degree-days'!$J$12*IF($E220=$E$5,(F$5),(F$6))</f>
        <v>0</v>
      </c>
      <c r="G220" s="39">
        <f>'Degree-days'!$J$12*IF($E220=$E$5,(G$5),(G$6))</f>
        <v>0</v>
      </c>
      <c r="H220" s="39">
        <f>'Degree-days'!$J$12*IF($E220=$E$5,(H$5),(H$6))</f>
        <v>0</v>
      </c>
      <c r="I220" s="39">
        <f>'Degree-days'!$J$12*IF($E220=$E$5,(I$5),(I$6))</f>
        <v>0</v>
      </c>
      <c r="J220" s="39">
        <f>'Degree-days'!$J$12*IF($E220=$E$5,(J$5),(J$6))</f>
        <v>0</v>
      </c>
      <c r="K220" s="39">
        <f>'Degree-days'!$J$12*IF($E220=$E$5,(K$5),(K$6))</f>
        <v>0</v>
      </c>
      <c r="L220" s="39">
        <f>'Degree-days'!$J$12*IF($E220=$E$5,(L$5),(L$6))</f>
        <v>0.22806147286700376</v>
      </c>
      <c r="M220" s="39">
        <f>'Degree-days'!$J$12*IF($E220=$E$5,(M$5),(M$6))</f>
        <v>0.22806147286700376</v>
      </c>
      <c r="N220" s="39">
        <f>'Degree-days'!$J$12*IF($E220=$E$5,(N$5),(N$6))</f>
        <v>0</v>
      </c>
      <c r="O220" s="39">
        <f>'Degree-days'!$J$12*IF($E220=$E$5,(O$5),(O$6))</f>
        <v>0</v>
      </c>
      <c r="P220" s="39">
        <f>'Degree-days'!$J$12*IF($E220=$E$5,(P$5),(P$6))</f>
        <v>0</v>
      </c>
      <c r="Q220" s="39">
        <f>'Degree-days'!$J$12*IF($E220=$E$5,(Q$5),(Q$6))</f>
        <v>0</v>
      </c>
      <c r="R220" s="39">
        <f>'Degree-days'!$J$12*IF($E220=$E$5,(R$5),(R$6))</f>
        <v>0</v>
      </c>
      <c r="S220" s="39">
        <f>'Degree-days'!$J$12*IF($E220=$E$5,(S$5),(S$6))</f>
        <v>0</v>
      </c>
      <c r="T220" s="39">
        <f>'Degree-days'!$J$12*IF($E220=$E$5,(T$5),(T$6))</f>
        <v>0</v>
      </c>
      <c r="U220" s="39">
        <f>'Degree-days'!$J$12*IF($E220=$E$5,(U$5),(U$6))</f>
        <v>0.22806147286700376</v>
      </c>
      <c r="V220" s="39">
        <f>'Degree-days'!$J$12*IF($E220=$E$5,(V$5),(V$6))</f>
        <v>0.22806147286700376</v>
      </c>
      <c r="W220" s="39">
        <f>'Degree-days'!$J$12*IF($E220=$E$5,(W$5),(W$6))</f>
        <v>0.22806147286700376</v>
      </c>
      <c r="X220" s="39">
        <f>'Degree-days'!$J$12*IF($E220=$E$5,(X$5),(X$6))</f>
        <v>0.22806147286700376</v>
      </c>
      <c r="Y220" s="39">
        <f>'Degree-days'!$J$12*IF($E220=$E$5,(Y$5),(Y$6))</f>
        <v>0.22806147286700376</v>
      </c>
      <c r="Z220" s="39">
        <f>'Degree-days'!$J$12*IF($E220=$E$5,(Z$5),(Z$6))</f>
        <v>0.22806147286700376</v>
      </c>
      <c r="AA220" s="39">
        <f>'Degree-days'!$J$12*IF($E220=$E$5,(AA$5),(AA$6))</f>
        <v>0.22806147286700376</v>
      </c>
      <c r="AB220" s="39">
        <f>'Degree-days'!$J$12*IF($E220=$E$5,(AB$5),(AB$6))</f>
        <v>0</v>
      </c>
      <c r="AC220" s="39">
        <f>'Degree-days'!$J$12*IF($E220=$E$5,(AC$5),(AC$6))</f>
        <v>0</v>
      </c>
      <c r="AD220" s="39">
        <f t="shared" si="8"/>
        <v>2.0525532558030339</v>
      </c>
      <c r="AE220" s="40"/>
    </row>
    <row r="221" spans="4:32" x14ac:dyDescent="0.2">
      <c r="D221" s="37">
        <v>45140</v>
      </c>
      <c r="E221" s="17" t="str">
        <f t="shared" si="9"/>
        <v>weekday</v>
      </c>
      <c r="F221" s="39">
        <f>'Degree-days'!$J$12*IF($E221=$E$5,(F$5),(F$6))</f>
        <v>0</v>
      </c>
      <c r="G221" s="39">
        <f>'Degree-days'!$J$12*IF($E221=$E$5,(G$5),(G$6))</f>
        <v>0</v>
      </c>
      <c r="H221" s="39">
        <f>'Degree-days'!$J$12*IF($E221=$E$5,(H$5),(H$6))</f>
        <v>0</v>
      </c>
      <c r="I221" s="39">
        <f>'Degree-days'!$J$12*IF($E221=$E$5,(I$5),(I$6))</f>
        <v>0</v>
      </c>
      <c r="J221" s="39">
        <f>'Degree-days'!$J$12*IF($E221=$E$5,(J$5),(J$6))</f>
        <v>0</v>
      </c>
      <c r="K221" s="39">
        <f>'Degree-days'!$J$12*IF($E221=$E$5,(K$5),(K$6))</f>
        <v>0</v>
      </c>
      <c r="L221" s="39">
        <f>'Degree-days'!$J$12*IF($E221=$E$5,(L$5),(L$6))</f>
        <v>0.22806147286700376</v>
      </c>
      <c r="M221" s="39">
        <f>'Degree-days'!$J$12*IF($E221=$E$5,(M$5),(M$6))</f>
        <v>0.22806147286700376</v>
      </c>
      <c r="N221" s="39">
        <f>'Degree-days'!$J$12*IF($E221=$E$5,(N$5),(N$6))</f>
        <v>0</v>
      </c>
      <c r="O221" s="39">
        <f>'Degree-days'!$J$12*IF($E221=$E$5,(O$5),(O$6))</f>
        <v>0</v>
      </c>
      <c r="P221" s="39">
        <f>'Degree-days'!$J$12*IF($E221=$E$5,(P$5),(P$6))</f>
        <v>0</v>
      </c>
      <c r="Q221" s="39">
        <f>'Degree-days'!$J$12*IF($E221=$E$5,(Q$5),(Q$6))</f>
        <v>0</v>
      </c>
      <c r="R221" s="39">
        <f>'Degree-days'!$J$12*IF($E221=$E$5,(R$5),(R$6))</f>
        <v>0</v>
      </c>
      <c r="S221" s="39">
        <f>'Degree-days'!$J$12*IF($E221=$E$5,(S$5),(S$6))</f>
        <v>0</v>
      </c>
      <c r="T221" s="39">
        <f>'Degree-days'!$J$12*IF($E221=$E$5,(T$5),(T$6))</f>
        <v>0</v>
      </c>
      <c r="U221" s="39">
        <f>'Degree-days'!$J$12*IF($E221=$E$5,(U$5),(U$6))</f>
        <v>0.22806147286700376</v>
      </c>
      <c r="V221" s="39">
        <f>'Degree-days'!$J$12*IF($E221=$E$5,(V$5),(V$6))</f>
        <v>0.22806147286700376</v>
      </c>
      <c r="W221" s="39">
        <f>'Degree-days'!$J$12*IF($E221=$E$5,(W$5),(W$6))</f>
        <v>0.22806147286700376</v>
      </c>
      <c r="X221" s="39">
        <f>'Degree-days'!$J$12*IF($E221=$E$5,(X$5),(X$6))</f>
        <v>0.22806147286700376</v>
      </c>
      <c r="Y221" s="39">
        <f>'Degree-days'!$J$12*IF($E221=$E$5,(Y$5),(Y$6))</f>
        <v>0.22806147286700376</v>
      </c>
      <c r="Z221" s="39">
        <f>'Degree-days'!$J$12*IF($E221=$E$5,(Z$5),(Z$6))</f>
        <v>0.22806147286700376</v>
      </c>
      <c r="AA221" s="39">
        <f>'Degree-days'!$J$12*IF($E221=$E$5,(AA$5),(AA$6))</f>
        <v>0.22806147286700376</v>
      </c>
      <c r="AB221" s="39">
        <f>'Degree-days'!$J$12*IF($E221=$E$5,(AB$5),(AB$6))</f>
        <v>0</v>
      </c>
      <c r="AC221" s="39">
        <f>'Degree-days'!$J$12*IF($E221=$E$5,(AC$5),(AC$6))</f>
        <v>0</v>
      </c>
      <c r="AD221" s="39">
        <f t="shared" si="8"/>
        <v>2.0525532558030339</v>
      </c>
      <c r="AE221" s="40"/>
    </row>
    <row r="222" spans="4:32" x14ac:dyDescent="0.2">
      <c r="D222" s="37">
        <v>45141</v>
      </c>
      <c r="E222" s="17" t="str">
        <f t="shared" si="9"/>
        <v>weekday</v>
      </c>
      <c r="F222" s="39">
        <f>'Degree-days'!$J$12*IF($E222=$E$5,(F$5),(F$6))</f>
        <v>0</v>
      </c>
      <c r="G222" s="39">
        <f>'Degree-days'!$J$12*IF($E222=$E$5,(G$5),(G$6))</f>
        <v>0</v>
      </c>
      <c r="H222" s="39">
        <f>'Degree-days'!$J$12*IF($E222=$E$5,(H$5),(H$6))</f>
        <v>0</v>
      </c>
      <c r="I222" s="39">
        <f>'Degree-days'!$J$12*IF($E222=$E$5,(I$5),(I$6))</f>
        <v>0</v>
      </c>
      <c r="J222" s="39">
        <f>'Degree-days'!$J$12*IF($E222=$E$5,(J$5),(J$6))</f>
        <v>0</v>
      </c>
      <c r="K222" s="39">
        <f>'Degree-days'!$J$12*IF($E222=$E$5,(K$5),(K$6))</f>
        <v>0</v>
      </c>
      <c r="L222" s="39">
        <f>'Degree-days'!$J$12*IF($E222=$E$5,(L$5),(L$6))</f>
        <v>0.22806147286700376</v>
      </c>
      <c r="M222" s="39">
        <f>'Degree-days'!$J$12*IF($E222=$E$5,(M$5),(M$6))</f>
        <v>0.22806147286700376</v>
      </c>
      <c r="N222" s="39">
        <f>'Degree-days'!$J$12*IF($E222=$E$5,(N$5),(N$6))</f>
        <v>0</v>
      </c>
      <c r="O222" s="39">
        <f>'Degree-days'!$J$12*IF($E222=$E$5,(O$5),(O$6))</f>
        <v>0</v>
      </c>
      <c r="P222" s="39">
        <f>'Degree-days'!$J$12*IF($E222=$E$5,(P$5),(P$6))</f>
        <v>0</v>
      </c>
      <c r="Q222" s="39">
        <f>'Degree-days'!$J$12*IF($E222=$E$5,(Q$5),(Q$6))</f>
        <v>0</v>
      </c>
      <c r="R222" s="39">
        <f>'Degree-days'!$J$12*IF($E222=$E$5,(R$5),(R$6))</f>
        <v>0</v>
      </c>
      <c r="S222" s="39">
        <f>'Degree-days'!$J$12*IF($E222=$E$5,(S$5),(S$6))</f>
        <v>0</v>
      </c>
      <c r="T222" s="39">
        <f>'Degree-days'!$J$12*IF($E222=$E$5,(T$5),(T$6))</f>
        <v>0</v>
      </c>
      <c r="U222" s="39">
        <f>'Degree-days'!$J$12*IF($E222=$E$5,(U$5),(U$6))</f>
        <v>0.22806147286700376</v>
      </c>
      <c r="V222" s="39">
        <f>'Degree-days'!$J$12*IF($E222=$E$5,(V$5),(V$6))</f>
        <v>0.22806147286700376</v>
      </c>
      <c r="W222" s="39">
        <f>'Degree-days'!$J$12*IF($E222=$E$5,(W$5),(W$6))</f>
        <v>0.22806147286700376</v>
      </c>
      <c r="X222" s="39">
        <f>'Degree-days'!$J$12*IF($E222=$E$5,(X$5),(X$6))</f>
        <v>0.22806147286700376</v>
      </c>
      <c r="Y222" s="39">
        <f>'Degree-days'!$J$12*IF($E222=$E$5,(Y$5),(Y$6))</f>
        <v>0.22806147286700376</v>
      </c>
      <c r="Z222" s="39">
        <f>'Degree-days'!$J$12*IF($E222=$E$5,(Z$5),(Z$6))</f>
        <v>0.22806147286700376</v>
      </c>
      <c r="AA222" s="39">
        <f>'Degree-days'!$J$12*IF($E222=$E$5,(AA$5),(AA$6))</f>
        <v>0.22806147286700376</v>
      </c>
      <c r="AB222" s="39">
        <f>'Degree-days'!$J$12*IF($E222=$E$5,(AB$5),(AB$6))</f>
        <v>0</v>
      </c>
      <c r="AC222" s="39">
        <f>'Degree-days'!$J$12*IF($E222=$E$5,(AC$5),(AC$6))</f>
        <v>0</v>
      </c>
      <c r="AD222" s="39">
        <f t="shared" si="8"/>
        <v>2.0525532558030339</v>
      </c>
      <c r="AE222" s="40"/>
    </row>
    <row r="223" spans="4:32" x14ac:dyDescent="0.2">
      <c r="D223" s="37">
        <v>45142</v>
      </c>
      <c r="E223" s="17" t="str">
        <f t="shared" si="9"/>
        <v>weekday</v>
      </c>
      <c r="F223" s="39">
        <f>'Degree-days'!$J$12*IF($E223=$E$5,(F$5),(F$6))</f>
        <v>0</v>
      </c>
      <c r="G223" s="39">
        <f>'Degree-days'!$J$12*IF($E223=$E$5,(G$5),(G$6))</f>
        <v>0</v>
      </c>
      <c r="H223" s="39">
        <f>'Degree-days'!$J$12*IF($E223=$E$5,(H$5),(H$6))</f>
        <v>0</v>
      </c>
      <c r="I223" s="39">
        <f>'Degree-days'!$J$12*IF($E223=$E$5,(I$5),(I$6))</f>
        <v>0</v>
      </c>
      <c r="J223" s="39">
        <f>'Degree-days'!$J$12*IF($E223=$E$5,(J$5),(J$6))</f>
        <v>0</v>
      </c>
      <c r="K223" s="39">
        <f>'Degree-days'!$J$12*IF($E223=$E$5,(K$5),(K$6))</f>
        <v>0</v>
      </c>
      <c r="L223" s="39">
        <f>'Degree-days'!$J$12*IF($E223=$E$5,(L$5),(L$6))</f>
        <v>0.22806147286700376</v>
      </c>
      <c r="M223" s="39">
        <f>'Degree-days'!$J$12*IF($E223=$E$5,(M$5),(M$6))</f>
        <v>0.22806147286700376</v>
      </c>
      <c r="N223" s="39">
        <f>'Degree-days'!$J$12*IF($E223=$E$5,(N$5),(N$6))</f>
        <v>0</v>
      </c>
      <c r="O223" s="39">
        <f>'Degree-days'!$J$12*IF($E223=$E$5,(O$5),(O$6))</f>
        <v>0</v>
      </c>
      <c r="P223" s="39">
        <f>'Degree-days'!$J$12*IF($E223=$E$5,(P$5),(P$6))</f>
        <v>0</v>
      </c>
      <c r="Q223" s="39">
        <f>'Degree-days'!$J$12*IF($E223=$E$5,(Q$5),(Q$6))</f>
        <v>0</v>
      </c>
      <c r="R223" s="39">
        <f>'Degree-days'!$J$12*IF($E223=$E$5,(R$5),(R$6))</f>
        <v>0</v>
      </c>
      <c r="S223" s="39">
        <f>'Degree-days'!$J$12*IF($E223=$E$5,(S$5),(S$6))</f>
        <v>0</v>
      </c>
      <c r="T223" s="39">
        <f>'Degree-days'!$J$12*IF($E223=$E$5,(T$5),(T$6))</f>
        <v>0</v>
      </c>
      <c r="U223" s="39">
        <f>'Degree-days'!$J$12*IF($E223=$E$5,(U$5),(U$6))</f>
        <v>0.22806147286700376</v>
      </c>
      <c r="V223" s="39">
        <f>'Degree-days'!$J$12*IF($E223=$E$5,(V$5),(V$6))</f>
        <v>0.22806147286700376</v>
      </c>
      <c r="W223" s="39">
        <f>'Degree-days'!$J$12*IF($E223=$E$5,(W$5),(W$6))</f>
        <v>0.22806147286700376</v>
      </c>
      <c r="X223" s="39">
        <f>'Degree-days'!$J$12*IF($E223=$E$5,(X$5),(X$6))</f>
        <v>0.22806147286700376</v>
      </c>
      <c r="Y223" s="39">
        <f>'Degree-days'!$J$12*IF($E223=$E$5,(Y$5),(Y$6))</f>
        <v>0.22806147286700376</v>
      </c>
      <c r="Z223" s="39">
        <f>'Degree-days'!$J$12*IF($E223=$E$5,(Z$5),(Z$6))</f>
        <v>0.22806147286700376</v>
      </c>
      <c r="AA223" s="39">
        <f>'Degree-days'!$J$12*IF($E223=$E$5,(AA$5),(AA$6))</f>
        <v>0.22806147286700376</v>
      </c>
      <c r="AB223" s="39">
        <f>'Degree-days'!$J$12*IF($E223=$E$5,(AB$5),(AB$6))</f>
        <v>0</v>
      </c>
      <c r="AC223" s="39">
        <f>'Degree-days'!$J$12*IF($E223=$E$5,(AC$5),(AC$6))</f>
        <v>0</v>
      </c>
      <c r="AD223" s="39">
        <f t="shared" si="8"/>
        <v>2.0525532558030339</v>
      </c>
      <c r="AE223" s="40"/>
    </row>
    <row r="224" spans="4:32" x14ac:dyDescent="0.2">
      <c r="D224" s="37">
        <v>45143</v>
      </c>
      <c r="E224" s="17" t="str">
        <f t="shared" si="9"/>
        <v>weekend</v>
      </c>
      <c r="F224" s="39">
        <f>'Degree-days'!$J$12*IF($E224=$E$5,(F$5),(F$6))</f>
        <v>0</v>
      </c>
      <c r="G224" s="39">
        <f>'Degree-days'!$J$12*IF($E224=$E$5,(G$5),(G$6))</f>
        <v>0</v>
      </c>
      <c r="H224" s="39">
        <f>'Degree-days'!$J$12*IF($E224=$E$5,(H$5),(H$6))</f>
        <v>0</v>
      </c>
      <c r="I224" s="39">
        <f>'Degree-days'!$J$12*IF($E224=$E$5,(I$5),(I$6))</f>
        <v>0</v>
      </c>
      <c r="J224" s="39">
        <f>'Degree-days'!$J$12*IF($E224=$E$5,(J$5),(J$6))</f>
        <v>0</v>
      </c>
      <c r="K224" s="39">
        <f>'Degree-days'!$J$12*IF($E224=$E$5,(K$5),(K$6))</f>
        <v>0</v>
      </c>
      <c r="L224" s="39">
        <f>'Degree-days'!$J$12*IF($E224=$E$5,(L$5),(L$6))</f>
        <v>0.22806147286700376</v>
      </c>
      <c r="M224" s="39">
        <f>'Degree-days'!$J$12*IF($E224=$E$5,(M$5),(M$6))</f>
        <v>0.22806147286700376</v>
      </c>
      <c r="N224" s="39">
        <f>'Degree-days'!$J$12*IF($E224=$E$5,(N$5),(N$6))</f>
        <v>0.22806147286700376</v>
      </c>
      <c r="O224" s="39">
        <f>'Degree-days'!$J$12*IF($E224=$E$5,(O$5),(O$6))</f>
        <v>0.22806147286700376</v>
      </c>
      <c r="P224" s="39">
        <f>'Degree-days'!$J$12*IF($E224=$E$5,(P$5),(P$6))</f>
        <v>0.22806147286700376</v>
      </c>
      <c r="Q224" s="39">
        <f>'Degree-days'!$J$12*IF($E224=$E$5,(Q$5),(Q$6))</f>
        <v>0.22806147286700376</v>
      </c>
      <c r="R224" s="39">
        <f>'Degree-days'!$J$12*IF($E224=$E$5,(R$5),(R$6))</f>
        <v>0.22806147286700376</v>
      </c>
      <c r="S224" s="39">
        <f>'Degree-days'!$J$12*IF($E224=$E$5,(S$5),(S$6))</f>
        <v>0.22806147286700376</v>
      </c>
      <c r="T224" s="39">
        <f>'Degree-days'!$J$12*IF($E224=$E$5,(T$5),(T$6))</f>
        <v>0.22806147286700376</v>
      </c>
      <c r="U224" s="39">
        <f>'Degree-days'!$J$12*IF($E224=$E$5,(U$5),(U$6))</f>
        <v>0.22806147286700376</v>
      </c>
      <c r="V224" s="39">
        <f>'Degree-days'!$J$12*IF($E224=$E$5,(V$5),(V$6))</f>
        <v>0.22806147286700376</v>
      </c>
      <c r="W224" s="39">
        <f>'Degree-days'!$J$12*IF($E224=$E$5,(W$5),(W$6))</f>
        <v>0.22806147286700376</v>
      </c>
      <c r="X224" s="39">
        <f>'Degree-days'!$J$12*IF($E224=$E$5,(X$5),(X$6))</f>
        <v>0.22806147286700376</v>
      </c>
      <c r="Y224" s="39">
        <f>'Degree-days'!$J$12*IF($E224=$E$5,(Y$5),(Y$6))</f>
        <v>0.22806147286700376</v>
      </c>
      <c r="Z224" s="39">
        <f>'Degree-days'!$J$12*IF($E224=$E$5,(Z$5),(Z$6))</f>
        <v>0.22806147286700376</v>
      </c>
      <c r="AA224" s="39">
        <f>'Degree-days'!$J$12*IF($E224=$E$5,(AA$5),(AA$6))</f>
        <v>0.22806147286700376</v>
      </c>
      <c r="AB224" s="39">
        <f>'Degree-days'!$J$12*IF($E224=$E$5,(AB$5),(AB$6))</f>
        <v>0</v>
      </c>
      <c r="AC224" s="39">
        <f>'Degree-days'!$J$12*IF($E224=$E$5,(AC$5),(AC$6))</f>
        <v>0</v>
      </c>
      <c r="AD224" s="39">
        <f t="shared" si="8"/>
        <v>3.6489835658720593</v>
      </c>
      <c r="AE224" s="40"/>
    </row>
    <row r="225" spans="4:31" x14ac:dyDescent="0.2">
      <c r="D225" s="37">
        <v>45144</v>
      </c>
      <c r="E225" s="17" t="str">
        <f t="shared" si="9"/>
        <v>weekend</v>
      </c>
      <c r="F225" s="39">
        <f>'Degree-days'!$J$12*IF($E225=$E$5,(F$5),(F$6))</f>
        <v>0</v>
      </c>
      <c r="G225" s="39">
        <f>'Degree-days'!$J$12*IF($E225=$E$5,(G$5),(G$6))</f>
        <v>0</v>
      </c>
      <c r="H225" s="39">
        <f>'Degree-days'!$J$12*IF($E225=$E$5,(H$5),(H$6))</f>
        <v>0</v>
      </c>
      <c r="I225" s="39">
        <f>'Degree-days'!$J$12*IF($E225=$E$5,(I$5),(I$6))</f>
        <v>0</v>
      </c>
      <c r="J225" s="39">
        <f>'Degree-days'!$J$12*IF($E225=$E$5,(J$5),(J$6))</f>
        <v>0</v>
      </c>
      <c r="K225" s="39">
        <f>'Degree-days'!$J$12*IF($E225=$E$5,(K$5),(K$6))</f>
        <v>0</v>
      </c>
      <c r="L225" s="39">
        <f>'Degree-days'!$J$12*IF($E225=$E$5,(L$5),(L$6))</f>
        <v>0.22806147286700376</v>
      </c>
      <c r="M225" s="39">
        <f>'Degree-days'!$J$12*IF($E225=$E$5,(M$5),(M$6))</f>
        <v>0.22806147286700376</v>
      </c>
      <c r="N225" s="39">
        <f>'Degree-days'!$J$12*IF($E225=$E$5,(N$5),(N$6))</f>
        <v>0.22806147286700376</v>
      </c>
      <c r="O225" s="39">
        <f>'Degree-days'!$J$12*IF($E225=$E$5,(O$5),(O$6))</f>
        <v>0.22806147286700376</v>
      </c>
      <c r="P225" s="39">
        <f>'Degree-days'!$J$12*IF($E225=$E$5,(P$5),(P$6))</f>
        <v>0.22806147286700376</v>
      </c>
      <c r="Q225" s="39">
        <f>'Degree-days'!$J$12*IF($E225=$E$5,(Q$5),(Q$6))</f>
        <v>0.22806147286700376</v>
      </c>
      <c r="R225" s="39">
        <f>'Degree-days'!$J$12*IF($E225=$E$5,(R$5),(R$6))</f>
        <v>0.22806147286700376</v>
      </c>
      <c r="S225" s="39">
        <f>'Degree-days'!$J$12*IF($E225=$E$5,(S$5),(S$6))</f>
        <v>0.22806147286700376</v>
      </c>
      <c r="T225" s="39">
        <f>'Degree-days'!$J$12*IF($E225=$E$5,(T$5),(T$6))</f>
        <v>0.22806147286700376</v>
      </c>
      <c r="U225" s="39">
        <f>'Degree-days'!$J$12*IF($E225=$E$5,(U$5),(U$6))</f>
        <v>0.22806147286700376</v>
      </c>
      <c r="V225" s="39">
        <f>'Degree-days'!$J$12*IF($E225=$E$5,(V$5),(V$6))</f>
        <v>0.22806147286700376</v>
      </c>
      <c r="W225" s="39">
        <f>'Degree-days'!$J$12*IF($E225=$E$5,(W$5),(W$6))</f>
        <v>0.22806147286700376</v>
      </c>
      <c r="X225" s="39">
        <f>'Degree-days'!$J$12*IF($E225=$E$5,(X$5),(X$6))</f>
        <v>0.22806147286700376</v>
      </c>
      <c r="Y225" s="39">
        <f>'Degree-days'!$J$12*IF($E225=$E$5,(Y$5),(Y$6))</f>
        <v>0.22806147286700376</v>
      </c>
      <c r="Z225" s="39">
        <f>'Degree-days'!$J$12*IF($E225=$E$5,(Z$5),(Z$6))</f>
        <v>0.22806147286700376</v>
      </c>
      <c r="AA225" s="39">
        <f>'Degree-days'!$J$12*IF($E225=$E$5,(AA$5),(AA$6))</f>
        <v>0.22806147286700376</v>
      </c>
      <c r="AB225" s="39">
        <f>'Degree-days'!$J$12*IF($E225=$E$5,(AB$5),(AB$6))</f>
        <v>0</v>
      </c>
      <c r="AC225" s="39">
        <f>'Degree-days'!$J$12*IF($E225=$E$5,(AC$5),(AC$6))</f>
        <v>0</v>
      </c>
      <c r="AD225" s="39">
        <f t="shared" si="8"/>
        <v>3.6489835658720593</v>
      </c>
      <c r="AE225" s="40"/>
    </row>
    <row r="226" spans="4:31" x14ac:dyDescent="0.2">
      <c r="D226" s="37">
        <v>45145</v>
      </c>
      <c r="E226" s="17" t="str">
        <f t="shared" si="9"/>
        <v>weekday</v>
      </c>
      <c r="F226" s="39">
        <f>'Degree-days'!$J$12*IF($E226=$E$5,(F$5),(F$6))</f>
        <v>0</v>
      </c>
      <c r="G226" s="39">
        <f>'Degree-days'!$J$12*IF($E226=$E$5,(G$5),(G$6))</f>
        <v>0</v>
      </c>
      <c r="H226" s="39">
        <f>'Degree-days'!$J$12*IF($E226=$E$5,(H$5),(H$6))</f>
        <v>0</v>
      </c>
      <c r="I226" s="39">
        <f>'Degree-days'!$J$12*IF($E226=$E$5,(I$5),(I$6))</f>
        <v>0</v>
      </c>
      <c r="J226" s="39">
        <f>'Degree-days'!$J$12*IF($E226=$E$5,(J$5),(J$6))</f>
        <v>0</v>
      </c>
      <c r="K226" s="39">
        <f>'Degree-days'!$J$12*IF($E226=$E$5,(K$5),(K$6))</f>
        <v>0</v>
      </c>
      <c r="L226" s="39">
        <f>'Degree-days'!$J$12*IF($E226=$E$5,(L$5),(L$6))</f>
        <v>0.22806147286700376</v>
      </c>
      <c r="M226" s="39">
        <f>'Degree-days'!$J$12*IF($E226=$E$5,(M$5),(M$6))</f>
        <v>0.22806147286700376</v>
      </c>
      <c r="N226" s="39">
        <f>'Degree-days'!$J$12*IF($E226=$E$5,(N$5),(N$6))</f>
        <v>0</v>
      </c>
      <c r="O226" s="39">
        <f>'Degree-days'!$J$12*IF($E226=$E$5,(O$5),(O$6))</f>
        <v>0</v>
      </c>
      <c r="P226" s="39">
        <f>'Degree-days'!$J$12*IF($E226=$E$5,(P$5),(P$6))</f>
        <v>0</v>
      </c>
      <c r="Q226" s="39">
        <f>'Degree-days'!$J$12*IF($E226=$E$5,(Q$5),(Q$6))</f>
        <v>0</v>
      </c>
      <c r="R226" s="39">
        <f>'Degree-days'!$J$12*IF($E226=$E$5,(R$5),(R$6))</f>
        <v>0</v>
      </c>
      <c r="S226" s="39">
        <f>'Degree-days'!$J$12*IF($E226=$E$5,(S$5),(S$6))</f>
        <v>0</v>
      </c>
      <c r="T226" s="39">
        <f>'Degree-days'!$J$12*IF($E226=$E$5,(T$5),(T$6))</f>
        <v>0</v>
      </c>
      <c r="U226" s="39">
        <f>'Degree-days'!$J$12*IF($E226=$E$5,(U$5),(U$6))</f>
        <v>0.22806147286700376</v>
      </c>
      <c r="V226" s="39">
        <f>'Degree-days'!$J$12*IF($E226=$E$5,(V$5),(V$6))</f>
        <v>0.22806147286700376</v>
      </c>
      <c r="W226" s="39">
        <f>'Degree-days'!$J$12*IF($E226=$E$5,(W$5),(W$6))</f>
        <v>0.22806147286700376</v>
      </c>
      <c r="X226" s="39">
        <f>'Degree-days'!$J$12*IF($E226=$E$5,(X$5),(X$6))</f>
        <v>0.22806147286700376</v>
      </c>
      <c r="Y226" s="39">
        <f>'Degree-days'!$J$12*IF($E226=$E$5,(Y$5),(Y$6))</f>
        <v>0.22806147286700376</v>
      </c>
      <c r="Z226" s="39">
        <f>'Degree-days'!$J$12*IF($E226=$E$5,(Z$5),(Z$6))</f>
        <v>0.22806147286700376</v>
      </c>
      <c r="AA226" s="39">
        <f>'Degree-days'!$J$12*IF($E226=$E$5,(AA$5),(AA$6))</f>
        <v>0.22806147286700376</v>
      </c>
      <c r="AB226" s="39">
        <f>'Degree-days'!$J$12*IF($E226=$E$5,(AB$5),(AB$6))</f>
        <v>0</v>
      </c>
      <c r="AC226" s="39">
        <f>'Degree-days'!$J$12*IF($E226=$E$5,(AC$5),(AC$6))</f>
        <v>0</v>
      </c>
      <c r="AD226" s="39">
        <f t="shared" si="8"/>
        <v>2.0525532558030339</v>
      </c>
      <c r="AE226" s="40"/>
    </row>
    <row r="227" spans="4:31" x14ac:dyDescent="0.2">
      <c r="D227" s="37">
        <v>45146</v>
      </c>
      <c r="E227" s="17" t="str">
        <f t="shared" si="9"/>
        <v>weekday</v>
      </c>
      <c r="F227" s="39">
        <f>'Degree-days'!$J$12*IF($E227=$E$5,(F$5),(F$6))</f>
        <v>0</v>
      </c>
      <c r="G227" s="39">
        <f>'Degree-days'!$J$12*IF($E227=$E$5,(G$5),(G$6))</f>
        <v>0</v>
      </c>
      <c r="H227" s="39">
        <f>'Degree-days'!$J$12*IF($E227=$E$5,(H$5),(H$6))</f>
        <v>0</v>
      </c>
      <c r="I227" s="39">
        <f>'Degree-days'!$J$12*IF($E227=$E$5,(I$5),(I$6))</f>
        <v>0</v>
      </c>
      <c r="J227" s="39">
        <f>'Degree-days'!$J$12*IF($E227=$E$5,(J$5),(J$6))</f>
        <v>0</v>
      </c>
      <c r="K227" s="39">
        <f>'Degree-days'!$J$12*IF($E227=$E$5,(K$5),(K$6))</f>
        <v>0</v>
      </c>
      <c r="L227" s="39">
        <f>'Degree-days'!$J$12*IF($E227=$E$5,(L$5),(L$6))</f>
        <v>0.22806147286700376</v>
      </c>
      <c r="M227" s="39">
        <f>'Degree-days'!$J$12*IF($E227=$E$5,(M$5),(M$6))</f>
        <v>0.22806147286700376</v>
      </c>
      <c r="N227" s="39">
        <f>'Degree-days'!$J$12*IF($E227=$E$5,(N$5),(N$6))</f>
        <v>0</v>
      </c>
      <c r="O227" s="39">
        <f>'Degree-days'!$J$12*IF($E227=$E$5,(O$5),(O$6))</f>
        <v>0</v>
      </c>
      <c r="P227" s="39">
        <f>'Degree-days'!$J$12*IF($E227=$E$5,(P$5),(P$6))</f>
        <v>0</v>
      </c>
      <c r="Q227" s="39">
        <f>'Degree-days'!$J$12*IF($E227=$E$5,(Q$5),(Q$6))</f>
        <v>0</v>
      </c>
      <c r="R227" s="39">
        <f>'Degree-days'!$J$12*IF($E227=$E$5,(R$5),(R$6))</f>
        <v>0</v>
      </c>
      <c r="S227" s="39">
        <f>'Degree-days'!$J$12*IF($E227=$E$5,(S$5),(S$6))</f>
        <v>0</v>
      </c>
      <c r="T227" s="39">
        <f>'Degree-days'!$J$12*IF($E227=$E$5,(T$5),(T$6))</f>
        <v>0</v>
      </c>
      <c r="U227" s="39">
        <f>'Degree-days'!$J$12*IF($E227=$E$5,(U$5),(U$6))</f>
        <v>0.22806147286700376</v>
      </c>
      <c r="V227" s="39">
        <f>'Degree-days'!$J$12*IF($E227=$E$5,(V$5),(V$6))</f>
        <v>0.22806147286700376</v>
      </c>
      <c r="W227" s="39">
        <f>'Degree-days'!$J$12*IF($E227=$E$5,(W$5),(W$6))</f>
        <v>0.22806147286700376</v>
      </c>
      <c r="X227" s="39">
        <f>'Degree-days'!$J$12*IF($E227=$E$5,(X$5),(X$6))</f>
        <v>0.22806147286700376</v>
      </c>
      <c r="Y227" s="39">
        <f>'Degree-days'!$J$12*IF($E227=$E$5,(Y$5),(Y$6))</f>
        <v>0.22806147286700376</v>
      </c>
      <c r="Z227" s="39">
        <f>'Degree-days'!$J$12*IF($E227=$E$5,(Z$5),(Z$6))</f>
        <v>0.22806147286700376</v>
      </c>
      <c r="AA227" s="39">
        <f>'Degree-days'!$J$12*IF($E227=$E$5,(AA$5),(AA$6))</f>
        <v>0.22806147286700376</v>
      </c>
      <c r="AB227" s="39">
        <f>'Degree-days'!$J$12*IF($E227=$E$5,(AB$5),(AB$6))</f>
        <v>0</v>
      </c>
      <c r="AC227" s="39">
        <f>'Degree-days'!$J$12*IF($E227=$E$5,(AC$5),(AC$6))</f>
        <v>0</v>
      </c>
      <c r="AD227" s="39">
        <f t="shared" si="8"/>
        <v>2.0525532558030339</v>
      </c>
      <c r="AE227" s="40"/>
    </row>
    <row r="228" spans="4:31" x14ac:dyDescent="0.2">
      <c r="D228" s="37">
        <v>45147</v>
      </c>
      <c r="E228" s="17" t="str">
        <f t="shared" si="9"/>
        <v>weekday</v>
      </c>
      <c r="F228" s="39">
        <f>'Degree-days'!$J$12*IF($E228=$E$5,(F$5),(F$6))</f>
        <v>0</v>
      </c>
      <c r="G228" s="39">
        <f>'Degree-days'!$J$12*IF($E228=$E$5,(G$5),(G$6))</f>
        <v>0</v>
      </c>
      <c r="H228" s="39">
        <f>'Degree-days'!$J$12*IF($E228=$E$5,(H$5),(H$6))</f>
        <v>0</v>
      </c>
      <c r="I228" s="39">
        <f>'Degree-days'!$J$12*IF($E228=$E$5,(I$5),(I$6))</f>
        <v>0</v>
      </c>
      <c r="J228" s="39">
        <f>'Degree-days'!$J$12*IF($E228=$E$5,(J$5),(J$6))</f>
        <v>0</v>
      </c>
      <c r="K228" s="39">
        <f>'Degree-days'!$J$12*IF($E228=$E$5,(K$5),(K$6))</f>
        <v>0</v>
      </c>
      <c r="L228" s="39">
        <f>'Degree-days'!$J$12*IF($E228=$E$5,(L$5),(L$6))</f>
        <v>0.22806147286700376</v>
      </c>
      <c r="M228" s="39">
        <f>'Degree-days'!$J$12*IF($E228=$E$5,(M$5),(M$6))</f>
        <v>0.22806147286700376</v>
      </c>
      <c r="N228" s="39">
        <f>'Degree-days'!$J$12*IF($E228=$E$5,(N$5),(N$6))</f>
        <v>0</v>
      </c>
      <c r="O228" s="39">
        <f>'Degree-days'!$J$12*IF($E228=$E$5,(O$5),(O$6))</f>
        <v>0</v>
      </c>
      <c r="P228" s="39">
        <f>'Degree-days'!$J$12*IF($E228=$E$5,(P$5),(P$6))</f>
        <v>0</v>
      </c>
      <c r="Q228" s="39">
        <f>'Degree-days'!$J$12*IF($E228=$E$5,(Q$5),(Q$6))</f>
        <v>0</v>
      </c>
      <c r="R228" s="39">
        <f>'Degree-days'!$J$12*IF($E228=$E$5,(R$5),(R$6))</f>
        <v>0</v>
      </c>
      <c r="S228" s="39">
        <f>'Degree-days'!$J$12*IF($E228=$E$5,(S$5),(S$6))</f>
        <v>0</v>
      </c>
      <c r="T228" s="39">
        <f>'Degree-days'!$J$12*IF($E228=$E$5,(T$5),(T$6))</f>
        <v>0</v>
      </c>
      <c r="U228" s="39">
        <f>'Degree-days'!$J$12*IF($E228=$E$5,(U$5),(U$6))</f>
        <v>0.22806147286700376</v>
      </c>
      <c r="V228" s="39">
        <f>'Degree-days'!$J$12*IF($E228=$E$5,(V$5),(V$6))</f>
        <v>0.22806147286700376</v>
      </c>
      <c r="W228" s="39">
        <f>'Degree-days'!$J$12*IF($E228=$E$5,(W$5),(W$6))</f>
        <v>0.22806147286700376</v>
      </c>
      <c r="X228" s="39">
        <f>'Degree-days'!$J$12*IF($E228=$E$5,(X$5),(X$6))</f>
        <v>0.22806147286700376</v>
      </c>
      <c r="Y228" s="39">
        <f>'Degree-days'!$J$12*IF($E228=$E$5,(Y$5),(Y$6))</f>
        <v>0.22806147286700376</v>
      </c>
      <c r="Z228" s="39">
        <f>'Degree-days'!$J$12*IF($E228=$E$5,(Z$5),(Z$6))</f>
        <v>0.22806147286700376</v>
      </c>
      <c r="AA228" s="39">
        <f>'Degree-days'!$J$12*IF($E228=$E$5,(AA$5),(AA$6))</f>
        <v>0.22806147286700376</v>
      </c>
      <c r="AB228" s="39">
        <f>'Degree-days'!$J$12*IF($E228=$E$5,(AB$5),(AB$6))</f>
        <v>0</v>
      </c>
      <c r="AC228" s="39">
        <f>'Degree-days'!$J$12*IF($E228=$E$5,(AC$5),(AC$6))</f>
        <v>0</v>
      </c>
      <c r="AD228" s="39">
        <f t="shared" si="8"/>
        <v>2.0525532558030339</v>
      </c>
      <c r="AE228" s="40"/>
    </row>
    <row r="229" spans="4:31" x14ac:dyDescent="0.2">
      <c r="D229" s="37">
        <v>45148</v>
      </c>
      <c r="E229" s="17" t="str">
        <f t="shared" si="9"/>
        <v>weekday</v>
      </c>
      <c r="F229" s="39">
        <f>'Degree-days'!$J$12*IF($E229=$E$5,(F$5),(F$6))</f>
        <v>0</v>
      </c>
      <c r="G229" s="39">
        <f>'Degree-days'!$J$12*IF($E229=$E$5,(G$5),(G$6))</f>
        <v>0</v>
      </c>
      <c r="H229" s="39">
        <f>'Degree-days'!$J$12*IF($E229=$E$5,(H$5),(H$6))</f>
        <v>0</v>
      </c>
      <c r="I229" s="39">
        <f>'Degree-days'!$J$12*IF($E229=$E$5,(I$5),(I$6))</f>
        <v>0</v>
      </c>
      <c r="J229" s="39">
        <f>'Degree-days'!$J$12*IF($E229=$E$5,(J$5),(J$6))</f>
        <v>0</v>
      </c>
      <c r="K229" s="39">
        <f>'Degree-days'!$J$12*IF($E229=$E$5,(K$5),(K$6))</f>
        <v>0</v>
      </c>
      <c r="L229" s="39">
        <f>'Degree-days'!$J$12*IF($E229=$E$5,(L$5),(L$6))</f>
        <v>0.22806147286700376</v>
      </c>
      <c r="M229" s="39">
        <f>'Degree-days'!$J$12*IF($E229=$E$5,(M$5),(M$6))</f>
        <v>0.22806147286700376</v>
      </c>
      <c r="N229" s="39">
        <f>'Degree-days'!$J$12*IF($E229=$E$5,(N$5),(N$6))</f>
        <v>0</v>
      </c>
      <c r="O229" s="39">
        <f>'Degree-days'!$J$12*IF($E229=$E$5,(O$5),(O$6))</f>
        <v>0</v>
      </c>
      <c r="P229" s="39">
        <f>'Degree-days'!$J$12*IF($E229=$E$5,(P$5),(P$6))</f>
        <v>0</v>
      </c>
      <c r="Q229" s="39">
        <f>'Degree-days'!$J$12*IF($E229=$E$5,(Q$5),(Q$6))</f>
        <v>0</v>
      </c>
      <c r="R229" s="39">
        <f>'Degree-days'!$J$12*IF($E229=$E$5,(R$5),(R$6))</f>
        <v>0</v>
      </c>
      <c r="S229" s="39">
        <f>'Degree-days'!$J$12*IF($E229=$E$5,(S$5),(S$6))</f>
        <v>0</v>
      </c>
      <c r="T229" s="39">
        <f>'Degree-days'!$J$12*IF($E229=$E$5,(T$5),(T$6))</f>
        <v>0</v>
      </c>
      <c r="U229" s="39">
        <f>'Degree-days'!$J$12*IF($E229=$E$5,(U$5),(U$6))</f>
        <v>0.22806147286700376</v>
      </c>
      <c r="V229" s="39">
        <f>'Degree-days'!$J$12*IF($E229=$E$5,(V$5),(V$6))</f>
        <v>0.22806147286700376</v>
      </c>
      <c r="W229" s="39">
        <f>'Degree-days'!$J$12*IF($E229=$E$5,(W$5),(W$6))</f>
        <v>0.22806147286700376</v>
      </c>
      <c r="X229" s="39">
        <f>'Degree-days'!$J$12*IF($E229=$E$5,(X$5),(X$6))</f>
        <v>0.22806147286700376</v>
      </c>
      <c r="Y229" s="39">
        <f>'Degree-days'!$J$12*IF($E229=$E$5,(Y$5),(Y$6))</f>
        <v>0.22806147286700376</v>
      </c>
      <c r="Z229" s="39">
        <f>'Degree-days'!$J$12*IF($E229=$E$5,(Z$5),(Z$6))</f>
        <v>0.22806147286700376</v>
      </c>
      <c r="AA229" s="39">
        <f>'Degree-days'!$J$12*IF($E229=$E$5,(AA$5),(AA$6))</f>
        <v>0.22806147286700376</v>
      </c>
      <c r="AB229" s="39">
        <f>'Degree-days'!$J$12*IF($E229=$E$5,(AB$5),(AB$6))</f>
        <v>0</v>
      </c>
      <c r="AC229" s="39">
        <f>'Degree-days'!$J$12*IF($E229=$E$5,(AC$5),(AC$6))</f>
        <v>0</v>
      </c>
      <c r="AD229" s="39">
        <f t="shared" si="8"/>
        <v>2.0525532558030339</v>
      </c>
      <c r="AE229" s="40"/>
    </row>
    <row r="230" spans="4:31" x14ac:dyDescent="0.2">
      <c r="D230" s="37">
        <v>45149</v>
      </c>
      <c r="E230" s="17" t="str">
        <f t="shared" si="9"/>
        <v>weekday</v>
      </c>
      <c r="F230" s="39">
        <f>'Degree-days'!$J$12*IF($E230=$E$5,(F$5),(F$6))</f>
        <v>0</v>
      </c>
      <c r="G230" s="39">
        <f>'Degree-days'!$J$12*IF($E230=$E$5,(G$5),(G$6))</f>
        <v>0</v>
      </c>
      <c r="H230" s="39">
        <f>'Degree-days'!$J$12*IF($E230=$E$5,(H$5),(H$6))</f>
        <v>0</v>
      </c>
      <c r="I230" s="39">
        <f>'Degree-days'!$J$12*IF($E230=$E$5,(I$5),(I$6))</f>
        <v>0</v>
      </c>
      <c r="J230" s="39">
        <f>'Degree-days'!$J$12*IF($E230=$E$5,(J$5),(J$6))</f>
        <v>0</v>
      </c>
      <c r="K230" s="39">
        <f>'Degree-days'!$J$12*IF($E230=$E$5,(K$5),(K$6))</f>
        <v>0</v>
      </c>
      <c r="L230" s="39">
        <f>'Degree-days'!$J$12*IF($E230=$E$5,(L$5),(L$6))</f>
        <v>0.22806147286700376</v>
      </c>
      <c r="M230" s="39">
        <f>'Degree-days'!$J$12*IF($E230=$E$5,(M$5),(M$6))</f>
        <v>0.22806147286700376</v>
      </c>
      <c r="N230" s="39">
        <f>'Degree-days'!$J$12*IF($E230=$E$5,(N$5),(N$6))</f>
        <v>0</v>
      </c>
      <c r="O230" s="39">
        <f>'Degree-days'!$J$12*IF($E230=$E$5,(O$5),(O$6))</f>
        <v>0</v>
      </c>
      <c r="P230" s="39">
        <f>'Degree-days'!$J$12*IF($E230=$E$5,(P$5),(P$6))</f>
        <v>0</v>
      </c>
      <c r="Q230" s="39">
        <f>'Degree-days'!$J$12*IF($E230=$E$5,(Q$5),(Q$6))</f>
        <v>0</v>
      </c>
      <c r="R230" s="39">
        <f>'Degree-days'!$J$12*IF($E230=$E$5,(R$5),(R$6))</f>
        <v>0</v>
      </c>
      <c r="S230" s="39">
        <f>'Degree-days'!$J$12*IF($E230=$E$5,(S$5),(S$6))</f>
        <v>0</v>
      </c>
      <c r="T230" s="39">
        <f>'Degree-days'!$J$12*IF($E230=$E$5,(T$5),(T$6))</f>
        <v>0</v>
      </c>
      <c r="U230" s="39">
        <f>'Degree-days'!$J$12*IF($E230=$E$5,(U$5),(U$6))</f>
        <v>0.22806147286700376</v>
      </c>
      <c r="V230" s="39">
        <f>'Degree-days'!$J$12*IF($E230=$E$5,(V$5),(V$6))</f>
        <v>0.22806147286700376</v>
      </c>
      <c r="W230" s="39">
        <f>'Degree-days'!$J$12*IF($E230=$E$5,(W$5),(W$6))</f>
        <v>0.22806147286700376</v>
      </c>
      <c r="X230" s="39">
        <f>'Degree-days'!$J$12*IF($E230=$E$5,(X$5),(X$6))</f>
        <v>0.22806147286700376</v>
      </c>
      <c r="Y230" s="39">
        <f>'Degree-days'!$J$12*IF($E230=$E$5,(Y$5),(Y$6))</f>
        <v>0.22806147286700376</v>
      </c>
      <c r="Z230" s="39">
        <f>'Degree-days'!$J$12*IF($E230=$E$5,(Z$5),(Z$6))</f>
        <v>0.22806147286700376</v>
      </c>
      <c r="AA230" s="39">
        <f>'Degree-days'!$J$12*IF($E230=$E$5,(AA$5),(AA$6))</f>
        <v>0.22806147286700376</v>
      </c>
      <c r="AB230" s="39">
        <f>'Degree-days'!$J$12*IF($E230=$E$5,(AB$5),(AB$6))</f>
        <v>0</v>
      </c>
      <c r="AC230" s="39">
        <f>'Degree-days'!$J$12*IF($E230=$E$5,(AC$5),(AC$6))</f>
        <v>0</v>
      </c>
      <c r="AD230" s="39">
        <f t="shared" si="8"/>
        <v>2.0525532558030339</v>
      </c>
      <c r="AE230" s="40"/>
    </row>
    <row r="231" spans="4:31" x14ac:dyDescent="0.2">
      <c r="D231" s="37">
        <v>45150</v>
      </c>
      <c r="E231" s="17" t="str">
        <f t="shared" si="9"/>
        <v>weekend</v>
      </c>
      <c r="F231" s="39">
        <f>'Degree-days'!$J$12*IF($E231=$E$5,(F$5),(F$6))</f>
        <v>0</v>
      </c>
      <c r="G231" s="39">
        <f>'Degree-days'!$J$12*IF($E231=$E$5,(G$5),(G$6))</f>
        <v>0</v>
      </c>
      <c r="H231" s="39">
        <f>'Degree-days'!$J$12*IF($E231=$E$5,(H$5),(H$6))</f>
        <v>0</v>
      </c>
      <c r="I231" s="39">
        <f>'Degree-days'!$J$12*IF($E231=$E$5,(I$5),(I$6))</f>
        <v>0</v>
      </c>
      <c r="J231" s="39">
        <f>'Degree-days'!$J$12*IF($E231=$E$5,(J$5),(J$6))</f>
        <v>0</v>
      </c>
      <c r="K231" s="39">
        <f>'Degree-days'!$J$12*IF($E231=$E$5,(K$5),(K$6))</f>
        <v>0</v>
      </c>
      <c r="L231" s="39">
        <f>'Degree-days'!$J$12*IF($E231=$E$5,(L$5),(L$6))</f>
        <v>0.22806147286700376</v>
      </c>
      <c r="M231" s="39">
        <f>'Degree-days'!$J$12*IF($E231=$E$5,(M$5),(M$6))</f>
        <v>0.22806147286700376</v>
      </c>
      <c r="N231" s="39">
        <f>'Degree-days'!$J$12*IF($E231=$E$5,(N$5),(N$6))</f>
        <v>0.22806147286700376</v>
      </c>
      <c r="O231" s="39">
        <f>'Degree-days'!$J$12*IF($E231=$E$5,(O$5),(O$6))</f>
        <v>0.22806147286700376</v>
      </c>
      <c r="P231" s="39">
        <f>'Degree-days'!$J$12*IF($E231=$E$5,(P$5),(P$6))</f>
        <v>0.22806147286700376</v>
      </c>
      <c r="Q231" s="39">
        <f>'Degree-days'!$J$12*IF($E231=$E$5,(Q$5),(Q$6))</f>
        <v>0.22806147286700376</v>
      </c>
      <c r="R231" s="39">
        <f>'Degree-days'!$J$12*IF($E231=$E$5,(R$5),(R$6))</f>
        <v>0.22806147286700376</v>
      </c>
      <c r="S231" s="39">
        <f>'Degree-days'!$J$12*IF($E231=$E$5,(S$5),(S$6))</f>
        <v>0.22806147286700376</v>
      </c>
      <c r="T231" s="39">
        <f>'Degree-days'!$J$12*IF($E231=$E$5,(T$5),(T$6))</f>
        <v>0.22806147286700376</v>
      </c>
      <c r="U231" s="39">
        <f>'Degree-days'!$J$12*IF($E231=$E$5,(U$5),(U$6))</f>
        <v>0.22806147286700376</v>
      </c>
      <c r="V231" s="39">
        <f>'Degree-days'!$J$12*IF($E231=$E$5,(V$5),(V$6))</f>
        <v>0.22806147286700376</v>
      </c>
      <c r="W231" s="39">
        <f>'Degree-days'!$J$12*IF($E231=$E$5,(W$5),(W$6))</f>
        <v>0.22806147286700376</v>
      </c>
      <c r="X231" s="39">
        <f>'Degree-days'!$J$12*IF($E231=$E$5,(X$5),(X$6))</f>
        <v>0.22806147286700376</v>
      </c>
      <c r="Y231" s="39">
        <f>'Degree-days'!$J$12*IF($E231=$E$5,(Y$5),(Y$6))</f>
        <v>0.22806147286700376</v>
      </c>
      <c r="Z231" s="39">
        <f>'Degree-days'!$J$12*IF($E231=$E$5,(Z$5),(Z$6))</f>
        <v>0.22806147286700376</v>
      </c>
      <c r="AA231" s="39">
        <f>'Degree-days'!$J$12*IF($E231=$E$5,(AA$5),(AA$6))</f>
        <v>0.22806147286700376</v>
      </c>
      <c r="AB231" s="39">
        <f>'Degree-days'!$J$12*IF($E231=$E$5,(AB$5),(AB$6))</f>
        <v>0</v>
      </c>
      <c r="AC231" s="39">
        <f>'Degree-days'!$J$12*IF($E231=$E$5,(AC$5),(AC$6))</f>
        <v>0</v>
      </c>
      <c r="AD231" s="39">
        <f t="shared" si="8"/>
        <v>3.6489835658720593</v>
      </c>
      <c r="AE231" s="40"/>
    </row>
    <row r="232" spans="4:31" x14ac:dyDescent="0.2">
      <c r="D232" s="37">
        <v>45151</v>
      </c>
      <c r="E232" s="17" t="str">
        <f t="shared" si="9"/>
        <v>weekend</v>
      </c>
      <c r="F232" s="39">
        <f>'Degree-days'!$J$12*IF($E232=$E$5,(F$5),(F$6))</f>
        <v>0</v>
      </c>
      <c r="G232" s="39">
        <f>'Degree-days'!$J$12*IF($E232=$E$5,(G$5),(G$6))</f>
        <v>0</v>
      </c>
      <c r="H232" s="39">
        <f>'Degree-days'!$J$12*IF($E232=$E$5,(H$5),(H$6))</f>
        <v>0</v>
      </c>
      <c r="I232" s="39">
        <f>'Degree-days'!$J$12*IF($E232=$E$5,(I$5),(I$6))</f>
        <v>0</v>
      </c>
      <c r="J232" s="39">
        <f>'Degree-days'!$J$12*IF($E232=$E$5,(J$5),(J$6))</f>
        <v>0</v>
      </c>
      <c r="K232" s="39">
        <f>'Degree-days'!$J$12*IF($E232=$E$5,(K$5),(K$6))</f>
        <v>0</v>
      </c>
      <c r="L232" s="39">
        <f>'Degree-days'!$J$12*IF($E232=$E$5,(L$5),(L$6))</f>
        <v>0.22806147286700376</v>
      </c>
      <c r="M232" s="39">
        <f>'Degree-days'!$J$12*IF($E232=$E$5,(M$5),(M$6))</f>
        <v>0.22806147286700376</v>
      </c>
      <c r="N232" s="39">
        <f>'Degree-days'!$J$12*IF($E232=$E$5,(N$5),(N$6))</f>
        <v>0.22806147286700376</v>
      </c>
      <c r="O232" s="39">
        <f>'Degree-days'!$J$12*IF($E232=$E$5,(O$5),(O$6))</f>
        <v>0.22806147286700376</v>
      </c>
      <c r="P232" s="39">
        <f>'Degree-days'!$J$12*IF($E232=$E$5,(P$5),(P$6))</f>
        <v>0.22806147286700376</v>
      </c>
      <c r="Q232" s="39">
        <f>'Degree-days'!$J$12*IF($E232=$E$5,(Q$5),(Q$6))</f>
        <v>0.22806147286700376</v>
      </c>
      <c r="R232" s="39">
        <f>'Degree-days'!$J$12*IF($E232=$E$5,(R$5),(R$6))</f>
        <v>0.22806147286700376</v>
      </c>
      <c r="S232" s="39">
        <f>'Degree-days'!$J$12*IF($E232=$E$5,(S$5),(S$6))</f>
        <v>0.22806147286700376</v>
      </c>
      <c r="T232" s="39">
        <f>'Degree-days'!$J$12*IF($E232=$E$5,(T$5),(T$6))</f>
        <v>0.22806147286700376</v>
      </c>
      <c r="U232" s="39">
        <f>'Degree-days'!$J$12*IF($E232=$E$5,(U$5),(U$6))</f>
        <v>0.22806147286700376</v>
      </c>
      <c r="V232" s="39">
        <f>'Degree-days'!$J$12*IF($E232=$E$5,(V$5),(V$6))</f>
        <v>0.22806147286700376</v>
      </c>
      <c r="W232" s="39">
        <f>'Degree-days'!$J$12*IF($E232=$E$5,(W$5),(W$6))</f>
        <v>0.22806147286700376</v>
      </c>
      <c r="X232" s="39">
        <f>'Degree-days'!$J$12*IF($E232=$E$5,(X$5),(X$6))</f>
        <v>0.22806147286700376</v>
      </c>
      <c r="Y232" s="39">
        <f>'Degree-days'!$J$12*IF($E232=$E$5,(Y$5),(Y$6))</f>
        <v>0.22806147286700376</v>
      </c>
      <c r="Z232" s="39">
        <f>'Degree-days'!$J$12*IF($E232=$E$5,(Z$5),(Z$6))</f>
        <v>0.22806147286700376</v>
      </c>
      <c r="AA232" s="39">
        <f>'Degree-days'!$J$12*IF($E232=$E$5,(AA$5),(AA$6))</f>
        <v>0.22806147286700376</v>
      </c>
      <c r="AB232" s="39">
        <f>'Degree-days'!$J$12*IF($E232=$E$5,(AB$5),(AB$6))</f>
        <v>0</v>
      </c>
      <c r="AC232" s="39">
        <f>'Degree-days'!$J$12*IF($E232=$E$5,(AC$5),(AC$6))</f>
        <v>0</v>
      </c>
      <c r="AD232" s="39">
        <f t="shared" si="8"/>
        <v>3.6489835658720593</v>
      </c>
      <c r="AE232" s="40"/>
    </row>
    <row r="233" spans="4:31" x14ac:dyDescent="0.2">
      <c r="D233" s="37">
        <v>45152</v>
      </c>
      <c r="E233" s="17" t="str">
        <f t="shared" si="9"/>
        <v>weekday</v>
      </c>
      <c r="F233" s="39">
        <f>'Degree-days'!$J$12*IF($E233=$E$5,(F$5),(F$6))</f>
        <v>0</v>
      </c>
      <c r="G233" s="39">
        <f>'Degree-days'!$J$12*IF($E233=$E$5,(G$5),(G$6))</f>
        <v>0</v>
      </c>
      <c r="H233" s="39">
        <f>'Degree-days'!$J$12*IF($E233=$E$5,(H$5),(H$6))</f>
        <v>0</v>
      </c>
      <c r="I233" s="39">
        <f>'Degree-days'!$J$12*IF($E233=$E$5,(I$5),(I$6))</f>
        <v>0</v>
      </c>
      <c r="J233" s="39">
        <f>'Degree-days'!$J$12*IF($E233=$E$5,(J$5),(J$6))</f>
        <v>0</v>
      </c>
      <c r="K233" s="39">
        <f>'Degree-days'!$J$12*IF($E233=$E$5,(K$5),(K$6))</f>
        <v>0</v>
      </c>
      <c r="L233" s="39">
        <f>'Degree-days'!$J$12*IF($E233=$E$5,(L$5),(L$6))</f>
        <v>0.22806147286700376</v>
      </c>
      <c r="M233" s="39">
        <f>'Degree-days'!$J$12*IF($E233=$E$5,(M$5),(M$6))</f>
        <v>0.22806147286700376</v>
      </c>
      <c r="N233" s="39">
        <f>'Degree-days'!$J$12*IF($E233=$E$5,(N$5),(N$6))</f>
        <v>0</v>
      </c>
      <c r="O233" s="39">
        <f>'Degree-days'!$J$12*IF($E233=$E$5,(O$5),(O$6))</f>
        <v>0</v>
      </c>
      <c r="P233" s="39">
        <f>'Degree-days'!$J$12*IF($E233=$E$5,(P$5),(P$6))</f>
        <v>0</v>
      </c>
      <c r="Q233" s="39">
        <f>'Degree-days'!$J$12*IF($E233=$E$5,(Q$5),(Q$6))</f>
        <v>0</v>
      </c>
      <c r="R233" s="39">
        <f>'Degree-days'!$J$12*IF($E233=$E$5,(R$5),(R$6))</f>
        <v>0</v>
      </c>
      <c r="S233" s="39">
        <f>'Degree-days'!$J$12*IF($E233=$E$5,(S$5),(S$6))</f>
        <v>0</v>
      </c>
      <c r="T233" s="39">
        <f>'Degree-days'!$J$12*IF($E233=$E$5,(T$5),(T$6))</f>
        <v>0</v>
      </c>
      <c r="U233" s="39">
        <f>'Degree-days'!$J$12*IF($E233=$E$5,(U$5),(U$6))</f>
        <v>0.22806147286700376</v>
      </c>
      <c r="V233" s="39">
        <f>'Degree-days'!$J$12*IF($E233=$E$5,(V$5),(V$6))</f>
        <v>0.22806147286700376</v>
      </c>
      <c r="W233" s="39">
        <f>'Degree-days'!$J$12*IF($E233=$E$5,(W$5),(W$6))</f>
        <v>0.22806147286700376</v>
      </c>
      <c r="X233" s="39">
        <f>'Degree-days'!$J$12*IF($E233=$E$5,(X$5),(X$6))</f>
        <v>0.22806147286700376</v>
      </c>
      <c r="Y233" s="39">
        <f>'Degree-days'!$J$12*IF($E233=$E$5,(Y$5),(Y$6))</f>
        <v>0.22806147286700376</v>
      </c>
      <c r="Z233" s="39">
        <f>'Degree-days'!$J$12*IF($E233=$E$5,(Z$5),(Z$6))</f>
        <v>0.22806147286700376</v>
      </c>
      <c r="AA233" s="39">
        <f>'Degree-days'!$J$12*IF($E233=$E$5,(AA$5),(AA$6))</f>
        <v>0.22806147286700376</v>
      </c>
      <c r="AB233" s="39">
        <f>'Degree-days'!$J$12*IF($E233=$E$5,(AB$5),(AB$6))</f>
        <v>0</v>
      </c>
      <c r="AC233" s="39">
        <f>'Degree-days'!$J$12*IF($E233=$E$5,(AC$5),(AC$6))</f>
        <v>0</v>
      </c>
      <c r="AD233" s="39">
        <f t="shared" si="8"/>
        <v>2.0525532558030339</v>
      </c>
      <c r="AE233" s="40"/>
    </row>
    <row r="234" spans="4:31" x14ac:dyDescent="0.2">
      <c r="D234" s="37">
        <v>45153</v>
      </c>
      <c r="E234" s="17" t="str">
        <f t="shared" si="9"/>
        <v>weekday</v>
      </c>
      <c r="F234" s="39">
        <f>'Degree-days'!$J$12*IF($E234=$E$5,(F$5),(F$6))</f>
        <v>0</v>
      </c>
      <c r="G234" s="39">
        <f>'Degree-days'!$J$12*IF($E234=$E$5,(G$5),(G$6))</f>
        <v>0</v>
      </c>
      <c r="H234" s="39">
        <f>'Degree-days'!$J$12*IF($E234=$E$5,(H$5),(H$6))</f>
        <v>0</v>
      </c>
      <c r="I234" s="39">
        <f>'Degree-days'!$J$12*IF($E234=$E$5,(I$5),(I$6))</f>
        <v>0</v>
      </c>
      <c r="J234" s="39">
        <f>'Degree-days'!$J$12*IF($E234=$E$5,(J$5),(J$6))</f>
        <v>0</v>
      </c>
      <c r="K234" s="39">
        <f>'Degree-days'!$J$12*IF($E234=$E$5,(K$5),(K$6))</f>
        <v>0</v>
      </c>
      <c r="L234" s="39">
        <f>'Degree-days'!$J$12*IF($E234=$E$5,(L$5),(L$6))</f>
        <v>0.22806147286700376</v>
      </c>
      <c r="M234" s="39">
        <f>'Degree-days'!$J$12*IF($E234=$E$5,(M$5),(M$6))</f>
        <v>0.22806147286700376</v>
      </c>
      <c r="N234" s="39">
        <f>'Degree-days'!$J$12*IF($E234=$E$5,(N$5),(N$6))</f>
        <v>0</v>
      </c>
      <c r="O234" s="39">
        <f>'Degree-days'!$J$12*IF($E234=$E$5,(O$5),(O$6))</f>
        <v>0</v>
      </c>
      <c r="P234" s="39">
        <f>'Degree-days'!$J$12*IF($E234=$E$5,(P$5),(P$6))</f>
        <v>0</v>
      </c>
      <c r="Q234" s="39">
        <f>'Degree-days'!$J$12*IF($E234=$E$5,(Q$5),(Q$6))</f>
        <v>0</v>
      </c>
      <c r="R234" s="39">
        <f>'Degree-days'!$J$12*IF($E234=$E$5,(R$5),(R$6))</f>
        <v>0</v>
      </c>
      <c r="S234" s="39">
        <f>'Degree-days'!$J$12*IF($E234=$E$5,(S$5),(S$6))</f>
        <v>0</v>
      </c>
      <c r="T234" s="39">
        <f>'Degree-days'!$J$12*IF($E234=$E$5,(T$5),(T$6))</f>
        <v>0</v>
      </c>
      <c r="U234" s="39">
        <f>'Degree-days'!$J$12*IF($E234=$E$5,(U$5),(U$6))</f>
        <v>0.22806147286700376</v>
      </c>
      <c r="V234" s="39">
        <f>'Degree-days'!$J$12*IF($E234=$E$5,(V$5),(V$6))</f>
        <v>0.22806147286700376</v>
      </c>
      <c r="W234" s="39">
        <f>'Degree-days'!$J$12*IF($E234=$E$5,(W$5),(W$6))</f>
        <v>0.22806147286700376</v>
      </c>
      <c r="X234" s="39">
        <f>'Degree-days'!$J$12*IF($E234=$E$5,(X$5),(X$6))</f>
        <v>0.22806147286700376</v>
      </c>
      <c r="Y234" s="39">
        <f>'Degree-days'!$J$12*IF($E234=$E$5,(Y$5),(Y$6))</f>
        <v>0.22806147286700376</v>
      </c>
      <c r="Z234" s="39">
        <f>'Degree-days'!$J$12*IF($E234=$E$5,(Z$5),(Z$6))</f>
        <v>0.22806147286700376</v>
      </c>
      <c r="AA234" s="39">
        <f>'Degree-days'!$J$12*IF($E234=$E$5,(AA$5),(AA$6))</f>
        <v>0.22806147286700376</v>
      </c>
      <c r="AB234" s="39">
        <f>'Degree-days'!$J$12*IF($E234=$E$5,(AB$5),(AB$6))</f>
        <v>0</v>
      </c>
      <c r="AC234" s="39">
        <f>'Degree-days'!$J$12*IF($E234=$E$5,(AC$5),(AC$6))</f>
        <v>0</v>
      </c>
      <c r="AD234" s="39">
        <f t="shared" si="8"/>
        <v>2.0525532558030339</v>
      </c>
      <c r="AE234" s="40"/>
    </row>
    <row r="235" spans="4:31" x14ac:dyDescent="0.2">
      <c r="D235" s="37">
        <v>45154</v>
      </c>
      <c r="E235" s="17" t="str">
        <f t="shared" si="9"/>
        <v>weekday</v>
      </c>
      <c r="F235" s="39">
        <f>'Degree-days'!$J$12*IF($E235=$E$5,(F$5),(F$6))</f>
        <v>0</v>
      </c>
      <c r="G235" s="39">
        <f>'Degree-days'!$J$12*IF($E235=$E$5,(G$5),(G$6))</f>
        <v>0</v>
      </c>
      <c r="H235" s="39">
        <f>'Degree-days'!$J$12*IF($E235=$E$5,(H$5),(H$6))</f>
        <v>0</v>
      </c>
      <c r="I235" s="39">
        <f>'Degree-days'!$J$12*IF($E235=$E$5,(I$5),(I$6))</f>
        <v>0</v>
      </c>
      <c r="J235" s="39">
        <f>'Degree-days'!$J$12*IF($E235=$E$5,(J$5),(J$6))</f>
        <v>0</v>
      </c>
      <c r="K235" s="39">
        <f>'Degree-days'!$J$12*IF($E235=$E$5,(K$5),(K$6))</f>
        <v>0</v>
      </c>
      <c r="L235" s="39">
        <f>'Degree-days'!$J$12*IF($E235=$E$5,(L$5),(L$6))</f>
        <v>0.22806147286700376</v>
      </c>
      <c r="M235" s="39">
        <f>'Degree-days'!$J$12*IF($E235=$E$5,(M$5),(M$6))</f>
        <v>0.22806147286700376</v>
      </c>
      <c r="N235" s="39">
        <f>'Degree-days'!$J$12*IF($E235=$E$5,(N$5),(N$6))</f>
        <v>0</v>
      </c>
      <c r="O235" s="39">
        <f>'Degree-days'!$J$12*IF($E235=$E$5,(O$5),(O$6))</f>
        <v>0</v>
      </c>
      <c r="P235" s="39">
        <f>'Degree-days'!$J$12*IF($E235=$E$5,(P$5),(P$6))</f>
        <v>0</v>
      </c>
      <c r="Q235" s="39">
        <f>'Degree-days'!$J$12*IF($E235=$E$5,(Q$5),(Q$6))</f>
        <v>0</v>
      </c>
      <c r="R235" s="39">
        <f>'Degree-days'!$J$12*IF($E235=$E$5,(R$5),(R$6))</f>
        <v>0</v>
      </c>
      <c r="S235" s="39">
        <f>'Degree-days'!$J$12*IF($E235=$E$5,(S$5),(S$6))</f>
        <v>0</v>
      </c>
      <c r="T235" s="39">
        <f>'Degree-days'!$J$12*IF($E235=$E$5,(T$5),(T$6))</f>
        <v>0</v>
      </c>
      <c r="U235" s="39">
        <f>'Degree-days'!$J$12*IF($E235=$E$5,(U$5),(U$6))</f>
        <v>0.22806147286700376</v>
      </c>
      <c r="V235" s="39">
        <f>'Degree-days'!$J$12*IF($E235=$E$5,(V$5),(V$6))</f>
        <v>0.22806147286700376</v>
      </c>
      <c r="W235" s="39">
        <f>'Degree-days'!$J$12*IF($E235=$E$5,(W$5),(W$6))</f>
        <v>0.22806147286700376</v>
      </c>
      <c r="X235" s="39">
        <f>'Degree-days'!$J$12*IF($E235=$E$5,(X$5),(X$6))</f>
        <v>0.22806147286700376</v>
      </c>
      <c r="Y235" s="39">
        <f>'Degree-days'!$J$12*IF($E235=$E$5,(Y$5),(Y$6))</f>
        <v>0.22806147286700376</v>
      </c>
      <c r="Z235" s="39">
        <f>'Degree-days'!$J$12*IF($E235=$E$5,(Z$5),(Z$6))</f>
        <v>0.22806147286700376</v>
      </c>
      <c r="AA235" s="39">
        <f>'Degree-days'!$J$12*IF($E235=$E$5,(AA$5),(AA$6))</f>
        <v>0.22806147286700376</v>
      </c>
      <c r="AB235" s="39">
        <f>'Degree-days'!$J$12*IF($E235=$E$5,(AB$5),(AB$6))</f>
        <v>0</v>
      </c>
      <c r="AC235" s="39">
        <f>'Degree-days'!$J$12*IF($E235=$E$5,(AC$5),(AC$6))</f>
        <v>0</v>
      </c>
      <c r="AD235" s="39">
        <f t="shared" si="8"/>
        <v>2.0525532558030339</v>
      </c>
      <c r="AE235" s="40"/>
    </row>
    <row r="236" spans="4:31" x14ac:dyDescent="0.2">
      <c r="D236" s="37">
        <v>45155</v>
      </c>
      <c r="E236" s="17" t="str">
        <f t="shared" si="9"/>
        <v>weekday</v>
      </c>
      <c r="F236" s="39">
        <f>'Degree-days'!$J$12*IF($E236=$E$5,(F$5),(F$6))</f>
        <v>0</v>
      </c>
      <c r="G236" s="39">
        <f>'Degree-days'!$J$12*IF($E236=$E$5,(G$5),(G$6))</f>
        <v>0</v>
      </c>
      <c r="H236" s="39">
        <f>'Degree-days'!$J$12*IF($E236=$E$5,(H$5),(H$6))</f>
        <v>0</v>
      </c>
      <c r="I236" s="39">
        <f>'Degree-days'!$J$12*IF($E236=$E$5,(I$5),(I$6))</f>
        <v>0</v>
      </c>
      <c r="J236" s="39">
        <f>'Degree-days'!$J$12*IF($E236=$E$5,(J$5),(J$6))</f>
        <v>0</v>
      </c>
      <c r="K236" s="39">
        <f>'Degree-days'!$J$12*IF($E236=$E$5,(K$5),(K$6))</f>
        <v>0</v>
      </c>
      <c r="L236" s="39">
        <f>'Degree-days'!$J$12*IF($E236=$E$5,(L$5),(L$6))</f>
        <v>0.22806147286700376</v>
      </c>
      <c r="M236" s="39">
        <f>'Degree-days'!$J$12*IF($E236=$E$5,(M$5),(M$6))</f>
        <v>0.22806147286700376</v>
      </c>
      <c r="N236" s="39">
        <f>'Degree-days'!$J$12*IF($E236=$E$5,(N$5),(N$6))</f>
        <v>0</v>
      </c>
      <c r="O236" s="39">
        <f>'Degree-days'!$J$12*IF($E236=$E$5,(O$5),(O$6))</f>
        <v>0</v>
      </c>
      <c r="P236" s="39">
        <f>'Degree-days'!$J$12*IF($E236=$E$5,(P$5),(P$6))</f>
        <v>0</v>
      </c>
      <c r="Q236" s="39">
        <f>'Degree-days'!$J$12*IF($E236=$E$5,(Q$5),(Q$6))</f>
        <v>0</v>
      </c>
      <c r="R236" s="39">
        <f>'Degree-days'!$J$12*IF($E236=$E$5,(R$5),(R$6))</f>
        <v>0</v>
      </c>
      <c r="S236" s="39">
        <f>'Degree-days'!$J$12*IF($E236=$E$5,(S$5),(S$6))</f>
        <v>0</v>
      </c>
      <c r="T236" s="39">
        <f>'Degree-days'!$J$12*IF($E236=$E$5,(T$5),(T$6))</f>
        <v>0</v>
      </c>
      <c r="U236" s="39">
        <f>'Degree-days'!$J$12*IF($E236=$E$5,(U$5),(U$6))</f>
        <v>0.22806147286700376</v>
      </c>
      <c r="V236" s="39">
        <f>'Degree-days'!$J$12*IF($E236=$E$5,(V$5),(V$6))</f>
        <v>0.22806147286700376</v>
      </c>
      <c r="W236" s="39">
        <f>'Degree-days'!$J$12*IF($E236=$E$5,(W$5),(W$6))</f>
        <v>0.22806147286700376</v>
      </c>
      <c r="X236" s="39">
        <f>'Degree-days'!$J$12*IF($E236=$E$5,(X$5),(X$6))</f>
        <v>0.22806147286700376</v>
      </c>
      <c r="Y236" s="39">
        <f>'Degree-days'!$J$12*IF($E236=$E$5,(Y$5),(Y$6))</f>
        <v>0.22806147286700376</v>
      </c>
      <c r="Z236" s="39">
        <f>'Degree-days'!$J$12*IF($E236=$E$5,(Z$5),(Z$6))</f>
        <v>0.22806147286700376</v>
      </c>
      <c r="AA236" s="39">
        <f>'Degree-days'!$J$12*IF($E236=$E$5,(AA$5),(AA$6))</f>
        <v>0.22806147286700376</v>
      </c>
      <c r="AB236" s="39">
        <f>'Degree-days'!$J$12*IF($E236=$E$5,(AB$5),(AB$6))</f>
        <v>0</v>
      </c>
      <c r="AC236" s="39">
        <f>'Degree-days'!$J$12*IF($E236=$E$5,(AC$5),(AC$6))</f>
        <v>0</v>
      </c>
      <c r="AD236" s="39">
        <f t="shared" si="8"/>
        <v>2.0525532558030339</v>
      </c>
      <c r="AE236" s="40"/>
    </row>
    <row r="237" spans="4:31" x14ac:dyDescent="0.2">
      <c r="D237" s="37">
        <v>45156</v>
      </c>
      <c r="E237" s="17" t="str">
        <f t="shared" si="9"/>
        <v>weekday</v>
      </c>
      <c r="F237" s="39">
        <f>'Degree-days'!$J$12*IF($E237=$E$5,(F$5),(F$6))</f>
        <v>0</v>
      </c>
      <c r="G237" s="39">
        <f>'Degree-days'!$J$12*IF($E237=$E$5,(G$5),(G$6))</f>
        <v>0</v>
      </c>
      <c r="H237" s="39">
        <f>'Degree-days'!$J$12*IF($E237=$E$5,(H$5),(H$6))</f>
        <v>0</v>
      </c>
      <c r="I237" s="39">
        <f>'Degree-days'!$J$12*IF($E237=$E$5,(I$5),(I$6))</f>
        <v>0</v>
      </c>
      <c r="J237" s="39">
        <f>'Degree-days'!$J$12*IF($E237=$E$5,(J$5),(J$6))</f>
        <v>0</v>
      </c>
      <c r="K237" s="39">
        <f>'Degree-days'!$J$12*IF($E237=$E$5,(K$5),(K$6))</f>
        <v>0</v>
      </c>
      <c r="L237" s="39">
        <f>'Degree-days'!$J$12*IF($E237=$E$5,(L$5),(L$6))</f>
        <v>0.22806147286700376</v>
      </c>
      <c r="M237" s="39">
        <f>'Degree-days'!$J$12*IF($E237=$E$5,(M$5),(M$6))</f>
        <v>0.22806147286700376</v>
      </c>
      <c r="N237" s="39">
        <f>'Degree-days'!$J$12*IF($E237=$E$5,(N$5),(N$6))</f>
        <v>0</v>
      </c>
      <c r="O237" s="39">
        <f>'Degree-days'!$J$12*IF($E237=$E$5,(O$5),(O$6))</f>
        <v>0</v>
      </c>
      <c r="P237" s="39">
        <f>'Degree-days'!$J$12*IF($E237=$E$5,(P$5),(P$6))</f>
        <v>0</v>
      </c>
      <c r="Q237" s="39">
        <f>'Degree-days'!$J$12*IF($E237=$E$5,(Q$5),(Q$6))</f>
        <v>0</v>
      </c>
      <c r="R237" s="39">
        <f>'Degree-days'!$J$12*IF($E237=$E$5,(R$5),(R$6))</f>
        <v>0</v>
      </c>
      <c r="S237" s="39">
        <f>'Degree-days'!$J$12*IF($E237=$E$5,(S$5),(S$6))</f>
        <v>0</v>
      </c>
      <c r="T237" s="39">
        <f>'Degree-days'!$J$12*IF($E237=$E$5,(T$5),(T$6))</f>
        <v>0</v>
      </c>
      <c r="U237" s="39">
        <f>'Degree-days'!$J$12*IF($E237=$E$5,(U$5),(U$6))</f>
        <v>0.22806147286700376</v>
      </c>
      <c r="V237" s="39">
        <f>'Degree-days'!$J$12*IF($E237=$E$5,(V$5),(V$6))</f>
        <v>0.22806147286700376</v>
      </c>
      <c r="W237" s="39">
        <f>'Degree-days'!$J$12*IF($E237=$E$5,(W$5),(W$6))</f>
        <v>0.22806147286700376</v>
      </c>
      <c r="X237" s="39">
        <f>'Degree-days'!$J$12*IF($E237=$E$5,(X$5),(X$6))</f>
        <v>0.22806147286700376</v>
      </c>
      <c r="Y237" s="39">
        <f>'Degree-days'!$J$12*IF($E237=$E$5,(Y$5),(Y$6))</f>
        <v>0.22806147286700376</v>
      </c>
      <c r="Z237" s="39">
        <f>'Degree-days'!$J$12*IF($E237=$E$5,(Z$5),(Z$6))</f>
        <v>0.22806147286700376</v>
      </c>
      <c r="AA237" s="39">
        <f>'Degree-days'!$J$12*IF($E237=$E$5,(AA$5),(AA$6))</f>
        <v>0.22806147286700376</v>
      </c>
      <c r="AB237" s="39">
        <f>'Degree-days'!$J$12*IF($E237=$E$5,(AB$5),(AB$6))</f>
        <v>0</v>
      </c>
      <c r="AC237" s="39">
        <f>'Degree-days'!$J$12*IF($E237=$E$5,(AC$5),(AC$6))</f>
        <v>0</v>
      </c>
      <c r="AD237" s="39">
        <f t="shared" si="8"/>
        <v>2.0525532558030339</v>
      </c>
      <c r="AE237" s="40"/>
    </row>
    <row r="238" spans="4:31" x14ac:dyDescent="0.2">
      <c r="D238" s="37">
        <v>45157</v>
      </c>
      <c r="E238" s="17" t="str">
        <f t="shared" si="9"/>
        <v>weekend</v>
      </c>
      <c r="F238" s="39">
        <f>'Degree-days'!$J$12*IF($E238=$E$5,(F$5),(F$6))</f>
        <v>0</v>
      </c>
      <c r="G238" s="39">
        <f>'Degree-days'!$J$12*IF($E238=$E$5,(G$5),(G$6))</f>
        <v>0</v>
      </c>
      <c r="H238" s="39">
        <f>'Degree-days'!$J$12*IF($E238=$E$5,(H$5),(H$6))</f>
        <v>0</v>
      </c>
      <c r="I238" s="39">
        <f>'Degree-days'!$J$12*IF($E238=$E$5,(I$5),(I$6))</f>
        <v>0</v>
      </c>
      <c r="J238" s="39">
        <f>'Degree-days'!$J$12*IF($E238=$E$5,(J$5),(J$6))</f>
        <v>0</v>
      </c>
      <c r="K238" s="39">
        <f>'Degree-days'!$J$12*IF($E238=$E$5,(K$5),(K$6))</f>
        <v>0</v>
      </c>
      <c r="L238" s="39">
        <f>'Degree-days'!$J$12*IF($E238=$E$5,(L$5),(L$6))</f>
        <v>0.22806147286700376</v>
      </c>
      <c r="M238" s="39">
        <f>'Degree-days'!$J$12*IF($E238=$E$5,(M$5),(M$6))</f>
        <v>0.22806147286700376</v>
      </c>
      <c r="N238" s="39">
        <f>'Degree-days'!$J$12*IF($E238=$E$5,(N$5),(N$6))</f>
        <v>0.22806147286700376</v>
      </c>
      <c r="O238" s="39">
        <f>'Degree-days'!$J$12*IF($E238=$E$5,(O$5),(O$6))</f>
        <v>0.22806147286700376</v>
      </c>
      <c r="P238" s="39">
        <f>'Degree-days'!$J$12*IF($E238=$E$5,(P$5),(P$6))</f>
        <v>0.22806147286700376</v>
      </c>
      <c r="Q238" s="39">
        <f>'Degree-days'!$J$12*IF($E238=$E$5,(Q$5),(Q$6))</f>
        <v>0.22806147286700376</v>
      </c>
      <c r="R238" s="39">
        <f>'Degree-days'!$J$12*IF($E238=$E$5,(R$5),(R$6))</f>
        <v>0.22806147286700376</v>
      </c>
      <c r="S238" s="39">
        <f>'Degree-days'!$J$12*IF($E238=$E$5,(S$5),(S$6))</f>
        <v>0.22806147286700376</v>
      </c>
      <c r="T238" s="39">
        <f>'Degree-days'!$J$12*IF($E238=$E$5,(T$5),(T$6))</f>
        <v>0.22806147286700376</v>
      </c>
      <c r="U238" s="39">
        <f>'Degree-days'!$J$12*IF($E238=$E$5,(U$5),(U$6))</f>
        <v>0.22806147286700376</v>
      </c>
      <c r="V238" s="39">
        <f>'Degree-days'!$J$12*IF($E238=$E$5,(V$5),(V$6))</f>
        <v>0.22806147286700376</v>
      </c>
      <c r="W238" s="39">
        <f>'Degree-days'!$J$12*IF($E238=$E$5,(W$5),(W$6))</f>
        <v>0.22806147286700376</v>
      </c>
      <c r="X238" s="39">
        <f>'Degree-days'!$J$12*IF($E238=$E$5,(X$5),(X$6))</f>
        <v>0.22806147286700376</v>
      </c>
      <c r="Y238" s="39">
        <f>'Degree-days'!$J$12*IF($E238=$E$5,(Y$5),(Y$6))</f>
        <v>0.22806147286700376</v>
      </c>
      <c r="Z238" s="39">
        <f>'Degree-days'!$J$12*IF($E238=$E$5,(Z$5),(Z$6))</f>
        <v>0.22806147286700376</v>
      </c>
      <c r="AA238" s="39">
        <f>'Degree-days'!$J$12*IF($E238=$E$5,(AA$5),(AA$6))</f>
        <v>0.22806147286700376</v>
      </c>
      <c r="AB238" s="39">
        <f>'Degree-days'!$J$12*IF($E238=$E$5,(AB$5),(AB$6))</f>
        <v>0</v>
      </c>
      <c r="AC238" s="39">
        <f>'Degree-days'!$J$12*IF($E238=$E$5,(AC$5),(AC$6))</f>
        <v>0</v>
      </c>
      <c r="AD238" s="39">
        <f t="shared" si="8"/>
        <v>3.6489835658720593</v>
      </c>
      <c r="AE238" s="40"/>
    </row>
    <row r="239" spans="4:31" x14ac:dyDescent="0.2">
      <c r="D239" s="37">
        <v>45158</v>
      </c>
      <c r="E239" s="17" t="str">
        <f t="shared" si="9"/>
        <v>weekend</v>
      </c>
      <c r="F239" s="39">
        <f>'Degree-days'!$J$12*IF($E239=$E$5,(F$5),(F$6))</f>
        <v>0</v>
      </c>
      <c r="G239" s="39">
        <f>'Degree-days'!$J$12*IF($E239=$E$5,(G$5),(G$6))</f>
        <v>0</v>
      </c>
      <c r="H239" s="39">
        <f>'Degree-days'!$J$12*IF($E239=$E$5,(H$5),(H$6))</f>
        <v>0</v>
      </c>
      <c r="I239" s="39">
        <f>'Degree-days'!$J$12*IF($E239=$E$5,(I$5),(I$6))</f>
        <v>0</v>
      </c>
      <c r="J239" s="39">
        <f>'Degree-days'!$J$12*IF($E239=$E$5,(J$5),(J$6))</f>
        <v>0</v>
      </c>
      <c r="K239" s="39">
        <f>'Degree-days'!$J$12*IF($E239=$E$5,(K$5),(K$6))</f>
        <v>0</v>
      </c>
      <c r="L239" s="39">
        <f>'Degree-days'!$J$12*IF($E239=$E$5,(L$5),(L$6))</f>
        <v>0.22806147286700376</v>
      </c>
      <c r="M239" s="39">
        <f>'Degree-days'!$J$12*IF($E239=$E$5,(M$5),(M$6))</f>
        <v>0.22806147286700376</v>
      </c>
      <c r="N239" s="39">
        <f>'Degree-days'!$J$12*IF($E239=$E$5,(N$5),(N$6))</f>
        <v>0.22806147286700376</v>
      </c>
      <c r="O239" s="39">
        <f>'Degree-days'!$J$12*IF($E239=$E$5,(O$5),(O$6))</f>
        <v>0.22806147286700376</v>
      </c>
      <c r="P239" s="39">
        <f>'Degree-days'!$J$12*IF($E239=$E$5,(P$5),(P$6))</f>
        <v>0.22806147286700376</v>
      </c>
      <c r="Q239" s="39">
        <f>'Degree-days'!$J$12*IF($E239=$E$5,(Q$5),(Q$6))</f>
        <v>0.22806147286700376</v>
      </c>
      <c r="R239" s="39">
        <f>'Degree-days'!$J$12*IF($E239=$E$5,(R$5),(R$6))</f>
        <v>0.22806147286700376</v>
      </c>
      <c r="S239" s="39">
        <f>'Degree-days'!$J$12*IF($E239=$E$5,(S$5),(S$6))</f>
        <v>0.22806147286700376</v>
      </c>
      <c r="T239" s="39">
        <f>'Degree-days'!$J$12*IF($E239=$E$5,(T$5),(T$6))</f>
        <v>0.22806147286700376</v>
      </c>
      <c r="U239" s="39">
        <f>'Degree-days'!$J$12*IF($E239=$E$5,(U$5),(U$6))</f>
        <v>0.22806147286700376</v>
      </c>
      <c r="V239" s="39">
        <f>'Degree-days'!$J$12*IF($E239=$E$5,(V$5),(V$6))</f>
        <v>0.22806147286700376</v>
      </c>
      <c r="W239" s="39">
        <f>'Degree-days'!$J$12*IF($E239=$E$5,(W$5),(W$6))</f>
        <v>0.22806147286700376</v>
      </c>
      <c r="X239" s="39">
        <f>'Degree-days'!$J$12*IF($E239=$E$5,(X$5),(X$6))</f>
        <v>0.22806147286700376</v>
      </c>
      <c r="Y239" s="39">
        <f>'Degree-days'!$J$12*IF($E239=$E$5,(Y$5),(Y$6))</f>
        <v>0.22806147286700376</v>
      </c>
      <c r="Z239" s="39">
        <f>'Degree-days'!$J$12*IF($E239=$E$5,(Z$5),(Z$6))</f>
        <v>0.22806147286700376</v>
      </c>
      <c r="AA239" s="39">
        <f>'Degree-days'!$J$12*IF($E239=$E$5,(AA$5),(AA$6))</f>
        <v>0.22806147286700376</v>
      </c>
      <c r="AB239" s="39">
        <f>'Degree-days'!$J$12*IF($E239=$E$5,(AB$5),(AB$6))</f>
        <v>0</v>
      </c>
      <c r="AC239" s="39">
        <f>'Degree-days'!$J$12*IF($E239=$E$5,(AC$5),(AC$6))</f>
        <v>0</v>
      </c>
      <c r="AD239" s="39">
        <f t="shared" si="8"/>
        <v>3.6489835658720593</v>
      </c>
      <c r="AE239" s="40"/>
    </row>
    <row r="240" spans="4:31" x14ac:dyDescent="0.2">
      <c r="D240" s="37">
        <v>45159</v>
      </c>
      <c r="E240" s="17" t="str">
        <f t="shared" si="9"/>
        <v>weekday</v>
      </c>
      <c r="F240" s="39">
        <f>'Degree-days'!$J$12*IF($E240=$E$5,(F$5),(F$6))</f>
        <v>0</v>
      </c>
      <c r="G240" s="39">
        <f>'Degree-days'!$J$12*IF($E240=$E$5,(G$5),(G$6))</f>
        <v>0</v>
      </c>
      <c r="H240" s="39">
        <f>'Degree-days'!$J$12*IF($E240=$E$5,(H$5),(H$6))</f>
        <v>0</v>
      </c>
      <c r="I240" s="39">
        <f>'Degree-days'!$J$12*IF($E240=$E$5,(I$5),(I$6))</f>
        <v>0</v>
      </c>
      <c r="J240" s="39">
        <f>'Degree-days'!$J$12*IF($E240=$E$5,(J$5),(J$6))</f>
        <v>0</v>
      </c>
      <c r="K240" s="39">
        <f>'Degree-days'!$J$12*IF($E240=$E$5,(K$5),(K$6))</f>
        <v>0</v>
      </c>
      <c r="L240" s="39">
        <f>'Degree-days'!$J$12*IF($E240=$E$5,(L$5),(L$6))</f>
        <v>0.22806147286700376</v>
      </c>
      <c r="M240" s="39">
        <f>'Degree-days'!$J$12*IF($E240=$E$5,(M$5),(M$6))</f>
        <v>0.22806147286700376</v>
      </c>
      <c r="N240" s="39">
        <f>'Degree-days'!$J$12*IF($E240=$E$5,(N$5),(N$6))</f>
        <v>0</v>
      </c>
      <c r="O240" s="39">
        <f>'Degree-days'!$J$12*IF($E240=$E$5,(O$5),(O$6))</f>
        <v>0</v>
      </c>
      <c r="P240" s="39">
        <f>'Degree-days'!$J$12*IF($E240=$E$5,(P$5),(P$6))</f>
        <v>0</v>
      </c>
      <c r="Q240" s="39">
        <f>'Degree-days'!$J$12*IF($E240=$E$5,(Q$5),(Q$6))</f>
        <v>0</v>
      </c>
      <c r="R240" s="39">
        <f>'Degree-days'!$J$12*IF($E240=$E$5,(R$5),(R$6))</f>
        <v>0</v>
      </c>
      <c r="S240" s="39">
        <f>'Degree-days'!$J$12*IF($E240=$E$5,(S$5),(S$6))</f>
        <v>0</v>
      </c>
      <c r="T240" s="39">
        <f>'Degree-days'!$J$12*IF($E240=$E$5,(T$5),(T$6))</f>
        <v>0</v>
      </c>
      <c r="U240" s="39">
        <f>'Degree-days'!$J$12*IF($E240=$E$5,(U$5),(U$6))</f>
        <v>0.22806147286700376</v>
      </c>
      <c r="V240" s="39">
        <f>'Degree-days'!$J$12*IF($E240=$E$5,(V$5),(V$6))</f>
        <v>0.22806147286700376</v>
      </c>
      <c r="W240" s="39">
        <f>'Degree-days'!$J$12*IF($E240=$E$5,(W$5),(W$6))</f>
        <v>0.22806147286700376</v>
      </c>
      <c r="X240" s="39">
        <f>'Degree-days'!$J$12*IF($E240=$E$5,(X$5),(X$6))</f>
        <v>0.22806147286700376</v>
      </c>
      <c r="Y240" s="39">
        <f>'Degree-days'!$J$12*IF($E240=$E$5,(Y$5),(Y$6))</f>
        <v>0.22806147286700376</v>
      </c>
      <c r="Z240" s="39">
        <f>'Degree-days'!$J$12*IF($E240=$E$5,(Z$5),(Z$6))</f>
        <v>0.22806147286700376</v>
      </c>
      <c r="AA240" s="39">
        <f>'Degree-days'!$J$12*IF($E240=$E$5,(AA$5),(AA$6))</f>
        <v>0.22806147286700376</v>
      </c>
      <c r="AB240" s="39">
        <f>'Degree-days'!$J$12*IF($E240=$E$5,(AB$5),(AB$6))</f>
        <v>0</v>
      </c>
      <c r="AC240" s="39">
        <f>'Degree-days'!$J$12*IF($E240=$E$5,(AC$5),(AC$6))</f>
        <v>0</v>
      </c>
      <c r="AD240" s="39">
        <f t="shared" si="8"/>
        <v>2.0525532558030339</v>
      </c>
      <c r="AE240" s="40"/>
    </row>
    <row r="241" spans="4:32" x14ac:dyDescent="0.2">
      <c r="D241" s="37">
        <v>45160</v>
      </c>
      <c r="E241" s="17" t="str">
        <f t="shared" si="9"/>
        <v>weekday</v>
      </c>
      <c r="F241" s="39">
        <f>'Degree-days'!$J$12*IF($E241=$E$5,(F$5),(F$6))</f>
        <v>0</v>
      </c>
      <c r="G241" s="39">
        <f>'Degree-days'!$J$12*IF($E241=$E$5,(G$5),(G$6))</f>
        <v>0</v>
      </c>
      <c r="H241" s="39">
        <f>'Degree-days'!$J$12*IF($E241=$E$5,(H$5),(H$6))</f>
        <v>0</v>
      </c>
      <c r="I241" s="39">
        <f>'Degree-days'!$J$12*IF($E241=$E$5,(I$5),(I$6))</f>
        <v>0</v>
      </c>
      <c r="J241" s="39">
        <f>'Degree-days'!$J$12*IF($E241=$E$5,(J$5),(J$6))</f>
        <v>0</v>
      </c>
      <c r="K241" s="39">
        <f>'Degree-days'!$J$12*IF($E241=$E$5,(K$5),(K$6))</f>
        <v>0</v>
      </c>
      <c r="L241" s="39">
        <f>'Degree-days'!$J$12*IF($E241=$E$5,(L$5),(L$6))</f>
        <v>0.22806147286700376</v>
      </c>
      <c r="M241" s="39">
        <f>'Degree-days'!$J$12*IF($E241=$E$5,(M$5),(M$6))</f>
        <v>0.22806147286700376</v>
      </c>
      <c r="N241" s="39">
        <f>'Degree-days'!$J$12*IF($E241=$E$5,(N$5),(N$6))</f>
        <v>0</v>
      </c>
      <c r="O241" s="39">
        <f>'Degree-days'!$J$12*IF($E241=$E$5,(O$5),(O$6))</f>
        <v>0</v>
      </c>
      <c r="P241" s="39">
        <f>'Degree-days'!$J$12*IF($E241=$E$5,(P$5),(P$6))</f>
        <v>0</v>
      </c>
      <c r="Q241" s="39">
        <f>'Degree-days'!$J$12*IF($E241=$E$5,(Q$5),(Q$6))</f>
        <v>0</v>
      </c>
      <c r="R241" s="39">
        <f>'Degree-days'!$J$12*IF($E241=$E$5,(R$5),(R$6))</f>
        <v>0</v>
      </c>
      <c r="S241" s="39">
        <f>'Degree-days'!$J$12*IF($E241=$E$5,(S$5),(S$6))</f>
        <v>0</v>
      </c>
      <c r="T241" s="39">
        <f>'Degree-days'!$J$12*IF($E241=$E$5,(T$5),(T$6))</f>
        <v>0</v>
      </c>
      <c r="U241" s="39">
        <f>'Degree-days'!$J$12*IF($E241=$E$5,(U$5),(U$6))</f>
        <v>0.22806147286700376</v>
      </c>
      <c r="V241" s="39">
        <f>'Degree-days'!$J$12*IF($E241=$E$5,(V$5),(V$6))</f>
        <v>0.22806147286700376</v>
      </c>
      <c r="W241" s="39">
        <f>'Degree-days'!$J$12*IF($E241=$E$5,(W$5),(W$6))</f>
        <v>0.22806147286700376</v>
      </c>
      <c r="X241" s="39">
        <f>'Degree-days'!$J$12*IF($E241=$E$5,(X$5),(X$6))</f>
        <v>0.22806147286700376</v>
      </c>
      <c r="Y241" s="39">
        <f>'Degree-days'!$J$12*IF($E241=$E$5,(Y$5),(Y$6))</f>
        <v>0.22806147286700376</v>
      </c>
      <c r="Z241" s="39">
        <f>'Degree-days'!$J$12*IF($E241=$E$5,(Z$5),(Z$6))</f>
        <v>0.22806147286700376</v>
      </c>
      <c r="AA241" s="39">
        <f>'Degree-days'!$J$12*IF($E241=$E$5,(AA$5),(AA$6))</f>
        <v>0.22806147286700376</v>
      </c>
      <c r="AB241" s="39">
        <f>'Degree-days'!$J$12*IF($E241=$E$5,(AB$5),(AB$6))</f>
        <v>0</v>
      </c>
      <c r="AC241" s="39">
        <f>'Degree-days'!$J$12*IF($E241=$E$5,(AC$5),(AC$6))</f>
        <v>0</v>
      </c>
      <c r="AD241" s="39">
        <f t="shared" si="8"/>
        <v>2.0525532558030339</v>
      </c>
      <c r="AE241" s="40"/>
    </row>
    <row r="242" spans="4:32" x14ac:dyDescent="0.2">
      <c r="D242" s="37">
        <v>45161</v>
      </c>
      <c r="E242" s="17" t="str">
        <f t="shared" si="9"/>
        <v>weekday</v>
      </c>
      <c r="F242" s="39">
        <f>'Degree-days'!$J$12*IF($E242=$E$5,(F$5),(F$6))</f>
        <v>0</v>
      </c>
      <c r="G242" s="39">
        <f>'Degree-days'!$J$12*IF($E242=$E$5,(G$5),(G$6))</f>
        <v>0</v>
      </c>
      <c r="H242" s="39">
        <f>'Degree-days'!$J$12*IF($E242=$E$5,(H$5),(H$6))</f>
        <v>0</v>
      </c>
      <c r="I242" s="39">
        <f>'Degree-days'!$J$12*IF($E242=$E$5,(I$5),(I$6))</f>
        <v>0</v>
      </c>
      <c r="J242" s="39">
        <f>'Degree-days'!$J$12*IF($E242=$E$5,(J$5),(J$6))</f>
        <v>0</v>
      </c>
      <c r="K242" s="39">
        <f>'Degree-days'!$J$12*IF($E242=$E$5,(K$5),(K$6))</f>
        <v>0</v>
      </c>
      <c r="L242" s="39">
        <f>'Degree-days'!$J$12*IF($E242=$E$5,(L$5),(L$6))</f>
        <v>0.22806147286700376</v>
      </c>
      <c r="M242" s="39">
        <f>'Degree-days'!$J$12*IF($E242=$E$5,(M$5),(M$6))</f>
        <v>0.22806147286700376</v>
      </c>
      <c r="N242" s="39">
        <f>'Degree-days'!$J$12*IF($E242=$E$5,(N$5),(N$6))</f>
        <v>0</v>
      </c>
      <c r="O242" s="39">
        <f>'Degree-days'!$J$12*IF($E242=$E$5,(O$5),(O$6))</f>
        <v>0</v>
      </c>
      <c r="P242" s="39">
        <f>'Degree-days'!$J$12*IF($E242=$E$5,(P$5),(P$6))</f>
        <v>0</v>
      </c>
      <c r="Q242" s="39">
        <f>'Degree-days'!$J$12*IF($E242=$E$5,(Q$5),(Q$6))</f>
        <v>0</v>
      </c>
      <c r="R242" s="39">
        <f>'Degree-days'!$J$12*IF($E242=$E$5,(R$5),(R$6))</f>
        <v>0</v>
      </c>
      <c r="S242" s="39">
        <f>'Degree-days'!$J$12*IF($E242=$E$5,(S$5),(S$6))</f>
        <v>0</v>
      </c>
      <c r="T242" s="39">
        <f>'Degree-days'!$J$12*IF($E242=$E$5,(T$5),(T$6))</f>
        <v>0</v>
      </c>
      <c r="U242" s="39">
        <f>'Degree-days'!$J$12*IF($E242=$E$5,(U$5),(U$6))</f>
        <v>0.22806147286700376</v>
      </c>
      <c r="V242" s="39">
        <f>'Degree-days'!$J$12*IF($E242=$E$5,(V$5),(V$6))</f>
        <v>0.22806147286700376</v>
      </c>
      <c r="W242" s="39">
        <f>'Degree-days'!$J$12*IF($E242=$E$5,(W$5),(W$6))</f>
        <v>0.22806147286700376</v>
      </c>
      <c r="X242" s="39">
        <f>'Degree-days'!$J$12*IF($E242=$E$5,(X$5),(X$6))</f>
        <v>0.22806147286700376</v>
      </c>
      <c r="Y242" s="39">
        <f>'Degree-days'!$J$12*IF($E242=$E$5,(Y$5),(Y$6))</f>
        <v>0.22806147286700376</v>
      </c>
      <c r="Z242" s="39">
        <f>'Degree-days'!$J$12*IF($E242=$E$5,(Z$5),(Z$6))</f>
        <v>0.22806147286700376</v>
      </c>
      <c r="AA242" s="39">
        <f>'Degree-days'!$J$12*IF($E242=$E$5,(AA$5),(AA$6))</f>
        <v>0.22806147286700376</v>
      </c>
      <c r="AB242" s="39">
        <f>'Degree-days'!$J$12*IF($E242=$E$5,(AB$5),(AB$6))</f>
        <v>0</v>
      </c>
      <c r="AC242" s="39">
        <f>'Degree-days'!$J$12*IF($E242=$E$5,(AC$5),(AC$6))</f>
        <v>0</v>
      </c>
      <c r="AD242" s="39">
        <f t="shared" si="8"/>
        <v>2.0525532558030339</v>
      </c>
      <c r="AE242" s="40"/>
    </row>
    <row r="243" spans="4:32" x14ac:dyDescent="0.2">
      <c r="D243" s="37">
        <v>45162</v>
      </c>
      <c r="E243" s="17" t="str">
        <f t="shared" si="9"/>
        <v>weekday</v>
      </c>
      <c r="F243" s="39">
        <f>'Degree-days'!$J$12*IF($E243=$E$5,(F$5),(F$6))</f>
        <v>0</v>
      </c>
      <c r="G243" s="39">
        <f>'Degree-days'!$J$12*IF($E243=$E$5,(G$5),(G$6))</f>
        <v>0</v>
      </c>
      <c r="H243" s="39">
        <f>'Degree-days'!$J$12*IF($E243=$E$5,(H$5),(H$6))</f>
        <v>0</v>
      </c>
      <c r="I243" s="39">
        <f>'Degree-days'!$J$12*IF($E243=$E$5,(I$5),(I$6))</f>
        <v>0</v>
      </c>
      <c r="J243" s="39">
        <f>'Degree-days'!$J$12*IF($E243=$E$5,(J$5),(J$6))</f>
        <v>0</v>
      </c>
      <c r="K243" s="39">
        <f>'Degree-days'!$J$12*IF($E243=$E$5,(K$5),(K$6))</f>
        <v>0</v>
      </c>
      <c r="L243" s="39">
        <f>'Degree-days'!$J$12*IF($E243=$E$5,(L$5),(L$6))</f>
        <v>0.22806147286700376</v>
      </c>
      <c r="M243" s="39">
        <f>'Degree-days'!$J$12*IF($E243=$E$5,(M$5),(M$6))</f>
        <v>0.22806147286700376</v>
      </c>
      <c r="N243" s="39">
        <f>'Degree-days'!$J$12*IF($E243=$E$5,(N$5),(N$6))</f>
        <v>0</v>
      </c>
      <c r="O243" s="39">
        <f>'Degree-days'!$J$12*IF($E243=$E$5,(O$5),(O$6))</f>
        <v>0</v>
      </c>
      <c r="P243" s="39">
        <f>'Degree-days'!$J$12*IF($E243=$E$5,(P$5),(P$6))</f>
        <v>0</v>
      </c>
      <c r="Q243" s="39">
        <f>'Degree-days'!$J$12*IF($E243=$E$5,(Q$5),(Q$6))</f>
        <v>0</v>
      </c>
      <c r="R243" s="39">
        <f>'Degree-days'!$J$12*IF($E243=$E$5,(R$5),(R$6))</f>
        <v>0</v>
      </c>
      <c r="S243" s="39">
        <f>'Degree-days'!$J$12*IF($E243=$E$5,(S$5),(S$6))</f>
        <v>0</v>
      </c>
      <c r="T243" s="39">
        <f>'Degree-days'!$J$12*IF($E243=$E$5,(T$5),(T$6))</f>
        <v>0</v>
      </c>
      <c r="U243" s="39">
        <f>'Degree-days'!$J$12*IF($E243=$E$5,(U$5),(U$6))</f>
        <v>0.22806147286700376</v>
      </c>
      <c r="V243" s="39">
        <f>'Degree-days'!$J$12*IF($E243=$E$5,(V$5),(V$6))</f>
        <v>0.22806147286700376</v>
      </c>
      <c r="W243" s="39">
        <f>'Degree-days'!$J$12*IF($E243=$E$5,(W$5),(W$6))</f>
        <v>0.22806147286700376</v>
      </c>
      <c r="X243" s="39">
        <f>'Degree-days'!$J$12*IF($E243=$E$5,(X$5),(X$6))</f>
        <v>0.22806147286700376</v>
      </c>
      <c r="Y243" s="39">
        <f>'Degree-days'!$J$12*IF($E243=$E$5,(Y$5),(Y$6))</f>
        <v>0.22806147286700376</v>
      </c>
      <c r="Z243" s="39">
        <f>'Degree-days'!$J$12*IF($E243=$E$5,(Z$5),(Z$6))</f>
        <v>0.22806147286700376</v>
      </c>
      <c r="AA243" s="39">
        <f>'Degree-days'!$J$12*IF($E243=$E$5,(AA$5),(AA$6))</f>
        <v>0.22806147286700376</v>
      </c>
      <c r="AB243" s="39">
        <f>'Degree-days'!$J$12*IF($E243=$E$5,(AB$5),(AB$6))</f>
        <v>0</v>
      </c>
      <c r="AC243" s="39">
        <f>'Degree-days'!$J$12*IF($E243=$E$5,(AC$5),(AC$6))</f>
        <v>0</v>
      </c>
      <c r="AD243" s="39">
        <f t="shared" si="8"/>
        <v>2.0525532558030339</v>
      </c>
      <c r="AE243" s="40"/>
    </row>
    <row r="244" spans="4:32" x14ac:dyDescent="0.2">
      <c r="D244" s="37">
        <v>45163</v>
      </c>
      <c r="E244" s="17" t="str">
        <f t="shared" si="9"/>
        <v>weekday</v>
      </c>
      <c r="F244" s="39">
        <f>'Degree-days'!$J$12*IF($E244=$E$5,(F$5),(F$6))</f>
        <v>0</v>
      </c>
      <c r="G244" s="39">
        <f>'Degree-days'!$J$12*IF($E244=$E$5,(G$5),(G$6))</f>
        <v>0</v>
      </c>
      <c r="H244" s="39">
        <f>'Degree-days'!$J$12*IF($E244=$E$5,(H$5),(H$6))</f>
        <v>0</v>
      </c>
      <c r="I244" s="39">
        <f>'Degree-days'!$J$12*IF($E244=$E$5,(I$5),(I$6))</f>
        <v>0</v>
      </c>
      <c r="J244" s="39">
        <f>'Degree-days'!$J$12*IF($E244=$E$5,(J$5),(J$6))</f>
        <v>0</v>
      </c>
      <c r="K244" s="39">
        <f>'Degree-days'!$J$12*IF($E244=$E$5,(K$5),(K$6))</f>
        <v>0</v>
      </c>
      <c r="L244" s="39">
        <f>'Degree-days'!$J$12*IF($E244=$E$5,(L$5),(L$6))</f>
        <v>0.22806147286700376</v>
      </c>
      <c r="M244" s="39">
        <f>'Degree-days'!$J$12*IF($E244=$E$5,(M$5),(M$6))</f>
        <v>0.22806147286700376</v>
      </c>
      <c r="N244" s="39">
        <f>'Degree-days'!$J$12*IF($E244=$E$5,(N$5),(N$6))</f>
        <v>0</v>
      </c>
      <c r="O244" s="39">
        <f>'Degree-days'!$J$12*IF($E244=$E$5,(O$5),(O$6))</f>
        <v>0</v>
      </c>
      <c r="P244" s="39">
        <f>'Degree-days'!$J$12*IF($E244=$E$5,(P$5),(P$6))</f>
        <v>0</v>
      </c>
      <c r="Q244" s="39">
        <f>'Degree-days'!$J$12*IF($E244=$E$5,(Q$5),(Q$6))</f>
        <v>0</v>
      </c>
      <c r="R244" s="39">
        <f>'Degree-days'!$J$12*IF($E244=$E$5,(R$5),(R$6))</f>
        <v>0</v>
      </c>
      <c r="S244" s="39">
        <f>'Degree-days'!$J$12*IF($E244=$E$5,(S$5),(S$6))</f>
        <v>0</v>
      </c>
      <c r="T244" s="39">
        <f>'Degree-days'!$J$12*IF($E244=$E$5,(T$5),(T$6))</f>
        <v>0</v>
      </c>
      <c r="U244" s="39">
        <f>'Degree-days'!$J$12*IF($E244=$E$5,(U$5),(U$6))</f>
        <v>0.22806147286700376</v>
      </c>
      <c r="V244" s="39">
        <f>'Degree-days'!$J$12*IF($E244=$E$5,(V$5),(V$6))</f>
        <v>0.22806147286700376</v>
      </c>
      <c r="W244" s="39">
        <f>'Degree-days'!$J$12*IF($E244=$E$5,(W$5),(W$6))</f>
        <v>0.22806147286700376</v>
      </c>
      <c r="X244" s="39">
        <f>'Degree-days'!$J$12*IF($E244=$E$5,(X$5),(X$6))</f>
        <v>0.22806147286700376</v>
      </c>
      <c r="Y244" s="39">
        <f>'Degree-days'!$J$12*IF($E244=$E$5,(Y$5),(Y$6))</f>
        <v>0.22806147286700376</v>
      </c>
      <c r="Z244" s="39">
        <f>'Degree-days'!$J$12*IF($E244=$E$5,(Z$5),(Z$6))</f>
        <v>0.22806147286700376</v>
      </c>
      <c r="AA244" s="39">
        <f>'Degree-days'!$J$12*IF($E244=$E$5,(AA$5),(AA$6))</f>
        <v>0.22806147286700376</v>
      </c>
      <c r="AB244" s="39">
        <f>'Degree-days'!$J$12*IF($E244=$E$5,(AB$5),(AB$6))</f>
        <v>0</v>
      </c>
      <c r="AC244" s="39">
        <f>'Degree-days'!$J$12*IF($E244=$E$5,(AC$5),(AC$6))</f>
        <v>0</v>
      </c>
      <c r="AD244" s="39">
        <f t="shared" si="8"/>
        <v>2.0525532558030339</v>
      </c>
      <c r="AE244" s="40"/>
    </row>
    <row r="245" spans="4:32" x14ac:dyDescent="0.2">
      <c r="D245" s="37">
        <v>45164</v>
      </c>
      <c r="E245" s="17" t="str">
        <f t="shared" si="9"/>
        <v>weekend</v>
      </c>
      <c r="F245" s="39">
        <f>'Degree-days'!$J$12*IF($E245=$E$5,(F$5),(F$6))</f>
        <v>0</v>
      </c>
      <c r="G245" s="39">
        <f>'Degree-days'!$J$12*IF($E245=$E$5,(G$5),(G$6))</f>
        <v>0</v>
      </c>
      <c r="H245" s="39">
        <f>'Degree-days'!$J$12*IF($E245=$E$5,(H$5),(H$6))</f>
        <v>0</v>
      </c>
      <c r="I245" s="39">
        <f>'Degree-days'!$J$12*IF($E245=$E$5,(I$5),(I$6))</f>
        <v>0</v>
      </c>
      <c r="J245" s="39">
        <f>'Degree-days'!$J$12*IF($E245=$E$5,(J$5),(J$6))</f>
        <v>0</v>
      </c>
      <c r="K245" s="39">
        <f>'Degree-days'!$J$12*IF($E245=$E$5,(K$5),(K$6))</f>
        <v>0</v>
      </c>
      <c r="L245" s="39">
        <f>'Degree-days'!$J$12*IF($E245=$E$5,(L$5),(L$6))</f>
        <v>0.22806147286700376</v>
      </c>
      <c r="M245" s="39">
        <f>'Degree-days'!$J$12*IF($E245=$E$5,(M$5),(M$6))</f>
        <v>0.22806147286700376</v>
      </c>
      <c r="N245" s="39">
        <f>'Degree-days'!$J$12*IF($E245=$E$5,(N$5),(N$6))</f>
        <v>0.22806147286700376</v>
      </c>
      <c r="O245" s="39">
        <f>'Degree-days'!$J$12*IF($E245=$E$5,(O$5),(O$6))</f>
        <v>0.22806147286700376</v>
      </c>
      <c r="P245" s="39">
        <f>'Degree-days'!$J$12*IF($E245=$E$5,(P$5),(P$6))</f>
        <v>0.22806147286700376</v>
      </c>
      <c r="Q245" s="39">
        <f>'Degree-days'!$J$12*IF($E245=$E$5,(Q$5),(Q$6))</f>
        <v>0.22806147286700376</v>
      </c>
      <c r="R245" s="39">
        <f>'Degree-days'!$J$12*IF($E245=$E$5,(R$5),(R$6))</f>
        <v>0.22806147286700376</v>
      </c>
      <c r="S245" s="39">
        <f>'Degree-days'!$J$12*IF($E245=$E$5,(S$5),(S$6))</f>
        <v>0.22806147286700376</v>
      </c>
      <c r="T245" s="39">
        <f>'Degree-days'!$J$12*IF($E245=$E$5,(T$5),(T$6))</f>
        <v>0.22806147286700376</v>
      </c>
      <c r="U245" s="39">
        <f>'Degree-days'!$J$12*IF($E245=$E$5,(U$5),(U$6))</f>
        <v>0.22806147286700376</v>
      </c>
      <c r="V245" s="39">
        <f>'Degree-days'!$J$12*IF($E245=$E$5,(V$5),(V$6))</f>
        <v>0.22806147286700376</v>
      </c>
      <c r="W245" s="39">
        <f>'Degree-days'!$J$12*IF($E245=$E$5,(W$5),(W$6))</f>
        <v>0.22806147286700376</v>
      </c>
      <c r="X245" s="39">
        <f>'Degree-days'!$J$12*IF($E245=$E$5,(X$5),(X$6))</f>
        <v>0.22806147286700376</v>
      </c>
      <c r="Y245" s="39">
        <f>'Degree-days'!$J$12*IF($E245=$E$5,(Y$5),(Y$6))</f>
        <v>0.22806147286700376</v>
      </c>
      <c r="Z245" s="39">
        <f>'Degree-days'!$J$12*IF($E245=$E$5,(Z$5),(Z$6))</f>
        <v>0.22806147286700376</v>
      </c>
      <c r="AA245" s="39">
        <f>'Degree-days'!$J$12*IF($E245=$E$5,(AA$5),(AA$6))</f>
        <v>0.22806147286700376</v>
      </c>
      <c r="AB245" s="39">
        <f>'Degree-days'!$J$12*IF($E245=$E$5,(AB$5),(AB$6))</f>
        <v>0</v>
      </c>
      <c r="AC245" s="39">
        <f>'Degree-days'!$J$12*IF($E245=$E$5,(AC$5),(AC$6))</f>
        <v>0</v>
      </c>
      <c r="AD245" s="39">
        <f t="shared" si="8"/>
        <v>3.6489835658720593</v>
      </c>
      <c r="AE245" s="40"/>
    </row>
    <row r="246" spans="4:32" x14ac:dyDescent="0.2">
      <c r="D246" s="37">
        <v>45165</v>
      </c>
      <c r="E246" s="17" t="str">
        <f t="shared" si="9"/>
        <v>weekend</v>
      </c>
      <c r="F246" s="39">
        <f>'Degree-days'!$J$12*IF($E246=$E$5,(F$5),(F$6))</f>
        <v>0</v>
      </c>
      <c r="G246" s="39">
        <f>'Degree-days'!$J$12*IF($E246=$E$5,(G$5),(G$6))</f>
        <v>0</v>
      </c>
      <c r="H246" s="39">
        <f>'Degree-days'!$J$12*IF($E246=$E$5,(H$5),(H$6))</f>
        <v>0</v>
      </c>
      <c r="I246" s="39">
        <f>'Degree-days'!$J$12*IF($E246=$E$5,(I$5),(I$6))</f>
        <v>0</v>
      </c>
      <c r="J246" s="39">
        <f>'Degree-days'!$J$12*IF($E246=$E$5,(J$5),(J$6))</f>
        <v>0</v>
      </c>
      <c r="K246" s="39">
        <f>'Degree-days'!$J$12*IF($E246=$E$5,(K$5),(K$6))</f>
        <v>0</v>
      </c>
      <c r="L246" s="39">
        <f>'Degree-days'!$J$12*IF($E246=$E$5,(L$5),(L$6))</f>
        <v>0.22806147286700376</v>
      </c>
      <c r="M246" s="39">
        <f>'Degree-days'!$J$12*IF($E246=$E$5,(M$5),(M$6))</f>
        <v>0.22806147286700376</v>
      </c>
      <c r="N246" s="39">
        <f>'Degree-days'!$J$12*IF($E246=$E$5,(N$5),(N$6))</f>
        <v>0.22806147286700376</v>
      </c>
      <c r="O246" s="39">
        <f>'Degree-days'!$J$12*IF($E246=$E$5,(O$5),(O$6))</f>
        <v>0.22806147286700376</v>
      </c>
      <c r="P246" s="39">
        <f>'Degree-days'!$J$12*IF($E246=$E$5,(P$5),(P$6))</f>
        <v>0.22806147286700376</v>
      </c>
      <c r="Q246" s="39">
        <f>'Degree-days'!$J$12*IF($E246=$E$5,(Q$5),(Q$6))</f>
        <v>0.22806147286700376</v>
      </c>
      <c r="R246" s="39">
        <f>'Degree-days'!$J$12*IF($E246=$E$5,(R$5),(R$6))</f>
        <v>0.22806147286700376</v>
      </c>
      <c r="S246" s="39">
        <f>'Degree-days'!$J$12*IF($E246=$E$5,(S$5),(S$6))</f>
        <v>0.22806147286700376</v>
      </c>
      <c r="T246" s="39">
        <f>'Degree-days'!$J$12*IF($E246=$E$5,(T$5),(T$6))</f>
        <v>0.22806147286700376</v>
      </c>
      <c r="U246" s="39">
        <f>'Degree-days'!$J$12*IF($E246=$E$5,(U$5),(U$6))</f>
        <v>0.22806147286700376</v>
      </c>
      <c r="V246" s="39">
        <f>'Degree-days'!$J$12*IF($E246=$E$5,(V$5),(V$6))</f>
        <v>0.22806147286700376</v>
      </c>
      <c r="W246" s="39">
        <f>'Degree-days'!$J$12*IF($E246=$E$5,(W$5),(W$6))</f>
        <v>0.22806147286700376</v>
      </c>
      <c r="X246" s="39">
        <f>'Degree-days'!$J$12*IF($E246=$E$5,(X$5),(X$6))</f>
        <v>0.22806147286700376</v>
      </c>
      <c r="Y246" s="39">
        <f>'Degree-days'!$J$12*IF($E246=$E$5,(Y$5),(Y$6))</f>
        <v>0.22806147286700376</v>
      </c>
      <c r="Z246" s="39">
        <f>'Degree-days'!$J$12*IF($E246=$E$5,(Z$5),(Z$6))</f>
        <v>0.22806147286700376</v>
      </c>
      <c r="AA246" s="39">
        <f>'Degree-days'!$J$12*IF($E246=$E$5,(AA$5),(AA$6))</f>
        <v>0.22806147286700376</v>
      </c>
      <c r="AB246" s="39">
        <f>'Degree-days'!$J$12*IF($E246=$E$5,(AB$5),(AB$6))</f>
        <v>0</v>
      </c>
      <c r="AC246" s="39">
        <f>'Degree-days'!$J$12*IF($E246=$E$5,(AC$5),(AC$6))</f>
        <v>0</v>
      </c>
      <c r="AD246" s="39">
        <f t="shared" si="8"/>
        <v>3.6489835658720593</v>
      </c>
      <c r="AE246" s="40"/>
    </row>
    <row r="247" spans="4:32" x14ac:dyDescent="0.2">
      <c r="D247" s="37">
        <v>45166</v>
      </c>
      <c r="E247" s="17" t="str">
        <f t="shared" si="9"/>
        <v>weekday</v>
      </c>
      <c r="F247" s="39">
        <f>'Degree-days'!$J$12*IF($E247=$E$5,(F$5),(F$6))</f>
        <v>0</v>
      </c>
      <c r="G247" s="39">
        <f>'Degree-days'!$J$12*IF($E247=$E$5,(G$5),(G$6))</f>
        <v>0</v>
      </c>
      <c r="H247" s="39">
        <f>'Degree-days'!$J$12*IF($E247=$E$5,(H$5),(H$6))</f>
        <v>0</v>
      </c>
      <c r="I247" s="39">
        <f>'Degree-days'!$J$12*IF($E247=$E$5,(I$5),(I$6))</f>
        <v>0</v>
      </c>
      <c r="J247" s="39">
        <f>'Degree-days'!$J$12*IF($E247=$E$5,(J$5),(J$6))</f>
        <v>0</v>
      </c>
      <c r="K247" s="39">
        <f>'Degree-days'!$J$12*IF($E247=$E$5,(K$5),(K$6))</f>
        <v>0</v>
      </c>
      <c r="L247" s="39">
        <f>'Degree-days'!$J$12*IF($E247=$E$5,(L$5),(L$6))</f>
        <v>0.22806147286700376</v>
      </c>
      <c r="M247" s="39">
        <f>'Degree-days'!$J$12*IF($E247=$E$5,(M$5),(M$6))</f>
        <v>0.22806147286700376</v>
      </c>
      <c r="N247" s="39">
        <f>'Degree-days'!$J$12*IF($E247=$E$5,(N$5),(N$6))</f>
        <v>0</v>
      </c>
      <c r="O247" s="39">
        <f>'Degree-days'!$J$12*IF($E247=$E$5,(O$5),(O$6))</f>
        <v>0</v>
      </c>
      <c r="P247" s="39">
        <f>'Degree-days'!$J$12*IF($E247=$E$5,(P$5),(P$6))</f>
        <v>0</v>
      </c>
      <c r="Q247" s="39">
        <f>'Degree-days'!$J$12*IF($E247=$E$5,(Q$5),(Q$6))</f>
        <v>0</v>
      </c>
      <c r="R247" s="39">
        <f>'Degree-days'!$J$12*IF($E247=$E$5,(R$5),(R$6))</f>
        <v>0</v>
      </c>
      <c r="S247" s="39">
        <f>'Degree-days'!$J$12*IF($E247=$E$5,(S$5),(S$6))</f>
        <v>0</v>
      </c>
      <c r="T247" s="39">
        <f>'Degree-days'!$J$12*IF($E247=$E$5,(T$5),(T$6))</f>
        <v>0</v>
      </c>
      <c r="U247" s="39">
        <f>'Degree-days'!$J$12*IF($E247=$E$5,(U$5),(U$6))</f>
        <v>0.22806147286700376</v>
      </c>
      <c r="V247" s="39">
        <f>'Degree-days'!$J$12*IF($E247=$E$5,(V$5),(V$6))</f>
        <v>0.22806147286700376</v>
      </c>
      <c r="W247" s="39">
        <f>'Degree-days'!$J$12*IF($E247=$E$5,(W$5),(W$6))</f>
        <v>0.22806147286700376</v>
      </c>
      <c r="X247" s="39">
        <f>'Degree-days'!$J$12*IF($E247=$E$5,(X$5),(X$6))</f>
        <v>0.22806147286700376</v>
      </c>
      <c r="Y247" s="39">
        <f>'Degree-days'!$J$12*IF($E247=$E$5,(Y$5),(Y$6))</f>
        <v>0.22806147286700376</v>
      </c>
      <c r="Z247" s="39">
        <f>'Degree-days'!$J$12*IF($E247=$E$5,(Z$5),(Z$6))</f>
        <v>0.22806147286700376</v>
      </c>
      <c r="AA247" s="39">
        <f>'Degree-days'!$J$12*IF($E247=$E$5,(AA$5),(AA$6))</f>
        <v>0.22806147286700376</v>
      </c>
      <c r="AB247" s="39">
        <f>'Degree-days'!$J$12*IF($E247=$E$5,(AB$5),(AB$6))</f>
        <v>0</v>
      </c>
      <c r="AC247" s="39">
        <f>'Degree-days'!$J$12*IF($E247=$E$5,(AC$5),(AC$6))</f>
        <v>0</v>
      </c>
      <c r="AD247" s="39">
        <f t="shared" si="8"/>
        <v>2.0525532558030339</v>
      </c>
      <c r="AE247" s="40"/>
    </row>
    <row r="248" spans="4:32" x14ac:dyDescent="0.2">
      <c r="D248" s="37">
        <v>45167</v>
      </c>
      <c r="E248" s="17" t="str">
        <f t="shared" si="9"/>
        <v>weekday</v>
      </c>
      <c r="F248" s="39">
        <f>'Degree-days'!$J$12*IF($E248=$E$5,(F$5),(F$6))</f>
        <v>0</v>
      </c>
      <c r="G248" s="39">
        <f>'Degree-days'!$J$12*IF($E248=$E$5,(G$5),(G$6))</f>
        <v>0</v>
      </c>
      <c r="H248" s="39">
        <f>'Degree-days'!$J$12*IF($E248=$E$5,(H$5),(H$6))</f>
        <v>0</v>
      </c>
      <c r="I248" s="39">
        <f>'Degree-days'!$J$12*IF($E248=$E$5,(I$5),(I$6))</f>
        <v>0</v>
      </c>
      <c r="J248" s="39">
        <f>'Degree-days'!$J$12*IF($E248=$E$5,(J$5),(J$6))</f>
        <v>0</v>
      </c>
      <c r="K248" s="39">
        <f>'Degree-days'!$J$12*IF($E248=$E$5,(K$5),(K$6))</f>
        <v>0</v>
      </c>
      <c r="L248" s="39">
        <f>'Degree-days'!$J$12*IF($E248=$E$5,(L$5),(L$6))</f>
        <v>0.22806147286700376</v>
      </c>
      <c r="M248" s="39">
        <f>'Degree-days'!$J$12*IF($E248=$E$5,(M$5),(M$6))</f>
        <v>0.22806147286700376</v>
      </c>
      <c r="N248" s="39">
        <f>'Degree-days'!$J$12*IF($E248=$E$5,(N$5),(N$6))</f>
        <v>0</v>
      </c>
      <c r="O248" s="39">
        <f>'Degree-days'!$J$12*IF($E248=$E$5,(O$5),(O$6))</f>
        <v>0</v>
      </c>
      <c r="P248" s="39">
        <f>'Degree-days'!$J$12*IF($E248=$E$5,(P$5),(P$6))</f>
        <v>0</v>
      </c>
      <c r="Q248" s="39">
        <f>'Degree-days'!$J$12*IF($E248=$E$5,(Q$5),(Q$6))</f>
        <v>0</v>
      </c>
      <c r="R248" s="39">
        <f>'Degree-days'!$J$12*IF($E248=$E$5,(R$5),(R$6))</f>
        <v>0</v>
      </c>
      <c r="S248" s="39">
        <f>'Degree-days'!$J$12*IF($E248=$E$5,(S$5),(S$6))</f>
        <v>0</v>
      </c>
      <c r="T248" s="39">
        <f>'Degree-days'!$J$12*IF($E248=$E$5,(T$5),(T$6))</f>
        <v>0</v>
      </c>
      <c r="U248" s="39">
        <f>'Degree-days'!$J$12*IF($E248=$E$5,(U$5),(U$6))</f>
        <v>0.22806147286700376</v>
      </c>
      <c r="V248" s="39">
        <f>'Degree-days'!$J$12*IF($E248=$E$5,(V$5),(V$6))</f>
        <v>0.22806147286700376</v>
      </c>
      <c r="W248" s="39">
        <f>'Degree-days'!$J$12*IF($E248=$E$5,(W$5),(W$6))</f>
        <v>0.22806147286700376</v>
      </c>
      <c r="X248" s="39">
        <f>'Degree-days'!$J$12*IF($E248=$E$5,(X$5),(X$6))</f>
        <v>0.22806147286700376</v>
      </c>
      <c r="Y248" s="39">
        <f>'Degree-days'!$J$12*IF($E248=$E$5,(Y$5),(Y$6))</f>
        <v>0.22806147286700376</v>
      </c>
      <c r="Z248" s="39">
        <f>'Degree-days'!$J$12*IF($E248=$E$5,(Z$5),(Z$6))</f>
        <v>0.22806147286700376</v>
      </c>
      <c r="AA248" s="39">
        <f>'Degree-days'!$J$12*IF($E248=$E$5,(AA$5),(AA$6))</f>
        <v>0.22806147286700376</v>
      </c>
      <c r="AB248" s="39">
        <f>'Degree-days'!$J$12*IF($E248=$E$5,(AB$5),(AB$6))</f>
        <v>0</v>
      </c>
      <c r="AC248" s="39">
        <f>'Degree-days'!$J$12*IF($E248=$E$5,(AC$5),(AC$6))</f>
        <v>0</v>
      </c>
      <c r="AD248" s="39">
        <f t="shared" si="8"/>
        <v>2.0525532558030339</v>
      </c>
      <c r="AE248" s="40"/>
    </row>
    <row r="249" spans="4:32" x14ac:dyDescent="0.2">
      <c r="D249" s="37">
        <v>45168</v>
      </c>
      <c r="E249" s="17" t="str">
        <f t="shared" si="9"/>
        <v>weekday</v>
      </c>
      <c r="F249" s="39">
        <f>'Degree-days'!$J$12*IF($E249=$E$5,(F$5),(F$6))</f>
        <v>0</v>
      </c>
      <c r="G249" s="39">
        <f>'Degree-days'!$J$12*IF($E249=$E$5,(G$5),(G$6))</f>
        <v>0</v>
      </c>
      <c r="H249" s="39">
        <f>'Degree-days'!$J$12*IF($E249=$E$5,(H$5),(H$6))</f>
        <v>0</v>
      </c>
      <c r="I249" s="39">
        <f>'Degree-days'!$J$12*IF($E249=$E$5,(I$5),(I$6))</f>
        <v>0</v>
      </c>
      <c r="J249" s="39">
        <f>'Degree-days'!$J$12*IF($E249=$E$5,(J$5),(J$6))</f>
        <v>0</v>
      </c>
      <c r="K249" s="39">
        <f>'Degree-days'!$J$12*IF($E249=$E$5,(K$5),(K$6))</f>
        <v>0</v>
      </c>
      <c r="L249" s="39">
        <f>'Degree-days'!$J$12*IF($E249=$E$5,(L$5),(L$6))</f>
        <v>0.22806147286700376</v>
      </c>
      <c r="M249" s="39">
        <f>'Degree-days'!$J$12*IF($E249=$E$5,(M$5),(M$6))</f>
        <v>0.22806147286700376</v>
      </c>
      <c r="N249" s="39">
        <f>'Degree-days'!$J$12*IF($E249=$E$5,(N$5),(N$6))</f>
        <v>0</v>
      </c>
      <c r="O249" s="39">
        <f>'Degree-days'!$J$12*IF($E249=$E$5,(O$5),(O$6))</f>
        <v>0</v>
      </c>
      <c r="P249" s="39">
        <f>'Degree-days'!$J$12*IF($E249=$E$5,(P$5),(P$6))</f>
        <v>0</v>
      </c>
      <c r="Q249" s="39">
        <f>'Degree-days'!$J$12*IF($E249=$E$5,(Q$5),(Q$6))</f>
        <v>0</v>
      </c>
      <c r="R249" s="39">
        <f>'Degree-days'!$J$12*IF($E249=$E$5,(R$5),(R$6))</f>
        <v>0</v>
      </c>
      <c r="S249" s="39">
        <f>'Degree-days'!$J$12*IF($E249=$E$5,(S$5),(S$6))</f>
        <v>0</v>
      </c>
      <c r="T249" s="39">
        <f>'Degree-days'!$J$12*IF($E249=$E$5,(T$5),(T$6))</f>
        <v>0</v>
      </c>
      <c r="U249" s="39">
        <f>'Degree-days'!$J$12*IF($E249=$E$5,(U$5),(U$6))</f>
        <v>0.22806147286700376</v>
      </c>
      <c r="V249" s="39">
        <f>'Degree-days'!$J$12*IF($E249=$E$5,(V$5),(V$6))</f>
        <v>0.22806147286700376</v>
      </c>
      <c r="W249" s="39">
        <f>'Degree-days'!$J$12*IF($E249=$E$5,(W$5),(W$6))</f>
        <v>0.22806147286700376</v>
      </c>
      <c r="X249" s="39">
        <f>'Degree-days'!$J$12*IF($E249=$E$5,(X$5),(X$6))</f>
        <v>0.22806147286700376</v>
      </c>
      <c r="Y249" s="39">
        <f>'Degree-days'!$J$12*IF($E249=$E$5,(Y$5),(Y$6))</f>
        <v>0.22806147286700376</v>
      </c>
      <c r="Z249" s="39">
        <f>'Degree-days'!$J$12*IF($E249=$E$5,(Z$5),(Z$6))</f>
        <v>0.22806147286700376</v>
      </c>
      <c r="AA249" s="39">
        <f>'Degree-days'!$J$12*IF($E249=$E$5,(AA$5),(AA$6))</f>
        <v>0.22806147286700376</v>
      </c>
      <c r="AB249" s="39">
        <f>'Degree-days'!$J$12*IF($E249=$E$5,(AB$5),(AB$6))</f>
        <v>0</v>
      </c>
      <c r="AC249" s="39">
        <f>'Degree-days'!$J$12*IF($E249=$E$5,(AC$5),(AC$6))</f>
        <v>0</v>
      </c>
      <c r="AD249" s="39">
        <f t="shared" si="8"/>
        <v>2.0525532558030339</v>
      </c>
      <c r="AE249" s="40"/>
    </row>
    <row r="250" spans="4:32" x14ac:dyDescent="0.2">
      <c r="D250" s="37">
        <v>45169</v>
      </c>
      <c r="E250" s="17" t="str">
        <f t="shared" si="9"/>
        <v>weekday</v>
      </c>
      <c r="F250" s="39">
        <f>'Degree-days'!$J$12*IF($E250=$E$5,(F$5),(F$6))</f>
        <v>0</v>
      </c>
      <c r="G250" s="39">
        <f>'Degree-days'!$J$12*IF($E250=$E$5,(G$5),(G$6))</f>
        <v>0</v>
      </c>
      <c r="H250" s="39">
        <f>'Degree-days'!$J$12*IF($E250=$E$5,(H$5),(H$6))</f>
        <v>0</v>
      </c>
      <c r="I250" s="39">
        <f>'Degree-days'!$J$12*IF($E250=$E$5,(I$5),(I$6))</f>
        <v>0</v>
      </c>
      <c r="J250" s="39">
        <f>'Degree-days'!$J$12*IF($E250=$E$5,(J$5),(J$6))</f>
        <v>0</v>
      </c>
      <c r="K250" s="39">
        <f>'Degree-days'!$J$12*IF($E250=$E$5,(K$5),(K$6))</f>
        <v>0</v>
      </c>
      <c r="L250" s="39">
        <f>'Degree-days'!$J$12*IF($E250=$E$5,(L$5),(L$6))</f>
        <v>0.22806147286700376</v>
      </c>
      <c r="M250" s="39">
        <f>'Degree-days'!$J$12*IF($E250=$E$5,(M$5),(M$6))</f>
        <v>0.22806147286700376</v>
      </c>
      <c r="N250" s="39">
        <f>'Degree-days'!$J$12*IF($E250=$E$5,(N$5),(N$6))</f>
        <v>0</v>
      </c>
      <c r="O250" s="39">
        <f>'Degree-days'!$J$12*IF($E250=$E$5,(O$5),(O$6))</f>
        <v>0</v>
      </c>
      <c r="P250" s="39">
        <f>'Degree-days'!$J$12*IF($E250=$E$5,(P$5),(P$6))</f>
        <v>0</v>
      </c>
      <c r="Q250" s="39">
        <f>'Degree-days'!$J$12*IF($E250=$E$5,(Q$5),(Q$6))</f>
        <v>0</v>
      </c>
      <c r="R250" s="39">
        <f>'Degree-days'!$J$12*IF($E250=$E$5,(R$5),(R$6))</f>
        <v>0</v>
      </c>
      <c r="S250" s="39">
        <f>'Degree-days'!$J$12*IF($E250=$E$5,(S$5),(S$6))</f>
        <v>0</v>
      </c>
      <c r="T250" s="39">
        <f>'Degree-days'!$J$12*IF($E250=$E$5,(T$5),(T$6))</f>
        <v>0</v>
      </c>
      <c r="U250" s="39">
        <f>'Degree-days'!$J$12*IF($E250=$E$5,(U$5),(U$6))</f>
        <v>0.22806147286700376</v>
      </c>
      <c r="V250" s="39">
        <f>'Degree-days'!$J$12*IF($E250=$E$5,(V$5),(V$6))</f>
        <v>0.22806147286700376</v>
      </c>
      <c r="W250" s="39">
        <f>'Degree-days'!$J$12*IF($E250=$E$5,(W$5),(W$6))</f>
        <v>0.22806147286700376</v>
      </c>
      <c r="X250" s="39">
        <f>'Degree-days'!$J$12*IF($E250=$E$5,(X$5),(X$6))</f>
        <v>0.22806147286700376</v>
      </c>
      <c r="Y250" s="39">
        <f>'Degree-days'!$J$12*IF($E250=$E$5,(Y$5),(Y$6))</f>
        <v>0.22806147286700376</v>
      </c>
      <c r="Z250" s="39">
        <f>'Degree-days'!$J$12*IF($E250=$E$5,(Z$5),(Z$6))</f>
        <v>0.22806147286700376</v>
      </c>
      <c r="AA250" s="39">
        <f>'Degree-days'!$J$12*IF($E250=$E$5,(AA$5),(AA$6))</f>
        <v>0.22806147286700376</v>
      </c>
      <c r="AB250" s="39">
        <f>'Degree-days'!$J$12*IF($E250=$E$5,(AB$5),(AB$6))</f>
        <v>0</v>
      </c>
      <c r="AC250" s="39">
        <f>'Degree-days'!$J$12*IF($E250=$E$5,(AC$5),(AC$6))</f>
        <v>0</v>
      </c>
      <c r="AD250" s="39">
        <f t="shared" si="8"/>
        <v>2.0525532558030339</v>
      </c>
      <c r="AE250" s="40">
        <f>SUM(AD220:AD250)</f>
        <v>76.400593410446248</v>
      </c>
      <c r="AF250" s="35">
        <f>'Degree-days'!J11</f>
        <v>76.400593410446263</v>
      </c>
    </row>
    <row r="251" spans="4:32" x14ac:dyDescent="0.2">
      <c r="D251" s="37">
        <v>45170</v>
      </c>
      <c r="E251" s="17" t="str">
        <f t="shared" si="9"/>
        <v>weekday</v>
      </c>
      <c r="F251" s="39">
        <f>'Degree-days'!$K$12*IF($E251=$E$5,(F$5),(F$6))</f>
        <v>0</v>
      </c>
      <c r="G251" s="39">
        <f>'Degree-days'!$K$12*IF($E251=$E$5,(G$5),(G$6))</f>
        <v>0</v>
      </c>
      <c r="H251" s="39">
        <f>'Degree-days'!$K$12*IF($E251=$E$5,(H$5),(H$6))</f>
        <v>0</v>
      </c>
      <c r="I251" s="39">
        <f>'Degree-days'!$K$12*IF($E251=$E$5,(I$5),(I$6))</f>
        <v>0</v>
      </c>
      <c r="J251" s="39">
        <f>'Degree-days'!$K$12*IF($E251=$E$5,(J$5),(J$6))</f>
        <v>0</v>
      </c>
      <c r="K251" s="39">
        <f>'Degree-days'!$K$12*IF($E251=$E$5,(K$5),(K$6))</f>
        <v>0</v>
      </c>
      <c r="L251" s="39">
        <f>'Degree-days'!$K$12*IF($E251=$E$5,(L$5),(L$6))</f>
        <v>0.63568414769149906</v>
      </c>
      <c r="M251" s="39">
        <f>'Degree-days'!$K$12*IF($E251=$E$5,(M$5),(M$6))</f>
        <v>0.63568414769149906</v>
      </c>
      <c r="N251" s="39">
        <f>'Degree-days'!$K$12*IF($E251=$E$5,(N$5),(N$6))</f>
        <v>0</v>
      </c>
      <c r="O251" s="39">
        <f>'Degree-days'!$K$12*IF($E251=$E$5,(O$5),(O$6))</f>
        <v>0</v>
      </c>
      <c r="P251" s="39">
        <f>'Degree-days'!$K$12*IF($E251=$E$5,(P$5),(P$6))</f>
        <v>0</v>
      </c>
      <c r="Q251" s="39">
        <f>'Degree-days'!$K$12*IF($E251=$E$5,(Q$5),(Q$6))</f>
        <v>0</v>
      </c>
      <c r="R251" s="39">
        <f>'Degree-days'!$K$12*IF($E251=$E$5,(R$5),(R$6))</f>
        <v>0</v>
      </c>
      <c r="S251" s="39">
        <f>'Degree-days'!$K$12*IF($E251=$E$5,(S$5),(S$6))</f>
        <v>0</v>
      </c>
      <c r="T251" s="39">
        <f>'Degree-days'!$K$12*IF($E251=$E$5,(T$5),(T$6))</f>
        <v>0</v>
      </c>
      <c r="U251" s="39">
        <f>'Degree-days'!$K$12*IF($E251=$E$5,(U$5),(U$6))</f>
        <v>0.63568414769149906</v>
      </c>
      <c r="V251" s="39">
        <f>'Degree-days'!$K$12*IF($E251=$E$5,(V$5),(V$6))</f>
        <v>0.63568414769149906</v>
      </c>
      <c r="W251" s="39">
        <f>'Degree-days'!$K$12*IF($E251=$E$5,(W$5),(W$6))</f>
        <v>0.63568414769149906</v>
      </c>
      <c r="X251" s="39">
        <f>'Degree-days'!$K$12*IF($E251=$E$5,(X$5),(X$6))</f>
        <v>0.63568414769149906</v>
      </c>
      <c r="Y251" s="39">
        <f>'Degree-days'!$K$12*IF($E251=$E$5,(Y$5),(Y$6))</f>
        <v>0.63568414769149906</v>
      </c>
      <c r="Z251" s="39">
        <f>'Degree-days'!$K$12*IF($E251=$E$5,(Z$5),(Z$6))</f>
        <v>0.63568414769149906</v>
      </c>
      <c r="AA251" s="39">
        <f>'Degree-days'!$K$12*IF($E251=$E$5,(AA$5),(AA$6))</f>
        <v>0.63568414769149906</v>
      </c>
      <c r="AB251" s="39">
        <f>'Degree-days'!$K$12*IF($E251=$E$5,(AB$5),(AB$6))</f>
        <v>0</v>
      </c>
      <c r="AC251" s="39">
        <f>'Degree-days'!$K$12*IF($E251=$E$5,(AC$5),(AC$6))</f>
        <v>0</v>
      </c>
      <c r="AD251" s="39">
        <f>SUM(F251:AC251)</f>
        <v>5.7211573292234918</v>
      </c>
    </row>
    <row r="252" spans="4:32" x14ac:dyDescent="0.2">
      <c r="D252" s="37">
        <v>45171</v>
      </c>
      <c r="E252" s="17" t="str">
        <f t="shared" si="9"/>
        <v>weekend</v>
      </c>
      <c r="F252" s="39">
        <f>'Degree-days'!$K$12*IF($E252=$E$5,(F$5),(F$6))</f>
        <v>0</v>
      </c>
      <c r="G252" s="39">
        <f>'Degree-days'!$K$12*IF($E252=$E$5,(G$5),(G$6))</f>
        <v>0</v>
      </c>
      <c r="H252" s="39">
        <f>'Degree-days'!$K$12*IF($E252=$E$5,(H$5),(H$6))</f>
        <v>0</v>
      </c>
      <c r="I252" s="39">
        <f>'Degree-days'!$K$12*IF($E252=$E$5,(I$5),(I$6))</f>
        <v>0</v>
      </c>
      <c r="J252" s="39">
        <f>'Degree-days'!$K$12*IF($E252=$E$5,(J$5),(J$6))</f>
        <v>0</v>
      </c>
      <c r="K252" s="39">
        <f>'Degree-days'!$K$12*IF($E252=$E$5,(K$5),(K$6))</f>
        <v>0</v>
      </c>
      <c r="L252" s="39">
        <f>'Degree-days'!$K$12*IF($E252=$E$5,(L$5),(L$6))</f>
        <v>0.63568414769149906</v>
      </c>
      <c r="M252" s="39">
        <f>'Degree-days'!$K$12*IF($E252=$E$5,(M$5),(M$6))</f>
        <v>0.63568414769149906</v>
      </c>
      <c r="N252" s="39">
        <f>'Degree-days'!$K$12*IF($E252=$E$5,(N$5),(N$6))</f>
        <v>0.63568414769149906</v>
      </c>
      <c r="O252" s="39">
        <f>'Degree-days'!$K$12*IF($E252=$E$5,(O$5),(O$6))</f>
        <v>0.63568414769149906</v>
      </c>
      <c r="P252" s="39">
        <f>'Degree-days'!$K$12*IF($E252=$E$5,(P$5),(P$6))</f>
        <v>0.63568414769149906</v>
      </c>
      <c r="Q252" s="39">
        <f>'Degree-days'!$K$12*IF($E252=$E$5,(Q$5),(Q$6))</f>
        <v>0.63568414769149906</v>
      </c>
      <c r="R252" s="39">
        <f>'Degree-days'!$K$12*IF($E252=$E$5,(R$5),(R$6))</f>
        <v>0.63568414769149906</v>
      </c>
      <c r="S252" s="39">
        <f>'Degree-days'!$K$12*IF($E252=$E$5,(S$5),(S$6))</f>
        <v>0.63568414769149906</v>
      </c>
      <c r="T252" s="39">
        <f>'Degree-days'!$K$12*IF($E252=$E$5,(T$5),(T$6))</f>
        <v>0.63568414769149906</v>
      </c>
      <c r="U252" s="39">
        <f>'Degree-days'!$K$12*IF($E252=$E$5,(U$5),(U$6))</f>
        <v>0.63568414769149906</v>
      </c>
      <c r="V252" s="39">
        <f>'Degree-days'!$K$12*IF($E252=$E$5,(V$5),(V$6))</f>
        <v>0.63568414769149906</v>
      </c>
      <c r="W252" s="39">
        <f>'Degree-days'!$K$12*IF($E252=$E$5,(W$5),(W$6))</f>
        <v>0.63568414769149906</v>
      </c>
      <c r="X252" s="39">
        <f>'Degree-days'!$K$12*IF($E252=$E$5,(X$5),(X$6))</f>
        <v>0.63568414769149906</v>
      </c>
      <c r="Y252" s="39">
        <f>'Degree-days'!$K$12*IF($E252=$E$5,(Y$5),(Y$6))</f>
        <v>0.63568414769149906</v>
      </c>
      <c r="Z252" s="39">
        <f>'Degree-days'!$K$12*IF($E252=$E$5,(Z$5),(Z$6))</f>
        <v>0.63568414769149906</v>
      </c>
      <c r="AA252" s="39">
        <f>'Degree-days'!$K$12*IF($E252=$E$5,(AA$5),(AA$6))</f>
        <v>0.63568414769149906</v>
      </c>
      <c r="AB252" s="39">
        <f>'Degree-days'!$K$12*IF($E252=$E$5,(AB$5),(AB$6))</f>
        <v>0</v>
      </c>
      <c r="AC252" s="39">
        <f>'Degree-days'!$K$12*IF($E252=$E$5,(AC$5),(AC$6))</f>
        <v>0</v>
      </c>
      <c r="AD252" s="39">
        <f t="shared" ref="AD252:AD279" si="10">SUM(F252:AC252)</f>
        <v>10.170946363063987</v>
      </c>
    </row>
    <row r="253" spans="4:32" x14ac:dyDescent="0.2">
      <c r="D253" s="37">
        <v>45172</v>
      </c>
      <c r="E253" s="17" t="str">
        <f t="shared" si="9"/>
        <v>weekend</v>
      </c>
      <c r="F253" s="39">
        <f>'Degree-days'!$K$12*IF($E253=$E$5,(F$5),(F$6))</f>
        <v>0</v>
      </c>
      <c r="G253" s="39">
        <f>'Degree-days'!$K$12*IF($E253=$E$5,(G$5),(G$6))</f>
        <v>0</v>
      </c>
      <c r="H253" s="39">
        <f>'Degree-days'!$K$12*IF($E253=$E$5,(H$5),(H$6))</f>
        <v>0</v>
      </c>
      <c r="I253" s="39">
        <f>'Degree-days'!$K$12*IF($E253=$E$5,(I$5),(I$6))</f>
        <v>0</v>
      </c>
      <c r="J253" s="39">
        <f>'Degree-days'!$K$12*IF($E253=$E$5,(J$5),(J$6))</f>
        <v>0</v>
      </c>
      <c r="K253" s="39">
        <f>'Degree-days'!$K$12*IF($E253=$E$5,(K$5),(K$6))</f>
        <v>0</v>
      </c>
      <c r="L253" s="39">
        <f>'Degree-days'!$K$12*IF($E253=$E$5,(L$5),(L$6))</f>
        <v>0.63568414769149906</v>
      </c>
      <c r="M253" s="39">
        <f>'Degree-days'!$K$12*IF($E253=$E$5,(M$5),(M$6))</f>
        <v>0.63568414769149906</v>
      </c>
      <c r="N253" s="39">
        <f>'Degree-days'!$K$12*IF($E253=$E$5,(N$5),(N$6))</f>
        <v>0.63568414769149906</v>
      </c>
      <c r="O253" s="39">
        <f>'Degree-days'!$K$12*IF($E253=$E$5,(O$5),(O$6))</f>
        <v>0.63568414769149906</v>
      </c>
      <c r="P253" s="39">
        <f>'Degree-days'!$K$12*IF($E253=$E$5,(P$5),(P$6))</f>
        <v>0.63568414769149906</v>
      </c>
      <c r="Q253" s="39">
        <f>'Degree-days'!$K$12*IF($E253=$E$5,(Q$5),(Q$6))</f>
        <v>0.63568414769149906</v>
      </c>
      <c r="R253" s="39">
        <f>'Degree-days'!$K$12*IF($E253=$E$5,(R$5),(R$6))</f>
        <v>0.63568414769149906</v>
      </c>
      <c r="S253" s="39">
        <f>'Degree-days'!$K$12*IF($E253=$E$5,(S$5),(S$6))</f>
        <v>0.63568414769149906</v>
      </c>
      <c r="T253" s="39">
        <f>'Degree-days'!$K$12*IF($E253=$E$5,(T$5),(T$6))</f>
        <v>0.63568414769149906</v>
      </c>
      <c r="U253" s="39">
        <f>'Degree-days'!$K$12*IF($E253=$E$5,(U$5),(U$6))</f>
        <v>0.63568414769149906</v>
      </c>
      <c r="V253" s="39">
        <f>'Degree-days'!$K$12*IF($E253=$E$5,(V$5),(V$6))</f>
        <v>0.63568414769149906</v>
      </c>
      <c r="W253" s="39">
        <f>'Degree-days'!$K$12*IF($E253=$E$5,(W$5),(W$6))</f>
        <v>0.63568414769149906</v>
      </c>
      <c r="X253" s="39">
        <f>'Degree-days'!$K$12*IF($E253=$E$5,(X$5),(X$6))</f>
        <v>0.63568414769149906</v>
      </c>
      <c r="Y253" s="39">
        <f>'Degree-days'!$K$12*IF($E253=$E$5,(Y$5),(Y$6))</f>
        <v>0.63568414769149906</v>
      </c>
      <c r="Z253" s="39">
        <f>'Degree-days'!$K$12*IF($E253=$E$5,(Z$5),(Z$6))</f>
        <v>0.63568414769149906</v>
      </c>
      <c r="AA253" s="39">
        <f>'Degree-days'!$K$12*IF($E253=$E$5,(AA$5),(AA$6))</f>
        <v>0.63568414769149906</v>
      </c>
      <c r="AB253" s="39">
        <f>'Degree-days'!$K$12*IF($E253=$E$5,(AB$5),(AB$6))</f>
        <v>0</v>
      </c>
      <c r="AC253" s="39">
        <f>'Degree-days'!$K$12*IF($E253=$E$5,(AC$5),(AC$6))</f>
        <v>0</v>
      </c>
      <c r="AD253" s="39">
        <f t="shared" si="10"/>
        <v>10.170946363063987</v>
      </c>
    </row>
    <row r="254" spans="4:32" x14ac:dyDescent="0.2">
      <c r="D254" s="37">
        <v>45173</v>
      </c>
      <c r="E254" s="17" t="str">
        <f t="shared" si="9"/>
        <v>weekday</v>
      </c>
      <c r="F254" s="39">
        <f>'Degree-days'!$K$12*IF($E254=$E$5,(F$5),(F$6))</f>
        <v>0</v>
      </c>
      <c r="G254" s="39">
        <f>'Degree-days'!$K$12*IF($E254=$E$5,(G$5),(G$6))</f>
        <v>0</v>
      </c>
      <c r="H254" s="39">
        <f>'Degree-days'!$K$12*IF($E254=$E$5,(H$5),(H$6))</f>
        <v>0</v>
      </c>
      <c r="I254" s="39">
        <f>'Degree-days'!$K$12*IF($E254=$E$5,(I$5),(I$6))</f>
        <v>0</v>
      </c>
      <c r="J254" s="39">
        <f>'Degree-days'!$K$12*IF($E254=$E$5,(J$5),(J$6))</f>
        <v>0</v>
      </c>
      <c r="K254" s="39">
        <f>'Degree-days'!$K$12*IF($E254=$E$5,(K$5),(K$6))</f>
        <v>0</v>
      </c>
      <c r="L254" s="39">
        <f>'Degree-days'!$K$12*IF($E254=$E$5,(L$5),(L$6))</f>
        <v>0.63568414769149906</v>
      </c>
      <c r="M254" s="39">
        <f>'Degree-days'!$K$12*IF($E254=$E$5,(M$5),(M$6))</f>
        <v>0.63568414769149906</v>
      </c>
      <c r="N254" s="39">
        <f>'Degree-days'!$K$12*IF($E254=$E$5,(N$5),(N$6))</f>
        <v>0</v>
      </c>
      <c r="O254" s="39">
        <f>'Degree-days'!$K$12*IF($E254=$E$5,(O$5),(O$6))</f>
        <v>0</v>
      </c>
      <c r="P254" s="39">
        <f>'Degree-days'!$K$12*IF($E254=$E$5,(P$5),(P$6))</f>
        <v>0</v>
      </c>
      <c r="Q254" s="39">
        <f>'Degree-days'!$K$12*IF($E254=$E$5,(Q$5),(Q$6))</f>
        <v>0</v>
      </c>
      <c r="R254" s="39">
        <f>'Degree-days'!$K$12*IF($E254=$E$5,(R$5),(R$6))</f>
        <v>0</v>
      </c>
      <c r="S254" s="39">
        <f>'Degree-days'!$K$12*IF($E254=$E$5,(S$5),(S$6))</f>
        <v>0</v>
      </c>
      <c r="T254" s="39">
        <f>'Degree-days'!$K$12*IF($E254=$E$5,(T$5),(T$6))</f>
        <v>0</v>
      </c>
      <c r="U254" s="39">
        <f>'Degree-days'!$K$12*IF($E254=$E$5,(U$5),(U$6))</f>
        <v>0.63568414769149906</v>
      </c>
      <c r="V254" s="39">
        <f>'Degree-days'!$K$12*IF($E254=$E$5,(V$5),(V$6))</f>
        <v>0.63568414769149906</v>
      </c>
      <c r="W254" s="39">
        <f>'Degree-days'!$K$12*IF($E254=$E$5,(W$5),(W$6))</f>
        <v>0.63568414769149906</v>
      </c>
      <c r="X254" s="39">
        <f>'Degree-days'!$K$12*IF($E254=$E$5,(X$5),(X$6))</f>
        <v>0.63568414769149906</v>
      </c>
      <c r="Y254" s="39">
        <f>'Degree-days'!$K$12*IF($E254=$E$5,(Y$5),(Y$6))</f>
        <v>0.63568414769149906</v>
      </c>
      <c r="Z254" s="39">
        <f>'Degree-days'!$K$12*IF($E254=$E$5,(Z$5),(Z$6))</f>
        <v>0.63568414769149906</v>
      </c>
      <c r="AA254" s="39">
        <f>'Degree-days'!$K$12*IF($E254=$E$5,(AA$5),(AA$6))</f>
        <v>0.63568414769149906</v>
      </c>
      <c r="AB254" s="39">
        <f>'Degree-days'!$K$12*IF($E254=$E$5,(AB$5),(AB$6))</f>
        <v>0</v>
      </c>
      <c r="AC254" s="39">
        <f>'Degree-days'!$K$12*IF($E254=$E$5,(AC$5),(AC$6))</f>
        <v>0</v>
      </c>
      <c r="AD254" s="39">
        <f t="shared" si="10"/>
        <v>5.7211573292234918</v>
      </c>
    </row>
    <row r="255" spans="4:32" x14ac:dyDescent="0.2">
      <c r="D255" s="37">
        <v>45174</v>
      </c>
      <c r="E255" s="17" t="str">
        <f t="shared" si="9"/>
        <v>weekday</v>
      </c>
      <c r="F255" s="39">
        <f>'Degree-days'!$K$12*IF($E255=$E$5,(F$5),(F$6))</f>
        <v>0</v>
      </c>
      <c r="G255" s="39">
        <f>'Degree-days'!$K$12*IF($E255=$E$5,(G$5),(G$6))</f>
        <v>0</v>
      </c>
      <c r="H255" s="39">
        <f>'Degree-days'!$K$12*IF($E255=$E$5,(H$5),(H$6))</f>
        <v>0</v>
      </c>
      <c r="I255" s="39">
        <f>'Degree-days'!$K$12*IF($E255=$E$5,(I$5),(I$6))</f>
        <v>0</v>
      </c>
      <c r="J255" s="39">
        <f>'Degree-days'!$K$12*IF($E255=$E$5,(J$5),(J$6))</f>
        <v>0</v>
      </c>
      <c r="K255" s="39">
        <f>'Degree-days'!$K$12*IF($E255=$E$5,(K$5),(K$6))</f>
        <v>0</v>
      </c>
      <c r="L255" s="39">
        <f>'Degree-days'!$K$12*IF($E255=$E$5,(L$5),(L$6))</f>
        <v>0.63568414769149906</v>
      </c>
      <c r="M255" s="39">
        <f>'Degree-days'!$K$12*IF($E255=$E$5,(M$5),(M$6))</f>
        <v>0.63568414769149906</v>
      </c>
      <c r="N255" s="39">
        <f>'Degree-days'!$K$12*IF($E255=$E$5,(N$5),(N$6))</f>
        <v>0</v>
      </c>
      <c r="O255" s="39">
        <f>'Degree-days'!$K$12*IF($E255=$E$5,(O$5),(O$6))</f>
        <v>0</v>
      </c>
      <c r="P255" s="39">
        <f>'Degree-days'!$K$12*IF($E255=$E$5,(P$5),(P$6))</f>
        <v>0</v>
      </c>
      <c r="Q255" s="39">
        <f>'Degree-days'!$K$12*IF($E255=$E$5,(Q$5),(Q$6))</f>
        <v>0</v>
      </c>
      <c r="R255" s="39">
        <f>'Degree-days'!$K$12*IF($E255=$E$5,(R$5),(R$6))</f>
        <v>0</v>
      </c>
      <c r="S255" s="39">
        <f>'Degree-days'!$K$12*IF($E255=$E$5,(S$5),(S$6))</f>
        <v>0</v>
      </c>
      <c r="T255" s="39">
        <f>'Degree-days'!$K$12*IF($E255=$E$5,(T$5),(T$6))</f>
        <v>0</v>
      </c>
      <c r="U255" s="39">
        <f>'Degree-days'!$K$12*IF($E255=$E$5,(U$5),(U$6))</f>
        <v>0.63568414769149906</v>
      </c>
      <c r="V255" s="39">
        <f>'Degree-days'!$K$12*IF($E255=$E$5,(V$5),(V$6))</f>
        <v>0.63568414769149906</v>
      </c>
      <c r="W255" s="39">
        <f>'Degree-days'!$K$12*IF($E255=$E$5,(W$5),(W$6))</f>
        <v>0.63568414769149906</v>
      </c>
      <c r="X255" s="39">
        <f>'Degree-days'!$K$12*IF($E255=$E$5,(X$5),(X$6))</f>
        <v>0.63568414769149906</v>
      </c>
      <c r="Y255" s="39">
        <f>'Degree-days'!$K$12*IF($E255=$E$5,(Y$5),(Y$6))</f>
        <v>0.63568414769149906</v>
      </c>
      <c r="Z255" s="39">
        <f>'Degree-days'!$K$12*IF($E255=$E$5,(Z$5),(Z$6))</f>
        <v>0.63568414769149906</v>
      </c>
      <c r="AA255" s="39">
        <f>'Degree-days'!$K$12*IF($E255=$E$5,(AA$5),(AA$6))</f>
        <v>0.63568414769149906</v>
      </c>
      <c r="AB255" s="39">
        <f>'Degree-days'!$K$12*IF($E255=$E$5,(AB$5),(AB$6))</f>
        <v>0</v>
      </c>
      <c r="AC255" s="39">
        <f>'Degree-days'!$K$12*IF($E255=$E$5,(AC$5),(AC$6))</f>
        <v>0</v>
      </c>
      <c r="AD255" s="39">
        <f t="shared" si="10"/>
        <v>5.7211573292234918</v>
      </c>
    </row>
    <row r="256" spans="4:32" x14ac:dyDescent="0.2">
      <c r="D256" s="37">
        <v>45175</v>
      </c>
      <c r="E256" s="17" t="str">
        <f t="shared" si="9"/>
        <v>weekday</v>
      </c>
      <c r="F256" s="39">
        <f>'Degree-days'!$K$12*IF($E256=$E$5,(F$5),(F$6))</f>
        <v>0</v>
      </c>
      <c r="G256" s="39">
        <f>'Degree-days'!$K$12*IF($E256=$E$5,(G$5),(G$6))</f>
        <v>0</v>
      </c>
      <c r="H256" s="39">
        <f>'Degree-days'!$K$12*IF($E256=$E$5,(H$5),(H$6))</f>
        <v>0</v>
      </c>
      <c r="I256" s="39">
        <f>'Degree-days'!$K$12*IF($E256=$E$5,(I$5),(I$6))</f>
        <v>0</v>
      </c>
      <c r="J256" s="39">
        <f>'Degree-days'!$K$12*IF($E256=$E$5,(J$5),(J$6))</f>
        <v>0</v>
      </c>
      <c r="K256" s="39">
        <f>'Degree-days'!$K$12*IF($E256=$E$5,(K$5),(K$6))</f>
        <v>0</v>
      </c>
      <c r="L256" s="39">
        <f>'Degree-days'!$K$12*IF($E256=$E$5,(L$5),(L$6))</f>
        <v>0.63568414769149906</v>
      </c>
      <c r="M256" s="39">
        <f>'Degree-days'!$K$12*IF($E256=$E$5,(M$5),(M$6))</f>
        <v>0.63568414769149906</v>
      </c>
      <c r="N256" s="39">
        <f>'Degree-days'!$K$12*IF($E256=$E$5,(N$5),(N$6))</f>
        <v>0</v>
      </c>
      <c r="O256" s="39">
        <f>'Degree-days'!$K$12*IF($E256=$E$5,(O$5),(O$6))</f>
        <v>0</v>
      </c>
      <c r="P256" s="39">
        <f>'Degree-days'!$K$12*IF($E256=$E$5,(P$5),(P$6))</f>
        <v>0</v>
      </c>
      <c r="Q256" s="39">
        <f>'Degree-days'!$K$12*IF($E256=$E$5,(Q$5),(Q$6))</f>
        <v>0</v>
      </c>
      <c r="R256" s="39">
        <f>'Degree-days'!$K$12*IF($E256=$E$5,(R$5),(R$6))</f>
        <v>0</v>
      </c>
      <c r="S256" s="39">
        <f>'Degree-days'!$K$12*IF($E256=$E$5,(S$5),(S$6))</f>
        <v>0</v>
      </c>
      <c r="T256" s="39">
        <f>'Degree-days'!$K$12*IF($E256=$E$5,(T$5),(T$6))</f>
        <v>0</v>
      </c>
      <c r="U256" s="39">
        <f>'Degree-days'!$K$12*IF($E256=$E$5,(U$5),(U$6))</f>
        <v>0.63568414769149906</v>
      </c>
      <c r="V256" s="39">
        <f>'Degree-days'!$K$12*IF($E256=$E$5,(V$5),(V$6))</f>
        <v>0.63568414769149906</v>
      </c>
      <c r="W256" s="39">
        <f>'Degree-days'!$K$12*IF($E256=$E$5,(W$5),(W$6))</f>
        <v>0.63568414769149906</v>
      </c>
      <c r="X256" s="39">
        <f>'Degree-days'!$K$12*IF($E256=$E$5,(X$5),(X$6))</f>
        <v>0.63568414769149906</v>
      </c>
      <c r="Y256" s="39">
        <f>'Degree-days'!$K$12*IF($E256=$E$5,(Y$5),(Y$6))</f>
        <v>0.63568414769149906</v>
      </c>
      <c r="Z256" s="39">
        <f>'Degree-days'!$K$12*IF($E256=$E$5,(Z$5),(Z$6))</f>
        <v>0.63568414769149906</v>
      </c>
      <c r="AA256" s="39">
        <f>'Degree-days'!$K$12*IF($E256=$E$5,(AA$5),(AA$6))</f>
        <v>0.63568414769149906</v>
      </c>
      <c r="AB256" s="39">
        <f>'Degree-days'!$K$12*IF($E256=$E$5,(AB$5),(AB$6))</f>
        <v>0</v>
      </c>
      <c r="AC256" s="39">
        <f>'Degree-days'!$K$12*IF($E256=$E$5,(AC$5),(AC$6))</f>
        <v>0</v>
      </c>
      <c r="AD256" s="39">
        <f t="shared" si="10"/>
        <v>5.7211573292234918</v>
      </c>
    </row>
    <row r="257" spans="4:30" x14ac:dyDescent="0.2">
      <c r="D257" s="37">
        <v>45176</v>
      </c>
      <c r="E257" s="17" t="str">
        <f t="shared" si="9"/>
        <v>weekday</v>
      </c>
      <c r="F257" s="39">
        <f>'Degree-days'!$K$12*IF($E257=$E$5,(F$5),(F$6))</f>
        <v>0</v>
      </c>
      <c r="G257" s="39">
        <f>'Degree-days'!$K$12*IF($E257=$E$5,(G$5),(G$6))</f>
        <v>0</v>
      </c>
      <c r="H257" s="39">
        <f>'Degree-days'!$K$12*IF($E257=$E$5,(H$5),(H$6))</f>
        <v>0</v>
      </c>
      <c r="I257" s="39">
        <f>'Degree-days'!$K$12*IF($E257=$E$5,(I$5),(I$6))</f>
        <v>0</v>
      </c>
      <c r="J257" s="39">
        <f>'Degree-days'!$K$12*IF($E257=$E$5,(J$5),(J$6))</f>
        <v>0</v>
      </c>
      <c r="K257" s="39">
        <f>'Degree-days'!$K$12*IF($E257=$E$5,(K$5),(K$6))</f>
        <v>0</v>
      </c>
      <c r="L257" s="39">
        <f>'Degree-days'!$K$12*IF($E257=$E$5,(L$5),(L$6))</f>
        <v>0.63568414769149906</v>
      </c>
      <c r="M257" s="39">
        <f>'Degree-days'!$K$12*IF($E257=$E$5,(M$5),(M$6))</f>
        <v>0.63568414769149906</v>
      </c>
      <c r="N257" s="39">
        <f>'Degree-days'!$K$12*IF($E257=$E$5,(N$5),(N$6))</f>
        <v>0</v>
      </c>
      <c r="O257" s="39">
        <f>'Degree-days'!$K$12*IF($E257=$E$5,(O$5),(O$6))</f>
        <v>0</v>
      </c>
      <c r="P257" s="39">
        <f>'Degree-days'!$K$12*IF($E257=$E$5,(P$5),(P$6))</f>
        <v>0</v>
      </c>
      <c r="Q257" s="39">
        <f>'Degree-days'!$K$12*IF($E257=$E$5,(Q$5),(Q$6))</f>
        <v>0</v>
      </c>
      <c r="R257" s="39">
        <f>'Degree-days'!$K$12*IF($E257=$E$5,(R$5),(R$6))</f>
        <v>0</v>
      </c>
      <c r="S257" s="39">
        <f>'Degree-days'!$K$12*IF($E257=$E$5,(S$5),(S$6))</f>
        <v>0</v>
      </c>
      <c r="T257" s="39">
        <f>'Degree-days'!$K$12*IF($E257=$E$5,(T$5),(T$6))</f>
        <v>0</v>
      </c>
      <c r="U257" s="39">
        <f>'Degree-days'!$K$12*IF($E257=$E$5,(U$5),(U$6))</f>
        <v>0.63568414769149906</v>
      </c>
      <c r="V257" s="39">
        <f>'Degree-days'!$K$12*IF($E257=$E$5,(V$5),(V$6))</f>
        <v>0.63568414769149906</v>
      </c>
      <c r="W257" s="39">
        <f>'Degree-days'!$K$12*IF($E257=$E$5,(W$5),(W$6))</f>
        <v>0.63568414769149906</v>
      </c>
      <c r="X257" s="39">
        <f>'Degree-days'!$K$12*IF($E257=$E$5,(X$5),(X$6))</f>
        <v>0.63568414769149906</v>
      </c>
      <c r="Y257" s="39">
        <f>'Degree-days'!$K$12*IF($E257=$E$5,(Y$5),(Y$6))</f>
        <v>0.63568414769149906</v>
      </c>
      <c r="Z257" s="39">
        <f>'Degree-days'!$K$12*IF($E257=$E$5,(Z$5),(Z$6))</f>
        <v>0.63568414769149906</v>
      </c>
      <c r="AA257" s="39">
        <f>'Degree-days'!$K$12*IF($E257=$E$5,(AA$5),(AA$6))</f>
        <v>0.63568414769149906</v>
      </c>
      <c r="AB257" s="39">
        <f>'Degree-days'!$K$12*IF($E257=$E$5,(AB$5),(AB$6))</f>
        <v>0</v>
      </c>
      <c r="AC257" s="39">
        <f>'Degree-days'!$K$12*IF($E257=$E$5,(AC$5),(AC$6))</f>
        <v>0</v>
      </c>
      <c r="AD257" s="39">
        <f t="shared" si="10"/>
        <v>5.7211573292234918</v>
      </c>
    </row>
    <row r="258" spans="4:30" x14ac:dyDescent="0.2">
      <c r="D258" s="37">
        <v>45177</v>
      </c>
      <c r="E258" s="17" t="str">
        <f t="shared" si="9"/>
        <v>weekday</v>
      </c>
      <c r="F258" s="39">
        <f>'Degree-days'!$K$12*IF($E258=$E$5,(F$5),(F$6))</f>
        <v>0</v>
      </c>
      <c r="G258" s="39">
        <f>'Degree-days'!$K$12*IF($E258=$E$5,(G$5),(G$6))</f>
        <v>0</v>
      </c>
      <c r="H258" s="39">
        <f>'Degree-days'!$K$12*IF($E258=$E$5,(H$5),(H$6))</f>
        <v>0</v>
      </c>
      <c r="I258" s="39">
        <f>'Degree-days'!$K$12*IF($E258=$E$5,(I$5),(I$6))</f>
        <v>0</v>
      </c>
      <c r="J258" s="39">
        <f>'Degree-days'!$K$12*IF($E258=$E$5,(J$5),(J$6))</f>
        <v>0</v>
      </c>
      <c r="K258" s="39">
        <f>'Degree-days'!$K$12*IF($E258=$E$5,(K$5),(K$6))</f>
        <v>0</v>
      </c>
      <c r="L258" s="39">
        <f>'Degree-days'!$K$12*IF($E258=$E$5,(L$5),(L$6))</f>
        <v>0.63568414769149906</v>
      </c>
      <c r="M258" s="39">
        <f>'Degree-days'!$K$12*IF($E258=$E$5,(M$5),(M$6))</f>
        <v>0.63568414769149906</v>
      </c>
      <c r="N258" s="39">
        <f>'Degree-days'!$K$12*IF($E258=$E$5,(N$5),(N$6))</f>
        <v>0</v>
      </c>
      <c r="O258" s="39">
        <f>'Degree-days'!$K$12*IF($E258=$E$5,(O$5),(O$6))</f>
        <v>0</v>
      </c>
      <c r="P258" s="39">
        <f>'Degree-days'!$K$12*IF($E258=$E$5,(P$5),(P$6))</f>
        <v>0</v>
      </c>
      <c r="Q258" s="39">
        <f>'Degree-days'!$K$12*IF($E258=$E$5,(Q$5),(Q$6))</f>
        <v>0</v>
      </c>
      <c r="R258" s="39">
        <f>'Degree-days'!$K$12*IF($E258=$E$5,(R$5),(R$6))</f>
        <v>0</v>
      </c>
      <c r="S258" s="39">
        <f>'Degree-days'!$K$12*IF($E258=$E$5,(S$5),(S$6))</f>
        <v>0</v>
      </c>
      <c r="T258" s="39">
        <f>'Degree-days'!$K$12*IF($E258=$E$5,(T$5),(T$6))</f>
        <v>0</v>
      </c>
      <c r="U258" s="39">
        <f>'Degree-days'!$K$12*IF($E258=$E$5,(U$5),(U$6))</f>
        <v>0.63568414769149906</v>
      </c>
      <c r="V258" s="39">
        <f>'Degree-days'!$K$12*IF($E258=$E$5,(V$5),(V$6))</f>
        <v>0.63568414769149906</v>
      </c>
      <c r="W258" s="39">
        <f>'Degree-days'!$K$12*IF($E258=$E$5,(W$5),(W$6))</f>
        <v>0.63568414769149906</v>
      </c>
      <c r="X258" s="39">
        <f>'Degree-days'!$K$12*IF($E258=$E$5,(X$5),(X$6))</f>
        <v>0.63568414769149906</v>
      </c>
      <c r="Y258" s="39">
        <f>'Degree-days'!$K$12*IF($E258=$E$5,(Y$5),(Y$6))</f>
        <v>0.63568414769149906</v>
      </c>
      <c r="Z258" s="39">
        <f>'Degree-days'!$K$12*IF($E258=$E$5,(Z$5),(Z$6))</f>
        <v>0.63568414769149906</v>
      </c>
      <c r="AA258" s="39">
        <f>'Degree-days'!$K$12*IF($E258=$E$5,(AA$5),(AA$6))</f>
        <v>0.63568414769149906</v>
      </c>
      <c r="AB258" s="39">
        <f>'Degree-days'!$K$12*IF($E258=$E$5,(AB$5),(AB$6))</f>
        <v>0</v>
      </c>
      <c r="AC258" s="39">
        <f>'Degree-days'!$K$12*IF($E258=$E$5,(AC$5),(AC$6))</f>
        <v>0</v>
      </c>
      <c r="AD258" s="39">
        <f t="shared" si="10"/>
        <v>5.7211573292234918</v>
      </c>
    </row>
    <row r="259" spans="4:30" x14ac:dyDescent="0.2">
      <c r="D259" s="37">
        <v>45178</v>
      </c>
      <c r="E259" s="17" t="str">
        <f t="shared" si="9"/>
        <v>weekend</v>
      </c>
      <c r="F259" s="39">
        <f>'Degree-days'!$K$12*IF($E259=$E$5,(F$5),(F$6))</f>
        <v>0</v>
      </c>
      <c r="G259" s="39">
        <f>'Degree-days'!$K$12*IF($E259=$E$5,(G$5),(G$6))</f>
        <v>0</v>
      </c>
      <c r="H259" s="39">
        <f>'Degree-days'!$K$12*IF($E259=$E$5,(H$5),(H$6))</f>
        <v>0</v>
      </c>
      <c r="I259" s="39">
        <f>'Degree-days'!$K$12*IF($E259=$E$5,(I$5),(I$6))</f>
        <v>0</v>
      </c>
      <c r="J259" s="39">
        <f>'Degree-days'!$K$12*IF($E259=$E$5,(J$5),(J$6))</f>
        <v>0</v>
      </c>
      <c r="K259" s="39">
        <f>'Degree-days'!$K$12*IF($E259=$E$5,(K$5),(K$6))</f>
        <v>0</v>
      </c>
      <c r="L259" s="39">
        <f>'Degree-days'!$K$12*IF($E259=$E$5,(L$5),(L$6))</f>
        <v>0.63568414769149906</v>
      </c>
      <c r="M259" s="39">
        <f>'Degree-days'!$K$12*IF($E259=$E$5,(M$5),(M$6))</f>
        <v>0.63568414769149906</v>
      </c>
      <c r="N259" s="39">
        <f>'Degree-days'!$K$12*IF($E259=$E$5,(N$5),(N$6))</f>
        <v>0.63568414769149906</v>
      </c>
      <c r="O259" s="39">
        <f>'Degree-days'!$K$12*IF($E259=$E$5,(O$5),(O$6))</f>
        <v>0.63568414769149906</v>
      </c>
      <c r="P259" s="39">
        <f>'Degree-days'!$K$12*IF($E259=$E$5,(P$5),(P$6))</f>
        <v>0.63568414769149906</v>
      </c>
      <c r="Q259" s="39">
        <f>'Degree-days'!$K$12*IF($E259=$E$5,(Q$5),(Q$6))</f>
        <v>0.63568414769149906</v>
      </c>
      <c r="R259" s="39">
        <f>'Degree-days'!$K$12*IF($E259=$E$5,(R$5),(R$6))</f>
        <v>0.63568414769149906</v>
      </c>
      <c r="S259" s="39">
        <f>'Degree-days'!$K$12*IF($E259=$E$5,(S$5),(S$6))</f>
        <v>0.63568414769149906</v>
      </c>
      <c r="T259" s="39">
        <f>'Degree-days'!$K$12*IF($E259=$E$5,(T$5),(T$6))</f>
        <v>0.63568414769149906</v>
      </c>
      <c r="U259" s="39">
        <f>'Degree-days'!$K$12*IF($E259=$E$5,(U$5),(U$6))</f>
        <v>0.63568414769149906</v>
      </c>
      <c r="V259" s="39">
        <f>'Degree-days'!$K$12*IF($E259=$E$5,(V$5),(V$6))</f>
        <v>0.63568414769149906</v>
      </c>
      <c r="W259" s="39">
        <f>'Degree-days'!$K$12*IF($E259=$E$5,(W$5),(W$6))</f>
        <v>0.63568414769149906</v>
      </c>
      <c r="X259" s="39">
        <f>'Degree-days'!$K$12*IF($E259=$E$5,(X$5),(X$6))</f>
        <v>0.63568414769149906</v>
      </c>
      <c r="Y259" s="39">
        <f>'Degree-days'!$K$12*IF($E259=$E$5,(Y$5),(Y$6))</f>
        <v>0.63568414769149906</v>
      </c>
      <c r="Z259" s="39">
        <f>'Degree-days'!$K$12*IF($E259=$E$5,(Z$5),(Z$6))</f>
        <v>0.63568414769149906</v>
      </c>
      <c r="AA259" s="39">
        <f>'Degree-days'!$K$12*IF($E259=$E$5,(AA$5),(AA$6))</f>
        <v>0.63568414769149906</v>
      </c>
      <c r="AB259" s="39">
        <f>'Degree-days'!$K$12*IF($E259=$E$5,(AB$5),(AB$6))</f>
        <v>0</v>
      </c>
      <c r="AC259" s="39">
        <f>'Degree-days'!$K$12*IF($E259=$E$5,(AC$5),(AC$6))</f>
        <v>0</v>
      </c>
      <c r="AD259" s="39">
        <f t="shared" si="10"/>
        <v>10.170946363063987</v>
      </c>
    </row>
    <row r="260" spans="4:30" x14ac:dyDescent="0.2">
      <c r="D260" s="37">
        <v>45179</v>
      </c>
      <c r="E260" s="17" t="str">
        <f t="shared" si="9"/>
        <v>weekend</v>
      </c>
      <c r="F260" s="39">
        <f>'Degree-days'!$K$12*IF($E260=$E$5,(F$5),(F$6))</f>
        <v>0</v>
      </c>
      <c r="G260" s="39">
        <f>'Degree-days'!$K$12*IF($E260=$E$5,(G$5),(G$6))</f>
        <v>0</v>
      </c>
      <c r="H260" s="39">
        <f>'Degree-days'!$K$12*IF($E260=$E$5,(H$5),(H$6))</f>
        <v>0</v>
      </c>
      <c r="I260" s="39">
        <f>'Degree-days'!$K$12*IF($E260=$E$5,(I$5),(I$6))</f>
        <v>0</v>
      </c>
      <c r="J260" s="39">
        <f>'Degree-days'!$K$12*IF($E260=$E$5,(J$5),(J$6))</f>
        <v>0</v>
      </c>
      <c r="K260" s="39">
        <f>'Degree-days'!$K$12*IF($E260=$E$5,(K$5),(K$6))</f>
        <v>0</v>
      </c>
      <c r="L260" s="39">
        <f>'Degree-days'!$K$12*IF($E260=$E$5,(L$5),(L$6))</f>
        <v>0.63568414769149906</v>
      </c>
      <c r="M260" s="39">
        <f>'Degree-days'!$K$12*IF($E260=$E$5,(M$5),(M$6))</f>
        <v>0.63568414769149906</v>
      </c>
      <c r="N260" s="39">
        <f>'Degree-days'!$K$12*IF($E260=$E$5,(N$5),(N$6))</f>
        <v>0.63568414769149906</v>
      </c>
      <c r="O260" s="39">
        <f>'Degree-days'!$K$12*IF($E260=$E$5,(O$5),(O$6))</f>
        <v>0.63568414769149906</v>
      </c>
      <c r="P260" s="39">
        <f>'Degree-days'!$K$12*IF($E260=$E$5,(P$5),(P$6))</f>
        <v>0.63568414769149906</v>
      </c>
      <c r="Q260" s="39">
        <f>'Degree-days'!$K$12*IF($E260=$E$5,(Q$5),(Q$6))</f>
        <v>0.63568414769149906</v>
      </c>
      <c r="R260" s="39">
        <f>'Degree-days'!$K$12*IF($E260=$E$5,(R$5),(R$6))</f>
        <v>0.63568414769149906</v>
      </c>
      <c r="S260" s="39">
        <f>'Degree-days'!$K$12*IF($E260=$E$5,(S$5),(S$6))</f>
        <v>0.63568414769149906</v>
      </c>
      <c r="T260" s="39">
        <f>'Degree-days'!$K$12*IF($E260=$E$5,(T$5),(T$6))</f>
        <v>0.63568414769149906</v>
      </c>
      <c r="U260" s="39">
        <f>'Degree-days'!$K$12*IF($E260=$E$5,(U$5),(U$6))</f>
        <v>0.63568414769149906</v>
      </c>
      <c r="V260" s="39">
        <f>'Degree-days'!$K$12*IF($E260=$E$5,(V$5),(V$6))</f>
        <v>0.63568414769149906</v>
      </c>
      <c r="W260" s="39">
        <f>'Degree-days'!$K$12*IF($E260=$E$5,(W$5),(W$6))</f>
        <v>0.63568414769149906</v>
      </c>
      <c r="X260" s="39">
        <f>'Degree-days'!$K$12*IF($E260=$E$5,(X$5),(X$6))</f>
        <v>0.63568414769149906</v>
      </c>
      <c r="Y260" s="39">
        <f>'Degree-days'!$K$12*IF($E260=$E$5,(Y$5),(Y$6))</f>
        <v>0.63568414769149906</v>
      </c>
      <c r="Z260" s="39">
        <f>'Degree-days'!$K$12*IF($E260=$E$5,(Z$5),(Z$6))</f>
        <v>0.63568414769149906</v>
      </c>
      <c r="AA260" s="39">
        <f>'Degree-days'!$K$12*IF($E260=$E$5,(AA$5),(AA$6))</f>
        <v>0.63568414769149906</v>
      </c>
      <c r="AB260" s="39">
        <f>'Degree-days'!$K$12*IF($E260=$E$5,(AB$5),(AB$6))</f>
        <v>0</v>
      </c>
      <c r="AC260" s="39">
        <f>'Degree-days'!$K$12*IF($E260=$E$5,(AC$5),(AC$6))</f>
        <v>0</v>
      </c>
      <c r="AD260" s="39">
        <f t="shared" si="10"/>
        <v>10.170946363063987</v>
      </c>
    </row>
    <row r="261" spans="4:30" x14ac:dyDescent="0.2">
      <c r="D261" s="37">
        <v>45180</v>
      </c>
      <c r="E261" s="17" t="str">
        <f t="shared" si="9"/>
        <v>weekday</v>
      </c>
      <c r="F261" s="39">
        <f>'Degree-days'!$K$12*IF($E261=$E$5,(F$5),(F$6))</f>
        <v>0</v>
      </c>
      <c r="G261" s="39">
        <f>'Degree-days'!$K$12*IF($E261=$E$5,(G$5),(G$6))</f>
        <v>0</v>
      </c>
      <c r="H261" s="39">
        <f>'Degree-days'!$K$12*IF($E261=$E$5,(H$5),(H$6))</f>
        <v>0</v>
      </c>
      <c r="I261" s="39">
        <f>'Degree-days'!$K$12*IF($E261=$E$5,(I$5),(I$6))</f>
        <v>0</v>
      </c>
      <c r="J261" s="39">
        <f>'Degree-days'!$K$12*IF($E261=$E$5,(J$5),(J$6))</f>
        <v>0</v>
      </c>
      <c r="K261" s="39">
        <f>'Degree-days'!$K$12*IF($E261=$E$5,(K$5),(K$6))</f>
        <v>0</v>
      </c>
      <c r="L261" s="39">
        <f>'Degree-days'!$K$12*IF($E261=$E$5,(L$5),(L$6))</f>
        <v>0.63568414769149906</v>
      </c>
      <c r="M261" s="39">
        <f>'Degree-days'!$K$12*IF($E261=$E$5,(M$5),(M$6))</f>
        <v>0.63568414769149906</v>
      </c>
      <c r="N261" s="39">
        <f>'Degree-days'!$K$12*IF($E261=$E$5,(N$5),(N$6))</f>
        <v>0</v>
      </c>
      <c r="O261" s="39">
        <f>'Degree-days'!$K$12*IF($E261=$E$5,(O$5),(O$6))</f>
        <v>0</v>
      </c>
      <c r="P261" s="39">
        <f>'Degree-days'!$K$12*IF($E261=$E$5,(P$5),(P$6))</f>
        <v>0</v>
      </c>
      <c r="Q261" s="39">
        <f>'Degree-days'!$K$12*IF($E261=$E$5,(Q$5),(Q$6))</f>
        <v>0</v>
      </c>
      <c r="R261" s="39">
        <f>'Degree-days'!$K$12*IF($E261=$E$5,(R$5),(R$6))</f>
        <v>0</v>
      </c>
      <c r="S261" s="39">
        <f>'Degree-days'!$K$12*IF($E261=$E$5,(S$5),(S$6))</f>
        <v>0</v>
      </c>
      <c r="T261" s="39">
        <f>'Degree-days'!$K$12*IF($E261=$E$5,(T$5),(T$6))</f>
        <v>0</v>
      </c>
      <c r="U261" s="39">
        <f>'Degree-days'!$K$12*IF($E261=$E$5,(U$5),(U$6))</f>
        <v>0.63568414769149906</v>
      </c>
      <c r="V261" s="39">
        <f>'Degree-days'!$K$12*IF($E261=$E$5,(V$5),(V$6))</f>
        <v>0.63568414769149906</v>
      </c>
      <c r="W261" s="39">
        <f>'Degree-days'!$K$12*IF($E261=$E$5,(W$5),(W$6))</f>
        <v>0.63568414769149906</v>
      </c>
      <c r="X261" s="39">
        <f>'Degree-days'!$K$12*IF($E261=$E$5,(X$5),(X$6))</f>
        <v>0.63568414769149906</v>
      </c>
      <c r="Y261" s="39">
        <f>'Degree-days'!$K$12*IF($E261=$E$5,(Y$5),(Y$6))</f>
        <v>0.63568414769149906</v>
      </c>
      <c r="Z261" s="39">
        <f>'Degree-days'!$K$12*IF($E261=$E$5,(Z$5),(Z$6))</f>
        <v>0.63568414769149906</v>
      </c>
      <c r="AA261" s="39">
        <f>'Degree-days'!$K$12*IF($E261=$E$5,(AA$5),(AA$6))</f>
        <v>0.63568414769149906</v>
      </c>
      <c r="AB261" s="39">
        <f>'Degree-days'!$K$12*IF($E261=$E$5,(AB$5),(AB$6))</f>
        <v>0</v>
      </c>
      <c r="AC261" s="39">
        <f>'Degree-days'!$K$12*IF($E261=$E$5,(AC$5),(AC$6))</f>
        <v>0</v>
      </c>
      <c r="AD261" s="39">
        <f t="shared" si="10"/>
        <v>5.7211573292234918</v>
      </c>
    </row>
    <row r="262" spans="4:30" x14ac:dyDescent="0.2">
      <c r="D262" s="37">
        <v>45181</v>
      </c>
      <c r="E262" s="17" t="str">
        <f t="shared" si="9"/>
        <v>weekday</v>
      </c>
      <c r="F262" s="39">
        <f>'Degree-days'!$K$12*IF($E262=$E$5,(F$5),(F$6))</f>
        <v>0</v>
      </c>
      <c r="G262" s="39">
        <f>'Degree-days'!$K$12*IF($E262=$E$5,(G$5),(G$6))</f>
        <v>0</v>
      </c>
      <c r="H262" s="39">
        <f>'Degree-days'!$K$12*IF($E262=$E$5,(H$5),(H$6))</f>
        <v>0</v>
      </c>
      <c r="I262" s="39">
        <f>'Degree-days'!$K$12*IF($E262=$E$5,(I$5),(I$6))</f>
        <v>0</v>
      </c>
      <c r="J262" s="39">
        <f>'Degree-days'!$K$12*IF($E262=$E$5,(J$5),(J$6))</f>
        <v>0</v>
      </c>
      <c r="K262" s="39">
        <f>'Degree-days'!$K$12*IF($E262=$E$5,(K$5),(K$6))</f>
        <v>0</v>
      </c>
      <c r="L262" s="39">
        <f>'Degree-days'!$K$12*IF($E262=$E$5,(L$5),(L$6))</f>
        <v>0.63568414769149906</v>
      </c>
      <c r="M262" s="39">
        <f>'Degree-days'!$K$12*IF($E262=$E$5,(M$5),(M$6))</f>
        <v>0.63568414769149906</v>
      </c>
      <c r="N262" s="39">
        <f>'Degree-days'!$K$12*IF($E262=$E$5,(N$5),(N$6))</f>
        <v>0</v>
      </c>
      <c r="O262" s="39">
        <f>'Degree-days'!$K$12*IF($E262=$E$5,(O$5),(O$6))</f>
        <v>0</v>
      </c>
      <c r="P262" s="39">
        <f>'Degree-days'!$K$12*IF($E262=$E$5,(P$5),(P$6))</f>
        <v>0</v>
      </c>
      <c r="Q262" s="39">
        <f>'Degree-days'!$K$12*IF($E262=$E$5,(Q$5),(Q$6))</f>
        <v>0</v>
      </c>
      <c r="R262" s="39">
        <f>'Degree-days'!$K$12*IF($E262=$E$5,(R$5),(R$6))</f>
        <v>0</v>
      </c>
      <c r="S262" s="39">
        <f>'Degree-days'!$K$12*IF($E262=$E$5,(S$5),(S$6))</f>
        <v>0</v>
      </c>
      <c r="T262" s="39">
        <f>'Degree-days'!$K$12*IF($E262=$E$5,(T$5),(T$6))</f>
        <v>0</v>
      </c>
      <c r="U262" s="39">
        <f>'Degree-days'!$K$12*IF($E262=$E$5,(U$5),(U$6))</f>
        <v>0.63568414769149906</v>
      </c>
      <c r="V262" s="39">
        <f>'Degree-days'!$K$12*IF($E262=$E$5,(V$5),(V$6))</f>
        <v>0.63568414769149906</v>
      </c>
      <c r="W262" s="39">
        <f>'Degree-days'!$K$12*IF($E262=$E$5,(W$5),(W$6))</f>
        <v>0.63568414769149906</v>
      </c>
      <c r="X262" s="39">
        <f>'Degree-days'!$K$12*IF($E262=$E$5,(X$5),(X$6))</f>
        <v>0.63568414769149906</v>
      </c>
      <c r="Y262" s="39">
        <f>'Degree-days'!$K$12*IF($E262=$E$5,(Y$5),(Y$6))</f>
        <v>0.63568414769149906</v>
      </c>
      <c r="Z262" s="39">
        <f>'Degree-days'!$K$12*IF($E262=$E$5,(Z$5),(Z$6))</f>
        <v>0.63568414769149906</v>
      </c>
      <c r="AA262" s="39">
        <f>'Degree-days'!$K$12*IF($E262=$E$5,(AA$5),(AA$6))</f>
        <v>0.63568414769149906</v>
      </c>
      <c r="AB262" s="39">
        <f>'Degree-days'!$K$12*IF($E262=$E$5,(AB$5),(AB$6))</f>
        <v>0</v>
      </c>
      <c r="AC262" s="39">
        <f>'Degree-days'!$K$12*IF($E262=$E$5,(AC$5),(AC$6))</f>
        <v>0</v>
      </c>
      <c r="AD262" s="39">
        <f t="shared" si="10"/>
        <v>5.7211573292234918</v>
      </c>
    </row>
    <row r="263" spans="4:30" x14ac:dyDescent="0.2">
      <c r="D263" s="37">
        <v>45182</v>
      </c>
      <c r="E263" s="17" t="str">
        <f t="shared" si="9"/>
        <v>weekday</v>
      </c>
      <c r="F263" s="39">
        <f>'Degree-days'!$K$12*IF($E263=$E$5,(F$5),(F$6))</f>
        <v>0</v>
      </c>
      <c r="G263" s="39">
        <f>'Degree-days'!$K$12*IF($E263=$E$5,(G$5),(G$6))</f>
        <v>0</v>
      </c>
      <c r="H263" s="39">
        <f>'Degree-days'!$K$12*IF($E263=$E$5,(H$5),(H$6))</f>
        <v>0</v>
      </c>
      <c r="I263" s="39">
        <f>'Degree-days'!$K$12*IF($E263=$E$5,(I$5),(I$6))</f>
        <v>0</v>
      </c>
      <c r="J263" s="39">
        <f>'Degree-days'!$K$12*IF($E263=$E$5,(J$5),(J$6))</f>
        <v>0</v>
      </c>
      <c r="K263" s="39">
        <f>'Degree-days'!$K$12*IF($E263=$E$5,(K$5),(K$6))</f>
        <v>0</v>
      </c>
      <c r="L263" s="39">
        <f>'Degree-days'!$K$12*IF($E263=$E$5,(L$5),(L$6))</f>
        <v>0.63568414769149906</v>
      </c>
      <c r="M263" s="39">
        <f>'Degree-days'!$K$12*IF($E263=$E$5,(M$5),(M$6))</f>
        <v>0.63568414769149906</v>
      </c>
      <c r="N263" s="39">
        <f>'Degree-days'!$K$12*IF($E263=$E$5,(N$5),(N$6))</f>
        <v>0</v>
      </c>
      <c r="O263" s="39">
        <f>'Degree-days'!$K$12*IF($E263=$E$5,(O$5),(O$6))</f>
        <v>0</v>
      </c>
      <c r="P263" s="39">
        <f>'Degree-days'!$K$12*IF($E263=$E$5,(P$5),(P$6))</f>
        <v>0</v>
      </c>
      <c r="Q263" s="39">
        <f>'Degree-days'!$K$12*IF($E263=$E$5,(Q$5),(Q$6))</f>
        <v>0</v>
      </c>
      <c r="R263" s="39">
        <f>'Degree-days'!$K$12*IF($E263=$E$5,(R$5),(R$6))</f>
        <v>0</v>
      </c>
      <c r="S263" s="39">
        <f>'Degree-days'!$K$12*IF($E263=$E$5,(S$5),(S$6))</f>
        <v>0</v>
      </c>
      <c r="T263" s="39">
        <f>'Degree-days'!$K$12*IF($E263=$E$5,(T$5),(T$6))</f>
        <v>0</v>
      </c>
      <c r="U263" s="39">
        <f>'Degree-days'!$K$12*IF($E263=$E$5,(U$5),(U$6))</f>
        <v>0.63568414769149906</v>
      </c>
      <c r="V263" s="39">
        <f>'Degree-days'!$K$12*IF($E263=$E$5,(V$5),(V$6))</f>
        <v>0.63568414769149906</v>
      </c>
      <c r="W263" s="39">
        <f>'Degree-days'!$K$12*IF($E263=$E$5,(W$5),(W$6))</f>
        <v>0.63568414769149906</v>
      </c>
      <c r="X263" s="39">
        <f>'Degree-days'!$K$12*IF($E263=$E$5,(X$5),(X$6))</f>
        <v>0.63568414769149906</v>
      </c>
      <c r="Y263" s="39">
        <f>'Degree-days'!$K$12*IF($E263=$E$5,(Y$5),(Y$6))</f>
        <v>0.63568414769149906</v>
      </c>
      <c r="Z263" s="39">
        <f>'Degree-days'!$K$12*IF($E263=$E$5,(Z$5),(Z$6))</f>
        <v>0.63568414769149906</v>
      </c>
      <c r="AA263" s="39">
        <f>'Degree-days'!$K$12*IF($E263=$E$5,(AA$5),(AA$6))</f>
        <v>0.63568414769149906</v>
      </c>
      <c r="AB263" s="39">
        <f>'Degree-days'!$K$12*IF($E263=$E$5,(AB$5),(AB$6))</f>
        <v>0</v>
      </c>
      <c r="AC263" s="39">
        <f>'Degree-days'!$K$12*IF($E263=$E$5,(AC$5),(AC$6))</f>
        <v>0</v>
      </c>
      <c r="AD263" s="39">
        <f t="shared" si="10"/>
        <v>5.7211573292234918</v>
      </c>
    </row>
    <row r="264" spans="4:30" x14ac:dyDescent="0.2">
      <c r="D264" s="37">
        <v>45183</v>
      </c>
      <c r="E264" s="17" t="str">
        <f t="shared" si="9"/>
        <v>weekday</v>
      </c>
      <c r="F264" s="39">
        <f>'Degree-days'!$K$12*IF($E264=$E$5,(F$5),(F$6))</f>
        <v>0</v>
      </c>
      <c r="G264" s="39">
        <f>'Degree-days'!$K$12*IF($E264=$E$5,(G$5),(G$6))</f>
        <v>0</v>
      </c>
      <c r="H264" s="39">
        <f>'Degree-days'!$K$12*IF($E264=$E$5,(H$5),(H$6))</f>
        <v>0</v>
      </c>
      <c r="I264" s="39">
        <f>'Degree-days'!$K$12*IF($E264=$E$5,(I$5),(I$6))</f>
        <v>0</v>
      </c>
      <c r="J264" s="39">
        <f>'Degree-days'!$K$12*IF($E264=$E$5,(J$5),(J$6))</f>
        <v>0</v>
      </c>
      <c r="K264" s="39">
        <f>'Degree-days'!$K$12*IF($E264=$E$5,(K$5),(K$6))</f>
        <v>0</v>
      </c>
      <c r="L264" s="39">
        <f>'Degree-days'!$K$12*IF($E264=$E$5,(L$5),(L$6))</f>
        <v>0.63568414769149906</v>
      </c>
      <c r="M264" s="39">
        <f>'Degree-days'!$K$12*IF($E264=$E$5,(M$5),(M$6))</f>
        <v>0.63568414769149906</v>
      </c>
      <c r="N264" s="39">
        <f>'Degree-days'!$K$12*IF($E264=$E$5,(N$5),(N$6))</f>
        <v>0</v>
      </c>
      <c r="O264" s="39">
        <f>'Degree-days'!$K$12*IF($E264=$E$5,(O$5),(O$6))</f>
        <v>0</v>
      </c>
      <c r="P264" s="39">
        <f>'Degree-days'!$K$12*IF($E264=$E$5,(P$5),(P$6))</f>
        <v>0</v>
      </c>
      <c r="Q264" s="39">
        <f>'Degree-days'!$K$12*IF($E264=$E$5,(Q$5),(Q$6))</f>
        <v>0</v>
      </c>
      <c r="R264" s="39">
        <f>'Degree-days'!$K$12*IF($E264=$E$5,(R$5),(R$6))</f>
        <v>0</v>
      </c>
      <c r="S264" s="39">
        <f>'Degree-days'!$K$12*IF($E264=$E$5,(S$5),(S$6))</f>
        <v>0</v>
      </c>
      <c r="T264" s="39">
        <f>'Degree-days'!$K$12*IF($E264=$E$5,(T$5),(T$6))</f>
        <v>0</v>
      </c>
      <c r="U264" s="39">
        <f>'Degree-days'!$K$12*IF($E264=$E$5,(U$5),(U$6))</f>
        <v>0.63568414769149906</v>
      </c>
      <c r="V264" s="39">
        <f>'Degree-days'!$K$12*IF($E264=$E$5,(V$5),(V$6))</f>
        <v>0.63568414769149906</v>
      </c>
      <c r="W264" s="39">
        <f>'Degree-days'!$K$12*IF($E264=$E$5,(W$5),(W$6))</f>
        <v>0.63568414769149906</v>
      </c>
      <c r="X264" s="39">
        <f>'Degree-days'!$K$12*IF($E264=$E$5,(X$5),(X$6))</f>
        <v>0.63568414769149906</v>
      </c>
      <c r="Y264" s="39">
        <f>'Degree-days'!$K$12*IF($E264=$E$5,(Y$5),(Y$6))</f>
        <v>0.63568414769149906</v>
      </c>
      <c r="Z264" s="39">
        <f>'Degree-days'!$K$12*IF($E264=$E$5,(Z$5),(Z$6))</f>
        <v>0.63568414769149906</v>
      </c>
      <c r="AA264" s="39">
        <f>'Degree-days'!$K$12*IF($E264=$E$5,(AA$5),(AA$6))</f>
        <v>0.63568414769149906</v>
      </c>
      <c r="AB264" s="39">
        <f>'Degree-days'!$K$12*IF($E264=$E$5,(AB$5),(AB$6))</f>
        <v>0</v>
      </c>
      <c r="AC264" s="39">
        <f>'Degree-days'!$K$12*IF($E264=$E$5,(AC$5),(AC$6))</f>
        <v>0</v>
      </c>
      <c r="AD264" s="39">
        <f t="shared" si="10"/>
        <v>5.7211573292234918</v>
      </c>
    </row>
    <row r="265" spans="4:30" x14ac:dyDescent="0.2">
      <c r="D265" s="37">
        <v>45184</v>
      </c>
      <c r="E265" s="17" t="str">
        <f t="shared" ref="E265:E328" si="11">IF(WEEKDAY(D265, 2)&lt;6, "weekday", "weekend")</f>
        <v>weekday</v>
      </c>
      <c r="F265" s="39">
        <f>'Degree-days'!$K$12*IF($E265=$E$5,(F$5),(F$6))</f>
        <v>0</v>
      </c>
      <c r="G265" s="39">
        <f>'Degree-days'!$K$12*IF($E265=$E$5,(G$5),(G$6))</f>
        <v>0</v>
      </c>
      <c r="H265" s="39">
        <f>'Degree-days'!$K$12*IF($E265=$E$5,(H$5),(H$6))</f>
        <v>0</v>
      </c>
      <c r="I265" s="39">
        <f>'Degree-days'!$K$12*IF($E265=$E$5,(I$5),(I$6))</f>
        <v>0</v>
      </c>
      <c r="J265" s="39">
        <f>'Degree-days'!$K$12*IF($E265=$E$5,(J$5),(J$6))</f>
        <v>0</v>
      </c>
      <c r="K265" s="39">
        <f>'Degree-days'!$K$12*IF($E265=$E$5,(K$5),(K$6))</f>
        <v>0</v>
      </c>
      <c r="L265" s="39">
        <f>'Degree-days'!$K$12*IF($E265=$E$5,(L$5),(L$6))</f>
        <v>0.63568414769149906</v>
      </c>
      <c r="M265" s="39">
        <f>'Degree-days'!$K$12*IF($E265=$E$5,(M$5),(M$6))</f>
        <v>0.63568414769149906</v>
      </c>
      <c r="N265" s="39">
        <f>'Degree-days'!$K$12*IF($E265=$E$5,(N$5),(N$6))</f>
        <v>0</v>
      </c>
      <c r="O265" s="39">
        <f>'Degree-days'!$K$12*IF($E265=$E$5,(O$5),(O$6))</f>
        <v>0</v>
      </c>
      <c r="P265" s="39">
        <f>'Degree-days'!$K$12*IF($E265=$E$5,(P$5),(P$6))</f>
        <v>0</v>
      </c>
      <c r="Q265" s="39">
        <f>'Degree-days'!$K$12*IF($E265=$E$5,(Q$5),(Q$6))</f>
        <v>0</v>
      </c>
      <c r="R265" s="39">
        <f>'Degree-days'!$K$12*IF($E265=$E$5,(R$5),(R$6))</f>
        <v>0</v>
      </c>
      <c r="S265" s="39">
        <f>'Degree-days'!$K$12*IF($E265=$E$5,(S$5),(S$6))</f>
        <v>0</v>
      </c>
      <c r="T265" s="39">
        <f>'Degree-days'!$K$12*IF($E265=$E$5,(T$5),(T$6))</f>
        <v>0</v>
      </c>
      <c r="U265" s="39">
        <f>'Degree-days'!$K$12*IF($E265=$E$5,(U$5),(U$6))</f>
        <v>0.63568414769149906</v>
      </c>
      <c r="V265" s="39">
        <f>'Degree-days'!$K$12*IF($E265=$E$5,(V$5),(V$6))</f>
        <v>0.63568414769149906</v>
      </c>
      <c r="W265" s="39">
        <f>'Degree-days'!$K$12*IF($E265=$E$5,(W$5),(W$6))</f>
        <v>0.63568414769149906</v>
      </c>
      <c r="X265" s="39">
        <f>'Degree-days'!$K$12*IF($E265=$E$5,(X$5),(X$6))</f>
        <v>0.63568414769149906</v>
      </c>
      <c r="Y265" s="39">
        <f>'Degree-days'!$K$12*IF($E265=$E$5,(Y$5),(Y$6))</f>
        <v>0.63568414769149906</v>
      </c>
      <c r="Z265" s="39">
        <f>'Degree-days'!$K$12*IF($E265=$E$5,(Z$5),(Z$6))</f>
        <v>0.63568414769149906</v>
      </c>
      <c r="AA265" s="39">
        <f>'Degree-days'!$K$12*IF($E265=$E$5,(AA$5),(AA$6))</f>
        <v>0.63568414769149906</v>
      </c>
      <c r="AB265" s="39">
        <f>'Degree-days'!$K$12*IF($E265=$E$5,(AB$5),(AB$6))</f>
        <v>0</v>
      </c>
      <c r="AC265" s="39">
        <f>'Degree-days'!$K$12*IF($E265=$E$5,(AC$5),(AC$6))</f>
        <v>0</v>
      </c>
      <c r="AD265" s="39">
        <f t="shared" si="10"/>
        <v>5.7211573292234918</v>
      </c>
    </row>
    <row r="266" spans="4:30" x14ac:dyDescent="0.2">
      <c r="D266" s="37">
        <v>45185</v>
      </c>
      <c r="E266" s="17" t="str">
        <f t="shared" si="11"/>
        <v>weekend</v>
      </c>
      <c r="F266" s="39">
        <f>'Degree-days'!$K$12*IF($E266=$E$5,(F$5),(F$6))</f>
        <v>0</v>
      </c>
      <c r="G266" s="39">
        <f>'Degree-days'!$K$12*IF($E266=$E$5,(G$5),(G$6))</f>
        <v>0</v>
      </c>
      <c r="H266" s="39">
        <f>'Degree-days'!$K$12*IF($E266=$E$5,(H$5),(H$6))</f>
        <v>0</v>
      </c>
      <c r="I266" s="39">
        <f>'Degree-days'!$K$12*IF($E266=$E$5,(I$5),(I$6))</f>
        <v>0</v>
      </c>
      <c r="J266" s="39">
        <f>'Degree-days'!$K$12*IF($E266=$E$5,(J$5),(J$6))</f>
        <v>0</v>
      </c>
      <c r="K266" s="39">
        <f>'Degree-days'!$K$12*IF($E266=$E$5,(K$5),(K$6))</f>
        <v>0</v>
      </c>
      <c r="L266" s="39">
        <f>'Degree-days'!$K$12*IF($E266=$E$5,(L$5),(L$6))</f>
        <v>0.63568414769149906</v>
      </c>
      <c r="M266" s="39">
        <f>'Degree-days'!$K$12*IF($E266=$E$5,(M$5),(M$6))</f>
        <v>0.63568414769149906</v>
      </c>
      <c r="N266" s="39">
        <f>'Degree-days'!$K$12*IF($E266=$E$5,(N$5),(N$6))</f>
        <v>0.63568414769149906</v>
      </c>
      <c r="O266" s="39">
        <f>'Degree-days'!$K$12*IF($E266=$E$5,(O$5),(O$6))</f>
        <v>0.63568414769149906</v>
      </c>
      <c r="P266" s="39">
        <f>'Degree-days'!$K$12*IF($E266=$E$5,(P$5),(P$6))</f>
        <v>0.63568414769149906</v>
      </c>
      <c r="Q266" s="39">
        <f>'Degree-days'!$K$12*IF($E266=$E$5,(Q$5),(Q$6))</f>
        <v>0.63568414769149906</v>
      </c>
      <c r="R266" s="39">
        <f>'Degree-days'!$K$12*IF($E266=$E$5,(R$5),(R$6))</f>
        <v>0.63568414769149906</v>
      </c>
      <c r="S266" s="39">
        <f>'Degree-days'!$K$12*IF($E266=$E$5,(S$5),(S$6))</f>
        <v>0.63568414769149906</v>
      </c>
      <c r="T266" s="39">
        <f>'Degree-days'!$K$12*IF($E266=$E$5,(T$5),(T$6))</f>
        <v>0.63568414769149906</v>
      </c>
      <c r="U266" s="39">
        <f>'Degree-days'!$K$12*IF($E266=$E$5,(U$5),(U$6))</f>
        <v>0.63568414769149906</v>
      </c>
      <c r="V266" s="39">
        <f>'Degree-days'!$K$12*IF($E266=$E$5,(V$5),(V$6))</f>
        <v>0.63568414769149906</v>
      </c>
      <c r="W266" s="39">
        <f>'Degree-days'!$K$12*IF($E266=$E$5,(W$5),(W$6))</f>
        <v>0.63568414769149906</v>
      </c>
      <c r="X266" s="39">
        <f>'Degree-days'!$K$12*IF($E266=$E$5,(X$5),(X$6))</f>
        <v>0.63568414769149906</v>
      </c>
      <c r="Y266" s="39">
        <f>'Degree-days'!$K$12*IF($E266=$E$5,(Y$5),(Y$6))</f>
        <v>0.63568414769149906</v>
      </c>
      <c r="Z266" s="39">
        <f>'Degree-days'!$K$12*IF($E266=$E$5,(Z$5),(Z$6))</f>
        <v>0.63568414769149906</v>
      </c>
      <c r="AA266" s="39">
        <f>'Degree-days'!$K$12*IF($E266=$E$5,(AA$5),(AA$6))</f>
        <v>0.63568414769149906</v>
      </c>
      <c r="AB266" s="39">
        <f>'Degree-days'!$K$12*IF($E266=$E$5,(AB$5),(AB$6))</f>
        <v>0</v>
      </c>
      <c r="AC266" s="39">
        <f>'Degree-days'!$K$12*IF($E266=$E$5,(AC$5),(AC$6))</f>
        <v>0</v>
      </c>
      <c r="AD266" s="39">
        <f t="shared" si="10"/>
        <v>10.170946363063987</v>
      </c>
    </row>
    <row r="267" spans="4:30" x14ac:dyDescent="0.2">
      <c r="D267" s="37">
        <v>45186</v>
      </c>
      <c r="E267" s="17" t="str">
        <f t="shared" si="11"/>
        <v>weekend</v>
      </c>
      <c r="F267" s="39">
        <f>'Degree-days'!$K$12*IF($E267=$E$5,(F$5),(F$6))</f>
        <v>0</v>
      </c>
      <c r="G267" s="39">
        <f>'Degree-days'!$K$12*IF($E267=$E$5,(G$5),(G$6))</f>
        <v>0</v>
      </c>
      <c r="H267" s="39">
        <f>'Degree-days'!$K$12*IF($E267=$E$5,(H$5),(H$6))</f>
        <v>0</v>
      </c>
      <c r="I267" s="39">
        <f>'Degree-days'!$K$12*IF($E267=$E$5,(I$5),(I$6))</f>
        <v>0</v>
      </c>
      <c r="J267" s="39">
        <f>'Degree-days'!$K$12*IF($E267=$E$5,(J$5),(J$6))</f>
        <v>0</v>
      </c>
      <c r="K267" s="39">
        <f>'Degree-days'!$K$12*IF($E267=$E$5,(K$5),(K$6))</f>
        <v>0</v>
      </c>
      <c r="L267" s="39">
        <f>'Degree-days'!$K$12*IF($E267=$E$5,(L$5),(L$6))</f>
        <v>0.63568414769149906</v>
      </c>
      <c r="M267" s="39">
        <f>'Degree-days'!$K$12*IF($E267=$E$5,(M$5),(M$6))</f>
        <v>0.63568414769149906</v>
      </c>
      <c r="N267" s="39">
        <f>'Degree-days'!$K$12*IF($E267=$E$5,(N$5),(N$6))</f>
        <v>0.63568414769149906</v>
      </c>
      <c r="O267" s="39">
        <f>'Degree-days'!$K$12*IF($E267=$E$5,(O$5),(O$6))</f>
        <v>0.63568414769149906</v>
      </c>
      <c r="P267" s="39">
        <f>'Degree-days'!$K$12*IF($E267=$E$5,(P$5),(P$6))</f>
        <v>0.63568414769149906</v>
      </c>
      <c r="Q267" s="39">
        <f>'Degree-days'!$K$12*IF($E267=$E$5,(Q$5),(Q$6))</f>
        <v>0.63568414769149906</v>
      </c>
      <c r="R267" s="39">
        <f>'Degree-days'!$K$12*IF($E267=$E$5,(R$5),(R$6))</f>
        <v>0.63568414769149906</v>
      </c>
      <c r="S267" s="39">
        <f>'Degree-days'!$K$12*IF($E267=$E$5,(S$5),(S$6))</f>
        <v>0.63568414769149906</v>
      </c>
      <c r="T267" s="39">
        <f>'Degree-days'!$K$12*IF($E267=$E$5,(T$5),(T$6))</f>
        <v>0.63568414769149906</v>
      </c>
      <c r="U267" s="39">
        <f>'Degree-days'!$K$12*IF($E267=$E$5,(U$5),(U$6))</f>
        <v>0.63568414769149906</v>
      </c>
      <c r="V267" s="39">
        <f>'Degree-days'!$K$12*IF($E267=$E$5,(V$5),(V$6))</f>
        <v>0.63568414769149906</v>
      </c>
      <c r="W267" s="39">
        <f>'Degree-days'!$K$12*IF($E267=$E$5,(W$5),(W$6))</f>
        <v>0.63568414769149906</v>
      </c>
      <c r="X267" s="39">
        <f>'Degree-days'!$K$12*IF($E267=$E$5,(X$5),(X$6))</f>
        <v>0.63568414769149906</v>
      </c>
      <c r="Y267" s="39">
        <f>'Degree-days'!$K$12*IF($E267=$E$5,(Y$5),(Y$6))</f>
        <v>0.63568414769149906</v>
      </c>
      <c r="Z267" s="39">
        <f>'Degree-days'!$K$12*IF($E267=$E$5,(Z$5),(Z$6))</f>
        <v>0.63568414769149906</v>
      </c>
      <c r="AA267" s="39">
        <f>'Degree-days'!$K$12*IF($E267=$E$5,(AA$5),(AA$6))</f>
        <v>0.63568414769149906</v>
      </c>
      <c r="AB267" s="39">
        <f>'Degree-days'!$K$12*IF($E267=$E$5,(AB$5),(AB$6))</f>
        <v>0</v>
      </c>
      <c r="AC267" s="39">
        <f>'Degree-days'!$K$12*IF($E267=$E$5,(AC$5),(AC$6))</f>
        <v>0</v>
      </c>
      <c r="AD267" s="39">
        <f t="shared" si="10"/>
        <v>10.170946363063987</v>
      </c>
    </row>
    <row r="268" spans="4:30" x14ac:dyDescent="0.2">
      <c r="D268" s="37">
        <v>45187</v>
      </c>
      <c r="E268" s="17" t="str">
        <f t="shared" si="11"/>
        <v>weekday</v>
      </c>
      <c r="F268" s="39">
        <f>'Degree-days'!$K$12*IF($E268=$E$5,(F$5),(F$6))</f>
        <v>0</v>
      </c>
      <c r="G268" s="39">
        <f>'Degree-days'!$K$12*IF($E268=$E$5,(G$5),(G$6))</f>
        <v>0</v>
      </c>
      <c r="H268" s="39">
        <f>'Degree-days'!$K$12*IF($E268=$E$5,(H$5),(H$6))</f>
        <v>0</v>
      </c>
      <c r="I268" s="39">
        <f>'Degree-days'!$K$12*IF($E268=$E$5,(I$5),(I$6))</f>
        <v>0</v>
      </c>
      <c r="J268" s="39">
        <f>'Degree-days'!$K$12*IF($E268=$E$5,(J$5),(J$6))</f>
        <v>0</v>
      </c>
      <c r="K268" s="39">
        <f>'Degree-days'!$K$12*IF($E268=$E$5,(K$5),(K$6))</f>
        <v>0</v>
      </c>
      <c r="L268" s="39">
        <f>'Degree-days'!$K$12*IF($E268=$E$5,(L$5),(L$6))</f>
        <v>0.63568414769149906</v>
      </c>
      <c r="M268" s="39">
        <f>'Degree-days'!$K$12*IF($E268=$E$5,(M$5),(M$6))</f>
        <v>0.63568414769149906</v>
      </c>
      <c r="N268" s="39">
        <f>'Degree-days'!$K$12*IF($E268=$E$5,(N$5),(N$6))</f>
        <v>0</v>
      </c>
      <c r="O268" s="39">
        <f>'Degree-days'!$K$12*IF($E268=$E$5,(O$5),(O$6))</f>
        <v>0</v>
      </c>
      <c r="P268" s="39">
        <f>'Degree-days'!$K$12*IF($E268=$E$5,(P$5),(P$6))</f>
        <v>0</v>
      </c>
      <c r="Q268" s="39">
        <f>'Degree-days'!$K$12*IF($E268=$E$5,(Q$5),(Q$6))</f>
        <v>0</v>
      </c>
      <c r="R268" s="39">
        <f>'Degree-days'!$K$12*IF($E268=$E$5,(R$5),(R$6))</f>
        <v>0</v>
      </c>
      <c r="S268" s="39">
        <f>'Degree-days'!$K$12*IF($E268=$E$5,(S$5),(S$6))</f>
        <v>0</v>
      </c>
      <c r="T268" s="39">
        <f>'Degree-days'!$K$12*IF($E268=$E$5,(T$5),(T$6))</f>
        <v>0</v>
      </c>
      <c r="U268" s="39">
        <f>'Degree-days'!$K$12*IF($E268=$E$5,(U$5),(U$6))</f>
        <v>0.63568414769149906</v>
      </c>
      <c r="V268" s="39">
        <f>'Degree-days'!$K$12*IF($E268=$E$5,(V$5),(V$6))</f>
        <v>0.63568414769149906</v>
      </c>
      <c r="W268" s="39">
        <f>'Degree-days'!$K$12*IF($E268=$E$5,(W$5),(W$6))</f>
        <v>0.63568414769149906</v>
      </c>
      <c r="X268" s="39">
        <f>'Degree-days'!$K$12*IF($E268=$E$5,(X$5),(X$6))</f>
        <v>0.63568414769149906</v>
      </c>
      <c r="Y268" s="39">
        <f>'Degree-days'!$K$12*IF($E268=$E$5,(Y$5),(Y$6))</f>
        <v>0.63568414769149906</v>
      </c>
      <c r="Z268" s="39">
        <f>'Degree-days'!$K$12*IF($E268=$E$5,(Z$5),(Z$6))</f>
        <v>0.63568414769149906</v>
      </c>
      <c r="AA268" s="39">
        <f>'Degree-days'!$K$12*IF($E268=$E$5,(AA$5),(AA$6))</f>
        <v>0.63568414769149906</v>
      </c>
      <c r="AB268" s="39">
        <f>'Degree-days'!$K$12*IF($E268=$E$5,(AB$5),(AB$6))</f>
        <v>0</v>
      </c>
      <c r="AC268" s="39">
        <f>'Degree-days'!$K$12*IF($E268=$E$5,(AC$5),(AC$6))</f>
        <v>0</v>
      </c>
      <c r="AD268" s="39">
        <f t="shared" si="10"/>
        <v>5.7211573292234918</v>
      </c>
    </row>
    <row r="269" spans="4:30" x14ac:dyDescent="0.2">
      <c r="D269" s="37">
        <v>45188</v>
      </c>
      <c r="E269" s="17" t="str">
        <f t="shared" si="11"/>
        <v>weekday</v>
      </c>
      <c r="F269" s="39">
        <f>'Degree-days'!$K$12*IF($E269=$E$5,(F$5),(F$6))</f>
        <v>0</v>
      </c>
      <c r="G269" s="39">
        <f>'Degree-days'!$K$12*IF($E269=$E$5,(G$5),(G$6))</f>
        <v>0</v>
      </c>
      <c r="H269" s="39">
        <f>'Degree-days'!$K$12*IF($E269=$E$5,(H$5),(H$6))</f>
        <v>0</v>
      </c>
      <c r="I269" s="39">
        <f>'Degree-days'!$K$12*IF($E269=$E$5,(I$5),(I$6))</f>
        <v>0</v>
      </c>
      <c r="J269" s="39">
        <f>'Degree-days'!$K$12*IF($E269=$E$5,(J$5),(J$6))</f>
        <v>0</v>
      </c>
      <c r="K269" s="39">
        <f>'Degree-days'!$K$12*IF($E269=$E$5,(K$5),(K$6))</f>
        <v>0</v>
      </c>
      <c r="L269" s="39">
        <f>'Degree-days'!$K$12*IF($E269=$E$5,(L$5),(L$6))</f>
        <v>0.63568414769149906</v>
      </c>
      <c r="M269" s="39">
        <f>'Degree-days'!$K$12*IF($E269=$E$5,(M$5),(M$6))</f>
        <v>0.63568414769149906</v>
      </c>
      <c r="N269" s="39">
        <f>'Degree-days'!$K$12*IF($E269=$E$5,(N$5),(N$6))</f>
        <v>0</v>
      </c>
      <c r="O269" s="39">
        <f>'Degree-days'!$K$12*IF($E269=$E$5,(O$5),(O$6))</f>
        <v>0</v>
      </c>
      <c r="P269" s="39">
        <f>'Degree-days'!$K$12*IF($E269=$E$5,(P$5),(P$6))</f>
        <v>0</v>
      </c>
      <c r="Q269" s="39">
        <f>'Degree-days'!$K$12*IF($E269=$E$5,(Q$5),(Q$6))</f>
        <v>0</v>
      </c>
      <c r="R269" s="39">
        <f>'Degree-days'!$K$12*IF($E269=$E$5,(R$5),(R$6))</f>
        <v>0</v>
      </c>
      <c r="S269" s="39">
        <f>'Degree-days'!$K$12*IF($E269=$E$5,(S$5),(S$6))</f>
        <v>0</v>
      </c>
      <c r="T269" s="39">
        <f>'Degree-days'!$K$12*IF($E269=$E$5,(T$5),(T$6))</f>
        <v>0</v>
      </c>
      <c r="U269" s="39">
        <f>'Degree-days'!$K$12*IF($E269=$E$5,(U$5),(U$6))</f>
        <v>0.63568414769149906</v>
      </c>
      <c r="V269" s="39">
        <f>'Degree-days'!$K$12*IF($E269=$E$5,(V$5),(V$6))</f>
        <v>0.63568414769149906</v>
      </c>
      <c r="W269" s="39">
        <f>'Degree-days'!$K$12*IF($E269=$E$5,(W$5),(W$6))</f>
        <v>0.63568414769149906</v>
      </c>
      <c r="X269" s="39">
        <f>'Degree-days'!$K$12*IF($E269=$E$5,(X$5),(X$6))</f>
        <v>0.63568414769149906</v>
      </c>
      <c r="Y269" s="39">
        <f>'Degree-days'!$K$12*IF($E269=$E$5,(Y$5),(Y$6))</f>
        <v>0.63568414769149906</v>
      </c>
      <c r="Z269" s="39">
        <f>'Degree-days'!$K$12*IF($E269=$E$5,(Z$5),(Z$6))</f>
        <v>0.63568414769149906</v>
      </c>
      <c r="AA269" s="39">
        <f>'Degree-days'!$K$12*IF($E269=$E$5,(AA$5),(AA$6))</f>
        <v>0.63568414769149906</v>
      </c>
      <c r="AB269" s="39">
        <f>'Degree-days'!$K$12*IF($E269=$E$5,(AB$5),(AB$6))</f>
        <v>0</v>
      </c>
      <c r="AC269" s="39">
        <f>'Degree-days'!$K$12*IF($E269=$E$5,(AC$5),(AC$6))</f>
        <v>0</v>
      </c>
      <c r="AD269" s="39">
        <f t="shared" si="10"/>
        <v>5.7211573292234918</v>
      </c>
    </row>
    <row r="270" spans="4:30" x14ac:dyDescent="0.2">
      <c r="D270" s="37">
        <v>45189</v>
      </c>
      <c r="E270" s="17" t="str">
        <f t="shared" si="11"/>
        <v>weekday</v>
      </c>
      <c r="F270" s="39">
        <f>'Degree-days'!$K$12*IF($E270=$E$5,(F$5),(F$6))</f>
        <v>0</v>
      </c>
      <c r="G270" s="39">
        <f>'Degree-days'!$K$12*IF($E270=$E$5,(G$5),(G$6))</f>
        <v>0</v>
      </c>
      <c r="H270" s="39">
        <f>'Degree-days'!$K$12*IF($E270=$E$5,(H$5),(H$6))</f>
        <v>0</v>
      </c>
      <c r="I270" s="39">
        <f>'Degree-days'!$K$12*IF($E270=$E$5,(I$5),(I$6))</f>
        <v>0</v>
      </c>
      <c r="J270" s="39">
        <f>'Degree-days'!$K$12*IF($E270=$E$5,(J$5),(J$6))</f>
        <v>0</v>
      </c>
      <c r="K270" s="39">
        <f>'Degree-days'!$K$12*IF($E270=$E$5,(K$5),(K$6))</f>
        <v>0</v>
      </c>
      <c r="L270" s="39">
        <f>'Degree-days'!$K$12*IF($E270=$E$5,(L$5),(L$6))</f>
        <v>0.63568414769149906</v>
      </c>
      <c r="M270" s="39">
        <f>'Degree-days'!$K$12*IF($E270=$E$5,(M$5),(M$6))</f>
        <v>0.63568414769149906</v>
      </c>
      <c r="N270" s="39">
        <f>'Degree-days'!$K$12*IF($E270=$E$5,(N$5),(N$6))</f>
        <v>0</v>
      </c>
      <c r="O270" s="39">
        <f>'Degree-days'!$K$12*IF($E270=$E$5,(O$5),(O$6))</f>
        <v>0</v>
      </c>
      <c r="P270" s="39">
        <f>'Degree-days'!$K$12*IF($E270=$E$5,(P$5),(P$6))</f>
        <v>0</v>
      </c>
      <c r="Q270" s="39">
        <f>'Degree-days'!$K$12*IF($E270=$E$5,(Q$5),(Q$6))</f>
        <v>0</v>
      </c>
      <c r="R270" s="39">
        <f>'Degree-days'!$K$12*IF($E270=$E$5,(R$5),(R$6))</f>
        <v>0</v>
      </c>
      <c r="S270" s="39">
        <f>'Degree-days'!$K$12*IF($E270=$E$5,(S$5),(S$6))</f>
        <v>0</v>
      </c>
      <c r="T270" s="39">
        <f>'Degree-days'!$K$12*IF($E270=$E$5,(T$5),(T$6))</f>
        <v>0</v>
      </c>
      <c r="U270" s="39">
        <f>'Degree-days'!$K$12*IF($E270=$E$5,(U$5),(U$6))</f>
        <v>0.63568414769149906</v>
      </c>
      <c r="V270" s="39">
        <f>'Degree-days'!$K$12*IF($E270=$E$5,(V$5),(V$6))</f>
        <v>0.63568414769149906</v>
      </c>
      <c r="W270" s="39">
        <f>'Degree-days'!$K$12*IF($E270=$E$5,(W$5),(W$6))</f>
        <v>0.63568414769149906</v>
      </c>
      <c r="X270" s="39">
        <f>'Degree-days'!$K$12*IF($E270=$E$5,(X$5),(X$6))</f>
        <v>0.63568414769149906</v>
      </c>
      <c r="Y270" s="39">
        <f>'Degree-days'!$K$12*IF($E270=$E$5,(Y$5),(Y$6))</f>
        <v>0.63568414769149906</v>
      </c>
      <c r="Z270" s="39">
        <f>'Degree-days'!$K$12*IF($E270=$E$5,(Z$5),(Z$6))</f>
        <v>0.63568414769149906</v>
      </c>
      <c r="AA270" s="39">
        <f>'Degree-days'!$K$12*IF($E270=$E$5,(AA$5),(AA$6))</f>
        <v>0.63568414769149906</v>
      </c>
      <c r="AB270" s="39">
        <f>'Degree-days'!$K$12*IF($E270=$E$5,(AB$5),(AB$6))</f>
        <v>0</v>
      </c>
      <c r="AC270" s="39">
        <f>'Degree-days'!$K$12*IF($E270=$E$5,(AC$5),(AC$6))</f>
        <v>0</v>
      </c>
      <c r="AD270" s="39">
        <f t="shared" si="10"/>
        <v>5.7211573292234918</v>
      </c>
    </row>
    <row r="271" spans="4:30" x14ac:dyDescent="0.2">
      <c r="D271" s="37">
        <v>45190</v>
      </c>
      <c r="E271" s="17" t="str">
        <f t="shared" si="11"/>
        <v>weekday</v>
      </c>
      <c r="F271" s="39">
        <f>'Degree-days'!$K$12*IF($E271=$E$5,(F$5),(F$6))</f>
        <v>0</v>
      </c>
      <c r="G271" s="39">
        <f>'Degree-days'!$K$12*IF($E271=$E$5,(G$5),(G$6))</f>
        <v>0</v>
      </c>
      <c r="H271" s="39">
        <f>'Degree-days'!$K$12*IF($E271=$E$5,(H$5),(H$6))</f>
        <v>0</v>
      </c>
      <c r="I271" s="39">
        <f>'Degree-days'!$K$12*IF($E271=$E$5,(I$5),(I$6))</f>
        <v>0</v>
      </c>
      <c r="J271" s="39">
        <f>'Degree-days'!$K$12*IF($E271=$E$5,(J$5),(J$6))</f>
        <v>0</v>
      </c>
      <c r="K271" s="39">
        <f>'Degree-days'!$K$12*IF($E271=$E$5,(K$5),(K$6))</f>
        <v>0</v>
      </c>
      <c r="L271" s="39">
        <f>'Degree-days'!$K$12*IF($E271=$E$5,(L$5),(L$6))</f>
        <v>0.63568414769149906</v>
      </c>
      <c r="M271" s="39">
        <f>'Degree-days'!$K$12*IF($E271=$E$5,(M$5),(M$6))</f>
        <v>0.63568414769149906</v>
      </c>
      <c r="N271" s="39">
        <f>'Degree-days'!$K$12*IF($E271=$E$5,(N$5),(N$6))</f>
        <v>0</v>
      </c>
      <c r="O271" s="39">
        <f>'Degree-days'!$K$12*IF($E271=$E$5,(O$5),(O$6))</f>
        <v>0</v>
      </c>
      <c r="P271" s="39">
        <f>'Degree-days'!$K$12*IF($E271=$E$5,(P$5),(P$6))</f>
        <v>0</v>
      </c>
      <c r="Q271" s="39">
        <f>'Degree-days'!$K$12*IF($E271=$E$5,(Q$5),(Q$6))</f>
        <v>0</v>
      </c>
      <c r="R271" s="39">
        <f>'Degree-days'!$K$12*IF($E271=$E$5,(R$5),(R$6))</f>
        <v>0</v>
      </c>
      <c r="S271" s="39">
        <f>'Degree-days'!$K$12*IF($E271=$E$5,(S$5),(S$6))</f>
        <v>0</v>
      </c>
      <c r="T271" s="39">
        <f>'Degree-days'!$K$12*IF($E271=$E$5,(T$5),(T$6))</f>
        <v>0</v>
      </c>
      <c r="U271" s="39">
        <f>'Degree-days'!$K$12*IF($E271=$E$5,(U$5),(U$6))</f>
        <v>0.63568414769149906</v>
      </c>
      <c r="V271" s="39">
        <f>'Degree-days'!$K$12*IF($E271=$E$5,(V$5),(V$6))</f>
        <v>0.63568414769149906</v>
      </c>
      <c r="W271" s="39">
        <f>'Degree-days'!$K$12*IF($E271=$E$5,(W$5),(W$6))</f>
        <v>0.63568414769149906</v>
      </c>
      <c r="X271" s="39">
        <f>'Degree-days'!$K$12*IF($E271=$E$5,(X$5),(X$6))</f>
        <v>0.63568414769149906</v>
      </c>
      <c r="Y271" s="39">
        <f>'Degree-days'!$K$12*IF($E271=$E$5,(Y$5),(Y$6))</f>
        <v>0.63568414769149906</v>
      </c>
      <c r="Z271" s="39">
        <f>'Degree-days'!$K$12*IF($E271=$E$5,(Z$5),(Z$6))</f>
        <v>0.63568414769149906</v>
      </c>
      <c r="AA271" s="39">
        <f>'Degree-days'!$K$12*IF($E271=$E$5,(AA$5),(AA$6))</f>
        <v>0.63568414769149906</v>
      </c>
      <c r="AB271" s="39">
        <f>'Degree-days'!$K$12*IF($E271=$E$5,(AB$5),(AB$6))</f>
        <v>0</v>
      </c>
      <c r="AC271" s="39">
        <f>'Degree-days'!$K$12*IF($E271=$E$5,(AC$5),(AC$6))</f>
        <v>0</v>
      </c>
      <c r="AD271" s="39">
        <f t="shared" si="10"/>
        <v>5.7211573292234918</v>
      </c>
    </row>
    <row r="272" spans="4:30" x14ac:dyDescent="0.2">
      <c r="D272" s="37">
        <v>45191</v>
      </c>
      <c r="E272" s="17" t="str">
        <f t="shared" si="11"/>
        <v>weekday</v>
      </c>
      <c r="F272" s="39">
        <f>'Degree-days'!$K$12*IF($E272=$E$5,(F$5),(F$6))</f>
        <v>0</v>
      </c>
      <c r="G272" s="39">
        <f>'Degree-days'!$K$12*IF($E272=$E$5,(G$5),(G$6))</f>
        <v>0</v>
      </c>
      <c r="H272" s="39">
        <f>'Degree-days'!$K$12*IF($E272=$E$5,(H$5),(H$6))</f>
        <v>0</v>
      </c>
      <c r="I272" s="39">
        <f>'Degree-days'!$K$12*IF($E272=$E$5,(I$5),(I$6))</f>
        <v>0</v>
      </c>
      <c r="J272" s="39">
        <f>'Degree-days'!$K$12*IF($E272=$E$5,(J$5),(J$6))</f>
        <v>0</v>
      </c>
      <c r="K272" s="39">
        <f>'Degree-days'!$K$12*IF($E272=$E$5,(K$5),(K$6))</f>
        <v>0</v>
      </c>
      <c r="L272" s="39">
        <f>'Degree-days'!$K$12*IF($E272=$E$5,(L$5),(L$6))</f>
        <v>0.63568414769149906</v>
      </c>
      <c r="M272" s="39">
        <f>'Degree-days'!$K$12*IF($E272=$E$5,(M$5),(M$6))</f>
        <v>0.63568414769149906</v>
      </c>
      <c r="N272" s="39">
        <f>'Degree-days'!$K$12*IF($E272=$E$5,(N$5),(N$6))</f>
        <v>0</v>
      </c>
      <c r="O272" s="39">
        <f>'Degree-days'!$K$12*IF($E272=$E$5,(O$5),(O$6))</f>
        <v>0</v>
      </c>
      <c r="P272" s="39">
        <f>'Degree-days'!$K$12*IF($E272=$E$5,(P$5),(P$6))</f>
        <v>0</v>
      </c>
      <c r="Q272" s="39">
        <f>'Degree-days'!$K$12*IF($E272=$E$5,(Q$5),(Q$6))</f>
        <v>0</v>
      </c>
      <c r="R272" s="39">
        <f>'Degree-days'!$K$12*IF($E272=$E$5,(R$5),(R$6))</f>
        <v>0</v>
      </c>
      <c r="S272" s="39">
        <f>'Degree-days'!$K$12*IF($E272=$E$5,(S$5),(S$6))</f>
        <v>0</v>
      </c>
      <c r="T272" s="39">
        <f>'Degree-days'!$K$12*IF($E272=$E$5,(T$5),(T$6))</f>
        <v>0</v>
      </c>
      <c r="U272" s="39">
        <f>'Degree-days'!$K$12*IF($E272=$E$5,(U$5),(U$6))</f>
        <v>0.63568414769149906</v>
      </c>
      <c r="V272" s="39">
        <f>'Degree-days'!$K$12*IF($E272=$E$5,(V$5),(V$6))</f>
        <v>0.63568414769149906</v>
      </c>
      <c r="W272" s="39">
        <f>'Degree-days'!$K$12*IF($E272=$E$5,(W$5),(W$6))</f>
        <v>0.63568414769149906</v>
      </c>
      <c r="X272" s="39">
        <f>'Degree-days'!$K$12*IF($E272=$E$5,(X$5),(X$6))</f>
        <v>0.63568414769149906</v>
      </c>
      <c r="Y272" s="39">
        <f>'Degree-days'!$K$12*IF($E272=$E$5,(Y$5),(Y$6))</f>
        <v>0.63568414769149906</v>
      </c>
      <c r="Z272" s="39">
        <f>'Degree-days'!$K$12*IF($E272=$E$5,(Z$5),(Z$6))</f>
        <v>0.63568414769149906</v>
      </c>
      <c r="AA272" s="39">
        <f>'Degree-days'!$K$12*IF($E272=$E$5,(AA$5),(AA$6))</f>
        <v>0.63568414769149906</v>
      </c>
      <c r="AB272" s="39">
        <f>'Degree-days'!$K$12*IF($E272=$E$5,(AB$5),(AB$6))</f>
        <v>0</v>
      </c>
      <c r="AC272" s="39">
        <f>'Degree-days'!$K$12*IF($E272=$E$5,(AC$5),(AC$6))</f>
        <v>0</v>
      </c>
      <c r="AD272" s="39">
        <f t="shared" si="10"/>
        <v>5.7211573292234918</v>
      </c>
    </row>
    <row r="273" spans="4:32" x14ac:dyDescent="0.2">
      <c r="D273" s="37">
        <v>45192</v>
      </c>
      <c r="E273" s="17" t="str">
        <f t="shared" si="11"/>
        <v>weekend</v>
      </c>
      <c r="F273" s="39">
        <f>'Degree-days'!$K$12*IF($E273=$E$5,(F$5),(F$6))</f>
        <v>0</v>
      </c>
      <c r="G273" s="39">
        <f>'Degree-days'!$K$12*IF($E273=$E$5,(G$5),(G$6))</f>
        <v>0</v>
      </c>
      <c r="H273" s="39">
        <f>'Degree-days'!$K$12*IF($E273=$E$5,(H$5),(H$6))</f>
        <v>0</v>
      </c>
      <c r="I273" s="39">
        <f>'Degree-days'!$K$12*IF($E273=$E$5,(I$5),(I$6))</f>
        <v>0</v>
      </c>
      <c r="J273" s="39">
        <f>'Degree-days'!$K$12*IF($E273=$E$5,(J$5),(J$6))</f>
        <v>0</v>
      </c>
      <c r="K273" s="39">
        <f>'Degree-days'!$K$12*IF($E273=$E$5,(K$5),(K$6))</f>
        <v>0</v>
      </c>
      <c r="L273" s="39">
        <f>'Degree-days'!$K$12*IF($E273=$E$5,(L$5),(L$6))</f>
        <v>0.63568414769149906</v>
      </c>
      <c r="M273" s="39">
        <f>'Degree-days'!$K$12*IF($E273=$E$5,(M$5),(M$6))</f>
        <v>0.63568414769149906</v>
      </c>
      <c r="N273" s="39">
        <f>'Degree-days'!$K$12*IF($E273=$E$5,(N$5),(N$6))</f>
        <v>0.63568414769149906</v>
      </c>
      <c r="O273" s="39">
        <f>'Degree-days'!$K$12*IF($E273=$E$5,(O$5),(O$6))</f>
        <v>0.63568414769149906</v>
      </c>
      <c r="P273" s="39">
        <f>'Degree-days'!$K$12*IF($E273=$E$5,(P$5),(P$6))</f>
        <v>0.63568414769149906</v>
      </c>
      <c r="Q273" s="39">
        <f>'Degree-days'!$K$12*IF($E273=$E$5,(Q$5),(Q$6))</f>
        <v>0.63568414769149906</v>
      </c>
      <c r="R273" s="39">
        <f>'Degree-days'!$K$12*IF($E273=$E$5,(R$5),(R$6))</f>
        <v>0.63568414769149906</v>
      </c>
      <c r="S273" s="39">
        <f>'Degree-days'!$K$12*IF($E273=$E$5,(S$5),(S$6))</f>
        <v>0.63568414769149906</v>
      </c>
      <c r="T273" s="39">
        <f>'Degree-days'!$K$12*IF($E273=$E$5,(T$5),(T$6))</f>
        <v>0.63568414769149906</v>
      </c>
      <c r="U273" s="39">
        <f>'Degree-days'!$K$12*IF($E273=$E$5,(U$5),(U$6))</f>
        <v>0.63568414769149906</v>
      </c>
      <c r="V273" s="39">
        <f>'Degree-days'!$K$12*IF($E273=$E$5,(V$5),(V$6))</f>
        <v>0.63568414769149906</v>
      </c>
      <c r="W273" s="39">
        <f>'Degree-days'!$K$12*IF($E273=$E$5,(W$5),(W$6))</f>
        <v>0.63568414769149906</v>
      </c>
      <c r="X273" s="39">
        <f>'Degree-days'!$K$12*IF($E273=$E$5,(X$5),(X$6))</f>
        <v>0.63568414769149906</v>
      </c>
      <c r="Y273" s="39">
        <f>'Degree-days'!$K$12*IF($E273=$E$5,(Y$5),(Y$6))</f>
        <v>0.63568414769149906</v>
      </c>
      <c r="Z273" s="39">
        <f>'Degree-days'!$K$12*IF($E273=$E$5,(Z$5),(Z$6))</f>
        <v>0.63568414769149906</v>
      </c>
      <c r="AA273" s="39">
        <f>'Degree-days'!$K$12*IF($E273=$E$5,(AA$5),(AA$6))</f>
        <v>0.63568414769149906</v>
      </c>
      <c r="AB273" s="39">
        <f>'Degree-days'!$K$12*IF($E273=$E$5,(AB$5),(AB$6))</f>
        <v>0</v>
      </c>
      <c r="AC273" s="39">
        <f>'Degree-days'!$K$12*IF($E273=$E$5,(AC$5),(AC$6))</f>
        <v>0</v>
      </c>
      <c r="AD273" s="39">
        <f t="shared" si="10"/>
        <v>10.170946363063987</v>
      </c>
    </row>
    <row r="274" spans="4:32" x14ac:dyDescent="0.2">
      <c r="D274" s="37">
        <v>45193</v>
      </c>
      <c r="E274" s="17" t="str">
        <f t="shared" si="11"/>
        <v>weekend</v>
      </c>
      <c r="F274" s="39">
        <f>'Degree-days'!$K$12*IF($E274=$E$5,(F$5),(F$6))</f>
        <v>0</v>
      </c>
      <c r="G274" s="39">
        <f>'Degree-days'!$K$12*IF($E274=$E$5,(G$5),(G$6))</f>
        <v>0</v>
      </c>
      <c r="H274" s="39">
        <f>'Degree-days'!$K$12*IF($E274=$E$5,(H$5),(H$6))</f>
        <v>0</v>
      </c>
      <c r="I274" s="39">
        <f>'Degree-days'!$K$12*IF($E274=$E$5,(I$5),(I$6))</f>
        <v>0</v>
      </c>
      <c r="J274" s="39">
        <f>'Degree-days'!$K$12*IF($E274=$E$5,(J$5),(J$6))</f>
        <v>0</v>
      </c>
      <c r="K274" s="39">
        <f>'Degree-days'!$K$12*IF($E274=$E$5,(K$5),(K$6))</f>
        <v>0</v>
      </c>
      <c r="L274" s="39">
        <f>'Degree-days'!$K$12*IF($E274=$E$5,(L$5),(L$6))</f>
        <v>0.63568414769149906</v>
      </c>
      <c r="M274" s="39">
        <f>'Degree-days'!$K$12*IF($E274=$E$5,(M$5),(M$6))</f>
        <v>0.63568414769149906</v>
      </c>
      <c r="N274" s="39">
        <f>'Degree-days'!$K$12*IF($E274=$E$5,(N$5),(N$6))</f>
        <v>0.63568414769149906</v>
      </c>
      <c r="O274" s="39">
        <f>'Degree-days'!$K$12*IF($E274=$E$5,(O$5),(O$6))</f>
        <v>0.63568414769149906</v>
      </c>
      <c r="P274" s="39">
        <f>'Degree-days'!$K$12*IF($E274=$E$5,(P$5),(P$6))</f>
        <v>0.63568414769149906</v>
      </c>
      <c r="Q274" s="39">
        <f>'Degree-days'!$K$12*IF($E274=$E$5,(Q$5),(Q$6))</f>
        <v>0.63568414769149906</v>
      </c>
      <c r="R274" s="39">
        <f>'Degree-days'!$K$12*IF($E274=$E$5,(R$5),(R$6))</f>
        <v>0.63568414769149906</v>
      </c>
      <c r="S274" s="39">
        <f>'Degree-days'!$K$12*IF($E274=$E$5,(S$5),(S$6))</f>
        <v>0.63568414769149906</v>
      </c>
      <c r="T274" s="39">
        <f>'Degree-days'!$K$12*IF($E274=$E$5,(T$5),(T$6))</f>
        <v>0.63568414769149906</v>
      </c>
      <c r="U274" s="39">
        <f>'Degree-days'!$K$12*IF($E274=$E$5,(U$5),(U$6))</f>
        <v>0.63568414769149906</v>
      </c>
      <c r="V274" s="39">
        <f>'Degree-days'!$K$12*IF($E274=$E$5,(V$5),(V$6))</f>
        <v>0.63568414769149906</v>
      </c>
      <c r="W274" s="39">
        <f>'Degree-days'!$K$12*IF($E274=$E$5,(W$5),(W$6))</f>
        <v>0.63568414769149906</v>
      </c>
      <c r="X274" s="39">
        <f>'Degree-days'!$K$12*IF($E274=$E$5,(X$5),(X$6))</f>
        <v>0.63568414769149906</v>
      </c>
      <c r="Y274" s="39">
        <f>'Degree-days'!$K$12*IF($E274=$E$5,(Y$5),(Y$6))</f>
        <v>0.63568414769149906</v>
      </c>
      <c r="Z274" s="39">
        <f>'Degree-days'!$K$12*IF($E274=$E$5,(Z$5),(Z$6))</f>
        <v>0.63568414769149906</v>
      </c>
      <c r="AA274" s="39">
        <f>'Degree-days'!$K$12*IF($E274=$E$5,(AA$5),(AA$6))</f>
        <v>0.63568414769149906</v>
      </c>
      <c r="AB274" s="39">
        <f>'Degree-days'!$K$12*IF($E274=$E$5,(AB$5),(AB$6))</f>
        <v>0</v>
      </c>
      <c r="AC274" s="39">
        <f>'Degree-days'!$K$12*IF($E274=$E$5,(AC$5),(AC$6))</f>
        <v>0</v>
      </c>
      <c r="AD274" s="39">
        <f t="shared" si="10"/>
        <v>10.170946363063987</v>
      </c>
    </row>
    <row r="275" spans="4:32" x14ac:dyDescent="0.2">
      <c r="D275" s="37">
        <v>45194</v>
      </c>
      <c r="E275" s="17" t="str">
        <f t="shared" si="11"/>
        <v>weekday</v>
      </c>
      <c r="F275" s="39">
        <f>'Degree-days'!$K$12*IF($E275=$E$5,(F$5),(F$6))</f>
        <v>0</v>
      </c>
      <c r="G275" s="39">
        <f>'Degree-days'!$K$12*IF($E275=$E$5,(G$5),(G$6))</f>
        <v>0</v>
      </c>
      <c r="H275" s="39">
        <f>'Degree-days'!$K$12*IF($E275=$E$5,(H$5),(H$6))</f>
        <v>0</v>
      </c>
      <c r="I275" s="39">
        <f>'Degree-days'!$K$12*IF($E275=$E$5,(I$5),(I$6))</f>
        <v>0</v>
      </c>
      <c r="J275" s="39">
        <f>'Degree-days'!$K$12*IF($E275=$E$5,(J$5),(J$6))</f>
        <v>0</v>
      </c>
      <c r="K275" s="39">
        <f>'Degree-days'!$K$12*IF($E275=$E$5,(K$5),(K$6))</f>
        <v>0</v>
      </c>
      <c r="L275" s="39">
        <f>'Degree-days'!$K$12*IF($E275=$E$5,(L$5),(L$6))</f>
        <v>0.63568414769149906</v>
      </c>
      <c r="M275" s="39">
        <f>'Degree-days'!$K$12*IF($E275=$E$5,(M$5),(M$6))</f>
        <v>0.63568414769149906</v>
      </c>
      <c r="N275" s="39">
        <f>'Degree-days'!$K$12*IF($E275=$E$5,(N$5),(N$6))</f>
        <v>0</v>
      </c>
      <c r="O275" s="39">
        <f>'Degree-days'!$K$12*IF($E275=$E$5,(O$5),(O$6))</f>
        <v>0</v>
      </c>
      <c r="P275" s="39">
        <f>'Degree-days'!$K$12*IF($E275=$E$5,(P$5),(P$6))</f>
        <v>0</v>
      </c>
      <c r="Q275" s="39">
        <f>'Degree-days'!$K$12*IF($E275=$E$5,(Q$5),(Q$6))</f>
        <v>0</v>
      </c>
      <c r="R275" s="39">
        <f>'Degree-days'!$K$12*IF($E275=$E$5,(R$5),(R$6))</f>
        <v>0</v>
      </c>
      <c r="S275" s="39">
        <f>'Degree-days'!$K$12*IF($E275=$E$5,(S$5),(S$6))</f>
        <v>0</v>
      </c>
      <c r="T275" s="39">
        <f>'Degree-days'!$K$12*IF($E275=$E$5,(T$5),(T$6))</f>
        <v>0</v>
      </c>
      <c r="U275" s="39">
        <f>'Degree-days'!$K$12*IF($E275=$E$5,(U$5),(U$6))</f>
        <v>0.63568414769149906</v>
      </c>
      <c r="V275" s="39">
        <f>'Degree-days'!$K$12*IF($E275=$E$5,(V$5),(V$6))</f>
        <v>0.63568414769149906</v>
      </c>
      <c r="W275" s="39">
        <f>'Degree-days'!$K$12*IF($E275=$E$5,(W$5),(W$6))</f>
        <v>0.63568414769149906</v>
      </c>
      <c r="X275" s="39">
        <f>'Degree-days'!$K$12*IF($E275=$E$5,(X$5),(X$6))</f>
        <v>0.63568414769149906</v>
      </c>
      <c r="Y275" s="39">
        <f>'Degree-days'!$K$12*IF($E275=$E$5,(Y$5),(Y$6))</f>
        <v>0.63568414769149906</v>
      </c>
      <c r="Z275" s="39">
        <f>'Degree-days'!$K$12*IF($E275=$E$5,(Z$5),(Z$6))</f>
        <v>0.63568414769149906</v>
      </c>
      <c r="AA275" s="39">
        <f>'Degree-days'!$K$12*IF($E275=$E$5,(AA$5),(AA$6))</f>
        <v>0.63568414769149906</v>
      </c>
      <c r="AB275" s="39">
        <f>'Degree-days'!$K$12*IF($E275=$E$5,(AB$5),(AB$6))</f>
        <v>0</v>
      </c>
      <c r="AC275" s="39">
        <f>'Degree-days'!$K$12*IF($E275=$E$5,(AC$5),(AC$6))</f>
        <v>0</v>
      </c>
      <c r="AD275" s="39">
        <f t="shared" si="10"/>
        <v>5.7211573292234918</v>
      </c>
    </row>
    <row r="276" spans="4:32" x14ac:dyDescent="0.2">
      <c r="D276" s="37">
        <v>45195</v>
      </c>
      <c r="E276" s="17" t="str">
        <f t="shared" si="11"/>
        <v>weekday</v>
      </c>
      <c r="F276" s="39">
        <f>'Degree-days'!$K$12*IF($E276=$E$5,(F$5),(F$6))</f>
        <v>0</v>
      </c>
      <c r="G276" s="39">
        <f>'Degree-days'!$K$12*IF($E276=$E$5,(G$5),(G$6))</f>
        <v>0</v>
      </c>
      <c r="H276" s="39">
        <f>'Degree-days'!$K$12*IF($E276=$E$5,(H$5),(H$6))</f>
        <v>0</v>
      </c>
      <c r="I276" s="39">
        <f>'Degree-days'!$K$12*IF($E276=$E$5,(I$5),(I$6))</f>
        <v>0</v>
      </c>
      <c r="J276" s="39">
        <f>'Degree-days'!$K$12*IF($E276=$E$5,(J$5),(J$6))</f>
        <v>0</v>
      </c>
      <c r="K276" s="39">
        <f>'Degree-days'!$K$12*IF($E276=$E$5,(K$5),(K$6))</f>
        <v>0</v>
      </c>
      <c r="L276" s="39">
        <f>'Degree-days'!$K$12*IF($E276=$E$5,(L$5),(L$6))</f>
        <v>0.63568414769149906</v>
      </c>
      <c r="M276" s="39">
        <f>'Degree-days'!$K$12*IF($E276=$E$5,(M$5),(M$6))</f>
        <v>0.63568414769149906</v>
      </c>
      <c r="N276" s="39">
        <f>'Degree-days'!$K$12*IF($E276=$E$5,(N$5),(N$6))</f>
        <v>0</v>
      </c>
      <c r="O276" s="39">
        <f>'Degree-days'!$K$12*IF($E276=$E$5,(O$5),(O$6))</f>
        <v>0</v>
      </c>
      <c r="P276" s="39">
        <f>'Degree-days'!$K$12*IF($E276=$E$5,(P$5),(P$6))</f>
        <v>0</v>
      </c>
      <c r="Q276" s="39">
        <f>'Degree-days'!$K$12*IF($E276=$E$5,(Q$5),(Q$6))</f>
        <v>0</v>
      </c>
      <c r="R276" s="39">
        <f>'Degree-days'!$K$12*IF($E276=$E$5,(R$5),(R$6))</f>
        <v>0</v>
      </c>
      <c r="S276" s="39">
        <f>'Degree-days'!$K$12*IF($E276=$E$5,(S$5),(S$6))</f>
        <v>0</v>
      </c>
      <c r="T276" s="39">
        <f>'Degree-days'!$K$12*IF($E276=$E$5,(T$5),(T$6))</f>
        <v>0</v>
      </c>
      <c r="U276" s="39">
        <f>'Degree-days'!$K$12*IF($E276=$E$5,(U$5),(U$6))</f>
        <v>0.63568414769149906</v>
      </c>
      <c r="V276" s="39">
        <f>'Degree-days'!$K$12*IF($E276=$E$5,(V$5),(V$6))</f>
        <v>0.63568414769149906</v>
      </c>
      <c r="W276" s="39">
        <f>'Degree-days'!$K$12*IF($E276=$E$5,(W$5),(W$6))</f>
        <v>0.63568414769149906</v>
      </c>
      <c r="X276" s="39">
        <f>'Degree-days'!$K$12*IF($E276=$E$5,(X$5),(X$6))</f>
        <v>0.63568414769149906</v>
      </c>
      <c r="Y276" s="39">
        <f>'Degree-days'!$K$12*IF($E276=$E$5,(Y$5),(Y$6))</f>
        <v>0.63568414769149906</v>
      </c>
      <c r="Z276" s="39">
        <f>'Degree-days'!$K$12*IF($E276=$E$5,(Z$5),(Z$6))</f>
        <v>0.63568414769149906</v>
      </c>
      <c r="AA276" s="39">
        <f>'Degree-days'!$K$12*IF($E276=$E$5,(AA$5),(AA$6))</f>
        <v>0.63568414769149906</v>
      </c>
      <c r="AB276" s="39">
        <f>'Degree-days'!$K$12*IF($E276=$E$5,(AB$5),(AB$6))</f>
        <v>0</v>
      </c>
      <c r="AC276" s="39">
        <f>'Degree-days'!$K$12*IF($E276=$E$5,(AC$5),(AC$6))</f>
        <v>0</v>
      </c>
      <c r="AD276" s="39">
        <f t="shared" si="10"/>
        <v>5.7211573292234918</v>
      </c>
    </row>
    <row r="277" spans="4:32" x14ac:dyDescent="0.2">
      <c r="D277" s="37">
        <v>45196</v>
      </c>
      <c r="E277" s="17" t="str">
        <f t="shared" si="11"/>
        <v>weekday</v>
      </c>
      <c r="F277" s="39">
        <f>'Degree-days'!$K$12*IF($E277=$E$5,(F$5),(F$6))</f>
        <v>0</v>
      </c>
      <c r="G277" s="39">
        <f>'Degree-days'!$K$12*IF($E277=$E$5,(G$5),(G$6))</f>
        <v>0</v>
      </c>
      <c r="H277" s="39">
        <f>'Degree-days'!$K$12*IF($E277=$E$5,(H$5),(H$6))</f>
        <v>0</v>
      </c>
      <c r="I277" s="39">
        <f>'Degree-days'!$K$12*IF($E277=$E$5,(I$5),(I$6))</f>
        <v>0</v>
      </c>
      <c r="J277" s="39">
        <f>'Degree-days'!$K$12*IF($E277=$E$5,(J$5),(J$6))</f>
        <v>0</v>
      </c>
      <c r="K277" s="39">
        <f>'Degree-days'!$K$12*IF($E277=$E$5,(K$5),(K$6))</f>
        <v>0</v>
      </c>
      <c r="L277" s="39">
        <f>'Degree-days'!$K$12*IF($E277=$E$5,(L$5),(L$6))</f>
        <v>0.63568414769149906</v>
      </c>
      <c r="M277" s="39">
        <f>'Degree-days'!$K$12*IF($E277=$E$5,(M$5),(M$6))</f>
        <v>0.63568414769149906</v>
      </c>
      <c r="N277" s="39">
        <f>'Degree-days'!$K$12*IF($E277=$E$5,(N$5),(N$6))</f>
        <v>0</v>
      </c>
      <c r="O277" s="39">
        <f>'Degree-days'!$K$12*IF($E277=$E$5,(O$5),(O$6))</f>
        <v>0</v>
      </c>
      <c r="P277" s="39">
        <f>'Degree-days'!$K$12*IF($E277=$E$5,(P$5),(P$6))</f>
        <v>0</v>
      </c>
      <c r="Q277" s="39">
        <f>'Degree-days'!$K$12*IF($E277=$E$5,(Q$5),(Q$6))</f>
        <v>0</v>
      </c>
      <c r="R277" s="39">
        <f>'Degree-days'!$K$12*IF($E277=$E$5,(R$5),(R$6))</f>
        <v>0</v>
      </c>
      <c r="S277" s="39">
        <f>'Degree-days'!$K$12*IF($E277=$E$5,(S$5),(S$6))</f>
        <v>0</v>
      </c>
      <c r="T277" s="39">
        <f>'Degree-days'!$K$12*IF($E277=$E$5,(T$5),(T$6))</f>
        <v>0</v>
      </c>
      <c r="U277" s="39">
        <f>'Degree-days'!$K$12*IF($E277=$E$5,(U$5),(U$6))</f>
        <v>0.63568414769149906</v>
      </c>
      <c r="V277" s="39">
        <f>'Degree-days'!$K$12*IF($E277=$E$5,(V$5),(V$6))</f>
        <v>0.63568414769149906</v>
      </c>
      <c r="W277" s="39">
        <f>'Degree-days'!$K$12*IF($E277=$E$5,(W$5),(W$6))</f>
        <v>0.63568414769149906</v>
      </c>
      <c r="X277" s="39">
        <f>'Degree-days'!$K$12*IF($E277=$E$5,(X$5),(X$6))</f>
        <v>0.63568414769149906</v>
      </c>
      <c r="Y277" s="39">
        <f>'Degree-days'!$K$12*IF($E277=$E$5,(Y$5),(Y$6))</f>
        <v>0.63568414769149906</v>
      </c>
      <c r="Z277" s="39">
        <f>'Degree-days'!$K$12*IF($E277=$E$5,(Z$5),(Z$6))</f>
        <v>0.63568414769149906</v>
      </c>
      <c r="AA277" s="39">
        <f>'Degree-days'!$K$12*IF($E277=$E$5,(AA$5),(AA$6))</f>
        <v>0.63568414769149906</v>
      </c>
      <c r="AB277" s="39">
        <f>'Degree-days'!$K$12*IF($E277=$E$5,(AB$5),(AB$6))</f>
        <v>0</v>
      </c>
      <c r="AC277" s="39">
        <f>'Degree-days'!$K$12*IF($E277=$E$5,(AC$5),(AC$6))</f>
        <v>0</v>
      </c>
      <c r="AD277" s="39">
        <f t="shared" si="10"/>
        <v>5.7211573292234918</v>
      </c>
    </row>
    <row r="278" spans="4:32" x14ac:dyDescent="0.2">
      <c r="D278" s="37">
        <v>45197</v>
      </c>
      <c r="E278" s="17" t="str">
        <f t="shared" si="11"/>
        <v>weekday</v>
      </c>
      <c r="F278" s="39">
        <f>'Degree-days'!$K$12*IF($E278=$E$5,(F$5),(F$6))</f>
        <v>0</v>
      </c>
      <c r="G278" s="39">
        <f>'Degree-days'!$K$12*IF($E278=$E$5,(G$5),(G$6))</f>
        <v>0</v>
      </c>
      <c r="H278" s="39">
        <f>'Degree-days'!$K$12*IF($E278=$E$5,(H$5),(H$6))</f>
        <v>0</v>
      </c>
      <c r="I278" s="39">
        <f>'Degree-days'!$K$12*IF($E278=$E$5,(I$5),(I$6))</f>
        <v>0</v>
      </c>
      <c r="J278" s="39">
        <f>'Degree-days'!$K$12*IF($E278=$E$5,(J$5),(J$6))</f>
        <v>0</v>
      </c>
      <c r="K278" s="39">
        <f>'Degree-days'!$K$12*IF($E278=$E$5,(K$5),(K$6))</f>
        <v>0</v>
      </c>
      <c r="L278" s="39">
        <f>'Degree-days'!$K$12*IF($E278=$E$5,(L$5),(L$6))</f>
        <v>0.63568414769149906</v>
      </c>
      <c r="M278" s="39">
        <f>'Degree-days'!$K$12*IF($E278=$E$5,(M$5),(M$6))</f>
        <v>0.63568414769149906</v>
      </c>
      <c r="N278" s="39">
        <f>'Degree-days'!$K$12*IF($E278=$E$5,(N$5),(N$6))</f>
        <v>0</v>
      </c>
      <c r="O278" s="39">
        <f>'Degree-days'!$K$12*IF($E278=$E$5,(O$5),(O$6))</f>
        <v>0</v>
      </c>
      <c r="P278" s="39">
        <f>'Degree-days'!$K$12*IF($E278=$E$5,(P$5),(P$6))</f>
        <v>0</v>
      </c>
      <c r="Q278" s="39">
        <f>'Degree-days'!$K$12*IF($E278=$E$5,(Q$5),(Q$6))</f>
        <v>0</v>
      </c>
      <c r="R278" s="39">
        <f>'Degree-days'!$K$12*IF($E278=$E$5,(R$5),(R$6))</f>
        <v>0</v>
      </c>
      <c r="S278" s="39">
        <f>'Degree-days'!$K$12*IF($E278=$E$5,(S$5),(S$6))</f>
        <v>0</v>
      </c>
      <c r="T278" s="39">
        <f>'Degree-days'!$K$12*IF($E278=$E$5,(T$5),(T$6))</f>
        <v>0</v>
      </c>
      <c r="U278" s="39">
        <f>'Degree-days'!$K$12*IF($E278=$E$5,(U$5),(U$6))</f>
        <v>0.63568414769149906</v>
      </c>
      <c r="V278" s="39">
        <f>'Degree-days'!$K$12*IF($E278=$E$5,(V$5),(V$6))</f>
        <v>0.63568414769149906</v>
      </c>
      <c r="W278" s="39">
        <f>'Degree-days'!$K$12*IF($E278=$E$5,(W$5),(W$6))</f>
        <v>0.63568414769149906</v>
      </c>
      <c r="X278" s="39">
        <f>'Degree-days'!$K$12*IF($E278=$E$5,(X$5),(X$6))</f>
        <v>0.63568414769149906</v>
      </c>
      <c r="Y278" s="39">
        <f>'Degree-days'!$K$12*IF($E278=$E$5,(Y$5),(Y$6))</f>
        <v>0.63568414769149906</v>
      </c>
      <c r="Z278" s="39">
        <f>'Degree-days'!$K$12*IF($E278=$E$5,(Z$5),(Z$6))</f>
        <v>0.63568414769149906</v>
      </c>
      <c r="AA278" s="39">
        <f>'Degree-days'!$K$12*IF($E278=$E$5,(AA$5),(AA$6))</f>
        <v>0.63568414769149906</v>
      </c>
      <c r="AB278" s="39">
        <f>'Degree-days'!$K$12*IF($E278=$E$5,(AB$5),(AB$6))</f>
        <v>0</v>
      </c>
      <c r="AC278" s="39">
        <f>'Degree-days'!$K$12*IF($E278=$E$5,(AC$5),(AC$6))</f>
        <v>0</v>
      </c>
      <c r="AD278" s="39">
        <f t="shared" si="10"/>
        <v>5.7211573292234918</v>
      </c>
    </row>
    <row r="279" spans="4:32" x14ac:dyDescent="0.2">
      <c r="D279" s="37">
        <v>45198</v>
      </c>
      <c r="E279" s="17" t="str">
        <f t="shared" si="11"/>
        <v>weekday</v>
      </c>
      <c r="F279" s="39">
        <f>'Degree-days'!$K$12*IF($E279=$E$5,(F$5),(F$6))</f>
        <v>0</v>
      </c>
      <c r="G279" s="39">
        <f>'Degree-days'!$K$12*IF($E279=$E$5,(G$5),(G$6))</f>
        <v>0</v>
      </c>
      <c r="H279" s="39">
        <f>'Degree-days'!$K$12*IF($E279=$E$5,(H$5),(H$6))</f>
        <v>0</v>
      </c>
      <c r="I279" s="39">
        <f>'Degree-days'!$K$12*IF($E279=$E$5,(I$5),(I$6))</f>
        <v>0</v>
      </c>
      <c r="J279" s="39">
        <f>'Degree-days'!$K$12*IF($E279=$E$5,(J$5),(J$6))</f>
        <v>0</v>
      </c>
      <c r="K279" s="39">
        <f>'Degree-days'!$K$12*IF($E279=$E$5,(K$5),(K$6))</f>
        <v>0</v>
      </c>
      <c r="L279" s="39">
        <f>'Degree-days'!$K$12*IF($E279=$E$5,(L$5),(L$6))</f>
        <v>0.63568414769149906</v>
      </c>
      <c r="M279" s="39">
        <f>'Degree-days'!$K$12*IF($E279=$E$5,(M$5),(M$6))</f>
        <v>0.63568414769149906</v>
      </c>
      <c r="N279" s="39">
        <f>'Degree-days'!$K$12*IF($E279=$E$5,(N$5),(N$6))</f>
        <v>0</v>
      </c>
      <c r="O279" s="39">
        <f>'Degree-days'!$K$12*IF($E279=$E$5,(O$5),(O$6))</f>
        <v>0</v>
      </c>
      <c r="P279" s="39">
        <f>'Degree-days'!$K$12*IF($E279=$E$5,(P$5),(P$6))</f>
        <v>0</v>
      </c>
      <c r="Q279" s="39">
        <f>'Degree-days'!$K$12*IF($E279=$E$5,(Q$5),(Q$6))</f>
        <v>0</v>
      </c>
      <c r="R279" s="39">
        <f>'Degree-days'!$K$12*IF($E279=$E$5,(R$5),(R$6))</f>
        <v>0</v>
      </c>
      <c r="S279" s="39">
        <f>'Degree-days'!$K$12*IF($E279=$E$5,(S$5),(S$6))</f>
        <v>0</v>
      </c>
      <c r="T279" s="39">
        <f>'Degree-days'!$K$12*IF($E279=$E$5,(T$5),(T$6))</f>
        <v>0</v>
      </c>
      <c r="U279" s="39">
        <f>'Degree-days'!$K$12*IF($E279=$E$5,(U$5),(U$6))</f>
        <v>0.63568414769149906</v>
      </c>
      <c r="V279" s="39">
        <f>'Degree-days'!$K$12*IF($E279=$E$5,(V$5),(V$6))</f>
        <v>0.63568414769149906</v>
      </c>
      <c r="W279" s="39">
        <f>'Degree-days'!$K$12*IF($E279=$E$5,(W$5),(W$6))</f>
        <v>0.63568414769149906</v>
      </c>
      <c r="X279" s="39">
        <f>'Degree-days'!$K$12*IF($E279=$E$5,(X$5),(X$6))</f>
        <v>0.63568414769149906</v>
      </c>
      <c r="Y279" s="39">
        <f>'Degree-days'!$K$12*IF($E279=$E$5,(Y$5),(Y$6))</f>
        <v>0.63568414769149906</v>
      </c>
      <c r="Z279" s="39">
        <f>'Degree-days'!$K$12*IF($E279=$E$5,(Z$5),(Z$6))</f>
        <v>0.63568414769149906</v>
      </c>
      <c r="AA279" s="39">
        <f>'Degree-days'!$K$12*IF($E279=$E$5,(AA$5),(AA$6))</f>
        <v>0.63568414769149906</v>
      </c>
      <c r="AB279" s="39">
        <f>'Degree-days'!$K$12*IF($E279=$E$5,(AB$5),(AB$6))</f>
        <v>0</v>
      </c>
      <c r="AC279" s="39">
        <f>'Degree-days'!$K$12*IF($E279=$E$5,(AC$5),(AC$6))</f>
        <v>0</v>
      </c>
      <c r="AD279" s="39">
        <f t="shared" si="10"/>
        <v>5.7211573292234918</v>
      </c>
    </row>
    <row r="280" spans="4:32" x14ac:dyDescent="0.2">
      <c r="D280" s="37">
        <v>45199</v>
      </c>
      <c r="E280" s="17" t="str">
        <f t="shared" si="11"/>
        <v>weekend</v>
      </c>
      <c r="F280" s="39">
        <f>'Degree-days'!$K$12*IF($E280=$E$5,(F$5),(F$6))</f>
        <v>0</v>
      </c>
      <c r="G280" s="39">
        <f>'Degree-days'!$K$12*IF($E280=$E$5,(G$5),(G$6))</f>
        <v>0</v>
      </c>
      <c r="H280" s="39">
        <f>'Degree-days'!$K$12*IF($E280=$E$5,(H$5),(H$6))</f>
        <v>0</v>
      </c>
      <c r="I280" s="39">
        <f>'Degree-days'!$K$12*IF($E280=$E$5,(I$5),(I$6))</f>
        <v>0</v>
      </c>
      <c r="J280" s="39">
        <f>'Degree-days'!$K$12*IF($E280=$E$5,(J$5),(J$6))</f>
        <v>0</v>
      </c>
      <c r="K280" s="39">
        <f>'Degree-days'!$K$12*IF($E280=$E$5,(K$5),(K$6))</f>
        <v>0</v>
      </c>
      <c r="L280" s="39">
        <f>'Degree-days'!$K$12*IF($E280=$E$5,(L$5),(L$6))</f>
        <v>0.63568414769149906</v>
      </c>
      <c r="M280" s="39">
        <f>'Degree-days'!$K$12*IF($E280=$E$5,(M$5),(M$6))</f>
        <v>0.63568414769149906</v>
      </c>
      <c r="N280" s="39">
        <f>'Degree-days'!$K$12*IF($E280=$E$5,(N$5),(N$6))</f>
        <v>0.63568414769149906</v>
      </c>
      <c r="O280" s="39">
        <f>'Degree-days'!$K$12*IF($E280=$E$5,(O$5),(O$6))</f>
        <v>0.63568414769149906</v>
      </c>
      <c r="P280" s="39">
        <f>'Degree-days'!$K$12*IF($E280=$E$5,(P$5),(P$6))</f>
        <v>0.63568414769149906</v>
      </c>
      <c r="Q280" s="39">
        <f>'Degree-days'!$K$12*IF($E280=$E$5,(Q$5),(Q$6))</f>
        <v>0.63568414769149906</v>
      </c>
      <c r="R280" s="39">
        <f>'Degree-days'!$K$12*IF($E280=$E$5,(R$5),(R$6))</f>
        <v>0.63568414769149906</v>
      </c>
      <c r="S280" s="39">
        <f>'Degree-days'!$K$12*IF($E280=$E$5,(S$5),(S$6))</f>
        <v>0.63568414769149906</v>
      </c>
      <c r="T280" s="39">
        <f>'Degree-days'!$K$12*IF($E280=$E$5,(T$5),(T$6))</f>
        <v>0.63568414769149906</v>
      </c>
      <c r="U280" s="39">
        <f>'Degree-days'!$K$12*IF($E280=$E$5,(U$5),(U$6))</f>
        <v>0.63568414769149906</v>
      </c>
      <c r="V280" s="39">
        <f>'Degree-days'!$K$12*IF($E280=$E$5,(V$5),(V$6))</f>
        <v>0.63568414769149906</v>
      </c>
      <c r="W280" s="39">
        <f>'Degree-days'!$K$12*IF($E280=$E$5,(W$5),(W$6))</f>
        <v>0.63568414769149906</v>
      </c>
      <c r="X280" s="39">
        <f>'Degree-days'!$K$12*IF($E280=$E$5,(X$5),(X$6))</f>
        <v>0.63568414769149906</v>
      </c>
      <c r="Y280" s="39">
        <f>'Degree-days'!$K$12*IF($E280=$E$5,(Y$5),(Y$6))</f>
        <v>0.63568414769149906</v>
      </c>
      <c r="Z280" s="39">
        <f>'Degree-days'!$K$12*IF($E280=$E$5,(Z$5),(Z$6))</f>
        <v>0.63568414769149906</v>
      </c>
      <c r="AA280" s="39">
        <f>'Degree-days'!$K$12*IF($E280=$E$5,(AA$5),(AA$6))</f>
        <v>0.63568414769149906</v>
      </c>
      <c r="AB280" s="39">
        <f>'Degree-days'!$K$12*IF($E280=$E$5,(AB$5),(AB$6))</f>
        <v>0</v>
      </c>
      <c r="AC280" s="39">
        <f>'Degree-days'!$K$12*IF($E280=$E$5,(AC$5),(AC$6))</f>
        <v>0</v>
      </c>
      <c r="AD280" s="39">
        <f>SUM(F280:AC280)</f>
        <v>10.170946363063987</v>
      </c>
      <c r="AE280" s="40">
        <f>SUM(AD251:AD280)</f>
        <v>211.6828211812693</v>
      </c>
      <c r="AF280" s="35">
        <f>'Degree-days'!K11</f>
        <v>211.68282118126919</v>
      </c>
    </row>
    <row r="281" spans="4:32" x14ac:dyDescent="0.2">
      <c r="D281" s="37">
        <v>45200</v>
      </c>
      <c r="E281" s="17" t="str">
        <f t="shared" si="11"/>
        <v>weekend</v>
      </c>
      <c r="F281" s="39">
        <f>'Degree-days'!$L$12*IF($E281=$E$5,(F$5),(F$6))</f>
        <v>0</v>
      </c>
      <c r="G281" s="39">
        <f>'Degree-days'!$L$12*IF($E281=$E$5,(G$5),(G$6))</f>
        <v>0</v>
      </c>
      <c r="H281" s="39">
        <f>'Degree-days'!$L$12*IF($E281=$E$5,(H$5),(H$6))</f>
        <v>0</v>
      </c>
      <c r="I281" s="39">
        <f>'Degree-days'!$L$12*IF($E281=$E$5,(I$5),(I$6))</f>
        <v>0</v>
      </c>
      <c r="J281" s="39">
        <f>'Degree-days'!$L$12*IF($E281=$E$5,(J$5),(J$6))</f>
        <v>0</v>
      </c>
      <c r="K281" s="39">
        <f>'Degree-days'!$L$12*IF($E281=$E$5,(K$5),(K$6))</f>
        <v>0</v>
      </c>
      <c r="L281" s="39">
        <f>'Degree-days'!$L$12*IF($E281=$E$5,(L$5),(L$6))</f>
        <v>1.5389274342173849</v>
      </c>
      <c r="M281" s="39">
        <f>'Degree-days'!$L$12*IF($E281=$E$5,(M$5),(M$6))</f>
        <v>1.5389274342173849</v>
      </c>
      <c r="N281" s="39">
        <f>'Degree-days'!$L$12*IF($E281=$E$5,(N$5),(N$6))</f>
        <v>1.5389274342173849</v>
      </c>
      <c r="O281" s="39">
        <f>'Degree-days'!$L$12*IF($E281=$E$5,(O$5),(O$6))</f>
        <v>1.5389274342173849</v>
      </c>
      <c r="P281" s="39">
        <f>'Degree-days'!$L$12*IF($E281=$E$5,(P$5),(P$6))</f>
        <v>1.5389274342173849</v>
      </c>
      <c r="Q281" s="39">
        <f>'Degree-days'!$L$12*IF($E281=$E$5,(Q$5),(Q$6))</f>
        <v>1.5389274342173849</v>
      </c>
      <c r="R281" s="39">
        <f>'Degree-days'!$L$12*IF($E281=$E$5,(R$5),(R$6))</f>
        <v>1.5389274342173849</v>
      </c>
      <c r="S281" s="39">
        <f>'Degree-days'!$L$12*IF($E281=$E$5,(S$5),(S$6))</f>
        <v>1.5389274342173849</v>
      </c>
      <c r="T281" s="39">
        <f>'Degree-days'!$L$12*IF($E281=$E$5,(T$5),(T$6))</f>
        <v>1.5389274342173849</v>
      </c>
      <c r="U281" s="39">
        <f>'Degree-days'!$L$12*IF($E281=$E$5,(U$5),(U$6))</f>
        <v>1.5389274342173849</v>
      </c>
      <c r="V281" s="39">
        <f>'Degree-days'!$L$12*IF($E281=$E$5,(V$5),(V$6))</f>
        <v>1.5389274342173849</v>
      </c>
      <c r="W281" s="39">
        <f>'Degree-days'!$L$12*IF($E281=$E$5,(W$5),(W$6))</f>
        <v>1.5389274342173849</v>
      </c>
      <c r="X281" s="39">
        <f>'Degree-days'!$L$12*IF($E281=$E$5,(X$5),(X$6))</f>
        <v>1.5389274342173849</v>
      </c>
      <c r="Y281" s="39">
        <f>'Degree-days'!$L$12*IF($E281=$E$5,(Y$5),(Y$6))</f>
        <v>1.5389274342173849</v>
      </c>
      <c r="Z281" s="39">
        <f>'Degree-days'!$L$12*IF($E281=$E$5,(Z$5),(Z$6))</f>
        <v>1.5389274342173849</v>
      </c>
      <c r="AA281" s="39">
        <f>'Degree-days'!$L$12*IF($E281=$E$5,(AA$5),(AA$6))</f>
        <v>1.5389274342173849</v>
      </c>
      <c r="AB281" s="39">
        <f>'Degree-days'!$L$12*IF($E281=$E$5,(AB$5),(AB$6))</f>
        <v>0</v>
      </c>
      <c r="AC281" s="39">
        <f>'Degree-days'!$L$12*IF($E281=$E$5,(AC$5),(AC$6))</f>
        <v>0</v>
      </c>
      <c r="AD281" s="39">
        <f>SUM(F281:AC281)</f>
        <v>24.622838947478158</v>
      </c>
    </row>
    <row r="282" spans="4:32" x14ac:dyDescent="0.2">
      <c r="D282" s="37">
        <v>45201</v>
      </c>
      <c r="E282" s="17" t="str">
        <f t="shared" si="11"/>
        <v>weekday</v>
      </c>
      <c r="F282" s="39">
        <f>'Degree-days'!$L$12*IF($E282=$E$5,(F$5),(F$6))</f>
        <v>0</v>
      </c>
      <c r="G282" s="39">
        <f>'Degree-days'!$L$12*IF($E282=$E$5,(G$5),(G$6))</f>
        <v>0</v>
      </c>
      <c r="H282" s="39">
        <f>'Degree-days'!$L$12*IF($E282=$E$5,(H$5),(H$6))</f>
        <v>0</v>
      </c>
      <c r="I282" s="39">
        <f>'Degree-days'!$L$12*IF($E282=$E$5,(I$5),(I$6))</f>
        <v>0</v>
      </c>
      <c r="J282" s="39">
        <f>'Degree-days'!$L$12*IF($E282=$E$5,(J$5),(J$6))</f>
        <v>0</v>
      </c>
      <c r="K282" s="39">
        <f>'Degree-days'!$L$12*IF($E282=$E$5,(K$5),(K$6))</f>
        <v>0</v>
      </c>
      <c r="L282" s="39">
        <f>'Degree-days'!$L$12*IF($E282=$E$5,(L$5),(L$6))</f>
        <v>1.5389274342173849</v>
      </c>
      <c r="M282" s="39">
        <f>'Degree-days'!$L$12*IF($E282=$E$5,(M$5),(M$6))</f>
        <v>1.5389274342173849</v>
      </c>
      <c r="N282" s="39">
        <f>'Degree-days'!$L$12*IF($E282=$E$5,(N$5),(N$6))</f>
        <v>0</v>
      </c>
      <c r="O282" s="39">
        <f>'Degree-days'!$L$12*IF($E282=$E$5,(O$5),(O$6))</f>
        <v>0</v>
      </c>
      <c r="P282" s="39">
        <f>'Degree-days'!$L$12*IF($E282=$E$5,(P$5),(P$6))</f>
        <v>0</v>
      </c>
      <c r="Q282" s="39">
        <f>'Degree-days'!$L$12*IF($E282=$E$5,(Q$5),(Q$6))</f>
        <v>0</v>
      </c>
      <c r="R282" s="39">
        <f>'Degree-days'!$L$12*IF($E282=$E$5,(R$5),(R$6))</f>
        <v>0</v>
      </c>
      <c r="S282" s="39">
        <f>'Degree-days'!$L$12*IF($E282=$E$5,(S$5),(S$6))</f>
        <v>0</v>
      </c>
      <c r="T282" s="39">
        <f>'Degree-days'!$L$12*IF($E282=$E$5,(T$5),(T$6))</f>
        <v>0</v>
      </c>
      <c r="U282" s="39">
        <f>'Degree-days'!$L$12*IF($E282=$E$5,(U$5),(U$6))</f>
        <v>1.5389274342173849</v>
      </c>
      <c r="V282" s="39">
        <f>'Degree-days'!$L$12*IF($E282=$E$5,(V$5),(V$6))</f>
        <v>1.5389274342173849</v>
      </c>
      <c r="W282" s="39">
        <f>'Degree-days'!$L$12*IF($E282=$E$5,(W$5),(W$6))</f>
        <v>1.5389274342173849</v>
      </c>
      <c r="X282" s="39">
        <f>'Degree-days'!$L$12*IF($E282=$E$5,(X$5),(X$6))</f>
        <v>1.5389274342173849</v>
      </c>
      <c r="Y282" s="39">
        <f>'Degree-days'!$L$12*IF($E282=$E$5,(Y$5),(Y$6))</f>
        <v>1.5389274342173849</v>
      </c>
      <c r="Z282" s="39">
        <f>'Degree-days'!$L$12*IF($E282=$E$5,(Z$5),(Z$6))</f>
        <v>1.5389274342173849</v>
      </c>
      <c r="AA282" s="39">
        <f>'Degree-days'!$L$12*IF($E282=$E$5,(AA$5),(AA$6))</f>
        <v>1.5389274342173849</v>
      </c>
      <c r="AB282" s="39">
        <f>'Degree-days'!$L$12*IF($E282=$E$5,(AB$5),(AB$6))</f>
        <v>0</v>
      </c>
      <c r="AC282" s="39">
        <f>'Degree-days'!$L$12*IF($E282=$E$5,(AC$5),(AC$6))</f>
        <v>0</v>
      </c>
      <c r="AD282" s="39">
        <f t="shared" ref="AD282:AD341" si="12">SUM(F282:AC282)</f>
        <v>13.850346907956464</v>
      </c>
    </row>
    <row r="283" spans="4:32" x14ac:dyDescent="0.2">
      <c r="D283" s="37">
        <v>45202</v>
      </c>
      <c r="E283" s="17" t="str">
        <f t="shared" si="11"/>
        <v>weekday</v>
      </c>
      <c r="F283" s="39">
        <f>'Degree-days'!$L$12*IF($E283=$E$5,(F$5),(F$6))</f>
        <v>0</v>
      </c>
      <c r="G283" s="39">
        <f>'Degree-days'!$L$12*IF($E283=$E$5,(G$5),(G$6))</f>
        <v>0</v>
      </c>
      <c r="H283" s="39">
        <f>'Degree-days'!$L$12*IF($E283=$E$5,(H$5),(H$6))</f>
        <v>0</v>
      </c>
      <c r="I283" s="39">
        <f>'Degree-days'!$L$12*IF($E283=$E$5,(I$5),(I$6))</f>
        <v>0</v>
      </c>
      <c r="J283" s="39">
        <f>'Degree-days'!$L$12*IF($E283=$E$5,(J$5),(J$6))</f>
        <v>0</v>
      </c>
      <c r="K283" s="39">
        <f>'Degree-days'!$L$12*IF($E283=$E$5,(K$5),(K$6))</f>
        <v>0</v>
      </c>
      <c r="L283" s="39">
        <f>'Degree-days'!$L$12*IF($E283=$E$5,(L$5),(L$6))</f>
        <v>1.5389274342173849</v>
      </c>
      <c r="M283" s="39">
        <f>'Degree-days'!$L$12*IF($E283=$E$5,(M$5),(M$6))</f>
        <v>1.5389274342173849</v>
      </c>
      <c r="N283" s="39">
        <f>'Degree-days'!$L$12*IF($E283=$E$5,(N$5),(N$6))</f>
        <v>0</v>
      </c>
      <c r="O283" s="39">
        <f>'Degree-days'!$L$12*IF($E283=$E$5,(O$5),(O$6))</f>
        <v>0</v>
      </c>
      <c r="P283" s="39">
        <f>'Degree-days'!$L$12*IF($E283=$E$5,(P$5),(P$6))</f>
        <v>0</v>
      </c>
      <c r="Q283" s="39">
        <f>'Degree-days'!$L$12*IF($E283=$E$5,(Q$5),(Q$6))</f>
        <v>0</v>
      </c>
      <c r="R283" s="39">
        <f>'Degree-days'!$L$12*IF($E283=$E$5,(R$5),(R$6))</f>
        <v>0</v>
      </c>
      <c r="S283" s="39">
        <f>'Degree-days'!$L$12*IF($E283=$E$5,(S$5),(S$6))</f>
        <v>0</v>
      </c>
      <c r="T283" s="39">
        <f>'Degree-days'!$L$12*IF($E283=$E$5,(T$5),(T$6))</f>
        <v>0</v>
      </c>
      <c r="U283" s="39">
        <f>'Degree-days'!$L$12*IF($E283=$E$5,(U$5),(U$6))</f>
        <v>1.5389274342173849</v>
      </c>
      <c r="V283" s="39">
        <f>'Degree-days'!$L$12*IF($E283=$E$5,(V$5),(V$6))</f>
        <v>1.5389274342173849</v>
      </c>
      <c r="W283" s="39">
        <f>'Degree-days'!$L$12*IF($E283=$E$5,(W$5),(W$6))</f>
        <v>1.5389274342173849</v>
      </c>
      <c r="X283" s="39">
        <f>'Degree-days'!$L$12*IF($E283=$E$5,(X$5),(X$6))</f>
        <v>1.5389274342173849</v>
      </c>
      <c r="Y283" s="39">
        <f>'Degree-days'!$L$12*IF($E283=$E$5,(Y$5),(Y$6))</f>
        <v>1.5389274342173849</v>
      </c>
      <c r="Z283" s="39">
        <f>'Degree-days'!$L$12*IF($E283=$E$5,(Z$5),(Z$6))</f>
        <v>1.5389274342173849</v>
      </c>
      <c r="AA283" s="39">
        <f>'Degree-days'!$L$12*IF($E283=$E$5,(AA$5),(AA$6))</f>
        <v>1.5389274342173849</v>
      </c>
      <c r="AB283" s="39">
        <f>'Degree-days'!$L$12*IF($E283=$E$5,(AB$5),(AB$6))</f>
        <v>0</v>
      </c>
      <c r="AC283" s="39">
        <f>'Degree-days'!$L$12*IF($E283=$E$5,(AC$5),(AC$6))</f>
        <v>0</v>
      </c>
      <c r="AD283" s="39">
        <f t="shared" si="12"/>
        <v>13.850346907956464</v>
      </c>
    </row>
    <row r="284" spans="4:32" x14ac:dyDescent="0.2">
      <c r="D284" s="37">
        <v>45203</v>
      </c>
      <c r="E284" s="17" t="str">
        <f t="shared" si="11"/>
        <v>weekday</v>
      </c>
      <c r="F284" s="39">
        <f>'Degree-days'!$L$12*IF($E284=$E$5,(F$5),(F$6))</f>
        <v>0</v>
      </c>
      <c r="G284" s="39">
        <f>'Degree-days'!$L$12*IF($E284=$E$5,(G$5),(G$6))</f>
        <v>0</v>
      </c>
      <c r="H284" s="39">
        <f>'Degree-days'!$L$12*IF($E284=$E$5,(H$5),(H$6))</f>
        <v>0</v>
      </c>
      <c r="I284" s="39">
        <f>'Degree-days'!$L$12*IF($E284=$E$5,(I$5),(I$6))</f>
        <v>0</v>
      </c>
      <c r="J284" s="39">
        <f>'Degree-days'!$L$12*IF($E284=$E$5,(J$5),(J$6))</f>
        <v>0</v>
      </c>
      <c r="K284" s="39">
        <f>'Degree-days'!$L$12*IF($E284=$E$5,(K$5),(K$6))</f>
        <v>0</v>
      </c>
      <c r="L284" s="39">
        <f>'Degree-days'!$L$12*IF($E284=$E$5,(L$5),(L$6))</f>
        <v>1.5389274342173849</v>
      </c>
      <c r="M284" s="39">
        <f>'Degree-days'!$L$12*IF($E284=$E$5,(M$5),(M$6))</f>
        <v>1.5389274342173849</v>
      </c>
      <c r="N284" s="39">
        <f>'Degree-days'!$L$12*IF($E284=$E$5,(N$5),(N$6))</f>
        <v>0</v>
      </c>
      <c r="O284" s="39">
        <f>'Degree-days'!$L$12*IF($E284=$E$5,(O$5),(O$6))</f>
        <v>0</v>
      </c>
      <c r="P284" s="39">
        <f>'Degree-days'!$L$12*IF($E284=$E$5,(P$5),(P$6))</f>
        <v>0</v>
      </c>
      <c r="Q284" s="39">
        <f>'Degree-days'!$L$12*IF($E284=$E$5,(Q$5),(Q$6))</f>
        <v>0</v>
      </c>
      <c r="R284" s="39">
        <f>'Degree-days'!$L$12*IF($E284=$E$5,(R$5),(R$6))</f>
        <v>0</v>
      </c>
      <c r="S284" s="39">
        <f>'Degree-days'!$L$12*IF($E284=$E$5,(S$5),(S$6))</f>
        <v>0</v>
      </c>
      <c r="T284" s="39">
        <f>'Degree-days'!$L$12*IF($E284=$E$5,(T$5),(T$6))</f>
        <v>0</v>
      </c>
      <c r="U284" s="39">
        <f>'Degree-days'!$L$12*IF($E284=$E$5,(U$5),(U$6))</f>
        <v>1.5389274342173849</v>
      </c>
      <c r="V284" s="39">
        <f>'Degree-days'!$L$12*IF($E284=$E$5,(V$5),(V$6))</f>
        <v>1.5389274342173849</v>
      </c>
      <c r="W284" s="39">
        <f>'Degree-days'!$L$12*IF($E284=$E$5,(W$5),(W$6))</f>
        <v>1.5389274342173849</v>
      </c>
      <c r="X284" s="39">
        <f>'Degree-days'!$L$12*IF($E284=$E$5,(X$5),(X$6))</f>
        <v>1.5389274342173849</v>
      </c>
      <c r="Y284" s="39">
        <f>'Degree-days'!$L$12*IF($E284=$E$5,(Y$5),(Y$6))</f>
        <v>1.5389274342173849</v>
      </c>
      <c r="Z284" s="39">
        <f>'Degree-days'!$L$12*IF($E284=$E$5,(Z$5),(Z$6))</f>
        <v>1.5389274342173849</v>
      </c>
      <c r="AA284" s="39">
        <f>'Degree-days'!$L$12*IF($E284=$E$5,(AA$5),(AA$6))</f>
        <v>1.5389274342173849</v>
      </c>
      <c r="AB284" s="39">
        <f>'Degree-days'!$L$12*IF($E284=$E$5,(AB$5),(AB$6))</f>
        <v>0</v>
      </c>
      <c r="AC284" s="39">
        <f>'Degree-days'!$L$12*IF($E284=$E$5,(AC$5),(AC$6))</f>
        <v>0</v>
      </c>
      <c r="AD284" s="39">
        <f t="shared" si="12"/>
        <v>13.850346907956464</v>
      </c>
    </row>
    <row r="285" spans="4:32" x14ac:dyDescent="0.2">
      <c r="D285" s="37">
        <v>45204</v>
      </c>
      <c r="E285" s="17" t="str">
        <f t="shared" si="11"/>
        <v>weekday</v>
      </c>
      <c r="F285" s="39">
        <f>'Degree-days'!$L$12*IF($E285=$E$5,(F$5),(F$6))</f>
        <v>0</v>
      </c>
      <c r="G285" s="39">
        <f>'Degree-days'!$L$12*IF($E285=$E$5,(G$5),(G$6))</f>
        <v>0</v>
      </c>
      <c r="H285" s="39">
        <f>'Degree-days'!$L$12*IF($E285=$E$5,(H$5),(H$6))</f>
        <v>0</v>
      </c>
      <c r="I285" s="39">
        <f>'Degree-days'!$L$12*IF($E285=$E$5,(I$5),(I$6))</f>
        <v>0</v>
      </c>
      <c r="J285" s="39">
        <f>'Degree-days'!$L$12*IF($E285=$E$5,(J$5),(J$6))</f>
        <v>0</v>
      </c>
      <c r="K285" s="39">
        <f>'Degree-days'!$L$12*IF($E285=$E$5,(K$5),(K$6))</f>
        <v>0</v>
      </c>
      <c r="L285" s="39">
        <f>'Degree-days'!$L$12*IF($E285=$E$5,(L$5),(L$6))</f>
        <v>1.5389274342173849</v>
      </c>
      <c r="M285" s="39">
        <f>'Degree-days'!$L$12*IF($E285=$E$5,(M$5),(M$6))</f>
        <v>1.5389274342173849</v>
      </c>
      <c r="N285" s="39">
        <f>'Degree-days'!$L$12*IF($E285=$E$5,(N$5),(N$6))</f>
        <v>0</v>
      </c>
      <c r="O285" s="39">
        <f>'Degree-days'!$L$12*IF($E285=$E$5,(O$5),(O$6))</f>
        <v>0</v>
      </c>
      <c r="P285" s="39">
        <f>'Degree-days'!$L$12*IF($E285=$E$5,(P$5),(P$6))</f>
        <v>0</v>
      </c>
      <c r="Q285" s="39">
        <f>'Degree-days'!$L$12*IF($E285=$E$5,(Q$5),(Q$6))</f>
        <v>0</v>
      </c>
      <c r="R285" s="39">
        <f>'Degree-days'!$L$12*IF($E285=$E$5,(R$5),(R$6))</f>
        <v>0</v>
      </c>
      <c r="S285" s="39">
        <f>'Degree-days'!$L$12*IF($E285=$E$5,(S$5),(S$6))</f>
        <v>0</v>
      </c>
      <c r="T285" s="39">
        <f>'Degree-days'!$L$12*IF($E285=$E$5,(T$5),(T$6))</f>
        <v>0</v>
      </c>
      <c r="U285" s="39">
        <f>'Degree-days'!$L$12*IF($E285=$E$5,(U$5),(U$6))</f>
        <v>1.5389274342173849</v>
      </c>
      <c r="V285" s="39">
        <f>'Degree-days'!$L$12*IF($E285=$E$5,(V$5),(V$6))</f>
        <v>1.5389274342173849</v>
      </c>
      <c r="W285" s="39">
        <f>'Degree-days'!$L$12*IF($E285=$E$5,(W$5),(W$6))</f>
        <v>1.5389274342173849</v>
      </c>
      <c r="X285" s="39">
        <f>'Degree-days'!$L$12*IF($E285=$E$5,(X$5),(X$6))</f>
        <v>1.5389274342173849</v>
      </c>
      <c r="Y285" s="39">
        <f>'Degree-days'!$L$12*IF($E285=$E$5,(Y$5),(Y$6))</f>
        <v>1.5389274342173849</v>
      </c>
      <c r="Z285" s="39">
        <f>'Degree-days'!$L$12*IF($E285=$E$5,(Z$5),(Z$6))</f>
        <v>1.5389274342173849</v>
      </c>
      <c r="AA285" s="39">
        <f>'Degree-days'!$L$12*IF($E285=$E$5,(AA$5),(AA$6))</f>
        <v>1.5389274342173849</v>
      </c>
      <c r="AB285" s="39">
        <f>'Degree-days'!$L$12*IF($E285=$E$5,(AB$5),(AB$6))</f>
        <v>0</v>
      </c>
      <c r="AC285" s="39">
        <f>'Degree-days'!$L$12*IF($E285=$E$5,(AC$5),(AC$6))</f>
        <v>0</v>
      </c>
      <c r="AD285" s="39">
        <f t="shared" si="12"/>
        <v>13.850346907956464</v>
      </c>
    </row>
    <row r="286" spans="4:32" x14ac:dyDescent="0.2">
      <c r="D286" s="37">
        <v>45205</v>
      </c>
      <c r="E286" s="17" t="str">
        <f t="shared" si="11"/>
        <v>weekday</v>
      </c>
      <c r="F286" s="39">
        <f>'Degree-days'!$L$12*IF($E286=$E$5,(F$5),(F$6))</f>
        <v>0</v>
      </c>
      <c r="G286" s="39">
        <f>'Degree-days'!$L$12*IF($E286=$E$5,(G$5),(G$6))</f>
        <v>0</v>
      </c>
      <c r="H286" s="39">
        <f>'Degree-days'!$L$12*IF($E286=$E$5,(H$5),(H$6))</f>
        <v>0</v>
      </c>
      <c r="I286" s="39">
        <f>'Degree-days'!$L$12*IF($E286=$E$5,(I$5),(I$6))</f>
        <v>0</v>
      </c>
      <c r="J286" s="39">
        <f>'Degree-days'!$L$12*IF($E286=$E$5,(J$5),(J$6))</f>
        <v>0</v>
      </c>
      <c r="K286" s="39">
        <f>'Degree-days'!$L$12*IF($E286=$E$5,(K$5),(K$6))</f>
        <v>0</v>
      </c>
      <c r="L286" s="39">
        <f>'Degree-days'!$L$12*IF($E286=$E$5,(L$5),(L$6))</f>
        <v>1.5389274342173849</v>
      </c>
      <c r="M286" s="39">
        <f>'Degree-days'!$L$12*IF($E286=$E$5,(M$5),(M$6))</f>
        <v>1.5389274342173849</v>
      </c>
      <c r="N286" s="39">
        <f>'Degree-days'!$L$12*IF($E286=$E$5,(N$5),(N$6))</f>
        <v>0</v>
      </c>
      <c r="O286" s="39">
        <f>'Degree-days'!$L$12*IF($E286=$E$5,(O$5),(O$6))</f>
        <v>0</v>
      </c>
      <c r="P286" s="39">
        <f>'Degree-days'!$L$12*IF($E286=$E$5,(P$5),(P$6))</f>
        <v>0</v>
      </c>
      <c r="Q286" s="39">
        <f>'Degree-days'!$L$12*IF($E286=$E$5,(Q$5),(Q$6))</f>
        <v>0</v>
      </c>
      <c r="R286" s="39">
        <f>'Degree-days'!$L$12*IF($E286=$E$5,(R$5),(R$6))</f>
        <v>0</v>
      </c>
      <c r="S286" s="39">
        <f>'Degree-days'!$L$12*IF($E286=$E$5,(S$5),(S$6))</f>
        <v>0</v>
      </c>
      <c r="T286" s="39">
        <f>'Degree-days'!$L$12*IF($E286=$E$5,(T$5),(T$6))</f>
        <v>0</v>
      </c>
      <c r="U286" s="39">
        <f>'Degree-days'!$L$12*IF($E286=$E$5,(U$5),(U$6))</f>
        <v>1.5389274342173849</v>
      </c>
      <c r="V286" s="39">
        <f>'Degree-days'!$L$12*IF($E286=$E$5,(V$5),(V$6))</f>
        <v>1.5389274342173849</v>
      </c>
      <c r="W286" s="39">
        <f>'Degree-days'!$L$12*IF($E286=$E$5,(W$5),(W$6))</f>
        <v>1.5389274342173849</v>
      </c>
      <c r="X286" s="39">
        <f>'Degree-days'!$L$12*IF($E286=$E$5,(X$5),(X$6))</f>
        <v>1.5389274342173849</v>
      </c>
      <c r="Y286" s="39">
        <f>'Degree-days'!$L$12*IF($E286=$E$5,(Y$5),(Y$6))</f>
        <v>1.5389274342173849</v>
      </c>
      <c r="Z286" s="39">
        <f>'Degree-days'!$L$12*IF($E286=$E$5,(Z$5),(Z$6))</f>
        <v>1.5389274342173849</v>
      </c>
      <c r="AA286" s="39">
        <f>'Degree-days'!$L$12*IF($E286=$E$5,(AA$5),(AA$6))</f>
        <v>1.5389274342173849</v>
      </c>
      <c r="AB286" s="39">
        <f>'Degree-days'!$L$12*IF($E286=$E$5,(AB$5),(AB$6))</f>
        <v>0</v>
      </c>
      <c r="AC286" s="39">
        <f>'Degree-days'!$L$12*IF($E286=$E$5,(AC$5),(AC$6))</f>
        <v>0</v>
      </c>
      <c r="AD286" s="39">
        <f t="shared" si="12"/>
        <v>13.850346907956464</v>
      </c>
    </row>
    <row r="287" spans="4:32" x14ac:dyDescent="0.2">
      <c r="D287" s="37">
        <v>45206</v>
      </c>
      <c r="E287" s="17" t="str">
        <f t="shared" si="11"/>
        <v>weekend</v>
      </c>
      <c r="F287" s="39">
        <f>'Degree-days'!$L$12*IF($E287=$E$5,(F$5),(F$6))</f>
        <v>0</v>
      </c>
      <c r="G287" s="39">
        <f>'Degree-days'!$L$12*IF($E287=$E$5,(G$5),(G$6))</f>
        <v>0</v>
      </c>
      <c r="H287" s="39">
        <f>'Degree-days'!$L$12*IF($E287=$E$5,(H$5),(H$6))</f>
        <v>0</v>
      </c>
      <c r="I287" s="39">
        <f>'Degree-days'!$L$12*IF($E287=$E$5,(I$5),(I$6))</f>
        <v>0</v>
      </c>
      <c r="J287" s="39">
        <f>'Degree-days'!$L$12*IF($E287=$E$5,(J$5),(J$6))</f>
        <v>0</v>
      </c>
      <c r="K287" s="39">
        <f>'Degree-days'!$L$12*IF($E287=$E$5,(K$5),(K$6))</f>
        <v>0</v>
      </c>
      <c r="L287" s="39">
        <f>'Degree-days'!$L$12*IF($E287=$E$5,(L$5),(L$6))</f>
        <v>1.5389274342173849</v>
      </c>
      <c r="M287" s="39">
        <f>'Degree-days'!$L$12*IF($E287=$E$5,(M$5),(M$6))</f>
        <v>1.5389274342173849</v>
      </c>
      <c r="N287" s="39">
        <f>'Degree-days'!$L$12*IF($E287=$E$5,(N$5),(N$6))</f>
        <v>1.5389274342173849</v>
      </c>
      <c r="O287" s="39">
        <f>'Degree-days'!$L$12*IF($E287=$E$5,(O$5),(O$6))</f>
        <v>1.5389274342173849</v>
      </c>
      <c r="P287" s="39">
        <f>'Degree-days'!$L$12*IF($E287=$E$5,(P$5),(P$6))</f>
        <v>1.5389274342173849</v>
      </c>
      <c r="Q287" s="39">
        <f>'Degree-days'!$L$12*IF($E287=$E$5,(Q$5),(Q$6))</f>
        <v>1.5389274342173849</v>
      </c>
      <c r="R287" s="39">
        <f>'Degree-days'!$L$12*IF($E287=$E$5,(R$5),(R$6))</f>
        <v>1.5389274342173849</v>
      </c>
      <c r="S287" s="39">
        <f>'Degree-days'!$L$12*IF($E287=$E$5,(S$5),(S$6))</f>
        <v>1.5389274342173849</v>
      </c>
      <c r="T287" s="39">
        <f>'Degree-days'!$L$12*IF($E287=$E$5,(T$5),(T$6))</f>
        <v>1.5389274342173849</v>
      </c>
      <c r="U287" s="39">
        <f>'Degree-days'!$L$12*IF($E287=$E$5,(U$5),(U$6))</f>
        <v>1.5389274342173849</v>
      </c>
      <c r="V287" s="39">
        <f>'Degree-days'!$L$12*IF($E287=$E$5,(V$5),(V$6))</f>
        <v>1.5389274342173849</v>
      </c>
      <c r="W287" s="39">
        <f>'Degree-days'!$L$12*IF($E287=$E$5,(W$5),(W$6))</f>
        <v>1.5389274342173849</v>
      </c>
      <c r="X287" s="39">
        <f>'Degree-days'!$L$12*IF($E287=$E$5,(X$5),(X$6))</f>
        <v>1.5389274342173849</v>
      </c>
      <c r="Y287" s="39">
        <f>'Degree-days'!$L$12*IF($E287=$E$5,(Y$5),(Y$6))</f>
        <v>1.5389274342173849</v>
      </c>
      <c r="Z287" s="39">
        <f>'Degree-days'!$L$12*IF($E287=$E$5,(Z$5),(Z$6))</f>
        <v>1.5389274342173849</v>
      </c>
      <c r="AA287" s="39">
        <f>'Degree-days'!$L$12*IF($E287=$E$5,(AA$5),(AA$6))</f>
        <v>1.5389274342173849</v>
      </c>
      <c r="AB287" s="39">
        <f>'Degree-days'!$L$12*IF($E287=$E$5,(AB$5),(AB$6))</f>
        <v>0</v>
      </c>
      <c r="AC287" s="39">
        <f>'Degree-days'!$L$12*IF($E287=$E$5,(AC$5),(AC$6))</f>
        <v>0</v>
      </c>
      <c r="AD287" s="39">
        <f t="shared" si="12"/>
        <v>24.622838947478158</v>
      </c>
    </row>
    <row r="288" spans="4:32" x14ac:dyDescent="0.2">
      <c r="D288" s="37">
        <v>45207</v>
      </c>
      <c r="E288" s="17" t="str">
        <f t="shared" si="11"/>
        <v>weekend</v>
      </c>
      <c r="F288" s="39">
        <f>'Degree-days'!$L$12*IF($E288=$E$5,(F$5),(F$6))</f>
        <v>0</v>
      </c>
      <c r="G288" s="39">
        <f>'Degree-days'!$L$12*IF($E288=$E$5,(G$5),(G$6))</f>
        <v>0</v>
      </c>
      <c r="H288" s="39">
        <f>'Degree-days'!$L$12*IF($E288=$E$5,(H$5),(H$6))</f>
        <v>0</v>
      </c>
      <c r="I288" s="39">
        <f>'Degree-days'!$L$12*IF($E288=$E$5,(I$5),(I$6))</f>
        <v>0</v>
      </c>
      <c r="J288" s="39">
        <f>'Degree-days'!$L$12*IF($E288=$E$5,(J$5),(J$6))</f>
        <v>0</v>
      </c>
      <c r="K288" s="39">
        <f>'Degree-days'!$L$12*IF($E288=$E$5,(K$5),(K$6))</f>
        <v>0</v>
      </c>
      <c r="L288" s="39">
        <f>'Degree-days'!$L$12*IF($E288=$E$5,(L$5),(L$6))</f>
        <v>1.5389274342173849</v>
      </c>
      <c r="M288" s="39">
        <f>'Degree-days'!$L$12*IF($E288=$E$5,(M$5),(M$6))</f>
        <v>1.5389274342173849</v>
      </c>
      <c r="N288" s="39">
        <f>'Degree-days'!$L$12*IF($E288=$E$5,(N$5),(N$6))</f>
        <v>1.5389274342173849</v>
      </c>
      <c r="O288" s="39">
        <f>'Degree-days'!$L$12*IF($E288=$E$5,(O$5),(O$6))</f>
        <v>1.5389274342173849</v>
      </c>
      <c r="P288" s="39">
        <f>'Degree-days'!$L$12*IF($E288=$E$5,(P$5),(P$6))</f>
        <v>1.5389274342173849</v>
      </c>
      <c r="Q288" s="39">
        <f>'Degree-days'!$L$12*IF($E288=$E$5,(Q$5),(Q$6))</f>
        <v>1.5389274342173849</v>
      </c>
      <c r="R288" s="39">
        <f>'Degree-days'!$L$12*IF($E288=$E$5,(R$5),(R$6))</f>
        <v>1.5389274342173849</v>
      </c>
      <c r="S288" s="39">
        <f>'Degree-days'!$L$12*IF($E288=$E$5,(S$5),(S$6))</f>
        <v>1.5389274342173849</v>
      </c>
      <c r="T288" s="39">
        <f>'Degree-days'!$L$12*IF($E288=$E$5,(T$5),(T$6))</f>
        <v>1.5389274342173849</v>
      </c>
      <c r="U288" s="39">
        <f>'Degree-days'!$L$12*IF($E288=$E$5,(U$5),(U$6))</f>
        <v>1.5389274342173849</v>
      </c>
      <c r="V288" s="39">
        <f>'Degree-days'!$L$12*IF($E288=$E$5,(V$5),(V$6))</f>
        <v>1.5389274342173849</v>
      </c>
      <c r="W288" s="39">
        <f>'Degree-days'!$L$12*IF($E288=$E$5,(W$5),(W$6))</f>
        <v>1.5389274342173849</v>
      </c>
      <c r="X288" s="39">
        <f>'Degree-days'!$L$12*IF($E288=$E$5,(X$5),(X$6))</f>
        <v>1.5389274342173849</v>
      </c>
      <c r="Y288" s="39">
        <f>'Degree-days'!$L$12*IF($E288=$E$5,(Y$5),(Y$6))</f>
        <v>1.5389274342173849</v>
      </c>
      <c r="Z288" s="39">
        <f>'Degree-days'!$L$12*IF($E288=$E$5,(Z$5),(Z$6))</f>
        <v>1.5389274342173849</v>
      </c>
      <c r="AA288" s="39">
        <f>'Degree-days'!$L$12*IF($E288=$E$5,(AA$5),(AA$6))</f>
        <v>1.5389274342173849</v>
      </c>
      <c r="AB288" s="39">
        <f>'Degree-days'!$L$12*IF($E288=$E$5,(AB$5),(AB$6))</f>
        <v>0</v>
      </c>
      <c r="AC288" s="39">
        <f>'Degree-days'!$L$12*IF($E288=$E$5,(AC$5),(AC$6))</f>
        <v>0</v>
      </c>
      <c r="AD288" s="39">
        <f t="shared" si="12"/>
        <v>24.622838947478158</v>
      </c>
    </row>
    <row r="289" spans="4:30" x14ac:dyDescent="0.2">
      <c r="D289" s="37">
        <v>45208</v>
      </c>
      <c r="E289" s="17" t="str">
        <f t="shared" si="11"/>
        <v>weekday</v>
      </c>
      <c r="F289" s="39">
        <f>'Degree-days'!$L$12*IF($E289=$E$5,(F$5),(F$6))</f>
        <v>0</v>
      </c>
      <c r="G289" s="39">
        <f>'Degree-days'!$L$12*IF($E289=$E$5,(G$5),(G$6))</f>
        <v>0</v>
      </c>
      <c r="H289" s="39">
        <f>'Degree-days'!$L$12*IF($E289=$E$5,(H$5),(H$6))</f>
        <v>0</v>
      </c>
      <c r="I289" s="39">
        <f>'Degree-days'!$L$12*IF($E289=$E$5,(I$5),(I$6))</f>
        <v>0</v>
      </c>
      <c r="J289" s="39">
        <f>'Degree-days'!$L$12*IF($E289=$E$5,(J$5),(J$6))</f>
        <v>0</v>
      </c>
      <c r="K289" s="39">
        <f>'Degree-days'!$L$12*IF($E289=$E$5,(K$5),(K$6))</f>
        <v>0</v>
      </c>
      <c r="L289" s="39">
        <f>'Degree-days'!$L$12*IF($E289=$E$5,(L$5),(L$6))</f>
        <v>1.5389274342173849</v>
      </c>
      <c r="M289" s="39">
        <f>'Degree-days'!$L$12*IF($E289=$E$5,(M$5),(M$6))</f>
        <v>1.5389274342173849</v>
      </c>
      <c r="N289" s="39">
        <f>'Degree-days'!$L$12*IF($E289=$E$5,(N$5),(N$6))</f>
        <v>0</v>
      </c>
      <c r="O289" s="39">
        <f>'Degree-days'!$L$12*IF($E289=$E$5,(O$5),(O$6))</f>
        <v>0</v>
      </c>
      <c r="P289" s="39">
        <f>'Degree-days'!$L$12*IF($E289=$E$5,(P$5),(P$6))</f>
        <v>0</v>
      </c>
      <c r="Q289" s="39">
        <f>'Degree-days'!$L$12*IF($E289=$E$5,(Q$5),(Q$6))</f>
        <v>0</v>
      </c>
      <c r="R289" s="39">
        <f>'Degree-days'!$L$12*IF($E289=$E$5,(R$5),(R$6))</f>
        <v>0</v>
      </c>
      <c r="S289" s="39">
        <f>'Degree-days'!$L$12*IF($E289=$E$5,(S$5),(S$6))</f>
        <v>0</v>
      </c>
      <c r="T289" s="39">
        <f>'Degree-days'!$L$12*IF($E289=$E$5,(T$5),(T$6))</f>
        <v>0</v>
      </c>
      <c r="U289" s="39">
        <f>'Degree-days'!$L$12*IF($E289=$E$5,(U$5),(U$6))</f>
        <v>1.5389274342173849</v>
      </c>
      <c r="V289" s="39">
        <f>'Degree-days'!$L$12*IF($E289=$E$5,(V$5),(V$6))</f>
        <v>1.5389274342173849</v>
      </c>
      <c r="W289" s="39">
        <f>'Degree-days'!$L$12*IF($E289=$E$5,(W$5),(W$6))</f>
        <v>1.5389274342173849</v>
      </c>
      <c r="X289" s="39">
        <f>'Degree-days'!$L$12*IF($E289=$E$5,(X$5),(X$6))</f>
        <v>1.5389274342173849</v>
      </c>
      <c r="Y289" s="39">
        <f>'Degree-days'!$L$12*IF($E289=$E$5,(Y$5),(Y$6))</f>
        <v>1.5389274342173849</v>
      </c>
      <c r="Z289" s="39">
        <f>'Degree-days'!$L$12*IF($E289=$E$5,(Z$5),(Z$6))</f>
        <v>1.5389274342173849</v>
      </c>
      <c r="AA289" s="39">
        <f>'Degree-days'!$L$12*IF($E289=$E$5,(AA$5),(AA$6))</f>
        <v>1.5389274342173849</v>
      </c>
      <c r="AB289" s="39">
        <f>'Degree-days'!$L$12*IF($E289=$E$5,(AB$5),(AB$6))</f>
        <v>0</v>
      </c>
      <c r="AC289" s="39">
        <f>'Degree-days'!$L$12*IF($E289=$E$5,(AC$5),(AC$6))</f>
        <v>0</v>
      </c>
      <c r="AD289" s="39">
        <f t="shared" si="12"/>
        <v>13.850346907956464</v>
      </c>
    </row>
    <row r="290" spans="4:30" x14ac:dyDescent="0.2">
      <c r="D290" s="37">
        <v>45209</v>
      </c>
      <c r="E290" s="17" t="str">
        <f t="shared" si="11"/>
        <v>weekday</v>
      </c>
      <c r="F290" s="39">
        <f>'Degree-days'!$L$12*IF($E290=$E$5,(F$5),(F$6))</f>
        <v>0</v>
      </c>
      <c r="G290" s="39">
        <f>'Degree-days'!$L$12*IF($E290=$E$5,(G$5),(G$6))</f>
        <v>0</v>
      </c>
      <c r="H290" s="39">
        <f>'Degree-days'!$L$12*IF($E290=$E$5,(H$5),(H$6))</f>
        <v>0</v>
      </c>
      <c r="I290" s="39">
        <f>'Degree-days'!$L$12*IF($E290=$E$5,(I$5),(I$6))</f>
        <v>0</v>
      </c>
      <c r="J290" s="39">
        <f>'Degree-days'!$L$12*IF($E290=$E$5,(J$5),(J$6))</f>
        <v>0</v>
      </c>
      <c r="K290" s="39">
        <f>'Degree-days'!$L$12*IF($E290=$E$5,(K$5),(K$6))</f>
        <v>0</v>
      </c>
      <c r="L290" s="39">
        <f>'Degree-days'!$L$12*IF($E290=$E$5,(L$5),(L$6))</f>
        <v>1.5389274342173849</v>
      </c>
      <c r="M290" s="39">
        <f>'Degree-days'!$L$12*IF($E290=$E$5,(M$5),(M$6))</f>
        <v>1.5389274342173849</v>
      </c>
      <c r="N290" s="39">
        <f>'Degree-days'!$L$12*IF($E290=$E$5,(N$5),(N$6))</f>
        <v>0</v>
      </c>
      <c r="O290" s="39">
        <f>'Degree-days'!$L$12*IF($E290=$E$5,(O$5),(O$6))</f>
        <v>0</v>
      </c>
      <c r="P290" s="39">
        <f>'Degree-days'!$L$12*IF($E290=$E$5,(P$5),(P$6))</f>
        <v>0</v>
      </c>
      <c r="Q290" s="39">
        <f>'Degree-days'!$L$12*IF($E290=$E$5,(Q$5),(Q$6))</f>
        <v>0</v>
      </c>
      <c r="R290" s="39">
        <f>'Degree-days'!$L$12*IF($E290=$E$5,(R$5),(R$6))</f>
        <v>0</v>
      </c>
      <c r="S290" s="39">
        <f>'Degree-days'!$L$12*IF($E290=$E$5,(S$5),(S$6))</f>
        <v>0</v>
      </c>
      <c r="T290" s="39">
        <f>'Degree-days'!$L$12*IF($E290=$E$5,(T$5),(T$6))</f>
        <v>0</v>
      </c>
      <c r="U290" s="39">
        <f>'Degree-days'!$L$12*IF($E290=$E$5,(U$5),(U$6))</f>
        <v>1.5389274342173849</v>
      </c>
      <c r="V290" s="39">
        <f>'Degree-days'!$L$12*IF($E290=$E$5,(V$5),(V$6))</f>
        <v>1.5389274342173849</v>
      </c>
      <c r="W290" s="39">
        <f>'Degree-days'!$L$12*IF($E290=$E$5,(W$5),(W$6))</f>
        <v>1.5389274342173849</v>
      </c>
      <c r="X290" s="39">
        <f>'Degree-days'!$L$12*IF($E290=$E$5,(X$5),(X$6))</f>
        <v>1.5389274342173849</v>
      </c>
      <c r="Y290" s="39">
        <f>'Degree-days'!$L$12*IF($E290=$E$5,(Y$5),(Y$6))</f>
        <v>1.5389274342173849</v>
      </c>
      <c r="Z290" s="39">
        <f>'Degree-days'!$L$12*IF($E290=$E$5,(Z$5),(Z$6))</f>
        <v>1.5389274342173849</v>
      </c>
      <c r="AA290" s="39">
        <f>'Degree-days'!$L$12*IF($E290=$E$5,(AA$5),(AA$6))</f>
        <v>1.5389274342173849</v>
      </c>
      <c r="AB290" s="39">
        <f>'Degree-days'!$L$12*IF($E290=$E$5,(AB$5),(AB$6))</f>
        <v>0</v>
      </c>
      <c r="AC290" s="39">
        <f>'Degree-days'!$L$12*IF($E290=$E$5,(AC$5),(AC$6))</f>
        <v>0</v>
      </c>
      <c r="AD290" s="39">
        <f t="shared" si="12"/>
        <v>13.850346907956464</v>
      </c>
    </row>
    <row r="291" spans="4:30" x14ac:dyDescent="0.2">
      <c r="D291" s="37">
        <v>45210</v>
      </c>
      <c r="E291" s="17" t="str">
        <f t="shared" si="11"/>
        <v>weekday</v>
      </c>
      <c r="F291" s="39">
        <f>'Degree-days'!$L$12*IF($E291=$E$5,(F$5),(F$6))</f>
        <v>0</v>
      </c>
      <c r="G291" s="39">
        <f>'Degree-days'!$L$12*IF($E291=$E$5,(G$5),(G$6))</f>
        <v>0</v>
      </c>
      <c r="H291" s="39">
        <f>'Degree-days'!$L$12*IF($E291=$E$5,(H$5),(H$6))</f>
        <v>0</v>
      </c>
      <c r="I291" s="39">
        <f>'Degree-days'!$L$12*IF($E291=$E$5,(I$5),(I$6))</f>
        <v>0</v>
      </c>
      <c r="J291" s="39">
        <f>'Degree-days'!$L$12*IF($E291=$E$5,(J$5),(J$6))</f>
        <v>0</v>
      </c>
      <c r="K291" s="39">
        <f>'Degree-days'!$L$12*IF($E291=$E$5,(K$5),(K$6))</f>
        <v>0</v>
      </c>
      <c r="L291" s="39">
        <f>'Degree-days'!$L$12*IF($E291=$E$5,(L$5),(L$6))</f>
        <v>1.5389274342173849</v>
      </c>
      <c r="M291" s="39">
        <f>'Degree-days'!$L$12*IF($E291=$E$5,(M$5),(M$6))</f>
        <v>1.5389274342173849</v>
      </c>
      <c r="N291" s="39">
        <f>'Degree-days'!$L$12*IF($E291=$E$5,(N$5),(N$6))</f>
        <v>0</v>
      </c>
      <c r="O291" s="39">
        <f>'Degree-days'!$L$12*IF($E291=$E$5,(O$5),(O$6))</f>
        <v>0</v>
      </c>
      <c r="P291" s="39">
        <f>'Degree-days'!$L$12*IF($E291=$E$5,(P$5),(P$6))</f>
        <v>0</v>
      </c>
      <c r="Q291" s="39">
        <f>'Degree-days'!$L$12*IF($E291=$E$5,(Q$5),(Q$6))</f>
        <v>0</v>
      </c>
      <c r="R291" s="39">
        <f>'Degree-days'!$L$12*IF($E291=$E$5,(R$5),(R$6))</f>
        <v>0</v>
      </c>
      <c r="S291" s="39">
        <f>'Degree-days'!$L$12*IF($E291=$E$5,(S$5),(S$6))</f>
        <v>0</v>
      </c>
      <c r="T291" s="39">
        <f>'Degree-days'!$L$12*IF($E291=$E$5,(T$5),(T$6))</f>
        <v>0</v>
      </c>
      <c r="U291" s="39">
        <f>'Degree-days'!$L$12*IF($E291=$E$5,(U$5),(U$6))</f>
        <v>1.5389274342173849</v>
      </c>
      <c r="V291" s="39">
        <f>'Degree-days'!$L$12*IF($E291=$E$5,(V$5),(V$6))</f>
        <v>1.5389274342173849</v>
      </c>
      <c r="W291" s="39">
        <f>'Degree-days'!$L$12*IF($E291=$E$5,(W$5),(W$6))</f>
        <v>1.5389274342173849</v>
      </c>
      <c r="X291" s="39">
        <f>'Degree-days'!$L$12*IF($E291=$E$5,(X$5),(X$6))</f>
        <v>1.5389274342173849</v>
      </c>
      <c r="Y291" s="39">
        <f>'Degree-days'!$L$12*IF($E291=$E$5,(Y$5),(Y$6))</f>
        <v>1.5389274342173849</v>
      </c>
      <c r="Z291" s="39">
        <f>'Degree-days'!$L$12*IF($E291=$E$5,(Z$5),(Z$6))</f>
        <v>1.5389274342173849</v>
      </c>
      <c r="AA291" s="39">
        <f>'Degree-days'!$L$12*IF($E291=$E$5,(AA$5),(AA$6))</f>
        <v>1.5389274342173849</v>
      </c>
      <c r="AB291" s="39">
        <f>'Degree-days'!$L$12*IF($E291=$E$5,(AB$5),(AB$6))</f>
        <v>0</v>
      </c>
      <c r="AC291" s="39">
        <f>'Degree-days'!$L$12*IF($E291=$E$5,(AC$5),(AC$6))</f>
        <v>0</v>
      </c>
      <c r="AD291" s="39">
        <f t="shared" si="12"/>
        <v>13.850346907956464</v>
      </c>
    </row>
    <row r="292" spans="4:30" x14ac:dyDescent="0.2">
      <c r="D292" s="37">
        <v>45211</v>
      </c>
      <c r="E292" s="17" t="str">
        <f t="shared" si="11"/>
        <v>weekday</v>
      </c>
      <c r="F292" s="39">
        <f>'Degree-days'!$L$12*IF($E292=$E$5,(F$5),(F$6))</f>
        <v>0</v>
      </c>
      <c r="G292" s="39">
        <f>'Degree-days'!$L$12*IF($E292=$E$5,(G$5),(G$6))</f>
        <v>0</v>
      </c>
      <c r="H292" s="39">
        <f>'Degree-days'!$L$12*IF($E292=$E$5,(H$5),(H$6))</f>
        <v>0</v>
      </c>
      <c r="I292" s="39">
        <f>'Degree-days'!$L$12*IF($E292=$E$5,(I$5),(I$6))</f>
        <v>0</v>
      </c>
      <c r="J292" s="39">
        <f>'Degree-days'!$L$12*IF($E292=$E$5,(J$5),(J$6))</f>
        <v>0</v>
      </c>
      <c r="K292" s="39">
        <f>'Degree-days'!$L$12*IF($E292=$E$5,(K$5),(K$6))</f>
        <v>0</v>
      </c>
      <c r="L292" s="39">
        <f>'Degree-days'!$L$12*IF($E292=$E$5,(L$5),(L$6))</f>
        <v>1.5389274342173849</v>
      </c>
      <c r="M292" s="39">
        <f>'Degree-days'!$L$12*IF($E292=$E$5,(M$5),(M$6))</f>
        <v>1.5389274342173849</v>
      </c>
      <c r="N292" s="39">
        <f>'Degree-days'!$L$12*IF($E292=$E$5,(N$5),(N$6))</f>
        <v>0</v>
      </c>
      <c r="O292" s="39">
        <f>'Degree-days'!$L$12*IF($E292=$E$5,(O$5),(O$6))</f>
        <v>0</v>
      </c>
      <c r="P292" s="39">
        <f>'Degree-days'!$L$12*IF($E292=$E$5,(P$5),(P$6))</f>
        <v>0</v>
      </c>
      <c r="Q292" s="39">
        <f>'Degree-days'!$L$12*IF($E292=$E$5,(Q$5),(Q$6))</f>
        <v>0</v>
      </c>
      <c r="R292" s="39">
        <f>'Degree-days'!$L$12*IF($E292=$E$5,(R$5),(R$6))</f>
        <v>0</v>
      </c>
      <c r="S292" s="39">
        <f>'Degree-days'!$L$12*IF($E292=$E$5,(S$5),(S$6))</f>
        <v>0</v>
      </c>
      <c r="T292" s="39">
        <f>'Degree-days'!$L$12*IF($E292=$E$5,(T$5),(T$6))</f>
        <v>0</v>
      </c>
      <c r="U292" s="39">
        <f>'Degree-days'!$L$12*IF($E292=$E$5,(U$5),(U$6))</f>
        <v>1.5389274342173849</v>
      </c>
      <c r="V292" s="39">
        <f>'Degree-days'!$L$12*IF($E292=$E$5,(V$5),(V$6))</f>
        <v>1.5389274342173849</v>
      </c>
      <c r="W292" s="39">
        <f>'Degree-days'!$L$12*IF($E292=$E$5,(W$5),(W$6))</f>
        <v>1.5389274342173849</v>
      </c>
      <c r="X292" s="39">
        <f>'Degree-days'!$L$12*IF($E292=$E$5,(X$5),(X$6))</f>
        <v>1.5389274342173849</v>
      </c>
      <c r="Y292" s="39">
        <f>'Degree-days'!$L$12*IF($E292=$E$5,(Y$5),(Y$6))</f>
        <v>1.5389274342173849</v>
      </c>
      <c r="Z292" s="39">
        <f>'Degree-days'!$L$12*IF($E292=$E$5,(Z$5),(Z$6))</f>
        <v>1.5389274342173849</v>
      </c>
      <c r="AA292" s="39">
        <f>'Degree-days'!$L$12*IF($E292=$E$5,(AA$5),(AA$6))</f>
        <v>1.5389274342173849</v>
      </c>
      <c r="AB292" s="39">
        <f>'Degree-days'!$L$12*IF($E292=$E$5,(AB$5),(AB$6))</f>
        <v>0</v>
      </c>
      <c r="AC292" s="39">
        <f>'Degree-days'!$L$12*IF($E292=$E$5,(AC$5),(AC$6))</f>
        <v>0</v>
      </c>
      <c r="AD292" s="39">
        <f t="shared" si="12"/>
        <v>13.850346907956464</v>
      </c>
    </row>
    <row r="293" spans="4:30" x14ac:dyDescent="0.2">
      <c r="D293" s="37">
        <v>45212</v>
      </c>
      <c r="E293" s="17" t="str">
        <f t="shared" si="11"/>
        <v>weekday</v>
      </c>
      <c r="F293" s="39">
        <f>'Degree-days'!$L$12*IF($E293=$E$5,(F$5),(F$6))</f>
        <v>0</v>
      </c>
      <c r="G293" s="39">
        <f>'Degree-days'!$L$12*IF($E293=$E$5,(G$5),(G$6))</f>
        <v>0</v>
      </c>
      <c r="H293" s="39">
        <f>'Degree-days'!$L$12*IF($E293=$E$5,(H$5),(H$6))</f>
        <v>0</v>
      </c>
      <c r="I293" s="39">
        <f>'Degree-days'!$L$12*IF($E293=$E$5,(I$5),(I$6))</f>
        <v>0</v>
      </c>
      <c r="J293" s="39">
        <f>'Degree-days'!$L$12*IF($E293=$E$5,(J$5),(J$6))</f>
        <v>0</v>
      </c>
      <c r="K293" s="39">
        <f>'Degree-days'!$L$12*IF($E293=$E$5,(K$5),(K$6))</f>
        <v>0</v>
      </c>
      <c r="L293" s="39">
        <f>'Degree-days'!$L$12*IF($E293=$E$5,(L$5),(L$6))</f>
        <v>1.5389274342173849</v>
      </c>
      <c r="M293" s="39">
        <f>'Degree-days'!$L$12*IF($E293=$E$5,(M$5),(M$6))</f>
        <v>1.5389274342173849</v>
      </c>
      <c r="N293" s="39">
        <f>'Degree-days'!$L$12*IF($E293=$E$5,(N$5),(N$6))</f>
        <v>0</v>
      </c>
      <c r="O293" s="39">
        <f>'Degree-days'!$L$12*IF($E293=$E$5,(O$5),(O$6))</f>
        <v>0</v>
      </c>
      <c r="P293" s="39">
        <f>'Degree-days'!$L$12*IF($E293=$E$5,(P$5),(P$6))</f>
        <v>0</v>
      </c>
      <c r="Q293" s="39">
        <f>'Degree-days'!$L$12*IF($E293=$E$5,(Q$5),(Q$6))</f>
        <v>0</v>
      </c>
      <c r="R293" s="39">
        <f>'Degree-days'!$L$12*IF($E293=$E$5,(R$5),(R$6))</f>
        <v>0</v>
      </c>
      <c r="S293" s="39">
        <f>'Degree-days'!$L$12*IF($E293=$E$5,(S$5),(S$6))</f>
        <v>0</v>
      </c>
      <c r="T293" s="39">
        <f>'Degree-days'!$L$12*IF($E293=$E$5,(T$5),(T$6))</f>
        <v>0</v>
      </c>
      <c r="U293" s="39">
        <f>'Degree-days'!$L$12*IF($E293=$E$5,(U$5),(U$6))</f>
        <v>1.5389274342173849</v>
      </c>
      <c r="V293" s="39">
        <f>'Degree-days'!$L$12*IF($E293=$E$5,(V$5),(V$6))</f>
        <v>1.5389274342173849</v>
      </c>
      <c r="W293" s="39">
        <f>'Degree-days'!$L$12*IF($E293=$E$5,(W$5),(W$6))</f>
        <v>1.5389274342173849</v>
      </c>
      <c r="X293" s="39">
        <f>'Degree-days'!$L$12*IF($E293=$E$5,(X$5),(X$6))</f>
        <v>1.5389274342173849</v>
      </c>
      <c r="Y293" s="39">
        <f>'Degree-days'!$L$12*IF($E293=$E$5,(Y$5),(Y$6))</f>
        <v>1.5389274342173849</v>
      </c>
      <c r="Z293" s="39">
        <f>'Degree-days'!$L$12*IF($E293=$E$5,(Z$5),(Z$6))</f>
        <v>1.5389274342173849</v>
      </c>
      <c r="AA293" s="39">
        <f>'Degree-days'!$L$12*IF($E293=$E$5,(AA$5),(AA$6))</f>
        <v>1.5389274342173849</v>
      </c>
      <c r="AB293" s="39">
        <f>'Degree-days'!$L$12*IF($E293=$E$5,(AB$5),(AB$6))</f>
        <v>0</v>
      </c>
      <c r="AC293" s="39">
        <f>'Degree-days'!$L$12*IF($E293=$E$5,(AC$5),(AC$6))</f>
        <v>0</v>
      </c>
      <c r="AD293" s="39">
        <f t="shared" si="12"/>
        <v>13.850346907956464</v>
      </c>
    </row>
    <row r="294" spans="4:30" x14ac:dyDescent="0.2">
      <c r="D294" s="37">
        <v>45213</v>
      </c>
      <c r="E294" s="17" t="str">
        <f t="shared" si="11"/>
        <v>weekend</v>
      </c>
      <c r="F294" s="39">
        <f>'Degree-days'!$L$12*IF($E294=$E$5,(F$5),(F$6))</f>
        <v>0</v>
      </c>
      <c r="G294" s="39">
        <f>'Degree-days'!$L$12*IF($E294=$E$5,(G$5),(G$6))</f>
        <v>0</v>
      </c>
      <c r="H294" s="39">
        <f>'Degree-days'!$L$12*IF($E294=$E$5,(H$5),(H$6))</f>
        <v>0</v>
      </c>
      <c r="I294" s="39">
        <f>'Degree-days'!$L$12*IF($E294=$E$5,(I$5),(I$6))</f>
        <v>0</v>
      </c>
      <c r="J294" s="39">
        <f>'Degree-days'!$L$12*IF($E294=$E$5,(J$5),(J$6))</f>
        <v>0</v>
      </c>
      <c r="K294" s="39">
        <f>'Degree-days'!$L$12*IF($E294=$E$5,(K$5),(K$6))</f>
        <v>0</v>
      </c>
      <c r="L294" s="39">
        <f>'Degree-days'!$L$12*IF($E294=$E$5,(L$5),(L$6))</f>
        <v>1.5389274342173849</v>
      </c>
      <c r="M294" s="39">
        <f>'Degree-days'!$L$12*IF($E294=$E$5,(M$5),(M$6))</f>
        <v>1.5389274342173849</v>
      </c>
      <c r="N294" s="39">
        <f>'Degree-days'!$L$12*IF($E294=$E$5,(N$5),(N$6))</f>
        <v>1.5389274342173849</v>
      </c>
      <c r="O294" s="39">
        <f>'Degree-days'!$L$12*IF($E294=$E$5,(O$5),(O$6))</f>
        <v>1.5389274342173849</v>
      </c>
      <c r="P294" s="39">
        <f>'Degree-days'!$L$12*IF($E294=$E$5,(P$5),(P$6))</f>
        <v>1.5389274342173849</v>
      </c>
      <c r="Q294" s="39">
        <f>'Degree-days'!$L$12*IF($E294=$E$5,(Q$5),(Q$6))</f>
        <v>1.5389274342173849</v>
      </c>
      <c r="R294" s="39">
        <f>'Degree-days'!$L$12*IF($E294=$E$5,(R$5),(R$6))</f>
        <v>1.5389274342173849</v>
      </c>
      <c r="S294" s="39">
        <f>'Degree-days'!$L$12*IF($E294=$E$5,(S$5),(S$6))</f>
        <v>1.5389274342173849</v>
      </c>
      <c r="T294" s="39">
        <f>'Degree-days'!$L$12*IF($E294=$E$5,(T$5),(T$6))</f>
        <v>1.5389274342173849</v>
      </c>
      <c r="U294" s="39">
        <f>'Degree-days'!$L$12*IF($E294=$E$5,(U$5),(U$6))</f>
        <v>1.5389274342173849</v>
      </c>
      <c r="V294" s="39">
        <f>'Degree-days'!$L$12*IF($E294=$E$5,(V$5),(V$6))</f>
        <v>1.5389274342173849</v>
      </c>
      <c r="W294" s="39">
        <f>'Degree-days'!$L$12*IF($E294=$E$5,(W$5),(W$6))</f>
        <v>1.5389274342173849</v>
      </c>
      <c r="X294" s="39">
        <f>'Degree-days'!$L$12*IF($E294=$E$5,(X$5),(X$6))</f>
        <v>1.5389274342173849</v>
      </c>
      <c r="Y294" s="39">
        <f>'Degree-days'!$L$12*IF($E294=$E$5,(Y$5),(Y$6))</f>
        <v>1.5389274342173849</v>
      </c>
      <c r="Z294" s="39">
        <f>'Degree-days'!$L$12*IF($E294=$E$5,(Z$5),(Z$6))</f>
        <v>1.5389274342173849</v>
      </c>
      <c r="AA294" s="39">
        <f>'Degree-days'!$L$12*IF($E294=$E$5,(AA$5),(AA$6))</f>
        <v>1.5389274342173849</v>
      </c>
      <c r="AB294" s="39">
        <f>'Degree-days'!$L$12*IF($E294=$E$5,(AB$5),(AB$6))</f>
        <v>0</v>
      </c>
      <c r="AC294" s="39">
        <f>'Degree-days'!$L$12*IF($E294=$E$5,(AC$5),(AC$6))</f>
        <v>0</v>
      </c>
      <c r="AD294" s="39">
        <f t="shared" si="12"/>
        <v>24.622838947478158</v>
      </c>
    </row>
    <row r="295" spans="4:30" x14ac:dyDescent="0.2">
      <c r="D295" s="37">
        <v>45214</v>
      </c>
      <c r="E295" s="17" t="str">
        <f t="shared" si="11"/>
        <v>weekend</v>
      </c>
      <c r="F295" s="39">
        <f>'Degree-days'!$L$12*IF($E295=$E$5,(F$5),(F$6))</f>
        <v>0</v>
      </c>
      <c r="G295" s="39">
        <f>'Degree-days'!$L$12*IF($E295=$E$5,(G$5),(G$6))</f>
        <v>0</v>
      </c>
      <c r="H295" s="39">
        <f>'Degree-days'!$L$12*IF($E295=$E$5,(H$5),(H$6))</f>
        <v>0</v>
      </c>
      <c r="I295" s="39">
        <f>'Degree-days'!$L$12*IF($E295=$E$5,(I$5),(I$6))</f>
        <v>0</v>
      </c>
      <c r="J295" s="39">
        <f>'Degree-days'!$L$12*IF($E295=$E$5,(J$5),(J$6))</f>
        <v>0</v>
      </c>
      <c r="K295" s="39">
        <f>'Degree-days'!$L$12*IF($E295=$E$5,(K$5),(K$6))</f>
        <v>0</v>
      </c>
      <c r="L295" s="39">
        <f>'Degree-days'!$L$12*IF($E295=$E$5,(L$5),(L$6))</f>
        <v>1.5389274342173849</v>
      </c>
      <c r="M295" s="39">
        <f>'Degree-days'!$L$12*IF($E295=$E$5,(M$5),(M$6))</f>
        <v>1.5389274342173849</v>
      </c>
      <c r="N295" s="39">
        <f>'Degree-days'!$L$12*IF($E295=$E$5,(N$5),(N$6))</f>
        <v>1.5389274342173849</v>
      </c>
      <c r="O295" s="39">
        <f>'Degree-days'!$L$12*IF($E295=$E$5,(O$5),(O$6))</f>
        <v>1.5389274342173849</v>
      </c>
      <c r="P295" s="39">
        <f>'Degree-days'!$L$12*IF($E295=$E$5,(P$5),(P$6))</f>
        <v>1.5389274342173849</v>
      </c>
      <c r="Q295" s="39">
        <f>'Degree-days'!$L$12*IF($E295=$E$5,(Q$5),(Q$6))</f>
        <v>1.5389274342173849</v>
      </c>
      <c r="R295" s="39">
        <f>'Degree-days'!$L$12*IF($E295=$E$5,(R$5),(R$6))</f>
        <v>1.5389274342173849</v>
      </c>
      <c r="S295" s="39">
        <f>'Degree-days'!$L$12*IF($E295=$E$5,(S$5),(S$6))</f>
        <v>1.5389274342173849</v>
      </c>
      <c r="T295" s="39">
        <f>'Degree-days'!$L$12*IF($E295=$E$5,(T$5),(T$6))</f>
        <v>1.5389274342173849</v>
      </c>
      <c r="U295" s="39">
        <f>'Degree-days'!$L$12*IF($E295=$E$5,(U$5),(U$6))</f>
        <v>1.5389274342173849</v>
      </c>
      <c r="V295" s="39">
        <f>'Degree-days'!$L$12*IF($E295=$E$5,(V$5),(V$6))</f>
        <v>1.5389274342173849</v>
      </c>
      <c r="W295" s="39">
        <f>'Degree-days'!$L$12*IF($E295=$E$5,(W$5),(W$6))</f>
        <v>1.5389274342173849</v>
      </c>
      <c r="X295" s="39">
        <f>'Degree-days'!$L$12*IF($E295=$E$5,(X$5),(X$6))</f>
        <v>1.5389274342173849</v>
      </c>
      <c r="Y295" s="39">
        <f>'Degree-days'!$L$12*IF($E295=$E$5,(Y$5),(Y$6))</f>
        <v>1.5389274342173849</v>
      </c>
      <c r="Z295" s="39">
        <f>'Degree-days'!$L$12*IF($E295=$E$5,(Z$5),(Z$6))</f>
        <v>1.5389274342173849</v>
      </c>
      <c r="AA295" s="39">
        <f>'Degree-days'!$L$12*IF($E295=$E$5,(AA$5),(AA$6))</f>
        <v>1.5389274342173849</v>
      </c>
      <c r="AB295" s="39">
        <f>'Degree-days'!$L$12*IF($E295=$E$5,(AB$5),(AB$6))</f>
        <v>0</v>
      </c>
      <c r="AC295" s="39">
        <f>'Degree-days'!$L$12*IF($E295=$E$5,(AC$5),(AC$6))</f>
        <v>0</v>
      </c>
      <c r="AD295" s="39">
        <f t="shared" si="12"/>
        <v>24.622838947478158</v>
      </c>
    </row>
    <row r="296" spans="4:30" x14ac:dyDescent="0.2">
      <c r="D296" s="37">
        <v>45215</v>
      </c>
      <c r="E296" s="17" t="str">
        <f t="shared" si="11"/>
        <v>weekday</v>
      </c>
      <c r="F296" s="39">
        <f>'Degree-days'!$L$12*IF($E296=$E$5,(F$5),(F$6))</f>
        <v>0</v>
      </c>
      <c r="G296" s="39">
        <f>'Degree-days'!$L$12*IF($E296=$E$5,(G$5),(G$6))</f>
        <v>0</v>
      </c>
      <c r="H296" s="39">
        <f>'Degree-days'!$L$12*IF($E296=$E$5,(H$5),(H$6))</f>
        <v>0</v>
      </c>
      <c r="I296" s="39">
        <f>'Degree-days'!$L$12*IF($E296=$E$5,(I$5),(I$6))</f>
        <v>0</v>
      </c>
      <c r="J296" s="39">
        <f>'Degree-days'!$L$12*IF($E296=$E$5,(J$5),(J$6))</f>
        <v>0</v>
      </c>
      <c r="K296" s="39">
        <f>'Degree-days'!$L$12*IF($E296=$E$5,(K$5),(K$6))</f>
        <v>0</v>
      </c>
      <c r="L296" s="39">
        <f>'Degree-days'!$L$12*IF($E296=$E$5,(L$5),(L$6))</f>
        <v>1.5389274342173849</v>
      </c>
      <c r="M296" s="39">
        <f>'Degree-days'!$L$12*IF($E296=$E$5,(M$5),(M$6))</f>
        <v>1.5389274342173849</v>
      </c>
      <c r="N296" s="39">
        <f>'Degree-days'!$L$12*IF($E296=$E$5,(N$5),(N$6))</f>
        <v>0</v>
      </c>
      <c r="O296" s="39">
        <f>'Degree-days'!$L$12*IF($E296=$E$5,(O$5),(O$6))</f>
        <v>0</v>
      </c>
      <c r="P296" s="39">
        <f>'Degree-days'!$L$12*IF($E296=$E$5,(P$5),(P$6))</f>
        <v>0</v>
      </c>
      <c r="Q296" s="39">
        <f>'Degree-days'!$L$12*IF($E296=$E$5,(Q$5),(Q$6))</f>
        <v>0</v>
      </c>
      <c r="R296" s="39">
        <f>'Degree-days'!$L$12*IF($E296=$E$5,(R$5),(R$6))</f>
        <v>0</v>
      </c>
      <c r="S296" s="39">
        <f>'Degree-days'!$L$12*IF($E296=$E$5,(S$5),(S$6))</f>
        <v>0</v>
      </c>
      <c r="T296" s="39">
        <f>'Degree-days'!$L$12*IF($E296=$E$5,(T$5),(T$6))</f>
        <v>0</v>
      </c>
      <c r="U296" s="39">
        <f>'Degree-days'!$L$12*IF($E296=$E$5,(U$5),(U$6))</f>
        <v>1.5389274342173849</v>
      </c>
      <c r="V296" s="39">
        <f>'Degree-days'!$L$12*IF($E296=$E$5,(V$5),(V$6))</f>
        <v>1.5389274342173849</v>
      </c>
      <c r="W296" s="39">
        <f>'Degree-days'!$L$12*IF($E296=$E$5,(W$5),(W$6))</f>
        <v>1.5389274342173849</v>
      </c>
      <c r="X296" s="39">
        <f>'Degree-days'!$L$12*IF($E296=$E$5,(X$5),(X$6))</f>
        <v>1.5389274342173849</v>
      </c>
      <c r="Y296" s="39">
        <f>'Degree-days'!$L$12*IF($E296=$E$5,(Y$5),(Y$6))</f>
        <v>1.5389274342173849</v>
      </c>
      <c r="Z296" s="39">
        <f>'Degree-days'!$L$12*IF($E296=$E$5,(Z$5),(Z$6))</f>
        <v>1.5389274342173849</v>
      </c>
      <c r="AA296" s="39">
        <f>'Degree-days'!$L$12*IF($E296=$E$5,(AA$5),(AA$6))</f>
        <v>1.5389274342173849</v>
      </c>
      <c r="AB296" s="39">
        <f>'Degree-days'!$L$12*IF($E296=$E$5,(AB$5),(AB$6))</f>
        <v>0</v>
      </c>
      <c r="AC296" s="39">
        <f>'Degree-days'!$L$12*IF($E296=$E$5,(AC$5),(AC$6))</f>
        <v>0</v>
      </c>
      <c r="AD296" s="39">
        <f t="shared" si="12"/>
        <v>13.850346907956464</v>
      </c>
    </row>
    <row r="297" spans="4:30" x14ac:dyDescent="0.2">
      <c r="D297" s="37">
        <v>45216</v>
      </c>
      <c r="E297" s="17" t="str">
        <f t="shared" si="11"/>
        <v>weekday</v>
      </c>
      <c r="F297" s="39">
        <f>'Degree-days'!$L$12*IF($E297=$E$5,(F$5),(F$6))</f>
        <v>0</v>
      </c>
      <c r="G297" s="39">
        <f>'Degree-days'!$L$12*IF($E297=$E$5,(G$5),(G$6))</f>
        <v>0</v>
      </c>
      <c r="H297" s="39">
        <f>'Degree-days'!$L$12*IF($E297=$E$5,(H$5),(H$6))</f>
        <v>0</v>
      </c>
      <c r="I297" s="39">
        <f>'Degree-days'!$L$12*IF($E297=$E$5,(I$5),(I$6))</f>
        <v>0</v>
      </c>
      <c r="J297" s="39">
        <f>'Degree-days'!$L$12*IF($E297=$E$5,(J$5),(J$6))</f>
        <v>0</v>
      </c>
      <c r="K297" s="39">
        <f>'Degree-days'!$L$12*IF($E297=$E$5,(K$5),(K$6))</f>
        <v>0</v>
      </c>
      <c r="L297" s="39">
        <f>'Degree-days'!$L$12*IF($E297=$E$5,(L$5),(L$6))</f>
        <v>1.5389274342173849</v>
      </c>
      <c r="M297" s="39">
        <f>'Degree-days'!$L$12*IF($E297=$E$5,(M$5),(M$6))</f>
        <v>1.5389274342173849</v>
      </c>
      <c r="N297" s="39">
        <f>'Degree-days'!$L$12*IF($E297=$E$5,(N$5),(N$6))</f>
        <v>0</v>
      </c>
      <c r="O297" s="39">
        <f>'Degree-days'!$L$12*IF($E297=$E$5,(O$5),(O$6))</f>
        <v>0</v>
      </c>
      <c r="P297" s="39">
        <f>'Degree-days'!$L$12*IF($E297=$E$5,(P$5),(P$6))</f>
        <v>0</v>
      </c>
      <c r="Q297" s="39">
        <f>'Degree-days'!$L$12*IF($E297=$E$5,(Q$5),(Q$6))</f>
        <v>0</v>
      </c>
      <c r="R297" s="39">
        <f>'Degree-days'!$L$12*IF($E297=$E$5,(R$5),(R$6))</f>
        <v>0</v>
      </c>
      <c r="S297" s="39">
        <f>'Degree-days'!$L$12*IF($E297=$E$5,(S$5),(S$6))</f>
        <v>0</v>
      </c>
      <c r="T297" s="39">
        <f>'Degree-days'!$L$12*IF($E297=$E$5,(T$5),(T$6))</f>
        <v>0</v>
      </c>
      <c r="U297" s="39">
        <f>'Degree-days'!$L$12*IF($E297=$E$5,(U$5),(U$6))</f>
        <v>1.5389274342173849</v>
      </c>
      <c r="V297" s="39">
        <f>'Degree-days'!$L$12*IF($E297=$E$5,(V$5),(V$6))</f>
        <v>1.5389274342173849</v>
      </c>
      <c r="W297" s="39">
        <f>'Degree-days'!$L$12*IF($E297=$E$5,(W$5),(W$6))</f>
        <v>1.5389274342173849</v>
      </c>
      <c r="X297" s="39">
        <f>'Degree-days'!$L$12*IF($E297=$E$5,(X$5),(X$6))</f>
        <v>1.5389274342173849</v>
      </c>
      <c r="Y297" s="39">
        <f>'Degree-days'!$L$12*IF($E297=$E$5,(Y$5),(Y$6))</f>
        <v>1.5389274342173849</v>
      </c>
      <c r="Z297" s="39">
        <f>'Degree-days'!$L$12*IF($E297=$E$5,(Z$5),(Z$6))</f>
        <v>1.5389274342173849</v>
      </c>
      <c r="AA297" s="39">
        <f>'Degree-days'!$L$12*IF($E297=$E$5,(AA$5),(AA$6))</f>
        <v>1.5389274342173849</v>
      </c>
      <c r="AB297" s="39">
        <f>'Degree-days'!$L$12*IF($E297=$E$5,(AB$5),(AB$6))</f>
        <v>0</v>
      </c>
      <c r="AC297" s="39">
        <f>'Degree-days'!$L$12*IF($E297=$E$5,(AC$5),(AC$6))</f>
        <v>0</v>
      </c>
      <c r="AD297" s="39">
        <f t="shared" si="12"/>
        <v>13.850346907956464</v>
      </c>
    </row>
    <row r="298" spans="4:30" x14ac:dyDescent="0.2">
      <c r="D298" s="37">
        <v>45217</v>
      </c>
      <c r="E298" s="17" t="str">
        <f t="shared" si="11"/>
        <v>weekday</v>
      </c>
      <c r="F298" s="39">
        <f>'Degree-days'!$L$12*IF($E298=$E$5,(F$5),(F$6))</f>
        <v>0</v>
      </c>
      <c r="G298" s="39">
        <f>'Degree-days'!$L$12*IF($E298=$E$5,(G$5),(G$6))</f>
        <v>0</v>
      </c>
      <c r="H298" s="39">
        <f>'Degree-days'!$L$12*IF($E298=$E$5,(H$5),(H$6))</f>
        <v>0</v>
      </c>
      <c r="I298" s="39">
        <f>'Degree-days'!$L$12*IF($E298=$E$5,(I$5),(I$6))</f>
        <v>0</v>
      </c>
      <c r="J298" s="39">
        <f>'Degree-days'!$L$12*IF($E298=$E$5,(J$5),(J$6))</f>
        <v>0</v>
      </c>
      <c r="K298" s="39">
        <f>'Degree-days'!$L$12*IF($E298=$E$5,(K$5),(K$6))</f>
        <v>0</v>
      </c>
      <c r="L298" s="39">
        <f>'Degree-days'!$L$12*IF($E298=$E$5,(L$5),(L$6))</f>
        <v>1.5389274342173849</v>
      </c>
      <c r="M298" s="39">
        <f>'Degree-days'!$L$12*IF($E298=$E$5,(M$5),(M$6))</f>
        <v>1.5389274342173849</v>
      </c>
      <c r="N298" s="39">
        <f>'Degree-days'!$L$12*IF($E298=$E$5,(N$5),(N$6))</f>
        <v>0</v>
      </c>
      <c r="O298" s="39">
        <f>'Degree-days'!$L$12*IF($E298=$E$5,(O$5),(O$6))</f>
        <v>0</v>
      </c>
      <c r="P298" s="39">
        <f>'Degree-days'!$L$12*IF($E298=$E$5,(P$5),(P$6))</f>
        <v>0</v>
      </c>
      <c r="Q298" s="39">
        <f>'Degree-days'!$L$12*IF($E298=$E$5,(Q$5),(Q$6))</f>
        <v>0</v>
      </c>
      <c r="R298" s="39">
        <f>'Degree-days'!$L$12*IF($E298=$E$5,(R$5),(R$6))</f>
        <v>0</v>
      </c>
      <c r="S298" s="39">
        <f>'Degree-days'!$L$12*IF($E298=$E$5,(S$5),(S$6))</f>
        <v>0</v>
      </c>
      <c r="T298" s="39">
        <f>'Degree-days'!$L$12*IF($E298=$E$5,(T$5),(T$6))</f>
        <v>0</v>
      </c>
      <c r="U298" s="39">
        <f>'Degree-days'!$L$12*IF($E298=$E$5,(U$5),(U$6))</f>
        <v>1.5389274342173849</v>
      </c>
      <c r="V298" s="39">
        <f>'Degree-days'!$L$12*IF($E298=$E$5,(V$5),(V$6))</f>
        <v>1.5389274342173849</v>
      </c>
      <c r="W298" s="39">
        <f>'Degree-days'!$L$12*IF($E298=$E$5,(W$5),(W$6))</f>
        <v>1.5389274342173849</v>
      </c>
      <c r="X298" s="39">
        <f>'Degree-days'!$L$12*IF($E298=$E$5,(X$5),(X$6))</f>
        <v>1.5389274342173849</v>
      </c>
      <c r="Y298" s="39">
        <f>'Degree-days'!$L$12*IF($E298=$E$5,(Y$5),(Y$6))</f>
        <v>1.5389274342173849</v>
      </c>
      <c r="Z298" s="39">
        <f>'Degree-days'!$L$12*IF($E298=$E$5,(Z$5),(Z$6))</f>
        <v>1.5389274342173849</v>
      </c>
      <c r="AA298" s="39">
        <f>'Degree-days'!$L$12*IF($E298=$E$5,(AA$5),(AA$6))</f>
        <v>1.5389274342173849</v>
      </c>
      <c r="AB298" s="39">
        <f>'Degree-days'!$L$12*IF($E298=$E$5,(AB$5),(AB$6))</f>
        <v>0</v>
      </c>
      <c r="AC298" s="39">
        <f>'Degree-days'!$L$12*IF($E298=$E$5,(AC$5),(AC$6))</f>
        <v>0</v>
      </c>
      <c r="AD298" s="39">
        <f t="shared" si="12"/>
        <v>13.850346907956464</v>
      </c>
    </row>
    <row r="299" spans="4:30" x14ac:dyDescent="0.2">
      <c r="D299" s="37">
        <v>45218</v>
      </c>
      <c r="E299" s="17" t="str">
        <f t="shared" si="11"/>
        <v>weekday</v>
      </c>
      <c r="F299" s="39">
        <f>'Degree-days'!$L$12*IF($E299=$E$5,(F$5),(F$6))</f>
        <v>0</v>
      </c>
      <c r="G299" s="39">
        <f>'Degree-days'!$L$12*IF($E299=$E$5,(G$5),(G$6))</f>
        <v>0</v>
      </c>
      <c r="H299" s="39">
        <f>'Degree-days'!$L$12*IF($E299=$E$5,(H$5),(H$6))</f>
        <v>0</v>
      </c>
      <c r="I299" s="39">
        <f>'Degree-days'!$L$12*IF($E299=$E$5,(I$5),(I$6))</f>
        <v>0</v>
      </c>
      <c r="J299" s="39">
        <f>'Degree-days'!$L$12*IF($E299=$E$5,(J$5),(J$6))</f>
        <v>0</v>
      </c>
      <c r="K299" s="39">
        <f>'Degree-days'!$L$12*IF($E299=$E$5,(K$5),(K$6))</f>
        <v>0</v>
      </c>
      <c r="L299" s="39">
        <f>'Degree-days'!$L$12*IF($E299=$E$5,(L$5),(L$6))</f>
        <v>1.5389274342173849</v>
      </c>
      <c r="M299" s="39">
        <f>'Degree-days'!$L$12*IF($E299=$E$5,(M$5),(M$6))</f>
        <v>1.5389274342173849</v>
      </c>
      <c r="N299" s="39">
        <f>'Degree-days'!$L$12*IF($E299=$E$5,(N$5),(N$6))</f>
        <v>0</v>
      </c>
      <c r="O299" s="39">
        <f>'Degree-days'!$L$12*IF($E299=$E$5,(O$5),(O$6))</f>
        <v>0</v>
      </c>
      <c r="P299" s="39">
        <f>'Degree-days'!$L$12*IF($E299=$E$5,(P$5),(P$6))</f>
        <v>0</v>
      </c>
      <c r="Q299" s="39">
        <f>'Degree-days'!$L$12*IF($E299=$E$5,(Q$5),(Q$6))</f>
        <v>0</v>
      </c>
      <c r="R299" s="39">
        <f>'Degree-days'!$L$12*IF($E299=$E$5,(R$5),(R$6))</f>
        <v>0</v>
      </c>
      <c r="S299" s="39">
        <f>'Degree-days'!$L$12*IF($E299=$E$5,(S$5),(S$6))</f>
        <v>0</v>
      </c>
      <c r="T299" s="39">
        <f>'Degree-days'!$L$12*IF($E299=$E$5,(T$5),(T$6))</f>
        <v>0</v>
      </c>
      <c r="U299" s="39">
        <f>'Degree-days'!$L$12*IF($E299=$E$5,(U$5),(U$6))</f>
        <v>1.5389274342173849</v>
      </c>
      <c r="V299" s="39">
        <f>'Degree-days'!$L$12*IF($E299=$E$5,(V$5),(V$6))</f>
        <v>1.5389274342173849</v>
      </c>
      <c r="W299" s="39">
        <f>'Degree-days'!$L$12*IF($E299=$E$5,(W$5),(W$6))</f>
        <v>1.5389274342173849</v>
      </c>
      <c r="X299" s="39">
        <f>'Degree-days'!$L$12*IF($E299=$E$5,(X$5),(X$6))</f>
        <v>1.5389274342173849</v>
      </c>
      <c r="Y299" s="39">
        <f>'Degree-days'!$L$12*IF($E299=$E$5,(Y$5),(Y$6))</f>
        <v>1.5389274342173849</v>
      </c>
      <c r="Z299" s="39">
        <f>'Degree-days'!$L$12*IF($E299=$E$5,(Z$5),(Z$6))</f>
        <v>1.5389274342173849</v>
      </c>
      <c r="AA299" s="39">
        <f>'Degree-days'!$L$12*IF($E299=$E$5,(AA$5),(AA$6))</f>
        <v>1.5389274342173849</v>
      </c>
      <c r="AB299" s="39">
        <f>'Degree-days'!$L$12*IF($E299=$E$5,(AB$5),(AB$6))</f>
        <v>0</v>
      </c>
      <c r="AC299" s="39">
        <f>'Degree-days'!$L$12*IF($E299=$E$5,(AC$5),(AC$6))</f>
        <v>0</v>
      </c>
      <c r="AD299" s="39">
        <f t="shared" si="12"/>
        <v>13.850346907956464</v>
      </c>
    </row>
    <row r="300" spans="4:30" x14ac:dyDescent="0.2">
      <c r="D300" s="37">
        <v>45219</v>
      </c>
      <c r="E300" s="17" t="str">
        <f t="shared" si="11"/>
        <v>weekday</v>
      </c>
      <c r="F300" s="39">
        <f>'Degree-days'!$L$12*IF($E300=$E$5,(F$5),(F$6))</f>
        <v>0</v>
      </c>
      <c r="G300" s="39">
        <f>'Degree-days'!$L$12*IF($E300=$E$5,(G$5),(G$6))</f>
        <v>0</v>
      </c>
      <c r="H300" s="39">
        <f>'Degree-days'!$L$12*IF($E300=$E$5,(H$5),(H$6))</f>
        <v>0</v>
      </c>
      <c r="I300" s="39">
        <f>'Degree-days'!$L$12*IF($E300=$E$5,(I$5),(I$6))</f>
        <v>0</v>
      </c>
      <c r="J300" s="39">
        <f>'Degree-days'!$L$12*IF($E300=$E$5,(J$5),(J$6))</f>
        <v>0</v>
      </c>
      <c r="K300" s="39">
        <f>'Degree-days'!$L$12*IF($E300=$E$5,(K$5),(K$6))</f>
        <v>0</v>
      </c>
      <c r="L300" s="39">
        <f>'Degree-days'!$L$12*IF($E300=$E$5,(L$5),(L$6))</f>
        <v>1.5389274342173849</v>
      </c>
      <c r="M300" s="39">
        <f>'Degree-days'!$L$12*IF($E300=$E$5,(M$5),(M$6))</f>
        <v>1.5389274342173849</v>
      </c>
      <c r="N300" s="39">
        <f>'Degree-days'!$L$12*IF($E300=$E$5,(N$5),(N$6))</f>
        <v>0</v>
      </c>
      <c r="O300" s="39">
        <f>'Degree-days'!$L$12*IF($E300=$E$5,(O$5),(O$6))</f>
        <v>0</v>
      </c>
      <c r="P300" s="39">
        <f>'Degree-days'!$L$12*IF($E300=$E$5,(P$5),(P$6))</f>
        <v>0</v>
      </c>
      <c r="Q300" s="39">
        <f>'Degree-days'!$L$12*IF($E300=$E$5,(Q$5),(Q$6))</f>
        <v>0</v>
      </c>
      <c r="R300" s="39">
        <f>'Degree-days'!$L$12*IF($E300=$E$5,(R$5),(R$6))</f>
        <v>0</v>
      </c>
      <c r="S300" s="39">
        <f>'Degree-days'!$L$12*IF($E300=$E$5,(S$5),(S$6))</f>
        <v>0</v>
      </c>
      <c r="T300" s="39">
        <f>'Degree-days'!$L$12*IF($E300=$E$5,(T$5),(T$6))</f>
        <v>0</v>
      </c>
      <c r="U300" s="39">
        <f>'Degree-days'!$L$12*IF($E300=$E$5,(U$5),(U$6))</f>
        <v>1.5389274342173849</v>
      </c>
      <c r="V300" s="39">
        <f>'Degree-days'!$L$12*IF($E300=$E$5,(V$5),(V$6))</f>
        <v>1.5389274342173849</v>
      </c>
      <c r="W300" s="39">
        <f>'Degree-days'!$L$12*IF($E300=$E$5,(W$5),(W$6))</f>
        <v>1.5389274342173849</v>
      </c>
      <c r="X300" s="39">
        <f>'Degree-days'!$L$12*IF($E300=$E$5,(X$5),(X$6))</f>
        <v>1.5389274342173849</v>
      </c>
      <c r="Y300" s="39">
        <f>'Degree-days'!$L$12*IF($E300=$E$5,(Y$5),(Y$6))</f>
        <v>1.5389274342173849</v>
      </c>
      <c r="Z300" s="39">
        <f>'Degree-days'!$L$12*IF($E300=$E$5,(Z$5),(Z$6))</f>
        <v>1.5389274342173849</v>
      </c>
      <c r="AA300" s="39">
        <f>'Degree-days'!$L$12*IF($E300=$E$5,(AA$5),(AA$6))</f>
        <v>1.5389274342173849</v>
      </c>
      <c r="AB300" s="39">
        <f>'Degree-days'!$L$12*IF($E300=$E$5,(AB$5),(AB$6))</f>
        <v>0</v>
      </c>
      <c r="AC300" s="39">
        <f>'Degree-days'!$L$12*IF($E300=$E$5,(AC$5),(AC$6))</f>
        <v>0</v>
      </c>
      <c r="AD300" s="39">
        <f t="shared" si="12"/>
        <v>13.850346907956464</v>
      </c>
    </row>
    <row r="301" spans="4:30" x14ac:dyDescent="0.2">
      <c r="D301" s="37">
        <v>45220</v>
      </c>
      <c r="E301" s="17" t="str">
        <f t="shared" si="11"/>
        <v>weekend</v>
      </c>
      <c r="F301" s="39">
        <f>'Degree-days'!$L$12*IF($E301=$E$5,(F$5),(F$6))</f>
        <v>0</v>
      </c>
      <c r="G301" s="39">
        <f>'Degree-days'!$L$12*IF($E301=$E$5,(G$5),(G$6))</f>
        <v>0</v>
      </c>
      <c r="H301" s="39">
        <f>'Degree-days'!$L$12*IF($E301=$E$5,(H$5),(H$6))</f>
        <v>0</v>
      </c>
      <c r="I301" s="39">
        <f>'Degree-days'!$L$12*IF($E301=$E$5,(I$5),(I$6))</f>
        <v>0</v>
      </c>
      <c r="J301" s="39">
        <f>'Degree-days'!$L$12*IF($E301=$E$5,(J$5),(J$6))</f>
        <v>0</v>
      </c>
      <c r="K301" s="39">
        <f>'Degree-days'!$L$12*IF($E301=$E$5,(K$5),(K$6))</f>
        <v>0</v>
      </c>
      <c r="L301" s="39">
        <f>'Degree-days'!$L$12*IF($E301=$E$5,(L$5),(L$6))</f>
        <v>1.5389274342173849</v>
      </c>
      <c r="M301" s="39">
        <f>'Degree-days'!$L$12*IF($E301=$E$5,(M$5),(M$6))</f>
        <v>1.5389274342173849</v>
      </c>
      <c r="N301" s="39">
        <f>'Degree-days'!$L$12*IF($E301=$E$5,(N$5),(N$6))</f>
        <v>1.5389274342173849</v>
      </c>
      <c r="O301" s="39">
        <f>'Degree-days'!$L$12*IF($E301=$E$5,(O$5),(O$6))</f>
        <v>1.5389274342173849</v>
      </c>
      <c r="P301" s="39">
        <f>'Degree-days'!$L$12*IF($E301=$E$5,(P$5),(P$6))</f>
        <v>1.5389274342173849</v>
      </c>
      <c r="Q301" s="39">
        <f>'Degree-days'!$L$12*IF($E301=$E$5,(Q$5),(Q$6))</f>
        <v>1.5389274342173849</v>
      </c>
      <c r="R301" s="39">
        <f>'Degree-days'!$L$12*IF($E301=$E$5,(R$5),(R$6))</f>
        <v>1.5389274342173849</v>
      </c>
      <c r="S301" s="39">
        <f>'Degree-days'!$L$12*IF($E301=$E$5,(S$5),(S$6))</f>
        <v>1.5389274342173849</v>
      </c>
      <c r="T301" s="39">
        <f>'Degree-days'!$L$12*IF($E301=$E$5,(T$5),(T$6))</f>
        <v>1.5389274342173849</v>
      </c>
      <c r="U301" s="39">
        <f>'Degree-days'!$L$12*IF($E301=$E$5,(U$5),(U$6))</f>
        <v>1.5389274342173849</v>
      </c>
      <c r="V301" s="39">
        <f>'Degree-days'!$L$12*IF($E301=$E$5,(V$5),(V$6))</f>
        <v>1.5389274342173849</v>
      </c>
      <c r="W301" s="39">
        <f>'Degree-days'!$L$12*IF($E301=$E$5,(W$5),(W$6))</f>
        <v>1.5389274342173849</v>
      </c>
      <c r="X301" s="39">
        <f>'Degree-days'!$L$12*IF($E301=$E$5,(X$5),(X$6))</f>
        <v>1.5389274342173849</v>
      </c>
      <c r="Y301" s="39">
        <f>'Degree-days'!$L$12*IF($E301=$E$5,(Y$5),(Y$6))</f>
        <v>1.5389274342173849</v>
      </c>
      <c r="Z301" s="39">
        <f>'Degree-days'!$L$12*IF($E301=$E$5,(Z$5),(Z$6))</f>
        <v>1.5389274342173849</v>
      </c>
      <c r="AA301" s="39">
        <f>'Degree-days'!$L$12*IF($E301=$E$5,(AA$5),(AA$6))</f>
        <v>1.5389274342173849</v>
      </c>
      <c r="AB301" s="39">
        <f>'Degree-days'!$L$12*IF($E301=$E$5,(AB$5),(AB$6))</f>
        <v>0</v>
      </c>
      <c r="AC301" s="39">
        <f>'Degree-days'!$L$12*IF($E301=$E$5,(AC$5),(AC$6))</f>
        <v>0</v>
      </c>
      <c r="AD301" s="39">
        <f t="shared" si="12"/>
        <v>24.622838947478158</v>
      </c>
    </row>
    <row r="302" spans="4:30" x14ac:dyDescent="0.2">
      <c r="D302" s="37">
        <v>45221</v>
      </c>
      <c r="E302" s="17" t="str">
        <f t="shared" si="11"/>
        <v>weekend</v>
      </c>
      <c r="F302" s="39">
        <f>'Degree-days'!$L$12*IF($E302=$E$5,(F$5),(F$6))</f>
        <v>0</v>
      </c>
      <c r="G302" s="39">
        <f>'Degree-days'!$L$12*IF($E302=$E$5,(G$5),(G$6))</f>
        <v>0</v>
      </c>
      <c r="H302" s="39">
        <f>'Degree-days'!$L$12*IF($E302=$E$5,(H$5),(H$6))</f>
        <v>0</v>
      </c>
      <c r="I302" s="39">
        <f>'Degree-days'!$L$12*IF($E302=$E$5,(I$5),(I$6))</f>
        <v>0</v>
      </c>
      <c r="J302" s="39">
        <f>'Degree-days'!$L$12*IF($E302=$E$5,(J$5),(J$6))</f>
        <v>0</v>
      </c>
      <c r="K302" s="39">
        <f>'Degree-days'!$L$12*IF($E302=$E$5,(K$5),(K$6))</f>
        <v>0</v>
      </c>
      <c r="L302" s="39">
        <f>'Degree-days'!$L$12*IF($E302=$E$5,(L$5),(L$6))</f>
        <v>1.5389274342173849</v>
      </c>
      <c r="M302" s="39">
        <f>'Degree-days'!$L$12*IF($E302=$E$5,(M$5),(M$6))</f>
        <v>1.5389274342173849</v>
      </c>
      <c r="N302" s="39">
        <f>'Degree-days'!$L$12*IF($E302=$E$5,(N$5),(N$6))</f>
        <v>1.5389274342173849</v>
      </c>
      <c r="O302" s="39">
        <f>'Degree-days'!$L$12*IF($E302=$E$5,(O$5),(O$6))</f>
        <v>1.5389274342173849</v>
      </c>
      <c r="P302" s="39">
        <f>'Degree-days'!$L$12*IF($E302=$E$5,(P$5),(P$6))</f>
        <v>1.5389274342173849</v>
      </c>
      <c r="Q302" s="39">
        <f>'Degree-days'!$L$12*IF($E302=$E$5,(Q$5),(Q$6))</f>
        <v>1.5389274342173849</v>
      </c>
      <c r="R302" s="39">
        <f>'Degree-days'!$L$12*IF($E302=$E$5,(R$5),(R$6))</f>
        <v>1.5389274342173849</v>
      </c>
      <c r="S302" s="39">
        <f>'Degree-days'!$L$12*IF($E302=$E$5,(S$5),(S$6))</f>
        <v>1.5389274342173849</v>
      </c>
      <c r="T302" s="39">
        <f>'Degree-days'!$L$12*IF($E302=$E$5,(T$5),(T$6))</f>
        <v>1.5389274342173849</v>
      </c>
      <c r="U302" s="39">
        <f>'Degree-days'!$L$12*IF($E302=$E$5,(U$5),(U$6))</f>
        <v>1.5389274342173849</v>
      </c>
      <c r="V302" s="39">
        <f>'Degree-days'!$L$12*IF($E302=$E$5,(V$5),(V$6))</f>
        <v>1.5389274342173849</v>
      </c>
      <c r="W302" s="39">
        <f>'Degree-days'!$L$12*IF($E302=$E$5,(W$5),(W$6))</f>
        <v>1.5389274342173849</v>
      </c>
      <c r="X302" s="39">
        <f>'Degree-days'!$L$12*IF($E302=$E$5,(X$5),(X$6))</f>
        <v>1.5389274342173849</v>
      </c>
      <c r="Y302" s="39">
        <f>'Degree-days'!$L$12*IF($E302=$E$5,(Y$5),(Y$6))</f>
        <v>1.5389274342173849</v>
      </c>
      <c r="Z302" s="39">
        <f>'Degree-days'!$L$12*IF($E302=$E$5,(Z$5),(Z$6))</f>
        <v>1.5389274342173849</v>
      </c>
      <c r="AA302" s="39">
        <f>'Degree-days'!$L$12*IF($E302=$E$5,(AA$5),(AA$6))</f>
        <v>1.5389274342173849</v>
      </c>
      <c r="AB302" s="39">
        <f>'Degree-days'!$L$12*IF($E302=$E$5,(AB$5),(AB$6))</f>
        <v>0</v>
      </c>
      <c r="AC302" s="39">
        <f>'Degree-days'!$L$12*IF($E302=$E$5,(AC$5),(AC$6))</f>
        <v>0</v>
      </c>
      <c r="AD302" s="39">
        <f t="shared" si="12"/>
        <v>24.622838947478158</v>
      </c>
    </row>
    <row r="303" spans="4:30" x14ac:dyDescent="0.2">
      <c r="D303" s="37">
        <v>45222</v>
      </c>
      <c r="E303" s="17" t="str">
        <f t="shared" si="11"/>
        <v>weekday</v>
      </c>
      <c r="F303" s="39">
        <f>'Degree-days'!$L$12*IF($E303=$E$5,(F$5),(F$6))</f>
        <v>0</v>
      </c>
      <c r="G303" s="39">
        <f>'Degree-days'!$L$12*IF($E303=$E$5,(G$5),(G$6))</f>
        <v>0</v>
      </c>
      <c r="H303" s="39">
        <f>'Degree-days'!$L$12*IF($E303=$E$5,(H$5),(H$6))</f>
        <v>0</v>
      </c>
      <c r="I303" s="39">
        <f>'Degree-days'!$L$12*IF($E303=$E$5,(I$5),(I$6))</f>
        <v>0</v>
      </c>
      <c r="J303" s="39">
        <f>'Degree-days'!$L$12*IF($E303=$E$5,(J$5),(J$6))</f>
        <v>0</v>
      </c>
      <c r="K303" s="39">
        <f>'Degree-days'!$L$12*IF($E303=$E$5,(K$5),(K$6))</f>
        <v>0</v>
      </c>
      <c r="L303" s="39">
        <f>'Degree-days'!$L$12*IF($E303=$E$5,(L$5),(L$6))</f>
        <v>1.5389274342173849</v>
      </c>
      <c r="M303" s="39">
        <f>'Degree-days'!$L$12*IF($E303=$E$5,(M$5),(M$6))</f>
        <v>1.5389274342173849</v>
      </c>
      <c r="N303" s="39">
        <f>'Degree-days'!$L$12*IF($E303=$E$5,(N$5),(N$6))</f>
        <v>0</v>
      </c>
      <c r="O303" s="39">
        <f>'Degree-days'!$L$12*IF($E303=$E$5,(O$5),(O$6))</f>
        <v>0</v>
      </c>
      <c r="P303" s="39">
        <f>'Degree-days'!$L$12*IF($E303=$E$5,(P$5),(P$6))</f>
        <v>0</v>
      </c>
      <c r="Q303" s="39">
        <f>'Degree-days'!$L$12*IF($E303=$E$5,(Q$5),(Q$6))</f>
        <v>0</v>
      </c>
      <c r="R303" s="39">
        <f>'Degree-days'!$L$12*IF($E303=$E$5,(R$5),(R$6))</f>
        <v>0</v>
      </c>
      <c r="S303" s="39">
        <f>'Degree-days'!$L$12*IF($E303=$E$5,(S$5),(S$6))</f>
        <v>0</v>
      </c>
      <c r="T303" s="39">
        <f>'Degree-days'!$L$12*IF($E303=$E$5,(T$5),(T$6))</f>
        <v>0</v>
      </c>
      <c r="U303" s="39">
        <f>'Degree-days'!$L$12*IF($E303=$E$5,(U$5),(U$6))</f>
        <v>1.5389274342173849</v>
      </c>
      <c r="V303" s="39">
        <f>'Degree-days'!$L$12*IF($E303=$E$5,(V$5),(V$6))</f>
        <v>1.5389274342173849</v>
      </c>
      <c r="W303" s="39">
        <f>'Degree-days'!$L$12*IF($E303=$E$5,(W$5),(W$6))</f>
        <v>1.5389274342173849</v>
      </c>
      <c r="X303" s="39">
        <f>'Degree-days'!$L$12*IF($E303=$E$5,(X$5),(X$6))</f>
        <v>1.5389274342173849</v>
      </c>
      <c r="Y303" s="39">
        <f>'Degree-days'!$L$12*IF($E303=$E$5,(Y$5),(Y$6))</f>
        <v>1.5389274342173849</v>
      </c>
      <c r="Z303" s="39">
        <f>'Degree-days'!$L$12*IF($E303=$E$5,(Z$5),(Z$6))</f>
        <v>1.5389274342173849</v>
      </c>
      <c r="AA303" s="39">
        <f>'Degree-days'!$L$12*IF($E303=$E$5,(AA$5),(AA$6))</f>
        <v>1.5389274342173849</v>
      </c>
      <c r="AB303" s="39">
        <f>'Degree-days'!$L$12*IF($E303=$E$5,(AB$5),(AB$6))</f>
        <v>0</v>
      </c>
      <c r="AC303" s="39">
        <f>'Degree-days'!$L$12*IF($E303=$E$5,(AC$5),(AC$6))</f>
        <v>0</v>
      </c>
      <c r="AD303" s="39">
        <f t="shared" si="12"/>
        <v>13.850346907956464</v>
      </c>
    </row>
    <row r="304" spans="4:30" x14ac:dyDescent="0.2">
      <c r="D304" s="37">
        <v>45223</v>
      </c>
      <c r="E304" s="17" t="str">
        <f t="shared" si="11"/>
        <v>weekday</v>
      </c>
      <c r="F304" s="39">
        <f>'Degree-days'!$L$12*IF($E304=$E$5,(F$5),(F$6))</f>
        <v>0</v>
      </c>
      <c r="G304" s="39">
        <f>'Degree-days'!$L$12*IF($E304=$E$5,(G$5),(G$6))</f>
        <v>0</v>
      </c>
      <c r="H304" s="39">
        <f>'Degree-days'!$L$12*IF($E304=$E$5,(H$5),(H$6))</f>
        <v>0</v>
      </c>
      <c r="I304" s="39">
        <f>'Degree-days'!$L$12*IF($E304=$E$5,(I$5),(I$6))</f>
        <v>0</v>
      </c>
      <c r="J304" s="39">
        <f>'Degree-days'!$L$12*IF($E304=$E$5,(J$5),(J$6))</f>
        <v>0</v>
      </c>
      <c r="K304" s="39">
        <f>'Degree-days'!$L$12*IF($E304=$E$5,(K$5),(K$6))</f>
        <v>0</v>
      </c>
      <c r="L304" s="39">
        <f>'Degree-days'!$L$12*IF($E304=$E$5,(L$5),(L$6))</f>
        <v>1.5389274342173849</v>
      </c>
      <c r="M304" s="39">
        <f>'Degree-days'!$L$12*IF($E304=$E$5,(M$5),(M$6))</f>
        <v>1.5389274342173849</v>
      </c>
      <c r="N304" s="39">
        <f>'Degree-days'!$L$12*IF($E304=$E$5,(N$5),(N$6))</f>
        <v>0</v>
      </c>
      <c r="O304" s="39">
        <f>'Degree-days'!$L$12*IF($E304=$E$5,(O$5),(O$6))</f>
        <v>0</v>
      </c>
      <c r="P304" s="39">
        <f>'Degree-days'!$L$12*IF($E304=$E$5,(P$5),(P$6))</f>
        <v>0</v>
      </c>
      <c r="Q304" s="39">
        <f>'Degree-days'!$L$12*IF($E304=$E$5,(Q$5),(Q$6))</f>
        <v>0</v>
      </c>
      <c r="R304" s="39">
        <f>'Degree-days'!$L$12*IF($E304=$E$5,(R$5),(R$6))</f>
        <v>0</v>
      </c>
      <c r="S304" s="39">
        <f>'Degree-days'!$L$12*IF($E304=$E$5,(S$5),(S$6))</f>
        <v>0</v>
      </c>
      <c r="T304" s="39">
        <f>'Degree-days'!$L$12*IF($E304=$E$5,(T$5),(T$6))</f>
        <v>0</v>
      </c>
      <c r="U304" s="39">
        <f>'Degree-days'!$L$12*IF($E304=$E$5,(U$5),(U$6))</f>
        <v>1.5389274342173849</v>
      </c>
      <c r="V304" s="39">
        <f>'Degree-days'!$L$12*IF($E304=$E$5,(V$5),(V$6))</f>
        <v>1.5389274342173849</v>
      </c>
      <c r="W304" s="39">
        <f>'Degree-days'!$L$12*IF($E304=$E$5,(W$5),(W$6))</f>
        <v>1.5389274342173849</v>
      </c>
      <c r="X304" s="39">
        <f>'Degree-days'!$L$12*IF($E304=$E$5,(X$5),(X$6))</f>
        <v>1.5389274342173849</v>
      </c>
      <c r="Y304" s="39">
        <f>'Degree-days'!$L$12*IF($E304=$E$5,(Y$5),(Y$6))</f>
        <v>1.5389274342173849</v>
      </c>
      <c r="Z304" s="39">
        <f>'Degree-days'!$L$12*IF($E304=$E$5,(Z$5),(Z$6))</f>
        <v>1.5389274342173849</v>
      </c>
      <c r="AA304" s="39">
        <f>'Degree-days'!$L$12*IF($E304=$E$5,(AA$5),(AA$6))</f>
        <v>1.5389274342173849</v>
      </c>
      <c r="AB304" s="39">
        <f>'Degree-days'!$L$12*IF($E304=$E$5,(AB$5),(AB$6))</f>
        <v>0</v>
      </c>
      <c r="AC304" s="39">
        <f>'Degree-days'!$L$12*IF($E304=$E$5,(AC$5),(AC$6))</f>
        <v>0</v>
      </c>
      <c r="AD304" s="39">
        <f t="shared" si="12"/>
        <v>13.850346907956464</v>
      </c>
    </row>
    <row r="305" spans="4:32" x14ac:dyDescent="0.2">
      <c r="D305" s="37">
        <v>45224</v>
      </c>
      <c r="E305" s="17" t="str">
        <f t="shared" si="11"/>
        <v>weekday</v>
      </c>
      <c r="F305" s="39">
        <f>'Degree-days'!$L$12*IF($E305=$E$5,(F$5),(F$6))</f>
        <v>0</v>
      </c>
      <c r="G305" s="39">
        <f>'Degree-days'!$L$12*IF($E305=$E$5,(G$5),(G$6))</f>
        <v>0</v>
      </c>
      <c r="H305" s="39">
        <f>'Degree-days'!$L$12*IF($E305=$E$5,(H$5),(H$6))</f>
        <v>0</v>
      </c>
      <c r="I305" s="39">
        <f>'Degree-days'!$L$12*IF($E305=$E$5,(I$5),(I$6))</f>
        <v>0</v>
      </c>
      <c r="J305" s="39">
        <f>'Degree-days'!$L$12*IF($E305=$E$5,(J$5),(J$6))</f>
        <v>0</v>
      </c>
      <c r="K305" s="39">
        <f>'Degree-days'!$L$12*IF($E305=$E$5,(K$5),(K$6))</f>
        <v>0</v>
      </c>
      <c r="L305" s="39">
        <f>'Degree-days'!$L$12*IF($E305=$E$5,(L$5),(L$6))</f>
        <v>1.5389274342173849</v>
      </c>
      <c r="M305" s="39">
        <f>'Degree-days'!$L$12*IF($E305=$E$5,(M$5),(M$6))</f>
        <v>1.5389274342173849</v>
      </c>
      <c r="N305" s="39">
        <f>'Degree-days'!$L$12*IF($E305=$E$5,(N$5),(N$6))</f>
        <v>0</v>
      </c>
      <c r="O305" s="39">
        <f>'Degree-days'!$L$12*IF($E305=$E$5,(O$5),(O$6))</f>
        <v>0</v>
      </c>
      <c r="P305" s="39">
        <f>'Degree-days'!$L$12*IF($E305=$E$5,(P$5),(P$6))</f>
        <v>0</v>
      </c>
      <c r="Q305" s="39">
        <f>'Degree-days'!$L$12*IF($E305=$E$5,(Q$5),(Q$6))</f>
        <v>0</v>
      </c>
      <c r="R305" s="39">
        <f>'Degree-days'!$L$12*IF($E305=$E$5,(R$5),(R$6))</f>
        <v>0</v>
      </c>
      <c r="S305" s="39">
        <f>'Degree-days'!$L$12*IF($E305=$E$5,(S$5),(S$6))</f>
        <v>0</v>
      </c>
      <c r="T305" s="39">
        <f>'Degree-days'!$L$12*IF($E305=$E$5,(T$5),(T$6))</f>
        <v>0</v>
      </c>
      <c r="U305" s="39">
        <f>'Degree-days'!$L$12*IF($E305=$E$5,(U$5),(U$6))</f>
        <v>1.5389274342173849</v>
      </c>
      <c r="V305" s="39">
        <f>'Degree-days'!$L$12*IF($E305=$E$5,(V$5),(V$6))</f>
        <v>1.5389274342173849</v>
      </c>
      <c r="W305" s="39">
        <f>'Degree-days'!$L$12*IF($E305=$E$5,(W$5),(W$6))</f>
        <v>1.5389274342173849</v>
      </c>
      <c r="X305" s="39">
        <f>'Degree-days'!$L$12*IF($E305=$E$5,(X$5),(X$6))</f>
        <v>1.5389274342173849</v>
      </c>
      <c r="Y305" s="39">
        <f>'Degree-days'!$L$12*IF($E305=$E$5,(Y$5),(Y$6))</f>
        <v>1.5389274342173849</v>
      </c>
      <c r="Z305" s="39">
        <f>'Degree-days'!$L$12*IF($E305=$E$5,(Z$5),(Z$6))</f>
        <v>1.5389274342173849</v>
      </c>
      <c r="AA305" s="39">
        <f>'Degree-days'!$L$12*IF($E305=$E$5,(AA$5),(AA$6))</f>
        <v>1.5389274342173849</v>
      </c>
      <c r="AB305" s="39">
        <f>'Degree-days'!$L$12*IF($E305=$E$5,(AB$5),(AB$6))</f>
        <v>0</v>
      </c>
      <c r="AC305" s="39">
        <f>'Degree-days'!$L$12*IF($E305=$E$5,(AC$5),(AC$6))</f>
        <v>0</v>
      </c>
      <c r="AD305" s="39">
        <f t="shared" si="12"/>
        <v>13.850346907956464</v>
      </c>
    </row>
    <row r="306" spans="4:32" x14ac:dyDescent="0.2">
      <c r="D306" s="37">
        <v>45225</v>
      </c>
      <c r="E306" s="17" t="str">
        <f t="shared" si="11"/>
        <v>weekday</v>
      </c>
      <c r="F306" s="39">
        <f>'Degree-days'!$L$12*IF($E306=$E$5,(F$5),(F$6))</f>
        <v>0</v>
      </c>
      <c r="G306" s="39">
        <f>'Degree-days'!$L$12*IF($E306=$E$5,(G$5),(G$6))</f>
        <v>0</v>
      </c>
      <c r="H306" s="39">
        <f>'Degree-days'!$L$12*IF($E306=$E$5,(H$5),(H$6))</f>
        <v>0</v>
      </c>
      <c r="I306" s="39">
        <f>'Degree-days'!$L$12*IF($E306=$E$5,(I$5),(I$6))</f>
        <v>0</v>
      </c>
      <c r="J306" s="39">
        <f>'Degree-days'!$L$12*IF($E306=$E$5,(J$5),(J$6))</f>
        <v>0</v>
      </c>
      <c r="K306" s="39">
        <f>'Degree-days'!$L$12*IF($E306=$E$5,(K$5),(K$6))</f>
        <v>0</v>
      </c>
      <c r="L306" s="39">
        <f>'Degree-days'!$L$12*IF($E306=$E$5,(L$5),(L$6))</f>
        <v>1.5389274342173849</v>
      </c>
      <c r="M306" s="39">
        <f>'Degree-days'!$L$12*IF($E306=$E$5,(M$5),(M$6))</f>
        <v>1.5389274342173849</v>
      </c>
      <c r="N306" s="39">
        <f>'Degree-days'!$L$12*IF($E306=$E$5,(N$5),(N$6))</f>
        <v>0</v>
      </c>
      <c r="O306" s="39">
        <f>'Degree-days'!$L$12*IF($E306=$E$5,(O$5),(O$6))</f>
        <v>0</v>
      </c>
      <c r="P306" s="39">
        <f>'Degree-days'!$L$12*IF($E306=$E$5,(P$5),(P$6))</f>
        <v>0</v>
      </c>
      <c r="Q306" s="39">
        <f>'Degree-days'!$L$12*IF($E306=$E$5,(Q$5),(Q$6))</f>
        <v>0</v>
      </c>
      <c r="R306" s="39">
        <f>'Degree-days'!$L$12*IF($E306=$E$5,(R$5),(R$6))</f>
        <v>0</v>
      </c>
      <c r="S306" s="39">
        <f>'Degree-days'!$L$12*IF($E306=$E$5,(S$5),(S$6))</f>
        <v>0</v>
      </c>
      <c r="T306" s="39">
        <f>'Degree-days'!$L$12*IF($E306=$E$5,(T$5),(T$6))</f>
        <v>0</v>
      </c>
      <c r="U306" s="39">
        <f>'Degree-days'!$L$12*IF($E306=$E$5,(U$5),(U$6))</f>
        <v>1.5389274342173849</v>
      </c>
      <c r="V306" s="39">
        <f>'Degree-days'!$L$12*IF($E306=$E$5,(V$5),(V$6))</f>
        <v>1.5389274342173849</v>
      </c>
      <c r="W306" s="39">
        <f>'Degree-days'!$L$12*IF($E306=$E$5,(W$5),(W$6))</f>
        <v>1.5389274342173849</v>
      </c>
      <c r="X306" s="39">
        <f>'Degree-days'!$L$12*IF($E306=$E$5,(X$5),(X$6))</f>
        <v>1.5389274342173849</v>
      </c>
      <c r="Y306" s="39">
        <f>'Degree-days'!$L$12*IF($E306=$E$5,(Y$5),(Y$6))</f>
        <v>1.5389274342173849</v>
      </c>
      <c r="Z306" s="39">
        <f>'Degree-days'!$L$12*IF($E306=$E$5,(Z$5),(Z$6))</f>
        <v>1.5389274342173849</v>
      </c>
      <c r="AA306" s="39">
        <f>'Degree-days'!$L$12*IF($E306=$E$5,(AA$5),(AA$6))</f>
        <v>1.5389274342173849</v>
      </c>
      <c r="AB306" s="39">
        <f>'Degree-days'!$L$12*IF($E306=$E$5,(AB$5),(AB$6))</f>
        <v>0</v>
      </c>
      <c r="AC306" s="39">
        <f>'Degree-days'!$L$12*IF($E306=$E$5,(AC$5),(AC$6))</f>
        <v>0</v>
      </c>
      <c r="AD306" s="39">
        <f t="shared" si="12"/>
        <v>13.850346907956464</v>
      </c>
    </row>
    <row r="307" spans="4:32" x14ac:dyDescent="0.2">
      <c r="D307" s="37">
        <v>45226</v>
      </c>
      <c r="E307" s="17" t="str">
        <f t="shared" si="11"/>
        <v>weekday</v>
      </c>
      <c r="F307" s="39">
        <f>'Degree-days'!$L$12*IF($E307=$E$5,(F$5),(F$6))</f>
        <v>0</v>
      </c>
      <c r="G307" s="39">
        <f>'Degree-days'!$L$12*IF($E307=$E$5,(G$5),(G$6))</f>
        <v>0</v>
      </c>
      <c r="H307" s="39">
        <f>'Degree-days'!$L$12*IF($E307=$E$5,(H$5),(H$6))</f>
        <v>0</v>
      </c>
      <c r="I307" s="39">
        <f>'Degree-days'!$L$12*IF($E307=$E$5,(I$5),(I$6))</f>
        <v>0</v>
      </c>
      <c r="J307" s="39">
        <f>'Degree-days'!$L$12*IF($E307=$E$5,(J$5),(J$6))</f>
        <v>0</v>
      </c>
      <c r="K307" s="39">
        <f>'Degree-days'!$L$12*IF($E307=$E$5,(K$5),(K$6))</f>
        <v>0</v>
      </c>
      <c r="L307" s="39">
        <f>'Degree-days'!$L$12*IF($E307=$E$5,(L$5),(L$6))</f>
        <v>1.5389274342173849</v>
      </c>
      <c r="M307" s="39">
        <f>'Degree-days'!$L$12*IF($E307=$E$5,(M$5),(M$6))</f>
        <v>1.5389274342173849</v>
      </c>
      <c r="N307" s="39">
        <f>'Degree-days'!$L$12*IF($E307=$E$5,(N$5),(N$6))</f>
        <v>0</v>
      </c>
      <c r="O307" s="39">
        <f>'Degree-days'!$L$12*IF($E307=$E$5,(O$5),(O$6))</f>
        <v>0</v>
      </c>
      <c r="P307" s="39">
        <f>'Degree-days'!$L$12*IF($E307=$E$5,(P$5),(P$6))</f>
        <v>0</v>
      </c>
      <c r="Q307" s="39">
        <f>'Degree-days'!$L$12*IF($E307=$E$5,(Q$5),(Q$6))</f>
        <v>0</v>
      </c>
      <c r="R307" s="39">
        <f>'Degree-days'!$L$12*IF($E307=$E$5,(R$5),(R$6))</f>
        <v>0</v>
      </c>
      <c r="S307" s="39">
        <f>'Degree-days'!$L$12*IF($E307=$E$5,(S$5),(S$6))</f>
        <v>0</v>
      </c>
      <c r="T307" s="39">
        <f>'Degree-days'!$L$12*IF($E307=$E$5,(T$5),(T$6))</f>
        <v>0</v>
      </c>
      <c r="U307" s="39">
        <f>'Degree-days'!$L$12*IF($E307=$E$5,(U$5),(U$6))</f>
        <v>1.5389274342173849</v>
      </c>
      <c r="V307" s="39">
        <f>'Degree-days'!$L$12*IF($E307=$E$5,(V$5),(V$6))</f>
        <v>1.5389274342173849</v>
      </c>
      <c r="W307" s="39">
        <f>'Degree-days'!$L$12*IF($E307=$E$5,(W$5),(W$6))</f>
        <v>1.5389274342173849</v>
      </c>
      <c r="X307" s="39">
        <f>'Degree-days'!$L$12*IF($E307=$E$5,(X$5),(X$6))</f>
        <v>1.5389274342173849</v>
      </c>
      <c r="Y307" s="39">
        <f>'Degree-days'!$L$12*IF($E307=$E$5,(Y$5),(Y$6))</f>
        <v>1.5389274342173849</v>
      </c>
      <c r="Z307" s="39">
        <f>'Degree-days'!$L$12*IF($E307=$E$5,(Z$5),(Z$6))</f>
        <v>1.5389274342173849</v>
      </c>
      <c r="AA307" s="39">
        <f>'Degree-days'!$L$12*IF($E307=$E$5,(AA$5),(AA$6))</f>
        <v>1.5389274342173849</v>
      </c>
      <c r="AB307" s="39">
        <f>'Degree-days'!$L$12*IF($E307=$E$5,(AB$5),(AB$6))</f>
        <v>0</v>
      </c>
      <c r="AC307" s="39">
        <f>'Degree-days'!$L$12*IF($E307=$E$5,(AC$5),(AC$6))</f>
        <v>0</v>
      </c>
      <c r="AD307" s="39">
        <f t="shared" si="12"/>
        <v>13.850346907956464</v>
      </c>
    </row>
    <row r="308" spans="4:32" x14ac:dyDescent="0.2">
      <c r="D308" s="37">
        <v>45227</v>
      </c>
      <c r="E308" s="17" t="str">
        <f t="shared" si="11"/>
        <v>weekend</v>
      </c>
      <c r="F308" s="39">
        <f>'Degree-days'!$L$12*IF($E308=$E$5,(F$5),(F$6))</f>
        <v>0</v>
      </c>
      <c r="G308" s="39">
        <f>'Degree-days'!$L$12*IF($E308=$E$5,(G$5),(G$6))</f>
        <v>0</v>
      </c>
      <c r="H308" s="39">
        <f>'Degree-days'!$L$12*IF($E308=$E$5,(H$5),(H$6))</f>
        <v>0</v>
      </c>
      <c r="I308" s="39">
        <f>'Degree-days'!$L$12*IF($E308=$E$5,(I$5),(I$6))</f>
        <v>0</v>
      </c>
      <c r="J308" s="39">
        <f>'Degree-days'!$L$12*IF($E308=$E$5,(J$5),(J$6))</f>
        <v>0</v>
      </c>
      <c r="K308" s="39">
        <f>'Degree-days'!$L$12*IF($E308=$E$5,(K$5),(K$6))</f>
        <v>0</v>
      </c>
      <c r="L308" s="39">
        <f>'Degree-days'!$L$12*IF($E308=$E$5,(L$5),(L$6))</f>
        <v>1.5389274342173849</v>
      </c>
      <c r="M308" s="39">
        <f>'Degree-days'!$L$12*IF($E308=$E$5,(M$5),(M$6))</f>
        <v>1.5389274342173849</v>
      </c>
      <c r="N308" s="39">
        <f>'Degree-days'!$L$12*IF($E308=$E$5,(N$5),(N$6))</f>
        <v>1.5389274342173849</v>
      </c>
      <c r="O308" s="39">
        <f>'Degree-days'!$L$12*IF($E308=$E$5,(O$5),(O$6))</f>
        <v>1.5389274342173849</v>
      </c>
      <c r="P308" s="39">
        <f>'Degree-days'!$L$12*IF($E308=$E$5,(P$5),(P$6))</f>
        <v>1.5389274342173849</v>
      </c>
      <c r="Q308" s="39">
        <f>'Degree-days'!$L$12*IF($E308=$E$5,(Q$5),(Q$6))</f>
        <v>1.5389274342173849</v>
      </c>
      <c r="R308" s="39">
        <f>'Degree-days'!$L$12*IF($E308=$E$5,(R$5),(R$6))</f>
        <v>1.5389274342173849</v>
      </c>
      <c r="S308" s="39">
        <f>'Degree-days'!$L$12*IF($E308=$E$5,(S$5),(S$6))</f>
        <v>1.5389274342173849</v>
      </c>
      <c r="T308" s="39">
        <f>'Degree-days'!$L$12*IF($E308=$E$5,(T$5),(T$6))</f>
        <v>1.5389274342173849</v>
      </c>
      <c r="U308" s="39">
        <f>'Degree-days'!$L$12*IF($E308=$E$5,(U$5),(U$6))</f>
        <v>1.5389274342173849</v>
      </c>
      <c r="V308" s="39">
        <f>'Degree-days'!$L$12*IF($E308=$E$5,(V$5),(V$6))</f>
        <v>1.5389274342173849</v>
      </c>
      <c r="W308" s="39">
        <f>'Degree-days'!$L$12*IF($E308=$E$5,(W$5),(W$6))</f>
        <v>1.5389274342173849</v>
      </c>
      <c r="X308" s="39">
        <f>'Degree-days'!$L$12*IF($E308=$E$5,(X$5),(X$6))</f>
        <v>1.5389274342173849</v>
      </c>
      <c r="Y308" s="39">
        <f>'Degree-days'!$L$12*IF($E308=$E$5,(Y$5),(Y$6))</f>
        <v>1.5389274342173849</v>
      </c>
      <c r="Z308" s="39">
        <f>'Degree-days'!$L$12*IF($E308=$E$5,(Z$5),(Z$6))</f>
        <v>1.5389274342173849</v>
      </c>
      <c r="AA308" s="39">
        <f>'Degree-days'!$L$12*IF($E308=$E$5,(AA$5),(AA$6))</f>
        <v>1.5389274342173849</v>
      </c>
      <c r="AB308" s="39">
        <f>'Degree-days'!$L$12*IF($E308=$E$5,(AB$5),(AB$6))</f>
        <v>0</v>
      </c>
      <c r="AC308" s="39">
        <f>'Degree-days'!$L$12*IF($E308=$E$5,(AC$5),(AC$6))</f>
        <v>0</v>
      </c>
      <c r="AD308" s="39">
        <f t="shared" si="12"/>
        <v>24.622838947478158</v>
      </c>
    </row>
    <row r="309" spans="4:32" x14ac:dyDescent="0.2">
      <c r="D309" s="37">
        <v>45228</v>
      </c>
      <c r="E309" s="17" t="str">
        <f t="shared" si="11"/>
        <v>weekend</v>
      </c>
      <c r="F309" s="39">
        <f>'Degree-days'!$L$12*IF($E309=$E$5,(F$5),(F$6))</f>
        <v>0</v>
      </c>
      <c r="G309" s="39">
        <f>'Degree-days'!$L$12*IF($E309=$E$5,(G$5),(G$6))</f>
        <v>0</v>
      </c>
      <c r="H309" s="39">
        <f>'Degree-days'!$L$12*IF($E309=$E$5,(H$5),(H$6))</f>
        <v>0</v>
      </c>
      <c r="I309" s="39">
        <f>'Degree-days'!$L$12*IF($E309=$E$5,(I$5),(I$6))</f>
        <v>0</v>
      </c>
      <c r="J309" s="39">
        <f>'Degree-days'!$L$12*IF($E309=$E$5,(J$5),(J$6))</f>
        <v>0</v>
      </c>
      <c r="K309" s="39">
        <f>'Degree-days'!$L$12*IF($E309=$E$5,(K$5),(K$6))</f>
        <v>0</v>
      </c>
      <c r="L309" s="39">
        <f>'Degree-days'!$L$12*IF($E309=$E$5,(L$5),(L$6))</f>
        <v>1.5389274342173849</v>
      </c>
      <c r="M309" s="39">
        <f>'Degree-days'!$L$12*IF($E309=$E$5,(M$5),(M$6))</f>
        <v>1.5389274342173849</v>
      </c>
      <c r="N309" s="39">
        <f>'Degree-days'!$L$12*IF($E309=$E$5,(N$5),(N$6))</f>
        <v>1.5389274342173849</v>
      </c>
      <c r="O309" s="39">
        <f>'Degree-days'!$L$12*IF($E309=$E$5,(O$5),(O$6))</f>
        <v>1.5389274342173849</v>
      </c>
      <c r="P309" s="39">
        <f>'Degree-days'!$L$12*IF($E309=$E$5,(P$5),(P$6))</f>
        <v>1.5389274342173849</v>
      </c>
      <c r="Q309" s="39">
        <f>'Degree-days'!$L$12*IF($E309=$E$5,(Q$5),(Q$6))</f>
        <v>1.5389274342173849</v>
      </c>
      <c r="R309" s="39">
        <f>'Degree-days'!$L$12*IF($E309=$E$5,(R$5),(R$6))</f>
        <v>1.5389274342173849</v>
      </c>
      <c r="S309" s="39">
        <f>'Degree-days'!$L$12*IF($E309=$E$5,(S$5),(S$6))</f>
        <v>1.5389274342173849</v>
      </c>
      <c r="T309" s="39">
        <f>'Degree-days'!$L$12*IF($E309=$E$5,(T$5),(T$6))</f>
        <v>1.5389274342173849</v>
      </c>
      <c r="U309" s="39">
        <f>'Degree-days'!$L$12*IF($E309=$E$5,(U$5),(U$6))</f>
        <v>1.5389274342173849</v>
      </c>
      <c r="V309" s="39">
        <f>'Degree-days'!$L$12*IF($E309=$E$5,(V$5),(V$6))</f>
        <v>1.5389274342173849</v>
      </c>
      <c r="W309" s="39">
        <f>'Degree-days'!$L$12*IF($E309=$E$5,(W$5),(W$6))</f>
        <v>1.5389274342173849</v>
      </c>
      <c r="X309" s="39">
        <f>'Degree-days'!$L$12*IF($E309=$E$5,(X$5),(X$6))</f>
        <v>1.5389274342173849</v>
      </c>
      <c r="Y309" s="39">
        <f>'Degree-days'!$L$12*IF($E309=$E$5,(Y$5),(Y$6))</f>
        <v>1.5389274342173849</v>
      </c>
      <c r="Z309" s="39">
        <f>'Degree-days'!$L$12*IF($E309=$E$5,(Z$5),(Z$6))</f>
        <v>1.5389274342173849</v>
      </c>
      <c r="AA309" s="39">
        <f>'Degree-days'!$L$12*IF($E309=$E$5,(AA$5),(AA$6))</f>
        <v>1.5389274342173849</v>
      </c>
      <c r="AB309" s="39">
        <f>'Degree-days'!$L$12*IF($E309=$E$5,(AB$5),(AB$6))</f>
        <v>0</v>
      </c>
      <c r="AC309" s="39">
        <f>'Degree-days'!$L$12*IF($E309=$E$5,(AC$5),(AC$6))</f>
        <v>0</v>
      </c>
      <c r="AD309" s="39">
        <f t="shared" si="12"/>
        <v>24.622838947478158</v>
      </c>
    </row>
    <row r="310" spans="4:32" x14ac:dyDescent="0.2">
      <c r="D310" s="37">
        <v>45229</v>
      </c>
      <c r="E310" s="17" t="str">
        <f t="shared" si="11"/>
        <v>weekday</v>
      </c>
      <c r="F310" s="39">
        <f>'Degree-days'!$L$12*IF($E310=$E$5,(F$5),(F$6))</f>
        <v>0</v>
      </c>
      <c r="G310" s="39">
        <f>'Degree-days'!$L$12*IF($E310=$E$5,(G$5),(G$6))</f>
        <v>0</v>
      </c>
      <c r="H310" s="39">
        <f>'Degree-days'!$L$12*IF($E310=$E$5,(H$5),(H$6))</f>
        <v>0</v>
      </c>
      <c r="I310" s="39">
        <f>'Degree-days'!$L$12*IF($E310=$E$5,(I$5),(I$6))</f>
        <v>0</v>
      </c>
      <c r="J310" s="39">
        <f>'Degree-days'!$L$12*IF($E310=$E$5,(J$5),(J$6))</f>
        <v>0</v>
      </c>
      <c r="K310" s="39">
        <f>'Degree-days'!$L$12*IF($E310=$E$5,(K$5),(K$6))</f>
        <v>0</v>
      </c>
      <c r="L310" s="39">
        <f>'Degree-days'!$L$12*IF($E310=$E$5,(L$5),(L$6))</f>
        <v>1.5389274342173849</v>
      </c>
      <c r="M310" s="39">
        <f>'Degree-days'!$L$12*IF($E310=$E$5,(M$5),(M$6))</f>
        <v>1.5389274342173849</v>
      </c>
      <c r="N310" s="39">
        <f>'Degree-days'!$L$12*IF($E310=$E$5,(N$5),(N$6))</f>
        <v>0</v>
      </c>
      <c r="O310" s="39">
        <f>'Degree-days'!$L$12*IF($E310=$E$5,(O$5),(O$6))</f>
        <v>0</v>
      </c>
      <c r="P310" s="39">
        <f>'Degree-days'!$L$12*IF($E310=$E$5,(P$5),(P$6))</f>
        <v>0</v>
      </c>
      <c r="Q310" s="39">
        <f>'Degree-days'!$L$12*IF($E310=$E$5,(Q$5),(Q$6))</f>
        <v>0</v>
      </c>
      <c r="R310" s="39">
        <f>'Degree-days'!$L$12*IF($E310=$E$5,(R$5),(R$6))</f>
        <v>0</v>
      </c>
      <c r="S310" s="39">
        <f>'Degree-days'!$L$12*IF($E310=$E$5,(S$5),(S$6))</f>
        <v>0</v>
      </c>
      <c r="T310" s="39">
        <f>'Degree-days'!$L$12*IF($E310=$E$5,(T$5),(T$6))</f>
        <v>0</v>
      </c>
      <c r="U310" s="39">
        <f>'Degree-days'!$L$12*IF($E310=$E$5,(U$5),(U$6))</f>
        <v>1.5389274342173849</v>
      </c>
      <c r="V310" s="39">
        <f>'Degree-days'!$L$12*IF($E310=$E$5,(V$5),(V$6))</f>
        <v>1.5389274342173849</v>
      </c>
      <c r="W310" s="39">
        <f>'Degree-days'!$L$12*IF($E310=$E$5,(W$5),(W$6))</f>
        <v>1.5389274342173849</v>
      </c>
      <c r="X310" s="39">
        <f>'Degree-days'!$L$12*IF($E310=$E$5,(X$5),(X$6))</f>
        <v>1.5389274342173849</v>
      </c>
      <c r="Y310" s="39">
        <f>'Degree-days'!$L$12*IF($E310=$E$5,(Y$5),(Y$6))</f>
        <v>1.5389274342173849</v>
      </c>
      <c r="Z310" s="39">
        <f>'Degree-days'!$L$12*IF($E310=$E$5,(Z$5),(Z$6))</f>
        <v>1.5389274342173849</v>
      </c>
      <c r="AA310" s="39">
        <f>'Degree-days'!$L$12*IF($E310=$E$5,(AA$5),(AA$6))</f>
        <v>1.5389274342173849</v>
      </c>
      <c r="AB310" s="39">
        <f>'Degree-days'!$L$12*IF($E310=$E$5,(AB$5),(AB$6))</f>
        <v>0</v>
      </c>
      <c r="AC310" s="39">
        <f>'Degree-days'!$L$12*IF($E310=$E$5,(AC$5),(AC$6))</f>
        <v>0</v>
      </c>
      <c r="AD310" s="39">
        <f t="shared" si="12"/>
        <v>13.850346907956464</v>
      </c>
    </row>
    <row r="311" spans="4:32" x14ac:dyDescent="0.2">
      <c r="D311" s="37">
        <v>45230</v>
      </c>
      <c r="E311" s="17" t="str">
        <f t="shared" si="11"/>
        <v>weekday</v>
      </c>
      <c r="F311" s="39">
        <f>'Degree-days'!$L$12*IF($E311=$E$5,(F$5),(F$6))</f>
        <v>0</v>
      </c>
      <c r="G311" s="39">
        <f>'Degree-days'!$L$12*IF($E311=$E$5,(G$5),(G$6))</f>
        <v>0</v>
      </c>
      <c r="H311" s="39">
        <f>'Degree-days'!$L$12*IF($E311=$E$5,(H$5),(H$6))</f>
        <v>0</v>
      </c>
      <c r="I311" s="39">
        <f>'Degree-days'!$L$12*IF($E311=$E$5,(I$5),(I$6))</f>
        <v>0</v>
      </c>
      <c r="J311" s="39">
        <f>'Degree-days'!$L$12*IF($E311=$E$5,(J$5),(J$6))</f>
        <v>0</v>
      </c>
      <c r="K311" s="39">
        <f>'Degree-days'!$L$12*IF($E311=$E$5,(K$5),(K$6))</f>
        <v>0</v>
      </c>
      <c r="L311" s="39">
        <f>'Degree-days'!$L$12*IF($E311=$E$5,(L$5),(L$6))</f>
        <v>1.5389274342173849</v>
      </c>
      <c r="M311" s="39">
        <f>'Degree-days'!$L$12*IF($E311=$E$5,(M$5),(M$6))</f>
        <v>1.5389274342173849</v>
      </c>
      <c r="N311" s="39">
        <f>'Degree-days'!$L$12*IF($E311=$E$5,(N$5),(N$6))</f>
        <v>0</v>
      </c>
      <c r="O311" s="39">
        <f>'Degree-days'!$L$12*IF($E311=$E$5,(O$5),(O$6))</f>
        <v>0</v>
      </c>
      <c r="P311" s="39">
        <f>'Degree-days'!$L$12*IF($E311=$E$5,(P$5),(P$6))</f>
        <v>0</v>
      </c>
      <c r="Q311" s="39">
        <f>'Degree-days'!$L$12*IF($E311=$E$5,(Q$5),(Q$6))</f>
        <v>0</v>
      </c>
      <c r="R311" s="39">
        <f>'Degree-days'!$L$12*IF($E311=$E$5,(R$5),(R$6))</f>
        <v>0</v>
      </c>
      <c r="S311" s="39">
        <f>'Degree-days'!$L$12*IF($E311=$E$5,(S$5),(S$6))</f>
        <v>0</v>
      </c>
      <c r="T311" s="39">
        <f>'Degree-days'!$L$12*IF($E311=$E$5,(T$5),(T$6))</f>
        <v>0</v>
      </c>
      <c r="U311" s="39">
        <f>'Degree-days'!$L$12*IF($E311=$E$5,(U$5),(U$6))</f>
        <v>1.5389274342173849</v>
      </c>
      <c r="V311" s="39">
        <f>'Degree-days'!$L$12*IF($E311=$E$5,(V$5),(V$6))</f>
        <v>1.5389274342173849</v>
      </c>
      <c r="W311" s="39">
        <f>'Degree-days'!$L$12*IF($E311=$E$5,(W$5),(W$6))</f>
        <v>1.5389274342173849</v>
      </c>
      <c r="X311" s="39">
        <f>'Degree-days'!$L$12*IF($E311=$E$5,(X$5),(X$6))</f>
        <v>1.5389274342173849</v>
      </c>
      <c r="Y311" s="39">
        <f>'Degree-days'!$L$12*IF($E311=$E$5,(Y$5),(Y$6))</f>
        <v>1.5389274342173849</v>
      </c>
      <c r="Z311" s="39">
        <f>'Degree-days'!$L$12*IF($E311=$E$5,(Z$5),(Z$6))</f>
        <v>1.5389274342173849</v>
      </c>
      <c r="AA311" s="39">
        <f>'Degree-days'!$L$12*IF($E311=$E$5,(AA$5),(AA$6))</f>
        <v>1.5389274342173849</v>
      </c>
      <c r="AB311" s="39">
        <f>'Degree-days'!$L$12*IF($E311=$E$5,(AB$5),(AB$6))</f>
        <v>0</v>
      </c>
      <c r="AC311" s="39">
        <f>'Degree-days'!$L$12*IF($E311=$E$5,(AC$5),(AC$6))</f>
        <v>0</v>
      </c>
      <c r="AD311" s="39">
        <f t="shared" si="12"/>
        <v>13.850346907956464</v>
      </c>
      <c r="AE311" s="40">
        <f>SUM(AD281:AD311)</f>
        <v>526.31318250234563</v>
      </c>
      <c r="AF311" s="35">
        <f>'Degree-days'!L11</f>
        <v>526.31318250234563</v>
      </c>
    </row>
    <row r="312" spans="4:32" x14ac:dyDescent="0.2">
      <c r="D312" s="37">
        <v>45231</v>
      </c>
      <c r="E312" s="17" t="str">
        <f t="shared" si="11"/>
        <v>weekday</v>
      </c>
      <c r="F312" s="39">
        <f>'Degree-days'!$M$12*IF($E312=$E$5,(F$5),(F$6))</f>
        <v>0</v>
      </c>
      <c r="G312" s="39">
        <f>'Degree-days'!$M$12*IF($E312=$E$5,(G$5),(G$6))</f>
        <v>0</v>
      </c>
      <c r="H312" s="39">
        <f>'Degree-days'!$M$12*IF($E312=$E$5,(H$5),(H$6))</f>
        <v>0</v>
      </c>
      <c r="I312" s="39">
        <f>'Degree-days'!$M$12*IF($E312=$E$5,(I$5),(I$6))</f>
        <v>0</v>
      </c>
      <c r="J312" s="39">
        <f>'Degree-days'!$M$12*IF($E312=$E$5,(J$5),(J$6))</f>
        <v>0</v>
      </c>
      <c r="K312" s="39">
        <f>'Degree-days'!$M$12*IF($E312=$E$5,(K$5),(K$6))</f>
        <v>0</v>
      </c>
      <c r="L312" s="39">
        <f>'Degree-days'!$M$12*IF($E312=$E$5,(L$5),(L$6))</f>
        <v>2.6699824906799807</v>
      </c>
      <c r="M312" s="39">
        <f>'Degree-days'!$M$12*IF($E312=$E$5,(M$5),(M$6))</f>
        <v>2.6699824906799807</v>
      </c>
      <c r="N312" s="39">
        <f>'Degree-days'!$M$12*IF($E312=$E$5,(N$5),(N$6))</f>
        <v>0</v>
      </c>
      <c r="O312" s="39">
        <f>'Degree-days'!$M$12*IF($E312=$E$5,(O$5),(O$6))</f>
        <v>0</v>
      </c>
      <c r="P312" s="39">
        <f>'Degree-days'!$M$12*IF($E312=$E$5,(P$5),(P$6))</f>
        <v>0</v>
      </c>
      <c r="Q312" s="39">
        <f>'Degree-days'!$M$12*IF($E312=$E$5,(Q$5),(Q$6))</f>
        <v>0</v>
      </c>
      <c r="R312" s="39">
        <f>'Degree-days'!$M$12*IF($E312=$E$5,(R$5),(R$6))</f>
        <v>0</v>
      </c>
      <c r="S312" s="39">
        <f>'Degree-days'!$M$12*IF($E312=$E$5,(S$5),(S$6))</f>
        <v>0</v>
      </c>
      <c r="T312" s="39">
        <f>'Degree-days'!$M$12*IF($E312=$E$5,(T$5),(T$6))</f>
        <v>0</v>
      </c>
      <c r="U312" s="39">
        <f>'Degree-days'!$M$12*IF($E312=$E$5,(U$5),(U$6))</f>
        <v>2.6699824906799807</v>
      </c>
      <c r="V312" s="39">
        <f>'Degree-days'!$M$12*IF($E312=$E$5,(V$5),(V$6))</f>
        <v>2.6699824906799807</v>
      </c>
      <c r="W312" s="39">
        <f>'Degree-days'!$M$12*IF($E312=$E$5,(W$5),(W$6))</f>
        <v>2.6699824906799807</v>
      </c>
      <c r="X312" s="39">
        <f>'Degree-days'!$M$12*IF($E312=$E$5,(X$5),(X$6))</f>
        <v>2.6699824906799807</v>
      </c>
      <c r="Y312" s="39">
        <f>'Degree-days'!$M$12*IF($E312=$E$5,(Y$5),(Y$6))</f>
        <v>2.6699824906799807</v>
      </c>
      <c r="Z312" s="39">
        <f>'Degree-days'!$M$12*IF($E312=$E$5,(Z$5),(Z$6))</f>
        <v>2.6699824906799807</v>
      </c>
      <c r="AA312" s="39">
        <f>'Degree-days'!$M$12*IF($E312=$E$5,(AA$5),(AA$6))</f>
        <v>2.6699824906799807</v>
      </c>
      <c r="AB312" s="39">
        <f>'Degree-days'!$M$12*IF($E312=$E$5,(AB$5),(AB$6))</f>
        <v>0</v>
      </c>
      <c r="AC312" s="39">
        <f>'Degree-days'!$M$12*IF($E312=$E$5,(AC$5),(AC$6))</f>
        <v>0</v>
      </c>
      <c r="AD312" s="39">
        <f t="shared" si="12"/>
        <v>24.029842416119827</v>
      </c>
    </row>
    <row r="313" spans="4:32" x14ac:dyDescent="0.2">
      <c r="D313" s="37">
        <v>45232</v>
      </c>
      <c r="E313" s="17" t="str">
        <f t="shared" si="11"/>
        <v>weekday</v>
      </c>
      <c r="F313" s="39">
        <f>'Degree-days'!$M$12*IF($E313=$E$5,(F$5),(F$6))</f>
        <v>0</v>
      </c>
      <c r="G313" s="39">
        <f>'Degree-days'!$M$12*IF($E313=$E$5,(G$5),(G$6))</f>
        <v>0</v>
      </c>
      <c r="H313" s="39">
        <f>'Degree-days'!$M$12*IF($E313=$E$5,(H$5),(H$6))</f>
        <v>0</v>
      </c>
      <c r="I313" s="39">
        <f>'Degree-days'!$M$12*IF($E313=$E$5,(I$5),(I$6))</f>
        <v>0</v>
      </c>
      <c r="J313" s="39">
        <f>'Degree-days'!$M$12*IF($E313=$E$5,(J$5),(J$6))</f>
        <v>0</v>
      </c>
      <c r="K313" s="39">
        <f>'Degree-days'!$M$12*IF($E313=$E$5,(K$5),(K$6))</f>
        <v>0</v>
      </c>
      <c r="L313" s="39">
        <f>'Degree-days'!$M$12*IF($E313=$E$5,(L$5),(L$6))</f>
        <v>2.6699824906799807</v>
      </c>
      <c r="M313" s="39">
        <f>'Degree-days'!$M$12*IF($E313=$E$5,(M$5),(M$6))</f>
        <v>2.6699824906799807</v>
      </c>
      <c r="N313" s="39">
        <f>'Degree-days'!$M$12*IF($E313=$E$5,(N$5),(N$6))</f>
        <v>0</v>
      </c>
      <c r="O313" s="39">
        <f>'Degree-days'!$M$12*IF($E313=$E$5,(O$5),(O$6))</f>
        <v>0</v>
      </c>
      <c r="P313" s="39">
        <f>'Degree-days'!$M$12*IF($E313=$E$5,(P$5),(P$6))</f>
        <v>0</v>
      </c>
      <c r="Q313" s="39">
        <f>'Degree-days'!$M$12*IF($E313=$E$5,(Q$5),(Q$6))</f>
        <v>0</v>
      </c>
      <c r="R313" s="39">
        <f>'Degree-days'!$M$12*IF($E313=$E$5,(R$5),(R$6))</f>
        <v>0</v>
      </c>
      <c r="S313" s="39">
        <f>'Degree-days'!$M$12*IF($E313=$E$5,(S$5),(S$6))</f>
        <v>0</v>
      </c>
      <c r="T313" s="39">
        <f>'Degree-days'!$M$12*IF($E313=$E$5,(T$5),(T$6))</f>
        <v>0</v>
      </c>
      <c r="U313" s="39">
        <f>'Degree-days'!$M$12*IF($E313=$E$5,(U$5),(U$6))</f>
        <v>2.6699824906799807</v>
      </c>
      <c r="V313" s="39">
        <f>'Degree-days'!$M$12*IF($E313=$E$5,(V$5),(V$6))</f>
        <v>2.6699824906799807</v>
      </c>
      <c r="W313" s="39">
        <f>'Degree-days'!$M$12*IF($E313=$E$5,(W$5),(W$6))</f>
        <v>2.6699824906799807</v>
      </c>
      <c r="X313" s="39">
        <f>'Degree-days'!$M$12*IF($E313=$E$5,(X$5),(X$6))</f>
        <v>2.6699824906799807</v>
      </c>
      <c r="Y313" s="39">
        <f>'Degree-days'!$M$12*IF($E313=$E$5,(Y$5),(Y$6))</f>
        <v>2.6699824906799807</v>
      </c>
      <c r="Z313" s="39">
        <f>'Degree-days'!$M$12*IF($E313=$E$5,(Z$5),(Z$6))</f>
        <v>2.6699824906799807</v>
      </c>
      <c r="AA313" s="39">
        <f>'Degree-days'!$M$12*IF($E313=$E$5,(AA$5),(AA$6))</f>
        <v>2.6699824906799807</v>
      </c>
      <c r="AB313" s="39">
        <f>'Degree-days'!$M$12*IF($E313=$E$5,(AB$5),(AB$6))</f>
        <v>0</v>
      </c>
      <c r="AC313" s="39">
        <f>'Degree-days'!$M$12*IF($E313=$E$5,(AC$5),(AC$6))</f>
        <v>0</v>
      </c>
      <c r="AD313" s="39">
        <f t="shared" si="12"/>
        <v>24.029842416119827</v>
      </c>
    </row>
    <row r="314" spans="4:32" x14ac:dyDescent="0.2">
      <c r="D314" s="37">
        <v>45233</v>
      </c>
      <c r="E314" s="17" t="str">
        <f t="shared" si="11"/>
        <v>weekday</v>
      </c>
      <c r="F314" s="39">
        <f>'Degree-days'!$M$12*IF($E314=$E$5,(F$5),(F$6))</f>
        <v>0</v>
      </c>
      <c r="G314" s="39">
        <f>'Degree-days'!$M$12*IF($E314=$E$5,(G$5),(G$6))</f>
        <v>0</v>
      </c>
      <c r="H314" s="39">
        <f>'Degree-days'!$M$12*IF($E314=$E$5,(H$5),(H$6))</f>
        <v>0</v>
      </c>
      <c r="I314" s="39">
        <f>'Degree-days'!$M$12*IF($E314=$E$5,(I$5),(I$6))</f>
        <v>0</v>
      </c>
      <c r="J314" s="39">
        <f>'Degree-days'!$M$12*IF($E314=$E$5,(J$5),(J$6))</f>
        <v>0</v>
      </c>
      <c r="K314" s="39">
        <f>'Degree-days'!$M$12*IF($E314=$E$5,(K$5),(K$6))</f>
        <v>0</v>
      </c>
      <c r="L314" s="39">
        <f>'Degree-days'!$M$12*IF($E314=$E$5,(L$5),(L$6))</f>
        <v>2.6699824906799807</v>
      </c>
      <c r="M314" s="39">
        <f>'Degree-days'!$M$12*IF($E314=$E$5,(M$5),(M$6))</f>
        <v>2.6699824906799807</v>
      </c>
      <c r="N314" s="39">
        <f>'Degree-days'!$M$12*IF($E314=$E$5,(N$5),(N$6))</f>
        <v>0</v>
      </c>
      <c r="O314" s="39">
        <f>'Degree-days'!$M$12*IF($E314=$E$5,(O$5),(O$6))</f>
        <v>0</v>
      </c>
      <c r="P314" s="39">
        <f>'Degree-days'!$M$12*IF($E314=$E$5,(P$5),(P$6))</f>
        <v>0</v>
      </c>
      <c r="Q314" s="39">
        <f>'Degree-days'!$M$12*IF($E314=$E$5,(Q$5),(Q$6))</f>
        <v>0</v>
      </c>
      <c r="R314" s="39">
        <f>'Degree-days'!$M$12*IF($E314=$E$5,(R$5),(R$6))</f>
        <v>0</v>
      </c>
      <c r="S314" s="39">
        <f>'Degree-days'!$M$12*IF($E314=$E$5,(S$5),(S$6))</f>
        <v>0</v>
      </c>
      <c r="T314" s="39">
        <f>'Degree-days'!$M$12*IF($E314=$E$5,(T$5),(T$6))</f>
        <v>0</v>
      </c>
      <c r="U314" s="39">
        <f>'Degree-days'!$M$12*IF($E314=$E$5,(U$5),(U$6))</f>
        <v>2.6699824906799807</v>
      </c>
      <c r="V314" s="39">
        <f>'Degree-days'!$M$12*IF($E314=$E$5,(V$5),(V$6))</f>
        <v>2.6699824906799807</v>
      </c>
      <c r="W314" s="39">
        <f>'Degree-days'!$M$12*IF($E314=$E$5,(W$5),(W$6))</f>
        <v>2.6699824906799807</v>
      </c>
      <c r="X314" s="39">
        <f>'Degree-days'!$M$12*IF($E314=$E$5,(X$5),(X$6))</f>
        <v>2.6699824906799807</v>
      </c>
      <c r="Y314" s="39">
        <f>'Degree-days'!$M$12*IF($E314=$E$5,(Y$5),(Y$6))</f>
        <v>2.6699824906799807</v>
      </c>
      <c r="Z314" s="39">
        <f>'Degree-days'!$M$12*IF($E314=$E$5,(Z$5),(Z$6))</f>
        <v>2.6699824906799807</v>
      </c>
      <c r="AA314" s="39">
        <f>'Degree-days'!$M$12*IF($E314=$E$5,(AA$5),(AA$6))</f>
        <v>2.6699824906799807</v>
      </c>
      <c r="AB314" s="39">
        <f>'Degree-days'!$M$12*IF($E314=$E$5,(AB$5),(AB$6))</f>
        <v>0</v>
      </c>
      <c r="AC314" s="39">
        <f>'Degree-days'!$M$12*IF($E314=$E$5,(AC$5),(AC$6))</f>
        <v>0</v>
      </c>
      <c r="AD314" s="39">
        <f t="shared" si="12"/>
        <v>24.029842416119827</v>
      </c>
    </row>
    <row r="315" spans="4:32" x14ac:dyDescent="0.2">
      <c r="D315" s="37">
        <v>45234</v>
      </c>
      <c r="E315" s="17" t="str">
        <f t="shared" si="11"/>
        <v>weekend</v>
      </c>
      <c r="F315" s="39">
        <f>'Degree-days'!$M$12*IF($E315=$E$5,(F$5),(F$6))</f>
        <v>0</v>
      </c>
      <c r="G315" s="39">
        <f>'Degree-days'!$M$12*IF($E315=$E$5,(G$5),(G$6))</f>
        <v>0</v>
      </c>
      <c r="H315" s="39">
        <f>'Degree-days'!$M$12*IF($E315=$E$5,(H$5),(H$6))</f>
        <v>0</v>
      </c>
      <c r="I315" s="39">
        <f>'Degree-days'!$M$12*IF($E315=$E$5,(I$5),(I$6))</f>
        <v>0</v>
      </c>
      <c r="J315" s="39">
        <f>'Degree-days'!$M$12*IF($E315=$E$5,(J$5),(J$6))</f>
        <v>0</v>
      </c>
      <c r="K315" s="39">
        <f>'Degree-days'!$M$12*IF($E315=$E$5,(K$5),(K$6))</f>
        <v>0</v>
      </c>
      <c r="L315" s="39">
        <f>'Degree-days'!$M$12*IF($E315=$E$5,(L$5),(L$6))</f>
        <v>2.6699824906799807</v>
      </c>
      <c r="M315" s="39">
        <f>'Degree-days'!$M$12*IF($E315=$E$5,(M$5),(M$6))</f>
        <v>2.6699824906799807</v>
      </c>
      <c r="N315" s="39">
        <f>'Degree-days'!$M$12*IF($E315=$E$5,(N$5),(N$6))</f>
        <v>2.6699824906799807</v>
      </c>
      <c r="O315" s="39">
        <f>'Degree-days'!$M$12*IF($E315=$E$5,(O$5),(O$6))</f>
        <v>2.6699824906799807</v>
      </c>
      <c r="P315" s="39">
        <f>'Degree-days'!$M$12*IF($E315=$E$5,(P$5),(P$6))</f>
        <v>2.6699824906799807</v>
      </c>
      <c r="Q315" s="39">
        <f>'Degree-days'!$M$12*IF($E315=$E$5,(Q$5),(Q$6))</f>
        <v>2.6699824906799807</v>
      </c>
      <c r="R315" s="39">
        <f>'Degree-days'!$M$12*IF($E315=$E$5,(R$5),(R$6))</f>
        <v>2.6699824906799807</v>
      </c>
      <c r="S315" s="39">
        <f>'Degree-days'!$M$12*IF($E315=$E$5,(S$5),(S$6))</f>
        <v>2.6699824906799807</v>
      </c>
      <c r="T315" s="39">
        <f>'Degree-days'!$M$12*IF($E315=$E$5,(T$5),(T$6))</f>
        <v>2.6699824906799807</v>
      </c>
      <c r="U315" s="39">
        <f>'Degree-days'!$M$12*IF($E315=$E$5,(U$5),(U$6))</f>
        <v>2.6699824906799807</v>
      </c>
      <c r="V315" s="39">
        <f>'Degree-days'!$M$12*IF($E315=$E$5,(V$5),(V$6))</f>
        <v>2.6699824906799807</v>
      </c>
      <c r="W315" s="39">
        <f>'Degree-days'!$M$12*IF($E315=$E$5,(W$5),(W$6))</f>
        <v>2.6699824906799807</v>
      </c>
      <c r="X315" s="39">
        <f>'Degree-days'!$M$12*IF($E315=$E$5,(X$5),(X$6))</f>
        <v>2.6699824906799807</v>
      </c>
      <c r="Y315" s="39">
        <f>'Degree-days'!$M$12*IF($E315=$E$5,(Y$5),(Y$6))</f>
        <v>2.6699824906799807</v>
      </c>
      <c r="Z315" s="39">
        <f>'Degree-days'!$M$12*IF($E315=$E$5,(Z$5),(Z$6))</f>
        <v>2.6699824906799807</v>
      </c>
      <c r="AA315" s="39">
        <f>'Degree-days'!$M$12*IF($E315=$E$5,(AA$5),(AA$6))</f>
        <v>2.6699824906799807</v>
      </c>
      <c r="AB315" s="39">
        <f>'Degree-days'!$M$12*IF($E315=$E$5,(AB$5),(AB$6))</f>
        <v>0</v>
      </c>
      <c r="AC315" s="39">
        <f>'Degree-days'!$M$12*IF($E315=$E$5,(AC$5),(AC$6))</f>
        <v>0</v>
      </c>
      <c r="AD315" s="39">
        <f t="shared" si="12"/>
        <v>42.719719850879677</v>
      </c>
    </row>
    <row r="316" spans="4:32" x14ac:dyDescent="0.2">
      <c r="D316" s="37">
        <v>45235</v>
      </c>
      <c r="E316" s="17" t="str">
        <f t="shared" si="11"/>
        <v>weekend</v>
      </c>
      <c r="F316" s="39">
        <f>'Degree-days'!$M$12*IF($E316=$E$5,(F$5),(F$6))</f>
        <v>0</v>
      </c>
      <c r="G316" s="39">
        <f>'Degree-days'!$M$12*IF($E316=$E$5,(G$5),(G$6))</f>
        <v>0</v>
      </c>
      <c r="H316" s="39">
        <f>'Degree-days'!$M$12*IF($E316=$E$5,(H$5),(H$6))</f>
        <v>0</v>
      </c>
      <c r="I316" s="39">
        <f>'Degree-days'!$M$12*IF($E316=$E$5,(I$5),(I$6))</f>
        <v>0</v>
      </c>
      <c r="J316" s="39">
        <f>'Degree-days'!$M$12*IF($E316=$E$5,(J$5),(J$6))</f>
        <v>0</v>
      </c>
      <c r="K316" s="39">
        <f>'Degree-days'!$M$12*IF($E316=$E$5,(K$5),(K$6))</f>
        <v>0</v>
      </c>
      <c r="L316" s="39">
        <f>'Degree-days'!$M$12*IF($E316=$E$5,(L$5),(L$6))</f>
        <v>2.6699824906799807</v>
      </c>
      <c r="M316" s="39">
        <f>'Degree-days'!$M$12*IF($E316=$E$5,(M$5),(M$6))</f>
        <v>2.6699824906799807</v>
      </c>
      <c r="N316" s="39">
        <f>'Degree-days'!$M$12*IF($E316=$E$5,(N$5),(N$6))</f>
        <v>2.6699824906799807</v>
      </c>
      <c r="O316" s="39">
        <f>'Degree-days'!$M$12*IF($E316=$E$5,(O$5),(O$6))</f>
        <v>2.6699824906799807</v>
      </c>
      <c r="P316" s="39">
        <f>'Degree-days'!$M$12*IF($E316=$E$5,(P$5),(P$6))</f>
        <v>2.6699824906799807</v>
      </c>
      <c r="Q316" s="39">
        <f>'Degree-days'!$M$12*IF($E316=$E$5,(Q$5),(Q$6))</f>
        <v>2.6699824906799807</v>
      </c>
      <c r="R316" s="39">
        <f>'Degree-days'!$M$12*IF($E316=$E$5,(R$5),(R$6))</f>
        <v>2.6699824906799807</v>
      </c>
      <c r="S316" s="39">
        <f>'Degree-days'!$M$12*IF($E316=$E$5,(S$5),(S$6))</f>
        <v>2.6699824906799807</v>
      </c>
      <c r="T316" s="39">
        <f>'Degree-days'!$M$12*IF($E316=$E$5,(T$5),(T$6))</f>
        <v>2.6699824906799807</v>
      </c>
      <c r="U316" s="39">
        <f>'Degree-days'!$M$12*IF($E316=$E$5,(U$5),(U$6))</f>
        <v>2.6699824906799807</v>
      </c>
      <c r="V316" s="39">
        <f>'Degree-days'!$M$12*IF($E316=$E$5,(V$5),(V$6))</f>
        <v>2.6699824906799807</v>
      </c>
      <c r="W316" s="39">
        <f>'Degree-days'!$M$12*IF($E316=$E$5,(W$5),(W$6))</f>
        <v>2.6699824906799807</v>
      </c>
      <c r="X316" s="39">
        <f>'Degree-days'!$M$12*IF($E316=$E$5,(X$5),(X$6))</f>
        <v>2.6699824906799807</v>
      </c>
      <c r="Y316" s="39">
        <f>'Degree-days'!$M$12*IF($E316=$E$5,(Y$5),(Y$6))</f>
        <v>2.6699824906799807</v>
      </c>
      <c r="Z316" s="39">
        <f>'Degree-days'!$M$12*IF($E316=$E$5,(Z$5),(Z$6))</f>
        <v>2.6699824906799807</v>
      </c>
      <c r="AA316" s="39">
        <f>'Degree-days'!$M$12*IF($E316=$E$5,(AA$5),(AA$6))</f>
        <v>2.6699824906799807</v>
      </c>
      <c r="AB316" s="39">
        <f>'Degree-days'!$M$12*IF($E316=$E$5,(AB$5),(AB$6))</f>
        <v>0</v>
      </c>
      <c r="AC316" s="39">
        <f>'Degree-days'!$M$12*IF($E316=$E$5,(AC$5),(AC$6))</f>
        <v>0</v>
      </c>
      <c r="AD316" s="39">
        <f t="shared" si="12"/>
        <v>42.719719850879677</v>
      </c>
    </row>
    <row r="317" spans="4:32" x14ac:dyDescent="0.2">
      <c r="D317" s="37">
        <v>45236</v>
      </c>
      <c r="E317" s="17" t="str">
        <f t="shared" si="11"/>
        <v>weekday</v>
      </c>
      <c r="F317" s="39">
        <f>'Degree-days'!$M$12*IF($E317=$E$5,(F$5),(F$6))</f>
        <v>0</v>
      </c>
      <c r="G317" s="39">
        <f>'Degree-days'!$M$12*IF($E317=$E$5,(G$5),(G$6))</f>
        <v>0</v>
      </c>
      <c r="H317" s="39">
        <f>'Degree-days'!$M$12*IF($E317=$E$5,(H$5),(H$6))</f>
        <v>0</v>
      </c>
      <c r="I317" s="39">
        <f>'Degree-days'!$M$12*IF($E317=$E$5,(I$5),(I$6))</f>
        <v>0</v>
      </c>
      <c r="J317" s="39">
        <f>'Degree-days'!$M$12*IF($E317=$E$5,(J$5),(J$6))</f>
        <v>0</v>
      </c>
      <c r="K317" s="39">
        <f>'Degree-days'!$M$12*IF($E317=$E$5,(K$5),(K$6))</f>
        <v>0</v>
      </c>
      <c r="L317" s="39">
        <f>'Degree-days'!$M$12*IF($E317=$E$5,(L$5),(L$6))</f>
        <v>2.6699824906799807</v>
      </c>
      <c r="M317" s="39">
        <f>'Degree-days'!$M$12*IF($E317=$E$5,(M$5),(M$6))</f>
        <v>2.6699824906799807</v>
      </c>
      <c r="N317" s="39">
        <f>'Degree-days'!$M$12*IF($E317=$E$5,(N$5),(N$6))</f>
        <v>0</v>
      </c>
      <c r="O317" s="39">
        <f>'Degree-days'!$M$12*IF($E317=$E$5,(O$5),(O$6))</f>
        <v>0</v>
      </c>
      <c r="P317" s="39">
        <f>'Degree-days'!$M$12*IF($E317=$E$5,(P$5),(P$6))</f>
        <v>0</v>
      </c>
      <c r="Q317" s="39">
        <f>'Degree-days'!$M$12*IF($E317=$E$5,(Q$5),(Q$6))</f>
        <v>0</v>
      </c>
      <c r="R317" s="39">
        <f>'Degree-days'!$M$12*IF($E317=$E$5,(R$5),(R$6))</f>
        <v>0</v>
      </c>
      <c r="S317" s="39">
        <f>'Degree-days'!$M$12*IF($E317=$E$5,(S$5),(S$6))</f>
        <v>0</v>
      </c>
      <c r="T317" s="39">
        <f>'Degree-days'!$M$12*IF($E317=$E$5,(T$5),(T$6))</f>
        <v>0</v>
      </c>
      <c r="U317" s="39">
        <f>'Degree-days'!$M$12*IF($E317=$E$5,(U$5),(U$6))</f>
        <v>2.6699824906799807</v>
      </c>
      <c r="V317" s="39">
        <f>'Degree-days'!$M$12*IF($E317=$E$5,(V$5),(V$6))</f>
        <v>2.6699824906799807</v>
      </c>
      <c r="W317" s="39">
        <f>'Degree-days'!$M$12*IF($E317=$E$5,(W$5),(W$6))</f>
        <v>2.6699824906799807</v>
      </c>
      <c r="X317" s="39">
        <f>'Degree-days'!$M$12*IF($E317=$E$5,(X$5),(X$6))</f>
        <v>2.6699824906799807</v>
      </c>
      <c r="Y317" s="39">
        <f>'Degree-days'!$M$12*IF($E317=$E$5,(Y$5),(Y$6))</f>
        <v>2.6699824906799807</v>
      </c>
      <c r="Z317" s="39">
        <f>'Degree-days'!$M$12*IF($E317=$E$5,(Z$5),(Z$6))</f>
        <v>2.6699824906799807</v>
      </c>
      <c r="AA317" s="39">
        <f>'Degree-days'!$M$12*IF($E317=$E$5,(AA$5),(AA$6))</f>
        <v>2.6699824906799807</v>
      </c>
      <c r="AB317" s="39">
        <f>'Degree-days'!$M$12*IF($E317=$E$5,(AB$5),(AB$6))</f>
        <v>0</v>
      </c>
      <c r="AC317" s="39">
        <f>'Degree-days'!$M$12*IF($E317=$E$5,(AC$5),(AC$6))</f>
        <v>0</v>
      </c>
      <c r="AD317" s="39">
        <f t="shared" si="12"/>
        <v>24.029842416119827</v>
      </c>
    </row>
    <row r="318" spans="4:32" x14ac:dyDescent="0.2">
      <c r="D318" s="37">
        <v>45237</v>
      </c>
      <c r="E318" s="17" t="str">
        <f t="shared" si="11"/>
        <v>weekday</v>
      </c>
      <c r="F318" s="39">
        <f>'Degree-days'!$M$12*IF($E318=$E$5,(F$5),(F$6))</f>
        <v>0</v>
      </c>
      <c r="G318" s="39">
        <f>'Degree-days'!$M$12*IF($E318=$E$5,(G$5),(G$6))</f>
        <v>0</v>
      </c>
      <c r="H318" s="39">
        <f>'Degree-days'!$M$12*IF($E318=$E$5,(H$5),(H$6))</f>
        <v>0</v>
      </c>
      <c r="I318" s="39">
        <f>'Degree-days'!$M$12*IF($E318=$E$5,(I$5),(I$6))</f>
        <v>0</v>
      </c>
      <c r="J318" s="39">
        <f>'Degree-days'!$M$12*IF($E318=$E$5,(J$5),(J$6))</f>
        <v>0</v>
      </c>
      <c r="K318" s="39">
        <f>'Degree-days'!$M$12*IF($E318=$E$5,(K$5),(K$6))</f>
        <v>0</v>
      </c>
      <c r="L318" s="39">
        <f>'Degree-days'!$M$12*IF($E318=$E$5,(L$5),(L$6))</f>
        <v>2.6699824906799807</v>
      </c>
      <c r="M318" s="39">
        <f>'Degree-days'!$M$12*IF($E318=$E$5,(M$5),(M$6))</f>
        <v>2.6699824906799807</v>
      </c>
      <c r="N318" s="39">
        <f>'Degree-days'!$M$12*IF($E318=$E$5,(N$5),(N$6))</f>
        <v>0</v>
      </c>
      <c r="O318" s="39">
        <f>'Degree-days'!$M$12*IF($E318=$E$5,(O$5),(O$6))</f>
        <v>0</v>
      </c>
      <c r="P318" s="39">
        <f>'Degree-days'!$M$12*IF($E318=$E$5,(P$5),(P$6))</f>
        <v>0</v>
      </c>
      <c r="Q318" s="39">
        <f>'Degree-days'!$M$12*IF($E318=$E$5,(Q$5),(Q$6))</f>
        <v>0</v>
      </c>
      <c r="R318" s="39">
        <f>'Degree-days'!$M$12*IF($E318=$E$5,(R$5),(R$6))</f>
        <v>0</v>
      </c>
      <c r="S318" s="39">
        <f>'Degree-days'!$M$12*IF($E318=$E$5,(S$5),(S$6))</f>
        <v>0</v>
      </c>
      <c r="T318" s="39">
        <f>'Degree-days'!$M$12*IF($E318=$E$5,(T$5),(T$6))</f>
        <v>0</v>
      </c>
      <c r="U318" s="39">
        <f>'Degree-days'!$M$12*IF($E318=$E$5,(U$5),(U$6))</f>
        <v>2.6699824906799807</v>
      </c>
      <c r="V318" s="39">
        <f>'Degree-days'!$M$12*IF($E318=$E$5,(V$5),(V$6))</f>
        <v>2.6699824906799807</v>
      </c>
      <c r="W318" s="39">
        <f>'Degree-days'!$M$12*IF($E318=$E$5,(W$5),(W$6))</f>
        <v>2.6699824906799807</v>
      </c>
      <c r="X318" s="39">
        <f>'Degree-days'!$M$12*IF($E318=$E$5,(X$5),(X$6))</f>
        <v>2.6699824906799807</v>
      </c>
      <c r="Y318" s="39">
        <f>'Degree-days'!$M$12*IF($E318=$E$5,(Y$5),(Y$6))</f>
        <v>2.6699824906799807</v>
      </c>
      <c r="Z318" s="39">
        <f>'Degree-days'!$M$12*IF($E318=$E$5,(Z$5),(Z$6))</f>
        <v>2.6699824906799807</v>
      </c>
      <c r="AA318" s="39">
        <f>'Degree-days'!$M$12*IF($E318=$E$5,(AA$5),(AA$6))</f>
        <v>2.6699824906799807</v>
      </c>
      <c r="AB318" s="39">
        <f>'Degree-days'!$M$12*IF($E318=$E$5,(AB$5),(AB$6))</f>
        <v>0</v>
      </c>
      <c r="AC318" s="39">
        <f>'Degree-days'!$M$12*IF($E318=$E$5,(AC$5),(AC$6))</f>
        <v>0</v>
      </c>
      <c r="AD318" s="39">
        <f t="shared" si="12"/>
        <v>24.029842416119827</v>
      </c>
    </row>
    <row r="319" spans="4:32" x14ac:dyDescent="0.2">
      <c r="D319" s="37">
        <v>45238</v>
      </c>
      <c r="E319" s="17" t="str">
        <f t="shared" si="11"/>
        <v>weekday</v>
      </c>
      <c r="F319" s="39">
        <f>'Degree-days'!$M$12*IF($E319=$E$5,(F$5),(F$6))</f>
        <v>0</v>
      </c>
      <c r="G319" s="39">
        <f>'Degree-days'!$M$12*IF($E319=$E$5,(G$5),(G$6))</f>
        <v>0</v>
      </c>
      <c r="H319" s="39">
        <f>'Degree-days'!$M$12*IF($E319=$E$5,(H$5),(H$6))</f>
        <v>0</v>
      </c>
      <c r="I319" s="39">
        <f>'Degree-days'!$M$12*IF($E319=$E$5,(I$5),(I$6))</f>
        <v>0</v>
      </c>
      <c r="J319" s="39">
        <f>'Degree-days'!$M$12*IF($E319=$E$5,(J$5),(J$6))</f>
        <v>0</v>
      </c>
      <c r="K319" s="39">
        <f>'Degree-days'!$M$12*IF($E319=$E$5,(K$5),(K$6))</f>
        <v>0</v>
      </c>
      <c r="L319" s="39">
        <f>'Degree-days'!$M$12*IF($E319=$E$5,(L$5),(L$6))</f>
        <v>2.6699824906799807</v>
      </c>
      <c r="M319" s="39">
        <f>'Degree-days'!$M$12*IF($E319=$E$5,(M$5),(M$6))</f>
        <v>2.6699824906799807</v>
      </c>
      <c r="N319" s="39">
        <f>'Degree-days'!$M$12*IF($E319=$E$5,(N$5),(N$6))</f>
        <v>0</v>
      </c>
      <c r="O319" s="39">
        <f>'Degree-days'!$M$12*IF($E319=$E$5,(O$5),(O$6))</f>
        <v>0</v>
      </c>
      <c r="P319" s="39">
        <f>'Degree-days'!$M$12*IF($E319=$E$5,(P$5),(P$6))</f>
        <v>0</v>
      </c>
      <c r="Q319" s="39">
        <f>'Degree-days'!$M$12*IF($E319=$E$5,(Q$5),(Q$6))</f>
        <v>0</v>
      </c>
      <c r="R319" s="39">
        <f>'Degree-days'!$M$12*IF($E319=$E$5,(R$5),(R$6))</f>
        <v>0</v>
      </c>
      <c r="S319" s="39">
        <f>'Degree-days'!$M$12*IF($E319=$E$5,(S$5),(S$6))</f>
        <v>0</v>
      </c>
      <c r="T319" s="39">
        <f>'Degree-days'!$M$12*IF($E319=$E$5,(T$5),(T$6))</f>
        <v>0</v>
      </c>
      <c r="U319" s="39">
        <f>'Degree-days'!$M$12*IF($E319=$E$5,(U$5),(U$6))</f>
        <v>2.6699824906799807</v>
      </c>
      <c r="V319" s="39">
        <f>'Degree-days'!$M$12*IF($E319=$E$5,(V$5),(V$6))</f>
        <v>2.6699824906799807</v>
      </c>
      <c r="W319" s="39">
        <f>'Degree-days'!$M$12*IF($E319=$E$5,(W$5),(W$6))</f>
        <v>2.6699824906799807</v>
      </c>
      <c r="X319" s="39">
        <f>'Degree-days'!$M$12*IF($E319=$E$5,(X$5),(X$6))</f>
        <v>2.6699824906799807</v>
      </c>
      <c r="Y319" s="39">
        <f>'Degree-days'!$M$12*IF($E319=$E$5,(Y$5),(Y$6))</f>
        <v>2.6699824906799807</v>
      </c>
      <c r="Z319" s="39">
        <f>'Degree-days'!$M$12*IF($E319=$E$5,(Z$5),(Z$6))</f>
        <v>2.6699824906799807</v>
      </c>
      <c r="AA319" s="39">
        <f>'Degree-days'!$M$12*IF($E319=$E$5,(AA$5),(AA$6))</f>
        <v>2.6699824906799807</v>
      </c>
      <c r="AB319" s="39">
        <f>'Degree-days'!$M$12*IF($E319=$E$5,(AB$5),(AB$6))</f>
        <v>0</v>
      </c>
      <c r="AC319" s="39">
        <f>'Degree-days'!$M$12*IF($E319=$E$5,(AC$5),(AC$6))</f>
        <v>0</v>
      </c>
      <c r="AD319" s="39">
        <f t="shared" si="12"/>
        <v>24.029842416119827</v>
      </c>
    </row>
    <row r="320" spans="4:32" x14ac:dyDescent="0.2">
      <c r="D320" s="37">
        <v>45239</v>
      </c>
      <c r="E320" s="17" t="str">
        <f t="shared" si="11"/>
        <v>weekday</v>
      </c>
      <c r="F320" s="39">
        <f>'Degree-days'!$M$12*IF($E320=$E$5,(F$5),(F$6))</f>
        <v>0</v>
      </c>
      <c r="G320" s="39">
        <f>'Degree-days'!$M$12*IF($E320=$E$5,(G$5),(G$6))</f>
        <v>0</v>
      </c>
      <c r="H320" s="39">
        <f>'Degree-days'!$M$12*IF($E320=$E$5,(H$5),(H$6))</f>
        <v>0</v>
      </c>
      <c r="I320" s="39">
        <f>'Degree-days'!$M$12*IF($E320=$E$5,(I$5),(I$6))</f>
        <v>0</v>
      </c>
      <c r="J320" s="39">
        <f>'Degree-days'!$M$12*IF($E320=$E$5,(J$5),(J$6))</f>
        <v>0</v>
      </c>
      <c r="K320" s="39">
        <f>'Degree-days'!$M$12*IF($E320=$E$5,(K$5),(K$6))</f>
        <v>0</v>
      </c>
      <c r="L320" s="39">
        <f>'Degree-days'!$M$12*IF($E320=$E$5,(L$5),(L$6))</f>
        <v>2.6699824906799807</v>
      </c>
      <c r="M320" s="39">
        <f>'Degree-days'!$M$12*IF($E320=$E$5,(M$5),(M$6))</f>
        <v>2.6699824906799807</v>
      </c>
      <c r="N320" s="39">
        <f>'Degree-days'!$M$12*IF($E320=$E$5,(N$5),(N$6))</f>
        <v>0</v>
      </c>
      <c r="O320" s="39">
        <f>'Degree-days'!$M$12*IF($E320=$E$5,(O$5),(O$6))</f>
        <v>0</v>
      </c>
      <c r="P320" s="39">
        <f>'Degree-days'!$M$12*IF($E320=$E$5,(P$5),(P$6))</f>
        <v>0</v>
      </c>
      <c r="Q320" s="39">
        <f>'Degree-days'!$M$12*IF($E320=$E$5,(Q$5),(Q$6))</f>
        <v>0</v>
      </c>
      <c r="R320" s="39">
        <f>'Degree-days'!$M$12*IF($E320=$E$5,(R$5),(R$6))</f>
        <v>0</v>
      </c>
      <c r="S320" s="39">
        <f>'Degree-days'!$M$12*IF($E320=$E$5,(S$5),(S$6))</f>
        <v>0</v>
      </c>
      <c r="T320" s="39">
        <f>'Degree-days'!$M$12*IF($E320=$E$5,(T$5),(T$6))</f>
        <v>0</v>
      </c>
      <c r="U320" s="39">
        <f>'Degree-days'!$M$12*IF($E320=$E$5,(U$5),(U$6))</f>
        <v>2.6699824906799807</v>
      </c>
      <c r="V320" s="39">
        <f>'Degree-days'!$M$12*IF($E320=$E$5,(V$5),(V$6))</f>
        <v>2.6699824906799807</v>
      </c>
      <c r="W320" s="39">
        <f>'Degree-days'!$M$12*IF($E320=$E$5,(W$5),(W$6))</f>
        <v>2.6699824906799807</v>
      </c>
      <c r="X320" s="39">
        <f>'Degree-days'!$M$12*IF($E320=$E$5,(X$5),(X$6))</f>
        <v>2.6699824906799807</v>
      </c>
      <c r="Y320" s="39">
        <f>'Degree-days'!$M$12*IF($E320=$E$5,(Y$5),(Y$6))</f>
        <v>2.6699824906799807</v>
      </c>
      <c r="Z320" s="39">
        <f>'Degree-days'!$M$12*IF($E320=$E$5,(Z$5),(Z$6))</f>
        <v>2.6699824906799807</v>
      </c>
      <c r="AA320" s="39">
        <f>'Degree-days'!$M$12*IF($E320=$E$5,(AA$5),(AA$6))</f>
        <v>2.6699824906799807</v>
      </c>
      <c r="AB320" s="39">
        <f>'Degree-days'!$M$12*IF($E320=$E$5,(AB$5),(AB$6))</f>
        <v>0</v>
      </c>
      <c r="AC320" s="39">
        <f>'Degree-days'!$M$12*IF($E320=$E$5,(AC$5),(AC$6))</f>
        <v>0</v>
      </c>
      <c r="AD320" s="39">
        <f t="shared" si="12"/>
        <v>24.029842416119827</v>
      </c>
    </row>
    <row r="321" spans="4:30" x14ac:dyDescent="0.2">
      <c r="D321" s="37">
        <v>45240</v>
      </c>
      <c r="E321" s="17" t="str">
        <f t="shared" si="11"/>
        <v>weekday</v>
      </c>
      <c r="F321" s="39">
        <f>'Degree-days'!$M$12*IF($E321=$E$5,(F$5),(F$6))</f>
        <v>0</v>
      </c>
      <c r="G321" s="39">
        <f>'Degree-days'!$M$12*IF($E321=$E$5,(G$5),(G$6))</f>
        <v>0</v>
      </c>
      <c r="H321" s="39">
        <f>'Degree-days'!$M$12*IF($E321=$E$5,(H$5),(H$6))</f>
        <v>0</v>
      </c>
      <c r="I321" s="39">
        <f>'Degree-days'!$M$12*IF($E321=$E$5,(I$5),(I$6))</f>
        <v>0</v>
      </c>
      <c r="J321" s="39">
        <f>'Degree-days'!$M$12*IF($E321=$E$5,(J$5),(J$6))</f>
        <v>0</v>
      </c>
      <c r="K321" s="39">
        <f>'Degree-days'!$M$12*IF($E321=$E$5,(K$5),(K$6))</f>
        <v>0</v>
      </c>
      <c r="L321" s="39">
        <f>'Degree-days'!$M$12*IF($E321=$E$5,(L$5),(L$6))</f>
        <v>2.6699824906799807</v>
      </c>
      <c r="M321" s="39">
        <f>'Degree-days'!$M$12*IF($E321=$E$5,(M$5),(M$6))</f>
        <v>2.6699824906799807</v>
      </c>
      <c r="N321" s="39">
        <f>'Degree-days'!$M$12*IF($E321=$E$5,(N$5),(N$6))</f>
        <v>0</v>
      </c>
      <c r="O321" s="39">
        <f>'Degree-days'!$M$12*IF($E321=$E$5,(O$5),(O$6))</f>
        <v>0</v>
      </c>
      <c r="P321" s="39">
        <f>'Degree-days'!$M$12*IF($E321=$E$5,(P$5),(P$6))</f>
        <v>0</v>
      </c>
      <c r="Q321" s="39">
        <f>'Degree-days'!$M$12*IF($E321=$E$5,(Q$5),(Q$6))</f>
        <v>0</v>
      </c>
      <c r="R321" s="39">
        <f>'Degree-days'!$M$12*IF($E321=$E$5,(R$5),(R$6))</f>
        <v>0</v>
      </c>
      <c r="S321" s="39">
        <f>'Degree-days'!$M$12*IF($E321=$E$5,(S$5),(S$6))</f>
        <v>0</v>
      </c>
      <c r="T321" s="39">
        <f>'Degree-days'!$M$12*IF($E321=$E$5,(T$5),(T$6))</f>
        <v>0</v>
      </c>
      <c r="U321" s="39">
        <f>'Degree-days'!$M$12*IF($E321=$E$5,(U$5),(U$6))</f>
        <v>2.6699824906799807</v>
      </c>
      <c r="V321" s="39">
        <f>'Degree-days'!$M$12*IF($E321=$E$5,(V$5),(V$6))</f>
        <v>2.6699824906799807</v>
      </c>
      <c r="W321" s="39">
        <f>'Degree-days'!$M$12*IF($E321=$E$5,(W$5),(W$6))</f>
        <v>2.6699824906799807</v>
      </c>
      <c r="X321" s="39">
        <f>'Degree-days'!$M$12*IF($E321=$E$5,(X$5),(X$6))</f>
        <v>2.6699824906799807</v>
      </c>
      <c r="Y321" s="39">
        <f>'Degree-days'!$M$12*IF($E321=$E$5,(Y$5),(Y$6))</f>
        <v>2.6699824906799807</v>
      </c>
      <c r="Z321" s="39">
        <f>'Degree-days'!$M$12*IF($E321=$E$5,(Z$5),(Z$6))</f>
        <v>2.6699824906799807</v>
      </c>
      <c r="AA321" s="39">
        <f>'Degree-days'!$M$12*IF($E321=$E$5,(AA$5),(AA$6))</f>
        <v>2.6699824906799807</v>
      </c>
      <c r="AB321" s="39">
        <f>'Degree-days'!$M$12*IF($E321=$E$5,(AB$5),(AB$6))</f>
        <v>0</v>
      </c>
      <c r="AC321" s="39">
        <f>'Degree-days'!$M$12*IF($E321=$E$5,(AC$5),(AC$6))</f>
        <v>0</v>
      </c>
      <c r="AD321" s="39">
        <f t="shared" si="12"/>
        <v>24.029842416119827</v>
      </c>
    </row>
    <row r="322" spans="4:30" x14ac:dyDescent="0.2">
      <c r="D322" s="37">
        <v>45241</v>
      </c>
      <c r="E322" s="17" t="str">
        <f t="shared" si="11"/>
        <v>weekend</v>
      </c>
      <c r="F322" s="39">
        <f>'Degree-days'!$M$12*IF($E322=$E$5,(F$5),(F$6))</f>
        <v>0</v>
      </c>
      <c r="G322" s="39">
        <f>'Degree-days'!$M$12*IF($E322=$E$5,(G$5),(G$6))</f>
        <v>0</v>
      </c>
      <c r="H322" s="39">
        <f>'Degree-days'!$M$12*IF($E322=$E$5,(H$5),(H$6))</f>
        <v>0</v>
      </c>
      <c r="I322" s="39">
        <f>'Degree-days'!$M$12*IF($E322=$E$5,(I$5),(I$6))</f>
        <v>0</v>
      </c>
      <c r="J322" s="39">
        <f>'Degree-days'!$M$12*IF($E322=$E$5,(J$5),(J$6))</f>
        <v>0</v>
      </c>
      <c r="K322" s="39">
        <f>'Degree-days'!$M$12*IF($E322=$E$5,(K$5),(K$6))</f>
        <v>0</v>
      </c>
      <c r="L322" s="39">
        <f>'Degree-days'!$M$12*IF($E322=$E$5,(L$5),(L$6))</f>
        <v>2.6699824906799807</v>
      </c>
      <c r="M322" s="39">
        <f>'Degree-days'!$M$12*IF($E322=$E$5,(M$5),(M$6))</f>
        <v>2.6699824906799807</v>
      </c>
      <c r="N322" s="39">
        <f>'Degree-days'!$M$12*IF($E322=$E$5,(N$5),(N$6))</f>
        <v>2.6699824906799807</v>
      </c>
      <c r="O322" s="39">
        <f>'Degree-days'!$M$12*IF($E322=$E$5,(O$5),(O$6))</f>
        <v>2.6699824906799807</v>
      </c>
      <c r="P322" s="39">
        <f>'Degree-days'!$M$12*IF($E322=$E$5,(P$5),(P$6))</f>
        <v>2.6699824906799807</v>
      </c>
      <c r="Q322" s="39">
        <f>'Degree-days'!$M$12*IF($E322=$E$5,(Q$5),(Q$6))</f>
        <v>2.6699824906799807</v>
      </c>
      <c r="R322" s="39">
        <f>'Degree-days'!$M$12*IF($E322=$E$5,(R$5),(R$6))</f>
        <v>2.6699824906799807</v>
      </c>
      <c r="S322" s="39">
        <f>'Degree-days'!$M$12*IF($E322=$E$5,(S$5),(S$6))</f>
        <v>2.6699824906799807</v>
      </c>
      <c r="T322" s="39">
        <f>'Degree-days'!$M$12*IF($E322=$E$5,(T$5),(T$6))</f>
        <v>2.6699824906799807</v>
      </c>
      <c r="U322" s="39">
        <f>'Degree-days'!$M$12*IF($E322=$E$5,(U$5),(U$6))</f>
        <v>2.6699824906799807</v>
      </c>
      <c r="V322" s="39">
        <f>'Degree-days'!$M$12*IF($E322=$E$5,(V$5),(V$6))</f>
        <v>2.6699824906799807</v>
      </c>
      <c r="W322" s="39">
        <f>'Degree-days'!$M$12*IF($E322=$E$5,(W$5),(W$6))</f>
        <v>2.6699824906799807</v>
      </c>
      <c r="X322" s="39">
        <f>'Degree-days'!$M$12*IF($E322=$E$5,(X$5),(X$6))</f>
        <v>2.6699824906799807</v>
      </c>
      <c r="Y322" s="39">
        <f>'Degree-days'!$M$12*IF($E322=$E$5,(Y$5),(Y$6))</f>
        <v>2.6699824906799807</v>
      </c>
      <c r="Z322" s="39">
        <f>'Degree-days'!$M$12*IF($E322=$E$5,(Z$5),(Z$6))</f>
        <v>2.6699824906799807</v>
      </c>
      <c r="AA322" s="39">
        <f>'Degree-days'!$M$12*IF($E322=$E$5,(AA$5),(AA$6))</f>
        <v>2.6699824906799807</v>
      </c>
      <c r="AB322" s="39">
        <f>'Degree-days'!$M$12*IF($E322=$E$5,(AB$5),(AB$6))</f>
        <v>0</v>
      </c>
      <c r="AC322" s="39">
        <f>'Degree-days'!$M$12*IF($E322=$E$5,(AC$5),(AC$6))</f>
        <v>0</v>
      </c>
      <c r="AD322" s="39">
        <f t="shared" si="12"/>
        <v>42.719719850879677</v>
      </c>
    </row>
    <row r="323" spans="4:30" x14ac:dyDescent="0.2">
      <c r="D323" s="37">
        <v>45242</v>
      </c>
      <c r="E323" s="17" t="str">
        <f t="shared" si="11"/>
        <v>weekend</v>
      </c>
      <c r="F323" s="39">
        <f>'Degree-days'!$M$12*IF($E323=$E$5,(F$5),(F$6))</f>
        <v>0</v>
      </c>
      <c r="G323" s="39">
        <f>'Degree-days'!$M$12*IF($E323=$E$5,(G$5),(G$6))</f>
        <v>0</v>
      </c>
      <c r="H323" s="39">
        <f>'Degree-days'!$M$12*IF($E323=$E$5,(H$5),(H$6))</f>
        <v>0</v>
      </c>
      <c r="I323" s="39">
        <f>'Degree-days'!$M$12*IF($E323=$E$5,(I$5),(I$6))</f>
        <v>0</v>
      </c>
      <c r="J323" s="39">
        <f>'Degree-days'!$M$12*IF($E323=$E$5,(J$5),(J$6))</f>
        <v>0</v>
      </c>
      <c r="K323" s="39">
        <f>'Degree-days'!$M$12*IF($E323=$E$5,(K$5),(K$6))</f>
        <v>0</v>
      </c>
      <c r="L323" s="39">
        <f>'Degree-days'!$M$12*IF($E323=$E$5,(L$5),(L$6))</f>
        <v>2.6699824906799807</v>
      </c>
      <c r="M323" s="39">
        <f>'Degree-days'!$M$12*IF($E323=$E$5,(M$5),(M$6))</f>
        <v>2.6699824906799807</v>
      </c>
      <c r="N323" s="39">
        <f>'Degree-days'!$M$12*IF($E323=$E$5,(N$5),(N$6))</f>
        <v>2.6699824906799807</v>
      </c>
      <c r="O323" s="39">
        <f>'Degree-days'!$M$12*IF($E323=$E$5,(O$5),(O$6))</f>
        <v>2.6699824906799807</v>
      </c>
      <c r="P323" s="39">
        <f>'Degree-days'!$M$12*IF($E323=$E$5,(P$5),(P$6))</f>
        <v>2.6699824906799807</v>
      </c>
      <c r="Q323" s="39">
        <f>'Degree-days'!$M$12*IF($E323=$E$5,(Q$5),(Q$6))</f>
        <v>2.6699824906799807</v>
      </c>
      <c r="R323" s="39">
        <f>'Degree-days'!$M$12*IF($E323=$E$5,(R$5),(R$6))</f>
        <v>2.6699824906799807</v>
      </c>
      <c r="S323" s="39">
        <f>'Degree-days'!$M$12*IF($E323=$E$5,(S$5),(S$6))</f>
        <v>2.6699824906799807</v>
      </c>
      <c r="T323" s="39">
        <f>'Degree-days'!$M$12*IF($E323=$E$5,(T$5),(T$6))</f>
        <v>2.6699824906799807</v>
      </c>
      <c r="U323" s="39">
        <f>'Degree-days'!$M$12*IF($E323=$E$5,(U$5),(U$6))</f>
        <v>2.6699824906799807</v>
      </c>
      <c r="V323" s="39">
        <f>'Degree-days'!$M$12*IF($E323=$E$5,(V$5),(V$6))</f>
        <v>2.6699824906799807</v>
      </c>
      <c r="W323" s="39">
        <f>'Degree-days'!$M$12*IF($E323=$E$5,(W$5),(W$6))</f>
        <v>2.6699824906799807</v>
      </c>
      <c r="X323" s="39">
        <f>'Degree-days'!$M$12*IF($E323=$E$5,(X$5),(X$6))</f>
        <v>2.6699824906799807</v>
      </c>
      <c r="Y323" s="39">
        <f>'Degree-days'!$M$12*IF($E323=$E$5,(Y$5),(Y$6))</f>
        <v>2.6699824906799807</v>
      </c>
      <c r="Z323" s="39">
        <f>'Degree-days'!$M$12*IF($E323=$E$5,(Z$5),(Z$6))</f>
        <v>2.6699824906799807</v>
      </c>
      <c r="AA323" s="39">
        <f>'Degree-days'!$M$12*IF($E323=$E$5,(AA$5),(AA$6))</f>
        <v>2.6699824906799807</v>
      </c>
      <c r="AB323" s="39">
        <f>'Degree-days'!$M$12*IF($E323=$E$5,(AB$5),(AB$6))</f>
        <v>0</v>
      </c>
      <c r="AC323" s="39">
        <f>'Degree-days'!$M$12*IF($E323=$E$5,(AC$5),(AC$6))</f>
        <v>0</v>
      </c>
      <c r="AD323" s="39">
        <f t="shared" si="12"/>
        <v>42.719719850879677</v>
      </c>
    </row>
    <row r="324" spans="4:30" x14ac:dyDescent="0.2">
      <c r="D324" s="37">
        <v>45243</v>
      </c>
      <c r="E324" s="17" t="str">
        <f t="shared" si="11"/>
        <v>weekday</v>
      </c>
      <c r="F324" s="39">
        <f>'Degree-days'!$M$12*IF($E324=$E$5,(F$5),(F$6))</f>
        <v>0</v>
      </c>
      <c r="G324" s="39">
        <f>'Degree-days'!$M$12*IF($E324=$E$5,(G$5),(G$6))</f>
        <v>0</v>
      </c>
      <c r="H324" s="39">
        <f>'Degree-days'!$M$12*IF($E324=$E$5,(H$5),(H$6))</f>
        <v>0</v>
      </c>
      <c r="I324" s="39">
        <f>'Degree-days'!$M$12*IF($E324=$E$5,(I$5),(I$6))</f>
        <v>0</v>
      </c>
      <c r="J324" s="39">
        <f>'Degree-days'!$M$12*IF($E324=$E$5,(J$5),(J$6))</f>
        <v>0</v>
      </c>
      <c r="K324" s="39">
        <f>'Degree-days'!$M$12*IF($E324=$E$5,(K$5),(K$6))</f>
        <v>0</v>
      </c>
      <c r="L324" s="39">
        <f>'Degree-days'!$M$12*IF($E324=$E$5,(L$5),(L$6))</f>
        <v>2.6699824906799807</v>
      </c>
      <c r="M324" s="39">
        <f>'Degree-days'!$M$12*IF($E324=$E$5,(M$5),(M$6))</f>
        <v>2.6699824906799807</v>
      </c>
      <c r="N324" s="39">
        <f>'Degree-days'!$M$12*IF($E324=$E$5,(N$5),(N$6))</f>
        <v>0</v>
      </c>
      <c r="O324" s="39">
        <f>'Degree-days'!$M$12*IF($E324=$E$5,(O$5),(O$6))</f>
        <v>0</v>
      </c>
      <c r="P324" s="39">
        <f>'Degree-days'!$M$12*IF($E324=$E$5,(P$5),(P$6))</f>
        <v>0</v>
      </c>
      <c r="Q324" s="39">
        <f>'Degree-days'!$M$12*IF($E324=$E$5,(Q$5),(Q$6))</f>
        <v>0</v>
      </c>
      <c r="R324" s="39">
        <f>'Degree-days'!$M$12*IF($E324=$E$5,(R$5),(R$6))</f>
        <v>0</v>
      </c>
      <c r="S324" s="39">
        <f>'Degree-days'!$M$12*IF($E324=$E$5,(S$5),(S$6))</f>
        <v>0</v>
      </c>
      <c r="T324" s="39">
        <f>'Degree-days'!$M$12*IF($E324=$E$5,(T$5),(T$6))</f>
        <v>0</v>
      </c>
      <c r="U324" s="39">
        <f>'Degree-days'!$M$12*IF($E324=$E$5,(U$5),(U$6))</f>
        <v>2.6699824906799807</v>
      </c>
      <c r="V324" s="39">
        <f>'Degree-days'!$M$12*IF($E324=$E$5,(V$5),(V$6))</f>
        <v>2.6699824906799807</v>
      </c>
      <c r="W324" s="39">
        <f>'Degree-days'!$M$12*IF($E324=$E$5,(W$5),(W$6))</f>
        <v>2.6699824906799807</v>
      </c>
      <c r="X324" s="39">
        <f>'Degree-days'!$M$12*IF($E324=$E$5,(X$5),(X$6))</f>
        <v>2.6699824906799807</v>
      </c>
      <c r="Y324" s="39">
        <f>'Degree-days'!$M$12*IF($E324=$E$5,(Y$5),(Y$6))</f>
        <v>2.6699824906799807</v>
      </c>
      <c r="Z324" s="39">
        <f>'Degree-days'!$M$12*IF($E324=$E$5,(Z$5),(Z$6))</f>
        <v>2.6699824906799807</v>
      </c>
      <c r="AA324" s="39">
        <f>'Degree-days'!$M$12*IF($E324=$E$5,(AA$5),(AA$6))</f>
        <v>2.6699824906799807</v>
      </c>
      <c r="AB324" s="39">
        <f>'Degree-days'!$M$12*IF($E324=$E$5,(AB$5),(AB$6))</f>
        <v>0</v>
      </c>
      <c r="AC324" s="39">
        <f>'Degree-days'!$M$12*IF($E324=$E$5,(AC$5),(AC$6))</f>
        <v>0</v>
      </c>
      <c r="AD324" s="39">
        <f t="shared" si="12"/>
        <v>24.029842416119827</v>
      </c>
    </row>
    <row r="325" spans="4:30" x14ac:dyDescent="0.2">
      <c r="D325" s="37">
        <v>45244</v>
      </c>
      <c r="E325" s="17" t="str">
        <f t="shared" si="11"/>
        <v>weekday</v>
      </c>
      <c r="F325" s="39">
        <f>'Degree-days'!$M$12*IF($E325=$E$5,(F$5),(F$6))</f>
        <v>0</v>
      </c>
      <c r="G325" s="39">
        <f>'Degree-days'!$M$12*IF($E325=$E$5,(G$5),(G$6))</f>
        <v>0</v>
      </c>
      <c r="H325" s="39">
        <f>'Degree-days'!$M$12*IF($E325=$E$5,(H$5),(H$6))</f>
        <v>0</v>
      </c>
      <c r="I325" s="39">
        <f>'Degree-days'!$M$12*IF($E325=$E$5,(I$5),(I$6))</f>
        <v>0</v>
      </c>
      <c r="J325" s="39">
        <f>'Degree-days'!$M$12*IF($E325=$E$5,(J$5),(J$6))</f>
        <v>0</v>
      </c>
      <c r="K325" s="39">
        <f>'Degree-days'!$M$12*IF($E325=$E$5,(K$5),(K$6))</f>
        <v>0</v>
      </c>
      <c r="L325" s="39">
        <f>'Degree-days'!$M$12*IF($E325=$E$5,(L$5),(L$6))</f>
        <v>2.6699824906799807</v>
      </c>
      <c r="M325" s="39">
        <f>'Degree-days'!$M$12*IF($E325=$E$5,(M$5),(M$6))</f>
        <v>2.6699824906799807</v>
      </c>
      <c r="N325" s="39">
        <f>'Degree-days'!$M$12*IF($E325=$E$5,(N$5),(N$6))</f>
        <v>0</v>
      </c>
      <c r="O325" s="39">
        <f>'Degree-days'!$M$12*IF($E325=$E$5,(O$5),(O$6))</f>
        <v>0</v>
      </c>
      <c r="P325" s="39">
        <f>'Degree-days'!$M$12*IF($E325=$E$5,(P$5),(P$6))</f>
        <v>0</v>
      </c>
      <c r="Q325" s="39">
        <f>'Degree-days'!$M$12*IF($E325=$E$5,(Q$5),(Q$6))</f>
        <v>0</v>
      </c>
      <c r="R325" s="39">
        <f>'Degree-days'!$M$12*IF($E325=$E$5,(R$5),(R$6))</f>
        <v>0</v>
      </c>
      <c r="S325" s="39">
        <f>'Degree-days'!$M$12*IF($E325=$E$5,(S$5),(S$6))</f>
        <v>0</v>
      </c>
      <c r="T325" s="39">
        <f>'Degree-days'!$M$12*IF($E325=$E$5,(T$5),(T$6))</f>
        <v>0</v>
      </c>
      <c r="U325" s="39">
        <f>'Degree-days'!$M$12*IF($E325=$E$5,(U$5),(U$6))</f>
        <v>2.6699824906799807</v>
      </c>
      <c r="V325" s="39">
        <f>'Degree-days'!$M$12*IF($E325=$E$5,(V$5),(V$6))</f>
        <v>2.6699824906799807</v>
      </c>
      <c r="W325" s="39">
        <f>'Degree-days'!$M$12*IF($E325=$E$5,(W$5),(W$6))</f>
        <v>2.6699824906799807</v>
      </c>
      <c r="X325" s="39">
        <f>'Degree-days'!$M$12*IF($E325=$E$5,(X$5),(X$6))</f>
        <v>2.6699824906799807</v>
      </c>
      <c r="Y325" s="39">
        <f>'Degree-days'!$M$12*IF($E325=$E$5,(Y$5),(Y$6))</f>
        <v>2.6699824906799807</v>
      </c>
      <c r="Z325" s="39">
        <f>'Degree-days'!$M$12*IF($E325=$E$5,(Z$5),(Z$6))</f>
        <v>2.6699824906799807</v>
      </c>
      <c r="AA325" s="39">
        <f>'Degree-days'!$M$12*IF($E325=$E$5,(AA$5),(AA$6))</f>
        <v>2.6699824906799807</v>
      </c>
      <c r="AB325" s="39">
        <f>'Degree-days'!$M$12*IF($E325=$E$5,(AB$5),(AB$6))</f>
        <v>0</v>
      </c>
      <c r="AC325" s="39">
        <f>'Degree-days'!$M$12*IF($E325=$E$5,(AC$5),(AC$6))</f>
        <v>0</v>
      </c>
      <c r="AD325" s="39">
        <f t="shared" si="12"/>
        <v>24.029842416119827</v>
      </c>
    </row>
    <row r="326" spans="4:30" x14ac:dyDescent="0.2">
      <c r="D326" s="37">
        <v>45245</v>
      </c>
      <c r="E326" s="17" t="str">
        <f t="shared" si="11"/>
        <v>weekday</v>
      </c>
      <c r="F326" s="39">
        <f>'Degree-days'!$M$12*IF($E326=$E$5,(F$5),(F$6))</f>
        <v>0</v>
      </c>
      <c r="G326" s="39">
        <f>'Degree-days'!$M$12*IF($E326=$E$5,(G$5),(G$6))</f>
        <v>0</v>
      </c>
      <c r="H326" s="39">
        <f>'Degree-days'!$M$12*IF($E326=$E$5,(H$5),(H$6))</f>
        <v>0</v>
      </c>
      <c r="I326" s="39">
        <f>'Degree-days'!$M$12*IF($E326=$E$5,(I$5),(I$6))</f>
        <v>0</v>
      </c>
      <c r="J326" s="39">
        <f>'Degree-days'!$M$12*IF($E326=$E$5,(J$5),(J$6))</f>
        <v>0</v>
      </c>
      <c r="K326" s="39">
        <f>'Degree-days'!$M$12*IF($E326=$E$5,(K$5),(K$6))</f>
        <v>0</v>
      </c>
      <c r="L326" s="39">
        <f>'Degree-days'!$M$12*IF($E326=$E$5,(L$5),(L$6))</f>
        <v>2.6699824906799807</v>
      </c>
      <c r="M326" s="39">
        <f>'Degree-days'!$M$12*IF($E326=$E$5,(M$5),(M$6))</f>
        <v>2.6699824906799807</v>
      </c>
      <c r="N326" s="39">
        <f>'Degree-days'!$M$12*IF($E326=$E$5,(N$5),(N$6))</f>
        <v>0</v>
      </c>
      <c r="O326" s="39">
        <f>'Degree-days'!$M$12*IF($E326=$E$5,(O$5),(O$6))</f>
        <v>0</v>
      </c>
      <c r="P326" s="39">
        <f>'Degree-days'!$M$12*IF($E326=$E$5,(P$5),(P$6))</f>
        <v>0</v>
      </c>
      <c r="Q326" s="39">
        <f>'Degree-days'!$M$12*IF($E326=$E$5,(Q$5),(Q$6))</f>
        <v>0</v>
      </c>
      <c r="R326" s="39">
        <f>'Degree-days'!$M$12*IF($E326=$E$5,(R$5),(R$6))</f>
        <v>0</v>
      </c>
      <c r="S326" s="39">
        <f>'Degree-days'!$M$12*IF($E326=$E$5,(S$5),(S$6))</f>
        <v>0</v>
      </c>
      <c r="T326" s="39">
        <f>'Degree-days'!$M$12*IF($E326=$E$5,(T$5),(T$6))</f>
        <v>0</v>
      </c>
      <c r="U326" s="39">
        <f>'Degree-days'!$M$12*IF($E326=$E$5,(U$5),(U$6))</f>
        <v>2.6699824906799807</v>
      </c>
      <c r="V326" s="39">
        <f>'Degree-days'!$M$12*IF($E326=$E$5,(V$5),(V$6))</f>
        <v>2.6699824906799807</v>
      </c>
      <c r="W326" s="39">
        <f>'Degree-days'!$M$12*IF($E326=$E$5,(W$5),(W$6))</f>
        <v>2.6699824906799807</v>
      </c>
      <c r="X326" s="39">
        <f>'Degree-days'!$M$12*IF($E326=$E$5,(X$5),(X$6))</f>
        <v>2.6699824906799807</v>
      </c>
      <c r="Y326" s="39">
        <f>'Degree-days'!$M$12*IF($E326=$E$5,(Y$5),(Y$6))</f>
        <v>2.6699824906799807</v>
      </c>
      <c r="Z326" s="39">
        <f>'Degree-days'!$M$12*IF($E326=$E$5,(Z$5),(Z$6))</f>
        <v>2.6699824906799807</v>
      </c>
      <c r="AA326" s="39">
        <f>'Degree-days'!$M$12*IF($E326=$E$5,(AA$5),(AA$6))</f>
        <v>2.6699824906799807</v>
      </c>
      <c r="AB326" s="39">
        <f>'Degree-days'!$M$12*IF($E326=$E$5,(AB$5),(AB$6))</f>
        <v>0</v>
      </c>
      <c r="AC326" s="39">
        <f>'Degree-days'!$M$12*IF($E326=$E$5,(AC$5),(AC$6))</f>
        <v>0</v>
      </c>
      <c r="AD326" s="39">
        <f t="shared" si="12"/>
        <v>24.029842416119827</v>
      </c>
    </row>
    <row r="327" spans="4:30" x14ac:dyDescent="0.2">
      <c r="D327" s="37">
        <v>45246</v>
      </c>
      <c r="E327" s="17" t="str">
        <f t="shared" si="11"/>
        <v>weekday</v>
      </c>
      <c r="F327" s="39">
        <f>'Degree-days'!$M$12*IF($E327=$E$5,(F$5),(F$6))</f>
        <v>0</v>
      </c>
      <c r="G327" s="39">
        <f>'Degree-days'!$M$12*IF($E327=$E$5,(G$5),(G$6))</f>
        <v>0</v>
      </c>
      <c r="H327" s="39">
        <f>'Degree-days'!$M$12*IF($E327=$E$5,(H$5),(H$6))</f>
        <v>0</v>
      </c>
      <c r="I327" s="39">
        <f>'Degree-days'!$M$12*IF($E327=$E$5,(I$5),(I$6))</f>
        <v>0</v>
      </c>
      <c r="J327" s="39">
        <f>'Degree-days'!$M$12*IF($E327=$E$5,(J$5),(J$6))</f>
        <v>0</v>
      </c>
      <c r="K327" s="39">
        <f>'Degree-days'!$M$12*IF($E327=$E$5,(K$5),(K$6))</f>
        <v>0</v>
      </c>
      <c r="L327" s="39">
        <f>'Degree-days'!$M$12*IF($E327=$E$5,(L$5),(L$6))</f>
        <v>2.6699824906799807</v>
      </c>
      <c r="M327" s="39">
        <f>'Degree-days'!$M$12*IF($E327=$E$5,(M$5),(M$6))</f>
        <v>2.6699824906799807</v>
      </c>
      <c r="N327" s="39">
        <f>'Degree-days'!$M$12*IF($E327=$E$5,(N$5),(N$6))</f>
        <v>0</v>
      </c>
      <c r="O327" s="39">
        <f>'Degree-days'!$M$12*IF($E327=$E$5,(O$5),(O$6))</f>
        <v>0</v>
      </c>
      <c r="P327" s="39">
        <f>'Degree-days'!$M$12*IF($E327=$E$5,(P$5),(P$6))</f>
        <v>0</v>
      </c>
      <c r="Q327" s="39">
        <f>'Degree-days'!$M$12*IF($E327=$E$5,(Q$5),(Q$6))</f>
        <v>0</v>
      </c>
      <c r="R327" s="39">
        <f>'Degree-days'!$M$12*IF($E327=$E$5,(R$5),(R$6))</f>
        <v>0</v>
      </c>
      <c r="S327" s="39">
        <f>'Degree-days'!$M$12*IF($E327=$E$5,(S$5),(S$6))</f>
        <v>0</v>
      </c>
      <c r="T327" s="39">
        <f>'Degree-days'!$M$12*IF($E327=$E$5,(T$5),(T$6))</f>
        <v>0</v>
      </c>
      <c r="U327" s="39">
        <f>'Degree-days'!$M$12*IF($E327=$E$5,(U$5),(U$6))</f>
        <v>2.6699824906799807</v>
      </c>
      <c r="V327" s="39">
        <f>'Degree-days'!$M$12*IF($E327=$E$5,(V$5),(V$6))</f>
        <v>2.6699824906799807</v>
      </c>
      <c r="W327" s="39">
        <f>'Degree-days'!$M$12*IF($E327=$E$5,(W$5),(W$6))</f>
        <v>2.6699824906799807</v>
      </c>
      <c r="X327" s="39">
        <f>'Degree-days'!$M$12*IF($E327=$E$5,(X$5),(X$6))</f>
        <v>2.6699824906799807</v>
      </c>
      <c r="Y327" s="39">
        <f>'Degree-days'!$M$12*IF($E327=$E$5,(Y$5),(Y$6))</f>
        <v>2.6699824906799807</v>
      </c>
      <c r="Z327" s="39">
        <f>'Degree-days'!$M$12*IF($E327=$E$5,(Z$5),(Z$6))</f>
        <v>2.6699824906799807</v>
      </c>
      <c r="AA327" s="39">
        <f>'Degree-days'!$M$12*IF($E327=$E$5,(AA$5),(AA$6))</f>
        <v>2.6699824906799807</v>
      </c>
      <c r="AB327" s="39">
        <f>'Degree-days'!$M$12*IF($E327=$E$5,(AB$5),(AB$6))</f>
        <v>0</v>
      </c>
      <c r="AC327" s="39">
        <f>'Degree-days'!$M$12*IF($E327=$E$5,(AC$5),(AC$6))</f>
        <v>0</v>
      </c>
      <c r="AD327" s="39">
        <f t="shared" si="12"/>
        <v>24.029842416119827</v>
      </c>
    </row>
    <row r="328" spans="4:30" x14ac:dyDescent="0.2">
      <c r="D328" s="37">
        <v>45247</v>
      </c>
      <c r="E328" s="17" t="str">
        <f t="shared" si="11"/>
        <v>weekday</v>
      </c>
      <c r="F328" s="39">
        <f>'Degree-days'!$M$12*IF($E328=$E$5,(F$5),(F$6))</f>
        <v>0</v>
      </c>
      <c r="G328" s="39">
        <f>'Degree-days'!$M$12*IF($E328=$E$5,(G$5),(G$6))</f>
        <v>0</v>
      </c>
      <c r="H328" s="39">
        <f>'Degree-days'!$M$12*IF($E328=$E$5,(H$5),(H$6))</f>
        <v>0</v>
      </c>
      <c r="I328" s="39">
        <f>'Degree-days'!$M$12*IF($E328=$E$5,(I$5),(I$6))</f>
        <v>0</v>
      </c>
      <c r="J328" s="39">
        <f>'Degree-days'!$M$12*IF($E328=$E$5,(J$5),(J$6))</f>
        <v>0</v>
      </c>
      <c r="K328" s="39">
        <f>'Degree-days'!$M$12*IF($E328=$E$5,(K$5),(K$6))</f>
        <v>0</v>
      </c>
      <c r="L328" s="39">
        <f>'Degree-days'!$M$12*IF($E328=$E$5,(L$5),(L$6))</f>
        <v>2.6699824906799807</v>
      </c>
      <c r="M328" s="39">
        <f>'Degree-days'!$M$12*IF($E328=$E$5,(M$5),(M$6))</f>
        <v>2.6699824906799807</v>
      </c>
      <c r="N328" s="39">
        <f>'Degree-days'!$M$12*IF($E328=$E$5,(N$5),(N$6))</f>
        <v>0</v>
      </c>
      <c r="O328" s="39">
        <f>'Degree-days'!$M$12*IF($E328=$E$5,(O$5),(O$6))</f>
        <v>0</v>
      </c>
      <c r="P328" s="39">
        <f>'Degree-days'!$M$12*IF($E328=$E$5,(P$5),(P$6))</f>
        <v>0</v>
      </c>
      <c r="Q328" s="39">
        <f>'Degree-days'!$M$12*IF($E328=$E$5,(Q$5),(Q$6))</f>
        <v>0</v>
      </c>
      <c r="R328" s="39">
        <f>'Degree-days'!$M$12*IF($E328=$E$5,(R$5),(R$6))</f>
        <v>0</v>
      </c>
      <c r="S328" s="39">
        <f>'Degree-days'!$M$12*IF($E328=$E$5,(S$5),(S$6))</f>
        <v>0</v>
      </c>
      <c r="T328" s="39">
        <f>'Degree-days'!$M$12*IF($E328=$E$5,(T$5),(T$6))</f>
        <v>0</v>
      </c>
      <c r="U328" s="39">
        <f>'Degree-days'!$M$12*IF($E328=$E$5,(U$5),(U$6))</f>
        <v>2.6699824906799807</v>
      </c>
      <c r="V328" s="39">
        <f>'Degree-days'!$M$12*IF($E328=$E$5,(V$5),(V$6))</f>
        <v>2.6699824906799807</v>
      </c>
      <c r="W328" s="39">
        <f>'Degree-days'!$M$12*IF($E328=$E$5,(W$5),(W$6))</f>
        <v>2.6699824906799807</v>
      </c>
      <c r="X328" s="39">
        <f>'Degree-days'!$M$12*IF($E328=$E$5,(X$5),(X$6))</f>
        <v>2.6699824906799807</v>
      </c>
      <c r="Y328" s="39">
        <f>'Degree-days'!$M$12*IF($E328=$E$5,(Y$5),(Y$6))</f>
        <v>2.6699824906799807</v>
      </c>
      <c r="Z328" s="39">
        <f>'Degree-days'!$M$12*IF($E328=$E$5,(Z$5),(Z$6))</f>
        <v>2.6699824906799807</v>
      </c>
      <c r="AA328" s="39">
        <f>'Degree-days'!$M$12*IF($E328=$E$5,(AA$5),(AA$6))</f>
        <v>2.6699824906799807</v>
      </c>
      <c r="AB328" s="39">
        <f>'Degree-days'!$M$12*IF($E328=$E$5,(AB$5),(AB$6))</f>
        <v>0</v>
      </c>
      <c r="AC328" s="39">
        <f>'Degree-days'!$M$12*IF($E328=$E$5,(AC$5),(AC$6))</f>
        <v>0</v>
      </c>
      <c r="AD328" s="39">
        <f t="shared" si="12"/>
        <v>24.029842416119827</v>
      </c>
    </row>
    <row r="329" spans="4:30" x14ac:dyDescent="0.2">
      <c r="D329" s="37">
        <v>45248</v>
      </c>
      <c r="E329" s="17" t="str">
        <f t="shared" ref="E329:E372" si="13">IF(WEEKDAY(D329, 2)&lt;6, "weekday", "weekend")</f>
        <v>weekend</v>
      </c>
      <c r="F329" s="39">
        <f>'Degree-days'!$M$12*IF($E329=$E$5,(F$5),(F$6))</f>
        <v>0</v>
      </c>
      <c r="G329" s="39">
        <f>'Degree-days'!$M$12*IF($E329=$E$5,(G$5),(G$6))</f>
        <v>0</v>
      </c>
      <c r="H329" s="39">
        <f>'Degree-days'!$M$12*IF($E329=$E$5,(H$5),(H$6))</f>
        <v>0</v>
      </c>
      <c r="I329" s="39">
        <f>'Degree-days'!$M$12*IF($E329=$E$5,(I$5),(I$6))</f>
        <v>0</v>
      </c>
      <c r="J329" s="39">
        <f>'Degree-days'!$M$12*IF($E329=$E$5,(J$5),(J$6))</f>
        <v>0</v>
      </c>
      <c r="K329" s="39">
        <f>'Degree-days'!$M$12*IF($E329=$E$5,(K$5),(K$6))</f>
        <v>0</v>
      </c>
      <c r="L329" s="39">
        <f>'Degree-days'!$M$12*IF($E329=$E$5,(L$5),(L$6))</f>
        <v>2.6699824906799807</v>
      </c>
      <c r="M329" s="39">
        <f>'Degree-days'!$M$12*IF($E329=$E$5,(M$5),(M$6))</f>
        <v>2.6699824906799807</v>
      </c>
      <c r="N329" s="39">
        <f>'Degree-days'!$M$12*IF($E329=$E$5,(N$5),(N$6))</f>
        <v>2.6699824906799807</v>
      </c>
      <c r="O329" s="39">
        <f>'Degree-days'!$M$12*IF($E329=$E$5,(O$5),(O$6))</f>
        <v>2.6699824906799807</v>
      </c>
      <c r="P329" s="39">
        <f>'Degree-days'!$M$12*IF($E329=$E$5,(P$5),(P$6))</f>
        <v>2.6699824906799807</v>
      </c>
      <c r="Q329" s="39">
        <f>'Degree-days'!$M$12*IF($E329=$E$5,(Q$5),(Q$6))</f>
        <v>2.6699824906799807</v>
      </c>
      <c r="R329" s="39">
        <f>'Degree-days'!$M$12*IF($E329=$E$5,(R$5),(R$6))</f>
        <v>2.6699824906799807</v>
      </c>
      <c r="S329" s="39">
        <f>'Degree-days'!$M$12*IF($E329=$E$5,(S$5),(S$6))</f>
        <v>2.6699824906799807</v>
      </c>
      <c r="T329" s="39">
        <f>'Degree-days'!$M$12*IF($E329=$E$5,(T$5),(T$6))</f>
        <v>2.6699824906799807</v>
      </c>
      <c r="U329" s="39">
        <f>'Degree-days'!$M$12*IF($E329=$E$5,(U$5),(U$6))</f>
        <v>2.6699824906799807</v>
      </c>
      <c r="V329" s="39">
        <f>'Degree-days'!$M$12*IF($E329=$E$5,(V$5),(V$6))</f>
        <v>2.6699824906799807</v>
      </c>
      <c r="W329" s="39">
        <f>'Degree-days'!$M$12*IF($E329=$E$5,(W$5),(W$6))</f>
        <v>2.6699824906799807</v>
      </c>
      <c r="X329" s="39">
        <f>'Degree-days'!$M$12*IF($E329=$E$5,(X$5),(X$6))</f>
        <v>2.6699824906799807</v>
      </c>
      <c r="Y329" s="39">
        <f>'Degree-days'!$M$12*IF($E329=$E$5,(Y$5),(Y$6))</f>
        <v>2.6699824906799807</v>
      </c>
      <c r="Z329" s="39">
        <f>'Degree-days'!$M$12*IF($E329=$E$5,(Z$5),(Z$6))</f>
        <v>2.6699824906799807</v>
      </c>
      <c r="AA329" s="39">
        <f>'Degree-days'!$M$12*IF($E329=$E$5,(AA$5),(AA$6))</f>
        <v>2.6699824906799807</v>
      </c>
      <c r="AB329" s="39">
        <f>'Degree-days'!$M$12*IF($E329=$E$5,(AB$5),(AB$6))</f>
        <v>0</v>
      </c>
      <c r="AC329" s="39">
        <f>'Degree-days'!$M$12*IF($E329=$E$5,(AC$5),(AC$6))</f>
        <v>0</v>
      </c>
      <c r="AD329" s="39">
        <f t="shared" si="12"/>
        <v>42.719719850879677</v>
      </c>
    </row>
    <row r="330" spans="4:30" x14ac:dyDescent="0.2">
      <c r="D330" s="37">
        <v>45249</v>
      </c>
      <c r="E330" s="17" t="str">
        <f t="shared" si="13"/>
        <v>weekend</v>
      </c>
      <c r="F330" s="39">
        <f>'Degree-days'!$M$12*IF($E330=$E$5,(F$5),(F$6))</f>
        <v>0</v>
      </c>
      <c r="G330" s="39">
        <f>'Degree-days'!$M$12*IF($E330=$E$5,(G$5),(G$6))</f>
        <v>0</v>
      </c>
      <c r="H330" s="39">
        <f>'Degree-days'!$M$12*IF($E330=$E$5,(H$5),(H$6))</f>
        <v>0</v>
      </c>
      <c r="I330" s="39">
        <f>'Degree-days'!$M$12*IF($E330=$E$5,(I$5),(I$6))</f>
        <v>0</v>
      </c>
      <c r="J330" s="39">
        <f>'Degree-days'!$M$12*IF($E330=$E$5,(J$5),(J$6))</f>
        <v>0</v>
      </c>
      <c r="K330" s="39">
        <f>'Degree-days'!$M$12*IF($E330=$E$5,(K$5),(K$6))</f>
        <v>0</v>
      </c>
      <c r="L330" s="39">
        <f>'Degree-days'!$M$12*IF($E330=$E$5,(L$5),(L$6))</f>
        <v>2.6699824906799807</v>
      </c>
      <c r="M330" s="39">
        <f>'Degree-days'!$M$12*IF($E330=$E$5,(M$5),(M$6))</f>
        <v>2.6699824906799807</v>
      </c>
      <c r="N330" s="39">
        <f>'Degree-days'!$M$12*IF($E330=$E$5,(N$5),(N$6))</f>
        <v>2.6699824906799807</v>
      </c>
      <c r="O330" s="39">
        <f>'Degree-days'!$M$12*IF($E330=$E$5,(O$5),(O$6))</f>
        <v>2.6699824906799807</v>
      </c>
      <c r="P330" s="39">
        <f>'Degree-days'!$M$12*IF($E330=$E$5,(P$5),(P$6))</f>
        <v>2.6699824906799807</v>
      </c>
      <c r="Q330" s="39">
        <f>'Degree-days'!$M$12*IF($E330=$E$5,(Q$5),(Q$6))</f>
        <v>2.6699824906799807</v>
      </c>
      <c r="R330" s="39">
        <f>'Degree-days'!$M$12*IF($E330=$E$5,(R$5),(R$6))</f>
        <v>2.6699824906799807</v>
      </c>
      <c r="S330" s="39">
        <f>'Degree-days'!$M$12*IF($E330=$E$5,(S$5),(S$6))</f>
        <v>2.6699824906799807</v>
      </c>
      <c r="T330" s="39">
        <f>'Degree-days'!$M$12*IF($E330=$E$5,(T$5),(T$6))</f>
        <v>2.6699824906799807</v>
      </c>
      <c r="U330" s="39">
        <f>'Degree-days'!$M$12*IF($E330=$E$5,(U$5),(U$6))</f>
        <v>2.6699824906799807</v>
      </c>
      <c r="V330" s="39">
        <f>'Degree-days'!$M$12*IF($E330=$E$5,(V$5),(V$6))</f>
        <v>2.6699824906799807</v>
      </c>
      <c r="W330" s="39">
        <f>'Degree-days'!$M$12*IF($E330=$E$5,(W$5),(W$6))</f>
        <v>2.6699824906799807</v>
      </c>
      <c r="X330" s="39">
        <f>'Degree-days'!$M$12*IF($E330=$E$5,(X$5),(X$6))</f>
        <v>2.6699824906799807</v>
      </c>
      <c r="Y330" s="39">
        <f>'Degree-days'!$M$12*IF($E330=$E$5,(Y$5),(Y$6))</f>
        <v>2.6699824906799807</v>
      </c>
      <c r="Z330" s="39">
        <f>'Degree-days'!$M$12*IF($E330=$E$5,(Z$5),(Z$6))</f>
        <v>2.6699824906799807</v>
      </c>
      <c r="AA330" s="39">
        <f>'Degree-days'!$M$12*IF($E330=$E$5,(AA$5),(AA$6))</f>
        <v>2.6699824906799807</v>
      </c>
      <c r="AB330" s="39">
        <f>'Degree-days'!$M$12*IF($E330=$E$5,(AB$5),(AB$6))</f>
        <v>0</v>
      </c>
      <c r="AC330" s="39">
        <f>'Degree-days'!$M$12*IF($E330=$E$5,(AC$5),(AC$6))</f>
        <v>0</v>
      </c>
      <c r="AD330" s="39">
        <f t="shared" si="12"/>
        <v>42.719719850879677</v>
      </c>
    </row>
    <row r="331" spans="4:30" x14ac:dyDescent="0.2">
      <c r="D331" s="37">
        <v>45250</v>
      </c>
      <c r="E331" s="17" t="str">
        <f t="shared" si="13"/>
        <v>weekday</v>
      </c>
      <c r="F331" s="39">
        <f>'Degree-days'!$M$12*IF($E331=$E$5,(F$5),(F$6))</f>
        <v>0</v>
      </c>
      <c r="G331" s="39">
        <f>'Degree-days'!$M$12*IF($E331=$E$5,(G$5),(G$6))</f>
        <v>0</v>
      </c>
      <c r="H331" s="39">
        <f>'Degree-days'!$M$12*IF($E331=$E$5,(H$5),(H$6))</f>
        <v>0</v>
      </c>
      <c r="I331" s="39">
        <f>'Degree-days'!$M$12*IF($E331=$E$5,(I$5),(I$6))</f>
        <v>0</v>
      </c>
      <c r="J331" s="39">
        <f>'Degree-days'!$M$12*IF($E331=$E$5,(J$5),(J$6))</f>
        <v>0</v>
      </c>
      <c r="K331" s="39">
        <f>'Degree-days'!$M$12*IF($E331=$E$5,(K$5),(K$6))</f>
        <v>0</v>
      </c>
      <c r="L331" s="39">
        <f>'Degree-days'!$M$12*IF($E331=$E$5,(L$5),(L$6))</f>
        <v>2.6699824906799807</v>
      </c>
      <c r="M331" s="39">
        <f>'Degree-days'!$M$12*IF($E331=$E$5,(M$5),(M$6))</f>
        <v>2.6699824906799807</v>
      </c>
      <c r="N331" s="39">
        <f>'Degree-days'!$M$12*IF($E331=$E$5,(N$5),(N$6))</f>
        <v>0</v>
      </c>
      <c r="O331" s="39">
        <f>'Degree-days'!$M$12*IF($E331=$E$5,(O$5),(O$6))</f>
        <v>0</v>
      </c>
      <c r="P331" s="39">
        <f>'Degree-days'!$M$12*IF($E331=$E$5,(P$5),(P$6))</f>
        <v>0</v>
      </c>
      <c r="Q331" s="39">
        <f>'Degree-days'!$M$12*IF($E331=$E$5,(Q$5),(Q$6))</f>
        <v>0</v>
      </c>
      <c r="R331" s="39">
        <f>'Degree-days'!$M$12*IF($E331=$E$5,(R$5),(R$6))</f>
        <v>0</v>
      </c>
      <c r="S331" s="39">
        <f>'Degree-days'!$M$12*IF($E331=$E$5,(S$5),(S$6))</f>
        <v>0</v>
      </c>
      <c r="T331" s="39">
        <f>'Degree-days'!$M$12*IF($E331=$E$5,(T$5),(T$6))</f>
        <v>0</v>
      </c>
      <c r="U331" s="39">
        <f>'Degree-days'!$M$12*IF($E331=$E$5,(U$5),(U$6))</f>
        <v>2.6699824906799807</v>
      </c>
      <c r="V331" s="39">
        <f>'Degree-days'!$M$12*IF($E331=$E$5,(V$5),(V$6))</f>
        <v>2.6699824906799807</v>
      </c>
      <c r="W331" s="39">
        <f>'Degree-days'!$M$12*IF($E331=$E$5,(W$5),(W$6))</f>
        <v>2.6699824906799807</v>
      </c>
      <c r="X331" s="39">
        <f>'Degree-days'!$M$12*IF($E331=$E$5,(X$5),(X$6))</f>
        <v>2.6699824906799807</v>
      </c>
      <c r="Y331" s="39">
        <f>'Degree-days'!$M$12*IF($E331=$E$5,(Y$5),(Y$6))</f>
        <v>2.6699824906799807</v>
      </c>
      <c r="Z331" s="39">
        <f>'Degree-days'!$M$12*IF($E331=$E$5,(Z$5),(Z$6))</f>
        <v>2.6699824906799807</v>
      </c>
      <c r="AA331" s="39">
        <f>'Degree-days'!$M$12*IF($E331=$E$5,(AA$5),(AA$6))</f>
        <v>2.6699824906799807</v>
      </c>
      <c r="AB331" s="39">
        <f>'Degree-days'!$M$12*IF($E331=$E$5,(AB$5),(AB$6))</f>
        <v>0</v>
      </c>
      <c r="AC331" s="39">
        <f>'Degree-days'!$M$12*IF($E331=$E$5,(AC$5),(AC$6))</f>
        <v>0</v>
      </c>
      <c r="AD331" s="39">
        <f t="shared" si="12"/>
        <v>24.029842416119827</v>
      </c>
    </row>
    <row r="332" spans="4:30" x14ac:dyDescent="0.2">
      <c r="D332" s="37">
        <v>45251</v>
      </c>
      <c r="E332" s="17" t="str">
        <f t="shared" si="13"/>
        <v>weekday</v>
      </c>
      <c r="F332" s="39">
        <f>'Degree-days'!$M$12*IF($E332=$E$5,(F$5),(F$6))</f>
        <v>0</v>
      </c>
      <c r="G332" s="39">
        <f>'Degree-days'!$M$12*IF($E332=$E$5,(G$5),(G$6))</f>
        <v>0</v>
      </c>
      <c r="H332" s="39">
        <f>'Degree-days'!$M$12*IF($E332=$E$5,(H$5),(H$6))</f>
        <v>0</v>
      </c>
      <c r="I332" s="39">
        <f>'Degree-days'!$M$12*IF($E332=$E$5,(I$5),(I$6))</f>
        <v>0</v>
      </c>
      <c r="J332" s="39">
        <f>'Degree-days'!$M$12*IF($E332=$E$5,(J$5),(J$6))</f>
        <v>0</v>
      </c>
      <c r="K332" s="39">
        <f>'Degree-days'!$M$12*IF($E332=$E$5,(K$5),(K$6))</f>
        <v>0</v>
      </c>
      <c r="L332" s="39">
        <f>'Degree-days'!$M$12*IF($E332=$E$5,(L$5),(L$6))</f>
        <v>2.6699824906799807</v>
      </c>
      <c r="M332" s="39">
        <f>'Degree-days'!$M$12*IF($E332=$E$5,(M$5),(M$6))</f>
        <v>2.6699824906799807</v>
      </c>
      <c r="N332" s="39">
        <f>'Degree-days'!$M$12*IF($E332=$E$5,(N$5),(N$6))</f>
        <v>0</v>
      </c>
      <c r="O332" s="39">
        <f>'Degree-days'!$M$12*IF($E332=$E$5,(O$5),(O$6))</f>
        <v>0</v>
      </c>
      <c r="P332" s="39">
        <f>'Degree-days'!$M$12*IF($E332=$E$5,(P$5),(P$6))</f>
        <v>0</v>
      </c>
      <c r="Q332" s="39">
        <f>'Degree-days'!$M$12*IF($E332=$E$5,(Q$5),(Q$6))</f>
        <v>0</v>
      </c>
      <c r="R332" s="39">
        <f>'Degree-days'!$M$12*IF($E332=$E$5,(R$5),(R$6))</f>
        <v>0</v>
      </c>
      <c r="S332" s="39">
        <f>'Degree-days'!$M$12*IF($E332=$E$5,(S$5),(S$6))</f>
        <v>0</v>
      </c>
      <c r="T332" s="39">
        <f>'Degree-days'!$M$12*IF($E332=$E$5,(T$5),(T$6))</f>
        <v>0</v>
      </c>
      <c r="U332" s="39">
        <f>'Degree-days'!$M$12*IF($E332=$E$5,(U$5),(U$6))</f>
        <v>2.6699824906799807</v>
      </c>
      <c r="V332" s="39">
        <f>'Degree-days'!$M$12*IF($E332=$E$5,(V$5),(V$6))</f>
        <v>2.6699824906799807</v>
      </c>
      <c r="W332" s="39">
        <f>'Degree-days'!$M$12*IF($E332=$E$5,(W$5),(W$6))</f>
        <v>2.6699824906799807</v>
      </c>
      <c r="X332" s="39">
        <f>'Degree-days'!$M$12*IF($E332=$E$5,(X$5),(X$6))</f>
        <v>2.6699824906799807</v>
      </c>
      <c r="Y332" s="39">
        <f>'Degree-days'!$M$12*IF($E332=$E$5,(Y$5),(Y$6))</f>
        <v>2.6699824906799807</v>
      </c>
      <c r="Z332" s="39">
        <f>'Degree-days'!$M$12*IF($E332=$E$5,(Z$5),(Z$6))</f>
        <v>2.6699824906799807</v>
      </c>
      <c r="AA332" s="39">
        <f>'Degree-days'!$M$12*IF($E332=$E$5,(AA$5),(AA$6))</f>
        <v>2.6699824906799807</v>
      </c>
      <c r="AB332" s="39">
        <f>'Degree-days'!$M$12*IF($E332=$E$5,(AB$5),(AB$6))</f>
        <v>0</v>
      </c>
      <c r="AC332" s="39">
        <f>'Degree-days'!$M$12*IF($E332=$E$5,(AC$5),(AC$6))</f>
        <v>0</v>
      </c>
      <c r="AD332" s="39">
        <f t="shared" si="12"/>
        <v>24.029842416119827</v>
      </c>
    </row>
    <row r="333" spans="4:30" x14ac:dyDescent="0.2">
      <c r="D333" s="37">
        <v>45252</v>
      </c>
      <c r="E333" s="17" t="str">
        <f t="shared" si="13"/>
        <v>weekday</v>
      </c>
      <c r="F333" s="39">
        <f>'Degree-days'!$M$12*IF($E333=$E$5,(F$5),(F$6))</f>
        <v>0</v>
      </c>
      <c r="G333" s="39">
        <f>'Degree-days'!$M$12*IF($E333=$E$5,(G$5),(G$6))</f>
        <v>0</v>
      </c>
      <c r="H333" s="39">
        <f>'Degree-days'!$M$12*IF($E333=$E$5,(H$5),(H$6))</f>
        <v>0</v>
      </c>
      <c r="I333" s="39">
        <f>'Degree-days'!$M$12*IF($E333=$E$5,(I$5),(I$6))</f>
        <v>0</v>
      </c>
      <c r="J333" s="39">
        <f>'Degree-days'!$M$12*IF($E333=$E$5,(J$5),(J$6))</f>
        <v>0</v>
      </c>
      <c r="K333" s="39">
        <f>'Degree-days'!$M$12*IF($E333=$E$5,(K$5),(K$6))</f>
        <v>0</v>
      </c>
      <c r="L333" s="39">
        <f>'Degree-days'!$M$12*IF($E333=$E$5,(L$5),(L$6))</f>
        <v>2.6699824906799807</v>
      </c>
      <c r="M333" s="39">
        <f>'Degree-days'!$M$12*IF($E333=$E$5,(M$5),(M$6))</f>
        <v>2.6699824906799807</v>
      </c>
      <c r="N333" s="39">
        <f>'Degree-days'!$M$12*IF($E333=$E$5,(N$5),(N$6))</f>
        <v>0</v>
      </c>
      <c r="O333" s="39">
        <f>'Degree-days'!$M$12*IF($E333=$E$5,(O$5),(O$6))</f>
        <v>0</v>
      </c>
      <c r="P333" s="39">
        <f>'Degree-days'!$M$12*IF($E333=$E$5,(P$5),(P$6))</f>
        <v>0</v>
      </c>
      <c r="Q333" s="39">
        <f>'Degree-days'!$M$12*IF($E333=$E$5,(Q$5),(Q$6))</f>
        <v>0</v>
      </c>
      <c r="R333" s="39">
        <f>'Degree-days'!$M$12*IF($E333=$E$5,(R$5),(R$6))</f>
        <v>0</v>
      </c>
      <c r="S333" s="39">
        <f>'Degree-days'!$M$12*IF($E333=$E$5,(S$5),(S$6))</f>
        <v>0</v>
      </c>
      <c r="T333" s="39">
        <f>'Degree-days'!$M$12*IF($E333=$E$5,(T$5),(T$6))</f>
        <v>0</v>
      </c>
      <c r="U333" s="39">
        <f>'Degree-days'!$M$12*IF($E333=$E$5,(U$5),(U$6))</f>
        <v>2.6699824906799807</v>
      </c>
      <c r="V333" s="39">
        <f>'Degree-days'!$M$12*IF($E333=$E$5,(V$5),(V$6))</f>
        <v>2.6699824906799807</v>
      </c>
      <c r="W333" s="39">
        <f>'Degree-days'!$M$12*IF($E333=$E$5,(W$5),(W$6))</f>
        <v>2.6699824906799807</v>
      </c>
      <c r="X333" s="39">
        <f>'Degree-days'!$M$12*IF($E333=$E$5,(X$5),(X$6))</f>
        <v>2.6699824906799807</v>
      </c>
      <c r="Y333" s="39">
        <f>'Degree-days'!$M$12*IF($E333=$E$5,(Y$5),(Y$6))</f>
        <v>2.6699824906799807</v>
      </c>
      <c r="Z333" s="39">
        <f>'Degree-days'!$M$12*IF($E333=$E$5,(Z$5),(Z$6))</f>
        <v>2.6699824906799807</v>
      </c>
      <c r="AA333" s="39">
        <f>'Degree-days'!$M$12*IF($E333=$E$5,(AA$5),(AA$6))</f>
        <v>2.6699824906799807</v>
      </c>
      <c r="AB333" s="39">
        <f>'Degree-days'!$M$12*IF($E333=$E$5,(AB$5),(AB$6))</f>
        <v>0</v>
      </c>
      <c r="AC333" s="39">
        <f>'Degree-days'!$M$12*IF($E333=$E$5,(AC$5),(AC$6))</f>
        <v>0</v>
      </c>
      <c r="AD333" s="39">
        <f t="shared" si="12"/>
        <v>24.029842416119827</v>
      </c>
    </row>
    <row r="334" spans="4:30" x14ac:dyDescent="0.2">
      <c r="D334" s="37">
        <v>45253</v>
      </c>
      <c r="E334" s="17" t="str">
        <f t="shared" si="13"/>
        <v>weekday</v>
      </c>
      <c r="F334" s="39">
        <f>'Degree-days'!$M$12*IF($E334=$E$5,(F$5),(F$6))</f>
        <v>0</v>
      </c>
      <c r="G334" s="39">
        <f>'Degree-days'!$M$12*IF($E334=$E$5,(G$5),(G$6))</f>
        <v>0</v>
      </c>
      <c r="H334" s="39">
        <f>'Degree-days'!$M$12*IF($E334=$E$5,(H$5),(H$6))</f>
        <v>0</v>
      </c>
      <c r="I334" s="39">
        <f>'Degree-days'!$M$12*IF($E334=$E$5,(I$5),(I$6))</f>
        <v>0</v>
      </c>
      <c r="J334" s="39">
        <f>'Degree-days'!$M$12*IF($E334=$E$5,(J$5),(J$6))</f>
        <v>0</v>
      </c>
      <c r="K334" s="39">
        <f>'Degree-days'!$M$12*IF($E334=$E$5,(K$5),(K$6))</f>
        <v>0</v>
      </c>
      <c r="L334" s="39">
        <f>'Degree-days'!$M$12*IF($E334=$E$5,(L$5),(L$6))</f>
        <v>2.6699824906799807</v>
      </c>
      <c r="M334" s="39">
        <f>'Degree-days'!$M$12*IF($E334=$E$5,(M$5),(M$6))</f>
        <v>2.6699824906799807</v>
      </c>
      <c r="N334" s="39">
        <f>'Degree-days'!$M$12*IF($E334=$E$5,(N$5),(N$6))</f>
        <v>0</v>
      </c>
      <c r="O334" s="39">
        <f>'Degree-days'!$M$12*IF($E334=$E$5,(O$5),(O$6))</f>
        <v>0</v>
      </c>
      <c r="P334" s="39">
        <f>'Degree-days'!$M$12*IF($E334=$E$5,(P$5),(P$6))</f>
        <v>0</v>
      </c>
      <c r="Q334" s="39">
        <f>'Degree-days'!$M$12*IF($E334=$E$5,(Q$5),(Q$6))</f>
        <v>0</v>
      </c>
      <c r="R334" s="39">
        <f>'Degree-days'!$M$12*IF($E334=$E$5,(R$5),(R$6))</f>
        <v>0</v>
      </c>
      <c r="S334" s="39">
        <f>'Degree-days'!$M$12*IF($E334=$E$5,(S$5),(S$6))</f>
        <v>0</v>
      </c>
      <c r="T334" s="39">
        <f>'Degree-days'!$M$12*IF($E334=$E$5,(T$5),(T$6))</f>
        <v>0</v>
      </c>
      <c r="U334" s="39">
        <f>'Degree-days'!$M$12*IF($E334=$E$5,(U$5),(U$6))</f>
        <v>2.6699824906799807</v>
      </c>
      <c r="V334" s="39">
        <f>'Degree-days'!$M$12*IF($E334=$E$5,(V$5),(V$6))</f>
        <v>2.6699824906799807</v>
      </c>
      <c r="W334" s="39">
        <f>'Degree-days'!$M$12*IF($E334=$E$5,(W$5),(W$6))</f>
        <v>2.6699824906799807</v>
      </c>
      <c r="X334" s="39">
        <f>'Degree-days'!$M$12*IF($E334=$E$5,(X$5),(X$6))</f>
        <v>2.6699824906799807</v>
      </c>
      <c r="Y334" s="39">
        <f>'Degree-days'!$M$12*IF($E334=$E$5,(Y$5),(Y$6))</f>
        <v>2.6699824906799807</v>
      </c>
      <c r="Z334" s="39">
        <f>'Degree-days'!$M$12*IF($E334=$E$5,(Z$5),(Z$6))</f>
        <v>2.6699824906799807</v>
      </c>
      <c r="AA334" s="39">
        <f>'Degree-days'!$M$12*IF($E334=$E$5,(AA$5),(AA$6))</f>
        <v>2.6699824906799807</v>
      </c>
      <c r="AB334" s="39">
        <f>'Degree-days'!$M$12*IF($E334=$E$5,(AB$5),(AB$6))</f>
        <v>0</v>
      </c>
      <c r="AC334" s="39">
        <f>'Degree-days'!$M$12*IF($E334=$E$5,(AC$5),(AC$6))</f>
        <v>0</v>
      </c>
      <c r="AD334" s="39">
        <f t="shared" si="12"/>
        <v>24.029842416119827</v>
      </c>
    </row>
    <row r="335" spans="4:30" x14ac:dyDescent="0.2">
      <c r="D335" s="37">
        <v>45254</v>
      </c>
      <c r="E335" s="17" t="str">
        <f t="shared" si="13"/>
        <v>weekday</v>
      </c>
      <c r="F335" s="39">
        <f>'Degree-days'!$M$12*IF($E335=$E$5,(F$5),(F$6))</f>
        <v>0</v>
      </c>
      <c r="G335" s="39">
        <f>'Degree-days'!$M$12*IF($E335=$E$5,(G$5),(G$6))</f>
        <v>0</v>
      </c>
      <c r="H335" s="39">
        <f>'Degree-days'!$M$12*IF($E335=$E$5,(H$5),(H$6))</f>
        <v>0</v>
      </c>
      <c r="I335" s="39">
        <f>'Degree-days'!$M$12*IF($E335=$E$5,(I$5),(I$6))</f>
        <v>0</v>
      </c>
      <c r="J335" s="39">
        <f>'Degree-days'!$M$12*IF($E335=$E$5,(J$5),(J$6))</f>
        <v>0</v>
      </c>
      <c r="K335" s="39">
        <f>'Degree-days'!$M$12*IF($E335=$E$5,(K$5),(K$6))</f>
        <v>0</v>
      </c>
      <c r="L335" s="39">
        <f>'Degree-days'!$M$12*IF($E335=$E$5,(L$5),(L$6))</f>
        <v>2.6699824906799807</v>
      </c>
      <c r="M335" s="39">
        <f>'Degree-days'!$M$12*IF($E335=$E$5,(M$5),(M$6))</f>
        <v>2.6699824906799807</v>
      </c>
      <c r="N335" s="39">
        <f>'Degree-days'!$M$12*IF($E335=$E$5,(N$5),(N$6))</f>
        <v>0</v>
      </c>
      <c r="O335" s="39">
        <f>'Degree-days'!$M$12*IF($E335=$E$5,(O$5),(O$6))</f>
        <v>0</v>
      </c>
      <c r="P335" s="39">
        <f>'Degree-days'!$M$12*IF($E335=$E$5,(P$5),(P$6))</f>
        <v>0</v>
      </c>
      <c r="Q335" s="39">
        <f>'Degree-days'!$M$12*IF($E335=$E$5,(Q$5),(Q$6))</f>
        <v>0</v>
      </c>
      <c r="R335" s="39">
        <f>'Degree-days'!$M$12*IF($E335=$E$5,(R$5),(R$6))</f>
        <v>0</v>
      </c>
      <c r="S335" s="39">
        <f>'Degree-days'!$M$12*IF($E335=$E$5,(S$5),(S$6))</f>
        <v>0</v>
      </c>
      <c r="T335" s="39">
        <f>'Degree-days'!$M$12*IF($E335=$E$5,(T$5),(T$6))</f>
        <v>0</v>
      </c>
      <c r="U335" s="39">
        <f>'Degree-days'!$M$12*IF($E335=$E$5,(U$5),(U$6))</f>
        <v>2.6699824906799807</v>
      </c>
      <c r="V335" s="39">
        <f>'Degree-days'!$M$12*IF($E335=$E$5,(V$5),(V$6))</f>
        <v>2.6699824906799807</v>
      </c>
      <c r="W335" s="39">
        <f>'Degree-days'!$M$12*IF($E335=$E$5,(W$5),(W$6))</f>
        <v>2.6699824906799807</v>
      </c>
      <c r="X335" s="39">
        <f>'Degree-days'!$M$12*IF($E335=$E$5,(X$5),(X$6))</f>
        <v>2.6699824906799807</v>
      </c>
      <c r="Y335" s="39">
        <f>'Degree-days'!$M$12*IF($E335=$E$5,(Y$5),(Y$6))</f>
        <v>2.6699824906799807</v>
      </c>
      <c r="Z335" s="39">
        <f>'Degree-days'!$M$12*IF($E335=$E$5,(Z$5),(Z$6))</f>
        <v>2.6699824906799807</v>
      </c>
      <c r="AA335" s="39">
        <f>'Degree-days'!$M$12*IF($E335=$E$5,(AA$5),(AA$6))</f>
        <v>2.6699824906799807</v>
      </c>
      <c r="AB335" s="39">
        <f>'Degree-days'!$M$12*IF($E335=$E$5,(AB$5),(AB$6))</f>
        <v>0</v>
      </c>
      <c r="AC335" s="39">
        <f>'Degree-days'!$M$12*IF($E335=$E$5,(AC$5),(AC$6))</f>
        <v>0</v>
      </c>
      <c r="AD335" s="39">
        <f t="shared" si="12"/>
        <v>24.029842416119827</v>
      </c>
    </row>
    <row r="336" spans="4:30" x14ac:dyDescent="0.2">
      <c r="D336" s="37">
        <v>45255</v>
      </c>
      <c r="E336" s="17" t="str">
        <f t="shared" si="13"/>
        <v>weekend</v>
      </c>
      <c r="F336" s="39">
        <f>'Degree-days'!$M$12*IF($E336=$E$5,(F$5),(F$6))</f>
        <v>0</v>
      </c>
      <c r="G336" s="39">
        <f>'Degree-days'!$M$12*IF($E336=$E$5,(G$5),(G$6))</f>
        <v>0</v>
      </c>
      <c r="H336" s="39">
        <f>'Degree-days'!$M$12*IF($E336=$E$5,(H$5),(H$6))</f>
        <v>0</v>
      </c>
      <c r="I336" s="39">
        <f>'Degree-days'!$M$12*IF($E336=$E$5,(I$5),(I$6))</f>
        <v>0</v>
      </c>
      <c r="J336" s="39">
        <f>'Degree-days'!$M$12*IF($E336=$E$5,(J$5),(J$6))</f>
        <v>0</v>
      </c>
      <c r="K336" s="39">
        <f>'Degree-days'!$M$12*IF($E336=$E$5,(K$5),(K$6))</f>
        <v>0</v>
      </c>
      <c r="L336" s="39">
        <f>'Degree-days'!$M$12*IF($E336=$E$5,(L$5),(L$6))</f>
        <v>2.6699824906799807</v>
      </c>
      <c r="M336" s="39">
        <f>'Degree-days'!$M$12*IF($E336=$E$5,(M$5),(M$6))</f>
        <v>2.6699824906799807</v>
      </c>
      <c r="N336" s="39">
        <f>'Degree-days'!$M$12*IF($E336=$E$5,(N$5),(N$6))</f>
        <v>2.6699824906799807</v>
      </c>
      <c r="O336" s="39">
        <f>'Degree-days'!$M$12*IF($E336=$E$5,(O$5),(O$6))</f>
        <v>2.6699824906799807</v>
      </c>
      <c r="P336" s="39">
        <f>'Degree-days'!$M$12*IF($E336=$E$5,(P$5),(P$6))</f>
        <v>2.6699824906799807</v>
      </c>
      <c r="Q336" s="39">
        <f>'Degree-days'!$M$12*IF($E336=$E$5,(Q$5),(Q$6))</f>
        <v>2.6699824906799807</v>
      </c>
      <c r="R336" s="39">
        <f>'Degree-days'!$M$12*IF($E336=$E$5,(R$5),(R$6))</f>
        <v>2.6699824906799807</v>
      </c>
      <c r="S336" s="39">
        <f>'Degree-days'!$M$12*IF($E336=$E$5,(S$5),(S$6))</f>
        <v>2.6699824906799807</v>
      </c>
      <c r="T336" s="39">
        <f>'Degree-days'!$M$12*IF($E336=$E$5,(T$5),(T$6))</f>
        <v>2.6699824906799807</v>
      </c>
      <c r="U336" s="39">
        <f>'Degree-days'!$M$12*IF($E336=$E$5,(U$5),(U$6))</f>
        <v>2.6699824906799807</v>
      </c>
      <c r="V336" s="39">
        <f>'Degree-days'!$M$12*IF($E336=$E$5,(V$5),(V$6))</f>
        <v>2.6699824906799807</v>
      </c>
      <c r="W336" s="39">
        <f>'Degree-days'!$M$12*IF($E336=$E$5,(W$5),(W$6))</f>
        <v>2.6699824906799807</v>
      </c>
      <c r="X336" s="39">
        <f>'Degree-days'!$M$12*IF($E336=$E$5,(X$5),(X$6))</f>
        <v>2.6699824906799807</v>
      </c>
      <c r="Y336" s="39">
        <f>'Degree-days'!$M$12*IF($E336=$E$5,(Y$5),(Y$6))</f>
        <v>2.6699824906799807</v>
      </c>
      <c r="Z336" s="39">
        <f>'Degree-days'!$M$12*IF($E336=$E$5,(Z$5),(Z$6))</f>
        <v>2.6699824906799807</v>
      </c>
      <c r="AA336" s="39">
        <f>'Degree-days'!$M$12*IF($E336=$E$5,(AA$5),(AA$6))</f>
        <v>2.6699824906799807</v>
      </c>
      <c r="AB336" s="39">
        <f>'Degree-days'!$M$12*IF($E336=$E$5,(AB$5),(AB$6))</f>
        <v>0</v>
      </c>
      <c r="AC336" s="39">
        <f>'Degree-days'!$M$12*IF($E336=$E$5,(AC$5),(AC$6))</f>
        <v>0</v>
      </c>
      <c r="AD336" s="39">
        <f t="shared" si="12"/>
        <v>42.719719850879677</v>
      </c>
    </row>
    <row r="337" spans="4:32" x14ac:dyDescent="0.2">
      <c r="D337" s="37">
        <v>45256</v>
      </c>
      <c r="E337" s="17" t="str">
        <f t="shared" si="13"/>
        <v>weekend</v>
      </c>
      <c r="F337" s="39">
        <f>'Degree-days'!$M$12*IF($E337=$E$5,(F$5),(F$6))</f>
        <v>0</v>
      </c>
      <c r="G337" s="39">
        <f>'Degree-days'!$M$12*IF($E337=$E$5,(G$5),(G$6))</f>
        <v>0</v>
      </c>
      <c r="H337" s="39">
        <f>'Degree-days'!$M$12*IF($E337=$E$5,(H$5),(H$6))</f>
        <v>0</v>
      </c>
      <c r="I337" s="39">
        <f>'Degree-days'!$M$12*IF($E337=$E$5,(I$5),(I$6))</f>
        <v>0</v>
      </c>
      <c r="J337" s="39">
        <f>'Degree-days'!$M$12*IF($E337=$E$5,(J$5),(J$6))</f>
        <v>0</v>
      </c>
      <c r="K337" s="39">
        <f>'Degree-days'!$M$12*IF($E337=$E$5,(K$5),(K$6))</f>
        <v>0</v>
      </c>
      <c r="L337" s="39">
        <f>'Degree-days'!$M$12*IF($E337=$E$5,(L$5),(L$6))</f>
        <v>2.6699824906799807</v>
      </c>
      <c r="M337" s="39">
        <f>'Degree-days'!$M$12*IF($E337=$E$5,(M$5),(M$6))</f>
        <v>2.6699824906799807</v>
      </c>
      <c r="N337" s="39">
        <f>'Degree-days'!$M$12*IF($E337=$E$5,(N$5),(N$6))</f>
        <v>2.6699824906799807</v>
      </c>
      <c r="O337" s="39">
        <f>'Degree-days'!$M$12*IF($E337=$E$5,(O$5),(O$6))</f>
        <v>2.6699824906799807</v>
      </c>
      <c r="P337" s="39">
        <f>'Degree-days'!$M$12*IF($E337=$E$5,(P$5),(P$6))</f>
        <v>2.6699824906799807</v>
      </c>
      <c r="Q337" s="39">
        <f>'Degree-days'!$M$12*IF($E337=$E$5,(Q$5),(Q$6))</f>
        <v>2.6699824906799807</v>
      </c>
      <c r="R337" s="39">
        <f>'Degree-days'!$M$12*IF($E337=$E$5,(R$5),(R$6))</f>
        <v>2.6699824906799807</v>
      </c>
      <c r="S337" s="39">
        <f>'Degree-days'!$M$12*IF($E337=$E$5,(S$5),(S$6))</f>
        <v>2.6699824906799807</v>
      </c>
      <c r="T337" s="39">
        <f>'Degree-days'!$M$12*IF($E337=$E$5,(T$5),(T$6))</f>
        <v>2.6699824906799807</v>
      </c>
      <c r="U337" s="39">
        <f>'Degree-days'!$M$12*IF($E337=$E$5,(U$5),(U$6))</f>
        <v>2.6699824906799807</v>
      </c>
      <c r="V337" s="39">
        <f>'Degree-days'!$M$12*IF($E337=$E$5,(V$5),(V$6))</f>
        <v>2.6699824906799807</v>
      </c>
      <c r="W337" s="39">
        <f>'Degree-days'!$M$12*IF($E337=$E$5,(W$5),(W$6))</f>
        <v>2.6699824906799807</v>
      </c>
      <c r="X337" s="39">
        <f>'Degree-days'!$M$12*IF($E337=$E$5,(X$5),(X$6))</f>
        <v>2.6699824906799807</v>
      </c>
      <c r="Y337" s="39">
        <f>'Degree-days'!$M$12*IF($E337=$E$5,(Y$5),(Y$6))</f>
        <v>2.6699824906799807</v>
      </c>
      <c r="Z337" s="39">
        <f>'Degree-days'!$M$12*IF($E337=$E$5,(Z$5),(Z$6))</f>
        <v>2.6699824906799807</v>
      </c>
      <c r="AA337" s="39">
        <f>'Degree-days'!$M$12*IF($E337=$E$5,(AA$5),(AA$6))</f>
        <v>2.6699824906799807</v>
      </c>
      <c r="AB337" s="39">
        <f>'Degree-days'!$M$12*IF($E337=$E$5,(AB$5),(AB$6))</f>
        <v>0</v>
      </c>
      <c r="AC337" s="39">
        <f>'Degree-days'!$M$12*IF($E337=$E$5,(AC$5),(AC$6))</f>
        <v>0</v>
      </c>
      <c r="AD337" s="39">
        <f t="shared" si="12"/>
        <v>42.719719850879677</v>
      </c>
    </row>
    <row r="338" spans="4:32" x14ac:dyDescent="0.2">
      <c r="D338" s="37">
        <v>45257</v>
      </c>
      <c r="E338" s="17" t="str">
        <f t="shared" si="13"/>
        <v>weekday</v>
      </c>
      <c r="F338" s="39">
        <f>'Degree-days'!$M$12*IF($E338=$E$5,(F$5),(F$6))</f>
        <v>0</v>
      </c>
      <c r="G338" s="39">
        <f>'Degree-days'!$M$12*IF($E338=$E$5,(G$5),(G$6))</f>
        <v>0</v>
      </c>
      <c r="H338" s="39">
        <f>'Degree-days'!$M$12*IF($E338=$E$5,(H$5),(H$6))</f>
        <v>0</v>
      </c>
      <c r="I338" s="39">
        <f>'Degree-days'!$M$12*IF($E338=$E$5,(I$5),(I$6))</f>
        <v>0</v>
      </c>
      <c r="J338" s="39">
        <f>'Degree-days'!$M$12*IF($E338=$E$5,(J$5),(J$6))</f>
        <v>0</v>
      </c>
      <c r="K338" s="39">
        <f>'Degree-days'!$M$12*IF($E338=$E$5,(K$5),(K$6))</f>
        <v>0</v>
      </c>
      <c r="L338" s="39">
        <f>'Degree-days'!$M$12*IF($E338=$E$5,(L$5),(L$6))</f>
        <v>2.6699824906799807</v>
      </c>
      <c r="M338" s="39">
        <f>'Degree-days'!$M$12*IF($E338=$E$5,(M$5),(M$6))</f>
        <v>2.6699824906799807</v>
      </c>
      <c r="N338" s="39">
        <f>'Degree-days'!$M$12*IF($E338=$E$5,(N$5),(N$6))</f>
        <v>0</v>
      </c>
      <c r="O338" s="39">
        <f>'Degree-days'!$M$12*IF($E338=$E$5,(O$5),(O$6))</f>
        <v>0</v>
      </c>
      <c r="P338" s="39">
        <f>'Degree-days'!$M$12*IF($E338=$E$5,(P$5),(P$6))</f>
        <v>0</v>
      </c>
      <c r="Q338" s="39">
        <f>'Degree-days'!$M$12*IF($E338=$E$5,(Q$5),(Q$6))</f>
        <v>0</v>
      </c>
      <c r="R338" s="39">
        <f>'Degree-days'!$M$12*IF($E338=$E$5,(R$5),(R$6))</f>
        <v>0</v>
      </c>
      <c r="S338" s="39">
        <f>'Degree-days'!$M$12*IF($E338=$E$5,(S$5),(S$6))</f>
        <v>0</v>
      </c>
      <c r="T338" s="39">
        <f>'Degree-days'!$M$12*IF($E338=$E$5,(T$5),(T$6))</f>
        <v>0</v>
      </c>
      <c r="U338" s="39">
        <f>'Degree-days'!$M$12*IF($E338=$E$5,(U$5),(U$6))</f>
        <v>2.6699824906799807</v>
      </c>
      <c r="V338" s="39">
        <f>'Degree-days'!$M$12*IF($E338=$E$5,(V$5),(V$6))</f>
        <v>2.6699824906799807</v>
      </c>
      <c r="W338" s="39">
        <f>'Degree-days'!$M$12*IF($E338=$E$5,(W$5),(W$6))</f>
        <v>2.6699824906799807</v>
      </c>
      <c r="X338" s="39">
        <f>'Degree-days'!$M$12*IF($E338=$E$5,(X$5),(X$6))</f>
        <v>2.6699824906799807</v>
      </c>
      <c r="Y338" s="39">
        <f>'Degree-days'!$M$12*IF($E338=$E$5,(Y$5),(Y$6))</f>
        <v>2.6699824906799807</v>
      </c>
      <c r="Z338" s="39">
        <f>'Degree-days'!$M$12*IF($E338=$E$5,(Z$5),(Z$6))</f>
        <v>2.6699824906799807</v>
      </c>
      <c r="AA338" s="39">
        <f>'Degree-days'!$M$12*IF($E338=$E$5,(AA$5),(AA$6))</f>
        <v>2.6699824906799807</v>
      </c>
      <c r="AB338" s="39">
        <f>'Degree-days'!$M$12*IF($E338=$E$5,(AB$5),(AB$6))</f>
        <v>0</v>
      </c>
      <c r="AC338" s="39">
        <f>'Degree-days'!$M$12*IF($E338=$E$5,(AC$5),(AC$6))</f>
        <v>0</v>
      </c>
      <c r="AD338" s="39">
        <f t="shared" si="12"/>
        <v>24.029842416119827</v>
      </c>
    </row>
    <row r="339" spans="4:32" x14ac:dyDescent="0.2">
      <c r="D339" s="37">
        <v>45258</v>
      </c>
      <c r="E339" s="17" t="str">
        <f t="shared" si="13"/>
        <v>weekday</v>
      </c>
      <c r="F339" s="39">
        <f>'Degree-days'!$M$12*IF($E339=$E$5,(F$5),(F$6))</f>
        <v>0</v>
      </c>
      <c r="G339" s="39">
        <f>'Degree-days'!$M$12*IF($E339=$E$5,(G$5),(G$6))</f>
        <v>0</v>
      </c>
      <c r="H339" s="39">
        <f>'Degree-days'!$M$12*IF($E339=$E$5,(H$5),(H$6))</f>
        <v>0</v>
      </c>
      <c r="I339" s="39">
        <f>'Degree-days'!$M$12*IF($E339=$E$5,(I$5),(I$6))</f>
        <v>0</v>
      </c>
      <c r="J339" s="39">
        <f>'Degree-days'!$M$12*IF($E339=$E$5,(J$5),(J$6))</f>
        <v>0</v>
      </c>
      <c r="K339" s="39">
        <f>'Degree-days'!$M$12*IF($E339=$E$5,(K$5),(K$6))</f>
        <v>0</v>
      </c>
      <c r="L339" s="39">
        <f>'Degree-days'!$M$12*IF($E339=$E$5,(L$5),(L$6))</f>
        <v>2.6699824906799807</v>
      </c>
      <c r="M339" s="39">
        <f>'Degree-days'!$M$12*IF($E339=$E$5,(M$5),(M$6))</f>
        <v>2.6699824906799807</v>
      </c>
      <c r="N339" s="39">
        <f>'Degree-days'!$M$12*IF($E339=$E$5,(N$5),(N$6))</f>
        <v>0</v>
      </c>
      <c r="O339" s="39">
        <f>'Degree-days'!$M$12*IF($E339=$E$5,(O$5),(O$6))</f>
        <v>0</v>
      </c>
      <c r="P339" s="39">
        <f>'Degree-days'!$M$12*IF($E339=$E$5,(P$5),(P$6))</f>
        <v>0</v>
      </c>
      <c r="Q339" s="39">
        <f>'Degree-days'!$M$12*IF($E339=$E$5,(Q$5),(Q$6))</f>
        <v>0</v>
      </c>
      <c r="R339" s="39">
        <f>'Degree-days'!$M$12*IF($E339=$E$5,(R$5),(R$6))</f>
        <v>0</v>
      </c>
      <c r="S339" s="39">
        <f>'Degree-days'!$M$12*IF($E339=$E$5,(S$5),(S$6))</f>
        <v>0</v>
      </c>
      <c r="T339" s="39">
        <f>'Degree-days'!$M$12*IF($E339=$E$5,(T$5),(T$6))</f>
        <v>0</v>
      </c>
      <c r="U339" s="39">
        <f>'Degree-days'!$M$12*IF($E339=$E$5,(U$5),(U$6))</f>
        <v>2.6699824906799807</v>
      </c>
      <c r="V339" s="39">
        <f>'Degree-days'!$M$12*IF($E339=$E$5,(V$5),(V$6))</f>
        <v>2.6699824906799807</v>
      </c>
      <c r="W339" s="39">
        <f>'Degree-days'!$M$12*IF($E339=$E$5,(W$5),(W$6))</f>
        <v>2.6699824906799807</v>
      </c>
      <c r="X339" s="39">
        <f>'Degree-days'!$M$12*IF($E339=$E$5,(X$5),(X$6))</f>
        <v>2.6699824906799807</v>
      </c>
      <c r="Y339" s="39">
        <f>'Degree-days'!$M$12*IF($E339=$E$5,(Y$5),(Y$6))</f>
        <v>2.6699824906799807</v>
      </c>
      <c r="Z339" s="39">
        <f>'Degree-days'!$M$12*IF($E339=$E$5,(Z$5),(Z$6))</f>
        <v>2.6699824906799807</v>
      </c>
      <c r="AA339" s="39">
        <f>'Degree-days'!$M$12*IF($E339=$E$5,(AA$5),(AA$6))</f>
        <v>2.6699824906799807</v>
      </c>
      <c r="AB339" s="39">
        <f>'Degree-days'!$M$12*IF($E339=$E$5,(AB$5),(AB$6))</f>
        <v>0</v>
      </c>
      <c r="AC339" s="39">
        <f>'Degree-days'!$M$12*IF($E339=$E$5,(AC$5),(AC$6))</f>
        <v>0</v>
      </c>
      <c r="AD339" s="39">
        <f t="shared" si="12"/>
        <v>24.029842416119827</v>
      </c>
    </row>
    <row r="340" spans="4:32" x14ac:dyDescent="0.2">
      <c r="D340" s="37">
        <v>45259</v>
      </c>
      <c r="E340" s="17" t="str">
        <f t="shared" si="13"/>
        <v>weekday</v>
      </c>
      <c r="F340" s="39">
        <f>'Degree-days'!$M$12*IF($E340=$E$5,(F$5),(F$6))</f>
        <v>0</v>
      </c>
      <c r="G340" s="39">
        <f>'Degree-days'!$M$12*IF($E340=$E$5,(G$5),(G$6))</f>
        <v>0</v>
      </c>
      <c r="H340" s="39">
        <f>'Degree-days'!$M$12*IF($E340=$E$5,(H$5),(H$6))</f>
        <v>0</v>
      </c>
      <c r="I340" s="39">
        <f>'Degree-days'!$M$12*IF($E340=$E$5,(I$5),(I$6))</f>
        <v>0</v>
      </c>
      <c r="J340" s="39">
        <f>'Degree-days'!$M$12*IF($E340=$E$5,(J$5),(J$6))</f>
        <v>0</v>
      </c>
      <c r="K340" s="39">
        <f>'Degree-days'!$M$12*IF($E340=$E$5,(K$5),(K$6))</f>
        <v>0</v>
      </c>
      <c r="L340" s="39">
        <f>'Degree-days'!$M$12*IF($E340=$E$5,(L$5),(L$6))</f>
        <v>2.6699824906799807</v>
      </c>
      <c r="M340" s="39">
        <f>'Degree-days'!$M$12*IF($E340=$E$5,(M$5),(M$6))</f>
        <v>2.6699824906799807</v>
      </c>
      <c r="N340" s="39">
        <f>'Degree-days'!$M$12*IF($E340=$E$5,(N$5),(N$6))</f>
        <v>0</v>
      </c>
      <c r="O340" s="39">
        <f>'Degree-days'!$M$12*IF($E340=$E$5,(O$5),(O$6))</f>
        <v>0</v>
      </c>
      <c r="P340" s="39">
        <f>'Degree-days'!$M$12*IF($E340=$E$5,(P$5),(P$6))</f>
        <v>0</v>
      </c>
      <c r="Q340" s="39">
        <f>'Degree-days'!$M$12*IF($E340=$E$5,(Q$5),(Q$6))</f>
        <v>0</v>
      </c>
      <c r="R340" s="39">
        <f>'Degree-days'!$M$12*IF($E340=$E$5,(R$5),(R$6))</f>
        <v>0</v>
      </c>
      <c r="S340" s="39">
        <f>'Degree-days'!$M$12*IF($E340=$E$5,(S$5),(S$6))</f>
        <v>0</v>
      </c>
      <c r="T340" s="39">
        <f>'Degree-days'!$M$12*IF($E340=$E$5,(T$5),(T$6))</f>
        <v>0</v>
      </c>
      <c r="U340" s="39">
        <f>'Degree-days'!$M$12*IF($E340=$E$5,(U$5),(U$6))</f>
        <v>2.6699824906799807</v>
      </c>
      <c r="V340" s="39">
        <f>'Degree-days'!$M$12*IF($E340=$E$5,(V$5),(V$6))</f>
        <v>2.6699824906799807</v>
      </c>
      <c r="W340" s="39">
        <f>'Degree-days'!$M$12*IF($E340=$E$5,(W$5),(W$6))</f>
        <v>2.6699824906799807</v>
      </c>
      <c r="X340" s="39">
        <f>'Degree-days'!$M$12*IF($E340=$E$5,(X$5),(X$6))</f>
        <v>2.6699824906799807</v>
      </c>
      <c r="Y340" s="39">
        <f>'Degree-days'!$M$12*IF($E340=$E$5,(Y$5),(Y$6))</f>
        <v>2.6699824906799807</v>
      </c>
      <c r="Z340" s="39">
        <f>'Degree-days'!$M$12*IF($E340=$E$5,(Z$5),(Z$6))</f>
        <v>2.6699824906799807</v>
      </c>
      <c r="AA340" s="39">
        <f>'Degree-days'!$M$12*IF($E340=$E$5,(AA$5),(AA$6))</f>
        <v>2.6699824906799807</v>
      </c>
      <c r="AB340" s="39">
        <f>'Degree-days'!$M$12*IF($E340=$E$5,(AB$5),(AB$6))</f>
        <v>0</v>
      </c>
      <c r="AC340" s="39">
        <f>'Degree-days'!$M$12*IF($E340=$E$5,(AC$5),(AC$6))</f>
        <v>0</v>
      </c>
      <c r="AD340" s="39">
        <f t="shared" si="12"/>
        <v>24.029842416119827</v>
      </c>
    </row>
    <row r="341" spans="4:32" x14ac:dyDescent="0.2">
      <c r="D341" s="37">
        <v>45260</v>
      </c>
      <c r="E341" s="17" t="str">
        <f t="shared" si="13"/>
        <v>weekday</v>
      </c>
      <c r="F341" s="39">
        <f>'Degree-days'!$M$12*IF($E341=$E$5,(F$5),(F$6))</f>
        <v>0</v>
      </c>
      <c r="G341" s="39">
        <f>'Degree-days'!$M$12*IF($E341=$E$5,(G$5),(G$6))</f>
        <v>0</v>
      </c>
      <c r="H341" s="39">
        <f>'Degree-days'!$M$12*IF($E341=$E$5,(H$5),(H$6))</f>
        <v>0</v>
      </c>
      <c r="I341" s="39">
        <f>'Degree-days'!$M$12*IF($E341=$E$5,(I$5),(I$6))</f>
        <v>0</v>
      </c>
      <c r="J341" s="39">
        <f>'Degree-days'!$M$12*IF($E341=$E$5,(J$5),(J$6))</f>
        <v>0</v>
      </c>
      <c r="K341" s="39">
        <f>'Degree-days'!$M$12*IF($E341=$E$5,(K$5),(K$6))</f>
        <v>0</v>
      </c>
      <c r="L341" s="39">
        <f>'Degree-days'!$M$12*IF($E341=$E$5,(L$5),(L$6))</f>
        <v>2.6699824906799807</v>
      </c>
      <c r="M341" s="39">
        <f>'Degree-days'!$M$12*IF($E341=$E$5,(M$5),(M$6))</f>
        <v>2.6699824906799807</v>
      </c>
      <c r="N341" s="39">
        <f>'Degree-days'!$M$12*IF($E341=$E$5,(N$5),(N$6))</f>
        <v>0</v>
      </c>
      <c r="O341" s="39">
        <f>'Degree-days'!$M$12*IF($E341=$E$5,(O$5),(O$6))</f>
        <v>0</v>
      </c>
      <c r="P341" s="39">
        <f>'Degree-days'!$M$12*IF($E341=$E$5,(P$5),(P$6))</f>
        <v>0</v>
      </c>
      <c r="Q341" s="39">
        <f>'Degree-days'!$M$12*IF($E341=$E$5,(Q$5),(Q$6))</f>
        <v>0</v>
      </c>
      <c r="R341" s="39">
        <f>'Degree-days'!$M$12*IF($E341=$E$5,(R$5),(R$6))</f>
        <v>0</v>
      </c>
      <c r="S341" s="39">
        <f>'Degree-days'!$M$12*IF($E341=$E$5,(S$5),(S$6))</f>
        <v>0</v>
      </c>
      <c r="T341" s="39">
        <f>'Degree-days'!$M$12*IF($E341=$E$5,(T$5),(T$6))</f>
        <v>0</v>
      </c>
      <c r="U341" s="39">
        <f>'Degree-days'!$M$12*IF($E341=$E$5,(U$5),(U$6))</f>
        <v>2.6699824906799807</v>
      </c>
      <c r="V341" s="39">
        <f>'Degree-days'!$M$12*IF($E341=$E$5,(V$5),(V$6))</f>
        <v>2.6699824906799807</v>
      </c>
      <c r="W341" s="39">
        <f>'Degree-days'!$M$12*IF($E341=$E$5,(W$5),(W$6))</f>
        <v>2.6699824906799807</v>
      </c>
      <c r="X341" s="39">
        <f>'Degree-days'!$M$12*IF($E341=$E$5,(X$5),(X$6))</f>
        <v>2.6699824906799807</v>
      </c>
      <c r="Y341" s="39">
        <f>'Degree-days'!$M$12*IF($E341=$E$5,(Y$5),(Y$6))</f>
        <v>2.6699824906799807</v>
      </c>
      <c r="Z341" s="39">
        <f>'Degree-days'!$M$12*IF($E341=$E$5,(Z$5),(Z$6))</f>
        <v>2.6699824906799807</v>
      </c>
      <c r="AA341" s="39">
        <f>'Degree-days'!$M$12*IF($E341=$E$5,(AA$5),(AA$6))</f>
        <v>2.6699824906799807</v>
      </c>
      <c r="AB341" s="39">
        <f>'Degree-days'!$M$12*IF($E341=$E$5,(AB$5),(AB$6))</f>
        <v>0</v>
      </c>
      <c r="AC341" s="39">
        <f>'Degree-days'!$M$12*IF($E341=$E$5,(AC$5),(AC$6))</f>
        <v>0</v>
      </c>
      <c r="AD341" s="39">
        <f t="shared" si="12"/>
        <v>24.029842416119827</v>
      </c>
      <c r="AE341" s="40">
        <f>SUM(AD312:AD341)</f>
        <v>870.41429196167314</v>
      </c>
      <c r="AF341" s="35">
        <f>'Degree-days'!M11</f>
        <v>870.41429196167371</v>
      </c>
    </row>
    <row r="342" spans="4:32" x14ac:dyDescent="0.2">
      <c r="D342" s="37">
        <v>45261</v>
      </c>
      <c r="E342" s="17" t="str">
        <f t="shared" si="13"/>
        <v>weekday</v>
      </c>
      <c r="F342" s="39">
        <f>'Degree-days'!$N$12*IF($E342=$E$5,(F$5),(F$6))</f>
        <v>0</v>
      </c>
      <c r="G342" s="39">
        <f>'Degree-days'!$N$12*IF($E342=$E$5,(G$5),(G$6))</f>
        <v>0</v>
      </c>
      <c r="H342" s="39">
        <f>'Degree-days'!$N$12*IF($E342=$E$5,(H$5),(H$6))</f>
        <v>0</v>
      </c>
      <c r="I342" s="39">
        <f>'Degree-days'!$N$12*IF($E342=$E$5,(I$5),(I$6))</f>
        <v>0</v>
      </c>
      <c r="J342" s="39">
        <f>'Degree-days'!$N$12*IF($E342=$E$5,(J$5),(J$6))</f>
        <v>0</v>
      </c>
      <c r="K342" s="39">
        <f>'Degree-days'!$N$12*IF($E342=$E$5,(K$5),(K$6))</f>
        <v>0</v>
      </c>
      <c r="L342" s="39">
        <f>'Degree-days'!$N$12*IF($E342=$E$5,(L$5),(L$6))</f>
        <v>3.3559938227626214</v>
      </c>
      <c r="M342" s="39">
        <f>'Degree-days'!$N$12*IF($E342=$E$5,(M$5),(M$6))</f>
        <v>3.3559938227626214</v>
      </c>
      <c r="N342" s="39">
        <f>'Degree-days'!$N$12*IF($E342=$E$5,(N$5),(N$6))</f>
        <v>0</v>
      </c>
      <c r="O342" s="39">
        <f>'Degree-days'!$N$12*IF($E342=$E$5,(O$5),(O$6))</f>
        <v>0</v>
      </c>
      <c r="P342" s="39">
        <f>'Degree-days'!$N$12*IF($E342=$E$5,(P$5),(P$6))</f>
        <v>0</v>
      </c>
      <c r="Q342" s="39">
        <f>'Degree-days'!$N$12*IF($E342=$E$5,(Q$5),(Q$6))</f>
        <v>0</v>
      </c>
      <c r="R342" s="39">
        <f>'Degree-days'!$N$12*IF($E342=$E$5,(R$5),(R$6))</f>
        <v>0</v>
      </c>
      <c r="S342" s="39">
        <f>'Degree-days'!$N$12*IF($E342=$E$5,(S$5),(S$6))</f>
        <v>0</v>
      </c>
      <c r="T342" s="39">
        <f>'Degree-days'!$N$12*IF($E342=$E$5,(T$5),(T$6))</f>
        <v>0</v>
      </c>
      <c r="U342" s="39">
        <f>'Degree-days'!$N$12*IF($E342=$E$5,(U$5),(U$6))</f>
        <v>3.3559938227626214</v>
      </c>
      <c r="V342" s="39">
        <f>'Degree-days'!$N$12*IF($E342=$E$5,(V$5),(V$6))</f>
        <v>3.3559938227626214</v>
      </c>
      <c r="W342" s="39">
        <f>'Degree-days'!$N$12*IF($E342=$E$5,(W$5),(W$6))</f>
        <v>3.3559938227626214</v>
      </c>
      <c r="X342" s="39">
        <f>'Degree-days'!$N$12*IF($E342=$E$5,(X$5),(X$6))</f>
        <v>3.3559938227626214</v>
      </c>
      <c r="Y342" s="39">
        <f>'Degree-days'!$N$12*IF($E342=$E$5,(Y$5),(Y$6))</f>
        <v>3.3559938227626214</v>
      </c>
      <c r="Z342" s="39">
        <f>'Degree-days'!$N$12*IF($E342=$E$5,(Z$5),(Z$6))</f>
        <v>3.3559938227626214</v>
      </c>
      <c r="AA342" s="39">
        <f>'Degree-days'!$N$12*IF($E342=$E$5,(AA$5),(AA$6))</f>
        <v>3.3559938227626214</v>
      </c>
      <c r="AB342" s="39">
        <f>'Degree-days'!$N$12*IF($E342=$E$5,(AB$5),(AB$6))</f>
        <v>0</v>
      </c>
      <c r="AC342" s="39">
        <f>'Degree-days'!$N$12*IF($E342=$E$5,(AC$5),(AC$6))</f>
        <v>0</v>
      </c>
      <c r="AD342" s="39">
        <f>SUM(F342:AC342)</f>
        <v>30.203944404863588</v>
      </c>
    </row>
    <row r="343" spans="4:32" x14ac:dyDescent="0.2">
      <c r="D343" s="37">
        <v>45262</v>
      </c>
      <c r="E343" s="17" t="str">
        <f t="shared" si="13"/>
        <v>weekend</v>
      </c>
      <c r="F343" s="39">
        <f>'Degree-days'!$N$12*IF($E343=$E$5,(F$5),(F$6))</f>
        <v>0</v>
      </c>
      <c r="G343" s="39">
        <f>'Degree-days'!$N$12*IF($E343=$E$5,(G$5),(G$6))</f>
        <v>0</v>
      </c>
      <c r="H343" s="39">
        <f>'Degree-days'!$N$12*IF($E343=$E$5,(H$5),(H$6))</f>
        <v>0</v>
      </c>
      <c r="I343" s="39">
        <f>'Degree-days'!$N$12*IF($E343=$E$5,(I$5),(I$6))</f>
        <v>0</v>
      </c>
      <c r="J343" s="39">
        <f>'Degree-days'!$N$12*IF($E343=$E$5,(J$5),(J$6))</f>
        <v>0</v>
      </c>
      <c r="K343" s="39">
        <f>'Degree-days'!$N$12*IF($E343=$E$5,(K$5),(K$6))</f>
        <v>0</v>
      </c>
      <c r="L343" s="39">
        <f>'Degree-days'!$N$12*IF($E343=$E$5,(L$5),(L$6))</f>
        <v>3.3559938227626214</v>
      </c>
      <c r="M343" s="39">
        <f>'Degree-days'!$N$12*IF($E343=$E$5,(M$5),(M$6))</f>
        <v>3.3559938227626214</v>
      </c>
      <c r="N343" s="39">
        <f>'Degree-days'!$N$12*IF($E343=$E$5,(N$5),(N$6))</f>
        <v>3.3559938227626214</v>
      </c>
      <c r="O343" s="39">
        <f>'Degree-days'!$N$12*IF($E343=$E$5,(O$5),(O$6))</f>
        <v>3.3559938227626214</v>
      </c>
      <c r="P343" s="39">
        <f>'Degree-days'!$N$12*IF($E343=$E$5,(P$5),(P$6))</f>
        <v>3.3559938227626214</v>
      </c>
      <c r="Q343" s="39">
        <f>'Degree-days'!$N$12*IF($E343=$E$5,(Q$5),(Q$6))</f>
        <v>3.3559938227626214</v>
      </c>
      <c r="R343" s="39">
        <f>'Degree-days'!$N$12*IF($E343=$E$5,(R$5),(R$6))</f>
        <v>3.3559938227626214</v>
      </c>
      <c r="S343" s="39">
        <f>'Degree-days'!$N$12*IF($E343=$E$5,(S$5),(S$6))</f>
        <v>3.3559938227626214</v>
      </c>
      <c r="T343" s="39">
        <f>'Degree-days'!$N$12*IF($E343=$E$5,(T$5),(T$6))</f>
        <v>3.3559938227626214</v>
      </c>
      <c r="U343" s="39">
        <f>'Degree-days'!$N$12*IF($E343=$E$5,(U$5),(U$6))</f>
        <v>3.3559938227626214</v>
      </c>
      <c r="V343" s="39">
        <f>'Degree-days'!$N$12*IF($E343=$E$5,(V$5),(V$6))</f>
        <v>3.3559938227626214</v>
      </c>
      <c r="W343" s="39">
        <f>'Degree-days'!$N$12*IF($E343=$E$5,(W$5),(W$6))</f>
        <v>3.3559938227626214</v>
      </c>
      <c r="X343" s="39">
        <f>'Degree-days'!$N$12*IF($E343=$E$5,(X$5),(X$6))</f>
        <v>3.3559938227626214</v>
      </c>
      <c r="Y343" s="39">
        <f>'Degree-days'!$N$12*IF($E343=$E$5,(Y$5),(Y$6))</f>
        <v>3.3559938227626214</v>
      </c>
      <c r="Z343" s="39">
        <f>'Degree-days'!$N$12*IF($E343=$E$5,(Z$5),(Z$6))</f>
        <v>3.3559938227626214</v>
      </c>
      <c r="AA343" s="39">
        <f>'Degree-days'!$N$12*IF($E343=$E$5,(AA$5),(AA$6))</f>
        <v>3.3559938227626214</v>
      </c>
      <c r="AB343" s="39">
        <f>'Degree-days'!$N$12*IF($E343=$E$5,(AB$5),(AB$6))</f>
        <v>0</v>
      </c>
      <c r="AC343" s="39">
        <f>'Degree-days'!$N$12*IF($E343=$E$5,(AC$5),(AC$6))</f>
        <v>0</v>
      </c>
      <c r="AD343" s="39">
        <f t="shared" ref="AD343:AD372" si="14">SUM(F343:AC343)</f>
        <v>53.695901164201935</v>
      </c>
    </row>
    <row r="344" spans="4:32" x14ac:dyDescent="0.2">
      <c r="D344" s="37">
        <v>45263</v>
      </c>
      <c r="E344" s="17" t="str">
        <f t="shared" si="13"/>
        <v>weekend</v>
      </c>
      <c r="F344" s="39">
        <f>'Degree-days'!$N$12*IF($E344=$E$5,(F$5),(F$6))</f>
        <v>0</v>
      </c>
      <c r="G344" s="39">
        <f>'Degree-days'!$N$12*IF($E344=$E$5,(G$5),(G$6))</f>
        <v>0</v>
      </c>
      <c r="H344" s="39">
        <f>'Degree-days'!$N$12*IF($E344=$E$5,(H$5),(H$6))</f>
        <v>0</v>
      </c>
      <c r="I344" s="39">
        <f>'Degree-days'!$N$12*IF($E344=$E$5,(I$5),(I$6))</f>
        <v>0</v>
      </c>
      <c r="J344" s="39">
        <f>'Degree-days'!$N$12*IF($E344=$E$5,(J$5),(J$6))</f>
        <v>0</v>
      </c>
      <c r="K344" s="39">
        <f>'Degree-days'!$N$12*IF($E344=$E$5,(K$5),(K$6))</f>
        <v>0</v>
      </c>
      <c r="L344" s="39">
        <f>'Degree-days'!$N$12*IF($E344=$E$5,(L$5),(L$6))</f>
        <v>3.3559938227626214</v>
      </c>
      <c r="M344" s="39">
        <f>'Degree-days'!$N$12*IF($E344=$E$5,(M$5),(M$6))</f>
        <v>3.3559938227626214</v>
      </c>
      <c r="N344" s="39">
        <f>'Degree-days'!$N$12*IF($E344=$E$5,(N$5),(N$6))</f>
        <v>3.3559938227626214</v>
      </c>
      <c r="O344" s="39">
        <f>'Degree-days'!$N$12*IF($E344=$E$5,(O$5),(O$6))</f>
        <v>3.3559938227626214</v>
      </c>
      <c r="P344" s="39">
        <f>'Degree-days'!$N$12*IF($E344=$E$5,(P$5),(P$6))</f>
        <v>3.3559938227626214</v>
      </c>
      <c r="Q344" s="39">
        <f>'Degree-days'!$N$12*IF($E344=$E$5,(Q$5),(Q$6))</f>
        <v>3.3559938227626214</v>
      </c>
      <c r="R344" s="39">
        <f>'Degree-days'!$N$12*IF($E344=$E$5,(R$5),(R$6))</f>
        <v>3.3559938227626214</v>
      </c>
      <c r="S344" s="39">
        <f>'Degree-days'!$N$12*IF($E344=$E$5,(S$5),(S$6))</f>
        <v>3.3559938227626214</v>
      </c>
      <c r="T344" s="39">
        <f>'Degree-days'!$N$12*IF($E344=$E$5,(T$5),(T$6))</f>
        <v>3.3559938227626214</v>
      </c>
      <c r="U344" s="39">
        <f>'Degree-days'!$N$12*IF($E344=$E$5,(U$5),(U$6))</f>
        <v>3.3559938227626214</v>
      </c>
      <c r="V344" s="39">
        <f>'Degree-days'!$N$12*IF($E344=$E$5,(V$5),(V$6))</f>
        <v>3.3559938227626214</v>
      </c>
      <c r="W344" s="39">
        <f>'Degree-days'!$N$12*IF($E344=$E$5,(W$5),(W$6))</f>
        <v>3.3559938227626214</v>
      </c>
      <c r="X344" s="39">
        <f>'Degree-days'!$N$12*IF($E344=$E$5,(X$5),(X$6))</f>
        <v>3.3559938227626214</v>
      </c>
      <c r="Y344" s="39">
        <f>'Degree-days'!$N$12*IF($E344=$E$5,(Y$5),(Y$6))</f>
        <v>3.3559938227626214</v>
      </c>
      <c r="Z344" s="39">
        <f>'Degree-days'!$N$12*IF($E344=$E$5,(Z$5),(Z$6))</f>
        <v>3.3559938227626214</v>
      </c>
      <c r="AA344" s="39">
        <f>'Degree-days'!$N$12*IF($E344=$E$5,(AA$5),(AA$6))</f>
        <v>3.3559938227626214</v>
      </c>
      <c r="AB344" s="39">
        <f>'Degree-days'!$N$12*IF($E344=$E$5,(AB$5),(AB$6))</f>
        <v>0</v>
      </c>
      <c r="AC344" s="39">
        <f>'Degree-days'!$N$12*IF($E344=$E$5,(AC$5),(AC$6))</f>
        <v>0</v>
      </c>
      <c r="AD344" s="39">
        <f t="shared" si="14"/>
        <v>53.695901164201935</v>
      </c>
    </row>
    <row r="345" spans="4:32" x14ac:dyDescent="0.2">
      <c r="D345" s="37">
        <v>45264</v>
      </c>
      <c r="E345" s="17" t="str">
        <f t="shared" si="13"/>
        <v>weekday</v>
      </c>
      <c r="F345" s="39">
        <f>'Degree-days'!$N$12*IF($E345=$E$5,(F$5),(F$6))</f>
        <v>0</v>
      </c>
      <c r="G345" s="39">
        <f>'Degree-days'!$N$12*IF($E345=$E$5,(G$5),(G$6))</f>
        <v>0</v>
      </c>
      <c r="H345" s="39">
        <f>'Degree-days'!$N$12*IF($E345=$E$5,(H$5),(H$6))</f>
        <v>0</v>
      </c>
      <c r="I345" s="39">
        <f>'Degree-days'!$N$12*IF($E345=$E$5,(I$5),(I$6))</f>
        <v>0</v>
      </c>
      <c r="J345" s="39">
        <f>'Degree-days'!$N$12*IF($E345=$E$5,(J$5),(J$6))</f>
        <v>0</v>
      </c>
      <c r="K345" s="39">
        <f>'Degree-days'!$N$12*IF($E345=$E$5,(K$5),(K$6))</f>
        <v>0</v>
      </c>
      <c r="L345" s="39">
        <f>'Degree-days'!$N$12*IF($E345=$E$5,(L$5),(L$6))</f>
        <v>3.3559938227626214</v>
      </c>
      <c r="M345" s="39">
        <f>'Degree-days'!$N$12*IF($E345=$E$5,(M$5),(M$6))</f>
        <v>3.3559938227626214</v>
      </c>
      <c r="N345" s="39">
        <f>'Degree-days'!$N$12*IF($E345=$E$5,(N$5),(N$6))</f>
        <v>0</v>
      </c>
      <c r="O345" s="39">
        <f>'Degree-days'!$N$12*IF($E345=$E$5,(O$5),(O$6))</f>
        <v>0</v>
      </c>
      <c r="P345" s="39">
        <f>'Degree-days'!$N$12*IF($E345=$E$5,(P$5),(P$6))</f>
        <v>0</v>
      </c>
      <c r="Q345" s="39">
        <f>'Degree-days'!$N$12*IF($E345=$E$5,(Q$5),(Q$6))</f>
        <v>0</v>
      </c>
      <c r="R345" s="39">
        <f>'Degree-days'!$N$12*IF($E345=$E$5,(R$5),(R$6))</f>
        <v>0</v>
      </c>
      <c r="S345" s="39">
        <f>'Degree-days'!$N$12*IF($E345=$E$5,(S$5),(S$6))</f>
        <v>0</v>
      </c>
      <c r="T345" s="39">
        <f>'Degree-days'!$N$12*IF($E345=$E$5,(T$5),(T$6))</f>
        <v>0</v>
      </c>
      <c r="U345" s="39">
        <f>'Degree-days'!$N$12*IF($E345=$E$5,(U$5),(U$6))</f>
        <v>3.3559938227626214</v>
      </c>
      <c r="V345" s="39">
        <f>'Degree-days'!$N$12*IF($E345=$E$5,(V$5),(V$6))</f>
        <v>3.3559938227626214</v>
      </c>
      <c r="W345" s="39">
        <f>'Degree-days'!$N$12*IF($E345=$E$5,(W$5),(W$6))</f>
        <v>3.3559938227626214</v>
      </c>
      <c r="X345" s="39">
        <f>'Degree-days'!$N$12*IF($E345=$E$5,(X$5),(X$6))</f>
        <v>3.3559938227626214</v>
      </c>
      <c r="Y345" s="39">
        <f>'Degree-days'!$N$12*IF($E345=$E$5,(Y$5),(Y$6))</f>
        <v>3.3559938227626214</v>
      </c>
      <c r="Z345" s="39">
        <f>'Degree-days'!$N$12*IF($E345=$E$5,(Z$5),(Z$6))</f>
        <v>3.3559938227626214</v>
      </c>
      <c r="AA345" s="39">
        <f>'Degree-days'!$N$12*IF($E345=$E$5,(AA$5),(AA$6))</f>
        <v>3.3559938227626214</v>
      </c>
      <c r="AB345" s="39">
        <f>'Degree-days'!$N$12*IF($E345=$E$5,(AB$5),(AB$6))</f>
        <v>0</v>
      </c>
      <c r="AC345" s="39">
        <f>'Degree-days'!$N$12*IF($E345=$E$5,(AC$5),(AC$6))</f>
        <v>0</v>
      </c>
      <c r="AD345" s="39">
        <f t="shared" si="14"/>
        <v>30.203944404863588</v>
      </c>
    </row>
    <row r="346" spans="4:32" x14ac:dyDescent="0.2">
      <c r="D346" s="37">
        <v>45265</v>
      </c>
      <c r="E346" s="17" t="str">
        <f t="shared" si="13"/>
        <v>weekday</v>
      </c>
      <c r="F346" s="39">
        <f>'Degree-days'!$N$12*IF($E346=$E$5,(F$5),(F$6))</f>
        <v>0</v>
      </c>
      <c r="G346" s="39">
        <f>'Degree-days'!$N$12*IF($E346=$E$5,(G$5),(G$6))</f>
        <v>0</v>
      </c>
      <c r="H346" s="39">
        <f>'Degree-days'!$N$12*IF($E346=$E$5,(H$5),(H$6))</f>
        <v>0</v>
      </c>
      <c r="I346" s="39">
        <f>'Degree-days'!$N$12*IF($E346=$E$5,(I$5),(I$6))</f>
        <v>0</v>
      </c>
      <c r="J346" s="39">
        <f>'Degree-days'!$N$12*IF($E346=$E$5,(J$5),(J$6))</f>
        <v>0</v>
      </c>
      <c r="K346" s="39">
        <f>'Degree-days'!$N$12*IF($E346=$E$5,(K$5),(K$6))</f>
        <v>0</v>
      </c>
      <c r="L346" s="39">
        <f>'Degree-days'!$N$12*IF($E346=$E$5,(L$5),(L$6))</f>
        <v>3.3559938227626214</v>
      </c>
      <c r="M346" s="39">
        <f>'Degree-days'!$N$12*IF($E346=$E$5,(M$5),(M$6))</f>
        <v>3.3559938227626214</v>
      </c>
      <c r="N346" s="39">
        <f>'Degree-days'!$N$12*IF($E346=$E$5,(N$5),(N$6))</f>
        <v>0</v>
      </c>
      <c r="O346" s="39">
        <f>'Degree-days'!$N$12*IF($E346=$E$5,(O$5),(O$6))</f>
        <v>0</v>
      </c>
      <c r="P346" s="39">
        <f>'Degree-days'!$N$12*IF($E346=$E$5,(P$5),(P$6))</f>
        <v>0</v>
      </c>
      <c r="Q346" s="39">
        <f>'Degree-days'!$N$12*IF($E346=$E$5,(Q$5),(Q$6))</f>
        <v>0</v>
      </c>
      <c r="R346" s="39">
        <f>'Degree-days'!$N$12*IF($E346=$E$5,(R$5),(R$6))</f>
        <v>0</v>
      </c>
      <c r="S346" s="39">
        <f>'Degree-days'!$N$12*IF($E346=$E$5,(S$5),(S$6))</f>
        <v>0</v>
      </c>
      <c r="T346" s="39">
        <f>'Degree-days'!$N$12*IF($E346=$E$5,(T$5),(T$6))</f>
        <v>0</v>
      </c>
      <c r="U346" s="39">
        <f>'Degree-days'!$N$12*IF($E346=$E$5,(U$5),(U$6))</f>
        <v>3.3559938227626214</v>
      </c>
      <c r="V346" s="39">
        <f>'Degree-days'!$N$12*IF($E346=$E$5,(V$5),(V$6))</f>
        <v>3.3559938227626214</v>
      </c>
      <c r="W346" s="39">
        <f>'Degree-days'!$N$12*IF($E346=$E$5,(W$5),(W$6))</f>
        <v>3.3559938227626214</v>
      </c>
      <c r="X346" s="39">
        <f>'Degree-days'!$N$12*IF($E346=$E$5,(X$5),(X$6))</f>
        <v>3.3559938227626214</v>
      </c>
      <c r="Y346" s="39">
        <f>'Degree-days'!$N$12*IF($E346=$E$5,(Y$5),(Y$6))</f>
        <v>3.3559938227626214</v>
      </c>
      <c r="Z346" s="39">
        <f>'Degree-days'!$N$12*IF($E346=$E$5,(Z$5),(Z$6))</f>
        <v>3.3559938227626214</v>
      </c>
      <c r="AA346" s="39">
        <f>'Degree-days'!$N$12*IF($E346=$E$5,(AA$5),(AA$6))</f>
        <v>3.3559938227626214</v>
      </c>
      <c r="AB346" s="39">
        <f>'Degree-days'!$N$12*IF($E346=$E$5,(AB$5),(AB$6))</f>
        <v>0</v>
      </c>
      <c r="AC346" s="39">
        <f>'Degree-days'!$N$12*IF($E346=$E$5,(AC$5),(AC$6))</f>
        <v>0</v>
      </c>
      <c r="AD346" s="39">
        <f t="shared" si="14"/>
        <v>30.203944404863588</v>
      </c>
    </row>
    <row r="347" spans="4:32" x14ac:dyDescent="0.2">
      <c r="D347" s="37">
        <v>45266</v>
      </c>
      <c r="E347" s="17" t="str">
        <f t="shared" si="13"/>
        <v>weekday</v>
      </c>
      <c r="F347" s="39">
        <f>'Degree-days'!$N$12*IF($E347=$E$5,(F$5),(F$6))</f>
        <v>0</v>
      </c>
      <c r="G347" s="39">
        <f>'Degree-days'!$N$12*IF($E347=$E$5,(G$5),(G$6))</f>
        <v>0</v>
      </c>
      <c r="H347" s="39">
        <f>'Degree-days'!$N$12*IF($E347=$E$5,(H$5),(H$6))</f>
        <v>0</v>
      </c>
      <c r="I347" s="39">
        <f>'Degree-days'!$N$12*IF($E347=$E$5,(I$5),(I$6))</f>
        <v>0</v>
      </c>
      <c r="J347" s="39">
        <f>'Degree-days'!$N$12*IF($E347=$E$5,(J$5),(J$6))</f>
        <v>0</v>
      </c>
      <c r="K347" s="39">
        <f>'Degree-days'!$N$12*IF($E347=$E$5,(K$5),(K$6))</f>
        <v>0</v>
      </c>
      <c r="L347" s="39">
        <f>'Degree-days'!$N$12*IF($E347=$E$5,(L$5),(L$6))</f>
        <v>3.3559938227626214</v>
      </c>
      <c r="M347" s="39">
        <f>'Degree-days'!$N$12*IF($E347=$E$5,(M$5),(M$6))</f>
        <v>3.3559938227626214</v>
      </c>
      <c r="N347" s="39">
        <f>'Degree-days'!$N$12*IF($E347=$E$5,(N$5),(N$6))</f>
        <v>0</v>
      </c>
      <c r="O347" s="39">
        <f>'Degree-days'!$N$12*IF($E347=$E$5,(O$5),(O$6))</f>
        <v>0</v>
      </c>
      <c r="P347" s="39">
        <f>'Degree-days'!$N$12*IF($E347=$E$5,(P$5),(P$6))</f>
        <v>0</v>
      </c>
      <c r="Q347" s="39">
        <f>'Degree-days'!$N$12*IF($E347=$E$5,(Q$5),(Q$6))</f>
        <v>0</v>
      </c>
      <c r="R347" s="39">
        <f>'Degree-days'!$N$12*IF($E347=$E$5,(R$5),(R$6))</f>
        <v>0</v>
      </c>
      <c r="S347" s="39">
        <f>'Degree-days'!$N$12*IF($E347=$E$5,(S$5),(S$6))</f>
        <v>0</v>
      </c>
      <c r="T347" s="39">
        <f>'Degree-days'!$N$12*IF($E347=$E$5,(T$5),(T$6))</f>
        <v>0</v>
      </c>
      <c r="U347" s="39">
        <f>'Degree-days'!$N$12*IF($E347=$E$5,(U$5),(U$6))</f>
        <v>3.3559938227626214</v>
      </c>
      <c r="V347" s="39">
        <f>'Degree-days'!$N$12*IF($E347=$E$5,(V$5),(V$6))</f>
        <v>3.3559938227626214</v>
      </c>
      <c r="W347" s="39">
        <f>'Degree-days'!$N$12*IF($E347=$E$5,(W$5),(W$6))</f>
        <v>3.3559938227626214</v>
      </c>
      <c r="X347" s="39">
        <f>'Degree-days'!$N$12*IF($E347=$E$5,(X$5),(X$6))</f>
        <v>3.3559938227626214</v>
      </c>
      <c r="Y347" s="39">
        <f>'Degree-days'!$N$12*IF($E347=$E$5,(Y$5),(Y$6))</f>
        <v>3.3559938227626214</v>
      </c>
      <c r="Z347" s="39">
        <f>'Degree-days'!$N$12*IF($E347=$E$5,(Z$5),(Z$6))</f>
        <v>3.3559938227626214</v>
      </c>
      <c r="AA347" s="39">
        <f>'Degree-days'!$N$12*IF($E347=$E$5,(AA$5),(AA$6))</f>
        <v>3.3559938227626214</v>
      </c>
      <c r="AB347" s="39">
        <f>'Degree-days'!$N$12*IF($E347=$E$5,(AB$5),(AB$6))</f>
        <v>0</v>
      </c>
      <c r="AC347" s="39">
        <f>'Degree-days'!$N$12*IF($E347=$E$5,(AC$5),(AC$6))</f>
        <v>0</v>
      </c>
      <c r="AD347" s="39">
        <f t="shared" si="14"/>
        <v>30.203944404863588</v>
      </c>
    </row>
    <row r="348" spans="4:32" x14ac:dyDescent="0.2">
      <c r="D348" s="37">
        <v>45267</v>
      </c>
      <c r="E348" s="17" t="str">
        <f t="shared" si="13"/>
        <v>weekday</v>
      </c>
      <c r="F348" s="39">
        <f>'Degree-days'!$N$12*IF($E348=$E$5,(F$5),(F$6))</f>
        <v>0</v>
      </c>
      <c r="G348" s="39">
        <f>'Degree-days'!$N$12*IF($E348=$E$5,(G$5),(G$6))</f>
        <v>0</v>
      </c>
      <c r="H348" s="39">
        <f>'Degree-days'!$N$12*IF($E348=$E$5,(H$5),(H$6))</f>
        <v>0</v>
      </c>
      <c r="I348" s="39">
        <f>'Degree-days'!$N$12*IF($E348=$E$5,(I$5),(I$6))</f>
        <v>0</v>
      </c>
      <c r="J348" s="39">
        <f>'Degree-days'!$N$12*IF($E348=$E$5,(J$5),(J$6))</f>
        <v>0</v>
      </c>
      <c r="K348" s="39">
        <f>'Degree-days'!$N$12*IF($E348=$E$5,(K$5),(K$6))</f>
        <v>0</v>
      </c>
      <c r="L348" s="39">
        <f>'Degree-days'!$N$12*IF($E348=$E$5,(L$5),(L$6))</f>
        <v>3.3559938227626214</v>
      </c>
      <c r="M348" s="39">
        <f>'Degree-days'!$N$12*IF($E348=$E$5,(M$5),(M$6))</f>
        <v>3.3559938227626214</v>
      </c>
      <c r="N348" s="39">
        <f>'Degree-days'!$N$12*IF($E348=$E$5,(N$5),(N$6))</f>
        <v>0</v>
      </c>
      <c r="O348" s="39">
        <f>'Degree-days'!$N$12*IF($E348=$E$5,(O$5),(O$6))</f>
        <v>0</v>
      </c>
      <c r="P348" s="39">
        <f>'Degree-days'!$N$12*IF($E348=$E$5,(P$5),(P$6))</f>
        <v>0</v>
      </c>
      <c r="Q348" s="39">
        <f>'Degree-days'!$N$12*IF($E348=$E$5,(Q$5),(Q$6))</f>
        <v>0</v>
      </c>
      <c r="R348" s="39">
        <f>'Degree-days'!$N$12*IF($E348=$E$5,(R$5),(R$6))</f>
        <v>0</v>
      </c>
      <c r="S348" s="39">
        <f>'Degree-days'!$N$12*IF($E348=$E$5,(S$5),(S$6))</f>
        <v>0</v>
      </c>
      <c r="T348" s="39">
        <f>'Degree-days'!$N$12*IF($E348=$E$5,(T$5),(T$6))</f>
        <v>0</v>
      </c>
      <c r="U348" s="39">
        <f>'Degree-days'!$N$12*IF($E348=$E$5,(U$5),(U$6))</f>
        <v>3.3559938227626214</v>
      </c>
      <c r="V348" s="39">
        <f>'Degree-days'!$N$12*IF($E348=$E$5,(V$5),(V$6))</f>
        <v>3.3559938227626214</v>
      </c>
      <c r="W348" s="39">
        <f>'Degree-days'!$N$12*IF($E348=$E$5,(W$5),(W$6))</f>
        <v>3.3559938227626214</v>
      </c>
      <c r="X348" s="39">
        <f>'Degree-days'!$N$12*IF($E348=$E$5,(X$5),(X$6))</f>
        <v>3.3559938227626214</v>
      </c>
      <c r="Y348" s="39">
        <f>'Degree-days'!$N$12*IF($E348=$E$5,(Y$5),(Y$6))</f>
        <v>3.3559938227626214</v>
      </c>
      <c r="Z348" s="39">
        <f>'Degree-days'!$N$12*IF($E348=$E$5,(Z$5),(Z$6))</f>
        <v>3.3559938227626214</v>
      </c>
      <c r="AA348" s="39">
        <f>'Degree-days'!$N$12*IF($E348=$E$5,(AA$5),(AA$6))</f>
        <v>3.3559938227626214</v>
      </c>
      <c r="AB348" s="39">
        <f>'Degree-days'!$N$12*IF($E348=$E$5,(AB$5),(AB$6))</f>
        <v>0</v>
      </c>
      <c r="AC348" s="39">
        <f>'Degree-days'!$N$12*IF($E348=$E$5,(AC$5),(AC$6))</f>
        <v>0</v>
      </c>
      <c r="AD348" s="39">
        <f t="shared" si="14"/>
        <v>30.203944404863588</v>
      </c>
    </row>
    <row r="349" spans="4:32" x14ac:dyDescent="0.2">
      <c r="D349" s="37">
        <v>45268</v>
      </c>
      <c r="E349" s="17" t="str">
        <f t="shared" si="13"/>
        <v>weekday</v>
      </c>
      <c r="F349" s="39">
        <f>'Degree-days'!$N$12*IF($E349=$E$5,(F$5),(F$6))</f>
        <v>0</v>
      </c>
      <c r="G349" s="39">
        <f>'Degree-days'!$N$12*IF($E349=$E$5,(G$5),(G$6))</f>
        <v>0</v>
      </c>
      <c r="H349" s="39">
        <f>'Degree-days'!$N$12*IF($E349=$E$5,(H$5),(H$6))</f>
        <v>0</v>
      </c>
      <c r="I349" s="39">
        <f>'Degree-days'!$N$12*IF($E349=$E$5,(I$5),(I$6))</f>
        <v>0</v>
      </c>
      <c r="J349" s="39">
        <f>'Degree-days'!$N$12*IF($E349=$E$5,(J$5),(J$6))</f>
        <v>0</v>
      </c>
      <c r="K349" s="39">
        <f>'Degree-days'!$N$12*IF($E349=$E$5,(K$5),(K$6))</f>
        <v>0</v>
      </c>
      <c r="L349" s="39">
        <f>'Degree-days'!$N$12*IF($E349=$E$5,(L$5),(L$6))</f>
        <v>3.3559938227626214</v>
      </c>
      <c r="M349" s="39">
        <f>'Degree-days'!$N$12*IF($E349=$E$5,(M$5),(M$6))</f>
        <v>3.3559938227626214</v>
      </c>
      <c r="N349" s="39">
        <f>'Degree-days'!$N$12*IF($E349=$E$5,(N$5),(N$6))</f>
        <v>0</v>
      </c>
      <c r="O349" s="39">
        <f>'Degree-days'!$N$12*IF($E349=$E$5,(O$5),(O$6))</f>
        <v>0</v>
      </c>
      <c r="P349" s="39">
        <f>'Degree-days'!$N$12*IF($E349=$E$5,(P$5),(P$6))</f>
        <v>0</v>
      </c>
      <c r="Q349" s="39">
        <f>'Degree-days'!$N$12*IF($E349=$E$5,(Q$5),(Q$6))</f>
        <v>0</v>
      </c>
      <c r="R349" s="39">
        <f>'Degree-days'!$N$12*IF($E349=$E$5,(R$5),(R$6))</f>
        <v>0</v>
      </c>
      <c r="S349" s="39">
        <f>'Degree-days'!$N$12*IF($E349=$E$5,(S$5),(S$6))</f>
        <v>0</v>
      </c>
      <c r="T349" s="39">
        <f>'Degree-days'!$N$12*IF($E349=$E$5,(T$5),(T$6))</f>
        <v>0</v>
      </c>
      <c r="U349" s="39">
        <f>'Degree-days'!$N$12*IF($E349=$E$5,(U$5),(U$6))</f>
        <v>3.3559938227626214</v>
      </c>
      <c r="V349" s="39">
        <f>'Degree-days'!$N$12*IF($E349=$E$5,(V$5),(V$6))</f>
        <v>3.3559938227626214</v>
      </c>
      <c r="W349" s="39">
        <f>'Degree-days'!$N$12*IF($E349=$E$5,(W$5),(W$6))</f>
        <v>3.3559938227626214</v>
      </c>
      <c r="X349" s="39">
        <f>'Degree-days'!$N$12*IF($E349=$E$5,(X$5),(X$6))</f>
        <v>3.3559938227626214</v>
      </c>
      <c r="Y349" s="39">
        <f>'Degree-days'!$N$12*IF($E349=$E$5,(Y$5),(Y$6))</f>
        <v>3.3559938227626214</v>
      </c>
      <c r="Z349" s="39">
        <f>'Degree-days'!$N$12*IF($E349=$E$5,(Z$5),(Z$6))</f>
        <v>3.3559938227626214</v>
      </c>
      <c r="AA349" s="39">
        <f>'Degree-days'!$N$12*IF($E349=$E$5,(AA$5),(AA$6))</f>
        <v>3.3559938227626214</v>
      </c>
      <c r="AB349" s="39">
        <f>'Degree-days'!$N$12*IF($E349=$E$5,(AB$5),(AB$6))</f>
        <v>0</v>
      </c>
      <c r="AC349" s="39">
        <f>'Degree-days'!$N$12*IF($E349=$E$5,(AC$5),(AC$6))</f>
        <v>0</v>
      </c>
      <c r="AD349" s="39">
        <f t="shared" si="14"/>
        <v>30.203944404863588</v>
      </c>
    </row>
    <row r="350" spans="4:32" x14ac:dyDescent="0.2">
      <c r="D350" s="37">
        <v>45269</v>
      </c>
      <c r="E350" s="17" t="str">
        <f t="shared" si="13"/>
        <v>weekend</v>
      </c>
      <c r="F350" s="39">
        <f>'Degree-days'!$N$12*IF($E350=$E$5,(F$5),(F$6))</f>
        <v>0</v>
      </c>
      <c r="G350" s="39">
        <f>'Degree-days'!$N$12*IF($E350=$E$5,(G$5),(G$6))</f>
        <v>0</v>
      </c>
      <c r="H350" s="39">
        <f>'Degree-days'!$N$12*IF($E350=$E$5,(H$5),(H$6))</f>
        <v>0</v>
      </c>
      <c r="I350" s="39">
        <f>'Degree-days'!$N$12*IF($E350=$E$5,(I$5),(I$6))</f>
        <v>0</v>
      </c>
      <c r="J350" s="39">
        <f>'Degree-days'!$N$12*IF($E350=$E$5,(J$5),(J$6))</f>
        <v>0</v>
      </c>
      <c r="K350" s="39">
        <f>'Degree-days'!$N$12*IF($E350=$E$5,(K$5),(K$6))</f>
        <v>0</v>
      </c>
      <c r="L350" s="39">
        <f>'Degree-days'!$N$12*IF($E350=$E$5,(L$5),(L$6))</f>
        <v>3.3559938227626214</v>
      </c>
      <c r="M350" s="39">
        <f>'Degree-days'!$N$12*IF($E350=$E$5,(M$5),(M$6))</f>
        <v>3.3559938227626214</v>
      </c>
      <c r="N350" s="39">
        <f>'Degree-days'!$N$12*IF($E350=$E$5,(N$5),(N$6))</f>
        <v>3.3559938227626214</v>
      </c>
      <c r="O350" s="39">
        <f>'Degree-days'!$N$12*IF($E350=$E$5,(O$5),(O$6))</f>
        <v>3.3559938227626214</v>
      </c>
      <c r="P350" s="39">
        <f>'Degree-days'!$N$12*IF($E350=$E$5,(P$5),(P$6))</f>
        <v>3.3559938227626214</v>
      </c>
      <c r="Q350" s="39">
        <f>'Degree-days'!$N$12*IF($E350=$E$5,(Q$5),(Q$6))</f>
        <v>3.3559938227626214</v>
      </c>
      <c r="R350" s="39">
        <f>'Degree-days'!$N$12*IF($E350=$E$5,(R$5),(R$6))</f>
        <v>3.3559938227626214</v>
      </c>
      <c r="S350" s="39">
        <f>'Degree-days'!$N$12*IF($E350=$E$5,(S$5),(S$6))</f>
        <v>3.3559938227626214</v>
      </c>
      <c r="T350" s="39">
        <f>'Degree-days'!$N$12*IF($E350=$E$5,(T$5),(T$6))</f>
        <v>3.3559938227626214</v>
      </c>
      <c r="U350" s="39">
        <f>'Degree-days'!$N$12*IF($E350=$E$5,(U$5),(U$6))</f>
        <v>3.3559938227626214</v>
      </c>
      <c r="V350" s="39">
        <f>'Degree-days'!$N$12*IF($E350=$E$5,(V$5),(V$6))</f>
        <v>3.3559938227626214</v>
      </c>
      <c r="W350" s="39">
        <f>'Degree-days'!$N$12*IF($E350=$E$5,(W$5),(W$6))</f>
        <v>3.3559938227626214</v>
      </c>
      <c r="X350" s="39">
        <f>'Degree-days'!$N$12*IF($E350=$E$5,(X$5),(X$6))</f>
        <v>3.3559938227626214</v>
      </c>
      <c r="Y350" s="39">
        <f>'Degree-days'!$N$12*IF($E350=$E$5,(Y$5),(Y$6))</f>
        <v>3.3559938227626214</v>
      </c>
      <c r="Z350" s="39">
        <f>'Degree-days'!$N$12*IF($E350=$E$5,(Z$5),(Z$6))</f>
        <v>3.3559938227626214</v>
      </c>
      <c r="AA350" s="39">
        <f>'Degree-days'!$N$12*IF($E350=$E$5,(AA$5),(AA$6))</f>
        <v>3.3559938227626214</v>
      </c>
      <c r="AB350" s="39">
        <f>'Degree-days'!$N$12*IF($E350=$E$5,(AB$5),(AB$6))</f>
        <v>0</v>
      </c>
      <c r="AC350" s="39">
        <f>'Degree-days'!$N$12*IF($E350=$E$5,(AC$5),(AC$6))</f>
        <v>0</v>
      </c>
      <c r="AD350" s="39">
        <f t="shared" si="14"/>
        <v>53.695901164201935</v>
      </c>
    </row>
    <row r="351" spans="4:32" x14ac:dyDescent="0.2">
      <c r="D351" s="37">
        <v>45270</v>
      </c>
      <c r="E351" s="17" t="str">
        <f t="shared" si="13"/>
        <v>weekend</v>
      </c>
      <c r="F351" s="39">
        <f>'Degree-days'!$N$12*IF($E351=$E$5,(F$5),(F$6))</f>
        <v>0</v>
      </c>
      <c r="G351" s="39">
        <f>'Degree-days'!$N$12*IF($E351=$E$5,(G$5),(G$6))</f>
        <v>0</v>
      </c>
      <c r="H351" s="39">
        <f>'Degree-days'!$N$12*IF($E351=$E$5,(H$5),(H$6))</f>
        <v>0</v>
      </c>
      <c r="I351" s="39">
        <f>'Degree-days'!$N$12*IF($E351=$E$5,(I$5),(I$6))</f>
        <v>0</v>
      </c>
      <c r="J351" s="39">
        <f>'Degree-days'!$N$12*IF($E351=$E$5,(J$5),(J$6))</f>
        <v>0</v>
      </c>
      <c r="K351" s="39">
        <f>'Degree-days'!$N$12*IF($E351=$E$5,(K$5),(K$6))</f>
        <v>0</v>
      </c>
      <c r="L351" s="39">
        <f>'Degree-days'!$N$12*IF($E351=$E$5,(L$5),(L$6))</f>
        <v>3.3559938227626214</v>
      </c>
      <c r="M351" s="39">
        <f>'Degree-days'!$N$12*IF($E351=$E$5,(M$5),(M$6))</f>
        <v>3.3559938227626214</v>
      </c>
      <c r="N351" s="39">
        <f>'Degree-days'!$N$12*IF($E351=$E$5,(N$5),(N$6))</f>
        <v>3.3559938227626214</v>
      </c>
      <c r="O351" s="39">
        <f>'Degree-days'!$N$12*IF($E351=$E$5,(O$5),(O$6))</f>
        <v>3.3559938227626214</v>
      </c>
      <c r="P351" s="39">
        <f>'Degree-days'!$N$12*IF($E351=$E$5,(P$5),(P$6))</f>
        <v>3.3559938227626214</v>
      </c>
      <c r="Q351" s="39">
        <f>'Degree-days'!$N$12*IF($E351=$E$5,(Q$5),(Q$6))</f>
        <v>3.3559938227626214</v>
      </c>
      <c r="R351" s="39">
        <f>'Degree-days'!$N$12*IF($E351=$E$5,(R$5),(R$6))</f>
        <v>3.3559938227626214</v>
      </c>
      <c r="S351" s="39">
        <f>'Degree-days'!$N$12*IF($E351=$E$5,(S$5),(S$6))</f>
        <v>3.3559938227626214</v>
      </c>
      <c r="T351" s="39">
        <f>'Degree-days'!$N$12*IF($E351=$E$5,(T$5),(T$6))</f>
        <v>3.3559938227626214</v>
      </c>
      <c r="U351" s="39">
        <f>'Degree-days'!$N$12*IF($E351=$E$5,(U$5),(U$6))</f>
        <v>3.3559938227626214</v>
      </c>
      <c r="V351" s="39">
        <f>'Degree-days'!$N$12*IF($E351=$E$5,(V$5),(V$6))</f>
        <v>3.3559938227626214</v>
      </c>
      <c r="W351" s="39">
        <f>'Degree-days'!$N$12*IF($E351=$E$5,(W$5),(W$6))</f>
        <v>3.3559938227626214</v>
      </c>
      <c r="X351" s="39">
        <f>'Degree-days'!$N$12*IF($E351=$E$5,(X$5),(X$6))</f>
        <v>3.3559938227626214</v>
      </c>
      <c r="Y351" s="39">
        <f>'Degree-days'!$N$12*IF($E351=$E$5,(Y$5),(Y$6))</f>
        <v>3.3559938227626214</v>
      </c>
      <c r="Z351" s="39">
        <f>'Degree-days'!$N$12*IF($E351=$E$5,(Z$5),(Z$6))</f>
        <v>3.3559938227626214</v>
      </c>
      <c r="AA351" s="39">
        <f>'Degree-days'!$N$12*IF($E351=$E$5,(AA$5),(AA$6))</f>
        <v>3.3559938227626214</v>
      </c>
      <c r="AB351" s="39">
        <f>'Degree-days'!$N$12*IF($E351=$E$5,(AB$5),(AB$6))</f>
        <v>0</v>
      </c>
      <c r="AC351" s="39">
        <f>'Degree-days'!$N$12*IF($E351=$E$5,(AC$5),(AC$6))</f>
        <v>0</v>
      </c>
      <c r="AD351" s="39">
        <f t="shared" si="14"/>
        <v>53.695901164201935</v>
      </c>
    </row>
    <row r="352" spans="4:32" x14ac:dyDescent="0.2">
      <c r="D352" s="37">
        <v>45271</v>
      </c>
      <c r="E352" s="17" t="str">
        <f t="shared" si="13"/>
        <v>weekday</v>
      </c>
      <c r="F352" s="39">
        <f>'Degree-days'!$N$12*IF($E352=$E$5,(F$5),(F$6))</f>
        <v>0</v>
      </c>
      <c r="G352" s="39">
        <f>'Degree-days'!$N$12*IF($E352=$E$5,(G$5),(G$6))</f>
        <v>0</v>
      </c>
      <c r="H352" s="39">
        <f>'Degree-days'!$N$12*IF($E352=$E$5,(H$5),(H$6))</f>
        <v>0</v>
      </c>
      <c r="I352" s="39">
        <f>'Degree-days'!$N$12*IF($E352=$E$5,(I$5),(I$6))</f>
        <v>0</v>
      </c>
      <c r="J352" s="39">
        <f>'Degree-days'!$N$12*IF($E352=$E$5,(J$5),(J$6))</f>
        <v>0</v>
      </c>
      <c r="K352" s="39">
        <f>'Degree-days'!$N$12*IF($E352=$E$5,(K$5),(K$6))</f>
        <v>0</v>
      </c>
      <c r="L352" s="39">
        <f>'Degree-days'!$N$12*IF($E352=$E$5,(L$5),(L$6))</f>
        <v>3.3559938227626214</v>
      </c>
      <c r="M352" s="39">
        <f>'Degree-days'!$N$12*IF($E352=$E$5,(M$5),(M$6))</f>
        <v>3.3559938227626214</v>
      </c>
      <c r="N352" s="39">
        <f>'Degree-days'!$N$12*IF($E352=$E$5,(N$5),(N$6))</f>
        <v>0</v>
      </c>
      <c r="O352" s="39">
        <f>'Degree-days'!$N$12*IF($E352=$E$5,(O$5),(O$6))</f>
        <v>0</v>
      </c>
      <c r="P352" s="39">
        <f>'Degree-days'!$N$12*IF($E352=$E$5,(P$5),(P$6))</f>
        <v>0</v>
      </c>
      <c r="Q352" s="39">
        <f>'Degree-days'!$N$12*IF($E352=$E$5,(Q$5),(Q$6))</f>
        <v>0</v>
      </c>
      <c r="R352" s="39">
        <f>'Degree-days'!$N$12*IF($E352=$E$5,(R$5),(R$6))</f>
        <v>0</v>
      </c>
      <c r="S352" s="39">
        <f>'Degree-days'!$N$12*IF($E352=$E$5,(S$5),(S$6))</f>
        <v>0</v>
      </c>
      <c r="T352" s="39">
        <f>'Degree-days'!$N$12*IF($E352=$E$5,(T$5),(T$6))</f>
        <v>0</v>
      </c>
      <c r="U352" s="39">
        <f>'Degree-days'!$N$12*IF($E352=$E$5,(U$5),(U$6))</f>
        <v>3.3559938227626214</v>
      </c>
      <c r="V352" s="39">
        <f>'Degree-days'!$N$12*IF($E352=$E$5,(V$5),(V$6))</f>
        <v>3.3559938227626214</v>
      </c>
      <c r="W352" s="39">
        <f>'Degree-days'!$N$12*IF($E352=$E$5,(W$5),(W$6))</f>
        <v>3.3559938227626214</v>
      </c>
      <c r="X352" s="39">
        <f>'Degree-days'!$N$12*IF($E352=$E$5,(X$5),(X$6))</f>
        <v>3.3559938227626214</v>
      </c>
      <c r="Y352" s="39">
        <f>'Degree-days'!$N$12*IF($E352=$E$5,(Y$5),(Y$6))</f>
        <v>3.3559938227626214</v>
      </c>
      <c r="Z352" s="39">
        <f>'Degree-days'!$N$12*IF($E352=$E$5,(Z$5),(Z$6))</f>
        <v>3.3559938227626214</v>
      </c>
      <c r="AA352" s="39">
        <f>'Degree-days'!$N$12*IF($E352=$E$5,(AA$5),(AA$6))</f>
        <v>3.3559938227626214</v>
      </c>
      <c r="AB352" s="39">
        <f>'Degree-days'!$N$12*IF($E352=$E$5,(AB$5),(AB$6))</f>
        <v>0</v>
      </c>
      <c r="AC352" s="39">
        <f>'Degree-days'!$N$12*IF($E352=$E$5,(AC$5),(AC$6))</f>
        <v>0</v>
      </c>
      <c r="AD352" s="39">
        <f t="shared" si="14"/>
        <v>30.203944404863588</v>
      </c>
    </row>
    <row r="353" spans="4:30" x14ac:dyDescent="0.2">
      <c r="D353" s="37">
        <v>45272</v>
      </c>
      <c r="E353" s="17" t="str">
        <f t="shared" si="13"/>
        <v>weekday</v>
      </c>
      <c r="F353" s="39">
        <f>'Degree-days'!$N$12*IF($E353=$E$5,(F$5),(F$6))</f>
        <v>0</v>
      </c>
      <c r="G353" s="39">
        <f>'Degree-days'!$N$12*IF($E353=$E$5,(G$5),(G$6))</f>
        <v>0</v>
      </c>
      <c r="H353" s="39">
        <f>'Degree-days'!$N$12*IF($E353=$E$5,(H$5),(H$6))</f>
        <v>0</v>
      </c>
      <c r="I353" s="39">
        <f>'Degree-days'!$N$12*IF($E353=$E$5,(I$5),(I$6))</f>
        <v>0</v>
      </c>
      <c r="J353" s="39">
        <f>'Degree-days'!$N$12*IF($E353=$E$5,(J$5),(J$6))</f>
        <v>0</v>
      </c>
      <c r="K353" s="39">
        <f>'Degree-days'!$N$12*IF($E353=$E$5,(K$5),(K$6))</f>
        <v>0</v>
      </c>
      <c r="L353" s="39">
        <f>'Degree-days'!$N$12*IF($E353=$E$5,(L$5),(L$6))</f>
        <v>3.3559938227626214</v>
      </c>
      <c r="M353" s="39">
        <f>'Degree-days'!$N$12*IF($E353=$E$5,(M$5),(M$6))</f>
        <v>3.3559938227626214</v>
      </c>
      <c r="N353" s="39">
        <f>'Degree-days'!$N$12*IF($E353=$E$5,(N$5),(N$6))</f>
        <v>0</v>
      </c>
      <c r="O353" s="39">
        <f>'Degree-days'!$N$12*IF($E353=$E$5,(O$5),(O$6))</f>
        <v>0</v>
      </c>
      <c r="P353" s="39">
        <f>'Degree-days'!$N$12*IF($E353=$E$5,(P$5),(P$6))</f>
        <v>0</v>
      </c>
      <c r="Q353" s="39">
        <f>'Degree-days'!$N$12*IF($E353=$E$5,(Q$5),(Q$6))</f>
        <v>0</v>
      </c>
      <c r="R353" s="39">
        <f>'Degree-days'!$N$12*IF($E353=$E$5,(R$5),(R$6))</f>
        <v>0</v>
      </c>
      <c r="S353" s="39">
        <f>'Degree-days'!$N$12*IF($E353=$E$5,(S$5),(S$6))</f>
        <v>0</v>
      </c>
      <c r="T353" s="39">
        <f>'Degree-days'!$N$12*IF($E353=$E$5,(T$5),(T$6))</f>
        <v>0</v>
      </c>
      <c r="U353" s="39">
        <f>'Degree-days'!$N$12*IF($E353=$E$5,(U$5),(U$6))</f>
        <v>3.3559938227626214</v>
      </c>
      <c r="V353" s="39">
        <f>'Degree-days'!$N$12*IF($E353=$E$5,(V$5),(V$6))</f>
        <v>3.3559938227626214</v>
      </c>
      <c r="W353" s="39">
        <f>'Degree-days'!$N$12*IF($E353=$E$5,(W$5),(W$6))</f>
        <v>3.3559938227626214</v>
      </c>
      <c r="X353" s="39">
        <f>'Degree-days'!$N$12*IF($E353=$E$5,(X$5),(X$6))</f>
        <v>3.3559938227626214</v>
      </c>
      <c r="Y353" s="39">
        <f>'Degree-days'!$N$12*IF($E353=$E$5,(Y$5),(Y$6))</f>
        <v>3.3559938227626214</v>
      </c>
      <c r="Z353" s="39">
        <f>'Degree-days'!$N$12*IF($E353=$E$5,(Z$5),(Z$6))</f>
        <v>3.3559938227626214</v>
      </c>
      <c r="AA353" s="39">
        <f>'Degree-days'!$N$12*IF($E353=$E$5,(AA$5),(AA$6))</f>
        <v>3.3559938227626214</v>
      </c>
      <c r="AB353" s="39">
        <f>'Degree-days'!$N$12*IF($E353=$E$5,(AB$5),(AB$6))</f>
        <v>0</v>
      </c>
      <c r="AC353" s="39">
        <f>'Degree-days'!$N$12*IF($E353=$E$5,(AC$5),(AC$6))</f>
        <v>0</v>
      </c>
      <c r="AD353" s="39">
        <f t="shared" si="14"/>
        <v>30.203944404863588</v>
      </c>
    </row>
    <row r="354" spans="4:30" x14ac:dyDescent="0.2">
      <c r="D354" s="37">
        <v>45273</v>
      </c>
      <c r="E354" s="17" t="str">
        <f t="shared" si="13"/>
        <v>weekday</v>
      </c>
      <c r="F354" s="39">
        <f>'Degree-days'!$N$12*IF($E354=$E$5,(F$5),(F$6))</f>
        <v>0</v>
      </c>
      <c r="G354" s="39">
        <f>'Degree-days'!$N$12*IF($E354=$E$5,(G$5),(G$6))</f>
        <v>0</v>
      </c>
      <c r="H354" s="39">
        <f>'Degree-days'!$N$12*IF($E354=$E$5,(H$5),(H$6))</f>
        <v>0</v>
      </c>
      <c r="I354" s="39">
        <f>'Degree-days'!$N$12*IF($E354=$E$5,(I$5),(I$6))</f>
        <v>0</v>
      </c>
      <c r="J354" s="39">
        <f>'Degree-days'!$N$12*IF($E354=$E$5,(J$5),(J$6))</f>
        <v>0</v>
      </c>
      <c r="K354" s="39">
        <f>'Degree-days'!$N$12*IF($E354=$E$5,(K$5),(K$6))</f>
        <v>0</v>
      </c>
      <c r="L354" s="39">
        <f>'Degree-days'!$N$12*IF($E354=$E$5,(L$5),(L$6))</f>
        <v>3.3559938227626214</v>
      </c>
      <c r="M354" s="39">
        <f>'Degree-days'!$N$12*IF($E354=$E$5,(M$5),(M$6))</f>
        <v>3.3559938227626214</v>
      </c>
      <c r="N354" s="39">
        <f>'Degree-days'!$N$12*IF($E354=$E$5,(N$5),(N$6))</f>
        <v>0</v>
      </c>
      <c r="O354" s="39">
        <f>'Degree-days'!$N$12*IF($E354=$E$5,(O$5),(O$6))</f>
        <v>0</v>
      </c>
      <c r="P354" s="39">
        <f>'Degree-days'!$N$12*IF($E354=$E$5,(P$5),(P$6))</f>
        <v>0</v>
      </c>
      <c r="Q354" s="39">
        <f>'Degree-days'!$N$12*IF($E354=$E$5,(Q$5),(Q$6))</f>
        <v>0</v>
      </c>
      <c r="R354" s="39">
        <f>'Degree-days'!$N$12*IF($E354=$E$5,(R$5),(R$6))</f>
        <v>0</v>
      </c>
      <c r="S354" s="39">
        <f>'Degree-days'!$N$12*IF($E354=$E$5,(S$5),(S$6))</f>
        <v>0</v>
      </c>
      <c r="T354" s="39">
        <f>'Degree-days'!$N$12*IF($E354=$E$5,(T$5),(T$6))</f>
        <v>0</v>
      </c>
      <c r="U354" s="39">
        <f>'Degree-days'!$N$12*IF($E354=$E$5,(U$5),(U$6))</f>
        <v>3.3559938227626214</v>
      </c>
      <c r="V354" s="39">
        <f>'Degree-days'!$N$12*IF($E354=$E$5,(V$5),(V$6))</f>
        <v>3.3559938227626214</v>
      </c>
      <c r="W354" s="39">
        <f>'Degree-days'!$N$12*IF($E354=$E$5,(W$5),(W$6))</f>
        <v>3.3559938227626214</v>
      </c>
      <c r="X354" s="39">
        <f>'Degree-days'!$N$12*IF($E354=$E$5,(X$5),(X$6))</f>
        <v>3.3559938227626214</v>
      </c>
      <c r="Y354" s="39">
        <f>'Degree-days'!$N$12*IF($E354=$E$5,(Y$5),(Y$6))</f>
        <v>3.3559938227626214</v>
      </c>
      <c r="Z354" s="39">
        <f>'Degree-days'!$N$12*IF($E354=$E$5,(Z$5),(Z$6))</f>
        <v>3.3559938227626214</v>
      </c>
      <c r="AA354" s="39">
        <f>'Degree-days'!$N$12*IF($E354=$E$5,(AA$5),(AA$6))</f>
        <v>3.3559938227626214</v>
      </c>
      <c r="AB354" s="39">
        <f>'Degree-days'!$N$12*IF($E354=$E$5,(AB$5),(AB$6))</f>
        <v>0</v>
      </c>
      <c r="AC354" s="39">
        <f>'Degree-days'!$N$12*IF($E354=$E$5,(AC$5),(AC$6))</f>
        <v>0</v>
      </c>
      <c r="AD354" s="39">
        <f t="shared" si="14"/>
        <v>30.203944404863588</v>
      </c>
    </row>
    <row r="355" spans="4:30" x14ac:dyDescent="0.2">
      <c r="D355" s="37">
        <v>45274</v>
      </c>
      <c r="E355" s="17" t="str">
        <f t="shared" si="13"/>
        <v>weekday</v>
      </c>
      <c r="F355" s="39">
        <f>'Degree-days'!$N$12*IF($E355=$E$5,(F$5),(F$6))</f>
        <v>0</v>
      </c>
      <c r="G355" s="39">
        <f>'Degree-days'!$N$12*IF($E355=$E$5,(G$5),(G$6))</f>
        <v>0</v>
      </c>
      <c r="H355" s="39">
        <f>'Degree-days'!$N$12*IF($E355=$E$5,(H$5),(H$6))</f>
        <v>0</v>
      </c>
      <c r="I355" s="39">
        <f>'Degree-days'!$N$12*IF($E355=$E$5,(I$5),(I$6))</f>
        <v>0</v>
      </c>
      <c r="J355" s="39">
        <f>'Degree-days'!$N$12*IF($E355=$E$5,(J$5),(J$6))</f>
        <v>0</v>
      </c>
      <c r="K355" s="39">
        <f>'Degree-days'!$N$12*IF($E355=$E$5,(K$5),(K$6))</f>
        <v>0</v>
      </c>
      <c r="L355" s="39">
        <f>'Degree-days'!$N$12*IF($E355=$E$5,(L$5),(L$6))</f>
        <v>3.3559938227626214</v>
      </c>
      <c r="M355" s="39">
        <f>'Degree-days'!$N$12*IF($E355=$E$5,(M$5),(M$6))</f>
        <v>3.3559938227626214</v>
      </c>
      <c r="N355" s="39">
        <f>'Degree-days'!$N$12*IF($E355=$E$5,(N$5),(N$6))</f>
        <v>0</v>
      </c>
      <c r="O355" s="39">
        <f>'Degree-days'!$N$12*IF($E355=$E$5,(O$5),(O$6))</f>
        <v>0</v>
      </c>
      <c r="P355" s="39">
        <f>'Degree-days'!$N$12*IF($E355=$E$5,(P$5),(P$6))</f>
        <v>0</v>
      </c>
      <c r="Q355" s="39">
        <f>'Degree-days'!$N$12*IF($E355=$E$5,(Q$5),(Q$6))</f>
        <v>0</v>
      </c>
      <c r="R355" s="39">
        <f>'Degree-days'!$N$12*IF($E355=$E$5,(R$5),(R$6))</f>
        <v>0</v>
      </c>
      <c r="S355" s="39">
        <f>'Degree-days'!$N$12*IF($E355=$E$5,(S$5),(S$6))</f>
        <v>0</v>
      </c>
      <c r="T355" s="39">
        <f>'Degree-days'!$N$12*IF($E355=$E$5,(T$5),(T$6))</f>
        <v>0</v>
      </c>
      <c r="U355" s="39">
        <f>'Degree-days'!$N$12*IF($E355=$E$5,(U$5),(U$6))</f>
        <v>3.3559938227626214</v>
      </c>
      <c r="V355" s="39">
        <f>'Degree-days'!$N$12*IF($E355=$E$5,(V$5),(V$6))</f>
        <v>3.3559938227626214</v>
      </c>
      <c r="W355" s="39">
        <f>'Degree-days'!$N$12*IF($E355=$E$5,(W$5),(W$6))</f>
        <v>3.3559938227626214</v>
      </c>
      <c r="X355" s="39">
        <f>'Degree-days'!$N$12*IF($E355=$E$5,(X$5),(X$6))</f>
        <v>3.3559938227626214</v>
      </c>
      <c r="Y355" s="39">
        <f>'Degree-days'!$N$12*IF($E355=$E$5,(Y$5),(Y$6))</f>
        <v>3.3559938227626214</v>
      </c>
      <c r="Z355" s="39">
        <f>'Degree-days'!$N$12*IF($E355=$E$5,(Z$5),(Z$6))</f>
        <v>3.3559938227626214</v>
      </c>
      <c r="AA355" s="39">
        <f>'Degree-days'!$N$12*IF($E355=$E$5,(AA$5),(AA$6))</f>
        <v>3.3559938227626214</v>
      </c>
      <c r="AB355" s="39">
        <f>'Degree-days'!$N$12*IF($E355=$E$5,(AB$5),(AB$6))</f>
        <v>0</v>
      </c>
      <c r="AC355" s="39">
        <f>'Degree-days'!$N$12*IF($E355=$E$5,(AC$5),(AC$6))</f>
        <v>0</v>
      </c>
      <c r="AD355" s="39">
        <f t="shared" si="14"/>
        <v>30.203944404863588</v>
      </c>
    </row>
    <row r="356" spans="4:30" x14ac:dyDescent="0.2">
      <c r="D356" s="37">
        <v>45275</v>
      </c>
      <c r="E356" s="17" t="str">
        <f t="shared" si="13"/>
        <v>weekday</v>
      </c>
      <c r="F356" s="39">
        <f>'Degree-days'!$N$12*IF($E356=$E$5,(F$5),(F$6))</f>
        <v>0</v>
      </c>
      <c r="G356" s="39">
        <f>'Degree-days'!$N$12*IF($E356=$E$5,(G$5),(G$6))</f>
        <v>0</v>
      </c>
      <c r="H356" s="39">
        <f>'Degree-days'!$N$12*IF($E356=$E$5,(H$5),(H$6))</f>
        <v>0</v>
      </c>
      <c r="I356" s="39">
        <f>'Degree-days'!$N$12*IF($E356=$E$5,(I$5),(I$6))</f>
        <v>0</v>
      </c>
      <c r="J356" s="39">
        <f>'Degree-days'!$N$12*IF($E356=$E$5,(J$5),(J$6))</f>
        <v>0</v>
      </c>
      <c r="K356" s="39">
        <f>'Degree-days'!$N$12*IF($E356=$E$5,(K$5),(K$6))</f>
        <v>0</v>
      </c>
      <c r="L356" s="39">
        <f>'Degree-days'!$N$12*IF($E356=$E$5,(L$5),(L$6))</f>
        <v>3.3559938227626214</v>
      </c>
      <c r="M356" s="39">
        <f>'Degree-days'!$N$12*IF($E356=$E$5,(M$5),(M$6))</f>
        <v>3.3559938227626214</v>
      </c>
      <c r="N356" s="39">
        <f>'Degree-days'!$N$12*IF($E356=$E$5,(N$5),(N$6))</f>
        <v>0</v>
      </c>
      <c r="O356" s="39">
        <f>'Degree-days'!$N$12*IF($E356=$E$5,(O$5),(O$6))</f>
        <v>0</v>
      </c>
      <c r="P356" s="39">
        <f>'Degree-days'!$N$12*IF($E356=$E$5,(P$5),(P$6))</f>
        <v>0</v>
      </c>
      <c r="Q356" s="39">
        <f>'Degree-days'!$N$12*IF($E356=$E$5,(Q$5),(Q$6))</f>
        <v>0</v>
      </c>
      <c r="R356" s="39">
        <f>'Degree-days'!$N$12*IF($E356=$E$5,(R$5),(R$6))</f>
        <v>0</v>
      </c>
      <c r="S356" s="39">
        <f>'Degree-days'!$N$12*IF($E356=$E$5,(S$5),(S$6))</f>
        <v>0</v>
      </c>
      <c r="T356" s="39">
        <f>'Degree-days'!$N$12*IF($E356=$E$5,(T$5),(T$6))</f>
        <v>0</v>
      </c>
      <c r="U356" s="39">
        <f>'Degree-days'!$N$12*IF($E356=$E$5,(U$5),(U$6))</f>
        <v>3.3559938227626214</v>
      </c>
      <c r="V356" s="39">
        <f>'Degree-days'!$N$12*IF($E356=$E$5,(V$5),(V$6))</f>
        <v>3.3559938227626214</v>
      </c>
      <c r="W356" s="39">
        <f>'Degree-days'!$N$12*IF($E356=$E$5,(W$5),(W$6))</f>
        <v>3.3559938227626214</v>
      </c>
      <c r="X356" s="39">
        <f>'Degree-days'!$N$12*IF($E356=$E$5,(X$5),(X$6))</f>
        <v>3.3559938227626214</v>
      </c>
      <c r="Y356" s="39">
        <f>'Degree-days'!$N$12*IF($E356=$E$5,(Y$5),(Y$6))</f>
        <v>3.3559938227626214</v>
      </c>
      <c r="Z356" s="39">
        <f>'Degree-days'!$N$12*IF($E356=$E$5,(Z$5),(Z$6))</f>
        <v>3.3559938227626214</v>
      </c>
      <c r="AA356" s="39">
        <f>'Degree-days'!$N$12*IF($E356=$E$5,(AA$5),(AA$6))</f>
        <v>3.3559938227626214</v>
      </c>
      <c r="AB356" s="39">
        <f>'Degree-days'!$N$12*IF($E356=$E$5,(AB$5),(AB$6))</f>
        <v>0</v>
      </c>
      <c r="AC356" s="39">
        <f>'Degree-days'!$N$12*IF($E356=$E$5,(AC$5),(AC$6))</f>
        <v>0</v>
      </c>
      <c r="AD356" s="39">
        <f t="shared" si="14"/>
        <v>30.203944404863588</v>
      </c>
    </row>
    <row r="357" spans="4:30" x14ac:dyDescent="0.2">
      <c r="D357" s="37">
        <v>45276</v>
      </c>
      <c r="E357" s="17" t="str">
        <f t="shared" si="13"/>
        <v>weekend</v>
      </c>
      <c r="F357" s="39">
        <f>'Degree-days'!$N$12*IF($E357=$E$5,(F$5),(F$6))</f>
        <v>0</v>
      </c>
      <c r="G357" s="39">
        <f>'Degree-days'!$N$12*IF($E357=$E$5,(G$5),(G$6))</f>
        <v>0</v>
      </c>
      <c r="H357" s="39">
        <f>'Degree-days'!$N$12*IF($E357=$E$5,(H$5),(H$6))</f>
        <v>0</v>
      </c>
      <c r="I357" s="39">
        <f>'Degree-days'!$N$12*IF($E357=$E$5,(I$5),(I$6))</f>
        <v>0</v>
      </c>
      <c r="J357" s="39">
        <f>'Degree-days'!$N$12*IF($E357=$E$5,(J$5),(J$6))</f>
        <v>0</v>
      </c>
      <c r="K357" s="39">
        <f>'Degree-days'!$N$12*IF($E357=$E$5,(K$5),(K$6))</f>
        <v>0</v>
      </c>
      <c r="L357" s="39">
        <f>'Degree-days'!$N$12*IF($E357=$E$5,(L$5),(L$6))</f>
        <v>3.3559938227626214</v>
      </c>
      <c r="M357" s="39">
        <f>'Degree-days'!$N$12*IF($E357=$E$5,(M$5),(M$6))</f>
        <v>3.3559938227626214</v>
      </c>
      <c r="N357" s="39">
        <f>'Degree-days'!$N$12*IF($E357=$E$5,(N$5),(N$6))</f>
        <v>3.3559938227626214</v>
      </c>
      <c r="O357" s="39">
        <f>'Degree-days'!$N$12*IF($E357=$E$5,(O$5),(O$6))</f>
        <v>3.3559938227626214</v>
      </c>
      <c r="P357" s="39">
        <f>'Degree-days'!$N$12*IF($E357=$E$5,(P$5),(P$6))</f>
        <v>3.3559938227626214</v>
      </c>
      <c r="Q357" s="39">
        <f>'Degree-days'!$N$12*IF($E357=$E$5,(Q$5),(Q$6))</f>
        <v>3.3559938227626214</v>
      </c>
      <c r="R357" s="39">
        <f>'Degree-days'!$N$12*IF($E357=$E$5,(R$5),(R$6))</f>
        <v>3.3559938227626214</v>
      </c>
      <c r="S357" s="39">
        <f>'Degree-days'!$N$12*IF($E357=$E$5,(S$5),(S$6))</f>
        <v>3.3559938227626214</v>
      </c>
      <c r="T357" s="39">
        <f>'Degree-days'!$N$12*IF($E357=$E$5,(T$5),(T$6))</f>
        <v>3.3559938227626214</v>
      </c>
      <c r="U357" s="39">
        <f>'Degree-days'!$N$12*IF($E357=$E$5,(U$5),(U$6))</f>
        <v>3.3559938227626214</v>
      </c>
      <c r="V357" s="39">
        <f>'Degree-days'!$N$12*IF($E357=$E$5,(V$5),(V$6))</f>
        <v>3.3559938227626214</v>
      </c>
      <c r="W357" s="39">
        <f>'Degree-days'!$N$12*IF($E357=$E$5,(W$5),(W$6))</f>
        <v>3.3559938227626214</v>
      </c>
      <c r="X357" s="39">
        <f>'Degree-days'!$N$12*IF($E357=$E$5,(X$5),(X$6))</f>
        <v>3.3559938227626214</v>
      </c>
      <c r="Y357" s="39">
        <f>'Degree-days'!$N$12*IF($E357=$E$5,(Y$5),(Y$6))</f>
        <v>3.3559938227626214</v>
      </c>
      <c r="Z357" s="39">
        <f>'Degree-days'!$N$12*IF($E357=$E$5,(Z$5),(Z$6))</f>
        <v>3.3559938227626214</v>
      </c>
      <c r="AA357" s="39">
        <f>'Degree-days'!$N$12*IF($E357=$E$5,(AA$5),(AA$6))</f>
        <v>3.3559938227626214</v>
      </c>
      <c r="AB357" s="39">
        <f>'Degree-days'!$N$12*IF($E357=$E$5,(AB$5),(AB$6))</f>
        <v>0</v>
      </c>
      <c r="AC357" s="39">
        <f>'Degree-days'!$N$12*IF($E357=$E$5,(AC$5),(AC$6))</f>
        <v>0</v>
      </c>
      <c r="AD357" s="39">
        <f t="shared" si="14"/>
        <v>53.695901164201935</v>
      </c>
    </row>
    <row r="358" spans="4:30" x14ac:dyDescent="0.2">
      <c r="D358" s="37">
        <v>45277</v>
      </c>
      <c r="E358" s="17" t="str">
        <f t="shared" si="13"/>
        <v>weekend</v>
      </c>
      <c r="F358" s="39">
        <f>'Degree-days'!$N$12*IF($E358=$E$5,(F$5),(F$6))</f>
        <v>0</v>
      </c>
      <c r="G358" s="39">
        <f>'Degree-days'!$N$12*IF($E358=$E$5,(G$5),(G$6))</f>
        <v>0</v>
      </c>
      <c r="H358" s="39">
        <f>'Degree-days'!$N$12*IF($E358=$E$5,(H$5),(H$6))</f>
        <v>0</v>
      </c>
      <c r="I358" s="39">
        <f>'Degree-days'!$N$12*IF($E358=$E$5,(I$5),(I$6))</f>
        <v>0</v>
      </c>
      <c r="J358" s="39">
        <f>'Degree-days'!$N$12*IF($E358=$E$5,(J$5),(J$6))</f>
        <v>0</v>
      </c>
      <c r="K358" s="39">
        <f>'Degree-days'!$N$12*IF($E358=$E$5,(K$5),(K$6))</f>
        <v>0</v>
      </c>
      <c r="L358" s="39">
        <f>'Degree-days'!$N$12*IF($E358=$E$5,(L$5),(L$6))</f>
        <v>3.3559938227626214</v>
      </c>
      <c r="M358" s="39">
        <f>'Degree-days'!$N$12*IF($E358=$E$5,(M$5),(M$6))</f>
        <v>3.3559938227626214</v>
      </c>
      <c r="N358" s="39">
        <f>'Degree-days'!$N$12*IF($E358=$E$5,(N$5),(N$6))</f>
        <v>3.3559938227626214</v>
      </c>
      <c r="O358" s="39">
        <f>'Degree-days'!$N$12*IF($E358=$E$5,(O$5),(O$6))</f>
        <v>3.3559938227626214</v>
      </c>
      <c r="P358" s="39">
        <f>'Degree-days'!$N$12*IF($E358=$E$5,(P$5),(P$6))</f>
        <v>3.3559938227626214</v>
      </c>
      <c r="Q358" s="39">
        <f>'Degree-days'!$N$12*IF($E358=$E$5,(Q$5),(Q$6))</f>
        <v>3.3559938227626214</v>
      </c>
      <c r="R358" s="39">
        <f>'Degree-days'!$N$12*IF($E358=$E$5,(R$5),(R$6))</f>
        <v>3.3559938227626214</v>
      </c>
      <c r="S358" s="39">
        <f>'Degree-days'!$N$12*IF($E358=$E$5,(S$5),(S$6))</f>
        <v>3.3559938227626214</v>
      </c>
      <c r="T358" s="39">
        <f>'Degree-days'!$N$12*IF($E358=$E$5,(T$5),(T$6))</f>
        <v>3.3559938227626214</v>
      </c>
      <c r="U358" s="39">
        <f>'Degree-days'!$N$12*IF($E358=$E$5,(U$5),(U$6))</f>
        <v>3.3559938227626214</v>
      </c>
      <c r="V358" s="39">
        <f>'Degree-days'!$N$12*IF($E358=$E$5,(V$5),(V$6))</f>
        <v>3.3559938227626214</v>
      </c>
      <c r="W358" s="39">
        <f>'Degree-days'!$N$12*IF($E358=$E$5,(W$5),(W$6))</f>
        <v>3.3559938227626214</v>
      </c>
      <c r="X358" s="39">
        <f>'Degree-days'!$N$12*IF($E358=$E$5,(X$5),(X$6))</f>
        <v>3.3559938227626214</v>
      </c>
      <c r="Y358" s="39">
        <f>'Degree-days'!$N$12*IF($E358=$E$5,(Y$5),(Y$6))</f>
        <v>3.3559938227626214</v>
      </c>
      <c r="Z358" s="39">
        <f>'Degree-days'!$N$12*IF($E358=$E$5,(Z$5),(Z$6))</f>
        <v>3.3559938227626214</v>
      </c>
      <c r="AA358" s="39">
        <f>'Degree-days'!$N$12*IF($E358=$E$5,(AA$5),(AA$6))</f>
        <v>3.3559938227626214</v>
      </c>
      <c r="AB358" s="39">
        <f>'Degree-days'!$N$12*IF($E358=$E$5,(AB$5),(AB$6))</f>
        <v>0</v>
      </c>
      <c r="AC358" s="39">
        <f>'Degree-days'!$N$12*IF($E358=$E$5,(AC$5),(AC$6))</f>
        <v>0</v>
      </c>
      <c r="AD358" s="39">
        <f t="shared" si="14"/>
        <v>53.695901164201935</v>
      </c>
    </row>
    <row r="359" spans="4:30" x14ac:dyDescent="0.2">
      <c r="D359" s="37">
        <v>45278</v>
      </c>
      <c r="E359" s="17" t="str">
        <f t="shared" si="13"/>
        <v>weekday</v>
      </c>
      <c r="F359" s="39">
        <f>'Degree-days'!$N$12*IF($E359=$E$5,(F$5),(F$6))</f>
        <v>0</v>
      </c>
      <c r="G359" s="39">
        <f>'Degree-days'!$N$12*IF($E359=$E$5,(G$5),(G$6))</f>
        <v>0</v>
      </c>
      <c r="H359" s="39">
        <f>'Degree-days'!$N$12*IF($E359=$E$5,(H$5),(H$6))</f>
        <v>0</v>
      </c>
      <c r="I359" s="39">
        <f>'Degree-days'!$N$12*IF($E359=$E$5,(I$5),(I$6))</f>
        <v>0</v>
      </c>
      <c r="J359" s="39">
        <f>'Degree-days'!$N$12*IF($E359=$E$5,(J$5),(J$6))</f>
        <v>0</v>
      </c>
      <c r="K359" s="39">
        <f>'Degree-days'!$N$12*IF($E359=$E$5,(K$5),(K$6))</f>
        <v>0</v>
      </c>
      <c r="L359" s="39">
        <f>'Degree-days'!$N$12*IF($E359=$E$5,(L$5),(L$6))</f>
        <v>3.3559938227626214</v>
      </c>
      <c r="M359" s="39">
        <f>'Degree-days'!$N$12*IF($E359=$E$5,(M$5),(M$6))</f>
        <v>3.3559938227626214</v>
      </c>
      <c r="N359" s="39">
        <f>'Degree-days'!$N$12*IF($E359=$E$5,(N$5),(N$6))</f>
        <v>0</v>
      </c>
      <c r="O359" s="39">
        <f>'Degree-days'!$N$12*IF($E359=$E$5,(O$5),(O$6))</f>
        <v>0</v>
      </c>
      <c r="P359" s="39">
        <f>'Degree-days'!$N$12*IF($E359=$E$5,(P$5),(P$6))</f>
        <v>0</v>
      </c>
      <c r="Q359" s="39">
        <f>'Degree-days'!$N$12*IF($E359=$E$5,(Q$5),(Q$6))</f>
        <v>0</v>
      </c>
      <c r="R359" s="39">
        <f>'Degree-days'!$N$12*IF($E359=$E$5,(R$5),(R$6))</f>
        <v>0</v>
      </c>
      <c r="S359" s="39">
        <f>'Degree-days'!$N$12*IF($E359=$E$5,(S$5),(S$6))</f>
        <v>0</v>
      </c>
      <c r="T359" s="39">
        <f>'Degree-days'!$N$12*IF($E359=$E$5,(T$5),(T$6))</f>
        <v>0</v>
      </c>
      <c r="U359" s="39">
        <f>'Degree-days'!$N$12*IF($E359=$E$5,(U$5),(U$6))</f>
        <v>3.3559938227626214</v>
      </c>
      <c r="V359" s="39">
        <f>'Degree-days'!$N$12*IF($E359=$E$5,(V$5),(V$6))</f>
        <v>3.3559938227626214</v>
      </c>
      <c r="W359" s="39">
        <f>'Degree-days'!$N$12*IF($E359=$E$5,(W$5),(W$6))</f>
        <v>3.3559938227626214</v>
      </c>
      <c r="X359" s="39">
        <f>'Degree-days'!$N$12*IF($E359=$E$5,(X$5),(X$6))</f>
        <v>3.3559938227626214</v>
      </c>
      <c r="Y359" s="39">
        <f>'Degree-days'!$N$12*IF($E359=$E$5,(Y$5),(Y$6))</f>
        <v>3.3559938227626214</v>
      </c>
      <c r="Z359" s="39">
        <f>'Degree-days'!$N$12*IF($E359=$E$5,(Z$5),(Z$6))</f>
        <v>3.3559938227626214</v>
      </c>
      <c r="AA359" s="39">
        <f>'Degree-days'!$N$12*IF($E359=$E$5,(AA$5),(AA$6))</f>
        <v>3.3559938227626214</v>
      </c>
      <c r="AB359" s="39">
        <f>'Degree-days'!$N$12*IF($E359=$E$5,(AB$5),(AB$6))</f>
        <v>0</v>
      </c>
      <c r="AC359" s="39">
        <f>'Degree-days'!$N$12*IF($E359=$E$5,(AC$5),(AC$6))</f>
        <v>0</v>
      </c>
      <c r="AD359" s="39">
        <f t="shared" si="14"/>
        <v>30.203944404863588</v>
      </c>
    </row>
    <row r="360" spans="4:30" x14ac:dyDescent="0.2">
      <c r="D360" s="37">
        <v>45279</v>
      </c>
      <c r="E360" s="17" t="str">
        <f t="shared" si="13"/>
        <v>weekday</v>
      </c>
      <c r="F360" s="39">
        <f>'Degree-days'!$N$12*IF($E360=$E$5,(F$5),(F$6))</f>
        <v>0</v>
      </c>
      <c r="G360" s="39">
        <f>'Degree-days'!$N$12*IF($E360=$E$5,(G$5),(G$6))</f>
        <v>0</v>
      </c>
      <c r="H360" s="39">
        <f>'Degree-days'!$N$12*IF($E360=$E$5,(H$5),(H$6))</f>
        <v>0</v>
      </c>
      <c r="I360" s="39">
        <f>'Degree-days'!$N$12*IF($E360=$E$5,(I$5),(I$6))</f>
        <v>0</v>
      </c>
      <c r="J360" s="39">
        <f>'Degree-days'!$N$12*IF($E360=$E$5,(J$5),(J$6))</f>
        <v>0</v>
      </c>
      <c r="K360" s="39">
        <f>'Degree-days'!$N$12*IF($E360=$E$5,(K$5),(K$6))</f>
        <v>0</v>
      </c>
      <c r="L360" s="39">
        <f>'Degree-days'!$N$12*IF($E360=$E$5,(L$5),(L$6))</f>
        <v>3.3559938227626214</v>
      </c>
      <c r="M360" s="39">
        <f>'Degree-days'!$N$12*IF($E360=$E$5,(M$5),(M$6))</f>
        <v>3.3559938227626214</v>
      </c>
      <c r="N360" s="39">
        <f>'Degree-days'!$N$12*IF($E360=$E$5,(N$5),(N$6))</f>
        <v>0</v>
      </c>
      <c r="O360" s="39">
        <f>'Degree-days'!$N$12*IF($E360=$E$5,(O$5),(O$6))</f>
        <v>0</v>
      </c>
      <c r="P360" s="39">
        <f>'Degree-days'!$N$12*IF($E360=$E$5,(P$5),(P$6))</f>
        <v>0</v>
      </c>
      <c r="Q360" s="39">
        <f>'Degree-days'!$N$12*IF($E360=$E$5,(Q$5),(Q$6))</f>
        <v>0</v>
      </c>
      <c r="R360" s="39">
        <f>'Degree-days'!$N$12*IF($E360=$E$5,(R$5),(R$6))</f>
        <v>0</v>
      </c>
      <c r="S360" s="39">
        <f>'Degree-days'!$N$12*IF($E360=$E$5,(S$5),(S$6))</f>
        <v>0</v>
      </c>
      <c r="T360" s="39">
        <f>'Degree-days'!$N$12*IF($E360=$E$5,(T$5),(T$6))</f>
        <v>0</v>
      </c>
      <c r="U360" s="39">
        <f>'Degree-days'!$N$12*IF($E360=$E$5,(U$5),(U$6))</f>
        <v>3.3559938227626214</v>
      </c>
      <c r="V360" s="39">
        <f>'Degree-days'!$N$12*IF($E360=$E$5,(V$5),(V$6))</f>
        <v>3.3559938227626214</v>
      </c>
      <c r="W360" s="39">
        <f>'Degree-days'!$N$12*IF($E360=$E$5,(W$5),(W$6))</f>
        <v>3.3559938227626214</v>
      </c>
      <c r="X360" s="39">
        <f>'Degree-days'!$N$12*IF($E360=$E$5,(X$5),(X$6))</f>
        <v>3.3559938227626214</v>
      </c>
      <c r="Y360" s="39">
        <f>'Degree-days'!$N$12*IF($E360=$E$5,(Y$5),(Y$6))</f>
        <v>3.3559938227626214</v>
      </c>
      <c r="Z360" s="39">
        <f>'Degree-days'!$N$12*IF($E360=$E$5,(Z$5),(Z$6))</f>
        <v>3.3559938227626214</v>
      </c>
      <c r="AA360" s="39">
        <f>'Degree-days'!$N$12*IF($E360=$E$5,(AA$5),(AA$6))</f>
        <v>3.3559938227626214</v>
      </c>
      <c r="AB360" s="39">
        <f>'Degree-days'!$N$12*IF($E360=$E$5,(AB$5),(AB$6))</f>
        <v>0</v>
      </c>
      <c r="AC360" s="39">
        <f>'Degree-days'!$N$12*IF($E360=$E$5,(AC$5),(AC$6))</f>
        <v>0</v>
      </c>
      <c r="AD360" s="39">
        <f t="shared" si="14"/>
        <v>30.203944404863588</v>
      </c>
    </row>
    <row r="361" spans="4:30" x14ac:dyDescent="0.2">
      <c r="D361" s="37">
        <v>45280</v>
      </c>
      <c r="E361" s="17" t="str">
        <f t="shared" si="13"/>
        <v>weekday</v>
      </c>
      <c r="F361" s="39">
        <f>'Degree-days'!$N$12*IF($E361=$E$5,(F$5),(F$6))</f>
        <v>0</v>
      </c>
      <c r="G361" s="39">
        <f>'Degree-days'!$N$12*IF($E361=$E$5,(G$5),(G$6))</f>
        <v>0</v>
      </c>
      <c r="H361" s="39">
        <f>'Degree-days'!$N$12*IF($E361=$E$5,(H$5),(H$6))</f>
        <v>0</v>
      </c>
      <c r="I361" s="39">
        <f>'Degree-days'!$N$12*IF($E361=$E$5,(I$5),(I$6))</f>
        <v>0</v>
      </c>
      <c r="J361" s="39">
        <f>'Degree-days'!$N$12*IF($E361=$E$5,(J$5),(J$6))</f>
        <v>0</v>
      </c>
      <c r="K361" s="39">
        <f>'Degree-days'!$N$12*IF($E361=$E$5,(K$5),(K$6))</f>
        <v>0</v>
      </c>
      <c r="L361" s="39">
        <f>'Degree-days'!$N$12*IF($E361=$E$5,(L$5),(L$6))</f>
        <v>3.3559938227626214</v>
      </c>
      <c r="M361" s="39">
        <f>'Degree-days'!$N$12*IF($E361=$E$5,(M$5),(M$6))</f>
        <v>3.3559938227626214</v>
      </c>
      <c r="N361" s="39">
        <f>'Degree-days'!$N$12*IF($E361=$E$5,(N$5),(N$6))</f>
        <v>0</v>
      </c>
      <c r="O361" s="39">
        <f>'Degree-days'!$N$12*IF($E361=$E$5,(O$5),(O$6))</f>
        <v>0</v>
      </c>
      <c r="P361" s="39">
        <f>'Degree-days'!$N$12*IF($E361=$E$5,(P$5),(P$6))</f>
        <v>0</v>
      </c>
      <c r="Q361" s="39">
        <f>'Degree-days'!$N$12*IF($E361=$E$5,(Q$5),(Q$6))</f>
        <v>0</v>
      </c>
      <c r="R361" s="39">
        <f>'Degree-days'!$N$12*IF($E361=$E$5,(R$5),(R$6))</f>
        <v>0</v>
      </c>
      <c r="S361" s="39">
        <f>'Degree-days'!$N$12*IF($E361=$E$5,(S$5),(S$6))</f>
        <v>0</v>
      </c>
      <c r="T361" s="39">
        <f>'Degree-days'!$N$12*IF($E361=$E$5,(T$5),(T$6))</f>
        <v>0</v>
      </c>
      <c r="U361" s="39">
        <f>'Degree-days'!$N$12*IF($E361=$E$5,(U$5),(U$6))</f>
        <v>3.3559938227626214</v>
      </c>
      <c r="V361" s="39">
        <f>'Degree-days'!$N$12*IF($E361=$E$5,(V$5),(V$6))</f>
        <v>3.3559938227626214</v>
      </c>
      <c r="W361" s="39">
        <f>'Degree-days'!$N$12*IF($E361=$E$5,(W$5),(W$6))</f>
        <v>3.3559938227626214</v>
      </c>
      <c r="X361" s="39">
        <f>'Degree-days'!$N$12*IF($E361=$E$5,(X$5),(X$6))</f>
        <v>3.3559938227626214</v>
      </c>
      <c r="Y361" s="39">
        <f>'Degree-days'!$N$12*IF($E361=$E$5,(Y$5),(Y$6))</f>
        <v>3.3559938227626214</v>
      </c>
      <c r="Z361" s="39">
        <f>'Degree-days'!$N$12*IF($E361=$E$5,(Z$5),(Z$6))</f>
        <v>3.3559938227626214</v>
      </c>
      <c r="AA361" s="39">
        <f>'Degree-days'!$N$12*IF($E361=$E$5,(AA$5),(AA$6))</f>
        <v>3.3559938227626214</v>
      </c>
      <c r="AB361" s="39">
        <f>'Degree-days'!$N$12*IF($E361=$E$5,(AB$5),(AB$6))</f>
        <v>0</v>
      </c>
      <c r="AC361" s="39">
        <f>'Degree-days'!$N$12*IF($E361=$E$5,(AC$5),(AC$6))</f>
        <v>0</v>
      </c>
      <c r="AD361" s="39">
        <f t="shared" si="14"/>
        <v>30.203944404863588</v>
      </c>
    </row>
    <row r="362" spans="4:30" x14ac:dyDescent="0.2">
      <c r="D362" s="37">
        <v>45281</v>
      </c>
      <c r="E362" s="17" t="str">
        <f t="shared" si="13"/>
        <v>weekday</v>
      </c>
      <c r="F362" s="39">
        <f>'Degree-days'!$N$12*IF($E362=$E$5,(F$5),(F$6))</f>
        <v>0</v>
      </c>
      <c r="G362" s="39">
        <f>'Degree-days'!$N$12*IF($E362=$E$5,(G$5),(G$6))</f>
        <v>0</v>
      </c>
      <c r="H362" s="39">
        <f>'Degree-days'!$N$12*IF($E362=$E$5,(H$5),(H$6))</f>
        <v>0</v>
      </c>
      <c r="I362" s="39">
        <f>'Degree-days'!$N$12*IF($E362=$E$5,(I$5),(I$6))</f>
        <v>0</v>
      </c>
      <c r="J362" s="39">
        <f>'Degree-days'!$N$12*IF($E362=$E$5,(J$5),(J$6))</f>
        <v>0</v>
      </c>
      <c r="K362" s="39">
        <f>'Degree-days'!$N$12*IF($E362=$E$5,(K$5),(K$6))</f>
        <v>0</v>
      </c>
      <c r="L362" s="39">
        <f>'Degree-days'!$N$12*IF($E362=$E$5,(L$5),(L$6))</f>
        <v>3.3559938227626214</v>
      </c>
      <c r="M362" s="39">
        <f>'Degree-days'!$N$12*IF($E362=$E$5,(M$5),(M$6))</f>
        <v>3.3559938227626214</v>
      </c>
      <c r="N362" s="39">
        <f>'Degree-days'!$N$12*IF($E362=$E$5,(N$5),(N$6))</f>
        <v>0</v>
      </c>
      <c r="O362" s="39">
        <f>'Degree-days'!$N$12*IF($E362=$E$5,(O$5),(O$6))</f>
        <v>0</v>
      </c>
      <c r="P362" s="39">
        <f>'Degree-days'!$N$12*IF($E362=$E$5,(P$5),(P$6))</f>
        <v>0</v>
      </c>
      <c r="Q362" s="39">
        <f>'Degree-days'!$N$12*IF($E362=$E$5,(Q$5),(Q$6))</f>
        <v>0</v>
      </c>
      <c r="R362" s="39">
        <f>'Degree-days'!$N$12*IF($E362=$E$5,(R$5),(R$6))</f>
        <v>0</v>
      </c>
      <c r="S362" s="39">
        <f>'Degree-days'!$N$12*IF($E362=$E$5,(S$5),(S$6))</f>
        <v>0</v>
      </c>
      <c r="T362" s="39">
        <f>'Degree-days'!$N$12*IF($E362=$E$5,(T$5),(T$6))</f>
        <v>0</v>
      </c>
      <c r="U362" s="39">
        <f>'Degree-days'!$N$12*IF($E362=$E$5,(U$5),(U$6))</f>
        <v>3.3559938227626214</v>
      </c>
      <c r="V362" s="39">
        <f>'Degree-days'!$N$12*IF($E362=$E$5,(V$5),(V$6))</f>
        <v>3.3559938227626214</v>
      </c>
      <c r="W362" s="39">
        <f>'Degree-days'!$N$12*IF($E362=$E$5,(W$5),(W$6))</f>
        <v>3.3559938227626214</v>
      </c>
      <c r="X362" s="39">
        <f>'Degree-days'!$N$12*IF($E362=$E$5,(X$5),(X$6))</f>
        <v>3.3559938227626214</v>
      </c>
      <c r="Y362" s="39">
        <f>'Degree-days'!$N$12*IF($E362=$E$5,(Y$5),(Y$6))</f>
        <v>3.3559938227626214</v>
      </c>
      <c r="Z362" s="39">
        <f>'Degree-days'!$N$12*IF($E362=$E$5,(Z$5),(Z$6))</f>
        <v>3.3559938227626214</v>
      </c>
      <c r="AA362" s="39">
        <f>'Degree-days'!$N$12*IF($E362=$E$5,(AA$5),(AA$6))</f>
        <v>3.3559938227626214</v>
      </c>
      <c r="AB362" s="39">
        <f>'Degree-days'!$N$12*IF($E362=$E$5,(AB$5),(AB$6))</f>
        <v>0</v>
      </c>
      <c r="AC362" s="39">
        <f>'Degree-days'!$N$12*IF($E362=$E$5,(AC$5),(AC$6))</f>
        <v>0</v>
      </c>
      <c r="AD362" s="39">
        <f t="shared" si="14"/>
        <v>30.203944404863588</v>
      </c>
    </row>
    <row r="363" spans="4:30" x14ac:dyDescent="0.2">
      <c r="D363" s="37">
        <v>45282</v>
      </c>
      <c r="E363" s="17" t="str">
        <f t="shared" si="13"/>
        <v>weekday</v>
      </c>
      <c r="F363" s="39">
        <f>'Degree-days'!$N$12*IF($E363=$E$5,(F$5),(F$6))</f>
        <v>0</v>
      </c>
      <c r="G363" s="39">
        <f>'Degree-days'!$N$12*IF($E363=$E$5,(G$5),(G$6))</f>
        <v>0</v>
      </c>
      <c r="H363" s="39">
        <f>'Degree-days'!$N$12*IF($E363=$E$5,(H$5),(H$6))</f>
        <v>0</v>
      </c>
      <c r="I363" s="39">
        <f>'Degree-days'!$N$12*IF($E363=$E$5,(I$5),(I$6))</f>
        <v>0</v>
      </c>
      <c r="J363" s="39">
        <f>'Degree-days'!$N$12*IF($E363=$E$5,(J$5),(J$6))</f>
        <v>0</v>
      </c>
      <c r="K363" s="39">
        <f>'Degree-days'!$N$12*IF($E363=$E$5,(K$5),(K$6))</f>
        <v>0</v>
      </c>
      <c r="L363" s="39">
        <f>'Degree-days'!$N$12*IF($E363=$E$5,(L$5),(L$6))</f>
        <v>3.3559938227626214</v>
      </c>
      <c r="M363" s="39">
        <f>'Degree-days'!$N$12*IF($E363=$E$5,(M$5),(M$6))</f>
        <v>3.3559938227626214</v>
      </c>
      <c r="N363" s="39">
        <f>'Degree-days'!$N$12*IF($E363=$E$5,(N$5),(N$6))</f>
        <v>0</v>
      </c>
      <c r="O363" s="39">
        <f>'Degree-days'!$N$12*IF($E363=$E$5,(O$5),(O$6))</f>
        <v>0</v>
      </c>
      <c r="P363" s="39">
        <f>'Degree-days'!$N$12*IF($E363=$E$5,(P$5),(P$6))</f>
        <v>0</v>
      </c>
      <c r="Q363" s="39">
        <f>'Degree-days'!$N$12*IF($E363=$E$5,(Q$5),(Q$6))</f>
        <v>0</v>
      </c>
      <c r="R363" s="39">
        <f>'Degree-days'!$N$12*IF($E363=$E$5,(R$5),(R$6))</f>
        <v>0</v>
      </c>
      <c r="S363" s="39">
        <f>'Degree-days'!$N$12*IF($E363=$E$5,(S$5),(S$6))</f>
        <v>0</v>
      </c>
      <c r="T363" s="39">
        <f>'Degree-days'!$N$12*IF($E363=$E$5,(T$5),(T$6))</f>
        <v>0</v>
      </c>
      <c r="U363" s="39">
        <f>'Degree-days'!$N$12*IF($E363=$E$5,(U$5),(U$6))</f>
        <v>3.3559938227626214</v>
      </c>
      <c r="V363" s="39">
        <f>'Degree-days'!$N$12*IF($E363=$E$5,(V$5),(V$6))</f>
        <v>3.3559938227626214</v>
      </c>
      <c r="W363" s="39">
        <f>'Degree-days'!$N$12*IF($E363=$E$5,(W$5),(W$6))</f>
        <v>3.3559938227626214</v>
      </c>
      <c r="X363" s="39">
        <f>'Degree-days'!$N$12*IF($E363=$E$5,(X$5),(X$6))</f>
        <v>3.3559938227626214</v>
      </c>
      <c r="Y363" s="39">
        <f>'Degree-days'!$N$12*IF($E363=$E$5,(Y$5),(Y$6))</f>
        <v>3.3559938227626214</v>
      </c>
      <c r="Z363" s="39">
        <f>'Degree-days'!$N$12*IF($E363=$E$5,(Z$5),(Z$6))</f>
        <v>3.3559938227626214</v>
      </c>
      <c r="AA363" s="39">
        <f>'Degree-days'!$N$12*IF($E363=$E$5,(AA$5),(AA$6))</f>
        <v>3.3559938227626214</v>
      </c>
      <c r="AB363" s="39">
        <f>'Degree-days'!$N$12*IF($E363=$E$5,(AB$5),(AB$6))</f>
        <v>0</v>
      </c>
      <c r="AC363" s="39">
        <f>'Degree-days'!$N$12*IF($E363=$E$5,(AC$5),(AC$6))</f>
        <v>0</v>
      </c>
      <c r="AD363" s="39">
        <f t="shared" si="14"/>
        <v>30.203944404863588</v>
      </c>
    </row>
    <row r="364" spans="4:30" x14ac:dyDescent="0.2">
      <c r="D364" s="37">
        <v>45283</v>
      </c>
      <c r="E364" s="17" t="str">
        <f t="shared" si="13"/>
        <v>weekend</v>
      </c>
      <c r="F364" s="39">
        <f>'Degree-days'!$N$12*IF($E364=$E$5,(F$5),(F$6))</f>
        <v>0</v>
      </c>
      <c r="G364" s="39">
        <f>'Degree-days'!$N$12*IF($E364=$E$5,(G$5),(G$6))</f>
        <v>0</v>
      </c>
      <c r="H364" s="39">
        <f>'Degree-days'!$N$12*IF($E364=$E$5,(H$5),(H$6))</f>
        <v>0</v>
      </c>
      <c r="I364" s="39">
        <f>'Degree-days'!$N$12*IF($E364=$E$5,(I$5),(I$6))</f>
        <v>0</v>
      </c>
      <c r="J364" s="39">
        <f>'Degree-days'!$N$12*IF($E364=$E$5,(J$5),(J$6))</f>
        <v>0</v>
      </c>
      <c r="K364" s="39">
        <f>'Degree-days'!$N$12*IF($E364=$E$5,(K$5),(K$6))</f>
        <v>0</v>
      </c>
      <c r="L364" s="39">
        <f>'Degree-days'!$N$12*IF($E364=$E$5,(L$5),(L$6))</f>
        <v>3.3559938227626214</v>
      </c>
      <c r="M364" s="39">
        <f>'Degree-days'!$N$12*IF($E364=$E$5,(M$5),(M$6))</f>
        <v>3.3559938227626214</v>
      </c>
      <c r="N364" s="39">
        <f>'Degree-days'!$N$12*IF($E364=$E$5,(N$5),(N$6))</f>
        <v>3.3559938227626214</v>
      </c>
      <c r="O364" s="39">
        <f>'Degree-days'!$N$12*IF($E364=$E$5,(O$5),(O$6))</f>
        <v>3.3559938227626214</v>
      </c>
      <c r="P364" s="39">
        <f>'Degree-days'!$N$12*IF($E364=$E$5,(P$5),(P$6))</f>
        <v>3.3559938227626214</v>
      </c>
      <c r="Q364" s="39">
        <f>'Degree-days'!$N$12*IF($E364=$E$5,(Q$5),(Q$6))</f>
        <v>3.3559938227626214</v>
      </c>
      <c r="R364" s="39">
        <f>'Degree-days'!$N$12*IF($E364=$E$5,(R$5),(R$6))</f>
        <v>3.3559938227626214</v>
      </c>
      <c r="S364" s="39">
        <f>'Degree-days'!$N$12*IF($E364=$E$5,(S$5),(S$6))</f>
        <v>3.3559938227626214</v>
      </c>
      <c r="T364" s="39">
        <f>'Degree-days'!$N$12*IF($E364=$E$5,(T$5),(T$6))</f>
        <v>3.3559938227626214</v>
      </c>
      <c r="U364" s="39">
        <f>'Degree-days'!$N$12*IF($E364=$E$5,(U$5),(U$6))</f>
        <v>3.3559938227626214</v>
      </c>
      <c r="V364" s="39">
        <f>'Degree-days'!$N$12*IF($E364=$E$5,(V$5),(V$6))</f>
        <v>3.3559938227626214</v>
      </c>
      <c r="W364" s="39">
        <f>'Degree-days'!$N$12*IF($E364=$E$5,(W$5),(W$6))</f>
        <v>3.3559938227626214</v>
      </c>
      <c r="X364" s="39">
        <f>'Degree-days'!$N$12*IF($E364=$E$5,(X$5),(X$6))</f>
        <v>3.3559938227626214</v>
      </c>
      <c r="Y364" s="39">
        <f>'Degree-days'!$N$12*IF($E364=$E$5,(Y$5),(Y$6))</f>
        <v>3.3559938227626214</v>
      </c>
      <c r="Z364" s="39">
        <f>'Degree-days'!$N$12*IF($E364=$E$5,(Z$5),(Z$6))</f>
        <v>3.3559938227626214</v>
      </c>
      <c r="AA364" s="39">
        <f>'Degree-days'!$N$12*IF($E364=$E$5,(AA$5),(AA$6))</f>
        <v>3.3559938227626214</v>
      </c>
      <c r="AB364" s="39">
        <f>'Degree-days'!$N$12*IF($E364=$E$5,(AB$5),(AB$6))</f>
        <v>0</v>
      </c>
      <c r="AC364" s="39">
        <f>'Degree-days'!$N$12*IF($E364=$E$5,(AC$5),(AC$6))</f>
        <v>0</v>
      </c>
      <c r="AD364" s="39">
        <f t="shared" si="14"/>
        <v>53.695901164201935</v>
      </c>
    </row>
    <row r="365" spans="4:30" x14ac:dyDescent="0.2">
      <c r="D365" s="37">
        <v>45284</v>
      </c>
      <c r="E365" s="17" t="str">
        <f t="shared" si="13"/>
        <v>weekend</v>
      </c>
      <c r="F365" s="39">
        <f>'Degree-days'!$N$12*IF($E365=$E$5,(F$5),(F$6))</f>
        <v>0</v>
      </c>
      <c r="G365" s="39">
        <f>'Degree-days'!$N$12*IF($E365=$E$5,(G$5),(G$6))</f>
        <v>0</v>
      </c>
      <c r="H365" s="39">
        <f>'Degree-days'!$N$12*IF($E365=$E$5,(H$5),(H$6))</f>
        <v>0</v>
      </c>
      <c r="I365" s="39">
        <f>'Degree-days'!$N$12*IF($E365=$E$5,(I$5),(I$6))</f>
        <v>0</v>
      </c>
      <c r="J365" s="39">
        <f>'Degree-days'!$N$12*IF($E365=$E$5,(J$5),(J$6))</f>
        <v>0</v>
      </c>
      <c r="K365" s="39">
        <f>'Degree-days'!$N$12*IF($E365=$E$5,(K$5),(K$6))</f>
        <v>0</v>
      </c>
      <c r="L365" s="39">
        <f>'Degree-days'!$N$12*IF($E365=$E$5,(L$5),(L$6))</f>
        <v>3.3559938227626214</v>
      </c>
      <c r="M365" s="39">
        <f>'Degree-days'!$N$12*IF($E365=$E$5,(M$5),(M$6))</f>
        <v>3.3559938227626214</v>
      </c>
      <c r="N365" s="39">
        <f>'Degree-days'!$N$12*IF($E365=$E$5,(N$5),(N$6))</f>
        <v>3.3559938227626214</v>
      </c>
      <c r="O365" s="39">
        <f>'Degree-days'!$N$12*IF($E365=$E$5,(O$5),(O$6))</f>
        <v>3.3559938227626214</v>
      </c>
      <c r="P365" s="39">
        <f>'Degree-days'!$N$12*IF($E365=$E$5,(P$5),(P$6))</f>
        <v>3.3559938227626214</v>
      </c>
      <c r="Q365" s="39">
        <f>'Degree-days'!$N$12*IF($E365=$E$5,(Q$5),(Q$6))</f>
        <v>3.3559938227626214</v>
      </c>
      <c r="R365" s="39">
        <f>'Degree-days'!$N$12*IF($E365=$E$5,(R$5),(R$6))</f>
        <v>3.3559938227626214</v>
      </c>
      <c r="S365" s="39">
        <f>'Degree-days'!$N$12*IF($E365=$E$5,(S$5),(S$6))</f>
        <v>3.3559938227626214</v>
      </c>
      <c r="T365" s="39">
        <f>'Degree-days'!$N$12*IF($E365=$E$5,(T$5),(T$6))</f>
        <v>3.3559938227626214</v>
      </c>
      <c r="U365" s="39">
        <f>'Degree-days'!$N$12*IF($E365=$E$5,(U$5),(U$6))</f>
        <v>3.3559938227626214</v>
      </c>
      <c r="V365" s="39">
        <f>'Degree-days'!$N$12*IF($E365=$E$5,(V$5),(V$6))</f>
        <v>3.3559938227626214</v>
      </c>
      <c r="W365" s="39">
        <f>'Degree-days'!$N$12*IF($E365=$E$5,(W$5),(W$6))</f>
        <v>3.3559938227626214</v>
      </c>
      <c r="X365" s="39">
        <f>'Degree-days'!$N$12*IF($E365=$E$5,(X$5),(X$6))</f>
        <v>3.3559938227626214</v>
      </c>
      <c r="Y365" s="39">
        <f>'Degree-days'!$N$12*IF($E365=$E$5,(Y$5),(Y$6))</f>
        <v>3.3559938227626214</v>
      </c>
      <c r="Z365" s="39">
        <f>'Degree-days'!$N$12*IF($E365=$E$5,(Z$5),(Z$6))</f>
        <v>3.3559938227626214</v>
      </c>
      <c r="AA365" s="39">
        <f>'Degree-days'!$N$12*IF($E365=$E$5,(AA$5),(AA$6))</f>
        <v>3.3559938227626214</v>
      </c>
      <c r="AB365" s="39">
        <f>'Degree-days'!$N$12*IF($E365=$E$5,(AB$5),(AB$6))</f>
        <v>0</v>
      </c>
      <c r="AC365" s="39">
        <f>'Degree-days'!$N$12*IF($E365=$E$5,(AC$5),(AC$6))</f>
        <v>0</v>
      </c>
      <c r="AD365" s="39">
        <f t="shared" si="14"/>
        <v>53.695901164201935</v>
      </c>
    </row>
    <row r="366" spans="4:30" x14ac:dyDescent="0.2">
      <c r="D366" s="37">
        <v>45285</v>
      </c>
      <c r="E366" s="17" t="str">
        <f t="shared" si="13"/>
        <v>weekday</v>
      </c>
      <c r="F366" s="39">
        <f>'Degree-days'!$N$12*IF($E366=$E$5,(F$5),(F$6))</f>
        <v>0</v>
      </c>
      <c r="G366" s="39">
        <f>'Degree-days'!$N$12*IF($E366=$E$5,(G$5),(G$6))</f>
        <v>0</v>
      </c>
      <c r="H366" s="39">
        <f>'Degree-days'!$N$12*IF($E366=$E$5,(H$5),(H$6))</f>
        <v>0</v>
      </c>
      <c r="I366" s="39">
        <f>'Degree-days'!$N$12*IF($E366=$E$5,(I$5),(I$6))</f>
        <v>0</v>
      </c>
      <c r="J366" s="39">
        <f>'Degree-days'!$N$12*IF($E366=$E$5,(J$5),(J$6))</f>
        <v>0</v>
      </c>
      <c r="K366" s="39">
        <f>'Degree-days'!$N$12*IF($E366=$E$5,(K$5),(K$6))</f>
        <v>0</v>
      </c>
      <c r="L366" s="39">
        <f>'Degree-days'!$N$12*IF($E366=$E$5,(L$5),(L$6))</f>
        <v>3.3559938227626214</v>
      </c>
      <c r="M366" s="39">
        <f>'Degree-days'!$N$12*IF($E366=$E$5,(M$5),(M$6))</f>
        <v>3.3559938227626214</v>
      </c>
      <c r="N366" s="39">
        <f>'Degree-days'!$N$12*IF($E366=$E$5,(N$5),(N$6))</f>
        <v>0</v>
      </c>
      <c r="O366" s="39">
        <f>'Degree-days'!$N$12*IF($E366=$E$5,(O$5),(O$6))</f>
        <v>0</v>
      </c>
      <c r="P366" s="39">
        <f>'Degree-days'!$N$12*IF($E366=$E$5,(P$5),(P$6))</f>
        <v>0</v>
      </c>
      <c r="Q366" s="39">
        <f>'Degree-days'!$N$12*IF($E366=$E$5,(Q$5),(Q$6))</f>
        <v>0</v>
      </c>
      <c r="R366" s="39">
        <f>'Degree-days'!$N$12*IF($E366=$E$5,(R$5),(R$6))</f>
        <v>0</v>
      </c>
      <c r="S366" s="39">
        <f>'Degree-days'!$N$12*IF($E366=$E$5,(S$5),(S$6))</f>
        <v>0</v>
      </c>
      <c r="T366" s="39">
        <f>'Degree-days'!$N$12*IF($E366=$E$5,(T$5),(T$6))</f>
        <v>0</v>
      </c>
      <c r="U366" s="39">
        <f>'Degree-days'!$N$12*IF($E366=$E$5,(U$5),(U$6))</f>
        <v>3.3559938227626214</v>
      </c>
      <c r="V366" s="39">
        <f>'Degree-days'!$N$12*IF($E366=$E$5,(V$5),(V$6))</f>
        <v>3.3559938227626214</v>
      </c>
      <c r="W366" s="39">
        <f>'Degree-days'!$N$12*IF($E366=$E$5,(W$5),(W$6))</f>
        <v>3.3559938227626214</v>
      </c>
      <c r="X366" s="39">
        <f>'Degree-days'!$N$12*IF($E366=$E$5,(X$5),(X$6))</f>
        <v>3.3559938227626214</v>
      </c>
      <c r="Y366" s="39">
        <f>'Degree-days'!$N$12*IF($E366=$E$5,(Y$5),(Y$6))</f>
        <v>3.3559938227626214</v>
      </c>
      <c r="Z366" s="39">
        <f>'Degree-days'!$N$12*IF($E366=$E$5,(Z$5),(Z$6))</f>
        <v>3.3559938227626214</v>
      </c>
      <c r="AA366" s="39">
        <f>'Degree-days'!$N$12*IF($E366=$E$5,(AA$5),(AA$6))</f>
        <v>3.3559938227626214</v>
      </c>
      <c r="AB366" s="39">
        <f>'Degree-days'!$N$12*IF($E366=$E$5,(AB$5),(AB$6))</f>
        <v>0</v>
      </c>
      <c r="AC366" s="39">
        <f>'Degree-days'!$N$12*IF($E366=$E$5,(AC$5),(AC$6))</f>
        <v>0</v>
      </c>
      <c r="AD366" s="39">
        <f t="shared" si="14"/>
        <v>30.203944404863588</v>
      </c>
    </row>
    <row r="367" spans="4:30" x14ac:dyDescent="0.2">
      <c r="D367" s="37">
        <v>45286</v>
      </c>
      <c r="E367" s="17" t="str">
        <f t="shared" si="13"/>
        <v>weekday</v>
      </c>
      <c r="F367" s="39">
        <f>'Degree-days'!$N$12*IF($E367=$E$5,(F$5),(F$6))</f>
        <v>0</v>
      </c>
      <c r="G367" s="39">
        <f>'Degree-days'!$N$12*IF($E367=$E$5,(G$5),(G$6))</f>
        <v>0</v>
      </c>
      <c r="H367" s="39">
        <f>'Degree-days'!$N$12*IF($E367=$E$5,(H$5),(H$6))</f>
        <v>0</v>
      </c>
      <c r="I367" s="39">
        <f>'Degree-days'!$N$12*IF($E367=$E$5,(I$5),(I$6))</f>
        <v>0</v>
      </c>
      <c r="J367" s="39">
        <f>'Degree-days'!$N$12*IF($E367=$E$5,(J$5),(J$6))</f>
        <v>0</v>
      </c>
      <c r="K367" s="39">
        <f>'Degree-days'!$N$12*IF($E367=$E$5,(K$5),(K$6))</f>
        <v>0</v>
      </c>
      <c r="L367" s="39">
        <f>'Degree-days'!$N$12*IF($E367=$E$5,(L$5),(L$6))</f>
        <v>3.3559938227626214</v>
      </c>
      <c r="M367" s="39">
        <f>'Degree-days'!$N$12*IF($E367=$E$5,(M$5),(M$6))</f>
        <v>3.3559938227626214</v>
      </c>
      <c r="N367" s="39">
        <f>'Degree-days'!$N$12*IF($E367=$E$5,(N$5),(N$6))</f>
        <v>0</v>
      </c>
      <c r="O367" s="39">
        <f>'Degree-days'!$N$12*IF($E367=$E$5,(O$5),(O$6))</f>
        <v>0</v>
      </c>
      <c r="P367" s="39">
        <f>'Degree-days'!$N$12*IF($E367=$E$5,(P$5),(P$6))</f>
        <v>0</v>
      </c>
      <c r="Q367" s="39">
        <f>'Degree-days'!$N$12*IF($E367=$E$5,(Q$5),(Q$6))</f>
        <v>0</v>
      </c>
      <c r="R367" s="39">
        <f>'Degree-days'!$N$12*IF($E367=$E$5,(R$5),(R$6))</f>
        <v>0</v>
      </c>
      <c r="S367" s="39">
        <f>'Degree-days'!$N$12*IF($E367=$E$5,(S$5),(S$6))</f>
        <v>0</v>
      </c>
      <c r="T367" s="39">
        <f>'Degree-days'!$N$12*IF($E367=$E$5,(T$5),(T$6))</f>
        <v>0</v>
      </c>
      <c r="U367" s="39">
        <f>'Degree-days'!$N$12*IF($E367=$E$5,(U$5),(U$6))</f>
        <v>3.3559938227626214</v>
      </c>
      <c r="V367" s="39">
        <f>'Degree-days'!$N$12*IF($E367=$E$5,(V$5),(V$6))</f>
        <v>3.3559938227626214</v>
      </c>
      <c r="W367" s="39">
        <f>'Degree-days'!$N$12*IF($E367=$E$5,(W$5),(W$6))</f>
        <v>3.3559938227626214</v>
      </c>
      <c r="X367" s="39">
        <f>'Degree-days'!$N$12*IF($E367=$E$5,(X$5),(X$6))</f>
        <v>3.3559938227626214</v>
      </c>
      <c r="Y367" s="39">
        <f>'Degree-days'!$N$12*IF($E367=$E$5,(Y$5),(Y$6))</f>
        <v>3.3559938227626214</v>
      </c>
      <c r="Z367" s="39">
        <f>'Degree-days'!$N$12*IF($E367=$E$5,(Z$5),(Z$6))</f>
        <v>3.3559938227626214</v>
      </c>
      <c r="AA367" s="39">
        <f>'Degree-days'!$N$12*IF($E367=$E$5,(AA$5),(AA$6))</f>
        <v>3.3559938227626214</v>
      </c>
      <c r="AB367" s="39">
        <f>'Degree-days'!$N$12*IF($E367=$E$5,(AB$5),(AB$6))</f>
        <v>0</v>
      </c>
      <c r="AC367" s="39">
        <f>'Degree-days'!$N$12*IF($E367=$E$5,(AC$5),(AC$6))</f>
        <v>0</v>
      </c>
      <c r="AD367" s="39">
        <f t="shared" si="14"/>
        <v>30.203944404863588</v>
      </c>
    </row>
    <row r="368" spans="4:30" x14ac:dyDescent="0.2">
      <c r="D368" s="37">
        <v>45287</v>
      </c>
      <c r="E368" s="17" t="str">
        <f t="shared" si="13"/>
        <v>weekday</v>
      </c>
      <c r="F368" s="39">
        <f>'Degree-days'!$N$12*IF($E368=$E$5,(F$5),(F$6))</f>
        <v>0</v>
      </c>
      <c r="G368" s="39">
        <f>'Degree-days'!$N$12*IF($E368=$E$5,(G$5),(G$6))</f>
        <v>0</v>
      </c>
      <c r="H368" s="39">
        <f>'Degree-days'!$N$12*IF($E368=$E$5,(H$5),(H$6))</f>
        <v>0</v>
      </c>
      <c r="I368" s="39">
        <f>'Degree-days'!$N$12*IF($E368=$E$5,(I$5),(I$6))</f>
        <v>0</v>
      </c>
      <c r="J368" s="39">
        <f>'Degree-days'!$N$12*IF($E368=$E$5,(J$5),(J$6))</f>
        <v>0</v>
      </c>
      <c r="K368" s="39">
        <f>'Degree-days'!$N$12*IF($E368=$E$5,(K$5),(K$6))</f>
        <v>0</v>
      </c>
      <c r="L368" s="39">
        <f>'Degree-days'!$N$12*IF($E368=$E$5,(L$5),(L$6))</f>
        <v>3.3559938227626214</v>
      </c>
      <c r="M368" s="39">
        <f>'Degree-days'!$N$12*IF($E368=$E$5,(M$5),(M$6))</f>
        <v>3.3559938227626214</v>
      </c>
      <c r="N368" s="39">
        <f>'Degree-days'!$N$12*IF($E368=$E$5,(N$5),(N$6))</f>
        <v>0</v>
      </c>
      <c r="O368" s="39">
        <f>'Degree-days'!$N$12*IF($E368=$E$5,(O$5),(O$6))</f>
        <v>0</v>
      </c>
      <c r="P368" s="39">
        <f>'Degree-days'!$N$12*IF($E368=$E$5,(P$5),(P$6))</f>
        <v>0</v>
      </c>
      <c r="Q368" s="39">
        <f>'Degree-days'!$N$12*IF($E368=$E$5,(Q$5),(Q$6))</f>
        <v>0</v>
      </c>
      <c r="R368" s="39">
        <f>'Degree-days'!$N$12*IF($E368=$E$5,(R$5),(R$6))</f>
        <v>0</v>
      </c>
      <c r="S368" s="39">
        <f>'Degree-days'!$N$12*IF($E368=$E$5,(S$5),(S$6))</f>
        <v>0</v>
      </c>
      <c r="T368" s="39">
        <f>'Degree-days'!$N$12*IF($E368=$E$5,(T$5),(T$6))</f>
        <v>0</v>
      </c>
      <c r="U368" s="39">
        <f>'Degree-days'!$N$12*IF($E368=$E$5,(U$5),(U$6))</f>
        <v>3.3559938227626214</v>
      </c>
      <c r="V368" s="39">
        <f>'Degree-days'!$N$12*IF($E368=$E$5,(V$5),(V$6))</f>
        <v>3.3559938227626214</v>
      </c>
      <c r="W368" s="39">
        <f>'Degree-days'!$N$12*IF($E368=$E$5,(W$5),(W$6))</f>
        <v>3.3559938227626214</v>
      </c>
      <c r="X368" s="39">
        <f>'Degree-days'!$N$12*IF($E368=$E$5,(X$5),(X$6))</f>
        <v>3.3559938227626214</v>
      </c>
      <c r="Y368" s="39">
        <f>'Degree-days'!$N$12*IF($E368=$E$5,(Y$5),(Y$6))</f>
        <v>3.3559938227626214</v>
      </c>
      <c r="Z368" s="39">
        <f>'Degree-days'!$N$12*IF($E368=$E$5,(Z$5),(Z$6))</f>
        <v>3.3559938227626214</v>
      </c>
      <c r="AA368" s="39">
        <f>'Degree-days'!$N$12*IF($E368=$E$5,(AA$5),(AA$6))</f>
        <v>3.3559938227626214</v>
      </c>
      <c r="AB368" s="39">
        <f>'Degree-days'!$N$12*IF($E368=$E$5,(AB$5),(AB$6))</f>
        <v>0</v>
      </c>
      <c r="AC368" s="39">
        <f>'Degree-days'!$N$12*IF($E368=$E$5,(AC$5),(AC$6))</f>
        <v>0</v>
      </c>
      <c r="AD368" s="39">
        <f t="shared" si="14"/>
        <v>30.203944404863588</v>
      </c>
    </row>
    <row r="369" spans="4:32" x14ac:dyDescent="0.2">
      <c r="D369" s="37">
        <v>45288</v>
      </c>
      <c r="E369" s="17" t="str">
        <f t="shared" si="13"/>
        <v>weekday</v>
      </c>
      <c r="F369" s="39">
        <f>'Degree-days'!$N$12*IF($E369=$E$5,(F$5),(F$6))</f>
        <v>0</v>
      </c>
      <c r="G369" s="39">
        <f>'Degree-days'!$N$12*IF($E369=$E$5,(G$5),(G$6))</f>
        <v>0</v>
      </c>
      <c r="H369" s="39">
        <f>'Degree-days'!$N$12*IF($E369=$E$5,(H$5),(H$6))</f>
        <v>0</v>
      </c>
      <c r="I369" s="39">
        <f>'Degree-days'!$N$12*IF($E369=$E$5,(I$5),(I$6))</f>
        <v>0</v>
      </c>
      <c r="J369" s="39">
        <f>'Degree-days'!$N$12*IF($E369=$E$5,(J$5),(J$6))</f>
        <v>0</v>
      </c>
      <c r="K369" s="39">
        <f>'Degree-days'!$N$12*IF($E369=$E$5,(K$5),(K$6))</f>
        <v>0</v>
      </c>
      <c r="L369" s="39">
        <f>'Degree-days'!$N$12*IF($E369=$E$5,(L$5),(L$6))</f>
        <v>3.3559938227626214</v>
      </c>
      <c r="M369" s="39">
        <f>'Degree-days'!$N$12*IF($E369=$E$5,(M$5),(M$6))</f>
        <v>3.3559938227626214</v>
      </c>
      <c r="N369" s="39">
        <f>'Degree-days'!$N$12*IF($E369=$E$5,(N$5),(N$6))</f>
        <v>0</v>
      </c>
      <c r="O369" s="39">
        <f>'Degree-days'!$N$12*IF($E369=$E$5,(O$5),(O$6))</f>
        <v>0</v>
      </c>
      <c r="P369" s="39">
        <f>'Degree-days'!$N$12*IF($E369=$E$5,(P$5),(P$6))</f>
        <v>0</v>
      </c>
      <c r="Q369" s="39">
        <f>'Degree-days'!$N$12*IF($E369=$E$5,(Q$5),(Q$6))</f>
        <v>0</v>
      </c>
      <c r="R369" s="39">
        <f>'Degree-days'!$N$12*IF($E369=$E$5,(R$5),(R$6))</f>
        <v>0</v>
      </c>
      <c r="S369" s="39">
        <f>'Degree-days'!$N$12*IF($E369=$E$5,(S$5),(S$6))</f>
        <v>0</v>
      </c>
      <c r="T369" s="39">
        <f>'Degree-days'!$N$12*IF($E369=$E$5,(T$5),(T$6))</f>
        <v>0</v>
      </c>
      <c r="U369" s="39">
        <f>'Degree-days'!$N$12*IF($E369=$E$5,(U$5),(U$6))</f>
        <v>3.3559938227626214</v>
      </c>
      <c r="V369" s="39">
        <f>'Degree-days'!$N$12*IF($E369=$E$5,(V$5),(V$6))</f>
        <v>3.3559938227626214</v>
      </c>
      <c r="W369" s="39">
        <f>'Degree-days'!$N$12*IF($E369=$E$5,(W$5),(W$6))</f>
        <v>3.3559938227626214</v>
      </c>
      <c r="X369" s="39">
        <f>'Degree-days'!$N$12*IF($E369=$E$5,(X$5),(X$6))</f>
        <v>3.3559938227626214</v>
      </c>
      <c r="Y369" s="39">
        <f>'Degree-days'!$N$12*IF($E369=$E$5,(Y$5),(Y$6))</f>
        <v>3.3559938227626214</v>
      </c>
      <c r="Z369" s="39">
        <f>'Degree-days'!$N$12*IF($E369=$E$5,(Z$5),(Z$6))</f>
        <v>3.3559938227626214</v>
      </c>
      <c r="AA369" s="39">
        <f>'Degree-days'!$N$12*IF($E369=$E$5,(AA$5),(AA$6))</f>
        <v>3.3559938227626214</v>
      </c>
      <c r="AB369" s="39">
        <f>'Degree-days'!$N$12*IF($E369=$E$5,(AB$5),(AB$6))</f>
        <v>0</v>
      </c>
      <c r="AC369" s="39">
        <f>'Degree-days'!$N$12*IF($E369=$E$5,(AC$5),(AC$6))</f>
        <v>0</v>
      </c>
      <c r="AD369" s="39">
        <f t="shared" si="14"/>
        <v>30.203944404863588</v>
      </c>
    </row>
    <row r="370" spans="4:32" x14ac:dyDescent="0.2">
      <c r="D370" s="37">
        <v>45289</v>
      </c>
      <c r="E370" s="17" t="str">
        <f t="shared" si="13"/>
        <v>weekday</v>
      </c>
      <c r="F370" s="39">
        <f>'Degree-days'!$N$12*IF($E370=$E$5,(F$5),(F$6))</f>
        <v>0</v>
      </c>
      <c r="G370" s="39">
        <f>'Degree-days'!$N$12*IF($E370=$E$5,(G$5),(G$6))</f>
        <v>0</v>
      </c>
      <c r="H370" s="39">
        <f>'Degree-days'!$N$12*IF($E370=$E$5,(H$5),(H$6))</f>
        <v>0</v>
      </c>
      <c r="I370" s="39">
        <f>'Degree-days'!$N$12*IF($E370=$E$5,(I$5),(I$6))</f>
        <v>0</v>
      </c>
      <c r="J370" s="39">
        <f>'Degree-days'!$N$12*IF($E370=$E$5,(J$5),(J$6))</f>
        <v>0</v>
      </c>
      <c r="K370" s="39">
        <f>'Degree-days'!$N$12*IF($E370=$E$5,(K$5),(K$6))</f>
        <v>0</v>
      </c>
      <c r="L370" s="39">
        <f>'Degree-days'!$N$12*IF($E370=$E$5,(L$5),(L$6))</f>
        <v>3.3559938227626214</v>
      </c>
      <c r="M370" s="39">
        <f>'Degree-days'!$N$12*IF($E370=$E$5,(M$5),(M$6))</f>
        <v>3.3559938227626214</v>
      </c>
      <c r="N370" s="39">
        <f>'Degree-days'!$N$12*IF($E370=$E$5,(N$5),(N$6))</f>
        <v>0</v>
      </c>
      <c r="O370" s="39">
        <f>'Degree-days'!$N$12*IF($E370=$E$5,(O$5),(O$6))</f>
        <v>0</v>
      </c>
      <c r="P370" s="39">
        <f>'Degree-days'!$N$12*IF($E370=$E$5,(P$5),(P$6))</f>
        <v>0</v>
      </c>
      <c r="Q370" s="39">
        <f>'Degree-days'!$N$12*IF($E370=$E$5,(Q$5),(Q$6))</f>
        <v>0</v>
      </c>
      <c r="R370" s="39">
        <f>'Degree-days'!$N$12*IF($E370=$E$5,(R$5),(R$6))</f>
        <v>0</v>
      </c>
      <c r="S370" s="39">
        <f>'Degree-days'!$N$12*IF($E370=$E$5,(S$5),(S$6))</f>
        <v>0</v>
      </c>
      <c r="T370" s="39">
        <f>'Degree-days'!$N$12*IF($E370=$E$5,(T$5),(T$6))</f>
        <v>0</v>
      </c>
      <c r="U370" s="39">
        <f>'Degree-days'!$N$12*IF($E370=$E$5,(U$5),(U$6))</f>
        <v>3.3559938227626214</v>
      </c>
      <c r="V370" s="39">
        <f>'Degree-days'!$N$12*IF($E370=$E$5,(V$5),(V$6))</f>
        <v>3.3559938227626214</v>
      </c>
      <c r="W370" s="39">
        <f>'Degree-days'!$N$12*IF($E370=$E$5,(W$5),(W$6))</f>
        <v>3.3559938227626214</v>
      </c>
      <c r="X370" s="39">
        <f>'Degree-days'!$N$12*IF($E370=$E$5,(X$5),(X$6))</f>
        <v>3.3559938227626214</v>
      </c>
      <c r="Y370" s="39">
        <f>'Degree-days'!$N$12*IF($E370=$E$5,(Y$5),(Y$6))</f>
        <v>3.3559938227626214</v>
      </c>
      <c r="Z370" s="39">
        <f>'Degree-days'!$N$12*IF($E370=$E$5,(Z$5),(Z$6))</f>
        <v>3.3559938227626214</v>
      </c>
      <c r="AA370" s="39">
        <f>'Degree-days'!$N$12*IF($E370=$E$5,(AA$5),(AA$6))</f>
        <v>3.3559938227626214</v>
      </c>
      <c r="AB370" s="39">
        <f>'Degree-days'!$N$12*IF($E370=$E$5,(AB$5),(AB$6))</f>
        <v>0</v>
      </c>
      <c r="AC370" s="39">
        <f>'Degree-days'!$N$12*IF($E370=$E$5,(AC$5),(AC$6))</f>
        <v>0</v>
      </c>
      <c r="AD370" s="39">
        <f t="shared" si="14"/>
        <v>30.203944404863588</v>
      </c>
    </row>
    <row r="371" spans="4:32" x14ac:dyDescent="0.2">
      <c r="D371" s="37">
        <v>45290</v>
      </c>
      <c r="E371" s="17" t="str">
        <f t="shared" si="13"/>
        <v>weekend</v>
      </c>
      <c r="F371" s="39">
        <f>'Degree-days'!$N$12*IF($E371=$E$5,(F$5),(F$6))</f>
        <v>0</v>
      </c>
      <c r="G371" s="39">
        <f>'Degree-days'!$N$12*IF($E371=$E$5,(G$5),(G$6))</f>
        <v>0</v>
      </c>
      <c r="H371" s="39">
        <f>'Degree-days'!$N$12*IF($E371=$E$5,(H$5),(H$6))</f>
        <v>0</v>
      </c>
      <c r="I371" s="39">
        <f>'Degree-days'!$N$12*IF($E371=$E$5,(I$5),(I$6))</f>
        <v>0</v>
      </c>
      <c r="J371" s="39">
        <f>'Degree-days'!$N$12*IF($E371=$E$5,(J$5),(J$6))</f>
        <v>0</v>
      </c>
      <c r="K371" s="39">
        <f>'Degree-days'!$N$12*IF($E371=$E$5,(K$5),(K$6))</f>
        <v>0</v>
      </c>
      <c r="L371" s="39">
        <f>'Degree-days'!$N$12*IF($E371=$E$5,(L$5),(L$6))</f>
        <v>3.3559938227626214</v>
      </c>
      <c r="M371" s="39">
        <f>'Degree-days'!$N$12*IF($E371=$E$5,(M$5),(M$6))</f>
        <v>3.3559938227626214</v>
      </c>
      <c r="N371" s="39">
        <f>'Degree-days'!$N$12*IF($E371=$E$5,(N$5),(N$6))</f>
        <v>3.3559938227626214</v>
      </c>
      <c r="O371" s="39">
        <f>'Degree-days'!$N$12*IF($E371=$E$5,(O$5),(O$6))</f>
        <v>3.3559938227626214</v>
      </c>
      <c r="P371" s="39">
        <f>'Degree-days'!$N$12*IF($E371=$E$5,(P$5),(P$6))</f>
        <v>3.3559938227626214</v>
      </c>
      <c r="Q371" s="39">
        <f>'Degree-days'!$N$12*IF($E371=$E$5,(Q$5),(Q$6))</f>
        <v>3.3559938227626214</v>
      </c>
      <c r="R371" s="39">
        <f>'Degree-days'!$N$12*IF($E371=$E$5,(R$5),(R$6))</f>
        <v>3.3559938227626214</v>
      </c>
      <c r="S371" s="39">
        <f>'Degree-days'!$N$12*IF($E371=$E$5,(S$5),(S$6))</f>
        <v>3.3559938227626214</v>
      </c>
      <c r="T371" s="39">
        <f>'Degree-days'!$N$12*IF($E371=$E$5,(T$5),(T$6))</f>
        <v>3.3559938227626214</v>
      </c>
      <c r="U371" s="39">
        <f>'Degree-days'!$N$12*IF($E371=$E$5,(U$5),(U$6))</f>
        <v>3.3559938227626214</v>
      </c>
      <c r="V371" s="39">
        <f>'Degree-days'!$N$12*IF($E371=$E$5,(V$5),(V$6))</f>
        <v>3.3559938227626214</v>
      </c>
      <c r="W371" s="39">
        <f>'Degree-days'!$N$12*IF($E371=$E$5,(W$5),(W$6))</f>
        <v>3.3559938227626214</v>
      </c>
      <c r="X371" s="39">
        <f>'Degree-days'!$N$12*IF($E371=$E$5,(X$5),(X$6))</f>
        <v>3.3559938227626214</v>
      </c>
      <c r="Y371" s="39">
        <f>'Degree-days'!$N$12*IF($E371=$E$5,(Y$5),(Y$6))</f>
        <v>3.3559938227626214</v>
      </c>
      <c r="Z371" s="39">
        <f>'Degree-days'!$N$12*IF($E371=$E$5,(Z$5),(Z$6))</f>
        <v>3.3559938227626214</v>
      </c>
      <c r="AA371" s="39">
        <f>'Degree-days'!$N$12*IF($E371=$E$5,(AA$5),(AA$6))</f>
        <v>3.3559938227626214</v>
      </c>
      <c r="AB371" s="39">
        <f>'Degree-days'!$N$12*IF($E371=$E$5,(AB$5),(AB$6))</f>
        <v>0</v>
      </c>
      <c r="AC371" s="39">
        <f>'Degree-days'!$N$12*IF($E371=$E$5,(AC$5),(AC$6))</f>
        <v>0</v>
      </c>
      <c r="AD371" s="39">
        <f t="shared" si="14"/>
        <v>53.695901164201935</v>
      </c>
    </row>
    <row r="372" spans="4:32" x14ac:dyDescent="0.2">
      <c r="D372" s="37">
        <v>45291</v>
      </c>
      <c r="E372" s="17" t="str">
        <f t="shared" si="13"/>
        <v>weekend</v>
      </c>
      <c r="F372" s="39">
        <f>'Degree-days'!$N$12*IF($E372=$E$5,(F$5),(F$6))</f>
        <v>0</v>
      </c>
      <c r="G372" s="39">
        <f>'Degree-days'!$N$12*IF($E372=$E$5,(G$5),(G$6))</f>
        <v>0</v>
      </c>
      <c r="H372" s="39">
        <f>'Degree-days'!$N$12*IF($E372=$E$5,(H$5),(H$6))</f>
        <v>0</v>
      </c>
      <c r="I372" s="39">
        <f>'Degree-days'!$N$12*IF($E372=$E$5,(I$5),(I$6))</f>
        <v>0</v>
      </c>
      <c r="J372" s="39">
        <f>'Degree-days'!$N$12*IF($E372=$E$5,(J$5),(J$6))</f>
        <v>0</v>
      </c>
      <c r="K372" s="39">
        <f>'Degree-days'!$N$12*IF($E372=$E$5,(K$5),(K$6))</f>
        <v>0</v>
      </c>
      <c r="L372" s="39">
        <f>'Degree-days'!$N$12*IF($E372=$E$5,(L$5),(L$6))</f>
        <v>3.3559938227626214</v>
      </c>
      <c r="M372" s="39">
        <f>'Degree-days'!$N$12*IF($E372=$E$5,(M$5),(M$6))</f>
        <v>3.3559938227626214</v>
      </c>
      <c r="N372" s="39">
        <f>'Degree-days'!$N$12*IF($E372=$E$5,(N$5),(N$6))</f>
        <v>3.3559938227626214</v>
      </c>
      <c r="O372" s="39">
        <f>'Degree-days'!$N$12*IF($E372=$E$5,(O$5),(O$6))</f>
        <v>3.3559938227626214</v>
      </c>
      <c r="P372" s="39">
        <f>'Degree-days'!$N$12*IF($E372=$E$5,(P$5),(P$6))</f>
        <v>3.3559938227626214</v>
      </c>
      <c r="Q372" s="39">
        <f>'Degree-days'!$N$12*IF($E372=$E$5,(Q$5),(Q$6))</f>
        <v>3.3559938227626214</v>
      </c>
      <c r="R372" s="39">
        <f>'Degree-days'!$N$12*IF($E372=$E$5,(R$5),(R$6))</f>
        <v>3.3559938227626214</v>
      </c>
      <c r="S372" s="39">
        <f>'Degree-days'!$N$12*IF($E372=$E$5,(S$5),(S$6))</f>
        <v>3.3559938227626214</v>
      </c>
      <c r="T372" s="39">
        <f>'Degree-days'!$N$12*IF($E372=$E$5,(T$5),(T$6))</f>
        <v>3.3559938227626214</v>
      </c>
      <c r="U372" s="39">
        <f>'Degree-days'!$N$12*IF($E372=$E$5,(U$5),(U$6))</f>
        <v>3.3559938227626214</v>
      </c>
      <c r="V372" s="39">
        <f>'Degree-days'!$N$12*IF($E372=$E$5,(V$5),(V$6))</f>
        <v>3.3559938227626214</v>
      </c>
      <c r="W372" s="39">
        <f>'Degree-days'!$N$12*IF($E372=$E$5,(W$5),(W$6))</f>
        <v>3.3559938227626214</v>
      </c>
      <c r="X372" s="39">
        <f>'Degree-days'!$N$12*IF($E372=$E$5,(X$5),(X$6))</f>
        <v>3.3559938227626214</v>
      </c>
      <c r="Y372" s="39">
        <f>'Degree-days'!$N$12*IF($E372=$E$5,(Y$5),(Y$6))</f>
        <v>3.3559938227626214</v>
      </c>
      <c r="Z372" s="39">
        <f>'Degree-days'!$N$12*IF($E372=$E$5,(Z$5),(Z$6))</f>
        <v>3.3559938227626214</v>
      </c>
      <c r="AA372" s="39">
        <f>'Degree-days'!$N$12*IF($E372=$E$5,(AA$5),(AA$6))</f>
        <v>3.3559938227626214</v>
      </c>
      <c r="AB372" s="39">
        <f>'Degree-days'!$N$12*IF($E372=$E$5,(AB$5),(AB$6))</f>
        <v>0</v>
      </c>
      <c r="AC372" s="39">
        <f>'Degree-days'!$N$12*IF($E372=$E$5,(AC$5),(AC$6))</f>
        <v>0</v>
      </c>
      <c r="AD372" s="39">
        <f t="shared" si="14"/>
        <v>53.695901164201935</v>
      </c>
      <c r="AE372" s="40">
        <f>SUM(AD342:AD372)</f>
        <v>1171.2418441441548</v>
      </c>
      <c r="AF372" s="35">
        <f>'Degree-days'!N11</f>
        <v>1171.2418441441548</v>
      </c>
    </row>
    <row r="373" spans="4:32" x14ac:dyDescent="0.2">
      <c r="D373" s="35"/>
      <c r="E373" s="38"/>
      <c r="AC373" s="17" t="s">
        <v>48</v>
      </c>
      <c r="AD373" s="17">
        <f>SUM(AD8:AD372)</f>
        <v>7527.0000000000082</v>
      </c>
      <c r="AE373" s="40">
        <f>SUM(AE372,AE341,AE311,AE280,AE250,AE219,AE188,AE158,AE127,AE97,AE66,AE38)</f>
        <v>7527.0000000000027</v>
      </c>
      <c r="AF373">
        <f>SUM(AF8:AF372)</f>
        <v>7527.0000000000009</v>
      </c>
    </row>
    <row r="374" spans="4:32" x14ac:dyDescent="0.2">
      <c r="D374" s="35"/>
      <c r="E374" s="38"/>
    </row>
    <row r="375" spans="4:32" x14ac:dyDescent="0.2">
      <c r="D375" s="35"/>
      <c r="E375" s="38"/>
      <c r="AE375" s="40"/>
    </row>
    <row r="376" spans="4:32" x14ac:dyDescent="0.2">
      <c r="D376" s="35"/>
      <c r="E376" s="3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87F91-98BE-8B43-9769-C5EDADCA6411}">
  <sheetPr codeName="Sheet6"/>
  <dimension ref="B2:O29"/>
  <sheetViews>
    <sheetView workbookViewId="0">
      <selection activeCell="D4" sqref="D4"/>
    </sheetView>
  </sheetViews>
  <sheetFormatPr baseColWidth="10" defaultRowHeight="16" x14ac:dyDescent="0.2"/>
  <sheetData>
    <row r="2" spans="2:15" s="29" customFormat="1" x14ac:dyDescent="0.2">
      <c r="C2" s="133" t="s">
        <v>60</v>
      </c>
      <c r="D2" s="133"/>
      <c r="E2" s="133"/>
      <c r="F2" s="133"/>
      <c r="G2" s="133" t="s">
        <v>61</v>
      </c>
      <c r="H2" s="133"/>
      <c r="I2" s="133"/>
      <c r="J2" s="133"/>
      <c r="K2" s="36"/>
      <c r="L2" s="133" t="s">
        <v>62</v>
      </c>
      <c r="M2" s="133"/>
      <c r="N2" s="133"/>
      <c r="O2" s="133"/>
    </row>
    <row r="3" spans="2:15" s="25" customFormat="1" ht="85" x14ac:dyDescent="0.2">
      <c r="D3" s="45" t="str">
        <f>'Degree-days'!C14</f>
        <v>Winter
(Dec to Feb)</v>
      </c>
      <c r="E3" s="45" t="str">
        <f>'Degree-days'!D14</f>
        <v>Spring/Autumn
(Mar to May, Sep to Nov)</v>
      </c>
      <c r="F3" s="45" t="str">
        <f>'Degree-days'!E14</f>
        <v>Summer
(Jun to Aug)</v>
      </c>
      <c r="G3" s="45"/>
      <c r="H3" s="45" t="str">
        <f t="shared" ref="H3:J4" si="0">D3</f>
        <v>Winter
(Dec to Feb)</v>
      </c>
      <c r="I3" s="45" t="str">
        <f t="shared" si="0"/>
        <v>Spring/Autumn
(Mar to May, Sep to Nov)</v>
      </c>
      <c r="J3" s="45" t="str">
        <f t="shared" si="0"/>
        <v>Summer
(Jun to Aug)</v>
      </c>
      <c r="K3" s="45"/>
      <c r="L3" s="45" t="str">
        <f>D3</f>
        <v>Winter
(Dec to Feb)</v>
      </c>
      <c r="M3" s="45" t="str">
        <f>E3</f>
        <v>Spring/Autumn
(Mar to May, Sep to Nov)</v>
      </c>
      <c r="N3" s="45" t="str">
        <f>F3</f>
        <v>Summer
(Jun to Aug)</v>
      </c>
    </row>
    <row r="4" spans="2:15" s="25" customFormat="1" ht="34" x14ac:dyDescent="0.2">
      <c r="B4" s="25" t="s">
        <v>59</v>
      </c>
      <c r="C4" s="25" t="s">
        <v>64</v>
      </c>
      <c r="D4" s="49">
        <f>'Degree-days'!C19</f>
        <v>3.4332694957598457</v>
      </c>
      <c r="E4" s="49">
        <f>'Degree-days'!D19</f>
        <v>1.8717327794185254</v>
      </c>
      <c r="F4" s="49">
        <f>'Degree-days'!E19</f>
        <v>0.32981104388639787</v>
      </c>
      <c r="G4" s="49"/>
      <c r="H4" s="49">
        <f t="shared" si="0"/>
        <v>3.4332694957598457</v>
      </c>
      <c r="I4" s="49">
        <f t="shared" si="0"/>
        <v>1.8717327794185254</v>
      </c>
      <c r="J4" s="49">
        <f t="shared" si="0"/>
        <v>0.32981104388639787</v>
      </c>
      <c r="K4" s="49"/>
    </row>
    <row r="5" spans="2:15" s="25" customFormat="1" x14ac:dyDescent="0.2">
      <c r="D5" s="49"/>
      <c r="E5" s="49"/>
      <c r="F5" s="49"/>
      <c r="G5" s="49"/>
    </row>
    <row r="6" spans="2:15" x14ac:dyDescent="0.2">
      <c r="B6">
        <v>1</v>
      </c>
      <c r="C6" cm="1">
        <f t="array" ref="C6:C29">TRANSPOSE('Daily Heat Demand'!F5:AC5)</f>
        <v>0</v>
      </c>
      <c r="D6" s="40">
        <f>IF(C6=0,0,$D$4)</f>
        <v>0</v>
      </c>
      <c r="E6" s="40">
        <f>IF(C6=0,0,$E$4)</f>
        <v>0</v>
      </c>
      <c r="F6" s="40">
        <f>IF(C6=0,0,F$4)</f>
        <v>0</v>
      </c>
      <c r="G6" cm="1">
        <f t="array" ref="G6:G29">TRANSPOSE('Heat System Daily Operation'!F6:AC6)</f>
        <v>0</v>
      </c>
      <c r="H6" s="40">
        <f>IF(G6=0,0,$H$4)</f>
        <v>0</v>
      </c>
      <c r="I6" s="40">
        <f>IF(G6=0,0,$I$4)</f>
        <v>0</v>
      </c>
      <c r="J6" s="40">
        <f>IF(G6=0,0,$J$4)</f>
        <v>0</v>
      </c>
      <c r="K6" s="40"/>
    </row>
    <row r="7" spans="2:15" x14ac:dyDescent="0.2">
      <c r="B7">
        <v>2</v>
      </c>
      <c r="C7">
        <v>0</v>
      </c>
      <c r="D7" s="40">
        <f t="shared" ref="D7:D29" si="1">IF(C7=0,0,$D$4)</f>
        <v>0</v>
      </c>
      <c r="E7" s="40">
        <f t="shared" ref="E7:E29" si="2">IF(C7=0,0,$E$4)</f>
        <v>0</v>
      </c>
      <c r="F7" s="40">
        <f t="shared" ref="F7:F29" si="3">IF(C7=0,0,F$4)</f>
        <v>0</v>
      </c>
      <c r="G7">
        <v>0</v>
      </c>
      <c r="H7" s="40">
        <f t="shared" ref="H7:H29" si="4">IF(G7=0,0,$H$4)</f>
        <v>0</v>
      </c>
      <c r="I7" s="40">
        <f t="shared" ref="I7:I29" si="5">IF(G7=0,0,$I$4)</f>
        <v>0</v>
      </c>
      <c r="J7" s="40">
        <f t="shared" ref="J7:J29" si="6">IF(G7=0,0,$J$4)</f>
        <v>0</v>
      </c>
      <c r="K7" s="40"/>
    </row>
    <row r="8" spans="2:15" x14ac:dyDescent="0.2">
      <c r="B8">
        <v>3</v>
      </c>
      <c r="C8">
        <v>0</v>
      </c>
      <c r="D8" s="40">
        <f t="shared" si="1"/>
        <v>0</v>
      </c>
      <c r="E8" s="40">
        <f t="shared" si="2"/>
        <v>0</v>
      </c>
      <c r="F8" s="40">
        <f t="shared" si="3"/>
        <v>0</v>
      </c>
      <c r="G8">
        <v>0</v>
      </c>
      <c r="H8" s="40">
        <f t="shared" si="4"/>
        <v>0</v>
      </c>
      <c r="I8" s="40">
        <f t="shared" si="5"/>
        <v>0</v>
      </c>
      <c r="J8" s="40">
        <f t="shared" si="6"/>
        <v>0</v>
      </c>
      <c r="K8" s="40"/>
    </row>
    <row r="9" spans="2:15" x14ac:dyDescent="0.2">
      <c r="B9">
        <v>4</v>
      </c>
      <c r="C9">
        <v>0</v>
      </c>
      <c r="D9" s="40">
        <f t="shared" si="1"/>
        <v>0</v>
      </c>
      <c r="E9" s="40">
        <f t="shared" si="2"/>
        <v>0</v>
      </c>
      <c r="F9" s="40">
        <f t="shared" si="3"/>
        <v>0</v>
      </c>
      <c r="G9">
        <v>0</v>
      </c>
      <c r="H9" s="40">
        <f t="shared" si="4"/>
        <v>0</v>
      </c>
      <c r="I9" s="40">
        <f t="shared" si="5"/>
        <v>0</v>
      </c>
      <c r="J9" s="40">
        <f t="shared" si="6"/>
        <v>0</v>
      </c>
      <c r="K9" s="40"/>
    </row>
    <row r="10" spans="2:15" x14ac:dyDescent="0.2">
      <c r="B10">
        <v>5</v>
      </c>
      <c r="C10">
        <v>0</v>
      </c>
      <c r="D10" s="40">
        <f t="shared" si="1"/>
        <v>0</v>
      </c>
      <c r="E10" s="40">
        <f t="shared" si="2"/>
        <v>0</v>
      </c>
      <c r="F10" s="40">
        <f t="shared" si="3"/>
        <v>0</v>
      </c>
      <c r="G10">
        <v>0</v>
      </c>
      <c r="H10" s="40">
        <f t="shared" si="4"/>
        <v>0</v>
      </c>
      <c r="I10" s="40">
        <f t="shared" si="5"/>
        <v>0</v>
      </c>
      <c r="J10" s="40">
        <f t="shared" si="6"/>
        <v>0</v>
      </c>
      <c r="K10" s="40"/>
    </row>
    <row r="11" spans="2:15" x14ac:dyDescent="0.2">
      <c r="B11">
        <v>6</v>
      </c>
      <c r="C11">
        <v>0</v>
      </c>
      <c r="D11" s="40">
        <f t="shared" si="1"/>
        <v>0</v>
      </c>
      <c r="E11" s="40">
        <f t="shared" si="2"/>
        <v>0</v>
      </c>
      <c r="F11" s="40">
        <f t="shared" si="3"/>
        <v>0</v>
      </c>
      <c r="G11">
        <v>0</v>
      </c>
      <c r="H11" s="40">
        <f t="shared" si="4"/>
        <v>0</v>
      </c>
      <c r="I11" s="40">
        <f t="shared" si="5"/>
        <v>0</v>
      </c>
      <c r="J11" s="40">
        <f t="shared" si="6"/>
        <v>0</v>
      </c>
      <c r="K11" s="40"/>
    </row>
    <row r="12" spans="2:15" x14ac:dyDescent="0.2">
      <c r="B12">
        <v>7</v>
      </c>
      <c r="C12">
        <v>1</v>
      </c>
      <c r="D12" s="40">
        <f t="shared" si="1"/>
        <v>3.4332694957598457</v>
      </c>
      <c r="E12" s="40">
        <f t="shared" si="2"/>
        <v>1.8717327794185254</v>
      </c>
      <c r="F12" s="40">
        <f t="shared" si="3"/>
        <v>0.32981104388639787</v>
      </c>
      <c r="G12">
        <v>1</v>
      </c>
      <c r="H12" s="40">
        <f t="shared" si="4"/>
        <v>3.4332694957598457</v>
      </c>
      <c r="I12" s="40">
        <f t="shared" si="5"/>
        <v>1.8717327794185254</v>
      </c>
      <c r="J12" s="40">
        <f t="shared" si="6"/>
        <v>0.32981104388639787</v>
      </c>
      <c r="K12" s="40"/>
    </row>
    <row r="13" spans="2:15" x14ac:dyDescent="0.2">
      <c r="B13">
        <v>8</v>
      </c>
      <c r="C13">
        <v>1</v>
      </c>
      <c r="D13" s="40">
        <f t="shared" si="1"/>
        <v>3.4332694957598457</v>
      </c>
      <c r="E13" s="40">
        <f t="shared" si="2"/>
        <v>1.8717327794185254</v>
      </c>
      <c r="F13" s="40">
        <f t="shared" si="3"/>
        <v>0.32981104388639787</v>
      </c>
      <c r="G13">
        <v>1</v>
      </c>
      <c r="H13" s="40">
        <f t="shared" si="4"/>
        <v>3.4332694957598457</v>
      </c>
      <c r="I13" s="40">
        <f t="shared" si="5"/>
        <v>1.8717327794185254</v>
      </c>
      <c r="J13" s="40">
        <f t="shared" si="6"/>
        <v>0.32981104388639787</v>
      </c>
      <c r="K13" s="40"/>
    </row>
    <row r="14" spans="2:15" x14ac:dyDescent="0.2">
      <c r="B14">
        <v>9</v>
      </c>
      <c r="C14">
        <v>1</v>
      </c>
      <c r="D14" s="40">
        <f t="shared" si="1"/>
        <v>3.4332694957598457</v>
      </c>
      <c r="E14" s="40">
        <f t="shared" si="2"/>
        <v>1.8717327794185254</v>
      </c>
      <c r="F14" s="40">
        <f t="shared" si="3"/>
        <v>0.32981104388639787</v>
      </c>
      <c r="G14">
        <v>0</v>
      </c>
      <c r="H14" s="40">
        <f t="shared" si="4"/>
        <v>0</v>
      </c>
      <c r="I14" s="40">
        <f t="shared" si="5"/>
        <v>0</v>
      </c>
      <c r="J14" s="40">
        <f t="shared" si="6"/>
        <v>0</v>
      </c>
      <c r="K14" s="40"/>
    </row>
    <row r="15" spans="2:15" x14ac:dyDescent="0.2">
      <c r="B15">
        <v>10</v>
      </c>
      <c r="C15">
        <v>1</v>
      </c>
      <c r="D15" s="40">
        <f t="shared" si="1"/>
        <v>3.4332694957598457</v>
      </c>
      <c r="E15" s="40">
        <f t="shared" si="2"/>
        <v>1.8717327794185254</v>
      </c>
      <c r="F15" s="40">
        <f t="shared" si="3"/>
        <v>0.32981104388639787</v>
      </c>
      <c r="G15">
        <v>0</v>
      </c>
      <c r="H15" s="40">
        <f t="shared" si="4"/>
        <v>0</v>
      </c>
      <c r="I15" s="40">
        <f t="shared" si="5"/>
        <v>0</v>
      </c>
      <c r="J15" s="40">
        <f t="shared" si="6"/>
        <v>0</v>
      </c>
      <c r="K15" s="40"/>
    </row>
    <row r="16" spans="2:15" x14ac:dyDescent="0.2">
      <c r="B16">
        <v>11</v>
      </c>
      <c r="C16">
        <v>1</v>
      </c>
      <c r="D16" s="40">
        <f t="shared" si="1"/>
        <v>3.4332694957598457</v>
      </c>
      <c r="E16" s="40">
        <f t="shared" si="2"/>
        <v>1.8717327794185254</v>
      </c>
      <c r="F16" s="40">
        <f t="shared" si="3"/>
        <v>0.32981104388639787</v>
      </c>
      <c r="G16">
        <v>0</v>
      </c>
      <c r="H16" s="40">
        <f t="shared" si="4"/>
        <v>0</v>
      </c>
      <c r="I16" s="40">
        <f t="shared" si="5"/>
        <v>0</v>
      </c>
      <c r="J16" s="40">
        <f t="shared" si="6"/>
        <v>0</v>
      </c>
      <c r="K16" s="40"/>
    </row>
    <row r="17" spans="2:11" x14ac:dyDescent="0.2">
      <c r="B17">
        <v>12</v>
      </c>
      <c r="C17">
        <v>1</v>
      </c>
      <c r="D17" s="40">
        <f t="shared" si="1"/>
        <v>3.4332694957598457</v>
      </c>
      <c r="E17" s="40">
        <f t="shared" si="2"/>
        <v>1.8717327794185254</v>
      </c>
      <c r="F17" s="40">
        <f t="shared" si="3"/>
        <v>0.32981104388639787</v>
      </c>
      <c r="G17">
        <v>0</v>
      </c>
      <c r="H17" s="40">
        <f t="shared" si="4"/>
        <v>0</v>
      </c>
      <c r="I17" s="40">
        <f t="shared" si="5"/>
        <v>0</v>
      </c>
      <c r="J17" s="40">
        <f t="shared" si="6"/>
        <v>0</v>
      </c>
      <c r="K17" s="40"/>
    </row>
    <row r="18" spans="2:11" x14ac:dyDescent="0.2">
      <c r="B18">
        <v>13</v>
      </c>
      <c r="C18">
        <v>1</v>
      </c>
      <c r="D18" s="40">
        <f t="shared" si="1"/>
        <v>3.4332694957598457</v>
      </c>
      <c r="E18" s="40">
        <f t="shared" si="2"/>
        <v>1.8717327794185254</v>
      </c>
      <c r="F18" s="40">
        <f t="shared" si="3"/>
        <v>0.32981104388639787</v>
      </c>
      <c r="G18">
        <v>0</v>
      </c>
      <c r="H18" s="40">
        <f t="shared" si="4"/>
        <v>0</v>
      </c>
      <c r="I18" s="40">
        <f t="shared" si="5"/>
        <v>0</v>
      </c>
      <c r="J18" s="40">
        <f t="shared" si="6"/>
        <v>0</v>
      </c>
      <c r="K18" s="40"/>
    </row>
    <row r="19" spans="2:11" x14ac:dyDescent="0.2">
      <c r="B19">
        <v>14</v>
      </c>
      <c r="C19">
        <v>1</v>
      </c>
      <c r="D19" s="40">
        <f t="shared" si="1"/>
        <v>3.4332694957598457</v>
      </c>
      <c r="E19" s="40">
        <f t="shared" si="2"/>
        <v>1.8717327794185254</v>
      </c>
      <c r="F19" s="40">
        <f t="shared" si="3"/>
        <v>0.32981104388639787</v>
      </c>
      <c r="G19">
        <v>0</v>
      </c>
      <c r="H19" s="40">
        <f t="shared" si="4"/>
        <v>0</v>
      </c>
      <c r="I19" s="40">
        <f t="shared" si="5"/>
        <v>0</v>
      </c>
      <c r="J19" s="40">
        <f t="shared" si="6"/>
        <v>0</v>
      </c>
      <c r="K19" s="40"/>
    </row>
    <row r="20" spans="2:11" x14ac:dyDescent="0.2">
      <c r="B20">
        <v>15</v>
      </c>
      <c r="C20">
        <v>1</v>
      </c>
      <c r="D20" s="40">
        <f t="shared" si="1"/>
        <v>3.4332694957598457</v>
      </c>
      <c r="E20" s="40">
        <f t="shared" si="2"/>
        <v>1.8717327794185254</v>
      </c>
      <c r="F20" s="40">
        <f t="shared" si="3"/>
        <v>0.32981104388639787</v>
      </c>
      <c r="G20">
        <v>0</v>
      </c>
      <c r="H20" s="40">
        <f t="shared" si="4"/>
        <v>0</v>
      </c>
      <c r="I20" s="40">
        <f t="shared" si="5"/>
        <v>0</v>
      </c>
      <c r="J20" s="40">
        <f t="shared" si="6"/>
        <v>0</v>
      </c>
      <c r="K20" s="40"/>
    </row>
    <row r="21" spans="2:11" x14ac:dyDescent="0.2">
      <c r="B21">
        <v>16</v>
      </c>
      <c r="C21">
        <v>1</v>
      </c>
      <c r="D21" s="40">
        <f t="shared" si="1"/>
        <v>3.4332694957598457</v>
      </c>
      <c r="E21" s="40">
        <f t="shared" si="2"/>
        <v>1.8717327794185254</v>
      </c>
      <c r="F21" s="40">
        <f t="shared" si="3"/>
        <v>0.32981104388639787</v>
      </c>
      <c r="G21">
        <v>1</v>
      </c>
      <c r="H21" s="40">
        <f t="shared" si="4"/>
        <v>3.4332694957598457</v>
      </c>
      <c r="I21" s="40">
        <f t="shared" si="5"/>
        <v>1.8717327794185254</v>
      </c>
      <c r="J21" s="40">
        <f t="shared" si="6"/>
        <v>0.32981104388639787</v>
      </c>
      <c r="K21" s="40"/>
    </row>
    <row r="22" spans="2:11" x14ac:dyDescent="0.2">
      <c r="B22">
        <v>17</v>
      </c>
      <c r="C22">
        <v>1</v>
      </c>
      <c r="D22" s="40">
        <f t="shared" si="1"/>
        <v>3.4332694957598457</v>
      </c>
      <c r="E22" s="40">
        <f t="shared" si="2"/>
        <v>1.8717327794185254</v>
      </c>
      <c r="F22" s="40">
        <f t="shared" si="3"/>
        <v>0.32981104388639787</v>
      </c>
      <c r="G22">
        <v>1</v>
      </c>
      <c r="H22" s="40">
        <f t="shared" si="4"/>
        <v>3.4332694957598457</v>
      </c>
      <c r="I22" s="40">
        <f t="shared" si="5"/>
        <v>1.8717327794185254</v>
      </c>
      <c r="J22" s="40">
        <f t="shared" si="6"/>
        <v>0.32981104388639787</v>
      </c>
      <c r="K22" s="40"/>
    </row>
    <row r="23" spans="2:11" x14ac:dyDescent="0.2">
      <c r="B23">
        <v>18</v>
      </c>
      <c r="C23">
        <v>1</v>
      </c>
      <c r="D23" s="40">
        <f t="shared" si="1"/>
        <v>3.4332694957598457</v>
      </c>
      <c r="E23" s="40">
        <f t="shared" si="2"/>
        <v>1.8717327794185254</v>
      </c>
      <c r="F23" s="40">
        <f t="shared" si="3"/>
        <v>0.32981104388639787</v>
      </c>
      <c r="G23">
        <v>1</v>
      </c>
      <c r="H23" s="40">
        <f t="shared" si="4"/>
        <v>3.4332694957598457</v>
      </c>
      <c r="I23" s="40">
        <f t="shared" si="5"/>
        <v>1.8717327794185254</v>
      </c>
      <c r="J23" s="40">
        <f t="shared" si="6"/>
        <v>0.32981104388639787</v>
      </c>
      <c r="K23" s="40"/>
    </row>
    <row r="24" spans="2:11" x14ac:dyDescent="0.2">
      <c r="B24">
        <v>19</v>
      </c>
      <c r="C24">
        <v>1</v>
      </c>
      <c r="D24" s="40">
        <f t="shared" si="1"/>
        <v>3.4332694957598457</v>
      </c>
      <c r="E24" s="40">
        <f t="shared" si="2"/>
        <v>1.8717327794185254</v>
      </c>
      <c r="F24" s="40">
        <f t="shared" si="3"/>
        <v>0.32981104388639787</v>
      </c>
      <c r="G24">
        <v>1</v>
      </c>
      <c r="H24" s="40">
        <f t="shared" si="4"/>
        <v>3.4332694957598457</v>
      </c>
      <c r="I24" s="40">
        <f t="shared" si="5"/>
        <v>1.8717327794185254</v>
      </c>
      <c r="J24" s="40">
        <f t="shared" si="6"/>
        <v>0.32981104388639787</v>
      </c>
      <c r="K24" s="40"/>
    </row>
    <row r="25" spans="2:11" x14ac:dyDescent="0.2">
      <c r="B25">
        <v>20</v>
      </c>
      <c r="C25">
        <v>1</v>
      </c>
      <c r="D25" s="40">
        <f t="shared" si="1"/>
        <v>3.4332694957598457</v>
      </c>
      <c r="E25" s="40">
        <f t="shared" si="2"/>
        <v>1.8717327794185254</v>
      </c>
      <c r="F25" s="40">
        <f t="shared" si="3"/>
        <v>0.32981104388639787</v>
      </c>
      <c r="G25">
        <v>1</v>
      </c>
      <c r="H25" s="40">
        <f t="shared" si="4"/>
        <v>3.4332694957598457</v>
      </c>
      <c r="I25" s="40">
        <f t="shared" si="5"/>
        <v>1.8717327794185254</v>
      </c>
      <c r="J25" s="40">
        <f t="shared" si="6"/>
        <v>0.32981104388639787</v>
      </c>
      <c r="K25" s="40"/>
    </row>
    <row r="26" spans="2:11" x14ac:dyDescent="0.2">
      <c r="B26">
        <v>21</v>
      </c>
      <c r="C26">
        <v>1</v>
      </c>
      <c r="D26" s="40">
        <f t="shared" si="1"/>
        <v>3.4332694957598457</v>
      </c>
      <c r="E26" s="40">
        <f t="shared" si="2"/>
        <v>1.8717327794185254</v>
      </c>
      <c r="F26" s="40">
        <f t="shared" si="3"/>
        <v>0.32981104388639787</v>
      </c>
      <c r="G26">
        <v>1</v>
      </c>
      <c r="H26" s="40">
        <f t="shared" si="4"/>
        <v>3.4332694957598457</v>
      </c>
      <c r="I26" s="40">
        <f t="shared" si="5"/>
        <v>1.8717327794185254</v>
      </c>
      <c r="J26" s="40">
        <f t="shared" si="6"/>
        <v>0.32981104388639787</v>
      </c>
      <c r="K26" s="40"/>
    </row>
    <row r="27" spans="2:11" x14ac:dyDescent="0.2">
      <c r="B27">
        <v>22</v>
      </c>
      <c r="C27">
        <v>1</v>
      </c>
      <c r="D27" s="40">
        <f t="shared" si="1"/>
        <v>3.4332694957598457</v>
      </c>
      <c r="E27" s="40">
        <f t="shared" si="2"/>
        <v>1.8717327794185254</v>
      </c>
      <c r="F27" s="40">
        <f t="shared" si="3"/>
        <v>0.32981104388639787</v>
      </c>
      <c r="G27">
        <v>1</v>
      </c>
      <c r="H27" s="40">
        <f t="shared" si="4"/>
        <v>3.4332694957598457</v>
      </c>
      <c r="I27" s="40">
        <f t="shared" si="5"/>
        <v>1.8717327794185254</v>
      </c>
      <c r="J27" s="40">
        <f t="shared" si="6"/>
        <v>0.32981104388639787</v>
      </c>
      <c r="K27" s="40"/>
    </row>
    <row r="28" spans="2:11" x14ac:dyDescent="0.2">
      <c r="B28">
        <v>23</v>
      </c>
      <c r="C28">
        <v>0</v>
      </c>
      <c r="D28" s="40">
        <f t="shared" si="1"/>
        <v>0</v>
      </c>
      <c r="E28" s="40">
        <f t="shared" si="2"/>
        <v>0</v>
      </c>
      <c r="F28" s="40">
        <f t="shared" si="3"/>
        <v>0</v>
      </c>
      <c r="G28">
        <v>0</v>
      </c>
      <c r="H28" s="40">
        <f t="shared" si="4"/>
        <v>0</v>
      </c>
      <c r="I28" s="40">
        <f t="shared" si="5"/>
        <v>0</v>
      </c>
      <c r="J28" s="40">
        <f t="shared" si="6"/>
        <v>0</v>
      </c>
      <c r="K28" s="40"/>
    </row>
    <row r="29" spans="2:11" x14ac:dyDescent="0.2">
      <c r="B29">
        <v>24</v>
      </c>
      <c r="C29">
        <v>0</v>
      </c>
      <c r="D29" s="40">
        <f t="shared" si="1"/>
        <v>0</v>
      </c>
      <c r="E29" s="40">
        <f t="shared" si="2"/>
        <v>0</v>
      </c>
      <c r="F29" s="40">
        <f t="shared" si="3"/>
        <v>0</v>
      </c>
      <c r="G29">
        <v>0</v>
      </c>
      <c r="H29" s="40">
        <f t="shared" si="4"/>
        <v>0</v>
      </c>
      <c r="I29" s="40">
        <f t="shared" si="5"/>
        <v>0</v>
      </c>
      <c r="J29" s="40">
        <f t="shared" si="6"/>
        <v>0</v>
      </c>
      <c r="K29" s="40"/>
    </row>
  </sheetData>
  <mergeCells count="3">
    <mergeCell ref="C2:F2"/>
    <mergeCell ref="G2:J2"/>
    <mergeCell ref="L2:O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5DE19-29FF-9843-BFA1-BD07B7D143F5}">
  <dimension ref="B1:K177"/>
  <sheetViews>
    <sheetView zoomScale="130" zoomScaleNormal="130" workbookViewId="0">
      <selection activeCell="D4" sqref="D4"/>
    </sheetView>
  </sheetViews>
  <sheetFormatPr baseColWidth="10" defaultRowHeight="16" x14ac:dyDescent="0.2"/>
  <cols>
    <col min="2" max="2" width="10.83203125" style="26"/>
    <col min="4" max="4" width="13.1640625" customWidth="1"/>
    <col min="6" max="6" width="12.6640625" style="40" customWidth="1"/>
    <col min="7" max="7" width="13.6640625" customWidth="1"/>
    <col min="8" max="8" width="14.1640625" style="40" customWidth="1"/>
    <col min="9" max="9" width="11.5" bestFit="1" customWidth="1"/>
    <col min="10" max="10" width="14.33203125" customWidth="1"/>
  </cols>
  <sheetData>
    <row r="1" spans="2:11" x14ac:dyDescent="0.2">
      <c r="F1" s="134" t="s">
        <v>98</v>
      </c>
      <c r="G1" s="134"/>
      <c r="H1" s="134"/>
      <c r="I1" s="133" t="s">
        <v>102</v>
      </c>
      <c r="J1" s="133"/>
      <c r="K1" s="133"/>
    </row>
    <row r="2" spans="2:11" s="29" customFormat="1" x14ac:dyDescent="0.2">
      <c r="B2" s="53" t="s">
        <v>66</v>
      </c>
      <c r="C2" s="29" t="s">
        <v>74</v>
      </c>
      <c r="D2" s="29" t="s">
        <v>65</v>
      </c>
      <c r="E2" s="29" t="s">
        <v>75</v>
      </c>
      <c r="F2" s="54" t="s">
        <v>76</v>
      </c>
      <c r="G2" s="29" t="s">
        <v>78</v>
      </c>
      <c r="H2" s="54" t="s">
        <v>77</v>
      </c>
      <c r="I2" s="62" t="str">
        <f>F2</f>
        <v>Winter</v>
      </c>
      <c r="J2" s="62" t="str">
        <f>G2</f>
        <v>Spring/Autumn</v>
      </c>
      <c r="K2" s="62" t="str">
        <f>H2</f>
        <v>Summer</v>
      </c>
    </row>
    <row r="3" spans="2:11" s="29" customFormat="1" x14ac:dyDescent="0.2">
      <c r="B3" s="53"/>
      <c r="E3" s="46" t="s">
        <v>13</v>
      </c>
      <c r="F3" s="54">
        <f t="shared" ref="F3:K3" si="0">SUM(F10:F177)</f>
        <v>264.36175117350814</v>
      </c>
      <c r="G3" s="54">
        <f t="shared" si="0"/>
        <v>144.12342401522628</v>
      </c>
      <c r="H3" s="54">
        <f t="shared" si="0"/>
        <v>25.395450379252637</v>
      </c>
      <c r="I3" s="64">
        <f t="shared" si="0"/>
        <v>634468.20281641884</v>
      </c>
      <c r="J3" s="64">
        <f t="shared" si="0"/>
        <v>345896.2176365435</v>
      </c>
      <c r="K3" s="64">
        <f t="shared" si="0"/>
        <v>60949.080910206445</v>
      </c>
    </row>
    <row r="4" spans="2:11" s="29" customFormat="1" x14ac:dyDescent="0.2">
      <c r="B4" s="53"/>
      <c r="E4" s="46"/>
      <c r="F4" s="134" t="s">
        <v>100</v>
      </c>
      <c r="G4" s="134"/>
      <c r="H4" s="134"/>
      <c r="I4" s="135" t="s">
        <v>100</v>
      </c>
      <c r="J4" s="135"/>
      <c r="K4" s="135"/>
    </row>
    <row r="5" spans="2:11" s="29" customFormat="1" x14ac:dyDescent="0.2">
      <c r="B5" s="53"/>
      <c r="E5" s="46" t="s">
        <v>94</v>
      </c>
      <c r="F5" s="54">
        <f t="shared" ref="F5:K5" si="1">MAX(F10:F177)</f>
        <v>3.4332694957598457</v>
      </c>
      <c r="G5" s="54">
        <f t="shared" si="1"/>
        <v>1.8717327794185254</v>
      </c>
      <c r="H5" s="54">
        <f t="shared" si="1"/>
        <v>0.32981104388639787</v>
      </c>
      <c r="I5" s="54">
        <f t="shared" si="1"/>
        <v>8239.8467898236304</v>
      </c>
      <c r="J5" s="54">
        <f t="shared" si="1"/>
        <v>4492.1586706044609</v>
      </c>
      <c r="K5" s="54">
        <f t="shared" si="1"/>
        <v>791.54650532735491</v>
      </c>
    </row>
    <row r="6" spans="2:11" s="29" customFormat="1" x14ac:dyDescent="0.2">
      <c r="B6" s="53"/>
      <c r="E6" s="46" t="s">
        <v>95</v>
      </c>
      <c r="F6" s="54">
        <f t="shared" ref="F6:K6" si="2">MIN(F10:F177)</f>
        <v>0</v>
      </c>
      <c r="G6" s="54">
        <f t="shared" si="2"/>
        <v>0</v>
      </c>
      <c r="H6" s="54">
        <f t="shared" si="2"/>
        <v>0</v>
      </c>
      <c r="I6" s="54">
        <f t="shared" si="2"/>
        <v>0</v>
      </c>
      <c r="J6" s="54">
        <f t="shared" si="2"/>
        <v>0</v>
      </c>
      <c r="K6" s="54">
        <f t="shared" si="2"/>
        <v>0</v>
      </c>
    </row>
    <row r="7" spans="2:11" s="29" customFormat="1" x14ac:dyDescent="0.2">
      <c r="B7" s="53"/>
      <c r="E7" s="46" t="s">
        <v>96</v>
      </c>
      <c r="F7" s="54">
        <f t="shared" ref="F7:K7" si="3">AVERAGE(F10:F177)</f>
        <v>1.5735818522232627</v>
      </c>
      <c r="G7" s="54">
        <f t="shared" si="3"/>
        <v>0.85787752390015637</v>
      </c>
      <c r="H7" s="54">
        <f t="shared" si="3"/>
        <v>0.15116339511459903</v>
      </c>
      <c r="I7" s="54">
        <f t="shared" si="3"/>
        <v>3776.5964453358265</v>
      </c>
      <c r="J7" s="54">
        <f t="shared" si="3"/>
        <v>2058.9060573603779</v>
      </c>
      <c r="K7" s="54">
        <f t="shared" si="3"/>
        <v>362.79214827503836</v>
      </c>
    </row>
    <row r="8" spans="2:11" s="29" customFormat="1" x14ac:dyDescent="0.2">
      <c r="B8" s="53"/>
      <c r="E8" s="94" t="s">
        <v>101</v>
      </c>
      <c r="F8" s="64"/>
      <c r="G8" s="54"/>
      <c r="H8" s="64"/>
    </row>
    <row r="9" spans="2:11" s="29" customFormat="1" x14ac:dyDescent="0.2">
      <c r="B9" s="53"/>
      <c r="E9" s="46" t="s">
        <v>97</v>
      </c>
      <c r="F9" s="64">
        <v>2400</v>
      </c>
      <c r="G9" s="64">
        <f>G8/G3</f>
        <v>0</v>
      </c>
      <c r="H9" s="64">
        <f>F9</f>
        <v>2400</v>
      </c>
    </row>
    <row r="10" spans="2:11" x14ac:dyDescent="0.2">
      <c r="B10" s="26">
        <v>1</v>
      </c>
      <c r="C10" s="51" t="s">
        <v>67</v>
      </c>
      <c r="D10" s="52">
        <v>0</v>
      </c>
      <c r="E10" t="s">
        <v>42</v>
      </c>
      <c r="F10" s="40">
        <f>'Daily Heat Demand Matrix (2)'!H6</f>
        <v>0</v>
      </c>
      <c r="G10" s="40">
        <f>'Daily Heat Demand Matrix (2)'!I6</f>
        <v>0</v>
      </c>
      <c r="H10" s="40">
        <f>'Daily Heat Demand Matrix (2)'!J6</f>
        <v>0</v>
      </c>
      <c r="I10" s="65">
        <f>F10*$F$9</f>
        <v>0</v>
      </c>
      <c r="J10" s="65">
        <f>G10*$F$9</f>
        <v>0</v>
      </c>
      <c r="K10" s="65">
        <f>H10*$F$9</f>
        <v>0</v>
      </c>
    </row>
    <row r="11" spans="2:11" x14ac:dyDescent="0.2">
      <c r="B11" s="26">
        <v>2</v>
      </c>
      <c r="C11" s="50" t="str">
        <f>C10</f>
        <v>Wednesday</v>
      </c>
      <c r="D11" s="52">
        <v>4.1666666666666699E-2</v>
      </c>
      <c r="E11" t="s">
        <v>42</v>
      </c>
      <c r="F11" s="40">
        <f>'Daily Heat Demand Matrix (2)'!H7</f>
        <v>0</v>
      </c>
      <c r="G11" s="40">
        <f>'Daily Heat Demand Matrix (2)'!I7</f>
        <v>0</v>
      </c>
      <c r="H11" s="40">
        <f>'Daily Heat Demand Matrix (2)'!J7</f>
        <v>0</v>
      </c>
      <c r="I11" s="65">
        <f t="shared" ref="I11:I74" si="4">F11*$F$9</f>
        <v>0</v>
      </c>
      <c r="J11" s="65">
        <f t="shared" ref="J11:J74" si="5">G11*$F$9</f>
        <v>0</v>
      </c>
      <c r="K11" s="65">
        <f t="shared" ref="K11:K74" si="6">H11*$F$9</f>
        <v>0</v>
      </c>
    </row>
    <row r="12" spans="2:11" x14ac:dyDescent="0.2">
      <c r="B12" s="26">
        <v>3</v>
      </c>
      <c r="C12" s="50" t="str">
        <f t="shared" ref="C12:C33" si="7">C11</f>
        <v>Wednesday</v>
      </c>
      <c r="D12" s="52">
        <v>8.3333333333333301E-2</v>
      </c>
      <c r="E12" t="s">
        <v>42</v>
      </c>
      <c r="F12" s="40">
        <f>'Daily Heat Demand Matrix (2)'!H8</f>
        <v>0</v>
      </c>
      <c r="G12" s="40">
        <f>'Daily Heat Demand Matrix (2)'!I8</f>
        <v>0</v>
      </c>
      <c r="H12" s="40">
        <f>'Daily Heat Demand Matrix (2)'!J8</f>
        <v>0</v>
      </c>
      <c r="I12" s="65">
        <f t="shared" si="4"/>
        <v>0</v>
      </c>
      <c r="J12" s="65">
        <f t="shared" si="5"/>
        <v>0</v>
      </c>
      <c r="K12" s="65">
        <f t="shared" si="6"/>
        <v>0</v>
      </c>
    </row>
    <row r="13" spans="2:11" x14ac:dyDescent="0.2">
      <c r="B13" s="26">
        <v>4</v>
      </c>
      <c r="C13" s="50" t="str">
        <f t="shared" si="7"/>
        <v>Wednesday</v>
      </c>
      <c r="D13" s="52">
        <v>0.125</v>
      </c>
      <c r="E13" t="s">
        <v>42</v>
      </c>
      <c r="F13" s="40">
        <f>'Daily Heat Demand Matrix (2)'!H9</f>
        <v>0</v>
      </c>
      <c r="G13" s="40">
        <f>'Daily Heat Demand Matrix (2)'!I9</f>
        <v>0</v>
      </c>
      <c r="H13" s="40">
        <f>'Daily Heat Demand Matrix (2)'!J9</f>
        <v>0</v>
      </c>
      <c r="I13" s="65">
        <f t="shared" si="4"/>
        <v>0</v>
      </c>
      <c r="J13" s="65">
        <f t="shared" si="5"/>
        <v>0</v>
      </c>
      <c r="K13" s="65">
        <f t="shared" si="6"/>
        <v>0</v>
      </c>
    </row>
    <row r="14" spans="2:11" x14ac:dyDescent="0.2">
      <c r="B14" s="26">
        <v>5</v>
      </c>
      <c r="C14" s="50" t="str">
        <f t="shared" si="7"/>
        <v>Wednesday</v>
      </c>
      <c r="D14" s="52">
        <v>0.16666666666666699</v>
      </c>
      <c r="E14" t="s">
        <v>42</v>
      </c>
      <c r="F14" s="40">
        <f>'Daily Heat Demand Matrix (2)'!H10</f>
        <v>0</v>
      </c>
      <c r="G14" s="40">
        <f>'Daily Heat Demand Matrix (2)'!I10</f>
        <v>0</v>
      </c>
      <c r="H14" s="40">
        <f>'Daily Heat Demand Matrix (2)'!J10</f>
        <v>0</v>
      </c>
      <c r="I14" s="65">
        <f t="shared" si="4"/>
        <v>0</v>
      </c>
      <c r="J14" s="65">
        <f t="shared" si="5"/>
        <v>0</v>
      </c>
      <c r="K14" s="65">
        <f t="shared" si="6"/>
        <v>0</v>
      </c>
    </row>
    <row r="15" spans="2:11" x14ac:dyDescent="0.2">
      <c r="B15" s="26">
        <v>6</v>
      </c>
      <c r="C15" s="50" t="str">
        <f t="shared" si="7"/>
        <v>Wednesday</v>
      </c>
      <c r="D15" s="52">
        <v>0.20833333333333301</v>
      </c>
      <c r="E15" t="s">
        <v>42</v>
      </c>
      <c r="F15" s="40">
        <f>'Daily Heat Demand Matrix (2)'!H11</f>
        <v>0</v>
      </c>
      <c r="G15" s="40">
        <f>'Daily Heat Demand Matrix (2)'!I11</f>
        <v>0</v>
      </c>
      <c r="H15" s="40">
        <f>'Daily Heat Demand Matrix (2)'!J11</f>
        <v>0</v>
      </c>
      <c r="I15" s="65">
        <f t="shared" si="4"/>
        <v>0</v>
      </c>
      <c r="J15" s="65">
        <f t="shared" si="5"/>
        <v>0</v>
      </c>
      <c r="K15" s="65">
        <f t="shared" si="6"/>
        <v>0</v>
      </c>
    </row>
    <row r="16" spans="2:11" x14ac:dyDescent="0.2">
      <c r="B16" s="26">
        <v>7</v>
      </c>
      <c r="C16" s="50" t="str">
        <f t="shared" si="7"/>
        <v>Wednesday</v>
      </c>
      <c r="D16" s="52">
        <v>0.25</v>
      </c>
      <c r="E16" t="s">
        <v>42</v>
      </c>
      <c r="F16" s="40">
        <f>'Daily Heat Demand Matrix (2)'!H12</f>
        <v>3.4332694957598457</v>
      </c>
      <c r="G16" s="40">
        <f>'Daily Heat Demand Matrix (2)'!I12</f>
        <v>1.8717327794185254</v>
      </c>
      <c r="H16" s="40">
        <f>'Daily Heat Demand Matrix (2)'!J12</f>
        <v>0.32981104388639787</v>
      </c>
      <c r="I16" s="65">
        <f t="shared" si="4"/>
        <v>8239.8467898236304</v>
      </c>
      <c r="J16" s="65">
        <f t="shared" si="5"/>
        <v>4492.1586706044609</v>
      </c>
      <c r="K16" s="65">
        <f t="shared" si="6"/>
        <v>791.54650532735491</v>
      </c>
    </row>
    <row r="17" spans="2:11" x14ac:dyDescent="0.2">
      <c r="B17" s="26">
        <v>8</v>
      </c>
      <c r="C17" s="50" t="str">
        <f t="shared" si="7"/>
        <v>Wednesday</v>
      </c>
      <c r="D17" s="52">
        <v>0.29166666666666702</v>
      </c>
      <c r="E17" t="s">
        <v>42</v>
      </c>
      <c r="F17" s="40">
        <f>'Daily Heat Demand Matrix (2)'!H13</f>
        <v>3.4332694957598457</v>
      </c>
      <c r="G17" s="40">
        <f>'Daily Heat Demand Matrix (2)'!I13</f>
        <v>1.8717327794185254</v>
      </c>
      <c r="H17" s="40">
        <f>'Daily Heat Demand Matrix (2)'!J13</f>
        <v>0.32981104388639787</v>
      </c>
      <c r="I17" s="65">
        <f t="shared" si="4"/>
        <v>8239.8467898236304</v>
      </c>
      <c r="J17" s="65">
        <f t="shared" si="5"/>
        <v>4492.1586706044609</v>
      </c>
      <c r="K17" s="65">
        <f t="shared" si="6"/>
        <v>791.54650532735491</v>
      </c>
    </row>
    <row r="18" spans="2:11" x14ac:dyDescent="0.2">
      <c r="B18" s="26">
        <v>9</v>
      </c>
      <c r="C18" s="50" t="str">
        <f t="shared" si="7"/>
        <v>Wednesday</v>
      </c>
      <c r="D18" s="52">
        <v>0.33333333333333398</v>
      </c>
      <c r="E18" t="s">
        <v>42</v>
      </c>
      <c r="F18" s="40">
        <f>'Daily Heat Demand Matrix (2)'!H14</f>
        <v>0</v>
      </c>
      <c r="G18" s="40">
        <f>'Daily Heat Demand Matrix (2)'!I14</f>
        <v>0</v>
      </c>
      <c r="H18" s="40">
        <f>'Daily Heat Demand Matrix (2)'!J14</f>
        <v>0</v>
      </c>
      <c r="I18" s="65">
        <f t="shared" si="4"/>
        <v>0</v>
      </c>
      <c r="J18" s="65">
        <f t="shared" si="5"/>
        <v>0</v>
      </c>
      <c r="K18" s="65">
        <f t="shared" si="6"/>
        <v>0</v>
      </c>
    </row>
    <row r="19" spans="2:11" x14ac:dyDescent="0.2">
      <c r="B19" s="26">
        <v>10</v>
      </c>
      <c r="C19" s="50" t="str">
        <f t="shared" si="7"/>
        <v>Wednesday</v>
      </c>
      <c r="D19" s="52">
        <v>0.375</v>
      </c>
      <c r="E19" t="s">
        <v>42</v>
      </c>
      <c r="F19" s="40">
        <f>'Daily Heat Demand Matrix (2)'!H15</f>
        <v>0</v>
      </c>
      <c r="G19" s="40">
        <f>'Daily Heat Demand Matrix (2)'!I15</f>
        <v>0</v>
      </c>
      <c r="H19" s="40">
        <f>'Daily Heat Demand Matrix (2)'!J15</f>
        <v>0</v>
      </c>
      <c r="I19" s="65">
        <f t="shared" si="4"/>
        <v>0</v>
      </c>
      <c r="J19" s="65">
        <f t="shared" si="5"/>
        <v>0</v>
      </c>
      <c r="K19" s="65">
        <f t="shared" si="6"/>
        <v>0</v>
      </c>
    </row>
    <row r="20" spans="2:11" x14ac:dyDescent="0.2">
      <c r="B20" s="26">
        <v>11</v>
      </c>
      <c r="C20" s="50" t="str">
        <f t="shared" si="7"/>
        <v>Wednesday</v>
      </c>
      <c r="D20" s="52">
        <v>0.41666666666666702</v>
      </c>
      <c r="E20" t="s">
        <v>42</v>
      </c>
      <c r="F20" s="40">
        <f>'Daily Heat Demand Matrix (2)'!H16</f>
        <v>0</v>
      </c>
      <c r="G20" s="40">
        <f>'Daily Heat Demand Matrix (2)'!I16</f>
        <v>0</v>
      </c>
      <c r="H20" s="40">
        <f>'Daily Heat Demand Matrix (2)'!J16</f>
        <v>0</v>
      </c>
      <c r="I20" s="65">
        <f t="shared" si="4"/>
        <v>0</v>
      </c>
      <c r="J20" s="65">
        <f t="shared" si="5"/>
        <v>0</v>
      </c>
      <c r="K20" s="65">
        <f t="shared" si="6"/>
        <v>0</v>
      </c>
    </row>
    <row r="21" spans="2:11" x14ac:dyDescent="0.2">
      <c r="B21" s="26">
        <v>12</v>
      </c>
      <c r="C21" s="50" t="str">
        <f t="shared" si="7"/>
        <v>Wednesday</v>
      </c>
      <c r="D21" s="52">
        <v>0.45833333333333398</v>
      </c>
      <c r="E21" t="s">
        <v>42</v>
      </c>
      <c r="F21" s="40">
        <f>'Daily Heat Demand Matrix (2)'!H17</f>
        <v>0</v>
      </c>
      <c r="G21" s="40">
        <f>'Daily Heat Demand Matrix (2)'!I17</f>
        <v>0</v>
      </c>
      <c r="H21" s="40">
        <f>'Daily Heat Demand Matrix (2)'!J17</f>
        <v>0</v>
      </c>
      <c r="I21" s="65">
        <f t="shared" si="4"/>
        <v>0</v>
      </c>
      <c r="J21" s="65">
        <f t="shared" si="5"/>
        <v>0</v>
      </c>
      <c r="K21" s="65">
        <f t="shared" si="6"/>
        <v>0</v>
      </c>
    </row>
    <row r="22" spans="2:11" x14ac:dyDescent="0.2">
      <c r="B22" s="26">
        <v>13</v>
      </c>
      <c r="C22" s="50" t="str">
        <f t="shared" si="7"/>
        <v>Wednesday</v>
      </c>
      <c r="D22" s="52">
        <v>0.5</v>
      </c>
      <c r="E22" t="s">
        <v>42</v>
      </c>
      <c r="F22" s="40">
        <f>'Daily Heat Demand Matrix (2)'!H18</f>
        <v>0</v>
      </c>
      <c r="G22" s="40">
        <f>'Daily Heat Demand Matrix (2)'!I18</f>
        <v>0</v>
      </c>
      <c r="H22" s="40">
        <f>'Daily Heat Demand Matrix (2)'!J18</f>
        <v>0</v>
      </c>
      <c r="I22" s="65">
        <f t="shared" si="4"/>
        <v>0</v>
      </c>
      <c r="J22" s="65">
        <f t="shared" si="5"/>
        <v>0</v>
      </c>
      <c r="K22" s="65">
        <f t="shared" si="6"/>
        <v>0</v>
      </c>
    </row>
    <row r="23" spans="2:11" x14ac:dyDescent="0.2">
      <c r="B23" s="26">
        <v>14</v>
      </c>
      <c r="C23" s="50" t="str">
        <f t="shared" si="7"/>
        <v>Wednesday</v>
      </c>
      <c r="D23" s="52">
        <v>0.54166666666666696</v>
      </c>
      <c r="E23" t="s">
        <v>42</v>
      </c>
      <c r="F23" s="40">
        <f>'Daily Heat Demand Matrix (2)'!H19</f>
        <v>0</v>
      </c>
      <c r="G23" s="40">
        <f>'Daily Heat Demand Matrix (2)'!I19</f>
        <v>0</v>
      </c>
      <c r="H23" s="40">
        <f>'Daily Heat Demand Matrix (2)'!J19</f>
        <v>0</v>
      </c>
      <c r="I23" s="65">
        <f t="shared" si="4"/>
        <v>0</v>
      </c>
      <c r="J23" s="65">
        <f t="shared" si="5"/>
        <v>0</v>
      </c>
      <c r="K23" s="65">
        <f t="shared" si="6"/>
        <v>0</v>
      </c>
    </row>
    <row r="24" spans="2:11" x14ac:dyDescent="0.2">
      <c r="B24" s="26">
        <v>15</v>
      </c>
      <c r="C24" s="50" t="str">
        <f t="shared" si="7"/>
        <v>Wednesday</v>
      </c>
      <c r="D24" s="52">
        <v>0.58333333333333404</v>
      </c>
      <c r="E24" t="s">
        <v>42</v>
      </c>
      <c r="F24" s="40">
        <f>'Daily Heat Demand Matrix (2)'!H20</f>
        <v>0</v>
      </c>
      <c r="G24" s="40">
        <f>'Daily Heat Demand Matrix (2)'!I20</f>
        <v>0</v>
      </c>
      <c r="H24" s="40">
        <f>'Daily Heat Demand Matrix (2)'!J20</f>
        <v>0</v>
      </c>
      <c r="I24" s="65">
        <f t="shared" si="4"/>
        <v>0</v>
      </c>
      <c r="J24" s="65">
        <f t="shared" si="5"/>
        <v>0</v>
      </c>
      <c r="K24" s="65">
        <f t="shared" si="6"/>
        <v>0</v>
      </c>
    </row>
    <row r="25" spans="2:11" x14ac:dyDescent="0.2">
      <c r="B25" s="26">
        <v>16</v>
      </c>
      <c r="C25" s="50" t="str">
        <f t="shared" si="7"/>
        <v>Wednesday</v>
      </c>
      <c r="D25" s="52">
        <v>0.625</v>
      </c>
      <c r="E25" t="s">
        <v>42</v>
      </c>
      <c r="F25" s="40">
        <f>'Daily Heat Demand Matrix (2)'!H21</f>
        <v>3.4332694957598457</v>
      </c>
      <c r="G25" s="40">
        <f>'Daily Heat Demand Matrix (2)'!I21</f>
        <v>1.8717327794185254</v>
      </c>
      <c r="H25" s="40">
        <f>'Daily Heat Demand Matrix (2)'!J21</f>
        <v>0.32981104388639787</v>
      </c>
      <c r="I25" s="65">
        <f t="shared" si="4"/>
        <v>8239.8467898236304</v>
      </c>
      <c r="J25" s="65">
        <f t="shared" si="5"/>
        <v>4492.1586706044609</v>
      </c>
      <c r="K25" s="65">
        <f t="shared" si="6"/>
        <v>791.54650532735491</v>
      </c>
    </row>
    <row r="26" spans="2:11" x14ac:dyDescent="0.2">
      <c r="B26" s="26">
        <v>17</v>
      </c>
      <c r="C26" s="50" t="str">
        <f t="shared" si="7"/>
        <v>Wednesday</v>
      </c>
      <c r="D26" s="52">
        <v>0.66666666666666696</v>
      </c>
      <c r="E26" t="s">
        <v>42</v>
      </c>
      <c r="F26" s="40">
        <f>'Daily Heat Demand Matrix (2)'!H22</f>
        <v>3.4332694957598457</v>
      </c>
      <c r="G26" s="40">
        <f>'Daily Heat Demand Matrix (2)'!I22</f>
        <v>1.8717327794185254</v>
      </c>
      <c r="H26" s="40">
        <f>'Daily Heat Demand Matrix (2)'!J22</f>
        <v>0.32981104388639787</v>
      </c>
      <c r="I26" s="65">
        <f t="shared" si="4"/>
        <v>8239.8467898236304</v>
      </c>
      <c r="J26" s="65">
        <f t="shared" si="5"/>
        <v>4492.1586706044609</v>
      </c>
      <c r="K26" s="65">
        <f t="shared" si="6"/>
        <v>791.54650532735491</v>
      </c>
    </row>
    <row r="27" spans="2:11" x14ac:dyDescent="0.2">
      <c r="B27" s="26">
        <v>18</v>
      </c>
      <c r="C27" s="50" t="str">
        <f t="shared" si="7"/>
        <v>Wednesday</v>
      </c>
      <c r="D27" s="52">
        <v>0.70833333333333404</v>
      </c>
      <c r="E27" t="s">
        <v>42</v>
      </c>
      <c r="F27" s="40">
        <f>'Daily Heat Demand Matrix (2)'!H23</f>
        <v>3.4332694957598457</v>
      </c>
      <c r="G27" s="40">
        <f>'Daily Heat Demand Matrix (2)'!I23</f>
        <v>1.8717327794185254</v>
      </c>
      <c r="H27" s="40">
        <f>'Daily Heat Demand Matrix (2)'!J23</f>
        <v>0.32981104388639787</v>
      </c>
      <c r="I27" s="65">
        <f t="shared" si="4"/>
        <v>8239.8467898236304</v>
      </c>
      <c r="J27" s="65">
        <f t="shared" si="5"/>
        <v>4492.1586706044609</v>
      </c>
      <c r="K27" s="65">
        <f t="shared" si="6"/>
        <v>791.54650532735491</v>
      </c>
    </row>
    <row r="28" spans="2:11" x14ac:dyDescent="0.2">
      <c r="B28" s="26">
        <v>19</v>
      </c>
      <c r="C28" s="50" t="str">
        <f t="shared" si="7"/>
        <v>Wednesday</v>
      </c>
      <c r="D28" s="52">
        <v>0.750000000000001</v>
      </c>
      <c r="E28" t="s">
        <v>42</v>
      </c>
      <c r="F28" s="40">
        <f>'Daily Heat Demand Matrix (2)'!H24</f>
        <v>3.4332694957598457</v>
      </c>
      <c r="G28" s="40">
        <f>'Daily Heat Demand Matrix (2)'!I24</f>
        <v>1.8717327794185254</v>
      </c>
      <c r="H28" s="40">
        <f>'Daily Heat Demand Matrix (2)'!J24</f>
        <v>0.32981104388639787</v>
      </c>
      <c r="I28" s="65">
        <f t="shared" si="4"/>
        <v>8239.8467898236304</v>
      </c>
      <c r="J28" s="65">
        <f t="shared" si="5"/>
        <v>4492.1586706044609</v>
      </c>
      <c r="K28" s="65">
        <f t="shared" si="6"/>
        <v>791.54650532735491</v>
      </c>
    </row>
    <row r="29" spans="2:11" x14ac:dyDescent="0.2">
      <c r="B29" s="26">
        <v>20</v>
      </c>
      <c r="C29" s="50" t="str">
        <f t="shared" si="7"/>
        <v>Wednesday</v>
      </c>
      <c r="D29" s="52">
        <v>0.79166666666666696</v>
      </c>
      <c r="E29" t="s">
        <v>42</v>
      </c>
      <c r="F29" s="40">
        <f>'Daily Heat Demand Matrix (2)'!H25</f>
        <v>3.4332694957598457</v>
      </c>
      <c r="G29" s="40">
        <f>'Daily Heat Demand Matrix (2)'!I25</f>
        <v>1.8717327794185254</v>
      </c>
      <c r="H29" s="40">
        <f>'Daily Heat Demand Matrix (2)'!J25</f>
        <v>0.32981104388639787</v>
      </c>
      <c r="I29" s="65">
        <f t="shared" si="4"/>
        <v>8239.8467898236304</v>
      </c>
      <c r="J29" s="65">
        <f t="shared" si="5"/>
        <v>4492.1586706044609</v>
      </c>
      <c r="K29" s="65">
        <f t="shared" si="6"/>
        <v>791.54650532735491</v>
      </c>
    </row>
    <row r="30" spans="2:11" x14ac:dyDescent="0.2">
      <c r="B30" s="26">
        <v>21</v>
      </c>
      <c r="C30" s="50" t="str">
        <f t="shared" si="7"/>
        <v>Wednesday</v>
      </c>
      <c r="D30" s="52">
        <v>0.83333333333333404</v>
      </c>
      <c r="E30" t="s">
        <v>42</v>
      </c>
      <c r="F30" s="40">
        <f>'Daily Heat Demand Matrix (2)'!H26</f>
        <v>3.4332694957598457</v>
      </c>
      <c r="G30" s="40">
        <f>'Daily Heat Demand Matrix (2)'!I26</f>
        <v>1.8717327794185254</v>
      </c>
      <c r="H30" s="40">
        <f>'Daily Heat Demand Matrix (2)'!J26</f>
        <v>0.32981104388639787</v>
      </c>
      <c r="I30" s="65">
        <f t="shared" si="4"/>
        <v>8239.8467898236304</v>
      </c>
      <c r="J30" s="65">
        <f t="shared" si="5"/>
        <v>4492.1586706044609</v>
      </c>
      <c r="K30" s="65">
        <f t="shared" si="6"/>
        <v>791.54650532735491</v>
      </c>
    </row>
    <row r="31" spans="2:11" x14ac:dyDescent="0.2">
      <c r="B31" s="26">
        <v>22</v>
      </c>
      <c r="C31" s="50" t="str">
        <f t="shared" si="7"/>
        <v>Wednesday</v>
      </c>
      <c r="D31" s="52">
        <v>0.875000000000001</v>
      </c>
      <c r="E31" t="s">
        <v>42</v>
      </c>
      <c r="F31" s="40">
        <f>'Daily Heat Demand Matrix (2)'!H27</f>
        <v>3.4332694957598457</v>
      </c>
      <c r="G31" s="40">
        <f>'Daily Heat Demand Matrix (2)'!I27</f>
        <v>1.8717327794185254</v>
      </c>
      <c r="H31" s="40">
        <f>'Daily Heat Demand Matrix (2)'!J27</f>
        <v>0.32981104388639787</v>
      </c>
      <c r="I31" s="65">
        <f t="shared" si="4"/>
        <v>8239.8467898236304</v>
      </c>
      <c r="J31" s="65">
        <f t="shared" si="5"/>
        <v>4492.1586706044609</v>
      </c>
      <c r="K31" s="65">
        <f t="shared" si="6"/>
        <v>791.54650532735491</v>
      </c>
    </row>
    <row r="32" spans="2:11" x14ac:dyDescent="0.2">
      <c r="B32" s="26">
        <v>23</v>
      </c>
      <c r="C32" s="50" t="str">
        <f t="shared" si="7"/>
        <v>Wednesday</v>
      </c>
      <c r="D32" s="52">
        <v>0.91666666666666696</v>
      </c>
      <c r="E32" t="s">
        <v>42</v>
      </c>
      <c r="F32" s="40">
        <f>'Daily Heat Demand Matrix (2)'!H28</f>
        <v>0</v>
      </c>
      <c r="G32" s="40">
        <f>'Daily Heat Demand Matrix (2)'!I28</f>
        <v>0</v>
      </c>
      <c r="H32" s="40">
        <f>'Daily Heat Demand Matrix (2)'!J28</f>
        <v>0</v>
      </c>
      <c r="I32" s="65">
        <f t="shared" si="4"/>
        <v>0</v>
      </c>
      <c r="J32" s="65">
        <f t="shared" si="5"/>
        <v>0</v>
      </c>
      <c r="K32" s="65">
        <f t="shared" si="6"/>
        <v>0</v>
      </c>
    </row>
    <row r="33" spans="2:11" x14ac:dyDescent="0.2">
      <c r="B33" s="26">
        <v>24</v>
      </c>
      <c r="C33" s="50" t="str">
        <f t="shared" si="7"/>
        <v>Wednesday</v>
      </c>
      <c r="D33" s="52">
        <v>0.95833333333333404</v>
      </c>
      <c r="E33" t="s">
        <v>42</v>
      </c>
      <c r="F33" s="40">
        <f>'Daily Heat Demand Matrix (2)'!H29</f>
        <v>0</v>
      </c>
      <c r="G33" s="40">
        <f>'Daily Heat Demand Matrix (2)'!I29</f>
        <v>0</v>
      </c>
      <c r="H33" s="40">
        <f>'Daily Heat Demand Matrix (2)'!J29</f>
        <v>0</v>
      </c>
      <c r="I33" s="65">
        <f t="shared" si="4"/>
        <v>0</v>
      </c>
      <c r="J33" s="65">
        <f t="shared" si="5"/>
        <v>0</v>
      </c>
      <c r="K33" s="65">
        <f t="shared" si="6"/>
        <v>0</v>
      </c>
    </row>
    <row r="34" spans="2:11" x14ac:dyDescent="0.2">
      <c r="B34" s="26">
        <v>25</v>
      </c>
      <c r="C34" t="s">
        <v>68</v>
      </c>
      <c r="D34" s="52">
        <v>1</v>
      </c>
      <c r="E34" t="s">
        <v>42</v>
      </c>
      <c r="F34" s="40">
        <f>F10</f>
        <v>0</v>
      </c>
      <c r="G34" s="40">
        <f>G10</f>
        <v>0</v>
      </c>
      <c r="H34" s="40">
        <f>H10</f>
        <v>0</v>
      </c>
      <c r="I34" s="65">
        <f t="shared" si="4"/>
        <v>0</v>
      </c>
      <c r="J34" s="65">
        <f t="shared" si="5"/>
        <v>0</v>
      </c>
      <c r="K34" s="65">
        <f t="shared" si="6"/>
        <v>0</v>
      </c>
    </row>
    <row r="35" spans="2:11" x14ac:dyDescent="0.2">
      <c r="B35" s="26">
        <v>26</v>
      </c>
      <c r="C35" s="50" t="str">
        <f>C34</f>
        <v>Thursday</v>
      </c>
      <c r="D35" s="52">
        <v>1.0416666666666701</v>
      </c>
      <c r="E35" t="s">
        <v>42</v>
      </c>
      <c r="F35" s="40">
        <f t="shared" ref="F35:H81" si="8">F11</f>
        <v>0</v>
      </c>
      <c r="G35" s="40">
        <f t="shared" si="8"/>
        <v>0</v>
      </c>
      <c r="H35" s="40">
        <f t="shared" si="8"/>
        <v>0</v>
      </c>
      <c r="I35" s="65">
        <f t="shared" si="4"/>
        <v>0</v>
      </c>
      <c r="J35" s="65">
        <f t="shared" si="5"/>
        <v>0</v>
      </c>
      <c r="K35" s="65">
        <f t="shared" si="6"/>
        <v>0</v>
      </c>
    </row>
    <row r="36" spans="2:11" x14ac:dyDescent="0.2">
      <c r="B36" s="26">
        <v>27</v>
      </c>
      <c r="C36" s="50" t="str">
        <f t="shared" ref="C36:C57" si="9">C35</f>
        <v>Thursday</v>
      </c>
      <c r="D36" s="52">
        <v>1.0833333333333299</v>
      </c>
      <c r="E36" t="s">
        <v>42</v>
      </c>
      <c r="F36" s="40">
        <f t="shared" si="8"/>
        <v>0</v>
      </c>
      <c r="G36" s="40">
        <f t="shared" si="8"/>
        <v>0</v>
      </c>
      <c r="H36" s="40">
        <f t="shared" si="8"/>
        <v>0</v>
      </c>
      <c r="I36" s="65">
        <f t="shared" si="4"/>
        <v>0</v>
      </c>
      <c r="J36" s="65">
        <f t="shared" si="5"/>
        <v>0</v>
      </c>
      <c r="K36" s="65">
        <f t="shared" si="6"/>
        <v>0</v>
      </c>
    </row>
    <row r="37" spans="2:11" x14ac:dyDescent="0.2">
      <c r="B37" s="26">
        <v>28</v>
      </c>
      <c r="C37" s="50" t="str">
        <f t="shared" si="9"/>
        <v>Thursday</v>
      </c>
      <c r="D37" s="52">
        <v>1.125</v>
      </c>
      <c r="E37" t="s">
        <v>42</v>
      </c>
      <c r="F37" s="40">
        <f t="shared" si="8"/>
        <v>0</v>
      </c>
      <c r="G37" s="40">
        <f t="shared" si="8"/>
        <v>0</v>
      </c>
      <c r="H37" s="40">
        <f t="shared" si="8"/>
        <v>0</v>
      </c>
      <c r="I37" s="65">
        <f t="shared" si="4"/>
        <v>0</v>
      </c>
      <c r="J37" s="65">
        <f t="shared" si="5"/>
        <v>0</v>
      </c>
      <c r="K37" s="65">
        <f t="shared" si="6"/>
        <v>0</v>
      </c>
    </row>
    <row r="38" spans="2:11" x14ac:dyDescent="0.2">
      <c r="B38" s="26">
        <v>29</v>
      </c>
      <c r="C38" s="50" t="str">
        <f t="shared" si="9"/>
        <v>Thursday</v>
      </c>
      <c r="D38" s="52">
        <v>1.1666666666666701</v>
      </c>
      <c r="E38" t="s">
        <v>42</v>
      </c>
      <c r="F38" s="40">
        <f t="shared" si="8"/>
        <v>0</v>
      </c>
      <c r="G38" s="40">
        <f t="shared" si="8"/>
        <v>0</v>
      </c>
      <c r="H38" s="40">
        <f t="shared" si="8"/>
        <v>0</v>
      </c>
      <c r="I38" s="65">
        <f t="shared" si="4"/>
        <v>0</v>
      </c>
      <c r="J38" s="65">
        <f t="shared" si="5"/>
        <v>0</v>
      </c>
      <c r="K38" s="65">
        <f t="shared" si="6"/>
        <v>0</v>
      </c>
    </row>
    <row r="39" spans="2:11" x14ac:dyDescent="0.2">
      <c r="B39" s="26">
        <v>30</v>
      </c>
      <c r="C39" s="50" t="str">
        <f t="shared" si="9"/>
        <v>Thursday</v>
      </c>
      <c r="D39" s="52">
        <v>1.2083333333333299</v>
      </c>
      <c r="E39" t="s">
        <v>42</v>
      </c>
      <c r="F39" s="40">
        <f t="shared" si="8"/>
        <v>0</v>
      </c>
      <c r="G39" s="40">
        <f t="shared" si="8"/>
        <v>0</v>
      </c>
      <c r="H39" s="40">
        <f t="shared" si="8"/>
        <v>0</v>
      </c>
      <c r="I39" s="65">
        <f t="shared" si="4"/>
        <v>0</v>
      </c>
      <c r="J39" s="65">
        <f t="shared" si="5"/>
        <v>0</v>
      </c>
      <c r="K39" s="65">
        <f t="shared" si="6"/>
        <v>0</v>
      </c>
    </row>
    <row r="40" spans="2:11" x14ac:dyDescent="0.2">
      <c r="B40" s="26">
        <v>31</v>
      </c>
      <c r="C40" s="50" t="str">
        <f t="shared" si="9"/>
        <v>Thursday</v>
      </c>
      <c r="D40" s="52">
        <v>1.25</v>
      </c>
      <c r="E40" t="s">
        <v>42</v>
      </c>
      <c r="F40" s="40">
        <f t="shared" si="8"/>
        <v>3.4332694957598457</v>
      </c>
      <c r="G40" s="40">
        <f t="shared" si="8"/>
        <v>1.8717327794185254</v>
      </c>
      <c r="H40" s="40">
        <f t="shared" si="8"/>
        <v>0.32981104388639787</v>
      </c>
      <c r="I40" s="65">
        <f t="shared" si="4"/>
        <v>8239.8467898236304</v>
      </c>
      <c r="J40" s="65">
        <f t="shared" si="5"/>
        <v>4492.1586706044609</v>
      </c>
      <c r="K40" s="65">
        <f t="shared" si="6"/>
        <v>791.54650532735491</v>
      </c>
    </row>
    <row r="41" spans="2:11" x14ac:dyDescent="0.2">
      <c r="B41" s="26">
        <v>32</v>
      </c>
      <c r="C41" s="50" t="str">
        <f t="shared" si="9"/>
        <v>Thursday</v>
      </c>
      <c r="D41" s="52">
        <v>1.2916666666666701</v>
      </c>
      <c r="E41" t="s">
        <v>42</v>
      </c>
      <c r="F41" s="40">
        <f t="shared" si="8"/>
        <v>3.4332694957598457</v>
      </c>
      <c r="G41" s="40">
        <f t="shared" si="8"/>
        <v>1.8717327794185254</v>
      </c>
      <c r="H41" s="40">
        <f t="shared" si="8"/>
        <v>0.32981104388639787</v>
      </c>
      <c r="I41" s="65">
        <f t="shared" si="4"/>
        <v>8239.8467898236304</v>
      </c>
      <c r="J41" s="65">
        <f t="shared" si="5"/>
        <v>4492.1586706044609</v>
      </c>
      <c r="K41" s="65">
        <f t="shared" si="6"/>
        <v>791.54650532735491</v>
      </c>
    </row>
    <row r="42" spans="2:11" x14ac:dyDescent="0.2">
      <c r="B42" s="26">
        <v>33</v>
      </c>
      <c r="C42" s="50" t="str">
        <f t="shared" si="9"/>
        <v>Thursday</v>
      </c>
      <c r="D42" s="52">
        <v>1.3333333333333299</v>
      </c>
      <c r="E42" t="s">
        <v>42</v>
      </c>
      <c r="F42" s="40">
        <f t="shared" si="8"/>
        <v>0</v>
      </c>
      <c r="G42" s="40">
        <f t="shared" si="8"/>
        <v>0</v>
      </c>
      <c r="H42" s="40">
        <f t="shared" si="8"/>
        <v>0</v>
      </c>
      <c r="I42" s="65">
        <f t="shared" si="4"/>
        <v>0</v>
      </c>
      <c r="J42" s="65">
        <f t="shared" si="5"/>
        <v>0</v>
      </c>
      <c r="K42" s="65">
        <f t="shared" si="6"/>
        <v>0</v>
      </c>
    </row>
    <row r="43" spans="2:11" x14ac:dyDescent="0.2">
      <c r="B43" s="26">
        <v>34</v>
      </c>
      <c r="C43" s="50" t="str">
        <f t="shared" si="9"/>
        <v>Thursday</v>
      </c>
      <c r="D43" s="52">
        <v>1.375</v>
      </c>
      <c r="E43" t="s">
        <v>42</v>
      </c>
      <c r="F43" s="40">
        <f t="shared" si="8"/>
        <v>0</v>
      </c>
      <c r="G43" s="40">
        <f t="shared" si="8"/>
        <v>0</v>
      </c>
      <c r="H43" s="40">
        <f t="shared" si="8"/>
        <v>0</v>
      </c>
      <c r="I43" s="65">
        <f t="shared" si="4"/>
        <v>0</v>
      </c>
      <c r="J43" s="65">
        <f t="shared" si="5"/>
        <v>0</v>
      </c>
      <c r="K43" s="65">
        <f t="shared" si="6"/>
        <v>0</v>
      </c>
    </row>
    <row r="44" spans="2:11" x14ac:dyDescent="0.2">
      <c r="B44" s="26">
        <v>35</v>
      </c>
      <c r="C44" s="50" t="str">
        <f t="shared" si="9"/>
        <v>Thursday</v>
      </c>
      <c r="D44" s="52">
        <v>1.4166666666666701</v>
      </c>
      <c r="E44" t="s">
        <v>42</v>
      </c>
      <c r="F44" s="40">
        <f t="shared" si="8"/>
        <v>0</v>
      </c>
      <c r="G44" s="40">
        <f t="shared" si="8"/>
        <v>0</v>
      </c>
      <c r="H44" s="40">
        <f t="shared" si="8"/>
        <v>0</v>
      </c>
      <c r="I44" s="65">
        <f t="shared" si="4"/>
        <v>0</v>
      </c>
      <c r="J44" s="65">
        <f t="shared" si="5"/>
        <v>0</v>
      </c>
      <c r="K44" s="65">
        <f t="shared" si="6"/>
        <v>0</v>
      </c>
    </row>
    <row r="45" spans="2:11" x14ac:dyDescent="0.2">
      <c r="B45" s="26">
        <v>36</v>
      </c>
      <c r="C45" s="50" t="str">
        <f t="shared" si="9"/>
        <v>Thursday</v>
      </c>
      <c r="D45" s="52">
        <v>1.4583333333333299</v>
      </c>
      <c r="E45" t="s">
        <v>42</v>
      </c>
      <c r="F45" s="40">
        <f t="shared" si="8"/>
        <v>0</v>
      </c>
      <c r="G45" s="40">
        <f t="shared" si="8"/>
        <v>0</v>
      </c>
      <c r="H45" s="40">
        <f t="shared" si="8"/>
        <v>0</v>
      </c>
      <c r="I45" s="65">
        <f t="shared" si="4"/>
        <v>0</v>
      </c>
      <c r="J45" s="65">
        <f t="shared" si="5"/>
        <v>0</v>
      </c>
      <c r="K45" s="65">
        <f t="shared" si="6"/>
        <v>0</v>
      </c>
    </row>
    <row r="46" spans="2:11" x14ac:dyDescent="0.2">
      <c r="B46" s="26">
        <v>37</v>
      </c>
      <c r="C46" s="50" t="str">
        <f t="shared" si="9"/>
        <v>Thursday</v>
      </c>
      <c r="D46" s="52">
        <v>1.5</v>
      </c>
      <c r="E46" t="s">
        <v>42</v>
      </c>
      <c r="F46" s="40">
        <f t="shared" si="8"/>
        <v>0</v>
      </c>
      <c r="G46" s="40">
        <f t="shared" si="8"/>
        <v>0</v>
      </c>
      <c r="H46" s="40">
        <f t="shared" si="8"/>
        <v>0</v>
      </c>
      <c r="I46" s="65">
        <f t="shared" si="4"/>
        <v>0</v>
      </c>
      <c r="J46" s="65">
        <f t="shared" si="5"/>
        <v>0</v>
      </c>
      <c r="K46" s="65">
        <f t="shared" si="6"/>
        <v>0</v>
      </c>
    </row>
    <row r="47" spans="2:11" x14ac:dyDescent="0.2">
      <c r="B47" s="26">
        <v>38</v>
      </c>
      <c r="C47" s="50" t="str">
        <f t="shared" si="9"/>
        <v>Thursday</v>
      </c>
      <c r="D47" s="52">
        <v>1.5416666666666701</v>
      </c>
      <c r="E47" t="s">
        <v>42</v>
      </c>
      <c r="F47" s="40">
        <f t="shared" si="8"/>
        <v>0</v>
      </c>
      <c r="G47" s="40">
        <f t="shared" si="8"/>
        <v>0</v>
      </c>
      <c r="H47" s="40">
        <f t="shared" si="8"/>
        <v>0</v>
      </c>
      <c r="I47" s="65">
        <f t="shared" si="4"/>
        <v>0</v>
      </c>
      <c r="J47" s="65">
        <f t="shared" si="5"/>
        <v>0</v>
      </c>
      <c r="K47" s="65">
        <f t="shared" si="6"/>
        <v>0</v>
      </c>
    </row>
    <row r="48" spans="2:11" x14ac:dyDescent="0.2">
      <c r="B48" s="26">
        <v>39</v>
      </c>
      <c r="C48" s="50" t="str">
        <f t="shared" si="9"/>
        <v>Thursday</v>
      </c>
      <c r="D48" s="52">
        <v>1.5833333333333299</v>
      </c>
      <c r="E48" t="s">
        <v>42</v>
      </c>
      <c r="F48" s="40">
        <f t="shared" si="8"/>
        <v>0</v>
      </c>
      <c r="G48" s="40">
        <f t="shared" si="8"/>
        <v>0</v>
      </c>
      <c r="H48" s="40">
        <f t="shared" si="8"/>
        <v>0</v>
      </c>
      <c r="I48" s="65">
        <f t="shared" si="4"/>
        <v>0</v>
      </c>
      <c r="J48" s="65">
        <f t="shared" si="5"/>
        <v>0</v>
      </c>
      <c r="K48" s="65">
        <f t="shared" si="6"/>
        <v>0</v>
      </c>
    </row>
    <row r="49" spans="2:11" x14ac:dyDescent="0.2">
      <c r="B49" s="26">
        <v>40</v>
      </c>
      <c r="C49" s="50" t="str">
        <f t="shared" si="9"/>
        <v>Thursday</v>
      </c>
      <c r="D49" s="52">
        <v>1.625</v>
      </c>
      <c r="E49" t="s">
        <v>42</v>
      </c>
      <c r="F49" s="40">
        <f t="shared" si="8"/>
        <v>3.4332694957598457</v>
      </c>
      <c r="G49" s="40">
        <f t="shared" si="8"/>
        <v>1.8717327794185254</v>
      </c>
      <c r="H49" s="40">
        <f t="shared" si="8"/>
        <v>0.32981104388639787</v>
      </c>
      <c r="I49" s="65">
        <f t="shared" si="4"/>
        <v>8239.8467898236304</v>
      </c>
      <c r="J49" s="65">
        <f t="shared" si="5"/>
        <v>4492.1586706044609</v>
      </c>
      <c r="K49" s="65">
        <f t="shared" si="6"/>
        <v>791.54650532735491</v>
      </c>
    </row>
    <row r="50" spans="2:11" x14ac:dyDescent="0.2">
      <c r="B50" s="26">
        <v>41</v>
      </c>
      <c r="C50" s="50" t="str">
        <f t="shared" si="9"/>
        <v>Thursday</v>
      </c>
      <c r="D50" s="52">
        <v>1.6666666666666701</v>
      </c>
      <c r="E50" t="s">
        <v>42</v>
      </c>
      <c r="F50" s="40">
        <f t="shared" si="8"/>
        <v>3.4332694957598457</v>
      </c>
      <c r="G50" s="40">
        <f t="shared" si="8"/>
        <v>1.8717327794185254</v>
      </c>
      <c r="H50" s="40">
        <f t="shared" si="8"/>
        <v>0.32981104388639787</v>
      </c>
      <c r="I50" s="65">
        <f t="shared" si="4"/>
        <v>8239.8467898236304</v>
      </c>
      <c r="J50" s="65">
        <f t="shared" si="5"/>
        <v>4492.1586706044609</v>
      </c>
      <c r="K50" s="65">
        <f t="shared" si="6"/>
        <v>791.54650532735491</v>
      </c>
    </row>
    <row r="51" spans="2:11" x14ac:dyDescent="0.2">
      <c r="B51" s="26">
        <v>42</v>
      </c>
      <c r="C51" s="50" t="str">
        <f t="shared" si="9"/>
        <v>Thursday</v>
      </c>
      <c r="D51" s="52">
        <v>1.7083333333333299</v>
      </c>
      <c r="E51" t="s">
        <v>42</v>
      </c>
      <c r="F51" s="40">
        <f t="shared" si="8"/>
        <v>3.4332694957598457</v>
      </c>
      <c r="G51" s="40">
        <f t="shared" si="8"/>
        <v>1.8717327794185254</v>
      </c>
      <c r="H51" s="40">
        <f t="shared" si="8"/>
        <v>0.32981104388639787</v>
      </c>
      <c r="I51" s="65">
        <f t="shared" si="4"/>
        <v>8239.8467898236304</v>
      </c>
      <c r="J51" s="65">
        <f t="shared" si="5"/>
        <v>4492.1586706044609</v>
      </c>
      <c r="K51" s="65">
        <f t="shared" si="6"/>
        <v>791.54650532735491</v>
      </c>
    </row>
    <row r="52" spans="2:11" x14ac:dyDescent="0.2">
      <c r="B52" s="26">
        <v>43</v>
      </c>
      <c r="C52" s="50" t="str">
        <f t="shared" si="9"/>
        <v>Thursday</v>
      </c>
      <c r="D52" s="52">
        <v>1.75</v>
      </c>
      <c r="E52" t="s">
        <v>42</v>
      </c>
      <c r="F52" s="40">
        <f t="shared" si="8"/>
        <v>3.4332694957598457</v>
      </c>
      <c r="G52" s="40">
        <f t="shared" si="8"/>
        <v>1.8717327794185254</v>
      </c>
      <c r="H52" s="40">
        <f t="shared" si="8"/>
        <v>0.32981104388639787</v>
      </c>
      <c r="I52" s="65">
        <f t="shared" si="4"/>
        <v>8239.8467898236304</v>
      </c>
      <c r="J52" s="65">
        <f t="shared" si="5"/>
        <v>4492.1586706044609</v>
      </c>
      <c r="K52" s="65">
        <f t="shared" si="6"/>
        <v>791.54650532735491</v>
      </c>
    </row>
    <row r="53" spans="2:11" x14ac:dyDescent="0.2">
      <c r="B53" s="26">
        <v>44</v>
      </c>
      <c r="C53" s="50" t="str">
        <f t="shared" si="9"/>
        <v>Thursday</v>
      </c>
      <c r="D53" s="52">
        <v>1.7916666666666701</v>
      </c>
      <c r="E53" t="s">
        <v>42</v>
      </c>
      <c r="F53" s="40">
        <f t="shared" si="8"/>
        <v>3.4332694957598457</v>
      </c>
      <c r="G53" s="40">
        <f t="shared" si="8"/>
        <v>1.8717327794185254</v>
      </c>
      <c r="H53" s="40">
        <f t="shared" si="8"/>
        <v>0.32981104388639787</v>
      </c>
      <c r="I53" s="65">
        <f t="shared" si="4"/>
        <v>8239.8467898236304</v>
      </c>
      <c r="J53" s="65">
        <f t="shared" si="5"/>
        <v>4492.1586706044609</v>
      </c>
      <c r="K53" s="65">
        <f t="shared" si="6"/>
        <v>791.54650532735491</v>
      </c>
    </row>
    <row r="54" spans="2:11" x14ac:dyDescent="0.2">
      <c r="B54" s="26">
        <v>45</v>
      </c>
      <c r="C54" s="50" t="str">
        <f t="shared" si="9"/>
        <v>Thursday</v>
      </c>
      <c r="D54" s="52">
        <v>1.8333333333333299</v>
      </c>
      <c r="E54" t="s">
        <v>42</v>
      </c>
      <c r="F54" s="40">
        <f t="shared" si="8"/>
        <v>3.4332694957598457</v>
      </c>
      <c r="G54" s="40">
        <f t="shared" si="8"/>
        <v>1.8717327794185254</v>
      </c>
      <c r="H54" s="40">
        <f t="shared" si="8"/>
        <v>0.32981104388639787</v>
      </c>
      <c r="I54" s="65">
        <f t="shared" si="4"/>
        <v>8239.8467898236304</v>
      </c>
      <c r="J54" s="65">
        <f t="shared" si="5"/>
        <v>4492.1586706044609</v>
      </c>
      <c r="K54" s="65">
        <f t="shared" si="6"/>
        <v>791.54650532735491</v>
      </c>
    </row>
    <row r="55" spans="2:11" x14ac:dyDescent="0.2">
      <c r="B55" s="26">
        <v>46</v>
      </c>
      <c r="C55" s="50" t="str">
        <f t="shared" si="9"/>
        <v>Thursday</v>
      </c>
      <c r="D55" s="52">
        <v>1.875</v>
      </c>
      <c r="E55" t="s">
        <v>42</v>
      </c>
      <c r="F55" s="40">
        <f t="shared" si="8"/>
        <v>3.4332694957598457</v>
      </c>
      <c r="G55" s="40">
        <f t="shared" si="8"/>
        <v>1.8717327794185254</v>
      </c>
      <c r="H55" s="40">
        <f t="shared" si="8"/>
        <v>0.32981104388639787</v>
      </c>
      <c r="I55" s="65">
        <f t="shared" si="4"/>
        <v>8239.8467898236304</v>
      </c>
      <c r="J55" s="65">
        <f t="shared" si="5"/>
        <v>4492.1586706044609</v>
      </c>
      <c r="K55" s="65">
        <f t="shared" si="6"/>
        <v>791.54650532735491</v>
      </c>
    </row>
    <row r="56" spans="2:11" x14ac:dyDescent="0.2">
      <c r="B56" s="26">
        <v>47</v>
      </c>
      <c r="C56" s="50" t="str">
        <f t="shared" si="9"/>
        <v>Thursday</v>
      </c>
      <c r="D56" s="52">
        <v>1.9166666666666701</v>
      </c>
      <c r="E56" t="s">
        <v>42</v>
      </c>
      <c r="F56" s="40">
        <f t="shared" si="8"/>
        <v>0</v>
      </c>
      <c r="G56" s="40">
        <f t="shared" si="8"/>
        <v>0</v>
      </c>
      <c r="H56" s="40">
        <f t="shared" si="8"/>
        <v>0</v>
      </c>
      <c r="I56" s="65">
        <f t="shared" si="4"/>
        <v>0</v>
      </c>
      <c r="J56" s="65">
        <f t="shared" si="5"/>
        <v>0</v>
      </c>
      <c r="K56" s="65">
        <f t="shared" si="6"/>
        <v>0</v>
      </c>
    </row>
    <row r="57" spans="2:11" x14ac:dyDescent="0.2">
      <c r="B57" s="26">
        <v>48</v>
      </c>
      <c r="C57" s="50" t="str">
        <f t="shared" si="9"/>
        <v>Thursday</v>
      </c>
      <c r="D57" s="52">
        <v>1.9583333333333299</v>
      </c>
      <c r="E57" t="s">
        <v>42</v>
      </c>
      <c r="F57" s="40">
        <f t="shared" si="8"/>
        <v>0</v>
      </c>
      <c r="G57" s="40">
        <f t="shared" si="8"/>
        <v>0</v>
      </c>
      <c r="H57" s="40">
        <f t="shared" si="8"/>
        <v>0</v>
      </c>
      <c r="I57" s="65">
        <f t="shared" si="4"/>
        <v>0</v>
      </c>
      <c r="J57" s="65">
        <f t="shared" si="5"/>
        <v>0</v>
      </c>
      <c r="K57" s="65">
        <f t="shared" si="6"/>
        <v>0</v>
      </c>
    </row>
    <row r="58" spans="2:11" x14ac:dyDescent="0.2">
      <c r="B58" s="26">
        <v>49</v>
      </c>
      <c r="C58" t="s">
        <v>69</v>
      </c>
      <c r="D58" s="52">
        <v>2</v>
      </c>
      <c r="E58" t="s">
        <v>42</v>
      </c>
      <c r="F58" s="40">
        <f t="shared" si="8"/>
        <v>0</v>
      </c>
      <c r="G58" s="40">
        <f>G10</f>
        <v>0</v>
      </c>
      <c r="H58" s="40">
        <f>H10</f>
        <v>0</v>
      </c>
      <c r="I58" s="65">
        <f t="shared" si="4"/>
        <v>0</v>
      </c>
      <c r="J58" s="65">
        <f t="shared" si="5"/>
        <v>0</v>
      </c>
      <c r="K58" s="65">
        <f t="shared" si="6"/>
        <v>0</v>
      </c>
    </row>
    <row r="59" spans="2:11" x14ac:dyDescent="0.2">
      <c r="B59" s="26">
        <v>50</v>
      </c>
      <c r="C59" s="50" t="str">
        <f>C58</f>
        <v>Friday</v>
      </c>
      <c r="D59" s="52">
        <v>2.0416666666666701</v>
      </c>
      <c r="E59" t="s">
        <v>42</v>
      </c>
      <c r="F59" s="40">
        <f t="shared" si="8"/>
        <v>0</v>
      </c>
      <c r="G59" s="40">
        <f t="shared" ref="G59:H81" si="10">G11</f>
        <v>0</v>
      </c>
      <c r="H59" s="40">
        <f t="shared" si="10"/>
        <v>0</v>
      </c>
      <c r="I59" s="65">
        <f t="shared" si="4"/>
        <v>0</v>
      </c>
      <c r="J59" s="65">
        <f t="shared" si="5"/>
        <v>0</v>
      </c>
      <c r="K59" s="65">
        <f t="shared" si="6"/>
        <v>0</v>
      </c>
    </row>
    <row r="60" spans="2:11" x14ac:dyDescent="0.2">
      <c r="B60" s="26">
        <v>51</v>
      </c>
      <c r="C60" s="50" t="str">
        <f t="shared" ref="C60:C81" si="11">C59</f>
        <v>Friday</v>
      </c>
      <c r="D60" s="52">
        <v>2.0833333333333299</v>
      </c>
      <c r="E60" t="s">
        <v>42</v>
      </c>
      <c r="F60" s="40">
        <f t="shared" si="8"/>
        <v>0</v>
      </c>
      <c r="G60" s="40">
        <f t="shared" si="10"/>
        <v>0</v>
      </c>
      <c r="H60" s="40">
        <f t="shared" si="10"/>
        <v>0</v>
      </c>
      <c r="I60" s="65">
        <f t="shared" si="4"/>
        <v>0</v>
      </c>
      <c r="J60" s="65">
        <f t="shared" si="5"/>
        <v>0</v>
      </c>
      <c r="K60" s="65">
        <f t="shared" si="6"/>
        <v>0</v>
      </c>
    </row>
    <row r="61" spans="2:11" x14ac:dyDescent="0.2">
      <c r="B61" s="26">
        <v>52</v>
      </c>
      <c r="C61" s="50" t="str">
        <f t="shared" si="11"/>
        <v>Friday</v>
      </c>
      <c r="D61" s="52">
        <v>2.125</v>
      </c>
      <c r="E61" t="s">
        <v>42</v>
      </c>
      <c r="F61" s="40">
        <f t="shared" si="8"/>
        <v>0</v>
      </c>
      <c r="G61" s="40">
        <f t="shared" si="10"/>
        <v>0</v>
      </c>
      <c r="H61" s="40">
        <f t="shared" si="10"/>
        <v>0</v>
      </c>
      <c r="I61" s="65">
        <f t="shared" si="4"/>
        <v>0</v>
      </c>
      <c r="J61" s="65">
        <f t="shared" si="5"/>
        <v>0</v>
      </c>
      <c r="K61" s="65">
        <f t="shared" si="6"/>
        <v>0</v>
      </c>
    </row>
    <row r="62" spans="2:11" x14ac:dyDescent="0.2">
      <c r="B62" s="26">
        <v>53</v>
      </c>
      <c r="C62" s="50" t="str">
        <f t="shared" si="11"/>
        <v>Friday</v>
      </c>
      <c r="D62" s="52">
        <v>2.1666666666666701</v>
      </c>
      <c r="E62" t="s">
        <v>42</v>
      </c>
      <c r="F62" s="40">
        <f t="shared" si="8"/>
        <v>0</v>
      </c>
      <c r="G62" s="40">
        <f t="shared" si="10"/>
        <v>0</v>
      </c>
      <c r="H62" s="40">
        <f t="shared" si="10"/>
        <v>0</v>
      </c>
      <c r="I62" s="65">
        <f t="shared" si="4"/>
        <v>0</v>
      </c>
      <c r="J62" s="65">
        <f t="shared" si="5"/>
        <v>0</v>
      </c>
      <c r="K62" s="65">
        <f t="shared" si="6"/>
        <v>0</v>
      </c>
    </row>
    <row r="63" spans="2:11" x14ac:dyDescent="0.2">
      <c r="B63" s="26">
        <v>54</v>
      </c>
      <c r="C63" s="50" t="str">
        <f t="shared" si="11"/>
        <v>Friday</v>
      </c>
      <c r="D63" s="52">
        <v>2.2083333333333401</v>
      </c>
      <c r="E63" t="s">
        <v>42</v>
      </c>
      <c r="F63" s="40">
        <f t="shared" si="8"/>
        <v>0</v>
      </c>
      <c r="G63" s="40">
        <f t="shared" si="10"/>
        <v>0</v>
      </c>
      <c r="H63" s="40">
        <f t="shared" si="10"/>
        <v>0</v>
      </c>
      <c r="I63" s="65">
        <f t="shared" si="4"/>
        <v>0</v>
      </c>
      <c r="J63" s="65">
        <f t="shared" si="5"/>
        <v>0</v>
      </c>
      <c r="K63" s="65">
        <f t="shared" si="6"/>
        <v>0</v>
      </c>
    </row>
    <row r="64" spans="2:11" x14ac:dyDescent="0.2">
      <c r="B64" s="26">
        <v>55</v>
      </c>
      <c r="C64" s="50" t="str">
        <f t="shared" si="11"/>
        <v>Friday</v>
      </c>
      <c r="D64" s="52">
        <v>2.25</v>
      </c>
      <c r="E64" t="s">
        <v>42</v>
      </c>
      <c r="F64" s="40">
        <f t="shared" si="8"/>
        <v>3.4332694957598457</v>
      </c>
      <c r="G64" s="40">
        <f t="shared" si="10"/>
        <v>1.8717327794185254</v>
      </c>
      <c r="H64" s="40">
        <f t="shared" si="10"/>
        <v>0.32981104388639787</v>
      </c>
      <c r="I64" s="65">
        <f t="shared" si="4"/>
        <v>8239.8467898236304</v>
      </c>
      <c r="J64" s="65">
        <f t="shared" si="5"/>
        <v>4492.1586706044609</v>
      </c>
      <c r="K64" s="65">
        <f t="shared" si="6"/>
        <v>791.54650532735491</v>
      </c>
    </row>
    <row r="65" spans="2:11" x14ac:dyDescent="0.2">
      <c r="B65" s="26">
        <v>56</v>
      </c>
      <c r="C65" s="50" t="str">
        <f t="shared" si="11"/>
        <v>Friday</v>
      </c>
      <c r="D65" s="52">
        <v>2.2916666666666701</v>
      </c>
      <c r="E65" t="s">
        <v>42</v>
      </c>
      <c r="F65" s="40">
        <f t="shared" si="8"/>
        <v>3.4332694957598457</v>
      </c>
      <c r="G65" s="40">
        <f t="shared" si="10"/>
        <v>1.8717327794185254</v>
      </c>
      <c r="H65" s="40">
        <f t="shared" si="10"/>
        <v>0.32981104388639787</v>
      </c>
      <c r="I65" s="65">
        <f t="shared" si="4"/>
        <v>8239.8467898236304</v>
      </c>
      <c r="J65" s="65">
        <f t="shared" si="5"/>
        <v>4492.1586706044609</v>
      </c>
      <c r="K65" s="65">
        <f t="shared" si="6"/>
        <v>791.54650532735491</v>
      </c>
    </row>
    <row r="66" spans="2:11" x14ac:dyDescent="0.2">
      <c r="B66" s="26">
        <v>57</v>
      </c>
      <c r="C66" s="50" t="str">
        <f t="shared" si="11"/>
        <v>Friday</v>
      </c>
      <c r="D66" s="52">
        <v>2.3333333333333401</v>
      </c>
      <c r="E66" t="s">
        <v>42</v>
      </c>
      <c r="F66" s="40">
        <f t="shared" si="8"/>
        <v>0</v>
      </c>
      <c r="G66" s="40">
        <f t="shared" si="10"/>
        <v>0</v>
      </c>
      <c r="H66" s="40">
        <f t="shared" si="10"/>
        <v>0</v>
      </c>
      <c r="I66" s="65">
        <f t="shared" si="4"/>
        <v>0</v>
      </c>
      <c r="J66" s="65">
        <f t="shared" si="5"/>
        <v>0</v>
      </c>
      <c r="K66" s="65">
        <f t="shared" si="6"/>
        <v>0</v>
      </c>
    </row>
    <row r="67" spans="2:11" x14ac:dyDescent="0.2">
      <c r="B67" s="26">
        <v>58</v>
      </c>
      <c r="C67" s="50" t="str">
        <f t="shared" si="11"/>
        <v>Friday</v>
      </c>
      <c r="D67" s="52">
        <v>2.375</v>
      </c>
      <c r="E67" t="s">
        <v>42</v>
      </c>
      <c r="F67" s="40">
        <f t="shared" si="8"/>
        <v>0</v>
      </c>
      <c r="G67" s="40">
        <f t="shared" si="10"/>
        <v>0</v>
      </c>
      <c r="H67" s="40">
        <f t="shared" si="10"/>
        <v>0</v>
      </c>
      <c r="I67" s="65">
        <f t="shared" si="4"/>
        <v>0</v>
      </c>
      <c r="J67" s="65">
        <f t="shared" si="5"/>
        <v>0</v>
      </c>
      <c r="K67" s="65">
        <f t="shared" si="6"/>
        <v>0</v>
      </c>
    </row>
    <row r="68" spans="2:11" x14ac:dyDescent="0.2">
      <c r="B68" s="26">
        <v>59</v>
      </c>
      <c r="C68" s="50" t="str">
        <f t="shared" si="11"/>
        <v>Friday</v>
      </c>
      <c r="D68" s="52">
        <v>2.4166666666666701</v>
      </c>
      <c r="E68" t="s">
        <v>42</v>
      </c>
      <c r="F68" s="40">
        <f t="shared" si="8"/>
        <v>0</v>
      </c>
      <c r="G68" s="40">
        <f t="shared" si="10"/>
        <v>0</v>
      </c>
      <c r="H68" s="40">
        <f t="shared" si="10"/>
        <v>0</v>
      </c>
      <c r="I68" s="65">
        <f t="shared" si="4"/>
        <v>0</v>
      </c>
      <c r="J68" s="65">
        <f t="shared" si="5"/>
        <v>0</v>
      </c>
      <c r="K68" s="65">
        <f t="shared" si="6"/>
        <v>0</v>
      </c>
    </row>
    <row r="69" spans="2:11" x14ac:dyDescent="0.2">
      <c r="B69" s="26">
        <v>60</v>
      </c>
      <c r="C69" s="50" t="str">
        <f t="shared" si="11"/>
        <v>Friday</v>
      </c>
      <c r="D69" s="52">
        <v>2.4583333333333401</v>
      </c>
      <c r="E69" t="s">
        <v>42</v>
      </c>
      <c r="F69" s="40">
        <f t="shared" si="8"/>
        <v>0</v>
      </c>
      <c r="G69" s="40">
        <f t="shared" si="10"/>
        <v>0</v>
      </c>
      <c r="H69" s="40">
        <f t="shared" si="10"/>
        <v>0</v>
      </c>
      <c r="I69" s="65">
        <f t="shared" si="4"/>
        <v>0</v>
      </c>
      <c r="J69" s="65">
        <f t="shared" si="5"/>
        <v>0</v>
      </c>
      <c r="K69" s="65">
        <f t="shared" si="6"/>
        <v>0</v>
      </c>
    </row>
    <row r="70" spans="2:11" x14ac:dyDescent="0.2">
      <c r="B70" s="26">
        <v>61</v>
      </c>
      <c r="C70" s="50" t="str">
        <f t="shared" si="11"/>
        <v>Friday</v>
      </c>
      <c r="D70" s="52">
        <v>2.5</v>
      </c>
      <c r="E70" t="s">
        <v>42</v>
      </c>
      <c r="F70" s="40">
        <f t="shared" si="8"/>
        <v>0</v>
      </c>
      <c r="G70" s="40">
        <f t="shared" si="10"/>
        <v>0</v>
      </c>
      <c r="H70" s="40">
        <f t="shared" si="10"/>
        <v>0</v>
      </c>
      <c r="I70" s="65">
        <f t="shared" si="4"/>
        <v>0</v>
      </c>
      <c r="J70" s="65">
        <f t="shared" si="5"/>
        <v>0</v>
      </c>
      <c r="K70" s="65">
        <f t="shared" si="6"/>
        <v>0</v>
      </c>
    </row>
    <row r="71" spans="2:11" x14ac:dyDescent="0.2">
      <c r="B71" s="26">
        <v>62</v>
      </c>
      <c r="C71" s="50" t="str">
        <f t="shared" si="11"/>
        <v>Friday</v>
      </c>
      <c r="D71" s="52">
        <v>2.5416666666666701</v>
      </c>
      <c r="E71" t="s">
        <v>42</v>
      </c>
      <c r="F71" s="40">
        <f t="shared" si="8"/>
        <v>0</v>
      </c>
      <c r="G71" s="40">
        <f t="shared" si="10"/>
        <v>0</v>
      </c>
      <c r="H71" s="40">
        <f t="shared" si="10"/>
        <v>0</v>
      </c>
      <c r="I71" s="65">
        <f t="shared" si="4"/>
        <v>0</v>
      </c>
      <c r="J71" s="65">
        <f t="shared" si="5"/>
        <v>0</v>
      </c>
      <c r="K71" s="65">
        <f t="shared" si="6"/>
        <v>0</v>
      </c>
    </row>
    <row r="72" spans="2:11" x14ac:dyDescent="0.2">
      <c r="B72" s="26">
        <v>63</v>
      </c>
      <c r="C72" s="50" t="str">
        <f t="shared" si="11"/>
        <v>Friday</v>
      </c>
      <c r="D72" s="52">
        <v>2.5833333333333401</v>
      </c>
      <c r="E72" t="s">
        <v>42</v>
      </c>
      <c r="F72" s="40">
        <f t="shared" si="8"/>
        <v>0</v>
      </c>
      <c r="G72" s="40">
        <f t="shared" si="10"/>
        <v>0</v>
      </c>
      <c r="H72" s="40">
        <f t="shared" si="10"/>
        <v>0</v>
      </c>
      <c r="I72" s="65">
        <f t="shared" si="4"/>
        <v>0</v>
      </c>
      <c r="J72" s="65">
        <f t="shared" si="5"/>
        <v>0</v>
      </c>
      <c r="K72" s="65">
        <f t="shared" si="6"/>
        <v>0</v>
      </c>
    </row>
    <row r="73" spans="2:11" x14ac:dyDescent="0.2">
      <c r="B73" s="26">
        <v>64</v>
      </c>
      <c r="C73" s="50" t="str">
        <f t="shared" si="11"/>
        <v>Friday</v>
      </c>
      <c r="D73" s="52">
        <v>2.625</v>
      </c>
      <c r="E73" t="s">
        <v>42</v>
      </c>
      <c r="F73" s="40">
        <f t="shared" si="8"/>
        <v>3.4332694957598457</v>
      </c>
      <c r="G73" s="40">
        <f t="shared" si="10"/>
        <v>1.8717327794185254</v>
      </c>
      <c r="H73" s="40">
        <f t="shared" si="10"/>
        <v>0.32981104388639787</v>
      </c>
      <c r="I73" s="65">
        <f t="shared" si="4"/>
        <v>8239.8467898236304</v>
      </c>
      <c r="J73" s="65">
        <f t="shared" si="5"/>
        <v>4492.1586706044609</v>
      </c>
      <c r="K73" s="65">
        <f t="shared" si="6"/>
        <v>791.54650532735491</v>
      </c>
    </row>
    <row r="74" spans="2:11" x14ac:dyDescent="0.2">
      <c r="B74" s="26">
        <v>65</v>
      </c>
      <c r="C74" s="50" t="str">
        <f t="shared" si="11"/>
        <v>Friday</v>
      </c>
      <c r="D74" s="52">
        <v>2.6666666666666701</v>
      </c>
      <c r="E74" t="s">
        <v>42</v>
      </c>
      <c r="F74" s="40">
        <f t="shared" si="8"/>
        <v>3.4332694957598457</v>
      </c>
      <c r="G74" s="40">
        <f t="shared" si="10"/>
        <v>1.8717327794185254</v>
      </c>
      <c r="H74" s="40">
        <f t="shared" si="10"/>
        <v>0.32981104388639787</v>
      </c>
      <c r="I74" s="65">
        <f t="shared" si="4"/>
        <v>8239.8467898236304</v>
      </c>
      <c r="J74" s="65">
        <f t="shared" si="5"/>
        <v>4492.1586706044609</v>
      </c>
      <c r="K74" s="65">
        <f t="shared" si="6"/>
        <v>791.54650532735491</v>
      </c>
    </row>
    <row r="75" spans="2:11" x14ac:dyDescent="0.2">
      <c r="B75" s="26">
        <v>66</v>
      </c>
      <c r="C75" s="50" t="str">
        <f t="shared" si="11"/>
        <v>Friday</v>
      </c>
      <c r="D75" s="52">
        <v>2.7083333333333401</v>
      </c>
      <c r="E75" t="s">
        <v>42</v>
      </c>
      <c r="F75" s="40">
        <f t="shared" si="8"/>
        <v>3.4332694957598457</v>
      </c>
      <c r="G75" s="40">
        <f t="shared" si="10"/>
        <v>1.8717327794185254</v>
      </c>
      <c r="H75" s="40">
        <f t="shared" si="10"/>
        <v>0.32981104388639787</v>
      </c>
      <c r="I75" s="65">
        <f t="shared" ref="I75:I138" si="12">F75*$F$9</f>
        <v>8239.8467898236304</v>
      </c>
      <c r="J75" s="65">
        <f t="shared" ref="J75:J138" si="13">G75*$F$9</f>
        <v>4492.1586706044609</v>
      </c>
      <c r="K75" s="65">
        <f t="shared" ref="K75:K138" si="14">H75*$F$9</f>
        <v>791.54650532735491</v>
      </c>
    </row>
    <row r="76" spans="2:11" x14ac:dyDescent="0.2">
      <c r="B76" s="26">
        <v>67</v>
      </c>
      <c r="C76" s="50" t="str">
        <f t="shared" si="11"/>
        <v>Friday</v>
      </c>
      <c r="D76" s="52">
        <v>2.75</v>
      </c>
      <c r="E76" t="s">
        <v>42</v>
      </c>
      <c r="F76" s="40">
        <f t="shared" si="8"/>
        <v>3.4332694957598457</v>
      </c>
      <c r="G76" s="40">
        <f t="shared" si="10"/>
        <v>1.8717327794185254</v>
      </c>
      <c r="H76" s="40">
        <f t="shared" si="10"/>
        <v>0.32981104388639787</v>
      </c>
      <c r="I76" s="65">
        <f t="shared" si="12"/>
        <v>8239.8467898236304</v>
      </c>
      <c r="J76" s="65">
        <f t="shared" si="13"/>
        <v>4492.1586706044609</v>
      </c>
      <c r="K76" s="65">
        <f t="shared" si="14"/>
        <v>791.54650532735491</v>
      </c>
    </row>
    <row r="77" spans="2:11" x14ac:dyDescent="0.2">
      <c r="B77" s="26">
        <v>68</v>
      </c>
      <c r="C77" s="50" t="str">
        <f t="shared" si="11"/>
        <v>Friday</v>
      </c>
      <c r="D77" s="52">
        <v>2.7916666666666701</v>
      </c>
      <c r="E77" t="s">
        <v>42</v>
      </c>
      <c r="F77" s="40">
        <f t="shared" si="8"/>
        <v>3.4332694957598457</v>
      </c>
      <c r="G77" s="40">
        <f t="shared" si="10"/>
        <v>1.8717327794185254</v>
      </c>
      <c r="H77" s="40">
        <f t="shared" si="10"/>
        <v>0.32981104388639787</v>
      </c>
      <c r="I77" s="65">
        <f t="shared" si="12"/>
        <v>8239.8467898236304</v>
      </c>
      <c r="J77" s="65">
        <f t="shared" si="13"/>
        <v>4492.1586706044609</v>
      </c>
      <c r="K77" s="65">
        <f t="shared" si="14"/>
        <v>791.54650532735491</v>
      </c>
    </row>
    <row r="78" spans="2:11" x14ac:dyDescent="0.2">
      <c r="B78" s="26">
        <v>69</v>
      </c>
      <c r="C78" s="50" t="str">
        <f t="shared" si="11"/>
        <v>Friday</v>
      </c>
      <c r="D78" s="52">
        <v>2.8333333333333401</v>
      </c>
      <c r="E78" t="s">
        <v>42</v>
      </c>
      <c r="F78" s="40">
        <f t="shared" si="8"/>
        <v>3.4332694957598457</v>
      </c>
      <c r="G78" s="40">
        <f t="shared" si="10"/>
        <v>1.8717327794185254</v>
      </c>
      <c r="H78" s="40">
        <f t="shared" si="10"/>
        <v>0.32981104388639787</v>
      </c>
      <c r="I78" s="65">
        <f t="shared" si="12"/>
        <v>8239.8467898236304</v>
      </c>
      <c r="J78" s="65">
        <f t="shared" si="13"/>
        <v>4492.1586706044609</v>
      </c>
      <c r="K78" s="65">
        <f t="shared" si="14"/>
        <v>791.54650532735491</v>
      </c>
    </row>
    <row r="79" spans="2:11" x14ac:dyDescent="0.2">
      <c r="B79" s="26">
        <v>70</v>
      </c>
      <c r="C79" s="50" t="str">
        <f t="shared" si="11"/>
        <v>Friday</v>
      </c>
      <c r="D79" s="52">
        <v>2.875</v>
      </c>
      <c r="E79" t="s">
        <v>42</v>
      </c>
      <c r="F79" s="40">
        <f t="shared" si="8"/>
        <v>3.4332694957598457</v>
      </c>
      <c r="G79" s="40">
        <f t="shared" si="10"/>
        <v>1.8717327794185254</v>
      </c>
      <c r="H79" s="40">
        <f t="shared" si="10"/>
        <v>0.32981104388639787</v>
      </c>
      <c r="I79" s="65">
        <f t="shared" si="12"/>
        <v>8239.8467898236304</v>
      </c>
      <c r="J79" s="65">
        <f t="shared" si="13"/>
        <v>4492.1586706044609</v>
      </c>
      <c r="K79" s="65">
        <f t="shared" si="14"/>
        <v>791.54650532735491</v>
      </c>
    </row>
    <row r="80" spans="2:11" x14ac:dyDescent="0.2">
      <c r="B80" s="26">
        <v>71</v>
      </c>
      <c r="C80" s="50" t="str">
        <f t="shared" si="11"/>
        <v>Friday</v>
      </c>
      <c r="D80" s="52">
        <v>2.9166666666666701</v>
      </c>
      <c r="E80" t="s">
        <v>42</v>
      </c>
      <c r="F80" s="40">
        <f t="shared" si="8"/>
        <v>0</v>
      </c>
      <c r="G80" s="40">
        <f t="shared" si="10"/>
        <v>0</v>
      </c>
      <c r="H80" s="40">
        <f t="shared" si="10"/>
        <v>0</v>
      </c>
      <c r="I80" s="65">
        <f t="shared" si="12"/>
        <v>0</v>
      </c>
      <c r="J80" s="65">
        <f t="shared" si="13"/>
        <v>0</v>
      </c>
      <c r="K80" s="65">
        <f t="shared" si="14"/>
        <v>0</v>
      </c>
    </row>
    <row r="81" spans="2:11" x14ac:dyDescent="0.2">
      <c r="B81" s="26">
        <v>72</v>
      </c>
      <c r="C81" s="50" t="str">
        <f t="shared" si="11"/>
        <v>Friday</v>
      </c>
      <c r="D81" s="52">
        <v>2.9583333333333401</v>
      </c>
      <c r="E81" t="s">
        <v>42</v>
      </c>
      <c r="F81" s="40">
        <f t="shared" si="8"/>
        <v>0</v>
      </c>
      <c r="G81" s="40">
        <f t="shared" si="10"/>
        <v>0</v>
      </c>
      <c r="H81" s="40">
        <f t="shared" si="10"/>
        <v>0</v>
      </c>
      <c r="I81" s="65">
        <f t="shared" si="12"/>
        <v>0</v>
      </c>
      <c r="J81" s="65">
        <f t="shared" si="13"/>
        <v>0</v>
      </c>
      <c r="K81" s="65">
        <f t="shared" si="14"/>
        <v>0</v>
      </c>
    </row>
    <row r="82" spans="2:11" x14ac:dyDescent="0.2">
      <c r="B82" s="26">
        <v>73</v>
      </c>
      <c r="C82" t="s">
        <v>70</v>
      </c>
      <c r="D82" s="52">
        <v>3</v>
      </c>
      <c r="E82" t="s">
        <v>41</v>
      </c>
      <c r="F82" s="40">
        <f>'Daily Heat Demand Matrix (2)'!D6</f>
        <v>0</v>
      </c>
      <c r="G82" s="40">
        <f>'Daily Heat Demand Matrix (2)'!E6</f>
        <v>0</v>
      </c>
      <c r="H82" s="40">
        <f>'Daily Heat Demand Matrix (2)'!F6</f>
        <v>0</v>
      </c>
      <c r="I82" s="65">
        <f t="shared" si="12"/>
        <v>0</v>
      </c>
      <c r="J82" s="65">
        <f t="shared" si="13"/>
        <v>0</v>
      </c>
      <c r="K82" s="65">
        <f t="shared" si="14"/>
        <v>0</v>
      </c>
    </row>
    <row r="83" spans="2:11" x14ac:dyDescent="0.2">
      <c r="B83" s="26">
        <v>74</v>
      </c>
      <c r="C83" s="50" t="str">
        <f>C82</f>
        <v>Saturday</v>
      </c>
      <c r="D83" s="52">
        <v>3.0416666666666701</v>
      </c>
      <c r="E83" t="s">
        <v>41</v>
      </c>
      <c r="F83" s="40">
        <f>'Daily Heat Demand Matrix (2)'!D7</f>
        <v>0</v>
      </c>
      <c r="G83" s="40">
        <f>'Daily Heat Demand Matrix (2)'!E7</f>
        <v>0</v>
      </c>
      <c r="H83" s="40">
        <f>'Daily Heat Demand Matrix (2)'!F7</f>
        <v>0</v>
      </c>
      <c r="I83" s="65">
        <f t="shared" si="12"/>
        <v>0</v>
      </c>
      <c r="J83" s="65">
        <f t="shared" si="13"/>
        <v>0</v>
      </c>
      <c r="K83" s="65">
        <f t="shared" si="14"/>
        <v>0</v>
      </c>
    </row>
    <row r="84" spans="2:11" x14ac:dyDescent="0.2">
      <c r="B84" s="26">
        <v>75</v>
      </c>
      <c r="C84" s="50" t="str">
        <f t="shared" ref="C84:C105" si="15">C83</f>
        <v>Saturday</v>
      </c>
      <c r="D84" s="52">
        <v>3.0833333333333401</v>
      </c>
      <c r="E84" t="s">
        <v>41</v>
      </c>
      <c r="F84" s="40">
        <f>'Daily Heat Demand Matrix (2)'!D8</f>
        <v>0</v>
      </c>
      <c r="G84" s="40">
        <f>'Daily Heat Demand Matrix (2)'!E8</f>
        <v>0</v>
      </c>
      <c r="H84" s="40">
        <f>'Daily Heat Demand Matrix (2)'!F8</f>
        <v>0</v>
      </c>
      <c r="I84" s="65">
        <f t="shared" si="12"/>
        <v>0</v>
      </c>
      <c r="J84" s="65">
        <f t="shared" si="13"/>
        <v>0</v>
      </c>
      <c r="K84" s="65">
        <f t="shared" si="14"/>
        <v>0</v>
      </c>
    </row>
    <row r="85" spans="2:11" x14ac:dyDescent="0.2">
      <c r="B85" s="26">
        <v>76</v>
      </c>
      <c r="C85" s="50" t="str">
        <f t="shared" si="15"/>
        <v>Saturday</v>
      </c>
      <c r="D85" s="52">
        <v>3.125</v>
      </c>
      <c r="E85" t="s">
        <v>41</v>
      </c>
      <c r="F85" s="40">
        <f>'Daily Heat Demand Matrix (2)'!D9</f>
        <v>0</v>
      </c>
      <c r="G85" s="40">
        <f>'Daily Heat Demand Matrix (2)'!E9</f>
        <v>0</v>
      </c>
      <c r="H85" s="40">
        <f>'Daily Heat Demand Matrix (2)'!F9</f>
        <v>0</v>
      </c>
      <c r="I85" s="65">
        <f t="shared" si="12"/>
        <v>0</v>
      </c>
      <c r="J85" s="65">
        <f t="shared" si="13"/>
        <v>0</v>
      </c>
      <c r="K85" s="65">
        <f t="shared" si="14"/>
        <v>0</v>
      </c>
    </row>
    <row r="86" spans="2:11" x14ac:dyDescent="0.2">
      <c r="B86" s="26">
        <v>77</v>
      </c>
      <c r="C86" s="50" t="str">
        <f t="shared" si="15"/>
        <v>Saturday</v>
      </c>
      <c r="D86" s="52">
        <v>3.1666666666666701</v>
      </c>
      <c r="E86" t="s">
        <v>41</v>
      </c>
      <c r="F86" s="40">
        <f>'Daily Heat Demand Matrix (2)'!D10</f>
        <v>0</v>
      </c>
      <c r="G86" s="40">
        <f>'Daily Heat Demand Matrix (2)'!E10</f>
        <v>0</v>
      </c>
      <c r="H86" s="40">
        <f>'Daily Heat Demand Matrix (2)'!F10</f>
        <v>0</v>
      </c>
      <c r="I86" s="65">
        <f t="shared" si="12"/>
        <v>0</v>
      </c>
      <c r="J86" s="65">
        <f t="shared" si="13"/>
        <v>0</v>
      </c>
      <c r="K86" s="65">
        <f t="shared" si="14"/>
        <v>0</v>
      </c>
    </row>
    <row r="87" spans="2:11" x14ac:dyDescent="0.2">
      <c r="B87" s="26">
        <v>78</v>
      </c>
      <c r="C87" s="50" t="str">
        <f t="shared" si="15"/>
        <v>Saturday</v>
      </c>
      <c r="D87" s="52">
        <v>3.2083333333333401</v>
      </c>
      <c r="E87" t="s">
        <v>41</v>
      </c>
      <c r="F87" s="40">
        <f>'Daily Heat Demand Matrix (2)'!D11</f>
        <v>0</v>
      </c>
      <c r="G87" s="40">
        <f>'Daily Heat Demand Matrix (2)'!E11</f>
        <v>0</v>
      </c>
      <c r="H87" s="40">
        <f>'Daily Heat Demand Matrix (2)'!F11</f>
        <v>0</v>
      </c>
      <c r="I87" s="65">
        <f t="shared" si="12"/>
        <v>0</v>
      </c>
      <c r="J87" s="65">
        <f t="shared" si="13"/>
        <v>0</v>
      </c>
      <c r="K87" s="65">
        <f t="shared" si="14"/>
        <v>0</v>
      </c>
    </row>
    <row r="88" spans="2:11" x14ac:dyDescent="0.2">
      <c r="B88" s="26">
        <v>79</v>
      </c>
      <c r="C88" s="50" t="str">
        <f t="shared" si="15"/>
        <v>Saturday</v>
      </c>
      <c r="D88" s="52">
        <v>3.25</v>
      </c>
      <c r="E88" t="s">
        <v>41</v>
      </c>
      <c r="F88" s="40">
        <f>'Daily Heat Demand Matrix (2)'!D12</f>
        <v>3.4332694957598457</v>
      </c>
      <c r="G88" s="40">
        <f>'Daily Heat Demand Matrix (2)'!E12</f>
        <v>1.8717327794185254</v>
      </c>
      <c r="H88" s="40">
        <f>'Daily Heat Demand Matrix (2)'!F12</f>
        <v>0.32981104388639787</v>
      </c>
      <c r="I88" s="65">
        <f t="shared" si="12"/>
        <v>8239.8467898236304</v>
      </c>
      <c r="J88" s="65">
        <f t="shared" si="13"/>
        <v>4492.1586706044609</v>
      </c>
      <c r="K88" s="65">
        <f t="shared" si="14"/>
        <v>791.54650532735491</v>
      </c>
    </row>
    <row r="89" spans="2:11" x14ac:dyDescent="0.2">
      <c r="B89" s="26">
        <v>80</v>
      </c>
      <c r="C89" s="50" t="str">
        <f t="shared" si="15"/>
        <v>Saturday</v>
      </c>
      <c r="D89" s="52">
        <v>3.2916666666666701</v>
      </c>
      <c r="E89" t="s">
        <v>41</v>
      </c>
      <c r="F89" s="40">
        <f>'Daily Heat Demand Matrix (2)'!D13</f>
        <v>3.4332694957598457</v>
      </c>
      <c r="G89" s="40">
        <f>'Daily Heat Demand Matrix (2)'!E13</f>
        <v>1.8717327794185254</v>
      </c>
      <c r="H89" s="40">
        <f>'Daily Heat Demand Matrix (2)'!F13</f>
        <v>0.32981104388639787</v>
      </c>
      <c r="I89" s="65">
        <f t="shared" si="12"/>
        <v>8239.8467898236304</v>
      </c>
      <c r="J89" s="65">
        <f t="shared" si="13"/>
        <v>4492.1586706044609</v>
      </c>
      <c r="K89" s="65">
        <f t="shared" si="14"/>
        <v>791.54650532735491</v>
      </c>
    </row>
    <row r="90" spans="2:11" x14ac:dyDescent="0.2">
      <c r="B90" s="26">
        <v>81</v>
      </c>
      <c r="C90" s="50" t="str">
        <f t="shared" si="15"/>
        <v>Saturday</v>
      </c>
      <c r="D90" s="52">
        <v>3.3333333333333401</v>
      </c>
      <c r="E90" t="s">
        <v>41</v>
      </c>
      <c r="F90" s="40">
        <f>'Daily Heat Demand Matrix (2)'!D14</f>
        <v>3.4332694957598457</v>
      </c>
      <c r="G90" s="40">
        <f>'Daily Heat Demand Matrix (2)'!E14</f>
        <v>1.8717327794185254</v>
      </c>
      <c r="H90" s="40">
        <f>'Daily Heat Demand Matrix (2)'!F14</f>
        <v>0.32981104388639787</v>
      </c>
      <c r="I90" s="65">
        <f t="shared" si="12"/>
        <v>8239.8467898236304</v>
      </c>
      <c r="J90" s="65">
        <f t="shared" si="13"/>
        <v>4492.1586706044609</v>
      </c>
      <c r="K90" s="65">
        <f t="shared" si="14"/>
        <v>791.54650532735491</v>
      </c>
    </row>
    <row r="91" spans="2:11" x14ac:dyDescent="0.2">
      <c r="B91" s="26">
        <v>82</v>
      </c>
      <c r="C91" s="50" t="str">
        <f t="shared" si="15"/>
        <v>Saturday</v>
      </c>
      <c r="D91" s="52">
        <v>3.375</v>
      </c>
      <c r="E91" t="s">
        <v>41</v>
      </c>
      <c r="F91" s="40">
        <f>'Daily Heat Demand Matrix (2)'!D15</f>
        <v>3.4332694957598457</v>
      </c>
      <c r="G91" s="40">
        <f>'Daily Heat Demand Matrix (2)'!E15</f>
        <v>1.8717327794185254</v>
      </c>
      <c r="H91" s="40">
        <f>'Daily Heat Demand Matrix (2)'!F15</f>
        <v>0.32981104388639787</v>
      </c>
      <c r="I91" s="65">
        <f t="shared" si="12"/>
        <v>8239.8467898236304</v>
      </c>
      <c r="J91" s="65">
        <f t="shared" si="13"/>
        <v>4492.1586706044609</v>
      </c>
      <c r="K91" s="65">
        <f t="shared" si="14"/>
        <v>791.54650532735491</v>
      </c>
    </row>
    <row r="92" spans="2:11" x14ac:dyDescent="0.2">
      <c r="B92" s="26">
        <v>83</v>
      </c>
      <c r="C92" s="50" t="str">
        <f t="shared" si="15"/>
        <v>Saturday</v>
      </c>
      <c r="D92" s="52">
        <v>3.4166666666666701</v>
      </c>
      <c r="E92" t="s">
        <v>41</v>
      </c>
      <c r="F92" s="40">
        <f>'Daily Heat Demand Matrix (2)'!D16</f>
        <v>3.4332694957598457</v>
      </c>
      <c r="G92" s="40">
        <f>'Daily Heat Demand Matrix (2)'!E16</f>
        <v>1.8717327794185254</v>
      </c>
      <c r="H92" s="40">
        <f>'Daily Heat Demand Matrix (2)'!F16</f>
        <v>0.32981104388639787</v>
      </c>
      <c r="I92" s="65">
        <f t="shared" si="12"/>
        <v>8239.8467898236304</v>
      </c>
      <c r="J92" s="65">
        <f t="shared" si="13"/>
        <v>4492.1586706044609</v>
      </c>
      <c r="K92" s="65">
        <f t="shared" si="14"/>
        <v>791.54650532735491</v>
      </c>
    </row>
    <row r="93" spans="2:11" x14ac:dyDescent="0.2">
      <c r="B93" s="26">
        <v>84</v>
      </c>
      <c r="C93" s="50" t="str">
        <f t="shared" si="15"/>
        <v>Saturday</v>
      </c>
      <c r="D93" s="52">
        <v>3.4583333333333401</v>
      </c>
      <c r="E93" t="s">
        <v>41</v>
      </c>
      <c r="F93" s="40">
        <f>'Daily Heat Demand Matrix (2)'!D17</f>
        <v>3.4332694957598457</v>
      </c>
      <c r="G93" s="40">
        <f>'Daily Heat Demand Matrix (2)'!E17</f>
        <v>1.8717327794185254</v>
      </c>
      <c r="H93" s="40">
        <f>'Daily Heat Demand Matrix (2)'!F17</f>
        <v>0.32981104388639787</v>
      </c>
      <c r="I93" s="65">
        <f t="shared" si="12"/>
        <v>8239.8467898236304</v>
      </c>
      <c r="J93" s="65">
        <f t="shared" si="13"/>
        <v>4492.1586706044609</v>
      </c>
      <c r="K93" s="65">
        <f t="shared" si="14"/>
        <v>791.54650532735491</v>
      </c>
    </row>
    <row r="94" spans="2:11" x14ac:dyDescent="0.2">
      <c r="B94" s="26">
        <v>85</v>
      </c>
      <c r="C94" s="50" t="str">
        <f t="shared" si="15"/>
        <v>Saturday</v>
      </c>
      <c r="D94" s="52">
        <v>3.5</v>
      </c>
      <c r="E94" t="s">
        <v>41</v>
      </c>
      <c r="F94" s="40">
        <f>'Daily Heat Demand Matrix (2)'!D18</f>
        <v>3.4332694957598457</v>
      </c>
      <c r="G94" s="40">
        <f>'Daily Heat Demand Matrix (2)'!E18</f>
        <v>1.8717327794185254</v>
      </c>
      <c r="H94" s="40">
        <f>'Daily Heat Demand Matrix (2)'!F18</f>
        <v>0.32981104388639787</v>
      </c>
      <c r="I94" s="65">
        <f t="shared" si="12"/>
        <v>8239.8467898236304</v>
      </c>
      <c r="J94" s="65">
        <f t="shared" si="13"/>
        <v>4492.1586706044609</v>
      </c>
      <c r="K94" s="65">
        <f t="shared" si="14"/>
        <v>791.54650532735491</v>
      </c>
    </row>
    <row r="95" spans="2:11" x14ac:dyDescent="0.2">
      <c r="B95" s="26">
        <v>86</v>
      </c>
      <c r="C95" s="50" t="str">
        <f t="shared" si="15"/>
        <v>Saturday</v>
      </c>
      <c r="D95" s="52">
        <v>3.5416666666666701</v>
      </c>
      <c r="E95" t="s">
        <v>41</v>
      </c>
      <c r="F95" s="40">
        <f>'Daily Heat Demand Matrix (2)'!D19</f>
        <v>3.4332694957598457</v>
      </c>
      <c r="G95" s="40">
        <f>'Daily Heat Demand Matrix (2)'!E19</f>
        <v>1.8717327794185254</v>
      </c>
      <c r="H95" s="40">
        <f>'Daily Heat Demand Matrix (2)'!F19</f>
        <v>0.32981104388639787</v>
      </c>
      <c r="I95" s="65">
        <f t="shared" si="12"/>
        <v>8239.8467898236304</v>
      </c>
      <c r="J95" s="65">
        <f t="shared" si="13"/>
        <v>4492.1586706044609</v>
      </c>
      <c r="K95" s="65">
        <f t="shared" si="14"/>
        <v>791.54650532735491</v>
      </c>
    </row>
    <row r="96" spans="2:11" x14ac:dyDescent="0.2">
      <c r="B96" s="26">
        <v>87</v>
      </c>
      <c r="C96" s="50" t="str">
        <f t="shared" si="15"/>
        <v>Saturday</v>
      </c>
      <c r="D96" s="52">
        <v>3.5833333333333401</v>
      </c>
      <c r="E96" t="s">
        <v>41</v>
      </c>
      <c r="F96" s="40">
        <f>'Daily Heat Demand Matrix (2)'!D20</f>
        <v>3.4332694957598457</v>
      </c>
      <c r="G96" s="40">
        <f>'Daily Heat Demand Matrix (2)'!E20</f>
        <v>1.8717327794185254</v>
      </c>
      <c r="H96" s="40">
        <f>'Daily Heat Demand Matrix (2)'!F20</f>
        <v>0.32981104388639787</v>
      </c>
      <c r="I96" s="65">
        <f t="shared" si="12"/>
        <v>8239.8467898236304</v>
      </c>
      <c r="J96" s="65">
        <f t="shared" si="13"/>
        <v>4492.1586706044609</v>
      </c>
      <c r="K96" s="65">
        <f t="shared" si="14"/>
        <v>791.54650532735491</v>
      </c>
    </row>
    <row r="97" spans="2:11" x14ac:dyDescent="0.2">
      <c r="B97" s="26">
        <v>88</v>
      </c>
      <c r="C97" s="50" t="str">
        <f t="shared" si="15"/>
        <v>Saturday</v>
      </c>
      <c r="D97" s="52">
        <v>3.625</v>
      </c>
      <c r="E97" t="s">
        <v>41</v>
      </c>
      <c r="F97" s="40">
        <f>'Daily Heat Demand Matrix (2)'!D21</f>
        <v>3.4332694957598457</v>
      </c>
      <c r="G97" s="40">
        <f>'Daily Heat Demand Matrix (2)'!E21</f>
        <v>1.8717327794185254</v>
      </c>
      <c r="H97" s="40">
        <f>'Daily Heat Demand Matrix (2)'!F21</f>
        <v>0.32981104388639787</v>
      </c>
      <c r="I97" s="65">
        <f t="shared" si="12"/>
        <v>8239.8467898236304</v>
      </c>
      <c r="J97" s="65">
        <f t="shared" si="13"/>
        <v>4492.1586706044609</v>
      </c>
      <c r="K97" s="65">
        <f t="shared" si="14"/>
        <v>791.54650532735491</v>
      </c>
    </row>
    <row r="98" spans="2:11" x14ac:dyDescent="0.2">
      <c r="B98" s="26">
        <v>89</v>
      </c>
      <c r="C98" s="50" t="str">
        <f t="shared" si="15"/>
        <v>Saturday</v>
      </c>
      <c r="D98" s="52">
        <v>3.6666666666666701</v>
      </c>
      <c r="E98" t="s">
        <v>41</v>
      </c>
      <c r="F98" s="40">
        <f>'Daily Heat Demand Matrix (2)'!D22</f>
        <v>3.4332694957598457</v>
      </c>
      <c r="G98" s="40">
        <f>'Daily Heat Demand Matrix (2)'!E22</f>
        <v>1.8717327794185254</v>
      </c>
      <c r="H98" s="40">
        <f>'Daily Heat Demand Matrix (2)'!F22</f>
        <v>0.32981104388639787</v>
      </c>
      <c r="I98" s="65">
        <f t="shared" si="12"/>
        <v>8239.8467898236304</v>
      </c>
      <c r="J98" s="65">
        <f t="shared" si="13"/>
        <v>4492.1586706044609</v>
      </c>
      <c r="K98" s="65">
        <f t="shared" si="14"/>
        <v>791.54650532735491</v>
      </c>
    </row>
    <row r="99" spans="2:11" x14ac:dyDescent="0.2">
      <c r="B99" s="26">
        <v>90</v>
      </c>
      <c r="C99" s="50" t="str">
        <f t="shared" si="15"/>
        <v>Saturday</v>
      </c>
      <c r="D99" s="52">
        <v>3.7083333333333401</v>
      </c>
      <c r="E99" t="s">
        <v>41</v>
      </c>
      <c r="F99" s="40">
        <f>'Daily Heat Demand Matrix (2)'!D23</f>
        <v>3.4332694957598457</v>
      </c>
      <c r="G99" s="40">
        <f>'Daily Heat Demand Matrix (2)'!E23</f>
        <v>1.8717327794185254</v>
      </c>
      <c r="H99" s="40">
        <f>'Daily Heat Demand Matrix (2)'!F23</f>
        <v>0.32981104388639787</v>
      </c>
      <c r="I99" s="65">
        <f t="shared" si="12"/>
        <v>8239.8467898236304</v>
      </c>
      <c r="J99" s="65">
        <f t="shared" si="13"/>
        <v>4492.1586706044609</v>
      </c>
      <c r="K99" s="65">
        <f t="shared" si="14"/>
        <v>791.54650532735491</v>
      </c>
    </row>
    <row r="100" spans="2:11" x14ac:dyDescent="0.2">
      <c r="B100" s="26">
        <v>91</v>
      </c>
      <c r="C100" s="50" t="str">
        <f t="shared" si="15"/>
        <v>Saturday</v>
      </c>
      <c r="D100" s="52">
        <v>3.75</v>
      </c>
      <c r="E100" t="s">
        <v>41</v>
      </c>
      <c r="F100" s="40">
        <f>'Daily Heat Demand Matrix (2)'!D24</f>
        <v>3.4332694957598457</v>
      </c>
      <c r="G100" s="40">
        <f>'Daily Heat Demand Matrix (2)'!E24</f>
        <v>1.8717327794185254</v>
      </c>
      <c r="H100" s="40">
        <f>'Daily Heat Demand Matrix (2)'!F24</f>
        <v>0.32981104388639787</v>
      </c>
      <c r="I100" s="65">
        <f t="shared" si="12"/>
        <v>8239.8467898236304</v>
      </c>
      <c r="J100" s="65">
        <f t="shared" si="13"/>
        <v>4492.1586706044609</v>
      </c>
      <c r="K100" s="65">
        <f t="shared" si="14"/>
        <v>791.54650532735491</v>
      </c>
    </row>
    <row r="101" spans="2:11" x14ac:dyDescent="0.2">
      <c r="B101" s="26">
        <v>92</v>
      </c>
      <c r="C101" s="50" t="str">
        <f t="shared" si="15"/>
        <v>Saturday</v>
      </c>
      <c r="D101" s="52">
        <v>3.7916666666666701</v>
      </c>
      <c r="E101" t="s">
        <v>41</v>
      </c>
      <c r="F101" s="40">
        <f>'Daily Heat Demand Matrix (2)'!D25</f>
        <v>3.4332694957598457</v>
      </c>
      <c r="G101" s="40">
        <f>'Daily Heat Demand Matrix (2)'!E25</f>
        <v>1.8717327794185254</v>
      </c>
      <c r="H101" s="40">
        <f>'Daily Heat Demand Matrix (2)'!F25</f>
        <v>0.32981104388639787</v>
      </c>
      <c r="I101" s="65">
        <f t="shared" si="12"/>
        <v>8239.8467898236304</v>
      </c>
      <c r="J101" s="65">
        <f t="shared" si="13"/>
        <v>4492.1586706044609</v>
      </c>
      <c r="K101" s="65">
        <f t="shared" si="14"/>
        <v>791.54650532735491</v>
      </c>
    </row>
    <row r="102" spans="2:11" x14ac:dyDescent="0.2">
      <c r="B102" s="26">
        <v>93</v>
      </c>
      <c r="C102" s="50" t="str">
        <f t="shared" si="15"/>
        <v>Saturday</v>
      </c>
      <c r="D102" s="52">
        <v>3.8333333333333401</v>
      </c>
      <c r="E102" t="s">
        <v>41</v>
      </c>
      <c r="F102" s="40">
        <f>'Daily Heat Demand Matrix (2)'!D26</f>
        <v>3.4332694957598457</v>
      </c>
      <c r="G102" s="40">
        <f>'Daily Heat Demand Matrix (2)'!E26</f>
        <v>1.8717327794185254</v>
      </c>
      <c r="H102" s="40">
        <f>'Daily Heat Demand Matrix (2)'!F26</f>
        <v>0.32981104388639787</v>
      </c>
      <c r="I102" s="65">
        <f t="shared" si="12"/>
        <v>8239.8467898236304</v>
      </c>
      <c r="J102" s="65">
        <f t="shared" si="13"/>
        <v>4492.1586706044609</v>
      </c>
      <c r="K102" s="65">
        <f t="shared" si="14"/>
        <v>791.54650532735491</v>
      </c>
    </row>
    <row r="103" spans="2:11" x14ac:dyDescent="0.2">
      <c r="B103" s="26">
        <v>94</v>
      </c>
      <c r="C103" s="50" t="str">
        <f t="shared" si="15"/>
        <v>Saturday</v>
      </c>
      <c r="D103" s="52">
        <v>3.875</v>
      </c>
      <c r="E103" t="s">
        <v>41</v>
      </c>
      <c r="F103" s="40">
        <f>'Daily Heat Demand Matrix (2)'!D27</f>
        <v>3.4332694957598457</v>
      </c>
      <c r="G103" s="40">
        <f>'Daily Heat Demand Matrix (2)'!E27</f>
        <v>1.8717327794185254</v>
      </c>
      <c r="H103" s="40">
        <f>'Daily Heat Demand Matrix (2)'!F27</f>
        <v>0.32981104388639787</v>
      </c>
      <c r="I103" s="65">
        <f t="shared" si="12"/>
        <v>8239.8467898236304</v>
      </c>
      <c r="J103" s="65">
        <f t="shared" si="13"/>
        <v>4492.1586706044609</v>
      </c>
      <c r="K103" s="65">
        <f t="shared" si="14"/>
        <v>791.54650532735491</v>
      </c>
    </row>
    <row r="104" spans="2:11" x14ac:dyDescent="0.2">
      <c r="B104" s="26">
        <v>95</v>
      </c>
      <c r="C104" s="50" t="str">
        <f t="shared" si="15"/>
        <v>Saturday</v>
      </c>
      <c r="D104" s="52">
        <v>3.9166666666666701</v>
      </c>
      <c r="E104" t="s">
        <v>41</v>
      </c>
      <c r="F104" s="40">
        <f>'Daily Heat Demand Matrix (2)'!D28</f>
        <v>0</v>
      </c>
      <c r="G104" s="40">
        <f>'Daily Heat Demand Matrix (2)'!E28</f>
        <v>0</v>
      </c>
      <c r="H104" s="40">
        <f>'Daily Heat Demand Matrix (2)'!F28</f>
        <v>0</v>
      </c>
      <c r="I104" s="65">
        <f t="shared" si="12"/>
        <v>0</v>
      </c>
      <c r="J104" s="65">
        <f t="shared" si="13"/>
        <v>0</v>
      </c>
      <c r="K104" s="65">
        <f t="shared" si="14"/>
        <v>0</v>
      </c>
    </row>
    <row r="105" spans="2:11" x14ac:dyDescent="0.2">
      <c r="B105" s="26">
        <v>96</v>
      </c>
      <c r="C105" s="50" t="str">
        <f t="shared" si="15"/>
        <v>Saturday</v>
      </c>
      <c r="D105" s="52">
        <v>3.9583333333333401</v>
      </c>
      <c r="E105" t="s">
        <v>41</v>
      </c>
      <c r="F105" s="40">
        <f>'Daily Heat Demand Matrix (2)'!D29</f>
        <v>0</v>
      </c>
      <c r="G105" s="40">
        <f>'Daily Heat Demand Matrix (2)'!E29</f>
        <v>0</v>
      </c>
      <c r="H105" s="40">
        <f>'Daily Heat Demand Matrix (2)'!F29</f>
        <v>0</v>
      </c>
      <c r="I105" s="65">
        <f t="shared" si="12"/>
        <v>0</v>
      </c>
      <c r="J105" s="65">
        <f t="shared" si="13"/>
        <v>0</v>
      </c>
      <c r="K105" s="65">
        <f t="shared" si="14"/>
        <v>0</v>
      </c>
    </row>
    <row r="106" spans="2:11" x14ac:dyDescent="0.2">
      <c r="B106" s="26">
        <v>97</v>
      </c>
      <c r="C106" t="s">
        <v>71</v>
      </c>
      <c r="D106" s="52">
        <v>4</v>
      </c>
      <c r="E106" t="s">
        <v>41</v>
      </c>
      <c r="F106" s="40">
        <f>F82</f>
        <v>0</v>
      </c>
      <c r="G106" s="40">
        <f>G82</f>
        <v>0</v>
      </c>
      <c r="H106" s="40">
        <f>H82</f>
        <v>0</v>
      </c>
      <c r="I106" s="65">
        <f t="shared" si="12"/>
        <v>0</v>
      </c>
      <c r="J106" s="65">
        <f t="shared" si="13"/>
        <v>0</v>
      </c>
      <c r="K106" s="65">
        <f t="shared" si="14"/>
        <v>0</v>
      </c>
    </row>
    <row r="107" spans="2:11" x14ac:dyDescent="0.2">
      <c r="B107" s="26">
        <v>98</v>
      </c>
      <c r="C107" s="50" t="str">
        <f>C106</f>
        <v>Sunday</v>
      </c>
      <c r="D107" s="52">
        <v>4.0416666666666696</v>
      </c>
      <c r="E107" t="s">
        <v>41</v>
      </c>
      <c r="F107" s="40">
        <f t="shared" ref="F107:H129" si="16">F83</f>
        <v>0</v>
      </c>
      <c r="G107" s="40">
        <f t="shared" si="16"/>
        <v>0</v>
      </c>
      <c r="H107" s="40">
        <f t="shared" si="16"/>
        <v>0</v>
      </c>
      <c r="I107" s="65">
        <f t="shared" si="12"/>
        <v>0</v>
      </c>
      <c r="J107" s="65">
        <f t="shared" si="13"/>
        <v>0</v>
      </c>
      <c r="K107" s="65">
        <f t="shared" si="14"/>
        <v>0</v>
      </c>
    </row>
    <row r="108" spans="2:11" x14ac:dyDescent="0.2">
      <c r="B108" s="26">
        <v>99</v>
      </c>
      <c r="C108" s="50" t="str">
        <f t="shared" ref="C108:C129" si="17">C107</f>
        <v>Sunday</v>
      </c>
      <c r="D108" s="52">
        <v>4.0833333333333401</v>
      </c>
      <c r="E108" t="s">
        <v>41</v>
      </c>
      <c r="F108" s="40">
        <f t="shared" si="16"/>
        <v>0</v>
      </c>
      <c r="G108" s="40">
        <f t="shared" si="16"/>
        <v>0</v>
      </c>
      <c r="H108" s="40">
        <f t="shared" si="16"/>
        <v>0</v>
      </c>
      <c r="I108" s="65">
        <f t="shared" si="12"/>
        <v>0</v>
      </c>
      <c r="J108" s="65">
        <f t="shared" si="13"/>
        <v>0</v>
      </c>
      <c r="K108" s="65">
        <f t="shared" si="14"/>
        <v>0</v>
      </c>
    </row>
    <row r="109" spans="2:11" x14ac:dyDescent="0.2">
      <c r="B109" s="26">
        <v>100</v>
      </c>
      <c r="C109" s="50" t="str">
        <f t="shared" si="17"/>
        <v>Sunday</v>
      </c>
      <c r="D109" s="52">
        <v>4.125</v>
      </c>
      <c r="E109" t="s">
        <v>41</v>
      </c>
      <c r="F109" s="40">
        <f t="shared" si="16"/>
        <v>0</v>
      </c>
      <c r="G109" s="40">
        <f t="shared" si="16"/>
        <v>0</v>
      </c>
      <c r="H109" s="40">
        <f t="shared" si="16"/>
        <v>0</v>
      </c>
      <c r="I109" s="65">
        <f t="shared" si="12"/>
        <v>0</v>
      </c>
      <c r="J109" s="65">
        <f t="shared" si="13"/>
        <v>0</v>
      </c>
      <c r="K109" s="65">
        <f t="shared" si="14"/>
        <v>0</v>
      </c>
    </row>
    <row r="110" spans="2:11" x14ac:dyDescent="0.2">
      <c r="B110" s="26">
        <v>101</v>
      </c>
      <c r="C110" s="50" t="str">
        <f t="shared" si="17"/>
        <v>Sunday</v>
      </c>
      <c r="D110" s="52">
        <v>4.1666666666666696</v>
      </c>
      <c r="E110" t="s">
        <v>41</v>
      </c>
      <c r="F110" s="40">
        <f t="shared" si="16"/>
        <v>0</v>
      </c>
      <c r="G110" s="40">
        <f t="shared" si="16"/>
        <v>0</v>
      </c>
      <c r="H110" s="40">
        <f t="shared" si="16"/>
        <v>0</v>
      </c>
      <c r="I110" s="65">
        <f t="shared" si="12"/>
        <v>0</v>
      </c>
      <c r="J110" s="65">
        <f t="shared" si="13"/>
        <v>0</v>
      </c>
      <c r="K110" s="65">
        <f t="shared" si="14"/>
        <v>0</v>
      </c>
    </row>
    <row r="111" spans="2:11" x14ac:dyDescent="0.2">
      <c r="B111" s="26">
        <v>102</v>
      </c>
      <c r="C111" s="50" t="str">
        <f t="shared" si="17"/>
        <v>Sunday</v>
      </c>
      <c r="D111" s="52">
        <v>4.2083333333333401</v>
      </c>
      <c r="E111" t="s">
        <v>41</v>
      </c>
      <c r="F111" s="40">
        <f t="shared" si="16"/>
        <v>0</v>
      </c>
      <c r="G111" s="40">
        <f t="shared" si="16"/>
        <v>0</v>
      </c>
      <c r="H111" s="40">
        <f t="shared" si="16"/>
        <v>0</v>
      </c>
      <c r="I111" s="65">
        <f t="shared" si="12"/>
        <v>0</v>
      </c>
      <c r="J111" s="65">
        <f t="shared" si="13"/>
        <v>0</v>
      </c>
      <c r="K111" s="65">
        <f t="shared" si="14"/>
        <v>0</v>
      </c>
    </row>
    <row r="112" spans="2:11" x14ac:dyDescent="0.2">
      <c r="B112" s="26">
        <v>103</v>
      </c>
      <c r="C112" s="50" t="str">
        <f t="shared" si="17"/>
        <v>Sunday</v>
      </c>
      <c r="D112" s="52">
        <v>4.25</v>
      </c>
      <c r="E112" t="s">
        <v>41</v>
      </c>
      <c r="F112" s="40">
        <f t="shared" si="16"/>
        <v>3.4332694957598457</v>
      </c>
      <c r="G112" s="40">
        <f t="shared" si="16"/>
        <v>1.8717327794185254</v>
      </c>
      <c r="H112" s="40">
        <f t="shared" si="16"/>
        <v>0.32981104388639787</v>
      </c>
      <c r="I112" s="65">
        <f t="shared" si="12"/>
        <v>8239.8467898236304</v>
      </c>
      <c r="J112" s="65">
        <f t="shared" si="13"/>
        <v>4492.1586706044609</v>
      </c>
      <c r="K112" s="65">
        <f t="shared" si="14"/>
        <v>791.54650532735491</v>
      </c>
    </row>
    <row r="113" spans="2:11" x14ac:dyDescent="0.2">
      <c r="B113" s="26">
        <v>104</v>
      </c>
      <c r="C113" s="50" t="str">
        <f t="shared" si="17"/>
        <v>Sunday</v>
      </c>
      <c r="D113" s="52">
        <v>4.2916666666666696</v>
      </c>
      <c r="E113" t="s">
        <v>41</v>
      </c>
      <c r="F113" s="40">
        <f t="shared" si="16"/>
        <v>3.4332694957598457</v>
      </c>
      <c r="G113" s="40">
        <f t="shared" si="16"/>
        <v>1.8717327794185254</v>
      </c>
      <c r="H113" s="40">
        <f t="shared" si="16"/>
        <v>0.32981104388639787</v>
      </c>
      <c r="I113" s="65">
        <f t="shared" si="12"/>
        <v>8239.8467898236304</v>
      </c>
      <c r="J113" s="65">
        <f t="shared" si="13"/>
        <v>4492.1586706044609</v>
      </c>
      <c r="K113" s="65">
        <f t="shared" si="14"/>
        <v>791.54650532735491</v>
      </c>
    </row>
    <row r="114" spans="2:11" x14ac:dyDescent="0.2">
      <c r="B114" s="26">
        <v>105</v>
      </c>
      <c r="C114" s="50" t="str">
        <f t="shared" si="17"/>
        <v>Sunday</v>
      </c>
      <c r="D114" s="52">
        <v>4.3333333333333401</v>
      </c>
      <c r="E114" t="s">
        <v>41</v>
      </c>
      <c r="F114" s="40">
        <f t="shared" si="16"/>
        <v>3.4332694957598457</v>
      </c>
      <c r="G114" s="40">
        <f t="shared" si="16"/>
        <v>1.8717327794185254</v>
      </c>
      <c r="H114" s="40">
        <f t="shared" si="16"/>
        <v>0.32981104388639787</v>
      </c>
      <c r="I114" s="65">
        <f t="shared" si="12"/>
        <v>8239.8467898236304</v>
      </c>
      <c r="J114" s="65">
        <f t="shared" si="13"/>
        <v>4492.1586706044609</v>
      </c>
      <c r="K114" s="65">
        <f t="shared" si="14"/>
        <v>791.54650532735491</v>
      </c>
    </row>
    <row r="115" spans="2:11" x14ac:dyDescent="0.2">
      <c r="B115" s="26">
        <v>106</v>
      </c>
      <c r="C115" s="50" t="str">
        <f t="shared" si="17"/>
        <v>Sunday</v>
      </c>
      <c r="D115" s="52">
        <v>4.375</v>
      </c>
      <c r="E115" t="s">
        <v>41</v>
      </c>
      <c r="F115" s="40">
        <f t="shared" si="16"/>
        <v>3.4332694957598457</v>
      </c>
      <c r="G115" s="40">
        <f t="shared" si="16"/>
        <v>1.8717327794185254</v>
      </c>
      <c r="H115" s="40">
        <f t="shared" si="16"/>
        <v>0.32981104388639787</v>
      </c>
      <c r="I115" s="65">
        <f t="shared" si="12"/>
        <v>8239.8467898236304</v>
      </c>
      <c r="J115" s="65">
        <f t="shared" si="13"/>
        <v>4492.1586706044609</v>
      </c>
      <c r="K115" s="65">
        <f t="shared" si="14"/>
        <v>791.54650532735491</v>
      </c>
    </row>
    <row r="116" spans="2:11" x14ac:dyDescent="0.2">
      <c r="B116" s="26">
        <v>107</v>
      </c>
      <c r="C116" s="50" t="str">
        <f t="shared" si="17"/>
        <v>Sunday</v>
      </c>
      <c r="D116" s="52">
        <v>4.4166666666666696</v>
      </c>
      <c r="E116" t="s">
        <v>41</v>
      </c>
      <c r="F116" s="40">
        <f t="shared" si="16"/>
        <v>3.4332694957598457</v>
      </c>
      <c r="G116" s="40">
        <f t="shared" si="16"/>
        <v>1.8717327794185254</v>
      </c>
      <c r="H116" s="40">
        <f t="shared" si="16"/>
        <v>0.32981104388639787</v>
      </c>
      <c r="I116" s="65">
        <f t="shared" si="12"/>
        <v>8239.8467898236304</v>
      </c>
      <c r="J116" s="65">
        <f t="shared" si="13"/>
        <v>4492.1586706044609</v>
      </c>
      <c r="K116" s="65">
        <f t="shared" si="14"/>
        <v>791.54650532735491</v>
      </c>
    </row>
    <row r="117" spans="2:11" x14ac:dyDescent="0.2">
      <c r="B117" s="26">
        <v>108</v>
      </c>
      <c r="C117" s="50" t="str">
        <f t="shared" si="17"/>
        <v>Sunday</v>
      </c>
      <c r="D117" s="52">
        <v>4.4583333333333401</v>
      </c>
      <c r="E117" t="s">
        <v>41</v>
      </c>
      <c r="F117" s="40">
        <f t="shared" si="16"/>
        <v>3.4332694957598457</v>
      </c>
      <c r="G117" s="40">
        <f t="shared" si="16"/>
        <v>1.8717327794185254</v>
      </c>
      <c r="H117" s="40">
        <f t="shared" si="16"/>
        <v>0.32981104388639787</v>
      </c>
      <c r="I117" s="65">
        <f t="shared" si="12"/>
        <v>8239.8467898236304</v>
      </c>
      <c r="J117" s="65">
        <f t="shared" si="13"/>
        <v>4492.1586706044609</v>
      </c>
      <c r="K117" s="65">
        <f t="shared" si="14"/>
        <v>791.54650532735491</v>
      </c>
    </row>
    <row r="118" spans="2:11" x14ac:dyDescent="0.2">
      <c r="B118" s="26">
        <v>109</v>
      </c>
      <c r="C118" s="50" t="str">
        <f t="shared" si="17"/>
        <v>Sunday</v>
      </c>
      <c r="D118" s="52">
        <v>4.5</v>
      </c>
      <c r="E118" t="s">
        <v>41</v>
      </c>
      <c r="F118" s="40">
        <f t="shared" si="16"/>
        <v>3.4332694957598457</v>
      </c>
      <c r="G118" s="40">
        <f t="shared" si="16"/>
        <v>1.8717327794185254</v>
      </c>
      <c r="H118" s="40">
        <f t="shared" si="16"/>
        <v>0.32981104388639787</v>
      </c>
      <c r="I118" s="65">
        <f t="shared" si="12"/>
        <v>8239.8467898236304</v>
      </c>
      <c r="J118" s="65">
        <f t="shared" si="13"/>
        <v>4492.1586706044609</v>
      </c>
      <c r="K118" s="65">
        <f t="shared" si="14"/>
        <v>791.54650532735491</v>
      </c>
    </row>
    <row r="119" spans="2:11" x14ac:dyDescent="0.2">
      <c r="B119" s="26">
        <v>110</v>
      </c>
      <c r="C119" s="50" t="str">
        <f t="shared" si="17"/>
        <v>Sunday</v>
      </c>
      <c r="D119" s="52">
        <v>4.5416666666666696</v>
      </c>
      <c r="E119" t="s">
        <v>41</v>
      </c>
      <c r="F119" s="40">
        <f t="shared" si="16"/>
        <v>3.4332694957598457</v>
      </c>
      <c r="G119" s="40">
        <f t="shared" si="16"/>
        <v>1.8717327794185254</v>
      </c>
      <c r="H119" s="40">
        <f t="shared" si="16"/>
        <v>0.32981104388639787</v>
      </c>
      <c r="I119" s="65">
        <f t="shared" si="12"/>
        <v>8239.8467898236304</v>
      </c>
      <c r="J119" s="65">
        <f t="shared" si="13"/>
        <v>4492.1586706044609</v>
      </c>
      <c r="K119" s="65">
        <f t="shared" si="14"/>
        <v>791.54650532735491</v>
      </c>
    </row>
    <row r="120" spans="2:11" x14ac:dyDescent="0.2">
      <c r="B120" s="26">
        <v>111</v>
      </c>
      <c r="C120" s="50" t="str">
        <f t="shared" si="17"/>
        <v>Sunday</v>
      </c>
      <c r="D120" s="52">
        <v>4.5833333333333401</v>
      </c>
      <c r="E120" t="s">
        <v>41</v>
      </c>
      <c r="F120" s="40">
        <f t="shared" si="16"/>
        <v>3.4332694957598457</v>
      </c>
      <c r="G120" s="40">
        <f t="shared" si="16"/>
        <v>1.8717327794185254</v>
      </c>
      <c r="H120" s="40">
        <f t="shared" si="16"/>
        <v>0.32981104388639787</v>
      </c>
      <c r="I120" s="65">
        <f t="shared" si="12"/>
        <v>8239.8467898236304</v>
      </c>
      <c r="J120" s="65">
        <f t="shared" si="13"/>
        <v>4492.1586706044609</v>
      </c>
      <c r="K120" s="65">
        <f t="shared" si="14"/>
        <v>791.54650532735491</v>
      </c>
    </row>
    <row r="121" spans="2:11" x14ac:dyDescent="0.2">
      <c r="B121" s="26">
        <v>112</v>
      </c>
      <c r="C121" s="50" t="str">
        <f t="shared" si="17"/>
        <v>Sunday</v>
      </c>
      <c r="D121" s="52">
        <v>4.625</v>
      </c>
      <c r="E121" t="s">
        <v>41</v>
      </c>
      <c r="F121" s="40">
        <f t="shared" si="16"/>
        <v>3.4332694957598457</v>
      </c>
      <c r="G121" s="40">
        <f t="shared" si="16"/>
        <v>1.8717327794185254</v>
      </c>
      <c r="H121" s="40">
        <f t="shared" si="16"/>
        <v>0.32981104388639787</v>
      </c>
      <c r="I121" s="65">
        <f t="shared" si="12"/>
        <v>8239.8467898236304</v>
      </c>
      <c r="J121" s="65">
        <f t="shared" si="13"/>
        <v>4492.1586706044609</v>
      </c>
      <c r="K121" s="65">
        <f t="shared" si="14"/>
        <v>791.54650532735491</v>
      </c>
    </row>
    <row r="122" spans="2:11" x14ac:dyDescent="0.2">
      <c r="B122" s="26">
        <v>113</v>
      </c>
      <c r="C122" s="50" t="str">
        <f t="shared" si="17"/>
        <v>Sunday</v>
      </c>
      <c r="D122" s="52">
        <v>4.6666666666666696</v>
      </c>
      <c r="E122" t="s">
        <v>41</v>
      </c>
      <c r="F122" s="40">
        <f t="shared" si="16"/>
        <v>3.4332694957598457</v>
      </c>
      <c r="G122" s="40">
        <f t="shared" si="16"/>
        <v>1.8717327794185254</v>
      </c>
      <c r="H122" s="40">
        <f t="shared" si="16"/>
        <v>0.32981104388639787</v>
      </c>
      <c r="I122" s="65">
        <f t="shared" si="12"/>
        <v>8239.8467898236304</v>
      </c>
      <c r="J122" s="65">
        <f t="shared" si="13"/>
        <v>4492.1586706044609</v>
      </c>
      <c r="K122" s="65">
        <f t="shared" si="14"/>
        <v>791.54650532735491</v>
      </c>
    </row>
    <row r="123" spans="2:11" x14ac:dyDescent="0.2">
      <c r="B123" s="26">
        <v>114</v>
      </c>
      <c r="C123" s="50" t="str">
        <f t="shared" si="17"/>
        <v>Sunday</v>
      </c>
      <c r="D123" s="52">
        <v>4.7083333333333401</v>
      </c>
      <c r="E123" t="s">
        <v>41</v>
      </c>
      <c r="F123" s="40">
        <f t="shared" si="16"/>
        <v>3.4332694957598457</v>
      </c>
      <c r="G123" s="40">
        <f t="shared" si="16"/>
        <v>1.8717327794185254</v>
      </c>
      <c r="H123" s="40">
        <f t="shared" si="16"/>
        <v>0.32981104388639787</v>
      </c>
      <c r="I123" s="65">
        <f t="shared" si="12"/>
        <v>8239.8467898236304</v>
      </c>
      <c r="J123" s="65">
        <f t="shared" si="13"/>
        <v>4492.1586706044609</v>
      </c>
      <c r="K123" s="65">
        <f t="shared" si="14"/>
        <v>791.54650532735491</v>
      </c>
    </row>
    <row r="124" spans="2:11" x14ac:dyDescent="0.2">
      <c r="B124" s="26">
        <v>115</v>
      </c>
      <c r="C124" s="50" t="str">
        <f t="shared" si="17"/>
        <v>Sunday</v>
      </c>
      <c r="D124" s="52">
        <v>4.75</v>
      </c>
      <c r="E124" t="s">
        <v>41</v>
      </c>
      <c r="F124" s="40">
        <f t="shared" si="16"/>
        <v>3.4332694957598457</v>
      </c>
      <c r="G124" s="40">
        <f t="shared" si="16"/>
        <v>1.8717327794185254</v>
      </c>
      <c r="H124" s="40">
        <f t="shared" si="16"/>
        <v>0.32981104388639787</v>
      </c>
      <c r="I124" s="65">
        <f t="shared" si="12"/>
        <v>8239.8467898236304</v>
      </c>
      <c r="J124" s="65">
        <f t="shared" si="13"/>
        <v>4492.1586706044609</v>
      </c>
      <c r="K124" s="65">
        <f t="shared" si="14"/>
        <v>791.54650532735491</v>
      </c>
    </row>
    <row r="125" spans="2:11" x14ac:dyDescent="0.2">
      <c r="B125" s="26">
        <v>116</v>
      </c>
      <c r="C125" s="50" t="str">
        <f t="shared" si="17"/>
        <v>Sunday</v>
      </c>
      <c r="D125" s="52">
        <v>4.7916666666666696</v>
      </c>
      <c r="E125" t="s">
        <v>41</v>
      </c>
      <c r="F125" s="40">
        <f t="shared" si="16"/>
        <v>3.4332694957598457</v>
      </c>
      <c r="G125" s="40">
        <f t="shared" si="16"/>
        <v>1.8717327794185254</v>
      </c>
      <c r="H125" s="40">
        <f t="shared" si="16"/>
        <v>0.32981104388639787</v>
      </c>
      <c r="I125" s="65">
        <f t="shared" si="12"/>
        <v>8239.8467898236304</v>
      </c>
      <c r="J125" s="65">
        <f t="shared" si="13"/>
        <v>4492.1586706044609</v>
      </c>
      <c r="K125" s="65">
        <f t="shared" si="14"/>
        <v>791.54650532735491</v>
      </c>
    </row>
    <row r="126" spans="2:11" x14ac:dyDescent="0.2">
      <c r="B126" s="26">
        <v>117</v>
      </c>
      <c r="C126" s="50" t="str">
        <f t="shared" si="17"/>
        <v>Sunday</v>
      </c>
      <c r="D126" s="52">
        <v>4.8333333333333401</v>
      </c>
      <c r="E126" t="s">
        <v>41</v>
      </c>
      <c r="F126" s="40">
        <f t="shared" si="16"/>
        <v>3.4332694957598457</v>
      </c>
      <c r="G126" s="40">
        <f t="shared" si="16"/>
        <v>1.8717327794185254</v>
      </c>
      <c r="H126" s="40">
        <f t="shared" si="16"/>
        <v>0.32981104388639787</v>
      </c>
      <c r="I126" s="65">
        <f t="shared" si="12"/>
        <v>8239.8467898236304</v>
      </c>
      <c r="J126" s="65">
        <f t="shared" si="13"/>
        <v>4492.1586706044609</v>
      </c>
      <c r="K126" s="65">
        <f t="shared" si="14"/>
        <v>791.54650532735491</v>
      </c>
    </row>
    <row r="127" spans="2:11" x14ac:dyDescent="0.2">
      <c r="B127" s="26">
        <v>118</v>
      </c>
      <c r="C127" s="50" t="str">
        <f t="shared" si="17"/>
        <v>Sunday</v>
      </c>
      <c r="D127" s="52">
        <v>4.875</v>
      </c>
      <c r="E127" t="s">
        <v>41</v>
      </c>
      <c r="F127" s="40">
        <f t="shared" si="16"/>
        <v>3.4332694957598457</v>
      </c>
      <c r="G127" s="40">
        <f t="shared" si="16"/>
        <v>1.8717327794185254</v>
      </c>
      <c r="H127" s="40">
        <f t="shared" si="16"/>
        <v>0.32981104388639787</v>
      </c>
      <c r="I127" s="65">
        <f t="shared" si="12"/>
        <v>8239.8467898236304</v>
      </c>
      <c r="J127" s="65">
        <f t="shared" si="13"/>
        <v>4492.1586706044609</v>
      </c>
      <c r="K127" s="65">
        <f t="shared" si="14"/>
        <v>791.54650532735491</v>
      </c>
    </row>
    <row r="128" spans="2:11" x14ac:dyDescent="0.2">
      <c r="B128" s="26">
        <v>119</v>
      </c>
      <c r="C128" s="50" t="str">
        <f t="shared" si="17"/>
        <v>Sunday</v>
      </c>
      <c r="D128" s="52">
        <v>4.9166666666666696</v>
      </c>
      <c r="E128" t="s">
        <v>41</v>
      </c>
      <c r="F128" s="40">
        <f t="shared" si="16"/>
        <v>0</v>
      </c>
      <c r="G128" s="40">
        <f t="shared" si="16"/>
        <v>0</v>
      </c>
      <c r="H128" s="40">
        <f t="shared" si="16"/>
        <v>0</v>
      </c>
      <c r="I128" s="65">
        <f t="shared" si="12"/>
        <v>0</v>
      </c>
      <c r="J128" s="65">
        <f t="shared" si="13"/>
        <v>0</v>
      </c>
      <c r="K128" s="65">
        <f t="shared" si="14"/>
        <v>0</v>
      </c>
    </row>
    <row r="129" spans="2:11" x14ac:dyDescent="0.2">
      <c r="B129" s="26">
        <v>120</v>
      </c>
      <c r="C129" s="50" t="str">
        <f t="shared" si="17"/>
        <v>Sunday</v>
      </c>
      <c r="D129" s="52">
        <v>4.9583333333333401</v>
      </c>
      <c r="E129" t="s">
        <v>41</v>
      </c>
      <c r="F129" s="40">
        <f t="shared" si="16"/>
        <v>0</v>
      </c>
      <c r="G129" s="40">
        <f t="shared" si="16"/>
        <v>0</v>
      </c>
      <c r="H129" s="40">
        <f t="shared" si="16"/>
        <v>0</v>
      </c>
      <c r="I129" s="65">
        <f t="shared" si="12"/>
        <v>0</v>
      </c>
      <c r="J129" s="65">
        <f t="shared" si="13"/>
        <v>0</v>
      </c>
      <c r="K129" s="65">
        <f t="shared" si="14"/>
        <v>0</v>
      </c>
    </row>
    <row r="130" spans="2:11" x14ac:dyDescent="0.2">
      <c r="B130" s="26">
        <v>121</v>
      </c>
      <c r="C130" t="s">
        <v>72</v>
      </c>
      <c r="D130" s="52">
        <v>5</v>
      </c>
      <c r="E130" t="s">
        <v>42</v>
      </c>
      <c r="F130" s="40">
        <f>F10</f>
        <v>0</v>
      </c>
      <c r="G130" s="40">
        <f>G10</f>
        <v>0</v>
      </c>
      <c r="H130" s="40">
        <f>H10</f>
        <v>0</v>
      </c>
      <c r="I130" s="65">
        <f t="shared" si="12"/>
        <v>0</v>
      </c>
      <c r="J130" s="65">
        <f t="shared" si="13"/>
        <v>0</v>
      </c>
      <c r="K130" s="65">
        <f t="shared" si="14"/>
        <v>0</v>
      </c>
    </row>
    <row r="131" spans="2:11" x14ac:dyDescent="0.2">
      <c r="B131" s="26">
        <v>122</v>
      </c>
      <c r="C131" s="50" t="str">
        <f>C130</f>
        <v>Monday</v>
      </c>
      <c r="D131" s="52">
        <v>5.0416666666666696</v>
      </c>
      <c r="E131" t="s">
        <v>42</v>
      </c>
      <c r="F131" s="40">
        <f t="shared" ref="F131:G153" si="18">F11</f>
        <v>0</v>
      </c>
      <c r="G131" s="40">
        <f>G11</f>
        <v>0</v>
      </c>
      <c r="H131" s="40">
        <f t="shared" ref="H131:H153" si="19">H11</f>
        <v>0</v>
      </c>
      <c r="I131" s="65">
        <f t="shared" si="12"/>
        <v>0</v>
      </c>
      <c r="J131" s="65">
        <f t="shared" si="13"/>
        <v>0</v>
      </c>
      <c r="K131" s="65">
        <f t="shared" si="14"/>
        <v>0</v>
      </c>
    </row>
    <row r="132" spans="2:11" x14ac:dyDescent="0.2">
      <c r="B132" s="26">
        <v>123</v>
      </c>
      <c r="C132" s="50" t="str">
        <f t="shared" ref="C132:C153" si="20">C131</f>
        <v>Monday</v>
      </c>
      <c r="D132" s="52">
        <v>5.0833333333333401</v>
      </c>
      <c r="E132" t="s">
        <v>42</v>
      </c>
      <c r="F132" s="40">
        <f t="shared" si="18"/>
        <v>0</v>
      </c>
      <c r="G132" s="40">
        <f t="shared" si="18"/>
        <v>0</v>
      </c>
      <c r="H132" s="40">
        <f t="shared" si="19"/>
        <v>0</v>
      </c>
      <c r="I132" s="65">
        <f t="shared" si="12"/>
        <v>0</v>
      </c>
      <c r="J132" s="65">
        <f t="shared" si="13"/>
        <v>0</v>
      </c>
      <c r="K132" s="65">
        <f t="shared" si="14"/>
        <v>0</v>
      </c>
    </row>
    <row r="133" spans="2:11" x14ac:dyDescent="0.2">
      <c r="B133" s="26">
        <v>124</v>
      </c>
      <c r="C133" s="50" t="str">
        <f t="shared" si="20"/>
        <v>Monday</v>
      </c>
      <c r="D133" s="52">
        <v>5.125</v>
      </c>
      <c r="E133" t="s">
        <v>42</v>
      </c>
      <c r="F133" s="40">
        <f t="shared" si="18"/>
        <v>0</v>
      </c>
      <c r="G133" s="40">
        <f t="shared" si="18"/>
        <v>0</v>
      </c>
      <c r="H133" s="40">
        <f t="shared" si="19"/>
        <v>0</v>
      </c>
      <c r="I133" s="65">
        <f t="shared" si="12"/>
        <v>0</v>
      </c>
      <c r="J133" s="65">
        <f t="shared" si="13"/>
        <v>0</v>
      </c>
      <c r="K133" s="65">
        <f t="shared" si="14"/>
        <v>0</v>
      </c>
    </row>
    <row r="134" spans="2:11" x14ac:dyDescent="0.2">
      <c r="B134" s="26">
        <v>125</v>
      </c>
      <c r="C134" s="50" t="str">
        <f t="shared" si="20"/>
        <v>Monday</v>
      </c>
      <c r="D134" s="52">
        <v>5.1666666666666696</v>
      </c>
      <c r="E134" t="s">
        <v>42</v>
      </c>
      <c r="F134" s="40">
        <f t="shared" si="18"/>
        <v>0</v>
      </c>
      <c r="G134" s="40">
        <f t="shared" si="18"/>
        <v>0</v>
      </c>
      <c r="H134" s="40">
        <f t="shared" si="19"/>
        <v>0</v>
      </c>
      <c r="I134" s="65">
        <f t="shared" si="12"/>
        <v>0</v>
      </c>
      <c r="J134" s="65">
        <f t="shared" si="13"/>
        <v>0</v>
      </c>
      <c r="K134" s="65">
        <f t="shared" si="14"/>
        <v>0</v>
      </c>
    </row>
    <row r="135" spans="2:11" x14ac:dyDescent="0.2">
      <c r="B135" s="26">
        <v>126</v>
      </c>
      <c r="C135" s="50" t="str">
        <f t="shared" si="20"/>
        <v>Monday</v>
      </c>
      <c r="D135" s="52">
        <v>5.2083333333333401</v>
      </c>
      <c r="E135" t="s">
        <v>42</v>
      </c>
      <c r="F135" s="40">
        <f t="shared" si="18"/>
        <v>0</v>
      </c>
      <c r="G135" s="40">
        <f t="shared" si="18"/>
        <v>0</v>
      </c>
      <c r="H135" s="40">
        <f t="shared" si="19"/>
        <v>0</v>
      </c>
      <c r="I135" s="65">
        <f t="shared" si="12"/>
        <v>0</v>
      </c>
      <c r="J135" s="65">
        <f t="shared" si="13"/>
        <v>0</v>
      </c>
      <c r="K135" s="65">
        <f t="shared" si="14"/>
        <v>0</v>
      </c>
    </row>
    <row r="136" spans="2:11" x14ac:dyDescent="0.2">
      <c r="B136" s="26">
        <v>127</v>
      </c>
      <c r="C136" s="50" t="str">
        <f t="shared" si="20"/>
        <v>Monday</v>
      </c>
      <c r="D136" s="52">
        <v>5.25</v>
      </c>
      <c r="E136" t="s">
        <v>42</v>
      </c>
      <c r="F136" s="40">
        <f t="shared" si="18"/>
        <v>3.4332694957598457</v>
      </c>
      <c r="G136" s="40">
        <f t="shared" si="18"/>
        <v>1.8717327794185254</v>
      </c>
      <c r="H136" s="40">
        <f t="shared" si="19"/>
        <v>0.32981104388639787</v>
      </c>
      <c r="I136" s="65">
        <f t="shared" si="12"/>
        <v>8239.8467898236304</v>
      </c>
      <c r="J136" s="65">
        <f t="shared" si="13"/>
        <v>4492.1586706044609</v>
      </c>
      <c r="K136" s="65">
        <f t="shared" si="14"/>
        <v>791.54650532735491</v>
      </c>
    </row>
    <row r="137" spans="2:11" x14ac:dyDescent="0.2">
      <c r="B137" s="26">
        <v>128</v>
      </c>
      <c r="C137" s="50" t="str">
        <f t="shared" si="20"/>
        <v>Monday</v>
      </c>
      <c r="D137" s="52">
        <v>5.2916666666666696</v>
      </c>
      <c r="E137" t="s">
        <v>42</v>
      </c>
      <c r="F137" s="40">
        <f t="shared" si="18"/>
        <v>3.4332694957598457</v>
      </c>
      <c r="G137" s="40">
        <f t="shared" si="18"/>
        <v>1.8717327794185254</v>
      </c>
      <c r="H137" s="40">
        <f t="shared" si="19"/>
        <v>0.32981104388639787</v>
      </c>
      <c r="I137" s="65">
        <f t="shared" si="12"/>
        <v>8239.8467898236304</v>
      </c>
      <c r="J137" s="65">
        <f t="shared" si="13"/>
        <v>4492.1586706044609</v>
      </c>
      <c r="K137" s="65">
        <f t="shared" si="14"/>
        <v>791.54650532735491</v>
      </c>
    </row>
    <row r="138" spans="2:11" x14ac:dyDescent="0.2">
      <c r="B138" s="26">
        <v>129</v>
      </c>
      <c r="C138" s="50" t="str">
        <f t="shared" si="20"/>
        <v>Monday</v>
      </c>
      <c r="D138" s="52">
        <v>5.3333333333333401</v>
      </c>
      <c r="E138" t="s">
        <v>42</v>
      </c>
      <c r="F138" s="40">
        <f t="shared" si="18"/>
        <v>0</v>
      </c>
      <c r="G138" s="40">
        <f t="shared" si="18"/>
        <v>0</v>
      </c>
      <c r="H138" s="40">
        <f t="shared" si="19"/>
        <v>0</v>
      </c>
      <c r="I138" s="65">
        <f t="shared" si="12"/>
        <v>0</v>
      </c>
      <c r="J138" s="65">
        <f t="shared" si="13"/>
        <v>0</v>
      </c>
      <c r="K138" s="65">
        <f t="shared" si="14"/>
        <v>0</v>
      </c>
    </row>
    <row r="139" spans="2:11" x14ac:dyDescent="0.2">
      <c r="B139" s="26">
        <v>130</v>
      </c>
      <c r="C139" s="50" t="str">
        <f t="shared" si="20"/>
        <v>Monday</v>
      </c>
      <c r="D139" s="52">
        <v>5.375</v>
      </c>
      <c r="E139" t="s">
        <v>42</v>
      </c>
      <c r="F139" s="40">
        <f t="shared" si="18"/>
        <v>0</v>
      </c>
      <c r="G139" s="40">
        <f t="shared" si="18"/>
        <v>0</v>
      </c>
      <c r="H139" s="40">
        <f t="shared" si="19"/>
        <v>0</v>
      </c>
      <c r="I139" s="65">
        <f t="shared" ref="I139:I177" si="21">F139*$F$9</f>
        <v>0</v>
      </c>
      <c r="J139" s="65">
        <f t="shared" ref="J139:J177" si="22">G139*$F$9</f>
        <v>0</v>
      </c>
      <c r="K139" s="65">
        <f t="shared" ref="K139:K177" si="23">H139*$F$9</f>
        <v>0</v>
      </c>
    </row>
    <row r="140" spans="2:11" x14ac:dyDescent="0.2">
      <c r="B140" s="26">
        <v>131</v>
      </c>
      <c r="C140" s="50" t="str">
        <f t="shared" si="20"/>
        <v>Monday</v>
      </c>
      <c r="D140" s="52">
        <v>5.4166666666666696</v>
      </c>
      <c r="E140" t="s">
        <v>42</v>
      </c>
      <c r="F140" s="40">
        <f t="shared" si="18"/>
        <v>0</v>
      </c>
      <c r="G140" s="40">
        <f t="shared" si="18"/>
        <v>0</v>
      </c>
      <c r="H140" s="40">
        <f t="shared" si="19"/>
        <v>0</v>
      </c>
      <c r="I140" s="65">
        <f t="shared" si="21"/>
        <v>0</v>
      </c>
      <c r="J140" s="65">
        <f t="shared" si="22"/>
        <v>0</v>
      </c>
      <c r="K140" s="65">
        <f t="shared" si="23"/>
        <v>0</v>
      </c>
    </row>
    <row r="141" spans="2:11" x14ac:dyDescent="0.2">
      <c r="B141" s="26">
        <v>132</v>
      </c>
      <c r="C141" s="50" t="str">
        <f t="shared" si="20"/>
        <v>Monday</v>
      </c>
      <c r="D141" s="52">
        <v>5.4583333333333401</v>
      </c>
      <c r="E141" t="s">
        <v>42</v>
      </c>
      <c r="F141" s="40">
        <f t="shared" si="18"/>
        <v>0</v>
      </c>
      <c r="G141" s="40">
        <f t="shared" si="18"/>
        <v>0</v>
      </c>
      <c r="H141" s="40">
        <f t="shared" si="19"/>
        <v>0</v>
      </c>
      <c r="I141" s="65">
        <f t="shared" si="21"/>
        <v>0</v>
      </c>
      <c r="J141" s="65">
        <f t="shared" si="22"/>
        <v>0</v>
      </c>
      <c r="K141" s="65">
        <f t="shared" si="23"/>
        <v>0</v>
      </c>
    </row>
    <row r="142" spans="2:11" x14ac:dyDescent="0.2">
      <c r="B142" s="26">
        <v>133</v>
      </c>
      <c r="C142" s="50" t="str">
        <f t="shared" si="20"/>
        <v>Monday</v>
      </c>
      <c r="D142" s="52">
        <v>5.5</v>
      </c>
      <c r="E142" t="s">
        <v>42</v>
      </c>
      <c r="F142" s="40">
        <f t="shared" si="18"/>
        <v>0</v>
      </c>
      <c r="G142" s="40">
        <f t="shared" si="18"/>
        <v>0</v>
      </c>
      <c r="H142" s="40">
        <f t="shared" si="19"/>
        <v>0</v>
      </c>
      <c r="I142" s="65">
        <f t="shared" si="21"/>
        <v>0</v>
      </c>
      <c r="J142" s="65">
        <f t="shared" si="22"/>
        <v>0</v>
      </c>
      <c r="K142" s="65">
        <f t="shared" si="23"/>
        <v>0</v>
      </c>
    </row>
    <row r="143" spans="2:11" x14ac:dyDescent="0.2">
      <c r="B143" s="26">
        <v>134</v>
      </c>
      <c r="C143" s="50" t="str">
        <f t="shared" si="20"/>
        <v>Monday</v>
      </c>
      <c r="D143" s="52">
        <v>5.5416666666666696</v>
      </c>
      <c r="E143" t="s">
        <v>42</v>
      </c>
      <c r="F143" s="40">
        <f t="shared" si="18"/>
        <v>0</v>
      </c>
      <c r="G143" s="40">
        <f t="shared" si="18"/>
        <v>0</v>
      </c>
      <c r="H143" s="40">
        <f t="shared" si="19"/>
        <v>0</v>
      </c>
      <c r="I143" s="65">
        <f t="shared" si="21"/>
        <v>0</v>
      </c>
      <c r="J143" s="65">
        <f t="shared" si="22"/>
        <v>0</v>
      </c>
      <c r="K143" s="65">
        <f t="shared" si="23"/>
        <v>0</v>
      </c>
    </row>
    <row r="144" spans="2:11" x14ac:dyDescent="0.2">
      <c r="B144" s="26">
        <v>135</v>
      </c>
      <c r="C144" s="50" t="str">
        <f t="shared" si="20"/>
        <v>Monday</v>
      </c>
      <c r="D144" s="52">
        <v>5.5833333333333401</v>
      </c>
      <c r="E144" t="s">
        <v>42</v>
      </c>
      <c r="F144" s="40">
        <f t="shared" si="18"/>
        <v>0</v>
      </c>
      <c r="G144" s="40">
        <f t="shared" si="18"/>
        <v>0</v>
      </c>
      <c r="H144" s="40">
        <f t="shared" si="19"/>
        <v>0</v>
      </c>
      <c r="I144" s="65">
        <f t="shared" si="21"/>
        <v>0</v>
      </c>
      <c r="J144" s="65">
        <f t="shared" si="22"/>
        <v>0</v>
      </c>
      <c r="K144" s="65">
        <f t="shared" si="23"/>
        <v>0</v>
      </c>
    </row>
    <row r="145" spans="2:11" x14ac:dyDescent="0.2">
      <c r="B145" s="26">
        <v>136</v>
      </c>
      <c r="C145" s="50" t="str">
        <f t="shared" si="20"/>
        <v>Monday</v>
      </c>
      <c r="D145" s="52">
        <v>5.625</v>
      </c>
      <c r="E145" t="s">
        <v>42</v>
      </c>
      <c r="F145" s="40">
        <f t="shared" si="18"/>
        <v>3.4332694957598457</v>
      </c>
      <c r="G145" s="40">
        <f t="shared" si="18"/>
        <v>1.8717327794185254</v>
      </c>
      <c r="H145" s="40">
        <f t="shared" si="19"/>
        <v>0.32981104388639787</v>
      </c>
      <c r="I145" s="65">
        <f t="shared" si="21"/>
        <v>8239.8467898236304</v>
      </c>
      <c r="J145" s="65">
        <f t="shared" si="22"/>
        <v>4492.1586706044609</v>
      </c>
      <c r="K145" s="65">
        <f t="shared" si="23"/>
        <v>791.54650532735491</v>
      </c>
    </row>
    <row r="146" spans="2:11" x14ac:dyDescent="0.2">
      <c r="B146" s="26">
        <v>137</v>
      </c>
      <c r="C146" s="50" t="str">
        <f t="shared" si="20"/>
        <v>Monday</v>
      </c>
      <c r="D146" s="52">
        <v>5.6666666666666696</v>
      </c>
      <c r="E146" t="s">
        <v>42</v>
      </c>
      <c r="F146" s="40">
        <f t="shared" si="18"/>
        <v>3.4332694957598457</v>
      </c>
      <c r="G146" s="40">
        <f t="shared" si="18"/>
        <v>1.8717327794185254</v>
      </c>
      <c r="H146" s="40">
        <f t="shared" si="19"/>
        <v>0.32981104388639787</v>
      </c>
      <c r="I146" s="65">
        <f t="shared" si="21"/>
        <v>8239.8467898236304</v>
      </c>
      <c r="J146" s="65">
        <f t="shared" si="22"/>
        <v>4492.1586706044609</v>
      </c>
      <c r="K146" s="65">
        <f t="shared" si="23"/>
        <v>791.54650532735491</v>
      </c>
    </row>
    <row r="147" spans="2:11" x14ac:dyDescent="0.2">
      <c r="B147" s="26">
        <v>138</v>
      </c>
      <c r="C147" s="50" t="str">
        <f t="shared" si="20"/>
        <v>Monday</v>
      </c>
      <c r="D147" s="52">
        <v>5.7083333333333401</v>
      </c>
      <c r="E147" t="s">
        <v>42</v>
      </c>
      <c r="F147" s="40">
        <f t="shared" si="18"/>
        <v>3.4332694957598457</v>
      </c>
      <c r="G147" s="40">
        <f t="shared" si="18"/>
        <v>1.8717327794185254</v>
      </c>
      <c r="H147" s="40">
        <f t="shared" si="19"/>
        <v>0.32981104388639787</v>
      </c>
      <c r="I147" s="65">
        <f t="shared" si="21"/>
        <v>8239.8467898236304</v>
      </c>
      <c r="J147" s="65">
        <f t="shared" si="22"/>
        <v>4492.1586706044609</v>
      </c>
      <c r="K147" s="65">
        <f t="shared" si="23"/>
        <v>791.54650532735491</v>
      </c>
    </row>
    <row r="148" spans="2:11" x14ac:dyDescent="0.2">
      <c r="B148" s="26">
        <v>139</v>
      </c>
      <c r="C148" s="50" t="str">
        <f t="shared" si="20"/>
        <v>Monday</v>
      </c>
      <c r="D148" s="52">
        <v>5.75</v>
      </c>
      <c r="E148" t="s">
        <v>42</v>
      </c>
      <c r="F148" s="40">
        <f t="shared" si="18"/>
        <v>3.4332694957598457</v>
      </c>
      <c r="G148" s="40">
        <f t="shared" si="18"/>
        <v>1.8717327794185254</v>
      </c>
      <c r="H148" s="40">
        <f t="shared" si="19"/>
        <v>0.32981104388639787</v>
      </c>
      <c r="I148" s="65">
        <f t="shared" si="21"/>
        <v>8239.8467898236304</v>
      </c>
      <c r="J148" s="65">
        <f t="shared" si="22"/>
        <v>4492.1586706044609</v>
      </c>
      <c r="K148" s="65">
        <f t="shared" si="23"/>
        <v>791.54650532735491</v>
      </c>
    </row>
    <row r="149" spans="2:11" x14ac:dyDescent="0.2">
      <c r="B149" s="26">
        <v>140</v>
      </c>
      <c r="C149" s="50" t="str">
        <f t="shared" si="20"/>
        <v>Monday</v>
      </c>
      <c r="D149" s="52">
        <v>5.7916666666666696</v>
      </c>
      <c r="E149" t="s">
        <v>42</v>
      </c>
      <c r="F149" s="40">
        <f t="shared" si="18"/>
        <v>3.4332694957598457</v>
      </c>
      <c r="G149" s="40">
        <f t="shared" si="18"/>
        <v>1.8717327794185254</v>
      </c>
      <c r="H149" s="40">
        <f t="shared" si="19"/>
        <v>0.32981104388639787</v>
      </c>
      <c r="I149" s="65">
        <f t="shared" si="21"/>
        <v>8239.8467898236304</v>
      </c>
      <c r="J149" s="65">
        <f t="shared" si="22"/>
        <v>4492.1586706044609</v>
      </c>
      <c r="K149" s="65">
        <f t="shared" si="23"/>
        <v>791.54650532735491</v>
      </c>
    </row>
    <row r="150" spans="2:11" x14ac:dyDescent="0.2">
      <c r="B150" s="26">
        <v>141</v>
      </c>
      <c r="C150" s="50" t="str">
        <f t="shared" si="20"/>
        <v>Monday</v>
      </c>
      <c r="D150" s="52">
        <v>5.8333333333333401</v>
      </c>
      <c r="E150" t="s">
        <v>42</v>
      </c>
      <c r="F150" s="40">
        <f t="shared" si="18"/>
        <v>3.4332694957598457</v>
      </c>
      <c r="G150" s="40">
        <f t="shared" si="18"/>
        <v>1.8717327794185254</v>
      </c>
      <c r="H150" s="40">
        <f t="shared" si="19"/>
        <v>0.32981104388639787</v>
      </c>
      <c r="I150" s="65">
        <f t="shared" si="21"/>
        <v>8239.8467898236304</v>
      </c>
      <c r="J150" s="65">
        <f t="shared" si="22"/>
        <v>4492.1586706044609</v>
      </c>
      <c r="K150" s="65">
        <f t="shared" si="23"/>
        <v>791.54650532735491</v>
      </c>
    </row>
    <row r="151" spans="2:11" x14ac:dyDescent="0.2">
      <c r="B151" s="26">
        <v>142</v>
      </c>
      <c r="C151" s="50" t="str">
        <f t="shared" si="20"/>
        <v>Monday</v>
      </c>
      <c r="D151" s="52">
        <v>5.875</v>
      </c>
      <c r="E151" t="s">
        <v>42</v>
      </c>
      <c r="F151" s="40">
        <f t="shared" si="18"/>
        <v>3.4332694957598457</v>
      </c>
      <c r="G151" s="40">
        <f t="shared" si="18"/>
        <v>1.8717327794185254</v>
      </c>
      <c r="H151" s="40">
        <f t="shared" si="19"/>
        <v>0.32981104388639787</v>
      </c>
      <c r="I151" s="65">
        <f t="shared" si="21"/>
        <v>8239.8467898236304</v>
      </c>
      <c r="J151" s="65">
        <f t="shared" si="22"/>
        <v>4492.1586706044609</v>
      </c>
      <c r="K151" s="65">
        <f t="shared" si="23"/>
        <v>791.54650532735491</v>
      </c>
    </row>
    <row r="152" spans="2:11" x14ac:dyDescent="0.2">
      <c r="B152" s="26">
        <v>143</v>
      </c>
      <c r="C152" s="50" t="str">
        <f t="shared" si="20"/>
        <v>Monday</v>
      </c>
      <c r="D152" s="52">
        <v>5.9166666666666696</v>
      </c>
      <c r="E152" t="s">
        <v>42</v>
      </c>
      <c r="F152" s="40">
        <f t="shared" si="18"/>
        <v>0</v>
      </c>
      <c r="G152" s="40">
        <f t="shared" si="18"/>
        <v>0</v>
      </c>
      <c r="H152" s="40">
        <f t="shared" si="19"/>
        <v>0</v>
      </c>
      <c r="I152" s="65">
        <f t="shared" si="21"/>
        <v>0</v>
      </c>
      <c r="J152" s="65">
        <f t="shared" si="22"/>
        <v>0</v>
      </c>
      <c r="K152" s="65">
        <f t="shared" si="23"/>
        <v>0</v>
      </c>
    </row>
    <row r="153" spans="2:11" x14ac:dyDescent="0.2">
      <c r="B153" s="26">
        <v>144</v>
      </c>
      <c r="C153" s="50" t="str">
        <f t="shared" si="20"/>
        <v>Monday</v>
      </c>
      <c r="D153" s="52">
        <v>5.9583333333333401</v>
      </c>
      <c r="E153" t="s">
        <v>42</v>
      </c>
      <c r="F153" s="40">
        <f t="shared" si="18"/>
        <v>0</v>
      </c>
      <c r="G153" s="40">
        <f t="shared" si="18"/>
        <v>0</v>
      </c>
      <c r="H153" s="40">
        <f t="shared" si="19"/>
        <v>0</v>
      </c>
      <c r="I153" s="65">
        <f t="shared" si="21"/>
        <v>0</v>
      </c>
      <c r="J153" s="65">
        <f t="shared" si="22"/>
        <v>0</v>
      </c>
      <c r="K153" s="65">
        <f t="shared" si="23"/>
        <v>0</v>
      </c>
    </row>
    <row r="154" spans="2:11" x14ac:dyDescent="0.2">
      <c r="B154" s="26">
        <v>145</v>
      </c>
      <c r="C154" t="s">
        <v>73</v>
      </c>
      <c r="D154" s="52">
        <v>6</v>
      </c>
      <c r="E154" t="s">
        <v>42</v>
      </c>
      <c r="F154" s="40">
        <f>F130</f>
        <v>0</v>
      </c>
      <c r="G154" s="40">
        <f>G10</f>
        <v>0</v>
      </c>
      <c r="H154" s="40">
        <f>H10</f>
        <v>0</v>
      </c>
      <c r="I154" s="65">
        <f t="shared" si="21"/>
        <v>0</v>
      </c>
      <c r="J154" s="65">
        <f t="shared" si="22"/>
        <v>0</v>
      </c>
      <c r="K154" s="65">
        <f t="shared" si="23"/>
        <v>0</v>
      </c>
    </row>
    <row r="155" spans="2:11" x14ac:dyDescent="0.2">
      <c r="B155" s="26">
        <v>146</v>
      </c>
      <c r="C155" s="50" t="str">
        <f>C154</f>
        <v>Tueday</v>
      </c>
      <c r="D155" s="52">
        <v>6.0416666666666696</v>
      </c>
      <c r="E155" t="s">
        <v>42</v>
      </c>
      <c r="F155" s="40">
        <f t="shared" ref="F155:F177" si="24">F131</f>
        <v>0</v>
      </c>
      <c r="G155" s="40">
        <f t="shared" ref="G155:H177" si="25">G11</f>
        <v>0</v>
      </c>
      <c r="H155" s="40">
        <f t="shared" si="25"/>
        <v>0</v>
      </c>
      <c r="I155" s="65">
        <f t="shared" si="21"/>
        <v>0</v>
      </c>
      <c r="J155" s="65">
        <f t="shared" si="22"/>
        <v>0</v>
      </c>
      <c r="K155" s="65">
        <f t="shared" si="23"/>
        <v>0</v>
      </c>
    </row>
    <row r="156" spans="2:11" x14ac:dyDescent="0.2">
      <c r="B156" s="26">
        <v>147</v>
      </c>
      <c r="C156" s="50" t="str">
        <f t="shared" ref="C156:C177" si="26">C155</f>
        <v>Tueday</v>
      </c>
      <c r="D156" s="52">
        <v>6.0833333333333401</v>
      </c>
      <c r="E156" t="s">
        <v>42</v>
      </c>
      <c r="F156" s="40">
        <f t="shared" si="24"/>
        <v>0</v>
      </c>
      <c r="G156" s="40">
        <f t="shared" si="25"/>
        <v>0</v>
      </c>
      <c r="H156" s="40">
        <f t="shared" si="25"/>
        <v>0</v>
      </c>
      <c r="I156" s="65">
        <f t="shared" si="21"/>
        <v>0</v>
      </c>
      <c r="J156" s="65">
        <f t="shared" si="22"/>
        <v>0</v>
      </c>
      <c r="K156" s="65">
        <f t="shared" si="23"/>
        <v>0</v>
      </c>
    </row>
    <row r="157" spans="2:11" x14ac:dyDescent="0.2">
      <c r="B157" s="26">
        <v>148</v>
      </c>
      <c r="C157" s="50" t="str">
        <f t="shared" si="26"/>
        <v>Tueday</v>
      </c>
      <c r="D157" s="52">
        <v>6.125</v>
      </c>
      <c r="E157" t="s">
        <v>42</v>
      </c>
      <c r="F157" s="40">
        <f t="shared" si="24"/>
        <v>0</v>
      </c>
      <c r="G157" s="40">
        <f t="shared" si="25"/>
        <v>0</v>
      </c>
      <c r="H157" s="40">
        <f t="shared" si="25"/>
        <v>0</v>
      </c>
      <c r="I157" s="65">
        <f t="shared" si="21"/>
        <v>0</v>
      </c>
      <c r="J157" s="65">
        <f t="shared" si="22"/>
        <v>0</v>
      </c>
      <c r="K157" s="65">
        <f t="shared" si="23"/>
        <v>0</v>
      </c>
    </row>
    <row r="158" spans="2:11" x14ac:dyDescent="0.2">
      <c r="B158" s="26">
        <v>149</v>
      </c>
      <c r="C158" s="50" t="str">
        <f t="shared" si="26"/>
        <v>Tueday</v>
      </c>
      <c r="D158" s="52">
        <v>6.1666666666666696</v>
      </c>
      <c r="E158" t="s">
        <v>42</v>
      </c>
      <c r="F158" s="40">
        <f t="shared" si="24"/>
        <v>0</v>
      </c>
      <c r="G158" s="40">
        <f t="shared" si="25"/>
        <v>0</v>
      </c>
      <c r="H158" s="40">
        <f t="shared" si="25"/>
        <v>0</v>
      </c>
      <c r="I158" s="65">
        <f t="shared" si="21"/>
        <v>0</v>
      </c>
      <c r="J158" s="65">
        <f t="shared" si="22"/>
        <v>0</v>
      </c>
      <c r="K158" s="65">
        <f t="shared" si="23"/>
        <v>0</v>
      </c>
    </row>
    <row r="159" spans="2:11" x14ac:dyDescent="0.2">
      <c r="B159" s="26">
        <v>150</v>
      </c>
      <c r="C159" s="50" t="str">
        <f t="shared" si="26"/>
        <v>Tueday</v>
      </c>
      <c r="D159" s="52">
        <v>6.2083333333333401</v>
      </c>
      <c r="E159" t="s">
        <v>42</v>
      </c>
      <c r="F159" s="40">
        <f t="shared" si="24"/>
        <v>0</v>
      </c>
      <c r="G159" s="40">
        <f t="shared" si="25"/>
        <v>0</v>
      </c>
      <c r="H159" s="40">
        <f t="shared" si="25"/>
        <v>0</v>
      </c>
      <c r="I159" s="65">
        <f t="shared" si="21"/>
        <v>0</v>
      </c>
      <c r="J159" s="65">
        <f t="shared" si="22"/>
        <v>0</v>
      </c>
      <c r="K159" s="65">
        <f t="shared" si="23"/>
        <v>0</v>
      </c>
    </row>
    <row r="160" spans="2:11" x14ac:dyDescent="0.2">
      <c r="B160" s="26">
        <v>151</v>
      </c>
      <c r="C160" s="50" t="str">
        <f t="shared" si="26"/>
        <v>Tueday</v>
      </c>
      <c r="D160" s="52">
        <v>6.25</v>
      </c>
      <c r="E160" t="s">
        <v>42</v>
      </c>
      <c r="F160" s="40">
        <f t="shared" si="24"/>
        <v>3.4332694957598457</v>
      </c>
      <c r="G160" s="40">
        <f t="shared" si="25"/>
        <v>1.8717327794185254</v>
      </c>
      <c r="H160" s="40">
        <f t="shared" si="25"/>
        <v>0.32981104388639787</v>
      </c>
      <c r="I160" s="65">
        <f t="shared" si="21"/>
        <v>8239.8467898236304</v>
      </c>
      <c r="J160" s="65">
        <f t="shared" si="22"/>
        <v>4492.1586706044609</v>
      </c>
      <c r="K160" s="65">
        <f t="shared" si="23"/>
        <v>791.54650532735491</v>
      </c>
    </row>
    <row r="161" spans="2:11" x14ac:dyDescent="0.2">
      <c r="B161" s="26">
        <v>152</v>
      </c>
      <c r="C161" s="50" t="str">
        <f t="shared" si="26"/>
        <v>Tueday</v>
      </c>
      <c r="D161" s="52">
        <v>6.2916666666666696</v>
      </c>
      <c r="E161" t="s">
        <v>42</v>
      </c>
      <c r="F161" s="40">
        <f t="shared" si="24"/>
        <v>3.4332694957598457</v>
      </c>
      <c r="G161" s="40">
        <f t="shared" si="25"/>
        <v>1.8717327794185254</v>
      </c>
      <c r="H161" s="40">
        <f t="shared" si="25"/>
        <v>0.32981104388639787</v>
      </c>
      <c r="I161" s="65">
        <f t="shared" si="21"/>
        <v>8239.8467898236304</v>
      </c>
      <c r="J161" s="65">
        <f t="shared" si="22"/>
        <v>4492.1586706044609</v>
      </c>
      <c r="K161" s="65">
        <f t="shared" si="23"/>
        <v>791.54650532735491</v>
      </c>
    </row>
    <row r="162" spans="2:11" x14ac:dyDescent="0.2">
      <c r="B162" s="26">
        <v>153</v>
      </c>
      <c r="C162" s="50" t="str">
        <f t="shared" si="26"/>
        <v>Tueday</v>
      </c>
      <c r="D162" s="52">
        <v>6.3333333333333401</v>
      </c>
      <c r="E162" t="s">
        <v>42</v>
      </c>
      <c r="F162" s="40">
        <f t="shared" si="24"/>
        <v>0</v>
      </c>
      <c r="G162" s="40">
        <f t="shared" si="25"/>
        <v>0</v>
      </c>
      <c r="H162" s="40">
        <f t="shared" si="25"/>
        <v>0</v>
      </c>
      <c r="I162" s="65">
        <f t="shared" si="21"/>
        <v>0</v>
      </c>
      <c r="J162" s="65">
        <f t="shared" si="22"/>
        <v>0</v>
      </c>
      <c r="K162" s="65">
        <f t="shared" si="23"/>
        <v>0</v>
      </c>
    </row>
    <row r="163" spans="2:11" x14ac:dyDescent="0.2">
      <c r="B163" s="26">
        <v>154</v>
      </c>
      <c r="C163" s="50" t="str">
        <f t="shared" si="26"/>
        <v>Tueday</v>
      </c>
      <c r="D163" s="52">
        <v>6.3750000000000098</v>
      </c>
      <c r="E163" t="s">
        <v>42</v>
      </c>
      <c r="F163" s="40">
        <f t="shared" si="24"/>
        <v>0</v>
      </c>
      <c r="G163" s="40">
        <f t="shared" si="25"/>
        <v>0</v>
      </c>
      <c r="H163" s="40">
        <f t="shared" si="25"/>
        <v>0</v>
      </c>
      <c r="I163" s="65">
        <f t="shared" si="21"/>
        <v>0</v>
      </c>
      <c r="J163" s="65">
        <f t="shared" si="22"/>
        <v>0</v>
      </c>
      <c r="K163" s="65">
        <f t="shared" si="23"/>
        <v>0</v>
      </c>
    </row>
    <row r="164" spans="2:11" x14ac:dyDescent="0.2">
      <c r="B164" s="26">
        <v>155</v>
      </c>
      <c r="C164" s="50" t="str">
        <f t="shared" si="26"/>
        <v>Tueday</v>
      </c>
      <c r="D164" s="52">
        <v>6.4166666666666696</v>
      </c>
      <c r="E164" t="s">
        <v>42</v>
      </c>
      <c r="F164" s="40">
        <f t="shared" si="24"/>
        <v>0</v>
      </c>
      <c r="G164" s="40">
        <f t="shared" si="25"/>
        <v>0</v>
      </c>
      <c r="H164" s="40">
        <f t="shared" si="25"/>
        <v>0</v>
      </c>
      <c r="I164" s="65">
        <f t="shared" si="21"/>
        <v>0</v>
      </c>
      <c r="J164" s="65">
        <f t="shared" si="22"/>
        <v>0</v>
      </c>
      <c r="K164" s="65">
        <f t="shared" si="23"/>
        <v>0</v>
      </c>
    </row>
    <row r="165" spans="2:11" x14ac:dyDescent="0.2">
      <c r="B165" s="26">
        <v>156</v>
      </c>
      <c r="C165" s="50" t="str">
        <f t="shared" si="26"/>
        <v>Tueday</v>
      </c>
      <c r="D165" s="52">
        <v>6.4583333333333401</v>
      </c>
      <c r="E165" t="s">
        <v>42</v>
      </c>
      <c r="F165" s="40">
        <f t="shared" si="24"/>
        <v>0</v>
      </c>
      <c r="G165" s="40">
        <f t="shared" si="25"/>
        <v>0</v>
      </c>
      <c r="H165" s="40">
        <f t="shared" si="25"/>
        <v>0</v>
      </c>
      <c r="I165" s="65">
        <f t="shared" si="21"/>
        <v>0</v>
      </c>
      <c r="J165" s="65">
        <f t="shared" si="22"/>
        <v>0</v>
      </c>
      <c r="K165" s="65">
        <f t="shared" si="23"/>
        <v>0</v>
      </c>
    </row>
    <row r="166" spans="2:11" x14ac:dyDescent="0.2">
      <c r="B166" s="26">
        <v>157</v>
      </c>
      <c r="C166" s="50" t="str">
        <f t="shared" si="26"/>
        <v>Tueday</v>
      </c>
      <c r="D166" s="52">
        <v>6.5000000000000098</v>
      </c>
      <c r="E166" t="s">
        <v>42</v>
      </c>
      <c r="F166" s="40">
        <f t="shared" si="24"/>
        <v>0</v>
      </c>
      <c r="G166" s="40">
        <f t="shared" si="25"/>
        <v>0</v>
      </c>
      <c r="H166" s="40">
        <f t="shared" si="25"/>
        <v>0</v>
      </c>
      <c r="I166" s="65">
        <f t="shared" si="21"/>
        <v>0</v>
      </c>
      <c r="J166" s="65">
        <f t="shared" si="22"/>
        <v>0</v>
      </c>
      <c r="K166" s="65">
        <f t="shared" si="23"/>
        <v>0</v>
      </c>
    </row>
    <row r="167" spans="2:11" x14ac:dyDescent="0.2">
      <c r="B167" s="26">
        <v>158</v>
      </c>
      <c r="C167" s="50" t="str">
        <f t="shared" si="26"/>
        <v>Tueday</v>
      </c>
      <c r="D167" s="52">
        <v>6.5416666666666696</v>
      </c>
      <c r="E167" t="s">
        <v>42</v>
      </c>
      <c r="F167" s="40">
        <f t="shared" si="24"/>
        <v>0</v>
      </c>
      <c r="G167" s="40">
        <f t="shared" si="25"/>
        <v>0</v>
      </c>
      <c r="H167" s="40">
        <f t="shared" si="25"/>
        <v>0</v>
      </c>
      <c r="I167" s="65">
        <f t="shared" si="21"/>
        <v>0</v>
      </c>
      <c r="J167" s="65">
        <f t="shared" si="22"/>
        <v>0</v>
      </c>
      <c r="K167" s="65">
        <f t="shared" si="23"/>
        <v>0</v>
      </c>
    </row>
    <row r="168" spans="2:11" x14ac:dyDescent="0.2">
      <c r="B168" s="26">
        <v>159</v>
      </c>
      <c r="C168" s="50" t="str">
        <f t="shared" si="26"/>
        <v>Tueday</v>
      </c>
      <c r="D168" s="52">
        <v>6.5833333333333401</v>
      </c>
      <c r="E168" t="s">
        <v>42</v>
      </c>
      <c r="F168" s="40">
        <f t="shared" si="24"/>
        <v>0</v>
      </c>
      <c r="G168" s="40">
        <f t="shared" si="25"/>
        <v>0</v>
      </c>
      <c r="H168" s="40">
        <f t="shared" si="25"/>
        <v>0</v>
      </c>
      <c r="I168" s="65">
        <f t="shared" si="21"/>
        <v>0</v>
      </c>
      <c r="J168" s="65">
        <f t="shared" si="22"/>
        <v>0</v>
      </c>
      <c r="K168" s="65">
        <f t="shared" si="23"/>
        <v>0</v>
      </c>
    </row>
    <row r="169" spans="2:11" x14ac:dyDescent="0.2">
      <c r="B169" s="26">
        <v>160</v>
      </c>
      <c r="C169" s="50" t="str">
        <f t="shared" si="26"/>
        <v>Tueday</v>
      </c>
      <c r="D169" s="52">
        <v>6.6250000000000098</v>
      </c>
      <c r="E169" t="s">
        <v>42</v>
      </c>
      <c r="F169" s="40">
        <f t="shared" si="24"/>
        <v>3.4332694957598457</v>
      </c>
      <c r="G169" s="40">
        <f t="shared" si="25"/>
        <v>1.8717327794185254</v>
      </c>
      <c r="H169" s="40">
        <f t="shared" si="25"/>
        <v>0.32981104388639787</v>
      </c>
      <c r="I169" s="65">
        <f t="shared" si="21"/>
        <v>8239.8467898236304</v>
      </c>
      <c r="J169" s="65">
        <f t="shared" si="22"/>
        <v>4492.1586706044609</v>
      </c>
      <c r="K169" s="65">
        <f t="shared" si="23"/>
        <v>791.54650532735491</v>
      </c>
    </row>
    <row r="170" spans="2:11" x14ac:dyDescent="0.2">
      <c r="B170" s="26">
        <v>161</v>
      </c>
      <c r="C170" s="50" t="str">
        <f t="shared" si="26"/>
        <v>Tueday</v>
      </c>
      <c r="D170" s="52">
        <v>6.6666666666666696</v>
      </c>
      <c r="E170" t="s">
        <v>42</v>
      </c>
      <c r="F170" s="40">
        <f t="shared" si="24"/>
        <v>3.4332694957598457</v>
      </c>
      <c r="G170" s="40">
        <f t="shared" si="25"/>
        <v>1.8717327794185254</v>
      </c>
      <c r="H170" s="40">
        <f t="shared" si="25"/>
        <v>0.32981104388639787</v>
      </c>
      <c r="I170" s="65">
        <f t="shared" si="21"/>
        <v>8239.8467898236304</v>
      </c>
      <c r="J170" s="65">
        <f t="shared" si="22"/>
        <v>4492.1586706044609</v>
      </c>
      <c r="K170" s="65">
        <f t="shared" si="23"/>
        <v>791.54650532735491</v>
      </c>
    </row>
    <row r="171" spans="2:11" x14ac:dyDescent="0.2">
      <c r="B171" s="26">
        <v>162</v>
      </c>
      <c r="C171" s="50" t="str">
        <f t="shared" si="26"/>
        <v>Tueday</v>
      </c>
      <c r="D171" s="52">
        <v>6.7083333333333401</v>
      </c>
      <c r="E171" t="s">
        <v>42</v>
      </c>
      <c r="F171" s="40">
        <f t="shared" si="24"/>
        <v>3.4332694957598457</v>
      </c>
      <c r="G171" s="40">
        <f t="shared" si="25"/>
        <v>1.8717327794185254</v>
      </c>
      <c r="H171" s="40">
        <f t="shared" si="25"/>
        <v>0.32981104388639787</v>
      </c>
      <c r="I171" s="65">
        <f t="shared" si="21"/>
        <v>8239.8467898236304</v>
      </c>
      <c r="J171" s="65">
        <f t="shared" si="22"/>
        <v>4492.1586706044609</v>
      </c>
      <c r="K171" s="65">
        <f t="shared" si="23"/>
        <v>791.54650532735491</v>
      </c>
    </row>
    <row r="172" spans="2:11" x14ac:dyDescent="0.2">
      <c r="B172" s="26">
        <v>163</v>
      </c>
      <c r="C172" s="50" t="str">
        <f t="shared" si="26"/>
        <v>Tueday</v>
      </c>
      <c r="D172" s="52">
        <v>6.7500000000000098</v>
      </c>
      <c r="E172" t="s">
        <v>42</v>
      </c>
      <c r="F172" s="40">
        <f t="shared" si="24"/>
        <v>3.4332694957598457</v>
      </c>
      <c r="G172" s="40">
        <f t="shared" si="25"/>
        <v>1.8717327794185254</v>
      </c>
      <c r="H172" s="40">
        <f t="shared" si="25"/>
        <v>0.32981104388639787</v>
      </c>
      <c r="I172" s="65">
        <f t="shared" si="21"/>
        <v>8239.8467898236304</v>
      </c>
      <c r="J172" s="65">
        <f t="shared" si="22"/>
        <v>4492.1586706044609</v>
      </c>
      <c r="K172" s="65">
        <f t="shared" si="23"/>
        <v>791.54650532735491</v>
      </c>
    </row>
    <row r="173" spans="2:11" x14ac:dyDescent="0.2">
      <c r="B173" s="26">
        <v>164</v>
      </c>
      <c r="C173" s="50" t="str">
        <f t="shared" si="26"/>
        <v>Tueday</v>
      </c>
      <c r="D173" s="52">
        <v>6.7916666666666696</v>
      </c>
      <c r="E173" t="s">
        <v>42</v>
      </c>
      <c r="F173" s="40">
        <f t="shared" si="24"/>
        <v>3.4332694957598457</v>
      </c>
      <c r="G173" s="40">
        <f t="shared" si="25"/>
        <v>1.8717327794185254</v>
      </c>
      <c r="H173" s="40">
        <f t="shared" si="25"/>
        <v>0.32981104388639787</v>
      </c>
      <c r="I173" s="65">
        <f t="shared" si="21"/>
        <v>8239.8467898236304</v>
      </c>
      <c r="J173" s="65">
        <f t="shared" si="22"/>
        <v>4492.1586706044609</v>
      </c>
      <c r="K173" s="65">
        <f t="shared" si="23"/>
        <v>791.54650532735491</v>
      </c>
    </row>
    <row r="174" spans="2:11" x14ac:dyDescent="0.2">
      <c r="B174" s="26">
        <v>165</v>
      </c>
      <c r="C174" s="50" t="str">
        <f t="shared" si="26"/>
        <v>Tueday</v>
      </c>
      <c r="D174" s="52">
        <v>6.8333333333333401</v>
      </c>
      <c r="E174" t="s">
        <v>42</v>
      </c>
      <c r="F174" s="40">
        <f t="shared" si="24"/>
        <v>3.4332694957598457</v>
      </c>
      <c r="G174" s="40">
        <f t="shared" si="25"/>
        <v>1.8717327794185254</v>
      </c>
      <c r="H174" s="40">
        <f t="shared" si="25"/>
        <v>0.32981104388639787</v>
      </c>
      <c r="I174" s="65">
        <f t="shared" si="21"/>
        <v>8239.8467898236304</v>
      </c>
      <c r="J174" s="65">
        <f t="shared" si="22"/>
        <v>4492.1586706044609</v>
      </c>
      <c r="K174" s="65">
        <f t="shared" si="23"/>
        <v>791.54650532735491</v>
      </c>
    </row>
    <row r="175" spans="2:11" x14ac:dyDescent="0.2">
      <c r="B175" s="26">
        <v>166</v>
      </c>
      <c r="C175" s="50" t="str">
        <f t="shared" si="26"/>
        <v>Tueday</v>
      </c>
      <c r="D175" s="52">
        <v>6.8750000000000098</v>
      </c>
      <c r="E175" t="s">
        <v>42</v>
      </c>
      <c r="F175" s="40">
        <f t="shared" si="24"/>
        <v>3.4332694957598457</v>
      </c>
      <c r="G175" s="40">
        <f t="shared" si="25"/>
        <v>1.8717327794185254</v>
      </c>
      <c r="H175" s="40">
        <f t="shared" si="25"/>
        <v>0.32981104388639787</v>
      </c>
      <c r="I175" s="65">
        <f t="shared" si="21"/>
        <v>8239.8467898236304</v>
      </c>
      <c r="J175" s="65">
        <f t="shared" si="22"/>
        <v>4492.1586706044609</v>
      </c>
      <c r="K175" s="65">
        <f t="shared" si="23"/>
        <v>791.54650532735491</v>
      </c>
    </row>
    <row r="176" spans="2:11" x14ac:dyDescent="0.2">
      <c r="B176" s="26">
        <v>167</v>
      </c>
      <c r="C176" s="50" t="str">
        <f t="shared" si="26"/>
        <v>Tueday</v>
      </c>
      <c r="D176" s="52">
        <v>6.9166666666666696</v>
      </c>
      <c r="E176" t="s">
        <v>42</v>
      </c>
      <c r="F176" s="40">
        <f t="shared" si="24"/>
        <v>0</v>
      </c>
      <c r="G176" s="40">
        <f t="shared" si="25"/>
        <v>0</v>
      </c>
      <c r="H176" s="40">
        <f t="shared" si="25"/>
        <v>0</v>
      </c>
      <c r="I176" s="65">
        <f t="shared" si="21"/>
        <v>0</v>
      </c>
      <c r="J176" s="65">
        <f t="shared" si="22"/>
        <v>0</v>
      </c>
      <c r="K176" s="65">
        <f t="shared" si="23"/>
        <v>0</v>
      </c>
    </row>
    <row r="177" spans="2:11" x14ac:dyDescent="0.2">
      <c r="B177" s="26">
        <v>168</v>
      </c>
      <c r="C177" s="50" t="str">
        <f t="shared" si="26"/>
        <v>Tueday</v>
      </c>
      <c r="D177" s="52">
        <v>6.9583333333333401</v>
      </c>
      <c r="E177" t="s">
        <v>42</v>
      </c>
      <c r="F177" s="40">
        <f t="shared" si="24"/>
        <v>0</v>
      </c>
      <c r="G177" s="40">
        <f t="shared" si="25"/>
        <v>0</v>
      </c>
      <c r="H177" s="40">
        <f t="shared" si="25"/>
        <v>0</v>
      </c>
      <c r="I177" s="65">
        <f t="shared" si="21"/>
        <v>0</v>
      </c>
      <c r="J177" s="65">
        <f t="shared" si="22"/>
        <v>0</v>
      </c>
      <c r="K177" s="65">
        <f t="shared" si="23"/>
        <v>0</v>
      </c>
    </row>
  </sheetData>
  <mergeCells count="4">
    <mergeCell ref="F1:H1"/>
    <mergeCell ref="I1:K1"/>
    <mergeCell ref="F4:H4"/>
    <mergeCell ref="I4:K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EC1B5-9F0B-674F-AD7B-C219F29C327B}">
  <dimension ref="A1:T183"/>
  <sheetViews>
    <sheetView topLeftCell="A4" zoomScale="120" zoomScaleNormal="120" workbookViewId="0">
      <selection activeCell="N22" sqref="N22"/>
    </sheetView>
  </sheetViews>
  <sheetFormatPr baseColWidth="10" defaultRowHeight="16" x14ac:dyDescent="0.2"/>
  <cols>
    <col min="1" max="1" width="20.83203125" customWidth="1"/>
    <col min="2" max="2" width="11.6640625" bestFit="1" customWidth="1"/>
    <col min="3" max="3" width="12.1640625" customWidth="1"/>
    <col min="6" max="6" width="10.83203125" style="111"/>
    <col min="7" max="7" width="12.33203125" style="111" customWidth="1"/>
    <col min="8" max="9" width="10.83203125" style="111"/>
    <col min="10" max="10" width="11.33203125" style="111" customWidth="1"/>
    <col min="11" max="13" width="10.83203125" style="111"/>
    <col min="14" max="14" width="11.5" style="107" bestFit="1" customWidth="1"/>
    <col min="15" max="15" width="13.5" style="107" customWidth="1"/>
    <col min="16" max="16" width="10.83203125" style="107"/>
    <col min="17" max="18" width="10.83203125" style="71"/>
    <col min="19" max="19" width="12.5" style="71" customWidth="1"/>
    <col min="20" max="20" width="10.83203125" style="71"/>
  </cols>
  <sheetData>
    <row r="1" spans="1:20" s="29" customFormat="1" x14ac:dyDescent="0.2">
      <c r="A1" s="29" t="s">
        <v>89</v>
      </c>
      <c r="N1" s="101"/>
      <c r="O1" s="101"/>
      <c r="P1" s="101"/>
      <c r="Q1" s="96"/>
      <c r="R1" s="96"/>
      <c r="S1" s="96"/>
      <c r="T1" s="96"/>
    </row>
    <row r="2" spans="1:20" s="29" customFormat="1" ht="18" x14ac:dyDescent="0.25">
      <c r="B2" s="136" t="s">
        <v>90</v>
      </c>
      <c r="C2" s="136"/>
      <c r="D2" s="136"/>
      <c r="E2" s="63"/>
      <c r="F2" s="63"/>
      <c r="G2" s="63"/>
      <c r="H2" s="63"/>
      <c r="I2" s="63"/>
      <c r="J2" s="63"/>
      <c r="K2" s="63"/>
      <c r="L2" s="63"/>
      <c r="M2" s="63"/>
      <c r="N2" s="101"/>
      <c r="O2" s="101"/>
      <c r="P2" s="101"/>
      <c r="Q2" s="96"/>
      <c r="R2" s="96"/>
      <c r="S2" s="96"/>
      <c r="T2" s="96"/>
    </row>
    <row r="3" spans="1:20" s="29" customFormat="1" ht="17" x14ac:dyDescent="0.2">
      <c r="A3" s="30" t="s">
        <v>91</v>
      </c>
      <c r="N3" s="101"/>
      <c r="O3" s="101"/>
      <c r="P3" s="101"/>
      <c r="Q3" s="96"/>
      <c r="R3" s="96"/>
      <c r="S3" s="96"/>
      <c r="T3" s="96"/>
    </row>
    <row r="4" spans="1:20" s="29" customFormat="1" x14ac:dyDescent="0.2">
      <c r="A4" s="61" t="s">
        <v>92</v>
      </c>
      <c r="N4" s="101"/>
      <c r="O4" s="101"/>
      <c r="P4" s="101"/>
      <c r="Q4" s="96"/>
      <c r="R4" s="96"/>
      <c r="S4" s="96"/>
      <c r="T4" s="96"/>
    </row>
    <row r="5" spans="1:20" s="29" customFormat="1" x14ac:dyDescent="0.2">
      <c r="A5" s="61" t="s">
        <v>93</v>
      </c>
      <c r="N5" s="101"/>
      <c r="O5" s="101"/>
      <c r="P5" s="101"/>
      <c r="Q5" s="96"/>
      <c r="R5" s="96"/>
      <c r="S5" s="96"/>
      <c r="T5" s="96"/>
    </row>
    <row r="6" spans="1:20" x14ac:dyDescent="0.2">
      <c r="A6" s="47" t="s">
        <v>99</v>
      </c>
      <c r="B6" s="66">
        <f>HomeHeatDemand!F9</f>
        <v>2400</v>
      </c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Q6" s="97"/>
    </row>
    <row r="7" spans="1:20" x14ac:dyDescent="0.2">
      <c r="A7" s="47"/>
      <c r="B7" s="66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102"/>
      <c r="O7" s="102"/>
      <c r="P7" s="102"/>
      <c r="Q7" s="97"/>
      <c r="R7" s="97"/>
      <c r="S7" s="97"/>
      <c r="T7" s="97"/>
    </row>
    <row r="8" spans="1:20" x14ac:dyDescent="0.2">
      <c r="A8" s="47"/>
      <c r="B8" s="139" t="s">
        <v>131</v>
      </c>
      <c r="C8" s="139"/>
      <c r="D8" s="139"/>
      <c r="E8" s="109"/>
      <c r="F8" s="133" t="s">
        <v>138</v>
      </c>
      <c r="G8" s="133"/>
      <c r="H8" s="133"/>
      <c r="I8" s="133"/>
      <c r="J8" s="133"/>
      <c r="K8" s="133"/>
      <c r="L8" s="36"/>
      <c r="M8" s="36"/>
      <c r="N8" s="137" t="s">
        <v>181</v>
      </c>
      <c r="O8" s="137"/>
      <c r="P8" s="137"/>
      <c r="Q8" s="137"/>
      <c r="R8" s="137"/>
      <c r="S8" s="137"/>
      <c r="T8" s="137"/>
    </row>
    <row r="9" spans="1:20" x14ac:dyDescent="0.2">
      <c r="A9" s="47"/>
      <c r="B9" s="109"/>
      <c r="C9" s="109"/>
      <c r="D9" s="109"/>
      <c r="E9" s="109"/>
      <c r="F9" s="36"/>
      <c r="G9" s="36" t="s">
        <v>156</v>
      </c>
      <c r="H9" s="36"/>
      <c r="I9" s="36"/>
      <c r="J9" s="36" t="s">
        <v>157</v>
      </c>
      <c r="K9" s="36"/>
      <c r="L9" s="36"/>
      <c r="M9" s="36"/>
      <c r="N9" s="137" t="s">
        <v>104</v>
      </c>
      <c r="O9" s="137"/>
      <c r="P9" s="137"/>
      <c r="Q9" s="97"/>
      <c r="R9" s="138" t="s">
        <v>103</v>
      </c>
      <c r="S9" s="138"/>
      <c r="T9" s="138"/>
    </row>
    <row r="10" spans="1:20" x14ac:dyDescent="0.2">
      <c r="A10" s="47" t="s">
        <v>159</v>
      </c>
      <c r="B10" s="66" t="str">
        <f>"A" &amp; 'Degree-days'!C28 &amp; "W35"</f>
        <v>A7W35</v>
      </c>
      <c r="C10" s="108" t="str">
        <f>"A"&amp; ROUND('Degree-days'!D21,1)&amp;"W35"</f>
        <v>A15.4W35</v>
      </c>
      <c r="D10" s="108" t="str">
        <f>"A"&amp; ROUND('Degree-days'!E21,1)&amp;"W35"</f>
        <v>A23W35</v>
      </c>
      <c r="E10" s="108"/>
      <c r="F10" s="140" t="s">
        <v>136</v>
      </c>
      <c r="G10" s="140"/>
      <c r="H10" s="140"/>
      <c r="I10" s="140" t="s">
        <v>155</v>
      </c>
      <c r="J10" s="140"/>
      <c r="K10" s="140"/>
      <c r="L10" s="59"/>
      <c r="M10" s="59"/>
      <c r="N10" s="102"/>
      <c r="O10" s="102"/>
      <c r="P10" s="102"/>
      <c r="Q10" s="97"/>
      <c r="R10" s="97"/>
      <c r="S10" s="97"/>
      <c r="T10" s="97"/>
    </row>
    <row r="11" spans="1:20" s="36" customFormat="1" x14ac:dyDescent="0.2">
      <c r="B11" s="36" t="s">
        <v>76</v>
      </c>
      <c r="C11" s="36" t="s">
        <v>78</v>
      </c>
      <c r="D11" s="36" t="s">
        <v>77</v>
      </c>
      <c r="F11" s="36" t="str">
        <f>B11</f>
        <v>Winter</v>
      </c>
      <c r="G11" s="36" t="str">
        <f>C11</f>
        <v>Spring/Autumn</v>
      </c>
      <c r="H11" s="36" t="str">
        <f>D11</f>
        <v>Summer</v>
      </c>
      <c r="I11" s="36" t="str">
        <f>F11</f>
        <v>Winter</v>
      </c>
      <c r="J11" s="36" t="str">
        <f t="shared" ref="J11:K11" si="0">G11</f>
        <v>Spring/Autumn</v>
      </c>
      <c r="K11" s="36" t="str">
        <f t="shared" si="0"/>
        <v>Summer</v>
      </c>
      <c r="N11" s="102" t="str">
        <f>B11</f>
        <v>Winter</v>
      </c>
      <c r="O11" s="102" t="str">
        <f>C11</f>
        <v>Spring/Autumn</v>
      </c>
      <c r="P11" s="102" t="str">
        <f>D11</f>
        <v>Summer</v>
      </c>
      <c r="Q11" s="97"/>
      <c r="R11" s="97" t="str">
        <f>N11</f>
        <v>Winter</v>
      </c>
      <c r="S11" s="97" t="str">
        <f>O11</f>
        <v>Spring/Autumn</v>
      </c>
      <c r="T11" s="97" t="str">
        <f>P11</f>
        <v>Summer</v>
      </c>
    </row>
    <row r="12" spans="1:20" x14ac:dyDescent="0.2">
      <c r="A12" s="46"/>
      <c r="B12" s="60"/>
      <c r="C12" s="60"/>
      <c r="D12" s="60"/>
      <c r="E12" s="60"/>
      <c r="F12" s="62" t="s">
        <v>160</v>
      </c>
      <c r="G12" s="60"/>
      <c r="H12" s="60"/>
      <c r="I12" s="60"/>
      <c r="J12" s="60"/>
      <c r="K12" s="60"/>
      <c r="L12" s="60"/>
      <c r="M12" s="60"/>
      <c r="N12" s="103"/>
      <c r="O12" s="103"/>
      <c r="P12" s="103"/>
      <c r="Q12" s="95"/>
    </row>
    <row r="13" spans="1:20" x14ac:dyDescent="0.2">
      <c r="A13" s="46" t="s">
        <v>87</v>
      </c>
      <c r="B13" s="59">
        <f>'Degree-days'!C29</f>
        <v>4.5999999999999996</v>
      </c>
      <c r="C13" s="60">
        <f>'Degree-days'!D29</f>
        <v>5.3758666666666661</v>
      </c>
      <c r="D13" s="60">
        <f>'Degree-days'!E29</f>
        <v>6.0677066666666661</v>
      </c>
      <c r="E13" s="60"/>
      <c r="F13" s="112">
        <f>'Degree-days'!C31</f>
        <v>9.5</v>
      </c>
      <c r="G13" s="112">
        <f>'Degree-days'!D31</f>
        <v>9.5</v>
      </c>
      <c r="H13" s="112">
        <f>'Degree-days'!E31</f>
        <v>9.5</v>
      </c>
      <c r="I13" s="120">
        <f>'Degree-days'!C32</f>
        <v>7.12</v>
      </c>
      <c r="J13" s="120">
        <f>'Degree-days'!D32</f>
        <v>7.12</v>
      </c>
      <c r="K13" s="120">
        <f>'Degree-days'!E32</f>
        <v>7.12</v>
      </c>
      <c r="L13" s="120"/>
      <c r="M13" s="119" t="s">
        <v>94</v>
      </c>
      <c r="N13" s="104">
        <f>MAX(N16:N183)</f>
        <v>1791.2710412660065</v>
      </c>
      <c r="O13" s="104">
        <f>MAX(O16:O183)</f>
        <v>835.61571540795808</v>
      </c>
      <c r="P13" s="104">
        <f>MAX(P16:P183)</f>
        <v>130.45233542283216</v>
      </c>
      <c r="Q13" s="98" t="s">
        <v>94</v>
      </c>
      <c r="R13" s="99">
        <f>MAX(R16:R183)</f>
        <v>6448.5757485576241</v>
      </c>
    </row>
    <row r="14" spans="1:20" x14ac:dyDescent="0.2">
      <c r="A14" s="46" t="s">
        <v>137</v>
      </c>
      <c r="B14" s="73">
        <f>SUM(B16:B183)</f>
        <v>57.469945907284426</v>
      </c>
      <c r="C14" s="73">
        <f>SUM(C16:C183)</f>
        <v>26.809337536005355</v>
      </c>
      <c r="D14" s="73">
        <f>SUM(D16:D183)</f>
        <v>4.1853457614825347</v>
      </c>
      <c r="E14" s="73"/>
      <c r="F14" s="113">
        <f>SUM(F16:F183)</f>
        <v>27.827552755106151</v>
      </c>
      <c r="G14" s="113">
        <f>SUM(G16:G183)</f>
        <v>15.170886738444889</v>
      </c>
      <c r="H14" s="113">
        <f>SUM(H16:H183)</f>
        <v>2.6732053030792229</v>
      </c>
      <c r="I14" s="113">
        <f t="shared" ref="I14:K14" si="1">SUM(I16:I183)</f>
        <v>37.129459434481475</v>
      </c>
      <c r="J14" s="113">
        <f t="shared" si="1"/>
        <v>20.242053934722826</v>
      </c>
      <c r="K14" s="113">
        <f t="shared" si="1"/>
        <v>3.5667767386590818</v>
      </c>
      <c r="L14" s="113"/>
      <c r="M14" s="46" t="s">
        <v>13</v>
      </c>
      <c r="N14" s="105">
        <f>SUM(N16:N183)</f>
        <v>137927.87017748263</v>
      </c>
      <c r="O14" s="105">
        <f>SUM(O16:O183)</f>
        <v>64342.410086412696</v>
      </c>
      <c r="P14" s="105">
        <f>SUM(P16:P183)</f>
        <v>10044.829827558067</v>
      </c>
      <c r="Q14" s="98"/>
      <c r="R14" s="99"/>
    </row>
    <row r="15" spans="1:20" s="36" customFormat="1" ht="21" customHeight="1" x14ac:dyDescent="0.2">
      <c r="A15" s="36" t="s">
        <v>65</v>
      </c>
      <c r="B15" s="25" t="s">
        <v>88</v>
      </c>
      <c r="C15" s="25" t="s">
        <v>88</v>
      </c>
      <c r="D15" s="25" t="s">
        <v>88</v>
      </c>
      <c r="E15" s="25"/>
      <c r="F15" s="25" t="str">
        <f>B15</f>
        <v>(kWh)</v>
      </c>
      <c r="G15" s="25" t="str">
        <f>C15</f>
        <v>(kWh)</v>
      </c>
      <c r="H15" s="25" t="str">
        <f>D15</f>
        <v>(kWh)</v>
      </c>
      <c r="I15" s="25" t="str">
        <f>H15</f>
        <v>(kWh)</v>
      </c>
      <c r="J15" s="25" t="str">
        <f t="shared" ref="J15:K15" si="2">I15</f>
        <v>(kWh)</v>
      </c>
      <c r="K15" s="25" t="str">
        <f t="shared" si="2"/>
        <v>(kWh)</v>
      </c>
      <c r="L15" s="25"/>
      <c r="M15" s="25"/>
      <c r="N15" s="102"/>
      <c r="O15" s="102"/>
      <c r="P15" s="102"/>
      <c r="Q15" s="97"/>
      <c r="R15" s="97"/>
      <c r="S15" s="97"/>
      <c r="T15" s="97"/>
    </row>
    <row r="16" spans="1:20" x14ac:dyDescent="0.2">
      <c r="A16" s="17">
        <v>1</v>
      </c>
      <c r="B16" s="55">
        <f>HomeHeatDemand!F10/$B$13</f>
        <v>0</v>
      </c>
      <c r="C16" s="55">
        <f>HomeHeatDemand!G10/$C$13</f>
        <v>0</v>
      </c>
      <c r="D16" s="55">
        <f>HomeHeatDemand!H10/$D$13</f>
        <v>0</v>
      </c>
      <c r="E16" s="55"/>
      <c r="F16" s="110">
        <f>HomeHeatDemand!F10/$F$13</f>
        <v>0</v>
      </c>
      <c r="G16" s="110">
        <f>HomeHeatDemand!G10/$F$13</f>
        <v>0</v>
      </c>
      <c r="H16" s="110">
        <f>HomeHeatDemand!H10/$F$13</f>
        <v>0</v>
      </c>
      <c r="I16" s="110">
        <f>HomeHeatDemand!F10/$I$13</f>
        <v>0</v>
      </c>
      <c r="J16" s="110">
        <f>HomeHeatDemand!G10/$J$13</f>
        <v>0</v>
      </c>
      <c r="K16" s="110">
        <f>HomeHeatDemand!H10/$K$13</f>
        <v>0</v>
      </c>
      <c r="L16" s="110"/>
      <c r="M16" s="110"/>
      <c r="N16" s="104">
        <f>B16*$B$6</f>
        <v>0</v>
      </c>
      <c r="O16" s="104">
        <f>C16*$B$6</f>
        <v>0</v>
      </c>
      <c r="P16" s="104">
        <f>D16*$B$6</f>
        <v>0</v>
      </c>
      <c r="Q16" s="99"/>
      <c r="R16" s="99">
        <f>HomeHeatDemand!I10-HP_Power!N16</f>
        <v>0</v>
      </c>
    </row>
    <row r="17" spans="1:18" x14ac:dyDescent="0.2">
      <c r="A17" s="17">
        <v>2</v>
      </c>
      <c r="B17" s="55">
        <f>HomeHeatDemand!F11/$B$13</f>
        <v>0</v>
      </c>
      <c r="C17" s="55">
        <f>HomeHeatDemand!G11/$C$13</f>
        <v>0</v>
      </c>
      <c r="D17" s="55">
        <f>HomeHeatDemand!H11/$D$13</f>
        <v>0</v>
      </c>
      <c r="E17" s="55"/>
      <c r="F17" s="110">
        <f>HomeHeatDemand!F11/$F$13</f>
        <v>0</v>
      </c>
      <c r="G17" s="110">
        <f>HomeHeatDemand!G11/$G$13</f>
        <v>0</v>
      </c>
      <c r="H17" s="110">
        <f>HomeHeatDemand!H11/$H$13</f>
        <v>0</v>
      </c>
      <c r="I17" s="110">
        <f>HomeHeatDemand!F11/$I$13</f>
        <v>0</v>
      </c>
      <c r="J17" s="110">
        <f>HomeHeatDemand!G11/$J$13</f>
        <v>0</v>
      </c>
      <c r="K17" s="110">
        <f>HomeHeatDemand!H11/$K$13</f>
        <v>0</v>
      </c>
      <c r="L17" s="110"/>
      <c r="M17" s="110"/>
      <c r="N17" s="104">
        <f t="shared" ref="N17:N80" si="3">B17*$B$6</f>
        <v>0</v>
      </c>
      <c r="O17" s="104">
        <f t="shared" ref="O17:O80" si="4">C17*$B$6</f>
        <v>0</v>
      </c>
      <c r="P17" s="104">
        <f t="shared" ref="P17:P80" si="5">D17*$B$6</f>
        <v>0</v>
      </c>
      <c r="Q17" s="99"/>
      <c r="R17" s="99">
        <f>HomeHeatDemand!I11-HP_Power!N17</f>
        <v>0</v>
      </c>
    </row>
    <row r="18" spans="1:18" x14ac:dyDescent="0.2">
      <c r="A18" s="17">
        <v>3</v>
      </c>
      <c r="B18" s="55">
        <f>HomeHeatDemand!F12/$B$13</f>
        <v>0</v>
      </c>
      <c r="C18" s="55">
        <f>HomeHeatDemand!G12/$C$13</f>
        <v>0</v>
      </c>
      <c r="D18" s="55">
        <f>HomeHeatDemand!H12/$D$13</f>
        <v>0</v>
      </c>
      <c r="E18" s="55"/>
      <c r="F18" s="110">
        <f>HomeHeatDemand!F12/$F$13</f>
        <v>0</v>
      </c>
      <c r="G18" s="110">
        <f>HomeHeatDemand!G12/$G$13</f>
        <v>0</v>
      </c>
      <c r="H18" s="110">
        <f>HomeHeatDemand!H12/$H$13</f>
        <v>0</v>
      </c>
      <c r="I18" s="110">
        <f>HomeHeatDemand!F12/$I$13</f>
        <v>0</v>
      </c>
      <c r="J18" s="110">
        <f>HomeHeatDemand!G12/$J$13</f>
        <v>0</v>
      </c>
      <c r="K18" s="110">
        <f>HomeHeatDemand!H12/$K$13</f>
        <v>0</v>
      </c>
      <c r="L18" s="110"/>
      <c r="M18" s="110"/>
      <c r="N18" s="104">
        <f t="shared" si="3"/>
        <v>0</v>
      </c>
      <c r="O18" s="104">
        <f t="shared" si="4"/>
        <v>0</v>
      </c>
      <c r="P18" s="104">
        <f t="shared" si="5"/>
        <v>0</v>
      </c>
      <c r="Q18" s="99"/>
      <c r="R18" s="99">
        <f>HomeHeatDemand!I12-HP_Power!N18</f>
        <v>0</v>
      </c>
    </row>
    <row r="19" spans="1:18" x14ac:dyDescent="0.2">
      <c r="A19" s="17">
        <v>4</v>
      </c>
      <c r="B19" s="55">
        <f>HomeHeatDemand!F13/$B$13</f>
        <v>0</v>
      </c>
      <c r="C19" s="55">
        <f>HomeHeatDemand!G13/$C$13</f>
        <v>0</v>
      </c>
      <c r="D19" s="55">
        <f>HomeHeatDemand!H13/$D$13</f>
        <v>0</v>
      </c>
      <c r="E19" s="55"/>
      <c r="F19" s="110">
        <f>HomeHeatDemand!F13/$F$13</f>
        <v>0</v>
      </c>
      <c r="G19" s="110">
        <f>HomeHeatDemand!G13/$G$13</f>
        <v>0</v>
      </c>
      <c r="H19" s="110">
        <f>HomeHeatDemand!H13/$H$13</f>
        <v>0</v>
      </c>
      <c r="I19" s="110">
        <f>HomeHeatDemand!F13/$I$13</f>
        <v>0</v>
      </c>
      <c r="J19" s="110">
        <f>HomeHeatDemand!G13/$J$13</f>
        <v>0</v>
      </c>
      <c r="K19" s="110">
        <f>HomeHeatDemand!H13/$K$13</f>
        <v>0</v>
      </c>
      <c r="L19" s="110"/>
      <c r="M19" s="110"/>
      <c r="N19" s="104">
        <f t="shared" si="3"/>
        <v>0</v>
      </c>
      <c r="O19" s="104">
        <f t="shared" si="4"/>
        <v>0</v>
      </c>
      <c r="P19" s="104">
        <f t="shared" si="5"/>
        <v>0</v>
      </c>
      <c r="Q19" s="99"/>
      <c r="R19" s="99">
        <f>HomeHeatDemand!I13-HP_Power!N19</f>
        <v>0</v>
      </c>
    </row>
    <row r="20" spans="1:18" x14ac:dyDescent="0.2">
      <c r="A20" s="17">
        <v>5</v>
      </c>
      <c r="B20" s="55">
        <f>HomeHeatDemand!F14/$B$13</f>
        <v>0</v>
      </c>
      <c r="C20" s="55">
        <f>HomeHeatDemand!G14/$C$13</f>
        <v>0</v>
      </c>
      <c r="D20" s="55">
        <f>HomeHeatDemand!H14/$D$13</f>
        <v>0</v>
      </c>
      <c r="E20" s="55"/>
      <c r="F20" s="110">
        <f>HomeHeatDemand!F14/$F$13</f>
        <v>0</v>
      </c>
      <c r="G20" s="110">
        <f>HomeHeatDemand!G14/$G$13</f>
        <v>0</v>
      </c>
      <c r="H20" s="110">
        <f>HomeHeatDemand!H14/$H$13</f>
        <v>0</v>
      </c>
      <c r="I20" s="110">
        <f>HomeHeatDemand!F14/$I$13</f>
        <v>0</v>
      </c>
      <c r="J20" s="110">
        <f>HomeHeatDemand!G14/$J$13</f>
        <v>0</v>
      </c>
      <c r="K20" s="110">
        <f>HomeHeatDemand!H14/$K$13</f>
        <v>0</v>
      </c>
      <c r="L20" s="110"/>
      <c r="M20" s="110"/>
      <c r="N20" s="104">
        <f t="shared" si="3"/>
        <v>0</v>
      </c>
      <c r="O20" s="104">
        <f t="shared" si="4"/>
        <v>0</v>
      </c>
      <c r="P20" s="104">
        <f t="shared" si="5"/>
        <v>0</v>
      </c>
      <c r="Q20" s="99"/>
      <c r="R20" s="99">
        <f>HomeHeatDemand!I14-HP_Power!N20</f>
        <v>0</v>
      </c>
    </row>
    <row r="21" spans="1:18" x14ac:dyDescent="0.2">
      <c r="A21" s="17">
        <v>6</v>
      </c>
      <c r="B21" s="55">
        <f>HomeHeatDemand!F15/$B$13</f>
        <v>0</v>
      </c>
      <c r="C21" s="55">
        <f>HomeHeatDemand!G15/$C$13</f>
        <v>0</v>
      </c>
      <c r="D21" s="55">
        <f>HomeHeatDemand!H15/$D$13</f>
        <v>0</v>
      </c>
      <c r="E21" s="55"/>
      <c r="F21" s="110">
        <f>HomeHeatDemand!F15/$F$13</f>
        <v>0</v>
      </c>
      <c r="G21" s="110">
        <f>HomeHeatDemand!G15/$G$13</f>
        <v>0</v>
      </c>
      <c r="H21" s="110">
        <f>HomeHeatDemand!H15/$H$13</f>
        <v>0</v>
      </c>
      <c r="I21" s="110">
        <f>HomeHeatDemand!F15/$I$13</f>
        <v>0</v>
      </c>
      <c r="J21" s="110">
        <f>HomeHeatDemand!G15/$J$13</f>
        <v>0</v>
      </c>
      <c r="K21" s="110">
        <f>HomeHeatDemand!H15/$K$13</f>
        <v>0</v>
      </c>
      <c r="L21" s="110"/>
      <c r="M21" s="110"/>
      <c r="N21" s="104">
        <f t="shared" si="3"/>
        <v>0</v>
      </c>
      <c r="O21" s="104">
        <f t="shared" si="4"/>
        <v>0</v>
      </c>
      <c r="P21" s="104">
        <f t="shared" si="5"/>
        <v>0</v>
      </c>
      <c r="Q21" s="99"/>
      <c r="R21" s="99">
        <f>HomeHeatDemand!I15-HP_Power!N21</f>
        <v>0</v>
      </c>
    </row>
    <row r="22" spans="1:18" x14ac:dyDescent="0.2">
      <c r="A22" s="17">
        <v>7</v>
      </c>
      <c r="B22" s="55">
        <f>HomeHeatDemand!F16/$B$13</f>
        <v>0.74636293386083608</v>
      </c>
      <c r="C22" s="55">
        <f>HomeHeatDemand!G16/$C$13</f>
        <v>0.34817321475331586</v>
      </c>
      <c r="D22" s="55">
        <f>HomeHeatDemand!H16/$D$13</f>
        <v>5.4355139759513407E-2</v>
      </c>
      <c r="E22" s="55"/>
      <c r="F22" s="110">
        <f>HomeHeatDemand!F16/$F$13</f>
        <v>0.36139678902735217</v>
      </c>
      <c r="G22" s="110">
        <f>HomeHeatDemand!G16/$G$13</f>
        <v>0.1970245030966869</v>
      </c>
      <c r="H22" s="110">
        <f>HomeHeatDemand!H16/$H$13</f>
        <v>3.471695198804188E-2</v>
      </c>
      <c r="I22" s="110">
        <f>HomeHeatDemand!F16/$I$13</f>
        <v>0.48220077187638283</v>
      </c>
      <c r="J22" s="110">
        <f>HomeHeatDemand!G16/$J$13</f>
        <v>0.26288381733406258</v>
      </c>
      <c r="K22" s="110">
        <f>HomeHeatDemand!H16/$K$13</f>
        <v>4.6321775826741275E-2</v>
      </c>
      <c r="L22" s="110"/>
      <c r="M22" s="110"/>
      <c r="N22" s="104">
        <f t="shared" si="3"/>
        <v>1791.2710412660065</v>
      </c>
      <c r="O22" s="104">
        <f t="shared" si="4"/>
        <v>835.61571540795808</v>
      </c>
      <c r="P22" s="104">
        <f t="shared" si="5"/>
        <v>130.45233542283216</v>
      </c>
      <c r="Q22" s="99"/>
      <c r="R22" s="99">
        <f>HomeHeatDemand!I16-HP_Power!N22</f>
        <v>6448.5757485576241</v>
      </c>
    </row>
    <row r="23" spans="1:18" x14ac:dyDescent="0.2">
      <c r="A23" s="17">
        <v>8</v>
      </c>
      <c r="B23" s="55">
        <f>HomeHeatDemand!F17/$B$13</f>
        <v>0.74636293386083608</v>
      </c>
      <c r="C23" s="55">
        <f>HomeHeatDemand!G17/$C$13</f>
        <v>0.34817321475331586</v>
      </c>
      <c r="D23" s="55">
        <f>HomeHeatDemand!H17/$D$13</f>
        <v>5.4355139759513407E-2</v>
      </c>
      <c r="E23" s="55"/>
      <c r="F23" s="110">
        <f>HomeHeatDemand!F17/$F$13</f>
        <v>0.36139678902735217</v>
      </c>
      <c r="G23" s="110">
        <f>HomeHeatDemand!G17/$G$13</f>
        <v>0.1970245030966869</v>
      </c>
      <c r="H23" s="110">
        <f>HomeHeatDemand!H17/$H$13</f>
        <v>3.471695198804188E-2</v>
      </c>
      <c r="I23" s="110">
        <f>HomeHeatDemand!F17/$I$13</f>
        <v>0.48220077187638283</v>
      </c>
      <c r="J23" s="110">
        <f>HomeHeatDemand!G17/$J$13</f>
        <v>0.26288381733406258</v>
      </c>
      <c r="K23" s="110">
        <f>HomeHeatDemand!H17/$K$13</f>
        <v>4.6321775826741275E-2</v>
      </c>
      <c r="L23" s="110"/>
      <c r="M23" s="110"/>
      <c r="N23" s="104">
        <f t="shared" si="3"/>
        <v>1791.2710412660065</v>
      </c>
      <c r="O23" s="104">
        <f t="shared" si="4"/>
        <v>835.61571540795808</v>
      </c>
      <c r="P23" s="104">
        <f t="shared" si="5"/>
        <v>130.45233542283216</v>
      </c>
      <c r="Q23" s="99"/>
      <c r="R23" s="99">
        <f>HomeHeatDemand!I17-HP_Power!N23</f>
        <v>6448.5757485576241</v>
      </c>
    </row>
    <row r="24" spans="1:18" x14ac:dyDescent="0.2">
      <c r="A24" s="17">
        <v>9</v>
      </c>
      <c r="B24" s="55">
        <f>HomeHeatDemand!F18/$B$13</f>
        <v>0</v>
      </c>
      <c r="C24" s="55">
        <f>HomeHeatDemand!G18/$C$13</f>
        <v>0</v>
      </c>
      <c r="D24" s="55">
        <f>HomeHeatDemand!H18/$D$13</f>
        <v>0</v>
      </c>
      <c r="E24" s="55"/>
      <c r="F24" s="110">
        <f>HomeHeatDemand!F18/$F$13</f>
        <v>0</v>
      </c>
      <c r="G24" s="110">
        <f>HomeHeatDemand!G18/$G$13</f>
        <v>0</v>
      </c>
      <c r="H24" s="110">
        <f>HomeHeatDemand!H18/$H$13</f>
        <v>0</v>
      </c>
      <c r="I24" s="110">
        <f>HomeHeatDemand!F18/$I$13</f>
        <v>0</v>
      </c>
      <c r="J24" s="110">
        <f>HomeHeatDemand!G18/$J$13</f>
        <v>0</v>
      </c>
      <c r="K24" s="110">
        <f>HomeHeatDemand!H18/$K$13</f>
        <v>0</v>
      </c>
      <c r="L24" s="110"/>
      <c r="M24" s="110"/>
      <c r="N24" s="104">
        <f t="shared" si="3"/>
        <v>0</v>
      </c>
      <c r="O24" s="104">
        <f t="shared" si="4"/>
        <v>0</v>
      </c>
      <c r="P24" s="104">
        <f t="shared" si="5"/>
        <v>0</v>
      </c>
      <c r="Q24" s="99"/>
      <c r="R24" s="99">
        <f>HomeHeatDemand!I18-HP_Power!N24</f>
        <v>0</v>
      </c>
    </row>
    <row r="25" spans="1:18" x14ac:dyDescent="0.2">
      <c r="A25" s="17">
        <v>10</v>
      </c>
      <c r="B25" s="55">
        <f>HomeHeatDemand!F19/$B$13</f>
        <v>0</v>
      </c>
      <c r="C25" s="55">
        <f>HomeHeatDemand!G19/$C$13</f>
        <v>0</v>
      </c>
      <c r="D25" s="55">
        <f>HomeHeatDemand!H19/$D$13</f>
        <v>0</v>
      </c>
      <c r="E25" s="55"/>
      <c r="F25" s="110">
        <f>HomeHeatDemand!F19/$F$13</f>
        <v>0</v>
      </c>
      <c r="G25" s="110">
        <f>HomeHeatDemand!G19/$G$13</f>
        <v>0</v>
      </c>
      <c r="H25" s="110">
        <f>HomeHeatDemand!H19/$H$13</f>
        <v>0</v>
      </c>
      <c r="I25" s="110">
        <f>HomeHeatDemand!F19/$I$13</f>
        <v>0</v>
      </c>
      <c r="J25" s="110">
        <f>HomeHeatDemand!G19/$J$13</f>
        <v>0</v>
      </c>
      <c r="K25" s="110">
        <f>HomeHeatDemand!H19/$K$13</f>
        <v>0</v>
      </c>
      <c r="L25" s="110"/>
      <c r="M25" s="110"/>
      <c r="N25" s="104">
        <f t="shared" si="3"/>
        <v>0</v>
      </c>
      <c r="O25" s="104">
        <f t="shared" si="4"/>
        <v>0</v>
      </c>
      <c r="P25" s="104">
        <f t="shared" si="5"/>
        <v>0</v>
      </c>
      <c r="Q25" s="99"/>
      <c r="R25" s="99">
        <f>HomeHeatDemand!I19-HP_Power!N25</f>
        <v>0</v>
      </c>
    </row>
    <row r="26" spans="1:18" x14ac:dyDescent="0.2">
      <c r="A26" s="17">
        <v>11</v>
      </c>
      <c r="B26" s="55">
        <f>HomeHeatDemand!F20/$B$13</f>
        <v>0</v>
      </c>
      <c r="C26" s="55">
        <f>HomeHeatDemand!G20/$C$13</f>
        <v>0</v>
      </c>
      <c r="D26" s="55">
        <f>HomeHeatDemand!H20/$D$13</f>
        <v>0</v>
      </c>
      <c r="E26" s="55"/>
      <c r="F26" s="110">
        <f>HomeHeatDemand!F20/$F$13</f>
        <v>0</v>
      </c>
      <c r="G26" s="110">
        <f>HomeHeatDemand!G20/$G$13</f>
        <v>0</v>
      </c>
      <c r="H26" s="110">
        <f>HomeHeatDemand!H20/$H$13</f>
        <v>0</v>
      </c>
      <c r="I26" s="110">
        <f>HomeHeatDemand!F20/$I$13</f>
        <v>0</v>
      </c>
      <c r="J26" s="110">
        <f>HomeHeatDemand!G20/$J$13</f>
        <v>0</v>
      </c>
      <c r="K26" s="110">
        <f>HomeHeatDemand!H20/$K$13</f>
        <v>0</v>
      </c>
      <c r="L26" s="110"/>
      <c r="M26" s="110"/>
      <c r="N26" s="104">
        <f t="shared" si="3"/>
        <v>0</v>
      </c>
      <c r="O26" s="104">
        <f t="shared" si="4"/>
        <v>0</v>
      </c>
      <c r="P26" s="104">
        <f t="shared" si="5"/>
        <v>0</v>
      </c>
      <c r="Q26" s="99"/>
      <c r="R26" s="99">
        <f>HomeHeatDemand!I20-HP_Power!N26</f>
        <v>0</v>
      </c>
    </row>
    <row r="27" spans="1:18" x14ac:dyDescent="0.2">
      <c r="A27" s="17">
        <v>12</v>
      </c>
      <c r="B27" s="55">
        <f>HomeHeatDemand!F21/$B$13</f>
        <v>0</v>
      </c>
      <c r="C27" s="55">
        <f>HomeHeatDemand!G21/$C$13</f>
        <v>0</v>
      </c>
      <c r="D27" s="55">
        <f>HomeHeatDemand!H21/$D$13</f>
        <v>0</v>
      </c>
      <c r="E27" s="55"/>
      <c r="F27" s="110">
        <f>HomeHeatDemand!F21/$F$13</f>
        <v>0</v>
      </c>
      <c r="G27" s="110">
        <f>HomeHeatDemand!G21/$G$13</f>
        <v>0</v>
      </c>
      <c r="H27" s="110">
        <f>HomeHeatDemand!H21/$H$13</f>
        <v>0</v>
      </c>
      <c r="I27" s="110">
        <f>HomeHeatDemand!F21/$I$13</f>
        <v>0</v>
      </c>
      <c r="J27" s="110">
        <f>HomeHeatDemand!G21/$J$13</f>
        <v>0</v>
      </c>
      <c r="K27" s="110">
        <f>HomeHeatDemand!H21/$K$13</f>
        <v>0</v>
      </c>
      <c r="L27" s="110"/>
      <c r="M27" s="110"/>
      <c r="N27" s="104">
        <f t="shared" si="3"/>
        <v>0</v>
      </c>
      <c r="O27" s="104">
        <f t="shared" si="4"/>
        <v>0</v>
      </c>
      <c r="P27" s="104">
        <f t="shared" si="5"/>
        <v>0</v>
      </c>
      <c r="Q27" s="99"/>
      <c r="R27" s="99">
        <f>HomeHeatDemand!I21-HP_Power!N27</f>
        <v>0</v>
      </c>
    </row>
    <row r="28" spans="1:18" x14ac:dyDescent="0.2">
      <c r="A28" s="17">
        <v>13</v>
      </c>
      <c r="B28" s="55">
        <f>HomeHeatDemand!F22/$B$13</f>
        <v>0</v>
      </c>
      <c r="C28" s="55">
        <f>HomeHeatDemand!G22/$C$13</f>
        <v>0</v>
      </c>
      <c r="D28" s="55">
        <f>HomeHeatDemand!H22/$D$13</f>
        <v>0</v>
      </c>
      <c r="E28" s="55"/>
      <c r="F28" s="110">
        <f>HomeHeatDemand!F22/$F$13</f>
        <v>0</v>
      </c>
      <c r="G28" s="110">
        <f>HomeHeatDemand!G22/$G$13</f>
        <v>0</v>
      </c>
      <c r="H28" s="110">
        <f>HomeHeatDemand!H22/$H$13</f>
        <v>0</v>
      </c>
      <c r="I28" s="110">
        <f>HomeHeatDemand!F22/$I$13</f>
        <v>0</v>
      </c>
      <c r="J28" s="110">
        <f>HomeHeatDemand!G22/$J$13</f>
        <v>0</v>
      </c>
      <c r="K28" s="110">
        <f>HomeHeatDemand!H22/$K$13</f>
        <v>0</v>
      </c>
      <c r="L28" s="110"/>
      <c r="M28" s="110"/>
      <c r="N28" s="104">
        <f t="shared" si="3"/>
        <v>0</v>
      </c>
      <c r="O28" s="104">
        <f t="shared" si="4"/>
        <v>0</v>
      </c>
      <c r="P28" s="104">
        <f t="shared" si="5"/>
        <v>0</v>
      </c>
      <c r="Q28" s="99"/>
      <c r="R28" s="99">
        <f>HomeHeatDemand!I22-HP_Power!N28</f>
        <v>0</v>
      </c>
    </row>
    <row r="29" spans="1:18" x14ac:dyDescent="0.2">
      <c r="A29" s="17">
        <v>14</v>
      </c>
      <c r="B29" s="55">
        <f>HomeHeatDemand!F23/$B$13</f>
        <v>0</v>
      </c>
      <c r="C29" s="55">
        <f>HomeHeatDemand!G23/$C$13</f>
        <v>0</v>
      </c>
      <c r="D29" s="55">
        <f>HomeHeatDemand!H23/$D$13</f>
        <v>0</v>
      </c>
      <c r="E29" s="55"/>
      <c r="F29" s="110">
        <f>HomeHeatDemand!F23/$F$13</f>
        <v>0</v>
      </c>
      <c r="G29" s="110">
        <f>HomeHeatDemand!G23/$G$13</f>
        <v>0</v>
      </c>
      <c r="H29" s="110">
        <f>HomeHeatDemand!H23/$H$13</f>
        <v>0</v>
      </c>
      <c r="I29" s="110">
        <f>HomeHeatDemand!F23/$I$13</f>
        <v>0</v>
      </c>
      <c r="J29" s="110">
        <f>HomeHeatDemand!G23/$J$13</f>
        <v>0</v>
      </c>
      <c r="K29" s="110">
        <f>HomeHeatDemand!H23/$K$13</f>
        <v>0</v>
      </c>
      <c r="L29" s="110"/>
      <c r="M29" s="110"/>
      <c r="N29" s="104">
        <f t="shared" si="3"/>
        <v>0</v>
      </c>
      <c r="O29" s="104">
        <f t="shared" si="4"/>
        <v>0</v>
      </c>
      <c r="P29" s="104">
        <f t="shared" si="5"/>
        <v>0</v>
      </c>
      <c r="Q29" s="99"/>
      <c r="R29" s="99">
        <f>HomeHeatDemand!I23-HP_Power!N29</f>
        <v>0</v>
      </c>
    </row>
    <row r="30" spans="1:18" x14ac:dyDescent="0.2">
      <c r="A30" s="17">
        <v>15</v>
      </c>
      <c r="B30" s="55">
        <f>HomeHeatDemand!F24/$B$13</f>
        <v>0</v>
      </c>
      <c r="C30" s="55">
        <f>HomeHeatDemand!G24/$C$13</f>
        <v>0</v>
      </c>
      <c r="D30" s="55">
        <f>HomeHeatDemand!H24/$D$13</f>
        <v>0</v>
      </c>
      <c r="E30" s="55"/>
      <c r="F30" s="110">
        <f>HomeHeatDemand!F24/$F$13</f>
        <v>0</v>
      </c>
      <c r="G30" s="110">
        <f>HomeHeatDemand!G24/$G$13</f>
        <v>0</v>
      </c>
      <c r="H30" s="110">
        <f>HomeHeatDemand!H24/$H$13</f>
        <v>0</v>
      </c>
      <c r="I30" s="110">
        <f>HomeHeatDemand!F24/$I$13</f>
        <v>0</v>
      </c>
      <c r="J30" s="110">
        <f>HomeHeatDemand!G24/$J$13</f>
        <v>0</v>
      </c>
      <c r="K30" s="110">
        <f>HomeHeatDemand!H24/$K$13</f>
        <v>0</v>
      </c>
      <c r="L30" s="110"/>
      <c r="M30" s="110"/>
      <c r="N30" s="104">
        <f t="shared" si="3"/>
        <v>0</v>
      </c>
      <c r="O30" s="104">
        <f t="shared" si="4"/>
        <v>0</v>
      </c>
      <c r="P30" s="104">
        <f t="shared" si="5"/>
        <v>0</v>
      </c>
      <c r="Q30" s="99"/>
      <c r="R30" s="99">
        <f>HomeHeatDemand!I24-HP_Power!N30</f>
        <v>0</v>
      </c>
    </row>
    <row r="31" spans="1:18" x14ac:dyDescent="0.2">
      <c r="A31" s="17">
        <v>16</v>
      </c>
      <c r="B31" s="55">
        <f>HomeHeatDemand!F25/$B$13</f>
        <v>0.74636293386083608</v>
      </c>
      <c r="C31" s="55">
        <f>HomeHeatDemand!G25/$C$13</f>
        <v>0.34817321475331586</v>
      </c>
      <c r="D31" s="55">
        <f>HomeHeatDemand!H25/$D$13</f>
        <v>5.4355139759513407E-2</v>
      </c>
      <c r="E31" s="55"/>
      <c r="F31" s="110">
        <f>HomeHeatDemand!F25/$F$13</f>
        <v>0.36139678902735217</v>
      </c>
      <c r="G31" s="110">
        <f>HomeHeatDemand!G25/$G$13</f>
        <v>0.1970245030966869</v>
      </c>
      <c r="H31" s="110">
        <f>HomeHeatDemand!H25/$H$13</f>
        <v>3.471695198804188E-2</v>
      </c>
      <c r="I31" s="110">
        <f>HomeHeatDemand!F25/$I$13</f>
        <v>0.48220077187638283</v>
      </c>
      <c r="J31" s="110">
        <f>HomeHeatDemand!G25/$J$13</f>
        <v>0.26288381733406258</v>
      </c>
      <c r="K31" s="110">
        <f>HomeHeatDemand!H25/$K$13</f>
        <v>4.6321775826741275E-2</v>
      </c>
      <c r="L31" s="110"/>
      <c r="M31" s="110"/>
      <c r="N31" s="104">
        <f t="shared" si="3"/>
        <v>1791.2710412660065</v>
      </c>
      <c r="O31" s="104">
        <f t="shared" si="4"/>
        <v>835.61571540795808</v>
      </c>
      <c r="P31" s="104">
        <f t="shared" si="5"/>
        <v>130.45233542283216</v>
      </c>
      <c r="Q31" s="99"/>
      <c r="R31" s="99">
        <f>HomeHeatDemand!I25-HP_Power!N31</f>
        <v>6448.5757485576241</v>
      </c>
    </row>
    <row r="32" spans="1:18" x14ac:dyDescent="0.2">
      <c r="A32" s="17">
        <v>17</v>
      </c>
      <c r="B32" s="55">
        <f>HomeHeatDemand!F26/$B$13</f>
        <v>0.74636293386083608</v>
      </c>
      <c r="C32" s="55">
        <f>HomeHeatDemand!G26/$C$13</f>
        <v>0.34817321475331586</v>
      </c>
      <c r="D32" s="55">
        <f>HomeHeatDemand!H26/$D$13</f>
        <v>5.4355139759513407E-2</v>
      </c>
      <c r="E32" s="55"/>
      <c r="F32" s="110">
        <f>HomeHeatDemand!F26/$F$13</f>
        <v>0.36139678902735217</v>
      </c>
      <c r="G32" s="110">
        <f>HomeHeatDemand!G26/$G$13</f>
        <v>0.1970245030966869</v>
      </c>
      <c r="H32" s="110">
        <f>HomeHeatDemand!H26/$H$13</f>
        <v>3.471695198804188E-2</v>
      </c>
      <c r="I32" s="110">
        <f>HomeHeatDemand!F26/$I$13</f>
        <v>0.48220077187638283</v>
      </c>
      <c r="J32" s="110">
        <f>HomeHeatDemand!G26/$J$13</f>
        <v>0.26288381733406258</v>
      </c>
      <c r="K32" s="110">
        <f>HomeHeatDemand!H26/$K$13</f>
        <v>4.6321775826741275E-2</v>
      </c>
      <c r="L32" s="110"/>
      <c r="M32" s="110"/>
      <c r="N32" s="104">
        <f t="shared" si="3"/>
        <v>1791.2710412660065</v>
      </c>
      <c r="O32" s="104">
        <f t="shared" si="4"/>
        <v>835.61571540795808</v>
      </c>
      <c r="P32" s="104">
        <f t="shared" si="5"/>
        <v>130.45233542283216</v>
      </c>
      <c r="Q32" s="99"/>
      <c r="R32" s="99">
        <f>HomeHeatDemand!I26-HP_Power!N32</f>
        <v>6448.5757485576241</v>
      </c>
    </row>
    <row r="33" spans="1:18" x14ac:dyDescent="0.2">
      <c r="A33" s="17">
        <v>18</v>
      </c>
      <c r="B33" s="55">
        <f>HomeHeatDemand!F27/$B$13</f>
        <v>0.74636293386083608</v>
      </c>
      <c r="C33" s="55">
        <f>HomeHeatDemand!G27/$C$13</f>
        <v>0.34817321475331586</v>
      </c>
      <c r="D33" s="55">
        <f>HomeHeatDemand!H27/$D$13</f>
        <v>5.4355139759513407E-2</v>
      </c>
      <c r="E33" s="55"/>
      <c r="F33" s="110">
        <f>HomeHeatDemand!F27/$F$13</f>
        <v>0.36139678902735217</v>
      </c>
      <c r="G33" s="110">
        <f>HomeHeatDemand!G27/$G$13</f>
        <v>0.1970245030966869</v>
      </c>
      <c r="H33" s="110">
        <f>HomeHeatDemand!H27/$H$13</f>
        <v>3.471695198804188E-2</v>
      </c>
      <c r="I33" s="110">
        <f>HomeHeatDemand!F27/$I$13</f>
        <v>0.48220077187638283</v>
      </c>
      <c r="J33" s="110">
        <f>HomeHeatDemand!G27/$J$13</f>
        <v>0.26288381733406258</v>
      </c>
      <c r="K33" s="110">
        <f>HomeHeatDemand!H27/$K$13</f>
        <v>4.6321775826741275E-2</v>
      </c>
      <c r="L33" s="110"/>
      <c r="M33" s="110"/>
      <c r="N33" s="104">
        <f t="shared" si="3"/>
        <v>1791.2710412660065</v>
      </c>
      <c r="O33" s="104">
        <f t="shared" si="4"/>
        <v>835.61571540795808</v>
      </c>
      <c r="P33" s="104">
        <f t="shared" si="5"/>
        <v>130.45233542283216</v>
      </c>
      <c r="Q33" s="99"/>
      <c r="R33" s="99">
        <f>HomeHeatDemand!I27-HP_Power!N33</f>
        <v>6448.5757485576241</v>
      </c>
    </row>
    <row r="34" spans="1:18" x14ac:dyDescent="0.2">
      <c r="A34" s="17">
        <v>19</v>
      </c>
      <c r="B34" s="55">
        <f>HomeHeatDemand!F28/$B$13</f>
        <v>0.74636293386083608</v>
      </c>
      <c r="C34" s="55">
        <f>HomeHeatDemand!G28/$C$13</f>
        <v>0.34817321475331586</v>
      </c>
      <c r="D34" s="55">
        <f>HomeHeatDemand!H28/$D$13</f>
        <v>5.4355139759513407E-2</v>
      </c>
      <c r="E34" s="55"/>
      <c r="F34" s="110">
        <f>HomeHeatDemand!F28/$F$13</f>
        <v>0.36139678902735217</v>
      </c>
      <c r="G34" s="110">
        <f>HomeHeatDemand!G28/$G$13</f>
        <v>0.1970245030966869</v>
      </c>
      <c r="H34" s="110">
        <f>HomeHeatDemand!H28/$H$13</f>
        <v>3.471695198804188E-2</v>
      </c>
      <c r="I34" s="110">
        <f>HomeHeatDemand!F28/$I$13</f>
        <v>0.48220077187638283</v>
      </c>
      <c r="J34" s="110">
        <f>HomeHeatDemand!G28/$J$13</f>
        <v>0.26288381733406258</v>
      </c>
      <c r="K34" s="110">
        <f>HomeHeatDemand!H28/$K$13</f>
        <v>4.6321775826741275E-2</v>
      </c>
      <c r="L34" s="110"/>
      <c r="M34" s="110"/>
      <c r="N34" s="104">
        <f t="shared" si="3"/>
        <v>1791.2710412660065</v>
      </c>
      <c r="O34" s="104">
        <f t="shared" si="4"/>
        <v>835.61571540795808</v>
      </c>
      <c r="P34" s="104">
        <f t="shared" si="5"/>
        <v>130.45233542283216</v>
      </c>
      <c r="Q34" s="99"/>
      <c r="R34" s="99">
        <f>HomeHeatDemand!I28-HP_Power!N34</f>
        <v>6448.5757485576241</v>
      </c>
    </row>
    <row r="35" spans="1:18" x14ac:dyDescent="0.2">
      <c r="A35" s="17">
        <v>20</v>
      </c>
      <c r="B35" s="55">
        <f>HomeHeatDemand!F29/$B$13</f>
        <v>0.74636293386083608</v>
      </c>
      <c r="C35" s="55">
        <f>HomeHeatDemand!G29/$C$13</f>
        <v>0.34817321475331586</v>
      </c>
      <c r="D35" s="55">
        <f>HomeHeatDemand!H29/$D$13</f>
        <v>5.4355139759513407E-2</v>
      </c>
      <c r="E35" s="55"/>
      <c r="F35" s="110">
        <f>HomeHeatDemand!F29/$F$13</f>
        <v>0.36139678902735217</v>
      </c>
      <c r="G35" s="110">
        <f>HomeHeatDemand!G29/$G$13</f>
        <v>0.1970245030966869</v>
      </c>
      <c r="H35" s="110">
        <f>HomeHeatDemand!H29/$H$13</f>
        <v>3.471695198804188E-2</v>
      </c>
      <c r="I35" s="110">
        <f>HomeHeatDemand!F29/$I$13</f>
        <v>0.48220077187638283</v>
      </c>
      <c r="J35" s="110">
        <f>HomeHeatDemand!G29/$J$13</f>
        <v>0.26288381733406258</v>
      </c>
      <c r="K35" s="110">
        <f>HomeHeatDemand!H29/$K$13</f>
        <v>4.6321775826741275E-2</v>
      </c>
      <c r="L35" s="110"/>
      <c r="M35" s="110"/>
      <c r="N35" s="104">
        <f t="shared" si="3"/>
        <v>1791.2710412660065</v>
      </c>
      <c r="O35" s="104">
        <f t="shared" si="4"/>
        <v>835.61571540795808</v>
      </c>
      <c r="P35" s="104">
        <f t="shared" si="5"/>
        <v>130.45233542283216</v>
      </c>
      <c r="Q35" s="99"/>
      <c r="R35" s="99">
        <f>HomeHeatDemand!I29-HP_Power!N35</f>
        <v>6448.5757485576241</v>
      </c>
    </row>
    <row r="36" spans="1:18" x14ac:dyDescent="0.2">
      <c r="A36" s="17">
        <v>21</v>
      </c>
      <c r="B36" s="55">
        <f>HomeHeatDemand!F30/$B$13</f>
        <v>0.74636293386083608</v>
      </c>
      <c r="C36" s="55">
        <f>HomeHeatDemand!G30/$C$13</f>
        <v>0.34817321475331586</v>
      </c>
      <c r="D36" s="55">
        <f>HomeHeatDemand!H30/$D$13</f>
        <v>5.4355139759513407E-2</v>
      </c>
      <c r="E36" s="55"/>
      <c r="F36" s="110">
        <f>HomeHeatDemand!F30/$F$13</f>
        <v>0.36139678902735217</v>
      </c>
      <c r="G36" s="110">
        <f>HomeHeatDemand!G30/$G$13</f>
        <v>0.1970245030966869</v>
      </c>
      <c r="H36" s="110">
        <f>HomeHeatDemand!H30/$H$13</f>
        <v>3.471695198804188E-2</v>
      </c>
      <c r="I36" s="110">
        <f>HomeHeatDemand!F30/$I$13</f>
        <v>0.48220077187638283</v>
      </c>
      <c r="J36" s="110">
        <f>HomeHeatDemand!G30/$J$13</f>
        <v>0.26288381733406258</v>
      </c>
      <c r="K36" s="110">
        <f>HomeHeatDemand!H30/$K$13</f>
        <v>4.6321775826741275E-2</v>
      </c>
      <c r="L36" s="110"/>
      <c r="M36" s="110"/>
      <c r="N36" s="104">
        <f t="shared" si="3"/>
        <v>1791.2710412660065</v>
      </c>
      <c r="O36" s="104">
        <f t="shared" si="4"/>
        <v>835.61571540795808</v>
      </c>
      <c r="P36" s="104">
        <f t="shared" si="5"/>
        <v>130.45233542283216</v>
      </c>
      <c r="Q36" s="99"/>
      <c r="R36" s="99">
        <f>HomeHeatDemand!I30-HP_Power!N36</f>
        <v>6448.5757485576241</v>
      </c>
    </row>
    <row r="37" spans="1:18" x14ac:dyDescent="0.2">
      <c r="A37" s="17">
        <v>22</v>
      </c>
      <c r="B37" s="55">
        <f>HomeHeatDemand!F31/$B$13</f>
        <v>0.74636293386083608</v>
      </c>
      <c r="C37" s="55">
        <f>HomeHeatDemand!G31/$C$13</f>
        <v>0.34817321475331586</v>
      </c>
      <c r="D37" s="55">
        <f>HomeHeatDemand!H31/$D$13</f>
        <v>5.4355139759513407E-2</v>
      </c>
      <c r="E37" s="55"/>
      <c r="F37" s="110">
        <f>HomeHeatDemand!F31/$F$13</f>
        <v>0.36139678902735217</v>
      </c>
      <c r="G37" s="110">
        <f>HomeHeatDemand!G31/$G$13</f>
        <v>0.1970245030966869</v>
      </c>
      <c r="H37" s="110">
        <f>HomeHeatDemand!H31/$H$13</f>
        <v>3.471695198804188E-2</v>
      </c>
      <c r="I37" s="110">
        <f>HomeHeatDemand!F31/$I$13</f>
        <v>0.48220077187638283</v>
      </c>
      <c r="J37" s="110">
        <f>HomeHeatDemand!G31/$J$13</f>
        <v>0.26288381733406258</v>
      </c>
      <c r="K37" s="110">
        <f>HomeHeatDemand!H31/$K$13</f>
        <v>4.6321775826741275E-2</v>
      </c>
      <c r="L37" s="110"/>
      <c r="M37" s="110"/>
      <c r="N37" s="104">
        <f t="shared" si="3"/>
        <v>1791.2710412660065</v>
      </c>
      <c r="O37" s="104">
        <f t="shared" si="4"/>
        <v>835.61571540795808</v>
      </c>
      <c r="P37" s="104">
        <f t="shared" si="5"/>
        <v>130.45233542283216</v>
      </c>
      <c r="Q37" s="99"/>
      <c r="R37" s="99">
        <f>HomeHeatDemand!I31-HP_Power!N37</f>
        <v>6448.5757485576241</v>
      </c>
    </row>
    <row r="38" spans="1:18" x14ac:dyDescent="0.2">
      <c r="A38" s="17">
        <v>23</v>
      </c>
      <c r="B38" s="55">
        <f>HomeHeatDemand!F32/$B$13</f>
        <v>0</v>
      </c>
      <c r="C38" s="55">
        <f>HomeHeatDemand!G32/$C$13</f>
        <v>0</v>
      </c>
      <c r="D38" s="55">
        <f>HomeHeatDemand!H32/$D$13</f>
        <v>0</v>
      </c>
      <c r="E38" s="55"/>
      <c r="F38" s="110">
        <f>HomeHeatDemand!F32/$F$13</f>
        <v>0</v>
      </c>
      <c r="G38" s="110">
        <f>HomeHeatDemand!G32/$G$13</f>
        <v>0</v>
      </c>
      <c r="H38" s="110">
        <f>HomeHeatDemand!H32/$H$13</f>
        <v>0</v>
      </c>
      <c r="I38" s="110">
        <f>HomeHeatDemand!F32/$I$13</f>
        <v>0</v>
      </c>
      <c r="J38" s="110">
        <f>HomeHeatDemand!G32/$J$13</f>
        <v>0</v>
      </c>
      <c r="K38" s="110">
        <f>HomeHeatDemand!H32/$K$13</f>
        <v>0</v>
      </c>
      <c r="L38" s="110"/>
      <c r="M38" s="110"/>
      <c r="N38" s="104">
        <f t="shared" si="3"/>
        <v>0</v>
      </c>
      <c r="O38" s="104">
        <f t="shared" si="4"/>
        <v>0</v>
      </c>
      <c r="P38" s="104">
        <f t="shared" si="5"/>
        <v>0</v>
      </c>
      <c r="Q38" s="99"/>
      <c r="R38" s="99">
        <f>HomeHeatDemand!I32-HP_Power!N38</f>
        <v>0</v>
      </c>
    </row>
    <row r="39" spans="1:18" x14ac:dyDescent="0.2">
      <c r="A39" s="17">
        <v>24</v>
      </c>
      <c r="B39" s="55">
        <f>HomeHeatDemand!F33/$B$13</f>
        <v>0</v>
      </c>
      <c r="C39" s="55">
        <f>HomeHeatDemand!G33/$C$13</f>
        <v>0</v>
      </c>
      <c r="D39" s="55">
        <f>HomeHeatDemand!H33/$D$13</f>
        <v>0</v>
      </c>
      <c r="E39" s="55"/>
      <c r="F39" s="110">
        <f>HomeHeatDemand!F33/$F$13</f>
        <v>0</v>
      </c>
      <c r="G39" s="110">
        <f>HomeHeatDemand!G33/$G$13</f>
        <v>0</v>
      </c>
      <c r="H39" s="110">
        <f>HomeHeatDemand!H33/$H$13</f>
        <v>0</v>
      </c>
      <c r="I39" s="110">
        <f>HomeHeatDemand!F33/$I$13</f>
        <v>0</v>
      </c>
      <c r="J39" s="110">
        <f>HomeHeatDemand!G33/$J$13</f>
        <v>0</v>
      </c>
      <c r="K39" s="110">
        <f>HomeHeatDemand!H33/$K$13</f>
        <v>0</v>
      </c>
      <c r="L39" s="110"/>
      <c r="M39" s="110"/>
      <c r="N39" s="104">
        <f t="shared" si="3"/>
        <v>0</v>
      </c>
      <c r="O39" s="104">
        <f t="shared" si="4"/>
        <v>0</v>
      </c>
      <c r="P39" s="104">
        <f t="shared" si="5"/>
        <v>0</v>
      </c>
      <c r="Q39" s="99"/>
      <c r="R39" s="99">
        <f>HomeHeatDemand!I33-HP_Power!N39</f>
        <v>0</v>
      </c>
    </row>
    <row r="40" spans="1:18" x14ac:dyDescent="0.2">
      <c r="A40" s="17">
        <v>25</v>
      </c>
      <c r="B40" s="55">
        <f>HomeHeatDemand!F34/$B$13</f>
        <v>0</v>
      </c>
      <c r="C40" s="55">
        <f>HomeHeatDemand!G34/$C$13</f>
        <v>0</v>
      </c>
      <c r="D40" s="55">
        <f>HomeHeatDemand!H34/$D$13</f>
        <v>0</v>
      </c>
      <c r="E40" s="55"/>
      <c r="F40" s="110">
        <f>HomeHeatDemand!F34/$F$13</f>
        <v>0</v>
      </c>
      <c r="G40" s="110">
        <f>HomeHeatDemand!G34/$G$13</f>
        <v>0</v>
      </c>
      <c r="H40" s="110">
        <f>HomeHeatDemand!H34/$H$13</f>
        <v>0</v>
      </c>
      <c r="I40" s="110">
        <f>HomeHeatDemand!F34/$I$13</f>
        <v>0</v>
      </c>
      <c r="J40" s="110">
        <f>HomeHeatDemand!G34/$J$13</f>
        <v>0</v>
      </c>
      <c r="K40" s="110">
        <f>HomeHeatDemand!H34/$K$13</f>
        <v>0</v>
      </c>
      <c r="L40" s="110"/>
      <c r="M40" s="110"/>
      <c r="N40" s="104">
        <f t="shared" si="3"/>
        <v>0</v>
      </c>
      <c r="O40" s="104">
        <f t="shared" si="4"/>
        <v>0</v>
      </c>
      <c r="P40" s="104">
        <f t="shared" si="5"/>
        <v>0</v>
      </c>
      <c r="Q40" s="99"/>
      <c r="R40" s="99">
        <f>HomeHeatDemand!I34-HP_Power!N40</f>
        <v>0</v>
      </c>
    </row>
    <row r="41" spans="1:18" x14ac:dyDescent="0.2">
      <c r="A41" s="17">
        <v>26</v>
      </c>
      <c r="B41" s="55">
        <f>HomeHeatDemand!F35/$B$13</f>
        <v>0</v>
      </c>
      <c r="C41" s="55">
        <f>HomeHeatDemand!G35/$C$13</f>
        <v>0</v>
      </c>
      <c r="D41" s="55">
        <f>HomeHeatDemand!H35/$D$13</f>
        <v>0</v>
      </c>
      <c r="E41" s="55"/>
      <c r="F41" s="110">
        <f>HomeHeatDemand!F35/$F$13</f>
        <v>0</v>
      </c>
      <c r="G41" s="110">
        <f>HomeHeatDemand!G35/$G$13</f>
        <v>0</v>
      </c>
      <c r="H41" s="110">
        <f>HomeHeatDemand!H35/$H$13</f>
        <v>0</v>
      </c>
      <c r="I41" s="110">
        <f>HomeHeatDemand!F35/$I$13</f>
        <v>0</v>
      </c>
      <c r="J41" s="110">
        <f>HomeHeatDemand!G35/$J$13</f>
        <v>0</v>
      </c>
      <c r="K41" s="110">
        <f>HomeHeatDemand!H35/$K$13</f>
        <v>0</v>
      </c>
      <c r="L41" s="110"/>
      <c r="M41" s="110"/>
      <c r="N41" s="104">
        <f t="shared" si="3"/>
        <v>0</v>
      </c>
      <c r="O41" s="104">
        <f t="shared" si="4"/>
        <v>0</v>
      </c>
      <c r="P41" s="104">
        <f t="shared" si="5"/>
        <v>0</v>
      </c>
      <c r="Q41" s="99"/>
      <c r="R41" s="99">
        <f>HomeHeatDemand!I35-HP_Power!N41</f>
        <v>0</v>
      </c>
    </row>
    <row r="42" spans="1:18" x14ac:dyDescent="0.2">
      <c r="A42" s="17">
        <v>27</v>
      </c>
      <c r="B42" s="55">
        <f>HomeHeatDemand!F36/$B$13</f>
        <v>0</v>
      </c>
      <c r="C42" s="55">
        <f>HomeHeatDemand!G36/$C$13</f>
        <v>0</v>
      </c>
      <c r="D42" s="55">
        <f>HomeHeatDemand!H36/$D$13</f>
        <v>0</v>
      </c>
      <c r="E42" s="55"/>
      <c r="F42" s="110">
        <f>HomeHeatDemand!F36/$F$13</f>
        <v>0</v>
      </c>
      <c r="G42" s="110">
        <f>HomeHeatDemand!G36/$G$13</f>
        <v>0</v>
      </c>
      <c r="H42" s="110">
        <f>HomeHeatDemand!H36/$H$13</f>
        <v>0</v>
      </c>
      <c r="I42" s="110">
        <f>HomeHeatDemand!F36/$I$13</f>
        <v>0</v>
      </c>
      <c r="J42" s="110">
        <f>HomeHeatDemand!G36/$J$13</f>
        <v>0</v>
      </c>
      <c r="K42" s="110">
        <f>HomeHeatDemand!H36/$K$13</f>
        <v>0</v>
      </c>
      <c r="L42" s="110"/>
      <c r="M42" s="110"/>
      <c r="N42" s="104">
        <f t="shared" si="3"/>
        <v>0</v>
      </c>
      <c r="O42" s="104">
        <f t="shared" si="4"/>
        <v>0</v>
      </c>
      <c r="P42" s="104">
        <f t="shared" si="5"/>
        <v>0</v>
      </c>
      <c r="Q42" s="99"/>
      <c r="R42" s="99">
        <f>HomeHeatDemand!I36-HP_Power!N42</f>
        <v>0</v>
      </c>
    </row>
    <row r="43" spans="1:18" x14ac:dyDescent="0.2">
      <c r="A43" s="17">
        <v>28</v>
      </c>
      <c r="B43" s="55">
        <f>HomeHeatDemand!F37/$B$13</f>
        <v>0</v>
      </c>
      <c r="C43" s="55">
        <f>HomeHeatDemand!G37/$C$13</f>
        <v>0</v>
      </c>
      <c r="D43" s="55">
        <f>HomeHeatDemand!H37/$D$13</f>
        <v>0</v>
      </c>
      <c r="E43" s="55"/>
      <c r="F43" s="110">
        <f>HomeHeatDemand!F37/$F$13</f>
        <v>0</v>
      </c>
      <c r="G43" s="110">
        <f>HomeHeatDemand!G37/$G$13</f>
        <v>0</v>
      </c>
      <c r="H43" s="110">
        <f>HomeHeatDemand!H37/$H$13</f>
        <v>0</v>
      </c>
      <c r="I43" s="110">
        <f>HomeHeatDemand!F37/$I$13</f>
        <v>0</v>
      </c>
      <c r="J43" s="110">
        <f>HomeHeatDemand!G37/$J$13</f>
        <v>0</v>
      </c>
      <c r="K43" s="110">
        <f>HomeHeatDemand!H37/$K$13</f>
        <v>0</v>
      </c>
      <c r="L43" s="110"/>
      <c r="M43" s="110"/>
      <c r="N43" s="104">
        <f t="shared" si="3"/>
        <v>0</v>
      </c>
      <c r="O43" s="104">
        <f t="shared" si="4"/>
        <v>0</v>
      </c>
      <c r="P43" s="104">
        <f t="shared" si="5"/>
        <v>0</v>
      </c>
      <c r="Q43" s="99"/>
      <c r="R43" s="99">
        <f>HomeHeatDemand!I37-HP_Power!N43</f>
        <v>0</v>
      </c>
    </row>
    <row r="44" spans="1:18" x14ac:dyDescent="0.2">
      <c r="A44" s="17">
        <v>29</v>
      </c>
      <c r="B44" s="55">
        <f>HomeHeatDemand!F38/$B$13</f>
        <v>0</v>
      </c>
      <c r="C44" s="55">
        <f>HomeHeatDemand!G38/$C$13</f>
        <v>0</v>
      </c>
      <c r="D44" s="55">
        <f>HomeHeatDemand!H38/$D$13</f>
        <v>0</v>
      </c>
      <c r="E44" s="55"/>
      <c r="F44" s="110">
        <f>HomeHeatDemand!F38/$F$13</f>
        <v>0</v>
      </c>
      <c r="G44" s="110">
        <f>HomeHeatDemand!G38/$G$13</f>
        <v>0</v>
      </c>
      <c r="H44" s="110">
        <f>HomeHeatDemand!H38/$H$13</f>
        <v>0</v>
      </c>
      <c r="I44" s="110">
        <f>HomeHeatDemand!F38/$I$13</f>
        <v>0</v>
      </c>
      <c r="J44" s="110">
        <f>HomeHeatDemand!G38/$J$13</f>
        <v>0</v>
      </c>
      <c r="K44" s="110">
        <f>HomeHeatDemand!H38/$K$13</f>
        <v>0</v>
      </c>
      <c r="L44" s="110"/>
      <c r="M44" s="110"/>
      <c r="N44" s="104">
        <f t="shared" si="3"/>
        <v>0</v>
      </c>
      <c r="O44" s="104">
        <f t="shared" si="4"/>
        <v>0</v>
      </c>
      <c r="P44" s="104">
        <f t="shared" si="5"/>
        <v>0</v>
      </c>
      <c r="Q44" s="99"/>
      <c r="R44" s="99">
        <f>HomeHeatDemand!I38-HP_Power!N44</f>
        <v>0</v>
      </c>
    </row>
    <row r="45" spans="1:18" x14ac:dyDescent="0.2">
      <c r="A45" s="17">
        <v>30</v>
      </c>
      <c r="B45" s="55">
        <f>HomeHeatDemand!F39/$B$13</f>
        <v>0</v>
      </c>
      <c r="C45" s="55">
        <f>HomeHeatDemand!G39/$C$13</f>
        <v>0</v>
      </c>
      <c r="D45" s="55">
        <f>HomeHeatDemand!H39/$D$13</f>
        <v>0</v>
      </c>
      <c r="E45" s="55"/>
      <c r="F45" s="110">
        <f>HomeHeatDemand!F39/$F$13</f>
        <v>0</v>
      </c>
      <c r="G45" s="110">
        <f>HomeHeatDemand!G39/$G$13</f>
        <v>0</v>
      </c>
      <c r="H45" s="110">
        <f>HomeHeatDemand!H39/$H$13</f>
        <v>0</v>
      </c>
      <c r="I45" s="110">
        <f>HomeHeatDemand!F39/$I$13</f>
        <v>0</v>
      </c>
      <c r="J45" s="110">
        <f>HomeHeatDemand!G39/$J$13</f>
        <v>0</v>
      </c>
      <c r="K45" s="110">
        <f>HomeHeatDemand!H39/$K$13</f>
        <v>0</v>
      </c>
      <c r="L45" s="110"/>
      <c r="M45" s="110"/>
      <c r="N45" s="104">
        <f t="shared" si="3"/>
        <v>0</v>
      </c>
      <c r="O45" s="104">
        <f t="shared" si="4"/>
        <v>0</v>
      </c>
      <c r="P45" s="104">
        <f t="shared" si="5"/>
        <v>0</v>
      </c>
      <c r="Q45" s="99"/>
      <c r="R45" s="99">
        <f>HomeHeatDemand!I39-HP_Power!N45</f>
        <v>0</v>
      </c>
    </row>
    <row r="46" spans="1:18" x14ac:dyDescent="0.2">
      <c r="A46" s="17">
        <v>31</v>
      </c>
      <c r="B46" s="55">
        <f>HomeHeatDemand!F40/$B$13</f>
        <v>0.74636293386083608</v>
      </c>
      <c r="C46" s="55">
        <f>HomeHeatDemand!G40/$C$13</f>
        <v>0.34817321475331586</v>
      </c>
      <c r="D46" s="55">
        <f>HomeHeatDemand!H40/$D$13</f>
        <v>5.4355139759513407E-2</v>
      </c>
      <c r="E46" s="55"/>
      <c r="F46" s="110">
        <f>HomeHeatDemand!F40/$F$13</f>
        <v>0.36139678902735217</v>
      </c>
      <c r="G46" s="110">
        <f>HomeHeatDemand!G40/$G$13</f>
        <v>0.1970245030966869</v>
      </c>
      <c r="H46" s="110">
        <f>HomeHeatDemand!H40/$H$13</f>
        <v>3.471695198804188E-2</v>
      </c>
      <c r="I46" s="110">
        <f>HomeHeatDemand!F40/$I$13</f>
        <v>0.48220077187638283</v>
      </c>
      <c r="J46" s="110">
        <f>HomeHeatDemand!G40/$J$13</f>
        <v>0.26288381733406258</v>
      </c>
      <c r="K46" s="110">
        <f>HomeHeatDemand!H40/$K$13</f>
        <v>4.6321775826741275E-2</v>
      </c>
      <c r="L46" s="110"/>
      <c r="M46" s="110"/>
      <c r="N46" s="104">
        <f t="shared" si="3"/>
        <v>1791.2710412660065</v>
      </c>
      <c r="O46" s="104">
        <f t="shared" si="4"/>
        <v>835.61571540795808</v>
      </c>
      <c r="P46" s="104">
        <f t="shared" si="5"/>
        <v>130.45233542283216</v>
      </c>
      <c r="Q46" s="99"/>
      <c r="R46" s="99">
        <f>HomeHeatDemand!I40-HP_Power!N46</f>
        <v>6448.5757485576241</v>
      </c>
    </row>
    <row r="47" spans="1:18" x14ac:dyDescent="0.2">
      <c r="A47" s="17">
        <v>32</v>
      </c>
      <c r="B47" s="55">
        <f>HomeHeatDemand!F41/$B$13</f>
        <v>0.74636293386083608</v>
      </c>
      <c r="C47" s="55">
        <f>HomeHeatDemand!G41/$C$13</f>
        <v>0.34817321475331586</v>
      </c>
      <c r="D47" s="55">
        <f>HomeHeatDemand!H41/$D$13</f>
        <v>5.4355139759513407E-2</v>
      </c>
      <c r="E47" s="55"/>
      <c r="F47" s="110">
        <f>HomeHeatDemand!F41/$F$13</f>
        <v>0.36139678902735217</v>
      </c>
      <c r="G47" s="110">
        <f>HomeHeatDemand!G41/$G$13</f>
        <v>0.1970245030966869</v>
      </c>
      <c r="H47" s="110">
        <f>HomeHeatDemand!H41/$H$13</f>
        <v>3.471695198804188E-2</v>
      </c>
      <c r="I47" s="110">
        <f>HomeHeatDemand!F41/$I$13</f>
        <v>0.48220077187638283</v>
      </c>
      <c r="J47" s="110">
        <f>HomeHeatDemand!G41/$J$13</f>
        <v>0.26288381733406258</v>
      </c>
      <c r="K47" s="110">
        <f>HomeHeatDemand!H41/$K$13</f>
        <v>4.6321775826741275E-2</v>
      </c>
      <c r="L47" s="110"/>
      <c r="M47" s="110"/>
      <c r="N47" s="104">
        <f t="shared" si="3"/>
        <v>1791.2710412660065</v>
      </c>
      <c r="O47" s="104">
        <f t="shared" si="4"/>
        <v>835.61571540795808</v>
      </c>
      <c r="P47" s="104">
        <f t="shared" si="5"/>
        <v>130.45233542283216</v>
      </c>
      <c r="Q47" s="99"/>
      <c r="R47" s="99">
        <f>HomeHeatDemand!I41-HP_Power!N47</f>
        <v>6448.5757485576241</v>
      </c>
    </row>
    <row r="48" spans="1:18" x14ac:dyDescent="0.2">
      <c r="A48" s="17">
        <v>33</v>
      </c>
      <c r="B48" s="55">
        <f>HomeHeatDemand!F42/$B$13</f>
        <v>0</v>
      </c>
      <c r="C48" s="55">
        <f>HomeHeatDemand!G42/$C$13</f>
        <v>0</v>
      </c>
      <c r="D48" s="55">
        <f>HomeHeatDemand!H42/$D$13</f>
        <v>0</v>
      </c>
      <c r="E48" s="55"/>
      <c r="F48" s="110">
        <f>HomeHeatDemand!F42/$F$13</f>
        <v>0</v>
      </c>
      <c r="G48" s="110">
        <f>HomeHeatDemand!G42/$G$13</f>
        <v>0</v>
      </c>
      <c r="H48" s="110">
        <f>HomeHeatDemand!H42/$H$13</f>
        <v>0</v>
      </c>
      <c r="I48" s="110">
        <f>HomeHeatDemand!F42/$I$13</f>
        <v>0</v>
      </c>
      <c r="J48" s="110">
        <f>HomeHeatDemand!G42/$J$13</f>
        <v>0</v>
      </c>
      <c r="K48" s="110">
        <f>HomeHeatDemand!H42/$K$13</f>
        <v>0</v>
      </c>
      <c r="L48" s="110"/>
      <c r="M48" s="110"/>
      <c r="N48" s="104">
        <f t="shared" si="3"/>
        <v>0</v>
      </c>
      <c r="O48" s="104">
        <f t="shared" si="4"/>
        <v>0</v>
      </c>
      <c r="P48" s="104">
        <f t="shared" si="5"/>
        <v>0</v>
      </c>
      <c r="Q48" s="99"/>
      <c r="R48" s="99">
        <f>HomeHeatDemand!I42-HP_Power!N48</f>
        <v>0</v>
      </c>
    </row>
    <row r="49" spans="1:18" x14ac:dyDescent="0.2">
      <c r="A49" s="17">
        <v>34</v>
      </c>
      <c r="B49" s="55">
        <f>HomeHeatDemand!F43/$B$13</f>
        <v>0</v>
      </c>
      <c r="C49" s="55">
        <f>HomeHeatDemand!G43/$C$13</f>
        <v>0</v>
      </c>
      <c r="D49" s="55">
        <f>HomeHeatDemand!H43/$D$13</f>
        <v>0</v>
      </c>
      <c r="E49" s="55"/>
      <c r="F49" s="110">
        <f>HomeHeatDemand!F43/$F$13</f>
        <v>0</v>
      </c>
      <c r="G49" s="110">
        <f>HomeHeatDemand!G43/$G$13</f>
        <v>0</v>
      </c>
      <c r="H49" s="110">
        <f>HomeHeatDemand!H43/$H$13</f>
        <v>0</v>
      </c>
      <c r="I49" s="110">
        <f>HomeHeatDemand!F43/$I$13</f>
        <v>0</v>
      </c>
      <c r="J49" s="110">
        <f>HomeHeatDemand!G43/$J$13</f>
        <v>0</v>
      </c>
      <c r="K49" s="110">
        <f>HomeHeatDemand!H43/$K$13</f>
        <v>0</v>
      </c>
      <c r="L49" s="110"/>
      <c r="M49" s="110"/>
      <c r="N49" s="104">
        <f t="shared" si="3"/>
        <v>0</v>
      </c>
      <c r="O49" s="104">
        <f t="shared" si="4"/>
        <v>0</v>
      </c>
      <c r="P49" s="104">
        <f t="shared" si="5"/>
        <v>0</v>
      </c>
      <c r="Q49" s="99"/>
      <c r="R49" s="99">
        <f>HomeHeatDemand!I43-HP_Power!N49</f>
        <v>0</v>
      </c>
    </row>
    <row r="50" spans="1:18" x14ac:dyDescent="0.2">
      <c r="A50" s="17">
        <v>35</v>
      </c>
      <c r="B50" s="55">
        <f>HomeHeatDemand!F44/$B$13</f>
        <v>0</v>
      </c>
      <c r="C50" s="55">
        <f>HomeHeatDemand!G44/$C$13</f>
        <v>0</v>
      </c>
      <c r="D50" s="55">
        <f>HomeHeatDemand!H44/$D$13</f>
        <v>0</v>
      </c>
      <c r="E50" s="55"/>
      <c r="F50" s="110">
        <f>HomeHeatDemand!F44/$F$13</f>
        <v>0</v>
      </c>
      <c r="G50" s="110">
        <f>HomeHeatDemand!G44/$G$13</f>
        <v>0</v>
      </c>
      <c r="H50" s="110">
        <f>HomeHeatDemand!H44/$H$13</f>
        <v>0</v>
      </c>
      <c r="I50" s="110">
        <f>HomeHeatDemand!F44/$I$13</f>
        <v>0</v>
      </c>
      <c r="J50" s="110">
        <f>HomeHeatDemand!G44/$J$13</f>
        <v>0</v>
      </c>
      <c r="K50" s="110">
        <f>HomeHeatDemand!H44/$K$13</f>
        <v>0</v>
      </c>
      <c r="L50" s="110"/>
      <c r="M50" s="110"/>
      <c r="N50" s="104">
        <f t="shared" si="3"/>
        <v>0</v>
      </c>
      <c r="O50" s="104">
        <f t="shared" si="4"/>
        <v>0</v>
      </c>
      <c r="P50" s="104">
        <f t="shared" si="5"/>
        <v>0</v>
      </c>
      <c r="Q50" s="99"/>
      <c r="R50" s="99">
        <f>HomeHeatDemand!I44-HP_Power!N50</f>
        <v>0</v>
      </c>
    </row>
    <row r="51" spans="1:18" x14ac:dyDescent="0.2">
      <c r="A51" s="17">
        <v>36</v>
      </c>
      <c r="B51" s="55">
        <f>HomeHeatDemand!F45/$B$13</f>
        <v>0</v>
      </c>
      <c r="C51" s="55">
        <f>HomeHeatDemand!G45/$C$13</f>
        <v>0</v>
      </c>
      <c r="D51" s="55">
        <f>HomeHeatDemand!H45/$D$13</f>
        <v>0</v>
      </c>
      <c r="E51" s="55"/>
      <c r="F51" s="110">
        <f>HomeHeatDemand!F45/$F$13</f>
        <v>0</v>
      </c>
      <c r="G51" s="110">
        <f>HomeHeatDemand!G45/$G$13</f>
        <v>0</v>
      </c>
      <c r="H51" s="110">
        <f>HomeHeatDemand!H45/$H$13</f>
        <v>0</v>
      </c>
      <c r="I51" s="110">
        <f>HomeHeatDemand!F45/$I$13</f>
        <v>0</v>
      </c>
      <c r="J51" s="110">
        <f>HomeHeatDemand!G45/$J$13</f>
        <v>0</v>
      </c>
      <c r="K51" s="110">
        <f>HomeHeatDemand!H45/$K$13</f>
        <v>0</v>
      </c>
      <c r="L51" s="110"/>
      <c r="M51" s="110"/>
      <c r="N51" s="104">
        <f t="shared" si="3"/>
        <v>0</v>
      </c>
      <c r="O51" s="104">
        <f t="shared" si="4"/>
        <v>0</v>
      </c>
      <c r="P51" s="104">
        <f t="shared" si="5"/>
        <v>0</v>
      </c>
      <c r="Q51" s="99"/>
      <c r="R51" s="99">
        <f>HomeHeatDemand!I45-HP_Power!N51</f>
        <v>0</v>
      </c>
    </row>
    <row r="52" spans="1:18" x14ac:dyDescent="0.2">
      <c r="A52" s="17">
        <v>37</v>
      </c>
      <c r="B52" s="55">
        <f>HomeHeatDemand!F46/$B$13</f>
        <v>0</v>
      </c>
      <c r="C52" s="55">
        <f>HomeHeatDemand!G46/$C$13</f>
        <v>0</v>
      </c>
      <c r="D52" s="55">
        <f>HomeHeatDemand!H46/$D$13</f>
        <v>0</v>
      </c>
      <c r="E52" s="55"/>
      <c r="F52" s="110">
        <f>HomeHeatDemand!F46/$F$13</f>
        <v>0</v>
      </c>
      <c r="G52" s="110">
        <f>HomeHeatDemand!G46/$G$13</f>
        <v>0</v>
      </c>
      <c r="H52" s="110">
        <f>HomeHeatDemand!H46/$H$13</f>
        <v>0</v>
      </c>
      <c r="I52" s="110">
        <f>HomeHeatDemand!F46/$I$13</f>
        <v>0</v>
      </c>
      <c r="J52" s="110">
        <f>HomeHeatDemand!G46/$J$13</f>
        <v>0</v>
      </c>
      <c r="K52" s="110">
        <f>HomeHeatDemand!H46/$K$13</f>
        <v>0</v>
      </c>
      <c r="L52" s="110"/>
      <c r="M52" s="110"/>
      <c r="N52" s="104">
        <f t="shared" si="3"/>
        <v>0</v>
      </c>
      <c r="O52" s="104">
        <f t="shared" si="4"/>
        <v>0</v>
      </c>
      <c r="P52" s="104">
        <f t="shared" si="5"/>
        <v>0</v>
      </c>
      <c r="Q52" s="99"/>
      <c r="R52" s="99">
        <f>HomeHeatDemand!I46-HP_Power!N52</f>
        <v>0</v>
      </c>
    </row>
    <row r="53" spans="1:18" x14ac:dyDescent="0.2">
      <c r="A53" s="17">
        <v>38</v>
      </c>
      <c r="B53" s="55">
        <f>HomeHeatDemand!F47/$B$13</f>
        <v>0</v>
      </c>
      <c r="C53" s="55">
        <f>HomeHeatDemand!G47/$C$13</f>
        <v>0</v>
      </c>
      <c r="D53" s="55">
        <f>HomeHeatDemand!H47/$D$13</f>
        <v>0</v>
      </c>
      <c r="E53" s="55"/>
      <c r="F53" s="110">
        <f>HomeHeatDemand!F47/$F$13</f>
        <v>0</v>
      </c>
      <c r="G53" s="110">
        <f>HomeHeatDemand!G47/$G$13</f>
        <v>0</v>
      </c>
      <c r="H53" s="110">
        <f>HomeHeatDemand!H47/$H$13</f>
        <v>0</v>
      </c>
      <c r="I53" s="110">
        <f>HomeHeatDemand!F47/$I$13</f>
        <v>0</v>
      </c>
      <c r="J53" s="110">
        <f>HomeHeatDemand!G47/$J$13</f>
        <v>0</v>
      </c>
      <c r="K53" s="110">
        <f>HomeHeatDemand!H47/$K$13</f>
        <v>0</v>
      </c>
      <c r="L53" s="110"/>
      <c r="M53" s="110"/>
      <c r="N53" s="104">
        <f t="shared" si="3"/>
        <v>0</v>
      </c>
      <c r="O53" s="104">
        <f t="shared" si="4"/>
        <v>0</v>
      </c>
      <c r="P53" s="104">
        <f t="shared" si="5"/>
        <v>0</v>
      </c>
      <c r="Q53" s="99"/>
      <c r="R53" s="99">
        <f>HomeHeatDemand!I47-HP_Power!N53</f>
        <v>0</v>
      </c>
    </row>
    <row r="54" spans="1:18" x14ac:dyDescent="0.2">
      <c r="A54" s="17">
        <v>39</v>
      </c>
      <c r="B54" s="55">
        <f>HomeHeatDemand!F48/$B$13</f>
        <v>0</v>
      </c>
      <c r="C54" s="55">
        <f>HomeHeatDemand!G48/$C$13</f>
        <v>0</v>
      </c>
      <c r="D54" s="55">
        <f>HomeHeatDemand!H48/$D$13</f>
        <v>0</v>
      </c>
      <c r="E54" s="55"/>
      <c r="F54" s="110">
        <f>HomeHeatDemand!F48/$F$13</f>
        <v>0</v>
      </c>
      <c r="G54" s="110">
        <f>HomeHeatDemand!G48/$G$13</f>
        <v>0</v>
      </c>
      <c r="H54" s="110">
        <f>HomeHeatDemand!H48/$H$13</f>
        <v>0</v>
      </c>
      <c r="I54" s="110">
        <f>HomeHeatDemand!F48/$I$13</f>
        <v>0</v>
      </c>
      <c r="J54" s="110">
        <f>HomeHeatDemand!G48/$J$13</f>
        <v>0</v>
      </c>
      <c r="K54" s="110">
        <f>HomeHeatDemand!H48/$K$13</f>
        <v>0</v>
      </c>
      <c r="L54" s="110"/>
      <c r="M54" s="110"/>
      <c r="N54" s="104">
        <f t="shared" si="3"/>
        <v>0</v>
      </c>
      <c r="O54" s="104">
        <f t="shared" si="4"/>
        <v>0</v>
      </c>
      <c r="P54" s="104">
        <f t="shared" si="5"/>
        <v>0</v>
      </c>
      <c r="Q54" s="99"/>
      <c r="R54" s="99">
        <f>HomeHeatDemand!I48-HP_Power!N54</f>
        <v>0</v>
      </c>
    </row>
    <row r="55" spans="1:18" x14ac:dyDescent="0.2">
      <c r="A55" s="17">
        <v>40</v>
      </c>
      <c r="B55" s="55">
        <f>HomeHeatDemand!F49/$B$13</f>
        <v>0.74636293386083608</v>
      </c>
      <c r="C55" s="55">
        <f>HomeHeatDemand!G49/$C$13</f>
        <v>0.34817321475331586</v>
      </c>
      <c r="D55" s="55">
        <f>HomeHeatDemand!H49/$D$13</f>
        <v>5.4355139759513407E-2</v>
      </c>
      <c r="E55" s="55"/>
      <c r="F55" s="110">
        <f>HomeHeatDemand!F49/$F$13</f>
        <v>0.36139678902735217</v>
      </c>
      <c r="G55" s="110">
        <f>HomeHeatDemand!G49/$G$13</f>
        <v>0.1970245030966869</v>
      </c>
      <c r="H55" s="110">
        <f>HomeHeatDemand!H49/$H$13</f>
        <v>3.471695198804188E-2</v>
      </c>
      <c r="I55" s="110">
        <f>HomeHeatDemand!F49/$I$13</f>
        <v>0.48220077187638283</v>
      </c>
      <c r="J55" s="110">
        <f>HomeHeatDemand!G49/$J$13</f>
        <v>0.26288381733406258</v>
      </c>
      <c r="K55" s="110">
        <f>HomeHeatDemand!H49/$K$13</f>
        <v>4.6321775826741275E-2</v>
      </c>
      <c r="L55" s="110"/>
      <c r="M55" s="110"/>
      <c r="N55" s="104">
        <f t="shared" si="3"/>
        <v>1791.2710412660065</v>
      </c>
      <c r="O55" s="104">
        <f t="shared" si="4"/>
        <v>835.61571540795808</v>
      </c>
      <c r="P55" s="104">
        <f t="shared" si="5"/>
        <v>130.45233542283216</v>
      </c>
      <c r="Q55" s="99"/>
      <c r="R55" s="99">
        <f>HomeHeatDemand!I49-HP_Power!N55</f>
        <v>6448.5757485576241</v>
      </c>
    </row>
    <row r="56" spans="1:18" x14ac:dyDescent="0.2">
      <c r="A56" s="17">
        <v>41</v>
      </c>
      <c r="B56" s="55">
        <f>HomeHeatDemand!F50/$B$13</f>
        <v>0.74636293386083608</v>
      </c>
      <c r="C56" s="55">
        <f>HomeHeatDemand!G50/$C$13</f>
        <v>0.34817321475331586</v>
      </c>
      <c r="D56" s="55">
        <f>HomeHeatDemand!H50/$D$13</f>
        <v>5.4355139759513407E-2</v>
      </c>
      <c r="E56" s="55"/>
      <c r="F56" s="110">
        <f>HomeHeatDemand!F50/$F$13</f>
        <v>0.36139678902735217</v>
      </c>
      <c r="G56" s="110">
        <f>HomeHeatDemand!G50/$G$13</f>
        <v>0.1970245030966869</v>
      </c>
      <c r="H56" s="110">
        <f>HomeHeatDemand!H50/$H$13</f>
        <v>3.471695198804188E-2</v>
      </c>
      <c r="I56" s="110">
        <f>HomeHeatDemand!F50/$I$13</f>
        <v>0.48220077187638283</v>
      </c>
      <c r="J56" s="110">
        <f>HomeHeatDemand!G50/$J$13</f>
        <v>0.26288381733406258</v>
      </c>
      <c r="K56" s="110">
        <f>HomeHeatDemand!H50/$K$13</f>
        <v>4.6321775826741275E-2</v>
      </c>
      <c r="L56" s="110"/>
      <c r="M56" s="110"/>
      <c r="N56" s="104">
        <f t="shared" si="3"/>
        <v>1791.2710412660065</v>
      </c>
      <c r="O56" s="104">
        <f t="shared" si="4"/>
        <v>835.61571540795808</v>
      </c>
      <c r="P56" s="104">
        <f t="shared" si="5"/>
        <v>130.45233542283216</v>
      </c>
      <c r="Q56" s="99"/>
      <c r="R56" s="99">
        <f>HomeHeatDemand!I50-HP_Power!N56</f>
        <v>6448.5757485576241</v>
      </c>
    </row>
    <row r="57" spans="1:18" x14ac:dyDescent="0.2">
      <c r="A57" s="17">
        <v>42</v>
      </c>
      <c r="B57" s="55">
        <f>HomeHeatDemand!F51/$B$13</f>
        <v>0.74636293386083608</v>
      </c>
      <c r="C57" s="55">
        <f>HomeHeatDemand!G51/$C$13</f>
        <v>0.34817321475331586</v>
      </c>
      <c r="D57" s="55">
        <f>HomeHeatDemand!H51/$D$13</f>
        <v>5.4355139759513407E-2</v>
      </c>
      <c r="E57" s="55"/>
      <c r="F57" s="110">
        <f>HomeHeatDemand!F51/$F$13</f>
        <v>0.36139678902735217</v>
      </c>
      <c r="G57" s="110">
        <f>HomeHeatDemand!G51/$G$13</f>
        <v>0.1970245030966869</v>
      </c>
      <c r="H57" s="110">
        <f>HomeHeatDemand!H51/$H$13</f>
        <v>3.471695198804188E-2</v>
      </c>
      <c r="I57" s="110">
        <f>HomeHeatDemand!F51/$I$13</f>
        <v>0.48220077187638283</v>
      </c>
      <c r="J57" s="110">
        <f>HomeHeatDemand!G51/$J$13</f>
        <v>0.26288381733406258</v>
      </c>
      <c r="K57" s="110">
        <f>HomeHeatDemand!H51/$K$13</f>
        <v>4.6321775826741275E-2</v>
      </c>
      <c r="L57" s="110"/>
      <c r="M57" s="110"/>
      <c r="N57" s="104">
        <f t="shared" si="3"/>
        <v>1791.2710412660065</v>
      </c>
      <c r="O57" s="104">
        <f t="shared" si="4"/>
        <v>835.61571540795808</v>
      </c>
      <c r="P57" s="104">
        <f t="shared" si="5"/>
        <v>130.45233542283216</v>
      </c>
      <c r="Q57" s="99"/>
      <c r="R57" s="99">
        <f>HomeHeatDemand!I51-HP_Power!N57</f>
        <v>6448.5757485576241</v>
      </c>
    </row>
    <row r="58" spans="1:18" x14ac:dyDescent="0.2">
      <c r="A58" s="17">
        <v>43</v>
      </c>
      <c r="B58" s="55">
        <f>HomeHeatDemand!F52/$B$13</f>
        <v>0.74636293386083608</v>
      </c>
      <c r="C58" s="55">
        <f>HomeHeatDemand!G52/$C$13</f>
        <v>0.34817321475331586</v>
      </c>
      <c r="D58" s="55">
        <f>HomeHeatDemand!H52/$D$13</f>
        <v>5.4355139759513407E-2</v>
      </c>
      <c r="E58" s="55"/>
      <c r="F58" s="110">
        <f>HomeHeatDemand!F52/$F$13</f>
        <v>0.36139678902735217</v>
      </c>
      <c r="G58" s="110">
        <f>HomeHeatDemand!G52/$G$13</f>
        <v>0.1970245030966869</v>
      </c>
      <c r="H58" s="110">
        <f>HomeHeatDemand!H52/$H$13</f>
        <v>3.471695198804188E-2</v>
      </c>
      <c r="I58" s="110">
        <f>HomeHeatDemand!F52/$I$13</f>
        <v>0.48220077187638283</v>
      </c>
      <c r="J58" s="110">
        <f>HomeHeatDemand!G52/$J$13</f>
        <v>0.26288381733406258</v>
      </c>
      <c r="K58" s="110">
        <f>HomeHeatDemand!H52/$K$13</f>
        <v>4.6321775826741275E-2</v>
      </c>
      <c r="L58" s="110"/>
      <c r="M58" s="110"/>
      <c r="N58" s="104">
        <f t="shared" si="3"/>
        <v>1791.2710412660065</v>
      </c>
      <c r="O58" s="104">
        <f t="shared" si="4"/>
        <v>835.61571540795808</v>
      </c>
      <c r="P58" s="104">
        <f t="shared" si="5"/>
        <v>130.45233542283216</v>
      </c>
      <c r="Q58" s="99"/>
      <c r="R58" s="99">
        <f>HomeHeatDemand!I52-HP_Power!N58</f>
        <v>6448.5757485576241</v>
      </c>
    </row>
    <row r="59" spans="1:18" x14ac:dyDescent="0.2">
      <c r="A59" s="17">
        <v>44</v>
      </c>
      <c r="B59" s="55">
        <f>HomeHeatDemand!F53/$B$13</f>
        <v>0.74636293386083608</v>
      </c>
      <c r="C59" s="55">
        <f>HomeHeatDemand!G53/$C$13</f>
        <v>0.34817321475331586</v>
      </c>
      <c r="D59" s="55">
        <f>HomeHeatDemand!H53/$D$13</f>
        <v>5.4355139759513407E-2</v>
      </c>
      <c r="E59" s="55"/>
      <c r="F59" s="110">
        <f>HomeHeatDemand!F53/$F$13</f>
        <v>0.36139678902735217</v>
      </c>
      <c r="G59" s="110">
        <f>HomeHeatDemand!G53/$G$13</f>
        <v>0.1970245030966869</v>
      </c>
      <c r="H59" s="110">
        <f>HomeHeatDemand!H53/$H$13</f>
        <v>3.471695198804188E-2</v>
      </c>
      <c r="I59" s="110">
        <f>HomeHeatDemand!F53/$I$13</f>
        <v>0.48220077187638283</v>
      </c>
      <c r="J59" s="110">
        <f>HomeHeatDemand!G53/$J$13</f>
        <v>0.26288381733406258</v>
      </c>
      <c r="K59" s="110">
        <f>HomeHeatDemand!H53/$K$13</f>
        <v>4.6321775826741275E-2</v>
      </c>
      <c r="L59" s="110"/>
      <c r="M59" s="110"/>
      <c r="N59" s="104">
        <f t="shared" si="3"/>
        <v>1791.2710412660065</v>
      </c>
      <c r="O59" s="104">
        <f t="shared" si="4"/>
        <v>835.61571540795808</v>
      </c>
      <c r="P59" s="104">
        <f t="shared" si="5"/>
        <v>130.45233542283216</v>
      </c>
      <c r="Q59" s="99"/>
      <c r="R59" s="99">
        <f>HomeHeatDemand!I53-HP_Power!N59</f>
        <v>6448.5757485576241</v>
      </c>
    </row>
    <row r="60" spans="1:18" x14ac:dyDescent="0.2">
      <c r="A60" s="17">
        <v>45</v>
      </c>
      <c r="B60" s="55">
        <f>HomeHeatDemand!F54/$B$13</f>
        <v>0.74636293386083608</v>
      </c>
      <c r="C60" s="55">
        <f>HomeHeatDemand!G54/$C$13</f>
        <v>0.34817321475331586</v>
      </c>
      <c r="D60" s="55">
        <f>HomeHeatDemand!H54/$D$13</f>
        <v>5.4355139759513407E-2</v>
      </c>
      <c r="E60" s="55"/>
      <c r="F60" s="110">
        <f>HomeHeatDemand!F54/$F$13</f>
        <v>0.36139678902735217</v>
      </c>
      <c r="G60" s="110">
        <f>HomeHeatDemand!G54/$G$13</f>
        <v>0.1970245030966869</v>
      </c>
      <c r="H60" s="110">
        <f>HomeHeatDemand!H54/$H$13</f>
        <v>3.471695198804188E-2</v>
      </c>
      <c r="I60" s="110">
        <f>HomeHeatDemand!F54/$I$13</f>
        <v>0.48220077187638283</v>
      </c>
      <c r="J60" s="110">
        <f>HomeHeatDemand!G54/$J$13</f>
        <v>0.26288381733406258</v>
      </c>
      <c r="K60" s="110">
        <f>HomeHeatDemand!H54/$K$13</f>
        <v>4.6321775826741275E-2</v>
      </c>
      <c r="L60" s="110"/>
      <c r="M60" s="110"/>
      <c r="N60" s="104">
        <f t="shared" si="3"/>
        <v>1791.2710412660065</v>
      </c>
      <c r="O60" s="104">
        <f t="shared" si="4"/>
        <v>835.61571540795808</v>
      </c>
      <c r="P60" s="104">
        <f t="shared" si="5"/>
        <v>130.45233542283216</v>
      </c>
      <c r="Q60" s="99"/>
      <c r="R60" s="99">
        <f>HomeHeatDemand!I54-HP_Power!N60</f>
        <v>6448.5757485576241</v>
      </c>
    </row>
    <row r="61" spans="1:18" x14ac:dyDescent="0.2">
      <c r="A61" s="17">
        <v>46</v>
      </c>
      <c r="B61" s="55">
        <f>HomeHeatDemand!F55/$B$13</f>
        <v>0.74636293386083608</v>
      </c>
      <c r="C61" s="55">
        <f>HomeHeatDemand!G55/$C$13</f>
        <v>0.34817321475331586</v>
      </c>
      <c r="D61" s="55">
        <f>HomeHeatDemand!H55/$D$13</f>
        <v>5.4355139759513407E-2</v>
      </c>
      <c r="E61" s="55"/>
      <c r="F61" s="110">
        <f>HomeHeatDemand!F55/$F$13</f>
        <v>0.36139678902735217</v>
      </c>
      <c r="G61" s="110">
        <f>HomeHeatDemand!G55/$G$13</f>
        <v>0.1970245030966869</v>
      </c>
      <c r="H61" s="110">
        <f>HomeHeatDemand!H55/$H$13</f>
        <v>3.471695198804188E-2</v>
      </c>
      <c r="I61" s="110">
        <f>HomeHeatDemand!F55/$I$13</f>
        <v>0.48220077187638283</v>
      </c>
      <c r="J61" s="110">
        <f>HomeHeatDemand!G55/$J$13</f>
        <v>0.26288381733406258</v>
      </c>
      <c r="K61" s="110">
        <f>HomeHeatDemand!H55/$K$13</f>
        <v>4.6321775826741275E-2</v>
      </c>
      <c r="L61" s="110"/>
      <c r="M61" s="110"/>
      <c r="N61" s="104">
        <f t="shared" si="3"/>
        <v>1791.2710412660065</v>
      </c>
      <c r="O61" s="104">
        <f t="shared" si="4"/>
        <v>835.61571540795808</v>
      </c>
      <c r="P61" s="104">
        <f t="shared" si="5"/>
        <v>130.45233542283216</v>
      </c>
      <c r="Q61" s="99"/>
      <c r="R61" s="99">
        <f>HomeHeatDemand!I55-HP_Power!N61</f>
        <v>6448.5757485576241</v>
      </c>
    </row>
    <row r="62" spans="1:18" x14ac:dyDescent="0.2">
      <c r="A62" s="17">
        <v>47</v>
      </c>
      <c r="B62" s="55">
        <f>HomeHeatDemand!F56/$B$13</f>
        <v>0</v>
      </c>
      <c r="C62" s="55">
        <f>HomeHeatDemand!G56/$C$13</f>
        <v>0</v>
      </c>
      <c r="D62" s="55">
        <f>HomeHeatDemand!H56/$D$13</f>
        <v>0</v>
      </c>
      <c r="E62" s="55"/>
      <c r="F62" s="110">
        <f>HomeHeatDemand!F56/$F$13</f>
        <v>0</v>
      </c>
      <c r="G62" s="110">
        <f>HomeHeatDemand!G56/$G$13</f>
        <v>0</v>
      </c>
      <c r="H62" s="110">
        <f>HomeHeatDemand!H56/$H$13</f>
        <v>0</v>
      </c>
      <c r="I62" s="110">
        <f>HomeHeatDemand!F56/$I$13</f>
        <v>0</v>
      </c>
      <c r="J62" s="110">
        <f>HomeHeatDemand!G56/$J$13</f>
        <v>0</v>
      </c>
      <c r="K62" s="110">
        <f>HomeHeatDemand!H56/$K$13</f>
        <v>0</v>
      </c>
      <c r="L62" s="110"/>
      <c r="M62" s="110"/>
      <c r="N62" s="104">
        <f t="shared" si="3"/>
        <v>0</v>
      </c>
      <c r="O62" s="104">
        <f t="shared" si="4"/>
        <v>0</v>
      </c>
      <c r="P62" s="104">
        <f t="shared" si="5"/>
        <v>0</v>
      </c>
      <c r="Q62" s="99"/>
      <c r="R62" s="99">
        <f>HomeHeatDemand!I56-HP_Power!N62</f>
        <v>0</v>
      </c>
    </row>
    <row r="63" spans="1:18" x14ac:dyDescent="0.2">
      <c r="A63" s="17">
        <v>48</v>
      </c>
      <c r="B63" s="55">
        <f>HomeHeatDemand!F57/$B$13</f>
        <v>0</v>
      </c>
      <c r="C63" s="55">
        <f>HomeHeatDemand!G57/$C$13</f>
        <v>0</v>
      </c>
      <c r="D63" s="55">
        <f>HomeHeatDemand!H57/$D$13</f>
        <v>0</v>
      </c>
      <c r="E63" s="55"/>
      <c r="F63" s="110">
        <f>HomeHeatDemand!F57/$F$13</f>
        <v>0</v>
      </c>
      <c r="G63" s="110">
        <f>HomeHeatDemand!G57/$G$13</f>
        <v>0</v>
      </c>
      <c r="H63" s="110">
        <f>HomeHeatDemand!H57/$H$13</f>
        <v>0</v>
      </c>
      <c r="I63" s="110">
        <f>HomeHeatDemand!F57/$I$13</f>
        <v>0</v>
      </c>
      <c r="J63" s="110">
        <f>HomeHeatDemand!G57/$J$13</f>
        <v>0</v>
      </c>
      <c r="K63" s="110">
        <f>HomeHeatDemand!H57/$K$13</f>
        <v>0</v>
      </c>
      <c r="L63" s="110"/>
      <c r="M63" s="110"/>
      <c r="N63" s="104">
        <f t="shared" si="3"/>
        <v>0</v>
      </c>
      <c r="O63" s="104">
        <f t="shared" si="4"/>
        <v>0</v>
      </c>
      <c r="P63" s="104">
        <f t="shared" si="5"/>
        <v>0</v>
      </c>
      <c r="Q63" s="99"/>
      <c r="R63" s="99">
        <f>HomeHeatDemand!I57-HP_Power!N63</f>
        <v>0</v>
      </c>
    </row>
    <row r="64" spans="1:18" x14ac:dyDescent="0.2">
      <c r="A64" s="17">
        <v>49</v>
      </c>
      <c r="B64" s="55">
        <f>HomeHeatDemand!F58/$B$13</f>
        <v>0</v>
      </c>
      <c r="C64" s="55">
        <f>HomeHeatDemand!G58/$C$13</f>
        <v>0</v>
      </c>
      <c r="D64" s="55">
        <f>HomeHeatDemand!H58/$D$13</f>
        <v>0</v>
      </c>
      <c r="E64" s="55"/>
      <c r="F64" s="110">
        <f>HomeHeatDemand!F58/$F$13</f>
        <v>0</v>
      </c>
      <c r="G64" s="110">
        <f>HomeHeatDemand!G58/$G$13</f>
        <v>0</v>
      </c>
      <c r="H64" s="110">
        <f>HomeHeatDemand!H58/$H$13</f>
        <v>0</v>
      </c>
      <c r="I64" s="110">
        <f>HomeHeatDemand!F58/$I$13</f>
        <v>0</v>
      </c>
      <c r="J64" s="110">
        <f>HomeHeatDemand!G58/$J$13</f>
        <v>0</v>
      </c>
      <c r="K64" s="110">
        <f>HomeHeatDemand!H58/$K$13</f>
        <v>0</v>
      </c>
      <c r="L64" s="110"/>
      <c r="M64" s="110"/>
      <c r="N64" s="104">
        <f t="shared" si="3"/>
        <v>0</v>
      </c>
      <c r="O64" s="104">
        <f t="shared" si="4"/>
        <v>0</v>
      </c>
      <c r="P64" s="104">
        <f t="shared" si="5"/>
        <v>0</v>
      </c>
      <c r="Q64" s="99"/>
      <c r="R64" s="99">
        <f>HomeHeatDemand!I58-HP_Power!N64</f>
        <v>0</v>
      </c>
    </row>
    <row r="65" spans="1:18" x14ac:dyDescent="0.2">
      <c r="A65" s="17">
        <v>50</v>
      </c>
      <c r="B65" s="55">
        <f>HomeHeatDemand!F59/$B$13</f>
        <v>0</v>
      </c>
      <c r="C65" s="55">
        <f>HomeHeatDemand!G59/$C$13</f>
        <v>0</v>
      </c>
      <c r="D65" s="55">
        <f>HomeHeatDemand!H59/$D$13</f>
        <v>0</v>
      </c>
      <c r="E65" s="55"/>
      <c r="F65" s="110">
        <f>HomeHeatDemand!F59/$F$13</f>
        <v>0</v>
      </c>
      <c r="G65" s="110">
        <f>HomeHeatDemand!G59/$G$13</f>
        <v>0</v>
      </c>
      <c r="H65" s="110">
        <f>HomeHeatDemand!H59/$H$13</f>
        <v>0</v>
      </c>
      <c r="I65" s="110">
        <f>HomeHeatDemand!F59/$I$13</f>
        <v>0</v>
      </c>
      <c r="J65" s="110">
        <f>HomeHeatDemand!G59/$J$13</f>
        <v>0</v>
      </c>
      <c r="K65" s="110">
        <f>HomeHeatDemand!H59/$K$13</f>
        <v>0</v>
      </c>
      <c r="L65" s="110"/>
      <c r="M65" s="110"/>
      <c r="N65" s="104">
        <f t="shared" si="3"/>
        <v>0</v>
      </c>
      <c r="O65" s="104">
        <f t="shared" si="4"/>
        <v>0</v>
      </c>
      <c r="P65" s="104">
        <f t="shared" si="5"/>
        <v>0</v>
      </c>
      <c r="Q65" s="99"/>
      <c r="R65" s="99">
        <f>HomeHeatDemand!I59-HP_Power!N65</f>
        <v>0</v>
      </c>
    </row>
    <row r="66" spans="1:18" x14ac:dyDescent="0.2">
      <c r="A66" s="17">
        <v>51</v>
      </c>
      <c r="B66" s="55">
        <f>HomeHeatDemand!F60/$B$13</f>
        <v>0</v>
      </c>
      <c r="C66" s="55">
        <f>HomeHeatDemand!G60/$C$13</f>
        <v>0</v>
      </c>
      <c r="D66" s="55">
        <f>HomeHeatDemand!H60/$D$13</f>
        <v>0</v>
      </c>
      <c r="E66" s="55"/>
      <c r="F66" s="110">
        <f>HomeHeatDemand!F60/$F$13</f>
        <v>0</v>
      </c>
      <c r="G66" s="110">
        <f>HomeHeatDemand!G60/$G$13</f>
        <v>0</v>
      </c>
      <c r="H66" s="110">
        <f>HomeHeatDemand!H60/$H$13</f>
        <v>0</v>
      </c>
      <c r="I66" s="110">
        <f>HomeHeatDemand!F60/$I$13</f>
        <v>0</v>
      </c>
      <c r="J66" s="110">
        <f>HomeHeatDemand!G60/$J$13</f>
        <v>0</v>
      </c>
      <c r="K66" s="110">
        <f>HomeHeatDemand!H60/$K$13</f>
        <v>0</v>
      </c>
      <c r="L66" s="110"/>
      <c r="M66" s="110"/>
      <c r="N66" s="104">
        <f t="shared" si="3"/>
        <v>0</v>
      </c>
      <c r="O66" s="104">
        <f t="shared" si="4"/>
        <v>0</v>
      </c>
      <c r="P66" s="104">
        <f t="shared" si="5"/>
        <v>0</v>
      </c>
      <c r="Q66" s="99"/>
      <c r="R66" s="99">
        <f>HomeHeatDemand!I60-HP_Power!N66</f>
        <v>0</v>
      </c>
    </row>
    <row r="67" spans="1:18" x14ac:dyDescent="0.2">
      <c r="A67" s="17">
        <v>52</v>
      </c>
      <c r="B67" s="55">
        <f>HomeHeatDemand!F61/$B$13</f>
        <v>0</v>
      </c>
      <c r="C67" s="55">
        <f>HomeHeatDemand!G61/$C$13</f>
        <v>0</v>
      </c>
      <c r="D67" s="55">
        <f>HomeHeatDemand!H61/$D$13</f>
        <v>0</v>
      </c>
      <c r="E67" s="55"/>
      <c r="F67" s="110">
        <f>HomeHeatDemand!F61/$F$13</f>
        <v>0</v>
      </c>
      <c r="G67" s="110">
        <f>HomeHeatDemand!G61/$G$13</f>
        <v>0</v>
      </c>
      <c r="H67" s="110">
        <f>HomeHeatDemand!H61/$H$13</f>
        <v>0</v>
      </c>
      <c r="I67" s="110">
        <f>HomeHeatDemand!F61/$I$13</f>
        <v>0</v>
      </c>
      <c r="J67" s="110">
        <f>HomeHeatDemand!G61/$J$13</f>
        <v>0</v>
      </c>
      <c r="K67" s="110">
        <f>HomeHeatDemand!H61/$K$13</f>
        <v>0</v>
      </c>
      <c r="L67" s="110"/>
      <c r="M67" s="110"/>
      <c r="N67" s="104">
        <f t="shared" si="3"/>
        <v>0</v>
      </c>
      <c r="O67" s="104">
        <f t="shared" si="4"/>
        <v>0</v>
      </c>
      <c r="P67" s="104">
        <f t="shared" si="5"/>
        <v>0</v>
      </c>
      <c r="Q67" s="99"/>
      <c r="R67" s="99">
        <f>HomeHeatDemand!I61-HP_Power!N67</f>
        <v>0</v>
      </c>
    </row>
    <row r="68" spans="1:18" x14ac:dyDescent="0.2">
      <c r="A68" s="17">
        <v>53</v>
      </c>
      <c r="B68" s="55">
        <f>HomeHeatDemand!F62/$B$13</f>
        <v>0</v>
      </c>
      <c r="C68" s="55">
        <f>HomeHeatDemand!G62/$C$13</f>
        <v>0</v>
      </c>
      <c r="D68" s="55">
        <f>HomeHeatDemand!H62/$D$13</f>
        <v>0</v>
      </c>
      <c r="E68" s="55"/>
      <c r="F68" s="110">
        <f>HomeHeatDemand!F62/$F$13</f>
        <v>0</v>
      </c>
      <c r="G68" s="110">
        <f>HomeHeatDemand!G62/$G$13</f>
        <v>0</v>
      </c>
      <c r="H68" s="110">
        <f>HomeHeatDemand!H62/$H$13</f>
        <v>0</v>
      </c>
      <c r="I68" s="110">
        <f>HomeHeatDemand!F62/$I$13</f>
        <v>0</v>
      </c>
      <c r="J68" s="110">
        <f>HomeHeatDemand!G62/$J$13</f>
        <v>0</v>
      </c>
      <c r="K68" s="110">
        <f>HomeHeatDemand!H62/$K$13</f>
        <v>0</v>
      </c>
      <c r="L68" s="110"/>
      <c r="M68" s="110"/>
      <c r="N68" s="104">
        <f t="shared" si="3"/>
        <v>0</v>
      </c>
      <c r="O68" s="104">
        <f t="shared" si="4"/>
        <v>0</v>
      </c>
      <c r="P68" s="104">
        <f t="shared" si="5"/>
        <v>0</v>
      </c>
      <c r="Q68" s="99"/>
      <c r="R68" s="99">
        <f>HomeHeatDemand!I62-HP_Power!N68</f>
        <v>0</v>
      </c>
    </row>
    <row r="69" spans="1:18" x14ac:dyDescent="0.2">
      <c r="A69" s="17">
        <v>54</v>
      </c>
      <c r="B69" s="55">
        <f>HomeHeatDemand!F63/$B$13</f>
        <v>0</v>
      </c>
      <c r="C69" s="55">
        <f>HomeHeatDemand!G63/$C$13</f>
        <v>0</v>
      </c>
      <c r="D69" s="55">
        <f>HomeHeatDemand!H63/$D$13</f>
        <v>0</v>
      </c>
      <c r="E69" s="55"/>
      <c r="F69" s="110">
        <f>HomeHeatDemand!F63/$F$13</f>
        <v>0</v>
      </c>
      <c r="G69" s="110">
        <f>HomeHeatDemand!G63/$G$13</f>
        <v>0</v>
      </c>
      <c r="H69" s="110">
        <f>HomeHeatDemand!H63/$H$13</f>
        <v>0</v>
      </c>
      <c r="I69" s="110">
        <f>HomeHeatDemand!F63/$I$13</f>
        <v>0</v>
      </c>
      <c r="J69" s="110">
        <f>HomeHeatDemand!G63/$J$13</f>
        <v>0</v>
      </c>
      <c r="K69" s="110">
        <f>HomeHeatDemand!H63/$K$13</f>
        <v>0</v>
      </c>
      <c r="L69" s="110"/>
      <c r="M69" s="110"/>
      <c r="N69" s="104">
        <f t="shared" si="3"/>
        <v>0</v>
      </c>
      <c r="O69" s="104">
        <f t="shared" si="4"/>
        <v>0</v>
      </c>
      <c r="P69" s="104">
        <f t="shared" si="5"/>
        <v>0</v>
      </c>
      <c r="Q69" s="99"/>
      <c r="R69" s="99">
        <f>HomeHeatDemand!I63-HP_Power!N69</f>
        <v>0</v>
      </c>
    </row>
    <row r="70" spans="1:18" x14ac:dyDescent="0.2">
      <c r="A70" s="17">
        <v>55</v>
      </c>
      <c r="B70" s="55">
        <f>HomeHeatDemand!F64/$B$13</f>
        <v>0.74636293386083608</v>
      </c>
      <c r="C70" s="55">
        <f>HomeHeatDemand!G64/$C$13</f>
        <v>0.34817321475331586</v>
      </c>
      <c r="D70" s="55">
        <f>HomeHeatDemand!H64/$D$13</f>
        <v>5.4355139759513407E-2</v>
      </c>
      <c r="E70" s="55"/>
      <c r="F70" s="110">
        <f>HomeHeatDemand!F64/$F$13</f>
        <v>0.36139678902735217</v>
      </c>
      <c r="G70" s="110">
        <f>HomeHeatDemand!G64/$G$13</f>
        <v>0.1970245030966869</v>
      </c>
      <c r="H70" s="110">
        <f>HomeHeatDemand!H64/$H$13</f>
        <v>3.471695198804188E-2</v>
      </c>
      <c r="I70" s="110">
        <f>HomeHeatDemand!F64/$I$13</f>
        <v>0.48220077187638283</v>
      </c>
      <c r="J70" s="110">
        <f>HomeHeatDemand!G64/$J$13</f>
        <v>0.26288381733406258</v>
      </c>
      <c r="K70" s="110">
        <f>HomeHeatDemand!H64/$K$13</f>
        <v>4.6321775826741275E-2</v>
      </c>
      <c r="L70" s="110"/>
      <c r="M70" s="110"/>
      <c r="N70" s="104">
        <f t="shared" si="3"/>
        <v>1791.2710412660065</v>
      </c>
      <c r="O70" s="104">
        <f t="shared" si="4"/>
        <v>835.61571540795808</v>
      </c>
      <c r="P70" s="104">
        <f t="shared" si="5"/>
        <v>130.45233542283216</v>
      </c>
      <c r="Q70" s="99"/>
      <c r="R70" s="99">
        <f>HomeHeatDemand!I64-HP_Power!N70</f>
        <v>6448.5757485576241</v>
      </c>
    </row>
    <row r="71" spans="1:18" x14ac:dyDescent="0.2">
      <c r="A71" s="17">
        <v>56</v>
      </c>
      <c r="B71" s="55">
        <f>HomeHeatDemand!F65/$B$13</f>
        <v>0.74636293386083608</v>
      </c>
      <c r="C71" s="55">
        <f>HomeHeatDemand!G65/$C$13</f>
        <v>0.34817321475331586</v>
      </c>
      <c r="D71" s="55">
        <f>HomeHeatDemand!H65/$D$13</f>
        <v>5.4355139759513407E-2</v>
      </c>
      <c r="E71" s="55"/>
      <c r="F71" s="110">
        <f>HomeHeatDemand!F65/$F$13</f>
        <v>0.36139678902735217</v>
      </c>
      <c r="G71" s="110">
        <f>HomeHeatDemand!G65/$G$13</f>
        <v>0.1970245030966869</v>
      </c>
      <c r="H71" s="110">
        <f>HomeHeatDemand!H65/$H$13</f>
        <v>3.471695198804188E-2</v>
      </c>
      <c r="I71" s="110">
        <f>HomeHeatDemand!F65/$I$13</f>
        <v>0.48220077187638283</v>
      </c>
      <c r="J71" s="110">
        <f>HomeHeatDemand!G65/$J$13</f>
        <v>0.26288381733406258</v>
      </c>
      <c r="K71" s="110">
        <f>HomeHeatDemand!H65/$K$13</f>
        <v>4.6321775826741275E-2</v>
      </c>
      <c r="L71" s="110"/>
      <c r="M71" s="110"/>
      <c r="N71" s="104">
        <f t="shared" si="3"/>
        <v>1791.2710412660065</v>
      </c>
      <c r="O71" s="104">
        <f t="shared" si="4"/>
        <v>835.61571540795808</v>
      </c>
      <c r="P71" s="104">
        <f t="shared" si="5"/>
        <v>130.45233542283216</v>
      </c>
      <c r="Q71" s="99"/>
      <c r="R71" s="99">
        <f>HomeHeatDemand!I65-HP_Power!N71</f>
        <v>6448.5757485576241</v>
      </c>
    </row>
    <row r="72" spans="1:18" x14ac:dyDescent="0.2">
      <c r="A72" s="17">
        <v>57</v>
      </c>
      <c r="B72" s="55">
        <f>HomeHeatDemand!F66/$B$13</f>
        <v>0</v>
      </c>
      <c r="C72" s="55">
        <f>HomeHeatDemand!G66/$C$13</f>
        <v>0</v>
      </c>
      <c r="D72" s="55">
        <f>HomeHeatDemand!H66/$D$13</f>
        <v>0</v>
      </c>
      <c r="E72" s="55"/>
      <c r="F72" s="110">
        <f>HomeHeatDemand!F66/$F$13</f>
        <v>0</v>
      </c>
      <c r="G72" s="110">
        <f>HomeHeatDemand!G66/$G$13</f>
        <v>0</v>
      </c>
      <c r="H72" s="110">
        <f>HomeHeatDemand!H66/$H$13</f>
        <v>0</v>
      </c>
      <c r="I72" s="110">
        <f>HomeHeatDemand!F66/$I$13</f>
        <v>0</v>
      </c>
      <c r="J72" s="110">
        <f>HomeHeatDemand!G66/$J$13</f>
        <v>0</v>
      </c>
      <c r="K72" s="110">
        <f>HomeHeatDemand!H66/$K$13</f>
        <v>0</v>
      </c>
      <c r="L72" s="110"/>
      <c r="M72" s="110"/>
      <c r="N72" s="104">
        <f t="shared" si="3"/>
        <v>0</v>
      </c>
      <c r="O72" s="104">
        <f t="shared" si="4"/>
        <v>0</v>
      </c>
      <c r="P72" s="104">
        <f t="shared" si="5"/>
        <v>0</v>
      </c>
      <c r="Q72" s="99"/>
      <c r="R72" s="99">
        <f>HomeHeatDemand!I66-HP_Power!N72</f>
        <v>0</v>
      </c>
    </row>
    <row r="73" spans="1:18" x14ac:dyDescent="0.2">
      <c r="A73" s="17">
        <v>58</v>
      </c>
      <c r="B73" s="55">
        <f>HomeHeatDemand!F67/$B$13</f>
        <v>0</v>
      </c>
      <c r="C73" s="55">
        <f>HomeHeatDemand!G67/$C$13</f>
        <v>0</v>
      </c>
      <c r="D73" s="55">
        <f>HomeHeatDemand!H67/$D$13</f>
        <v>0</v>
      </c>
      <c r="E73" s="55"/>
      <c r="F73" s="110">
        <f>HomeHeatDemand!F67/$F$13</f>
        <v>0</v>
      </c>
      <c r="G73" s="110">
        <f>HomeHeatDemand!G67/$G$13</f>
        <v>0</v>
      </c>
      <c r="H73" s="110">
        <f>HomeHeatDemand!H67/$H$13</f>
        <v>0</v>
      </c>
      <c r="I73" s="110">
        <f>HomeHeatDemand!F67/$I$13</f>
        <v>0</v>
      </c>
      <c r="J73" s="110">
        <f>HomeHeatDemand!G67/$J$13</f>
        <v>0</v>
      </c>
      <c r="K73" s="110">
        <f>HomeHeatDemand!H67/$K$13</f>
        <v>0</v>
      </c>
      <c r="L73" s="110"/>
      <c r="M73" s="110"/>
      <c r="N73" s="104">
        <f t="shared" si="3"/>
        <v>0</v>
      </c>
      <c r="O73" s="104">
        <f t="shared" si="4"/>
        <v>0</v>
      </c>
      <c r="P73" s="104">
        <f t="shared" si="5"/>
        <v>0</v>
      </c>
      <c r="Q73" s="99"/>
      <c r="R73" s="99">
        <f>HomeHeatDemand!I67-HP_Power!N73</f>
        <v>0</v>
      </c>
    </row>
    <row r="74" spans="1:18" x14ac:dyDescent="0.2">
      <c r="A74" s="17">
        <v>59</v>
      </c>
      <c r="B74" s="55">
        <f>HomeHeatDemand!F68/$B$13</f>
        <v>0</v>
      </c>
      <c r="C74" s="55">
        <f>HomeHeatDemand!G68/$C$13</f>
        <v>0</v>
      </c>
      <c r="D74" s="55">
        <f>HomeHeatDemand!H68/$D$13</f>
        <v>0</v>
      </c>
      <c r="E74" s="55"/>
      <c r="F74" s="110">
        <f>HomeHeatDemand!F68/$F$13</f>
        <v>0</v>
      </c>
      <c r="G74" s="110">
        <f>HomeHeatDemand!G68/$G$13</f>
        <v>0</v>
      </c>
      <c r="H74" s="110">
        <f>HomeHeatDemand!H68/$H$13</f>
        <v>0</v>
      </c>
      <c r="I74" s="110">
        <f>HomeHeatDemand!F68/$I$13</f>
        <v>0</v>
      </c>
      <c r="J74" s="110">
        <f>HomeHeatDemand!G68/$J$13</f>
        <v>0</v>
      </c>
      <c r="K74" s="110">
        <f>HomeHeatDemand!H68/$K$13</f>
        <v>0</v>
      </c>
      <c r="L74" s="110"/>
      <c r="M74" s="110"/>
      <c r="N74" s="104">
        <f t="shared" si="3"/>
        <v>0</v>
      </c>
      <c r="O74" s="104">
        <f t="shared" si="4"/>
        <v>0</v>
      </c>
      <c r="P74" s="104">
        <f t="shared" si="5"/>
        <v>0</v>
      </c>
      <c r="Q74" s="99"/>
      <c r="R74" s="99">
        <f>HomeHeatDemand!I68-HP_Power!N74</f>
        <v>0</v>
      </c>
    </row>
    <row r="75" spans="1:18" x14ac:dyDescent="0.2">
      <c r="A75" s="17">
        <v>60</v>
      </c>
      <c r="B75" s="55">
        <f>HomeHeatDemand!F69/$B$13</f>
        <v>0</v>
      </c>
      <c r="C75" s="55">
        <f>HomeHeatDemand!G69/$C$13</f>
        <v>0</v>
      </c>
      <c r="D75" s="55">
        <f>HomeHeatDemand!H69/$D$13</f>
        <v>0</v>
      </c>
      <c r="E75" s="55"/>
      <c r="F75" s="110">
        <f>HomeHeatDemand!F69/$F$13</f>
        <v>0</v>
      </c>
      <c r="G75" s="110">
        <f>HomeHeatDemand!G69/$G$13</f>
        <v>0</v>
      </c>
      <c r="H75" s="110">
        <f>HomeHeatDemand!H69/$H$13</f>
        <v>0</v>
      </c>
      <c r="I75" s="110">
        <f>HomeHeatDemand!F69/$I$13</f>
        <v>0</v>
      </c>
      <c r="J75" s="110">
        <f>HomeHeatDemand!G69/$J$13</f>
        <v>0</v>
      </c>
      <c r="K75" s="110">
        <f>HomeHeatDemand!H69/$K$13</f>
        <v>0</v>
      </c>
      <c r="L75" s="110"/>
      <c r="M75" s="110"/>
      <c r="N75" s="104">
        <f t="shared" si="3"/>
        <v>0</v>
      </c>
      <c r="O75" s="104">
        <f t="shared" si="4"/>
        <v>0</v>
      </c>
      <c r="P75" s="104">
        <f t="shared" si="5"/>
        <v>0</v>
      </c>
      <c r="Q75" s="99"/>
      <c r="R75" s="99">
        <f>HomeHeatDemand!I69-HP_Power!N75</f>
        <v>0</v>
      </c>
    </row>
    <row r="76" spans="1:18" x14ac:dyDescent="0.2">
      <c r="A76" s="17">
        <v>61</v>
      </c>
      <c r="B76" s="55">
        <f>HomeHeatDemand!F70/$B$13</f>
        <v>0</v>
      </c>
      <c r="C76" s="55">
        <f>HomeHeatDemand!G70/$C$13</f>
        <v>0</v>
      </c>
      <c r="D76" s="55">
        <f>HomeHeatDemand!H70/$D$13</f>
        <v>0</v>
      </c>
      <c r="E76" s="55"/>
      <c r="F76" s="110">
        <f>HomeHeatDemand!F70/$F$13</f>
        <v>0</v>
      </c>
      <c r="G76" s="110">
        <f>HomeHeatDemand!G70/$G$13</f>
        <v>0</v>
      </c>
      <c r="H76" s="110">
        <f>HomeHeatDemand!H70/$H$13</f>
        <v>0</v>
      </c>
      <c r="I76" s="110">
        <f>HomeHeatDemand!F70/$I$13</f>
        <v>0</v>
      </c>
      <c r="J76" s="110">
        <f>HomeHeatDemand!G70/$J$13</f>
        <v>0</v>
      </c>
      <c r="K76" s="110">
        <f>HomeHeatDemand!H70/$K$13</f>
        <v>0</v>
      </c>
      <c r="L76" s="110"/>
      <c r="M76" s="110"/>
      <c r="N76" s="104">
        <f t="shared" si="3"/>
        <v>0</v>
      </c>
      <c r="O76" s="104">
        <f t="shared" si="4"/>
        <v>0</v>
      </c>
      <c r="P76" s="104">
        <f t="shared" si="5"/>
        <v>0</v>
      </c>
      <c r="Q76" s="99"/>
      <c r="R76" s="99">
        <f>HomeHeatDemand!I70-HP_Power!N76</f>
        <v>0</v>
      </c>
    </row>
    <row r="77" spans="1:18" x14ac:dyDescent="0.2">
      <c r="A77" s="17">
        <v>62</v>
      </c>
      <c r="B77" s="55">
        <f>HomeHeatDemand!F71/$B$13</f>
        <v>0</v>
      </c>
      <c r="C77" s="55">
        <f>HomeHeatDemand!G71/$C$13</f>
        <v>0</v>
      </c>
      <c r="D77" s="55">
        <f>HomeHeatDemand!H71/$D$13</f>
        <v>0</v>
      </c>
      <c r="E77" s="55"/>
      <c r="F77" s="110">
        <f>HomeHeatDemand!F71/$F$13</f>
        <v>0</v>
      </c>
      <c r="G77" s="110">
        <f>HomeHeatDemand!G71/$G$13</f>
        <v>0</v>
      </c>
      <c r="H77" s="110">
        <f>HomeHeatDemand!H71/$H$13</f>
        <v>0</v>
      </c>
      <c r="I77" s="110">
        <f>HomeHeatDemand!F71/$I$13</f>
        <v>0</v>
      </c>
      <c r="J77" s="110">
        <f>HomeHeatDemand!G71/$J$13</f>
        <v>0</v>
      </c>
      <c r="K77" s="110">
        <f>HomeHeatDemand!H71/$K$13</f>
        <v>0</v>
      </c>
      <c r="L77" s="110"/>
      <c r="M77" s="110"/>
      <c r="N77" s="104">
        <f t="shared" si="3"/>
        <v>0</v>
      </c>
      <c r="O77" s="104">
        <f t="shared" si="4"/>
        <v>0</v>
      </c>
      <c r="P77" s="104">
        <f t="shared" si="5"/>
        <v>0</v>
      </c>
      <c r="Q77" s="99"/>
      <c r="R77" s="99">
        <f>HomeHeatDemand!I71-HP_Power!N77</f>
        <v>0</v>
      </c>
    </row>
    <row r="78" spans="1:18" x14ac:dyDescent="0.2">
      <c r="A78" s="17">
        <v>63</v>
      </c>
      <c r="B78" s="55">
        <f>HomeHeatDemand!F72/$B$13</f>
        <v>0</v>
      </c>
      <c r="C78" s="55">
        <f>HomeHeatDemand!G72/$C$13</f>
        <v>0</v>
      </c>
      <c r="D78" s="55">
        <f>HomeHeatDemand!H72/$D$13</f>
        <v>0</v>
      </c>
      <c r="E78" s="55"/>
      <c r="F78" s="110">
        <f>HomeHeatDemand!F72/$F$13</f>
        <v>0</v>
      </c>
      <c r="G78" s="110">
        <f>HomeHeatDemand!G72/$G$13</f>
        <v>0</v>
      </c>
      <c r="H78" s="110">
        <f>HomeHeatDemand!H72/$H$13</f>
        <v>0</v>
      </c>
      <c r="I78" s="110">
        <f>HomeHeatDemand!F72/$I$13</f>
        <v>0</v>
      </c>
      <c r="J78" s="110">
        <f>HomeHeatDemand!G72/$J$13</f>
        <v>0</v>
      </c>
      <c r="K78" s="110">
        <f>HomeHeatDemand!H72/$K$13</f>
        <v>0</v>
      </c>
      <c r="L78" s="110"/>
      <c r="M78" s="110"/>
      <c r="N78" s="104">
        <f t="shared" si="3"/>
        <v>0</v>
      </c>
      <c r="O78" s="104">
        <f t="shared" si="4"/>
        <v>0</v>
      </c>
      <c r="P78" s="104">
        <f t="shared" si="5"/>
        <v>0</v>
      </c>
      <c r="Q78" s="99"/>
      <c r="R78" s="99">
        <f>HomeHeatDemand!I72-HP_Power!N78</f>
        <v>0</v>
      </c>
    </row>
    <row r="79" spans="1:18" x14ac:dyDescent="0.2">
      <c r="A79" s="17">
        <v>64</v>
      </c>
      <c r="B79" s="55">
        <f>HomeHeatDemand!F73/$B$13</f>
        <v>0.74636293386083608</v>
      </c>
      <c r="C79" s="55">
        <f>HomeHeatDemand!G73/$C$13</f>
        <v>0.34817321475331586</v>
      </c>
      <c r="D79" s="55">
        <f>HomeHeatDemand!H73/$D$13</f>
        <v>5.4355139759513407E-2</v>
      </c>
      <c r="E79" s="55"/>
      <c r="F79" s="110">
        <f>HomeHeatDemand!F73/$F$13</f>
        <v>0.36139678902735217</v>
      </c>
      <c r="G79" s="110">
        <f>HomeHeatDemand!G73/$G$13</f>
        <v>0.1970245030966869</v>
      </c>
      <c r="H79" s="110">
        <f>HomeHeatDemand!H73/$H$13</f>
        <v>3.471695198804188E-2</v>
      </c>
      <c r="I79" s="110">
        <f>HomeHeatDemand!F73/$I$13</f>
        <v>0.48220077187638283</v>
      </c>
      <c r="J79" s="110">
        <f>HomeHeatDemand!G73/$J$13</f>
        <v>0.26288381733406258</v>
      </c>
      <c r="K79" s="110">
        <f>HomeHeatDemand!H73/$K$13</f>
        <v>4.6321775826741275E-2</v>
      </c>
      <c r="L79" s="110"/>
      <c r="M79" s="110"/>
      <c r="N79" s="104">
        <f t="shared" si="3"/>
        <v>1791.2710412660065</v>
      </c>
      <c r="O79" s="104">
        <f t="shared" si="4"/>
        <v>835.61571540795808</v>
      </c>
      <c r="P79" s="104">
        <f t="shared" si="5"/>
        <v>130.45233542283216</v>
      </c>
      <c r="Q79" s="99"/>
      <c r="R79" s="99">
        <f>HomeHeatDemand!I73-HP_Power!N79</f>
        <v>6448.5757485576241</v>
      </c>
    </row>
    <row r="80" spans="1:18" x14ac:dyDescent="0.2">
      <c r="A80" s="17">
        <v>65</v>
      </c>
      <c r="B80" s="55">
        <f>HomeHeatDemand!F74/$B$13</f>
        <v>0.74636293386083608</v>
      </c>
      <c r="C80" s="55">
        <f>HomeHeatDemand!G74/$C$13</f>
        <v>0.34817321475331586</v>
      </c>
      <c r="D80" s="55">
        <f>HomeHeatDemand!H74/$D$13</f>
        <v>5.4355139759513407E-2</v>
      </c>
      <c r="E80" s="55"/>
      <c r="F80" s="110">
        <f>HomeHeatDemand!F74/$F$13</f>
        <v>0.36139678902735217</v>
      </c>
      <c r="G80" s="110">
        <f>HomeHeatDemand!G74/$G$13</f>
        <v>0.1970245030966869</v>
      </c>
      <c r="H80" s="110">
        <f>HomeHeatDemand!H74/$H$13</f>
        <v>3.471695198804188E-2</v>
      </c>
      <c r="I80" s="110">
        <f>HomeHeatDemand!F74/$I$13</f>
        <v>0.48220077187638283</v>
      </c>
      <c r="J80" s="110">
        <f>HomeHeatDemand!G74/$J$13</f>
        <v>0.26288381733406258</v>
      </c>
      <c r="K80" s="110">
        <f>HomeHeatDemand!H74/$K$13</f>
        <v>4.6321775826741275E-2</v>
      </c>
      <c r="L80" s="110"/>
      <c r="M80" s="110"/>
      <c r="N80" s="104">
        <f t="shared" si="3"/>
        <v>1791.2710412660065</v>
      </c>
      <c r="O80" s="104">
        <f t="shared" si="4"/>
        <v>835.61571540795808</v>
      </c>
      <c r="P80" s="104">
        <f t="shared" si="5"/>
        <v>130.45233542283216</v>
      </c>
      <c r="Q80" s="99"/>
      <c r="R80" s="99">
        <f>HomeHeatDemand!I74-HP_Power!N80</f>
        <v>6448.5757485576241</v>
      </c>
    </row>
    <row r="81" spans="1:18" x14ac:dyDescent="0.2">
      <c r="A81" s="17">
        <v>66</v>
      </c>
      <c r="B81" s="55">
        <f>HomeHeatDemand!F75/$B$13</f>
        <v>0.74636293386083608</v>
      </c>
      <c r="C81" s="55">
        <f>HomeHeatDemand!G75/$C$13</f>
        <v>0.34817321475331586</v>
      </c>
      <c r="D81" s="55">
        <f>HomeHeatDemand!H75/$D$13</f>
        <v>5.4355139759513407E-2</v>
      </c>
      <c r="E81" s="55"/>
      <c r="F81" s="110">
        <f>HomeHeatDemand!F75/$F$13</f>
        <v>0.36139678902735217</v>
      </c>
      <c r="G81" s="110">
        <f>HomeHeatDemand!G75/$G$13</f>
        <v>0.1970245030966869</v>
      </c>
      <c r="H81" s="110">
        <f>HomeHeatDemand!H75/$H$13</f>
        <v>3.471695198804188E-2</v>
      </c>
      <c r="I81" s="110">
        <f>HomeHeatDemand!F75/$I$13</f>
        <v>0.48220077187638283</v>
      </c>
      <c r="J81" s="110">
        <f>HomeHeatDemand!G75/$J$13</f>
        <v>0.26288381733406258</v>
      </c>
      <c r="K81" s="110">
        <f>HomeHeatDemand!H75/$K$13</f>
        <v>4.6321775826741275E-2</v>
      </c>
      <c r="L81" s="110"/>
      <c r="M81" s="110"/>
      <c r="N81" s="104">
        <f t="shared" ref="N81:N144" si="6">B81*$B$6</f>
        <v>1791.2710412660065</v>
      </c>
      <c r="O81" s="104">
        <f t="shared" ref="O81:O144" si="7">C81*$B$6</f>
        <v>835.61571540795808</v>
      </c>
      <c r="P81" s="104">
        <f t="shared" ref="P81:P144" si="8">D81*$B$6</f>
        <v>130.45233542283216</v>
      </c>
      <c r="Q81" s="99"/>
      <c r="R81" s="99">
        <f>HomeHeatDemand!I75-HP_Power!N81</f>
        <v>6448.5757485576241</v>
      </c>
    </row>
    <row r="82" spans="1:18" x14ac:dyDescent="0.2">
      <c r="A82" s="17">
        <v>67</v>
      </c>
      <c r="B82" s="55">
        <f>HomeHeatDemand!F76/$B$13</f>
        <v>0.74636293386083608</v>
      </c>
      <c r="C82" s="55">
        <f>HomeHeatDemand!G76/$C$13</f>
        <v>0.34817321475331586</v>
      </c>
      <c r="D82" s="55">
        <f>HomeHeatDemand!H76/$D$13</f>
        <v>5.4355139759513407E-2</v>
      </c>
      <c r="E82" s="55"/>
      <c r="F82" s="110">
        <f>HomeHeatDemand!F76/$F$13</f>
        <v>0.36139678902735217</v>
      </c>
      <c r="G82" s="110">
        <f>HomeHeatDemand!G76/$G$13</f>
        <v>0.1970245030966869</v>
      </c>
      <c r="H82" s="110">
        <f>HomeHeatDemand!H76/$H$13</f>
        <v>3.471695198804188E-2</v>
      </c>
      <c r="I82" s="110">
        <f>HomeHeatDemand!F76/$I$13</f>
        <v>0.48220077187638283</v>
      </c>
      <c r="J82" s="110">
        <f>HomeHeatDemand!G76/$J$13</f>
        <v>0.26288381733406258</v>
      </c>
      <c r="K82" s="110">
        <f>HomeHeatDemand!H76/$K$13</f>
        <v>4.6321775826741275E-2</v>
      </c>
      <c r="L82" s="110"/>
      <c r="M82" s="110"/>
      <c r="N82" s="104">
        <f t="shared" si="6"/>
        <v>1791.2710412660065</v>
      </c>
      <c r="O82" s="104">
        <f t="shared" si="7"/>
        <v>835.61571540795808</v>
      </c>
      <c r="P82" s="104">
        <f t="shared" si="8"/>
        <v>130.45233542283216</v>
      </c>
      <c r="Q82" s="99"/>
      <c r="R82" s="99">
        <f>HomeHeatDemand!I76-HP_Power!N82</f>
        <v>6448.5757485576241</v>
      </c>
    </row>
    <row r="83" spans="1:18" x14ac:dyDescent="0.2">
      <c r="A83" s="17">
        <v>68</v>
      </c>
      <c r="B83" s="55">
        <f>HomeHeatDemand!F77/$B$13</f>
        <v>0.74636293386083608</v>
      </c>
      <c r="C83" s="55">
        <f>HomeHeatDemand!G77/$C$13</f>
        <v>0.34817321475331586</v>
      </c>
      <c r="D83" s="55">
        <f>HomeHeatDemand!H77/$D$13</f>
        <v>5.4355139759513407E-2</v>
      </c>
      <c r="E83" s="55"/>
      <c r="F83" s="110">
        <f>HomeHeatDemand!F77/$F$13</f>
        <v>0.36139678902735217</v>
      </c>
      <c r="G83" s="110">
        <f>HomeHeatDemand!G77/$G$13</f>
        <v>0.1970245030966869</v>
      </c>
      <c r="H83" s="110">
        <f>HomeHeatDemand!H77/$H$13</f>
        <v>3.471695198804188E-2</v>
      </c>
      <c r="I83" s="110">
        <f>HomeHeatDemand!F77/$I$13</f>
        <v>0.48220077187638283</v>
      </c>
      <c r="J83" s="110">
        <f>HomeHeatDemand!G77/$J$13</f>
        <v>0.26288381733406258</v>
      </c>
      <c r="K83" s="110">
        <f>HomeHeatDemand!H77/$K$13</f>
        <v>4.6321775826741275E-2</v>
      </c>
      <c r="L83" s="110"/>
      <c r="M83" s="110"/>
      <c r="N83" s="104">
        <f t="shared" si="6"/>
        <v>1791.2710412660065</v>
      </c>
      <c r="O83" s="104">
        <f t="shared" si="7"/>
        <v>835.61571540795808</v>
      </c>
      <c r="P83" s="104">
        <f t="shared" si="8"/>
        <v>130.45233542283216</v>
      </c>
      <c r="Q83" s="99"/>
      <c r="R83" s="99">
        <f>HomeHeatDemand!I77-HP_Power!N83</f>
        <v>6448.5757485576241</v>
      </c>
    </row>
    <row r="84" spans="1:18" x14ac:dyDescent="0.2">
      <c r="A84" s="17">
        <v>69</v>
      </c>
      <c r="B84" s="55">
        <f>HomeHeatDemand!F78/$B$13</f>
        <v>0.74636293386083608</v>
      </c>
      <c r="C84" s="55">
        <f>HomeHeatDemand!G78/$C$13</f>
        <v>0.34817321475331586</v>
      </c>
      <c r="D84" s="55">
        <f>HomeHeatDemand!H78/$D$13</f>
        <v>5.4355139759513407E-2</v>
      </c>
      <c r="E84" s="55"/>
      <c r="F84" s="110">
        <f>HomeHeatDemand!F78/$F$13</f>
        <v>0.36139678902735217</v>
      </c>
      <c r="G84" s="110">
        <f>HomeHeatDemand!G78/$G$13</f>
        <v>0.1970245030966869</v>
      </c>
      <c r="H84" s="110">
        <f>HomeHeatDemand!H78/$H$13</f>
        <v>3.471695198804188E-2</v>
      </c>
      <c r="I84" s="110">
        <f>HomeHeatDemand!F78/$I$13</f>
        <v>0.48220077187638283</v>
      </c>
      <c r="J84" s="110">
        <f>HomeHeatDemand!G78/$J$13</f>
        <v>0.26288381733406258</v>
      </c>
      <c r="K84" s="110">
        <f>HomeHeatDemand!H78/$K$13</f>
        <v>4.6321775826741275E-2</v>
      </c>
      <c r="L84" s="110"/>
      <c r="M84" s="110"/>
      <c r="N84" s="104">
        <f t="shared" si="6"/>
        <v>1791.2710412660065</v>
      </c>
      <c r="O84" s="104">
        <f t="shared" si="7"/>
        <v>835.61571540795808</v>
      </c>
      <c r="P84" s="104">
        <f t="shared" si="8"/>
        <v>130.45233542283216</v>
      </c>
      <c r="Q84" s="99"/>
      <c r="R84" s="99">
        <f>HomeHeatDemand!I78-HP_Power!N84</f>
        <v>6448.5757485576241</v>
      </c>
    </row>
    <row r="85" spans="1:18" x14ac:dyDescent="0.2">
      <c r="A85" s="17">
        <v>70</v>
      </c>
      <c r="B85" s="55">
        <f>HomeHeatDemand!F79/$B$13</f>
        <v>0.74636293386083608</v>
      </c>
      <c r="C85" s="55">
        <f>HomeHeatDemand!G79/$C$13</f>
        <v>0.34817321475331586</v>
      </c>
      <c r="D85" s="55">
        <f>HomeHeatDemand!H79/$D$13</f>
        <v>5.4355139759513407E-2</v>
      </c>
      <c r="E85" s="55"/>
      <c r="F85" s="110">
        <f>HomeHeatDemand!F79/$F$13</f>
        <v>0.36139678902735217</v>
      </c>
      <c r="G85" s="110">
        <f>HomeHeatDemand!G79/$G$13</f>
        <v>0.1970245030966869</v>
      </c>
      <c r="H85" s="110">
        <f>HomeHeatDemand!H79/$H$13</f>
        <v>3.471695198804188E-2</v>
      </c>
      <c r="I85" s="110">
        <f>HomeHeatDemand!F79/$I$13</f>
        <v>0.48220077187638283</v>
      </c>
      <c r="J85" s="110">
        <f>HomeHeatDemand!G79/$J$13</f>
        <v>0.26288381733406258</v>
      </c>
      <c r="K85" s="110">
        <f>HomeHeatDemand!H79/$K$13</f>
        <v>4.6321775826741275E-2</v>
      </c>
      <c r="L85" s="110"/>
      <c r="M85" s="110"/>
      <c r="N85" s="104">
        <f t="shared" si="6"/>
        <v>1791.2710412660065</v>
      </c>
      <c r="O85" s="104">
        <f t="shared" si="7"/>
        <v>835.61571540795808</v>
      </c>
      <c r="P85" s="104">
        <f t="shared" si="8"/>
        <v>130.45233542283216</v>
      </c>
      <c r="Q85" s="99"/>
      <c r="R85" s="99">
        <f>HomeHeatDemand!I79-HP_Power!N85</f>
        <v>6448.5757485576241</v>
      </c>
    </row>
    <row r="86" spans="1:18" x14ac:dyDescent="0.2">
      <c r="A86" s="17">
        <v>71</v>
      </c>
      <c r="B86" s="55">
        <f>HomeHeatDemand!F80/$B$13</f>
        <v>0</v>
      </c>
      <c r="C86" s="55">
        <f>HomeHeatDemand!G80/$C$13</f>
        <v>0</v>
      </c>
      <c r="D86" s="55">
        <f>HomeHeatDemand!H80/$D$13</f>
        <v>0</v>
      </c>
      <c r="E86" s="55"/>
      <c r="F86" s="110">
        <f>HomeHeatDemand!F80/$F$13</f>
        <v>0</v>
      </c>
      <c r="G86" s="110">
        <f>HomeHeatDemand!G80/$G$13</f>
        <v>0</v>
      </c>
      <c r="H86" s="110">
        <f>HomeHeatDemand!H80/$H$13</f>
        <v>0</v>
      </c>
      <c r="I86" s="110">
        <f>HomeHeatDemand!F80/$I$13</f>
        <v>0</v>
      </c>
      <c r="J86" s="110">
        <f>HomeHeatDemand!G80/$J$13</f>
        <v>0</v>
      </c>
      <c r="K86" s="110">
        <f>HomeHeatDemand!H80/$K$13</f>
        <v>0</v>
      </c>
      <c r="L86" s="110"/>
      <c r="M86" s="110"/>
      <c r="N86" s="104">
        <f t="shared" si="6"/>
        <v>0</v>
      </c>
      <c r="O86" s="104">
        <f t="shared" si="7"/>
        <v>0</v>
      </c>
      <c r="P86" s="104">
        <f t="shared" si="8"/>
        <v>0</v>
      </c>
      <c r="Q86" s="99"/>
      <c r="R86" s="99">
        <f>HomeHeatDemand!I80-HP_Power!N86</f>
        <v>0</v>
      </c>
    </row>
    <row r="87" spans="1:18" x14ac:dyDescent="0.2">
      <c r="A87" s="17">
        <v>72</v>
      </c>
      <c r="B87" s="55">
        <f>HomeHeatDemand!F81/$B$13</f>
        <v>0</v>
      </c>
      <c r="C87" s="55">
        <f>HomeHeatDemand!G81/$C$13</f>
        <v>0</v>
      </c>
      <c r="D87" s="55">
        <f>HomeHeatDemand!H81/$D$13</f>
        <v>0</v>
      </c>
      <c r="E87" s="55"/>
      <c r="F87" s="110">
        <f>HomeHeatDemand!F81/$F$13</f>
        <v>0</v>
      </c>
      <c r="G87" s="110">
        <f>HomeHeatDemand!G81/$G$13</f>
        <v>0</v>
      </c>
      <c r="H87" s="110">
        <f>HomeHeatDemand!H81/$H$13</f>
        <v>0</v>
      </c>
      <c r="I87" s="110">
        <f>HomeHeatDemand!F81/$I$13</f>
        <v>0</v>
      </c>
      <c r="J87" s="110">
        <f>HomeHeatDemand!G81/$J$13</f>
        <v>0</v>
      </c>
      <c r="K87" s="110">
        <f>HomeHeatDemand!H81/$K$13</f>
        <v>0</v>
      </c>
      <c r="L87" s="110"/>
      <c r="M87" s="110"/>
      <c r="N87" s="104">
        <f t="shared" si="6"/>
        <v>0</v>
      </c>
      <c r="O87" s="104">
        <f t="shared" si="7"/>
        <v>0</v>
      </c>
      <c r="P87" s="104">
        <f t="shared" si="8"/>
        <v>0</v>
      </c>
      <c r="Q87" s="99"/>
      <c r="R87" s="99">
        <f>HomeHeatDemand!I81-HP_Power!N87</f>
        <v>0</v>
      </c>
    </row>
    <row r="88" spans="1:18" x14ac:dyDescent="0.2">
      <c r="A88" s="17">
        <v>73</v>
      </c>
      <c r="B88" s="55">
        <f>HomeHeatDemand!F82/$B$13</f>
        <v>0</v>
      </c>
      <c r="C88" s="55">
        <f>HomeHeatDemand!G82/$C$13</f>
        <v>0</v>
      </c>
      <c r="D88" s="55">
        <f>HomeHeatDemand!H82/$D$13</f>
        <v>0</v>
      </c>
      <c r="E88" s="55"/>
      <c r="F88" s="110">
        <f>HomeHeatDemand!F82/$F$13</f>
        <v>0</v>
      </c>
      <c r="G88" s="110">
        <f>HomeHeatDemand!G82/$G$13</f>
        <v>0</v>
      </c>
      <c r="H88" s="110">
        <f>HomeHeatDemand!H82/$H$13</f>
        <v>0</v>
      </c>
      <c r="I88" s="110">
        <f>HomeHeatDemand!F82/$I$13</f>
        <v>0</v>
      </c>
      <c r="J88" s="110">
        <f>HomeHeatDemand!G82/$J$13</f>
        <v>0</v>
      </c>
      <c r="K88" s="110">
        <f>HomeHeatDemand!H82/$K$13</f>
        <v>0</v>
      </c>
      <c r="L88" s="110"/>
      <c r="M88" s="110"/>
      <c r="N88" s="104">
        <f t="shared" si="6"/>
        <v>0</v>
      </c>
      <c r="O88" s="104">
        <f t="shared" si="7"/>
        <v>0</v>
      </c>
      <c r="P88" s="104">
        <f t="shared" si="8"/>
        <v>0</v>
      </c>
      <c r="Q88" s="99"/>
      <c r="R88" s="99">
        <f>HomeHeatDemand!I82-HP_Power!N88</f>
        <v>0</v>
      </c>
    </row>
    <row r="89" spans="1:18" x14ac:dyDescent="0.2">
      <c r="A89" s="17">
        <v>74</v>
      </c>
      <c r="B89" s="55">
        <f>HomeHeatDemand!F83/$B$13</f>
        <v>0</v>
      </c>
      <c r="C89" s="55">
        <f>HomeHeatDemand!G83/$C$13</f>
        <v>0</v>
      </c>
      <c r="D89" s="55">
        <f>HomeHeatDemand!H83/$D$13</f>
        <v>0</v>
      </c>
      <c r="E89" s="55"/>
      <c r="F89" s="110">
        <f>HomeHeatDemand!F83/$F$13</f>
        <v>0</v>
      </c>
      <c r="G89" s="110">
        <f>HomeHeatDemand!G83/$G$13</f>
        <v>0</v>
      </c>
      <c r="H89" s="110">
        <f>HomeHeatDemand!H83/$H$13</f>
        <v>0</v>
      </c>
      <c r="I89" s="110">
        <f>HomeHeatDemand!F83/$I$13</f>
        <v>0</v>
      </c>
      <c r="J89" s="110">
        <f>HomeHeatDemand!G83/$J$13</f>
        <v>0</v>
      </c>
      <c r="K89" s="110">
        <f>HomeHeatDemand!H83/$K$13</f>
        <v>0</v>
      </c>
      <c r="L89" s="110"/>
      <c r="M89" s="110"/>
      <c r="N89" s="104">
        <f t="shared" si="6"/>
        <v>0</v>
      </c>
      <c r="O89" s="104">
        <f t="shared" si="7"/>
        <v>0</v>
      </c>
      <c r="P89" s="104">
        <f t="shared" si="8"/>
        <v>0</v>
      </c>
      <c r="Q89" s="99"/>
      <c r="R89" s="99">
        <f>HomeHeatDemand!I83-HP_Power!N89</f>
        <v>0</v>
      </c>
    </row>
    <row r="90" spans="1:18" x14ac:dyDescent="0.2">
      <c r="A90" s="17">
        <v>75</v>
      </c>
      <c r="B90" s="55">
        <f>HomeHeatDemand!F84/$B$13</f>
        <v>0</v>
      </c>
      <c r="C90" s="55">
        <f>HomeHeatDemand!G84/$C$13</f>
        <v>0</v>
      </c>
      <c r="D90" s="55">
        <f>HomeHeatDemand!H84/$D$13</f>
        <v>0</v>
      </c>
      <c r="E90" s="55"/>
      <c r="F90" s="110">
        <f>HomeHeatDemand!F84/$F$13</f>
        <v>0</v>
      </c>
      <c r="G90" s="110">
        <f>HomeHeatDemand!G84/$G$13</f>
        <v>0</v>
      </c>
      <c r="H90" s="110">
        <f>HomeHeatDemand!H84/$H$13</f>
        <v>0</v>
      </c>
      <c r="I90" s="110">
        <f>HomeHeatDemand!F84/$I$13</f>
        <v>0</v>
      </c>
      <c r="J90" s="110">
        <f>HomeHeatDemand!G84/$J$13</f>
        <v>0</v>
      </c>
      <c r="K90" s="110">
        <f>HomeHeatDemand!H84/$K$13</f>
        <v>0</v>
      </c>
      <c r="L90" s="110"/>
      <c r="M90" s="110"/>
      <c r="N90" s="104">
        <f t="shared" si="6"/>
        <v>0</v>
      </c>
      <c r="O90" s="104">
        <f t="shared" si="7"/>
        <v>0</v>
      </c>
      <c r="P90" s="104">
        <f t="shared" si="8"/>
        <v>0</v>
      </c>
      <c r="Q90" s="99"/>
      <c r="R90" s="99">
        <f>HomeHeatDemand!I84-HP_Power!N90</f>
        <v>0</v>
      </c>
    </row>
    <row r="91" spans="1:18" x14ac:dyDescent="0.2">
      <c r="A91" s="17">
        <v>76</v>
      </c>
      <c r="B91" s="55">
        <f>HomeHeatDemand!F85/$B$13</f>
        <v>0</v>
      </c>
      <c r="C91" s="55">
        <f>HomeHeatDemand!G85/$C$13</f>
        <v>0</v>
      </c>
      <c r="D91" s="55">
        <f>HomeHeatDemand!H85/$D$13</f>
        <v>0</v>
      </c>
      <c r="E91" s="55"/>
      <c r="F91" s="110">
        <f>HomeHeatDemand!F85/$F$13</f>
        <v>0</v>
      </c>
      <c r="G91" s="110">
        <f>HomeHeatDemand!G85/$G$13</f>
        <v>0</v>
      </c>
      <c r="H91" s="110">
        <f>HomeHeatDemand!H85/$H$13</f>
        <v>0</v>
      </c>
      <c r="I91" s="110">
        <f>HomeHeatDemand!F85/$I$13</f>
        <v>0</v>
      </c>
      <c r="J91" s="110">
        <f>HomeHeatDemand!G85/$J$13</f>
        <v>0</v>
      </c>
      <c r="K91" s="110">
        <f>HomeHeatDemand!H85/$K$13</f>
        <v>0</v>
      </c>
      <c r="L91" s="110"/>
      <c r="M91" s="110"/>
      <c r="N91" s="104">
        <f t="shared" si="6"/>
        <v>0</v>
      </c>
      <c r="O91" s="104">
        <f t="shared" si="7"/>
        <v>0</v>
      </c>
      <c r="P91" s="104">
        <f t="shared" si="8"/>
        <v>0</v>
      </c>
      <c r="Q91" s="99"/>
      <c r="R91" s="99">
        <f>HomeHeatDemand!I85-HP_Power!N91</f>
        <v>0</v>
      </c>
    </row>
    <row r="92" spans="1:18" x14ac:dyDescent="0.2">
      <c r="A92" s="17">
        <v>77</v>
      </c>
      <c r="B92" s="55">
        <f>HomeHeatDemand!F86/$B$13</f>
        <v>0</v>
      </c>
      <c r="C92" s="55">
        <f>HomeHeatDemand!G86/$C$13</f>
        <v>0</v>
      </c>
      <c r="D92" s="55">
        <f>HomeHeatDemand!H86/$D$13</f>
        <v>0</v>
      </c>
      <c r="E92" s="55"/>
      <c r="F92" s="110">
        <f>HomeHeatDemand!F86/$F$13</f>
        <v>0</v>
      </c>
      <c r="G92" s="110">
        <f>HomeHeatDemand!G86/$G$13</f>
        <v>0</v>
      </c>
      <c r="H92" s="110">
        <f>HomeHeatDemand!H86/$H$13</f>
        <v>0</v>
      </c>
      <c r="I92" s="110">
        <f>HomeHeatDemand!F86/$I$13</f>
        <v>0</v>
      </c>
      <c r="J92" s="110">
        <f>HomeHeatDemand!G86/$J$13</f>
        <v>0</v>
      </c>
      <c r="K92" s="110">
        <f>HomeHeatDemand!H86/$K$13</f>
        <v>0</v>
      </c>
      <c r="L92" s="110"/>
      <c r="M92" s="110"/>
      <c r="N92" s="104">
        <f t="shared" si="6"/>
        <v>0</v>
      </c>
      <c r="O92" s="104">
        <f t="shared" si="7"/>
        <v>0</v>
      </c>
      <c r="P92" s="104">
        <f t="shared" si="8"/>
        <v>0</v>
      </c>
      <c r="Q92" s="99"/>
      <c r="R92" s="99">
        <f>HomeHeatDemand!I86-HP_Power!N92</f>
        <v>0</v>
      </c>
    </row>
    <row r="93" spans="1:18" x14ac:dyDescent="0.2">
      <c r="A93" s="17">
        <v>78</v>
      </c>
      <c r="B93" s="55">
        <f>HomeHeatDemand!F87/$B$13</f>
        <v>0</v>
      </c>
      <c r="C93" s="55">
        <f>HomeHeatDemand!G87/$C$13</f>
        <v>0</v>
      </c>
      <c r="D93" s="55">
        <f>HomeHeatDemand!H87/$D$13</f>
        <v>0</v>
      </c>
      <c r="E93" s="55"/>
      <c r="F93" s="110">
        <f>HomeHeatDemand!F87/$F$13</f>
        <v>0</v>
      </c>
      <c r="G93" s="110">
        <f>HomeHeatDemand!G87/$G$13</f>
        <v>0</v>
      </c>
      <c r="H93" s="110">
        <f>HomeHeatDemand!H87/$H$13</f>
        <v>0</v>
      </c>
      <c r="I93" s="110">
        <f>HomeHeatDemand!F87/$I$13</f>
        <v>0</v>
      </c>
      <c r="J93" s="110">
        <f>HomeHeatDemand!G87/$J$13</f>
        <v>0</v>
      </c>
      <c r="K93" s="110">
        <f>HomeHeatDemand!H87/$K$13</f>
        <v>0</v>
      </c>
      <c r="L93" s="110"/>
      <c r="M93" s="110"/>
      <c r="N93" s="104">
        <f t="shared" si="6"/>
        <v>0</v>
      </c>
      <c r="O93" s="104">
        <f t="shared" si="7"/>
        <v>0</v>
      </c>
      <c r="P93" s="104">
        <f t="shared" si="8"/>
        <v>0</v>
      </c>
      <c r="Q93" s="99"/>
      <c r="R93" s="99">
        <f>HomeHeatDemand!I87-HP_Power!N93</f>
        <v>0</v>
      </c>
    </row>
    <row r="94" spans="1:18" x14ac:dyDescent="0.2">
      <c r="A94" s="17">
        <v>79</v>
      </c>
      <c r="B94" s="55">
        <f>HomeHeatDemand!F88/$B$13</f>
        <v>0.74636293386083608</v>
      </c>
      <c r="C94" s="55">
        <f>HomeHeatDemand!G88/$C$13</f>
        <v>0.34817321475331586</v>
      </c>
      <c r="D94" s="55">
        <f>HomeHeatDemand!H88/$D$13</f>
        <v>5.4355139759513407E-2</v>
      </c>
      <c r="E94" s="55"/>
      <c r="F94" s="110">
        <f>HomeHeatDemand!F88/$F$13</f>
        <v>0.36139678902735217</v>
      </c>
      <c r="G94" s="110">
        <f>HomeHeatDemand!G88/$G$13</f>
        <v>0.1970245030966869</v>
      </c>
      <c r="H94" s="110">
        <f>HomeHeatDemand!H88/$H$13</f>
        <v>3.471695198804188E-2</v>
      </c>
      <c r="I94" s="110">
        <f>HomeHeatDemand!F88/$I$13</f>
        <v>0.48220077187638283</v>
      </c>
      <c r="J94" s="110">
        <f>HomeHeatDemand!G88/$J$13</f>
        <v>0.26288381733406258</v>
      </c>
      <c r="K94" s="110">
        <f>HomeHeatDemand!H88/$K$13</f>
        <v>4.6321775826741275E-2</v>
      </c>
      <c r="L94" s="110"/>
      <c r="M94" s="110"/>
      <c r="N94" s="104">
        <f t="shared" si="6"/>
        <v>1791.2710412660065</v>
      </c>
      <c r="O94" s="104">
        <f t="shared" si="7"/>
        <v>835.61571540795808</v>
      </c>
      <c r="P94" s="104">
        <f t="shared" si="8"/>
        <v>130.45233542283216</v>
      </c>
      <c r="Q94" s="99"/>
      <c r="R94" s="99">
        <f>HomeHeatDemand!I88-HP_Power!N94</f>
        <v>6448.5757485576241</v>
      </c>
    </row>
    <row r="95" spans="1:18" x14ac:dyDescent="0.2">
      <c r="A95" s="17">
        <v>80</v>
      </c>
      <c r="B95" s="55">
        <f>HomeHeatDemand!F89/$B$13</f>
        <v>0.74636293386083608</v>
      </c>
      <c r="C95" s="55">
        <f>HomeHeatDemand!G89/$C$13</f>
        <v>0.34817321475331586</v>
      </c>
      <c r="D95" s="55">
        <f>HomeHeatDemand!H89/$D$13</f>
        <v>5.4355139759513407E-2</v>
      </c>
      <c r="E95" s="55"/>
      <c r="F95" s="110">
        <f>HomeHeatDemand!F89/$F$13</f>
        <v>0.36139678902735217</v>
      </c>
      <c r="G95" s="110">
        <f>HomeHeatDemand!G89/$G$13</f>
        <v>0.1970245030966869</v>
      </c>
      <c r="H95" s="110">
        <f>HomeHeatDemand!H89/$H$13</f>
        <v>3.471695198804188E-2</v>
      </c>
      <c r="I95" s="110">
        <f>HomeHeatDemand!F89/$I$13</f>
        <v>0.48220077187638283</v>
      </c>
      <c r="J95" s="110">
        <f>HomeHeatDemand!G89/$J$13</f>
        <v>0.26288381733406258</v>
      </c>
      <c r="K95" s="110">
        <f>HomeHeatDemand!H89/$K$13</f>
        <v>4.6321775826741275E-2</v>
      </c>
      <c r="L95" s="110"/>
      <c r="M95" s="110"/>
      <c r="N95" s="104">
        <f t="shared" si="6"/>
        <v>1791.2710412660065</v>
      </c>
      <c r="O95" s="104">
        <f t="shared" si="7"/>
        <v>835.61571540795808</v>
      </c>
      <c r="P95" s="104">
        <f t="shared" si="8"/>
        <v>130.45233542283216</v>
      </c>
      <c r="Q95" s="99"/>
      <c r="R95" s="99">
        <f>HomeHeatDemand!I89-HP_Power!N95</f>
        <v>6448.5757485576241</v>
      </c>
    </row>
    <row r="96" spans="1:18" x14ac:dyDescent="0.2">
      <c r="A96" s="17">
        <v>81</v>
      </c>
      <c r="B96" s="55">
        <f>HomeHeatDemand!F90/$B$13</f>
        <v>0.74636293386083608</v>
      </c>
      <c r="C96" s="55">
        <f>HomeHeatDemand!G90/$C$13</f>
        <v>0.34817321475331586</v>
      </c>
      <c r="D96" s="55">
        <f>HomeHeatDemand!H90/$D$13</f>
        <v>5.4355139759513407E-2</v>
      </c>
      <c r="E96" s="55"/>
      <c r="F96" s="110">
        <f>HomeHeatDemand!F90/$F$13</f>
        <v>0.36139678902735217</v>
      </c>
      <c r="G96" s="110">
        <f>HomeHeatDemand!G90/$G$13</f>
        <v>0.1970245030966869</v>
      </c>
      <c r="H96" s="110">
        <f>HomeHeatDemand!H90/$H$13</f>
        <v>3.471695198804188E-2</v>
      </c>
      <c r="I96" s="110">
        <f>HomeHeatDemand!F90/$I$13</f>
        <v>0.48220077187638283</v>
      </c>
      <c r="J96" s="110">
        <f>HomeHeatDemand!G90/$J$13</f>
        <v>0.26288381733406258</v>
      </c>
      <c r="K96" s="110">
        <f>HomeHeatDemand!H90/$K$13</f>
        <v>4.6321775826741275E-2</v>
      </c>
      <c r="L96" s="110"/>
      <c r="M96" s="110"/>
      <c r="N96" s="104">
        <f t="shared" si="6"/>
        <v>1791.2710412660065</v>
      </c>
      <c r="O96" s="104">
        <f t="shared" si="7"/>
        <v>835.61571540795808</v>
      </c>
      <c r="P96" s="104">
        <f t="shared" si="8"/>
        <v>130.45233542283216</v>
      </c>
      <c r="Q96" s="99"/>
      <c r="R96" s="99">
        <f>HomeHeatDemand!I90-HP_Power!N96</f>
        <v>6448.5757485576241</v>
      </c>
    </row>
    <row r="97" spans="1:18" x14ac:dyDescent="0.2">
      <c r="A97" s="17">
        <v>82</v>
      </c>
      <c r="B97" s="55">
        <f>HomeHeatDemand!F91/$B$13</f>
        <v>0.74636293386083608</v>
      </c>
      <c r="C97" s="55">
        <f>HomeHeatDemand!G91/$C$13</f>
        <v>0.34817321475331586</v>
      </c>
      <c r="D97" s="55">
        <f>HomeHeatDemand!H91/$D$13</f>
        <v>5.4355139759513407E-2</v>
      </c>
      <c r="E97" s="55"/>
      <c r="F97" s="110">
        <f>HomeHeatDemand!F91/$F$13</f>
        <v>0.36139678902735217</v>
      </c>
      <c r="G97" s="110">
        <f>HomeHeatDemand!G91/$G$13</f>
        <v>0.1970245030966869</v>
      </c>
      <c r="H97" s="110">
        <f>HomeHeatDemand!H91/$H$13</f>
        <v>3.471695198804188E-2</v>
      </c>
      <c r="I97" s="110">
        <f>HomeHeatDemand!F91/$I$13</f>
        <v>0.48220077187638283</v>
      </c>
      <c r="J97" s="110">
        <f>HomeHeatDemand!G91/$J$13</f>
        <v>0.26288381733406258</v>
      </c>
      <c r="K97" s="110">
        <f>HomeHeatDemand!H91/$K$13</f>
        <v>4.6321775826741275E-2</v>
      </c>
      <c r="L97" s="110"/>
      <c r="M97" s="110"/>
      <c r="N97" s="104">
        <f t="shared" si="6"/>
        <v>1791.2710412660065</v>
      </c>
      <c r="O97" s="104">
        <f t="shared" si="7"/>
        <v>835.61571540795808</v>
      </c>
      <c r="P97" s="104">
        <f t="shared" si="8"/>
        <v>130.45233542283216</v>
      </c>
      <c r="Q97" s="99"/>
      <c r="R97" s="99">
        <f>HomeHeatDemand!I91-HP_Power!N97</f>
        <v>6448.5757485576241</v>
      </c>
    </row>
    <row r="98" spans="1:18" x14ac:dyDescent="0.2">
      <c r="A98" s="17">
        <v>83</v>
      </c>
      <c r="B98" s="55">
        <f>HomeHeatDemand!F92/$B$13</f>
        <v>0.74636293386083608</v>
      </c>
      <c r="C98" s="55">
        <f>HomeHeatDemand!G92/$C$13</f>
        <v>0.34817321475331586</v>
      </c>
      <c r="D98" s="55">
        <f>HomeHeatDemand!H92/$D$13</f>
        <v>5.4355139759513407E-2</v>
      </c>
      <c r="E98" s="55"/>
      <c r="F98" s="110">
        <f>HomeHeatDemand!F92/$F$13</f>
        <v>0.36139678902735217</v>
      </c>
      <c r="G98" s="110">
        <f>HomeHeatDemand!G92/$G$13</f>
        <v>0.1970245030966869</v>
      </c>
      <c r="H98" s="110">
        <f>HomeHeatDemand!H92/$H$13</f>
        <v>3.471695198804188E-2</v>
      </c>
      <c r="I98" s="110">
        <f>HomeHeatDemand!F92/$I$13</f>
        <v>0.48220077187638283</v>
      </c>
      <c r="J98" s="110">
        <f>HomeHeatDemand!G92/$J$13</f>
        <v>0.26288381733406258</v>
      </c>
      <c r="K98" s="110">
        <f>HomeHeatDemand!H92/$K$13</f>
        <v>4.6321775826741275E-2</v>
      </c>
      <c r="L98" s="110"/>
      <c r="M98" s="110"/>
      <c r="N98" s="104">
        <f t="shared" si="6"/>
        <v>1791.2710412660065</v>
      </c>
      <c r="O98" s="104">
        <f t="shared" si="7"/>
        <v>835.61571540795808</v>
      </c>
      <c r="P98" s="104">
        <f t="shared" si="8"/>
        <v>130.45233542283216</v>
      </c>
      <c r="Q98" s="99"/>
      <c r="R98" s="99">
        <f>HomeHeatDemand!I92-HP_Power!N98</f>
        <v>6448.5757485576241</v>
      </c>
    </row>
    <row r="99" spans="1:18" x14ac:dyDescent="0.2">
      <c r="A99" s="17">
        <v>84</v>
      </c>
      <c r="B99" s="55">
        <f>HomeHeatDemand!F93/$B$13</f>
        <v>0.74636293386083608</v>
      </c>
      <c r="C99" s="55">
        <f>HomeHeatDemand!G93/$C$13</f>
        <v>0.34817321475331586</v>
      </c>
      <c r="D99" s="55">
        <f>HomeHeatDemand!H93/$D$13</f>
        <v>5.4355139759513407E-2</v>
      </c>
      <c r="E99" s="55"/>
      <c r="F99" s="110">
        <f>HomeHeatDemand!F93/$F$13</f>
        <v>0.36139678902735217</v>
      </c>
      <c r="G99" s="110">
        <f>HomeHeatDemand!G93/$G$13</f>
        <v>0.1970245030966869</v>
      </c>
      <c r="H99" s="110">
        <f>HomeHeatDemand!H93/$H$13</f>
        <v>3.471695198804188E-2</v>
      </c>
      <c r="I99" s="110">
        <f>HomeHeatDemand!F93/$I$13</f>
        <v>0.48220077187638283</v>
      </c>
      <c r="J99" s="110">
        <f>HomeHeatDemand!G93/$J$13</f>
        <v>0.26288381733406258</v>
      </c>
      <c r="K99" s="110">
        <f>HomeHeatDemand!H93/$K$13</f>
        <v>4.6321775826741275E-2</v>
      </c>
      <c r="L99" s="110"/>
      <c r="M99" s="110"/>
      <c r="N99" s="104">
        <f t="shared" si="6"/>
        <v>1791.2710412660065</v>
      </c>
      <c r="O99" s="104">
        <f t="shared" si="7"/>
        <v>835.61571540795808</v>
      </c>
      <c r="P99" s="104">
        <f t="shared" si="8"/>
        <v>130.45233542283216</v>
      </c>
      <c r="Q99" s="99"/>
      <c r="R99" s="99">
        <f>HomeHeatDemand!I93-HP_Power!N99</f>
        <v>6448.5757485576241</v>
      </c>
    </row>
    <row r="100" spans="1:18" x14ac:dyDescent="0.2">
      <c r="A100" s="17">
        <v>85</v>
      </c>
      <c r="B100" s="55">
        <f>HomeHeatDemand!F94/$B$13</f>
        <v>0.74636293386083608</v>
      </c>
      <c r="C100" s="55">
        <f>HomeHeatDemand!G94/$C$13</f>
        <v>0.34817321475331586</v>
      </c>
      <c r="D100" s="55">
        <f>HomeHeatDemand!H94/$D$13</f>
        <v>5.4355139759513407E-2</v>
      </c>
      <c r="E100" s="55"/>
      <c r="F100" s="110">
        <f>HomeHeatDemand!F94/$F$13</f>
        <v>0.36139678902735217</v>
      </c>
      <c r="G100" s="110">
        <f>HomeHeatDemand!G94/$G$13</f>
        <v>0.1970245030966869</v>
      </c>
      <c r="H100" s="110">
        <f>HomeHeatDemand!H94/$H$13</f>
        <v>3.471695198804188E-2</v>
      </c>
      <c r="I100" s="110">
        <f>HomeHeatDemand!F94/$I$13</f>
        <v>0.48220077187638283</v>
      </c>
      <c r="J100" s="110">
        <f>HomeHeatDemand!G94/$J$13</f>
        <v>0.26288381733406258</v>
      </c>
      <c r="K100" s="110">
        <f>HomeHeatDemand!H94/$K$13</f>
        <v>4.6321775826741275E-2</v>
      </c>
      <c r="L100" s="110"/>
      <c r="M100" s="110"/>
      <c r="N100" s="104">
        <f t="shared" si="6"/>
        <v>1791.2710412660065</v>
      </c>
      <c r="O100" s="104">
        <f t="shared" si="7"/>
        <v>835.61571540795808</v>
      </c>
      <c r="P100" s="104">
        <f t="shared" si="8"/>
        <v>130.45233542283216</v>
      </c>
      <c r="Q100" s="99"/>
      <c r="R100" s="99">
        <f>HomeHeatDemand!I94-HP_Power!N100</f>
        <v>6448.5757485576241</v>
      </c>
    </row>
    <row r="101" spans="1:18" x14ac:dyDescent="0.2">
      <c r="A101" s="17">
        <v>86</v>
      </c>
      <c r="B101" s="55">
        <f>HomeHeatDemand!F95/$B$13</f>
        <v>0.74636293386083608</v>
      </c>
      <c r="C101" s="55">
        <f>HomeHeatDemand!G95/$C$13</f>
        <v>0.34817321475331586</v>
      </c>
      <c r="D101" s="55">
        <f>HomeHeatDemand!H95/$D$13</f>
        <v>5.4355139759513407E-2</v>
      </c>
      <c r="E101" s="55"/>
      <c r="F101" s="110">
        <f>HomeHeatDemand!F95/$F$13</f>
        <v>0.36139678902735217</v>
      </c>
      <c r="G101" s="110">
        <f>HomeHeatDemand!G95/$G$13</f>
        <v>0.1970245030966869</v>
      </c>
      <c r="H101" s="110">
        <f>HomeHeatDemand!H95/$H$13</f>
        <v>3.471695198804188E-2</v>
      </c>
      <c r="I101" s="110">
        <f>HomeHeatDemand!F95/$I$13</f>
        <v>0.48220077187638283</v>
      </c>
      <c r="J101" s="110">
        <f>HomeHeatDemand!G95/$J$13</f>
        <v>0.26288381733406258</v>
      </c>
      <c r="K101" s="110">
        <f>HomeHeatDemand!H95/$K$13</f>
        <v>4.6321775826741275E-2</v>
      </c>
      <c r="L101" s="110"/>
      <c r="M101" s="110"/>
      <c r="N101" s="104">
        <f t="shared" si="6"/>
        <v>1791.2710412660065</v>
      </c>
      <c r="O101" s="104">
        <f t="shared" si="7"/>
        <v>835.61571540795808</v>
      </c>
      <c r="P101" s="104">
        <f t="shared" si="8"/>
        <v>130.45233542283216</v>
      </c>
      <c r="Q101" s="99"/>
      <c r="R101" s="99">
        <f>HomeHeatDemand!I95-HP_Power!N101</f>
        <v>6448.5757485576241</v>
      </c>
    </row>
    <row r="102" spans="1:18" x14ac:dyDescent="0.2">
      <c r="A102" s="17">
        <v>87</v>
      </c>
      <c r="B102" s="55">
        <f>HomeHeatDemand!F96/$B$13</f>
        <v>0.74636293386083608</v>
      </c>
      <c r="C102" s="55">
        <f>HomeHeatDemand!G96/$C$13</f>
        <v>0.34817321475331586</v>
      </c>
      <c r="D102" s="55">
        <f>HomeHeatDemand!H96/$D$13</f>
        <v>5.4355139759513407E-2</v>
      </c>
      <c r="E102" s="55"/>
      <c r="F102" s="110">
        <f>HomeHeatDemand!F96/$F$13</f>
        <v>0.36139678902735217</v>
      </c>
      <c r="G102" s="110">
        <f>HomeHeatDemand!G96/$G$13</f>
        <v>0.1970245030966869</v>
      </c>
      <c r="H102" s="110">
        <f>HomeHeatDemand!H96/$H$13</f>
        <v>3.471695198804188E-2</v>
      </c>
      <c r="I102" s="110">
        <f>HomeHeatDemand!F96/$I$13</f>
        <v>0.48220077187638283</v>
      </c>
      <c r="J102" s="110">
        <f>HomeHeatDemand!G96/$J$13</f>
        <v>0.26288381733406258</v>
      </c>
      <c r="K102" s="110">
        <f>HomeHeatDemand!H96/$K$13</f>
        <v>4.6321775826741275E-2</v>
      </c>
      <c r="L102" s="110"/>
      <c r="M102" s="110"/>
      <c r="N102" s="104">
        <f t="shared" si="6"/>
        <v>1791.2710412660065</v>
      </c>
      <c r="O102" s="104">
        <f t="shared" si="7"/>
        <v>835.61571540795808</v>
      </c>
      <c r="P102" s="104">
        <f t="shared" si="8"/>
        <v>130.45233542283216</v>
      </c>
      <c r="Q102" s="99"/>
      <c r="R102" s="99">
        <f>HomeHeatDemand!I96-HP_Power!N102</f>
        <v>6448.5757485576241</v>
      </c>
    </row>
    <row r="103" spans="1:18" x14ac:dyDescent="0.2">
      <c r="A103" s="17">
        <v>88</v>
      </c>
      <c r="B103" s="55">
        <f>HomeHeatDemand!F97/$B$13</f>
        <v>0.74636293386083608</v>
      </c>
      <c r="C103" s="55">
        <f>HomeHeatDemand!G97/$C$13</f>
        <v>0.34817321475331586</v>
      </c>
      <c r="D103" s="55">
        <f>HomeHeatDemand!H97/$D$13</f>
        <v>5.4355139759513407E-2</v>
      </c>
      <c r="E103" s="55"/>
      <c r="F103" s="110">
        <f>HomeHeatDemand!F97/$F$13</f>
        <v>0.36139678902735217</v>
      </c>
      <c r="G103" s="110">
        <f>HomeHeatDemand!G97/$G$13</f>
        <v>0.1970245030966869</v>
      </c>
      <c r="H103" s="110">
        <f>HomeHeatDemand!H97/$H$13</f>
        <v>3.471695198804188E-2</v>
      </c>
      <c r="I103" s="110">
        <f>HomeHeatDemand!F97/$I$13</f>
        <v>0.48220077187638283</v>
      </c>
      <c r="J103" s="110">
        <f>HomeHeatDemand!G97/$J$13</f>
        <v>0.26288381733406258</v>
      </c>
      <c r="K103" s="110">
        <f>HomeHeatDemand!H97/$K$13</f>
        <v>4.6321775826741275E-2</v>
      </c>
      <c r="L103" s="110"/>
      <c r="M103" s="110"/>
      <c r="N103" s="104">
        <f t="shared" si="6"/>
        <v>1791.2710412660065</v>
      </c>
      <c r="O103" s="104">
        <f t="shared" si="7"/>
        <v>835.61571540795808</v>
      </c>
      <c r="P103" s="104">
        <f t="shared" si="8"/>
        <v>130.45233542283216</v>
      </c>
      <c r="Q103" s="99"/>
      <c r="R103" s="99">
        <f>HomeHeatDemand!I97-HP_Power!N103</f>
        <v>6448.5757485576241</v>
      </c>
    </row>
    <row r="104" spans="1:18" x14ac:dyDescent="0.2">
      <c r="A104" s="17">
        <v>89</v>
      </c>
      <c r="B104" s="55">
        <f>HomeHeatDemand!F98/$B$13</f>
        <v>0.74636293386083608</v>
      </c>
      <c r="C104" s="55">
        <f>HomeHeatDemand!G98/$C$13</f>
        <v>0.34817321475331586</v>
      </c>
      <c r="D104" s="55">
        <f>HomeHeatDemand!H98/$D$13</f>
        <v>5.4355139759513407E-2</v>
      </c>
      <c r="E104" s="55"/>
      <c r="F104" s="110">
        <f>HomeHeatDemand!F98/$F$13</f>
        <v>0.36139678902735217</v>
      </c>
      <c r="G104" s="110">
        <f>HomeHeatDemand!G98/$G$13</f>
        <v>0.1970245030966869</v>
      </c>
      <c r="H104" s="110">
        <f>HomeHeatDemand!H98/$H$13</f>
        <v>3.471695198804188E-2</v>
      </c>
      <c r="I104" s="110">
        <f>HomeHeatDemand!F98/$I$13</f>
        <v>0.48220077187638283</v>
      </c>
      <c r="J104" s="110">
        <f>HomeHeatDemand!G98/$J$13</f>
        <v>0.26288381733406258</v>
      </c>
      <c r="K104" s="110">
        <f>HomeHeatDemand!H98/$K$13</f>
        <v>4.6321775826741275E-2</v>
      </c>
      <c r="L104" s="110"/>
      <c r="M104" s="110"/>
      <c r="N104" s="104">
        <f t="shared" si="6"/>
        <v>1791.2710412660065</v>
      </c>
      <c r="O104" s="104">
        <f t="shared" si="7"/>
        <v>835.61571540795808</v>
      </c>
      <c r="P104" s="104">
        <f t="shared" si="8"/>
        <v>130.45233542283216</v>
      </c>
      <c r="Q104" s="99"/>
      <c r="R104" s="99">
        <f>HomeHeatDemand!I98-HP_Power!N104</f>
        <v>6448.5757485576241</v>
      </c>
    </row>
    <row r="105" spans="1:18" x14ac:dyDescent="0.2">
      <c r="A105" s="17">
        <v>90</v>
      </c>
      <c r="B105" s="55">
        <f>HomeHeatDemand!F99/$B$13</f>
        <v>0.74636293386083608</v>
      </c>
      <c r="C105" s="55">
        <f>HomeHeatDemand!G99/$C$13</f>
        <v>0.34817321475331586</v>
      </c>
      <c r="D105" s="55">
        <f>HomeHeatDemand!H99/$D$13</f>
        <v>5.4355139759513407E-2</v>
      </c>
      <c r="E105" s="55"/>
      <c r="F105" s="110">
        <f>HomeHeatDemand!F99/$F$13</f>
        <v>0.36139678902735217</v>
      </c>
      <c r="G105" s="110">
        <f>HomeHeatDemand!G99/$G$13</f>
        <v>0.1970245030966869</v>
      </c>
      <c r="H105" s="110">
        <f>HomeHeatDemand!H99/$H$13</f>
        <v>3.471695198804188E-2</v>
      </c>
      <c r="I105" s="110">
        <f>HomeHeatDemand!F99/$I$13</f>
        <v>0.48220077187638283</v>
      </c>
      <c r="J105" s="110">
        <f>HomeHeatDemand!G99/$J$13</f>
        <v>0.26288381733406258</v>
      </c>
      <c r="K105" s="110">
        <f>HomeHeatDemand!H99/$K$13</f>
        <v>4.6321775826741275E-2</v>
      </c>
      <c r="L105" s="110"/>
      <c r="M105" s="110"/>
      <c r="N105" s="104">
        <f t="shared" si="6"/>
        <v>1791.2710412660065</v>
      </c>
      <c r="O105" s="104">
        <f t="shared" si="7"/>
        <v>835.61571540795808</v>
      </c>
      <c r="P105" s="104">
        <f t="shared" si="8"/>
        <v>130.45233542283216</v>
      </c>
      <c r="Q105" s="99"/>
      <c r="R105" s="99">
        <f>HomeHeatDemand!I99-HP_Power!N105</f>
        <v>6448.5757485576241</v>
      </c>
    </row>
    <row r="106" spans="1:18" x14ac:dyDescent="0.2">
      <c r="A106" s="17">
        <v>91</v>
      </c>
      <c r="B106" s="55">
        <f>HomeHeatDemand!F100/$B$13</f>
        <v>0.74636293386083608</v>
      </c>
      <c r="C106" s="55">
        <f>HomeHeatDemand!G100/$C$13</f>
        <v>0.34817321475331586</v>
      </c>
      <c r="D106" s="55">
        <f>HomeHeatDemand!H100/$D$13</f>
        <v>5.4355139759513407E-2</v>
      </c>
      <c r="E106" s="55"/>
      <c r="F106" s="110">
        <f>HomeHeatDemand!F100/$F$13</f>
        <v>0.36139678902735217</v>
      </c>
      <c r="G106" s="110">
        <f>HomeHeatDemand!G100/$G$13</f>
        <v>0.1970245030966869</v>
      </c>
      <c r="H106" s="110">
        <f>HomeHeatDemand!H100/$H$13</f>
        <v>3.471695198804188E-2</v>
      </c>
      <c r="I106" s="110">
        <f>HomeHeatDemand!F100/$I$13</f>
        <v>0.48220077187638283</v>
      </c>
      <c r="J106" s="110">
        <f>HomeHeatDemand!G100/$J$13</f>
        <v>0.26288381733406258</v>
      </c>
      <c r="K106" s="110">
        <f>HomeHeatDemand!H100/$K$13</f>
        <v>4.6321775826741275E-2</v>
      </c>
      <c r="L106" s="110"/>
      <c r="M106" s="110"/>
      <c r="N106" s="104">
        <f t="shared" si="6"/>
        <v>1791.2710412660065</v>
      </c>
      <c r="O106" s="104">
        <f t="shared" si="7"/>
        <v>835.61571540795808</v>
      </c>
      <c r="P106" s="104">
        <f t="shared" si="8"/>
        <v>130.45233542283216</v>
      </c>
      <c r="Q106" s="99"/>
      <c r="R106" s="99">
        <f>HomeHeatDemand!I100-HP_Power!N106</f>
        <v>6448.5757485576241</v>
      </c>
    </row>
    <row r="107" spans="1:18" x14ac:dyDescent="0.2">
      <c r="A107" s="17">
        <v>92</v>
      </c>
      <c r="B107" s="55">
        <f>HomeHeatDemand!F101/$B$13</f>
        <v>0.74636293386083608</v>
      </c>
      <c r="C107" s="55">
        <f>HomeHeatDemand!G101/$C$13</f>
        <v>0.34817321475331586</v>
      </c>
      <c r="D107" s="55">
        <f>HomeHeatDemand!H101/$D$13</f>
        <v>5.4355139759513407E-2</v>
      </c>
      <c r="E107" s="55"/>
      <c r="F107" s="110">
        <f>HomeHeatDemand!F101/$F$13</f>
        <v>0.36139678902735217</v>
      </c>
      <c r="G107" s="110">
        <f>HomeHeatDemand!G101/$G$13</f>
        <v>0.1970245030966869</v>
      </c>
      <c r="H107" s="110">
        <f>HomeHeatDemand!H101/$H$13</f>
        <v>3.471695198804188E-2</v>
      </c>
      <c r="I107" s="110">
        <f>HomeHeatDemand!F101/$I$13</f>
        <v>0.48220077187638283</v>
      </c>
      <c r="J107" s="110">
        <f>HomeHeatDemand!G101/$J$13</f>
        <v>0.26288381733406258</v>
      </c>
      <c r="K107" s="110">
        <f>HomeHeatDemand!H101/$K$13</f>
        <v>4.6321775826741275E-2</v>
      </c>
      <c r="L107" s="110"/>
      <c r="M107" s="110"/>
      <c r="N107" s="104">
        <f t="shared" si="6"/>
        <v>1791.2710412660065</v>
      </c>
      <c r="O107" s="104">
        <f t="shared" si="7"/>
        <v>835.61571540795808</v>
      </c>
      <c r="P107" s="104">
        <f t="shared" si="8"/>
        <v>130.45233542283216</v>
      </c>
      <c r="Q107" s="99"/>
      <c r="R107" s="99">
        <f>HomeHeatDemand!I101-HP_Power!N107</f>
        <v>6448.5757485576241</v>
      </c>
    </row>
    <row r="108" spans="1:18" x14ac:dyDescent="0.2">
      <c r="A108" s="17">
        <v>93</v>
      </c>
      <c r="B108" s="55">
        <f>HomeHeatDemand!F102/$B$13</f>
        <v>0.74636293386083608</v>
      </c>
      <c r="C108" s="55">
        <f>HomeHeatDemand!G102/$C$13</f>
        <v>0.34817321475331586</v>
      </c>
      <c r="D108" s="55">
        <f>HomeHeatDemand!H102/$D$13</f>
        <v>5.4355139759513407E-2</v>
      </c>
      <c r="E108" s="55"/>
      <c r="F108" s="110">
        <f>HomeHeatDemand!F102/$F$13</f>
        <v>0.36139678902735217</v>
      </c>
      <c r="G108" s="110">
        <f>HomeHeatDemand!G102/$G$13</f>
        <v>0.1970245030966869</v>
      </c>
      <c r="H108" s="110">
        <f>HomeHeatDemand!H102/$H$13</f>
        <v>3.471695198804188E-2</v>
      </c>
      <c r="I108" s="110">
        <f>HomeHeatDemand!F102/$I$13</f>
        <v>0.48220077187638283</v>
      </c>
      <c r="J108" s="110">
        <f>HomeHeatDemand!G102/$J$13</f>
        <v>0.26288381733406258</v>
      </c>
      <c r="K108" s="110">
        <f>HomeHeatDemand!H102/$K$13</f>
        <v>4.6321775826741275E-2</v>
      </c>
      <c r="L108" s="110"/>
      <c r="M108" s="110"/>
      <c r="N108" s="104">
        <f t="shared" si="6"/>
        <v>1791.2710412660065</v>
      </c>
      <c r="O108" s="104">
        <f t="shared" si="7"/>
        <v>835.61571540795808</v>
      </c>
      <c r="P108" s="104">
        <f t="shared" si="8"/>
        <v>130.45233542283216</v>
      </c>
      <c r="Q108" s="99"/>
      <c r="R108" s="99">
        <f>HomeHeatDemand!I102-HP_Power!N108</f>
        <v>6448.5757485576241</v>
      </c>
    </row>
    <row r="109" spans="1:18" x14ac:dyDescent="0.2">
      <c r="A109" s="17">
        <v>94</v>
      </c>
      <c r="B109" s="55">
        <f>HomeHeatDemand!F103/$B$13</f>
        <v>0.74636293386083608</v>
      </c>
      <c r="C109" s="55">
        <f>HomeHeatDemand!G103/$C$13</f>
        <v>0.34817321475331586</v>
      </c>
      <c r="D109" s="55">
        <f>HomeHeatDemand!H103/$D$13</f>
        <v>5.4355139759513407E-2</v>
      </c>
      <c r="E109" s="55"/>
      <c r="F109" s="110">
        <f>HomeHeatDemand!F103/$F$13</f>
        <v>0.36139678902735217</v>
      </c>
      <c r="G109" s="110">
        <f>HomeHeatDemand!G103/$G$13</f>
        <v>0.1970245030966869</v>
      </c>
      <c r="H109" s="110">
        <f>HomeHeatDemand!H103/$H$13</f>
        <v>3.471695198804188E-2</v>
      </c>
      <c r="I109" s="110">
        <f>HomeHeatDemand!F103/$I$13</f>
        <v>0.48220077187638283</v>
      </c>
      <c r="J109" s="110">
        <f>HomeHeatDemand!G103/$J$13</f>
        <v>0.26288381733406258</v>
      </c>
      <c r="K109" s="110">
        <f>HomeHeatDemand!H103/$K$13</f>
        <v>4.6321775826741275E-2</v>
      </c>
      <c r="L109" s="110"/>
      <c r="M109" s="110"/>
      <c r="N109" s="104">
        <f t="shared" si="6"/>
        <v>1791.2710412660065</v>
      </c>
      <c r="O109" s="104">
        <f t="shared" si="7"/>
        <v>835.61571540795808</v>
      </c>
      <c r="P109" s="104">
        <f t="shared" si="8"/>
        <v>130.45233542283216</v>
      </c>
      <c r="Q109" s="99"/>
      <c r="R109" s="99">
        <f>HomeHeatDemand!I103-HP_Power!N109</f>
        <v>6448.5757485576241</v>
      </c>
    </row>
    <row r="110" spans="1:18" x14ac:dyDescent="0.2">
      <c r="A110" s="17">
        <v>95</v>
      </c>
      <c r="B110" s="55">
        <f>HomeHeatDemand!F104/$B$13</f>
        <v>0</v>
      </c>
      <c r="C110" s="55">
        <f>HomeHeatDemand!G104/$C$13</f>
        <v>0</v>
      </c>
      <c r="D110" s="55">
        <f>HomeHeatDemand!H104/$D$13</f>
        <v>0</v>
      </c>
      <c r="E110" s="55"/>
      <c r="F110" s="110">
        <f>HomeHeatDemand!F104/$F$13</f>
        <v>0</v>
      </c>
      <c r="G110" s="110">
        <f>HomeHeatDemand!G104/$G$13</f>
        <v>0</v>
      </c>
      <c r="H110" s="110">
        <f>HomeHeatDemand!H104/$H$13</f>
        <v>0</v>
      </c>
      <c r="I110" s="110">
        <f>HomeHeatDemand!F104/$I$13</f>
        <v>0</v>
      </c>
      <c r="J110" s="110">
        <f>HomeHeatDemand!G104/$J$13</f>
        <v>0</v>
      </c>
      <c r="K110" s="110">
        <f>HomeHeatDemand!H104/$K$13</f>
        <v>0</v>
      </c>
      <c r="L110" s="110"/>
      <c r="M110" s="110"/>
      <c r="N110" s="104">
        <f t="shared" si="6"/>
        <v>0</v>
      </c>
      <c r="O110" s="104">
        <f t="shared" si="7"/>
        <v>0</v>
      </c>
      <c r="P110" s="104">
        <f t="shared" si="8"/>
        <v>0</v>
      </c>
      <c r="Q110" s="99"/>
      <c r="R110" s="99">
        <f>HomeHeatDemand!I104-HP_Power!N110</f>
        <v>0</v>
      </c>
    </row>
    <row r="111" spans="1:18" x14ac:dyDescent="0.2">
      <c r="A111" s="17">
        <v>96</v>
      </c>
      <c r="B111" s="55">
        <f>HomeHeatDemand!F105/$B$13</f>
        <v>0</v>
      </c>
      <c r="C111" s="55">
        <f>HomeHeatDemand!G105/$C$13</f>
        <v>0</v>
      </c>
      <c r="D111" s="55">
        <f>HomeHeatDemand!H105/$D$13</f>
        <v>0</v>
      </c>
      <c r="E111" s="55"/>
      <c r="F111" s="110">
        <f>HomeHeatDemand!F105/$F$13</f>
        <v>0</v>
      </c>
      <c r="G111" s="110">
        <f>HomeHeatDemand!G105/$G$13</f>
        <v>0</v>
      </c>
      <c r="H111" s="110">
        <f>HomeHeatDemand!H105/$H$13</f>
        <v>0</v>
      </c>
      <c r="I111" s="110">
        <f>HomeHeatDemand!F105/$I$13</f>
        <v>0</v>
      </c>
      <c r="J111" s="110">
        <f>HomeHeatDemand!G105/$J$13</f>
        <v>0</v>
      </c>
      <c r="K111" s="110">
        <f>HomeHeatDemand!H105/$K$13</f>
        <v>0</v>
      </c>
      <c r="L111" s="110"/>
      <c r="M111" s="110"/>
      <c r="N111" s="104">
        <f t="shared" si="6"/>
        <v>0</v>
      </c>
      <c r="O111" s="104">
        <f t="shared" si="7"/>
        <v>0</v>
      </c>
      <c r="P111" s="104">
        <f t="shared" si="8"/>
        <v>0</v>
      </c>
      <c r="Q111" s="99"/>
      <c r="R111" s="99">
        <f>HomeHeatDemand!I105-HP_Power!N111</f>
        <v>0</v>
      </c>
    </row>
    <row r="112" spans="1:18" x14ac:dyDescent="0.2">
      <c r="A112" s="17">
        <v>97</v>
      </c>
      <c r="B112" s="55">
        <f>HomeHeatDemand!F106/$B$13</f>
        <v>0</v>
      </c>
      <c r="C112" s="55">
        <f>HomeHeatDemand!G106/$C$13</f>
        <v>0</v>
      </c>
      <c r="D112" s="55">
        <f>HomeHeatDemand!H106/$D$13</f>
        <v>0</v>
      </c>
      <c r="E112" s="55"/>
      <c r="F112" s="110">
        <f>HomeHeatDemand!F106/$F$13</f>
        <v>0</v>
      </c>
      <c r="G112" s="110">
        <f>HomeHeatDemand!G106/$G$13</f>
        <v>0</v>
      </c>
      <c r="H112" s="110">
        <f>HomeHeatDemand!H106/$H$13</f>
        <v>0</v>
      </c>
      <c r="I112" s="110">
        <f>HomeHeatDemand!F106/$I$13</f>
        <v>0</v>
      </c>
      <c r="J112" s="110">
        <f>HomeHeatDemand!G106/$J$13</f>
        <v>0</v>
      </c>
      <c r="K112" s="110">
        <f>HomeHeatDemand!H106/$K$13</f>
        <v>0</v>
      </c>
      <c r="L112" s="110"/>
      <c r="M112" s="110"/>
      <c r="N112" s="104">
        <f t="shared" si="6"/>
        <v>0</v>
      </c>
      <c r="O112" s="104">
        <f t="shared" si="7"/>
        <v>0</v>
      </c>
      <c r="P112" s="104">
        <f t="shared" si="8"/>
        <v>0</v>
      </c>
      <c r="Q112" s="99"/>
      <c r="R112" s="99">
        <f>HomeHeatDemand!I106-HP_Power!N112</f>
        <v>0</v>
      </c>
    </row>
    <row r="113" spans="1:18" x14ac:dyDescent="0.2">
      <c r="A113" s="17">
        <v>98</v>
      </c>
      <c r="B113" s="55">
        <f>HomeHeatDemand!F107/$B$13</f>
        <v>0</v>
      </c>
      <c r="C113" s="55">
        <f>HomeHeatDemand!G107/$C$13</f>
        <v>0</v>
      </c>
      <c r="D113" s="55">
        <f>HomeHeatDemand!H107/$D$13</f>
        <v>0</v>
      </c>
      <c r="E113" s="55"/>
      <c r="F113" s="110">
        <f>HomeHeatDemand!F107/$F$13</f>
        <v>0</v>
      </c>
      <c r="G113" s="110">
        <f>HomeHeatDemand!G107/$G$13</f>
        <v>0</v>
      </c>
      <c r="H113" s="110">
        <f>HomeHeatDemand!H107/$H$13</f>
        <v>0</v>
      </c>
      <c r="I113" s="110">
        <f>HomeHeatDemand!F107/$I$13</f>
        <v>0</v>
      </c>
      <c r="J113" s="110">
        <f>HomeHeatDemand!G107/$J$13</f>
        <v>0</v>
      </c>
      <c r="K113" s="110">
        <f>HomeHeatDemand!H107/$K$13</f>
        <v>0</v>
      </c>
      <c r="L113" s="110"/>
      <c r="M113" s="110"/>
      <c r="N113" s="104">
        <f t="shared" si="6"/>
        <v>0</v>
      </c>
      <c r="O113" s="104">
        <f t="shared" si="7"/>
        <v>0</v>
      </c>
      <c r="P113" s="104">
        <f t="shared" si="8"/>
        <v>0</v>
      </c>
      <c r="Q113" s="99"/>
      <c r="R113" s="99">
        <f>HomeHeatDemand!I107-HP_Power!N113</f>
        <v>0</v>
      </c>
    </row>
    <row r="114" spans="1:18" x14ac:dyDescent="0.2">
      <c r="A114" s="17">
        <v>99</v>
      </c>
      <c r="B114" s="55">
        <f>HomeHeatDemand!F108/$B$13</f>
        <v>0</v>
      </c>
      <c r="C114" s="55">
        <f>HomeHeatDemand!G108/$C$13</f>
        <v>0</v>
      </c>
      <c r="D114" s="55">
        <f>HomeHeatDemand!H108/$D$13</f>
        <v>0</v>
      </c>
      <c r="E114" s="55"/>
      <c r="F114" s="110">
        <f>HomeHeatDemand!F108/$F$13</f>
        <v>0</v>
      </c>
      <c r="G114" s="110">
        <f>HomeHeatDemand!G108/$G$13</f>
        <v>0</v>
      </c>
      <c r="H114" s="110">
        <f>HomeHeatDemand!H108/$H$13</f>
        <v>0</v>
      </c>
      <c r="I114" s="110">
        <f>HomeHeatDemand!F108/$I$13</f>
        <v>0</v>
      </c>
      <c r="J114" s="110">
        <f>HomeHeatDemand!G108/$J$13</f>
        <v>0</v>
      </c>
      <c r="K114" s="110">
        <f>HomeHeatDemand!H108/$K$13</f>
        <v>0</v>
      </c>
      <c r="L114" s="110"/>
      <c r="M114" s="110"/>
      <c r="N114" s="104">
        <f t="shared" si="6"/>
        <v>0</v>
      </c>
      <c r="O114" s="104">
        <f t="shared" si="7"/>
        <v>0</v>
      </c>
      <c r="P114" s="104">
        <f t="shared" si="8"/>
        <v>0</v>
      </c>
      <c r="Q114" s="99"/>
      <c r="R114" s="99">
        <f>HomeHeatDemand!I108-HP_Power!N114</f>
        <v>0</v>
      </c>
    </row>
    <row r="115" spans="1:18" x14ac:dyDescent="0.2">
      <c r="A115" s="17">
        <v>100</v>
      </c>
      <c r="B115" s="55">
        <f>HomeHeatDemand!F109/$B$13</f>
        <v>0</v>
      </c>
      <c r="C115" s="55">
        <f>HomeHeatDemand!G109/$C$13</f>
        <v>0</v>
      </c>
      <c r="D115" s="55">
        <f>HomeHeatDemand!H109/$D$13</f>
        <v>0</v>
      </c>
      <c r="E115" s="55"/>
      <c r="F115" s="110">
        <f>HomeHeatDemand!F109/$F$13</f>
        <v>0</v>
      </c>
      <c r="G115" s="110">
        <f>HomeHeatDemand!G109/$G$13</f>
        <v>0</v>
      </c>
      <c r="H115" s="110">
        <f>HomeHeatDemand!H109/$H$13</f>
        <v>0</v>
      </c>
      <c r="I115" s="110">
        <f>HomeHeatDemand!F109/$I$13</f>
        <v>0</v>
      </c>
      <c r="J115" s="110">
        <f>HomeHeatDemand!G109/$J$13</f>
        <v>0</v>
      </c>
      <c r="K115" s="110">
        <f>HomeHeatDemand!H109/$K$13</f>
        <v>0</v>
      </c>
      <c r="L115" s="110"/>
      <c r="M115" s="110"/>
      <c r="N115" s="104">
        <f t="shared" si="6"/>
        <v>0</v>
      </c>
      <c r="O115" s="104">
        <f t="shared" si="7"/>
        <v>0</v>
      </c>
      <c r="P115" s="104">
        <f t="shared" si="8"/>
        <v>0</v>
      </c>
      <c r="Q115" s="99"/>
      <c r="R115" s="99">
        <f>HomeHeatDemand!I109-HP_Power!N115</f>
        <v>0</v>
      </c>
    </row>
    <row r="116" spans="1:18" x14ac:dyDescent="0.2">
      <c r="A116" s="17">
        <v>101</v>
      </c>
      <c r="B116" s="55">
        <f>HomeHeatDemand!F110/$B$13</f>
        <v>0</v>
      </c>
      <c r="C116" s="55">
        <f>HomeHeatDemand!G110/$C$13</f>
        <v>0</v>
      </c>
      <c r="D116" s="55">
        <f>HomeHeatDemand!H110/$D$13</f>
        <v>0</v>
      </c>
      <c r="E116" s="55"/>
      <c r="F116" s="110">
        <f>HomeHeatDemand!F110/$F$13</f>
        <v>0</v>
      </c>
      <c r="G116" s="110">
        <f>HomeHeatDemand!G110/$G$13</f>
        <v>0</v>
      </c>
      <c r="H116" s="110">
        <f>HomeHeatDemand!H110/$H$13</f>
        <v>0</v>
      </c>
      <c r="I116" s="110">
        <f>HomeHeatDemand!F110/$I$13</f>
        <v>0</v>
      </c>
      <c r="J116" s="110">
        <f>HomeHeatDemand!G110/$J$13</f>
        <v>0</v>
      </c>
      <c r="K116" s="110">
        <f>HomeHeatDemand!H110/$K$13</f>
        <v>0</v>
      </c>
      <c r="L116" s="110"/>
      <c r="M116" s="110"/>
      <c r="N116" s="104">
        <f t="shared" si="6"/>
        <v>0</v>
      </c>
      <c r="O116" s="104">
        <f t="shared" si="7"/>
        <v>0</v>
      </c>
      <c r="P116" s="104">
        <f t="shared" si="8"/>
        <v>0</v>
      </c>
      <c r="Q116" s="99"/>
      <c r="R116" s="99">
        <f>HomeHeatDemand!I110-HP_Power!N116</f>
        <v>0</v>
      </c>
    </row>
    <row r="117" spans="1:18" x14ac:dyDescent="0.2">
      <c r="A117" s="17">
        <v>102</v>
      </c>
      <c r="B117" s="55">
        <f>HomeHeatDemand!F111/$B$13</f>
        <v>0</v>
      </c>
      <c r="C117" s="55">
        <f>HomeHeatDemand!G111/$C$13</f>
        <v>0</v>
      </c>
      <c r="D117" s="55">
        <f>HomeHeatDemand!H111/$D$13</f>
        <v>0</v>
      </c>
      <c r="E117" s="55"/>
      <c r="F117" s="110">
        <f>HomeHeatDemand!F111/$F$13</f>
        <v>0</v>
      </c>
      <c r="G117" s="110">
        <f>HomeHeatDemand!G111/$G$13</f>
        <v>0</v>
      </c>
      <c r="H117" s="110">
        <f>HomeHeatDemand!H111/$H$13</f>
        <v>0</v>
      </c>
      <c r="I117" s="110">
        <f>HomeHeatDemand!F111/$I$13</f>
        <v>0</v>
      </c>
      <c r="J117" s="110">
        <f>HomeHeatDemand!G111/$J$13</f>
        <v>0</v>
      </c>
      <c r="K117" s="110">
        <f>HomeHeatDemand!H111/$K$13</f>
        <v>0</v>
      </c>
      <c r="L117" s="110"/>
      <c r="M117" s="110"/>
      <c r="N117" s="104">
        <f t="shared" si="6"/>
        <v>0</v>
      </c>
      <c r="O117" s="104">
        <f t="shared" si="7"/>
        <v>0</v>
      </c>
      <c r="P117" s="104">
        <f t="shared" si="8"/>
        <v>0</v>
      </c>
      <c r="Q117" s="99"/>
      <c r="R117" s="99">
        <f>HomeHeatDemand!I111-HP_Power!N117</f>
        <v>0</v>
      </c>
    </row>
    <row r="118" spans="1:18" x14ac:dyDescent="0.2">
      <c r="A118" s="17">
        <v>103</v>
      </c>
      <c r="B118" s="55">
        <f>HomeHeatDemand!F112/$B$13</f>
        <v>0.74636293386083608</v>
      </c>
      <c r="C118" s="55">
        <f>HomeHeatDemand!G112/$C$13</f>
        <v>0.34817321475331586</v>
      </c>
      <c r="D118" s="55">
        <f>HomeHeatDemand!H112/$D$13</f>
        <v>5.4355139759513407E-2</v>
      </c>
      <c r="E118" s="55"/>
      <c r="F118" s="110">
        <f>HomeHeatDemand!F112/$F$13</f>
        <v>0.36139678902735217</v>
      </c>
      <c r="G118" s="110">
        <f>HomeHeatDemand!G112/$G$13</f>
        <v>0.1970245030966869</v>
      </c>
      <c r="H118" s="110">
        <f>HomeHeatDemand!H112/$H$13</f>
        <v>3.471695198804188E-2</v>
      </c>
      <c r="I118" s="110">
        <f>HomeHeatDemand!F112/$I$13</f>
        <v>0.48220077187638283</v>
      </c>
      <c r="J118" s="110">
        <f>HomeHeatDemand!G112/$J$13</f>
        <v>0.26288381733406258</v>
      </c>
      <c r="K118" s="110">
        <f>HomeHeatDemand!H112/$K$13</f>
        <v>4.6321775826741275E-2</v>
      </c>
      <c r="L118" s="110"/>
      <c r="M118" s="110"/>
      <c r="N118" s="104">
        <f t="shared" si="6"/>
        <v>1791.2710412660065</v>
      </c>
      <c r="O118" s="104">
        <f t="shared" si="7"/>
        <v>835.61571540795808</v>
      </c>
      <c r="P118" s="104">
        <f t="shared" si="8"/>
        <v>130.45233542283216</v>
      </c>
      <c r="Q118" s="99"/>
      <c r="R118" s="99">
        <f>HomeHeatDemand!I112-HP_Power!N118</f>
        <v>6448.5757485576241</v>
      </c>
    </row>
    <row r="119" spans="1:18" x14ac:dyDescent="0.2">
      <c r="A119" s="17">
        <v>104</v>
      </c>
      <c r="B119" s="55">
        <f>HomeHeatDemand!F113/$B$13</f>
        <v>0.74636293386083608</v>
      </c>
      <c r="C119" s="55">
        <f>HomeHeatDemand!G113/$C$13</f>
        <v>0.34817321475331586</v>
      </c>
      <c r="D119" s="55">
        <f>HomeHeatDemand!H113/$D$13</f>
        <v>5.4355139759513407E-2</v>
      </c>
      <c r="E119" s="55"/>
      <c r="F119" s="110">
        <f>HomeHeatDemand!F113/$F$13</f>
        <v>0.36139678902735217</v>
      </c>
      <c r="G119" s="110">
        <f>HomeHeatDemand!G113/$G$13</f>
        <v>0.1970245030966869</v>
      </c>
      <c r="H119" s="110">
        <f>HomeHeatDemand!H113/$H$13</f>
        <v>3.471695198804188E-2</v>
      </c>
      <c r="I119" s="110">
        <f>HomeHeatDemand!F113/$I$13</f>
        <v>0.48220077187638283</v>
      </c>
      <c r="J119" s="110">
        <f>HomeHeatDemand!G113/$J$13</f>
        <v>0.26288381733406258</v>
      </c>
      <c r="K119" s="110">
        <f>HomeHeatDemand!H113/$K$13</f>
        <v>4.6321775826741275E-2</v>
      </c>
      <c r="L119" s="110"/>
      <c r="M119" s="110"/>
      <c r="N119" s="104">
        <f t="shared" si="6"/>
        <v>1791.2710412660065</v>
      </c>
      <c r="O119" s="104">
        <f t="shared" si="7"/>
        <v>835.61571540795808</v>
      </c>
      <c r="P119" s="104">
        <f t="shared" si="8"/>
        <v>130.45233542283216</v>
      </c>
      <c r="Q119" s="99"/>
      <c r="R119" s="99">
        <f>HomeHeatDemand!I113-HP_Power!N119</f>
        <v>6448.5757485576241</v>
      </c>
    </row>
    <row r="120" spans="1:18" x14ac:dyDescent="0.2">
      <c r="A120" s="17">
        <v>105</v>
      </c>
      <c r="B120" s="55">
        <f>HomeHeatDemand!F114/$B$13</f>
        <v>0.74636293386083608</v>
      </c>
      <c r="C120" s="55">
        <f>HomeHeatDemand!G114/$C$13</f>
        <v>0.34817321475331586</v>
      </c>
      <c r="D120" s="55">
        <f>HomeHeatDemand!H114/$D$13</f>
        <v>5.4355139759513407E-2</v>
      </c>
      <c r="E120" s="55"/>
      <c r="F120" s="110">
        <f>HomeHeatDemand!F114/$F$13</f>
        <v>0.36139678902735217</v>
      </c>
      <c r="G120" s="110">
        <f>HomeHeatDemand!G114/$G$13</f>
        <v>0.1970245030966869</v>
      </c>
      <c r="H120" s="110">
        <f>HomeHeatDemand!H114/$H$13</f>
        <v>3.471695198804188E-2</v>
      </c>
      <c r="I120" s="110">
        <f>HomeHeatDemand!F114/$I$13</f>
        <v>0.48220077187638283</v>
      </c>
      <c r="J120" s="110">
        <f>HomeHeatDemand!G114/$J$13</f>
        <v>0.26288381733406258</v>
      </c>
      <c r="K120" s="110">
        <f>HomeHeatDemand!H114/$K$13</f>
        <v>4.6321775826741275E-2</v>
      </c>
      <c r="L120" s="110"/>
      <c r="M120" s="110"/>
      <c r="N120" s="104">
        <f t="shared" si="6"/>
        <v>1791.2710412660065</v>
      </c>
      <c r="O120" s="104">
        <f t="shared" si="7"/>
        <v>835.61571540795808</v>
      </c>
      <c r="P120" s="104">
        <f t="shared" si="8"/>
        <v>130.45233542283216</v>
      </c>
      <c r="Q120" s="99"/>
      <c r="R120" s="99">
        <f>HomeHeatDemand!I114-HP_Power!N120</f>
        <v>6448.5757485576241</v>
      </c>
    </row>
    <row r="121" spans="1:18" x14ac:dyDescent="0.2">
      <c r="A121" s="17">
        <v>106</v>
      </c>
      <c r="B121" s="55">
        <f>HomeHeatDemand!F115/$B$13</f>
        <v>0.74636293386083608</v>
      </c>
      <c r="C121" s="55">
        <f>HomeHeatDemand!G115/$C$13</f>
        <v>0.34817321475331586</v>
      </c>
      <c r="D121" s="55">
        <f>HomeHeatDemand!H115/$D$13</f>
        <v>5.4355139759513407E-2</v>
      </c>
      <c r="E121" s="55"/>
      <c r="F121" s="110">
        <f>HomeHeatDemand!F115/$F$13</f>
        <v>0.36139678902735217</v>
      </c>
      <c r="G121" s="110">
        <f>HomeHeatDemand!G115/$G$13</f>
        <v>0.1970245030966869</v>
      </c>
      <c r="H121" s="110">
        <f>HomeHeatDemand!H115/$H$13</f>
        <v>3.471695198804188E-2</v>
      </c>
      <c r="I121" s="110">
        <f>HomeHeatDemand!F115/$I$13</f>
        <v>0.48220077187638283</v>
      </c>
      <c r="J121" s="110">
        <f>HomeHeatDemand!G115/$J$13</f>
        <v>0.26288381733406258</v>
      </c>
      <c r="K121" s="110">
        <f>HomeHeatDemand!H115/$K$13</f>
        <v>4.6321775826741275E-2</v>
      </c>
      <c r="L121" s="110"/>
      <c r="M121" s="110"/>
      <c r="N121" s="104">
        <f t="shared" si="6"/>
        <v>1791.2710412660065</v>
      </c>
      <c r="O121" s="104">
        <f t="shared" si="7"/>
        <v>835.61571540795808</v>
      </c>
      <c r="P121" s="104">
        <f t="shared" si="8"/>
        <v>130.45233542283216</v>
      </c>
      <c r="Q121" s="99"/>
      <c r="R121" s="99">
        <f>HomeHeatDemand!I115-HP_Power!N121</f>
        <v>6448.5757485576241</v>
      </c>
    </row>
    <row r="122" spans="1:18" x14ac:dyDescent="0.2">
      <c r="A122" s="17">
        <v>107</v>
      </c>
      <c r="B122" s="55">
        <f>HomeHeatDemand!F116/$B$13</f>
        <v>0.74636293386083608</v>
      </c>
      <c r="C122" s="55">
        <f>HomeHeatDemand!G116/$C$13</f>
        <v>0.34817321475331586</v>
      </c>
      <c r="D122" s="55">
        <f>HomeHeatDemand!H116/$D$13</f>
        <v>5.4355139759513407E-2</v>
      </c>
      <c r="E122" s="55"/>
      <c r="F122" s="110">
        <f>HomeHeatDemand!F116/$F$13</f>
        <v>0.36139678902735217</v>
      </c>
      <c r="G122" s="110">
        <f>HomeHeatDemand!G116/$G$13</f>
        <v>0.1970245030966869</v>
      </c>
      <c r="H122" s="110">
        <f>HomeHeatDemand!H116/$H$13</f>
        <v>3.471695198804188E-2</v>
      </c>
      <c r="I122" s="110">
        <f>HomeHeatDemand!F116/$I$13</f>
        <v>0.48220077187638283</v>
      </c>
      <c r="J122" s="110">
        <f>HomeHeatDemand!G116/$J$13</f>
        <v>0.26288381733406258</v>
      </c>
      <c r="K122" s="110">
        <f>HomeHeatDemand!H116/$K$13</f>
        <v>4.6321775826741275E-2</v>
      </c>
      <c r="L122" s="110"/>
      <c r="M122" s="110"/>
      <c r="N122" s="104">
        <f t="shared" si="6"/>
        <v>1791.2710412660065</v>
      </c>
      <c r="O122" s="104">
        <f t="shared" si="7"/>
        <v>835.61571540795808</v>
      </c>
      <c r="P122" s="104">
        <f t="shared" si="8"/>
        <v>130.45233542283216</v>
      </c>
      <c r="Q122" s="99"/>
      <c r="R122" s="99">
        <f>HomeHeatDemand!I116-HP_Power!N122</f>
        <v>6448.5757485576241</v>
      </c>
    </row>
    <row r="123" spans="1:18" x14ac:dyDescent="0.2">
      <c r="A123" s="17">
        <v>108</v>
      </c>
      <c r="B123" s="55">
        <f>HomeHeatDemand!F117/$B$13</f>
        <v>0.74636293386083608</v>
      </c>
      <c r="C123" s="55">
        <f>HomeHeatDemand!G117/$C$13</f>
        <v>0.34817321475331586</v>
      </c>
      <c r="D123" s="55">
        <f>HomeHeatDemand!H117/$D$13</f>
        <v>5.4355139759513407E-2</v>
      </c>
      <c r="E123" s="55"/>
      <c r="F123" s="110">
        <f>HomeHeatDemand!F117/$F$13</f>
        <v>0.36139678902735217</v>
      </c>
      <c r="G123" s="110">
        <f>HomeHeatDemand!G117/$G$13</f>
        <v>0.1970245030966869</v>
      </c>
      <c r="H123" s="110">
        <f>HomeHeatDemand!H117/$H$13</f>
        <v>3.471695198804188E-2</v>
      </c>
      <c r="I123" s="110">
        <f>HomeHeatDemand!F117/$I$13</f>
        <v>0.48220077187638283</v>
      </c>
      <c r="J123" s="110">
        <f>HomeHeatDemand!G117/$J$13</f>
        <v>0.26288381733406258</v>
      </c>
      <c r="K123" s="110">
        <f>HomeHeatDemand!H117/$K$13</f>
        <v>4.6321775826741275E-2</v>
      </c>
      <c r="L123" s="110"/>
      <c r="M123" s="110"/>
      <c r="N123" s="104">
        <f t="shared" si="6"/>
        <v>1791.2710412660065</v>
      </c>
      <c r="O123" s="104">
        <f t="shared" si="7"/>
        <v>835.61571540795808</v>
      </c>
      <c r="P123" s="104">
        <f t="shared" si="8"/>
        <v>130.45233542283216</v>
      </c>
      <c r="Q123" s="99"/>
      <c r="R123" s="99">
        <f>HomeHeatDemand!I117-HP_Power!N123</f>
        <v>6448.5757485576241</v>
      </c>
    </row>
    <row r="124" spans="1:18" x14ac:dyDescent="0.2">
      <c r="A124" s="17">
        <v>109</v>
      </c>
      <c r="B124" s="55">
        <f>HomeHeatDemand!F118/$B$13</f>
        <v>0.74636293386083608</v>
      </c>
      <c r="C124" s="55">
        <f>HomeHeatDemand!G118/$C$13</f>
        <v>0.34817321475331586</v>
      </c>
      <c r="D124" s="55">
        <f>HomeHeatDemand!H118/$D$13</f>
        <v>5.4355139759513407E-2</v>
      </c>
      <c r="E124" s="55"/>
      <c r="F124" s="110">
        <f>HomeHeatDemand!F118/$F$13</f>
        <v>0.36139678902735217</v>
      </c>
      <c r="G124" s="110">
        <f>HomeHeatDemand!G118/$G$13</f>
        <v>0.1970245030966869</v>
      </c>
      <c r="H124" s="110">
        <f>HomeHeatDemand!H118/$H$13</f>
        <v>3.471695198804188E-2</v>
      </c>
      <c r="I124" s="110">
        <f>HomeHeatDemand!F118/$I$13</f>
        <v>0.48220077187638283</v>
      </c>
      <c r="J124" s="110">
        <f>HomeHeatDemand!G118/$J$13</f>
        <v>0.26288381733406258</v>
      </c>
      <c r="K124" s="110">
        <f>HomeHeatDemand!H118/$K$13</f>
        <v>4.6321775826741275E-2</v>
      </c>
      <c r="L124" s="110"/>
      <c r="M124" s="110"/>
      <c r="N124" s="104">
        <f t="shared" si="6"/>
        <v>1791.2710412660065</v>
      </c>
      <c r="O124" s="104">
        <f t="shared" si="7"/>
        <v>835.61571540795808</v>
      </c>
      <c r="P124" s="104">
        <f t="shared" si="8"/>
        <v>130.45233542283216</v>
      </c>
      <c r="Q124" s="99"/>
      <c r="R124" s="99">
        <f>HomeHeatDemand!I118-HP_Power!N124</f>
        <v>6448.5757485576241</v>
      </c>
    </row>
    <row r="125" spans="1:18" x14ac:dyDescent="0.2">
      <c r="A125" s="17">
        <v>110</v>
      </c>
      <c r="B125" s="55">
        <f>HomeHeatDemand!F119/$B$13</f>
        <v>0.74636293386083608</v>
      </c>
      <c r="C125" s="55">
        <f>HomeHeatDemand!G119/$C$13</f>
        <v>0.34817321475331586</v>
      </c>
      <c r="D125" s="55">
        <f>HomeHeatDemand!H119/$D$13</f>
        <v>5.4355139759513407E-2</v>
      </c>
      <c r="E125" s="55"/>
      <c r="F125" s="110">
        <f>HomeHeatDemand!F119/$F$13</f>
        <v>0.36139678902735217</v>
      </c>
      <c r="G125" s="110">
        <f>HomeHeatDemand!G119/$G$13</f>
        <v>0.1970245030966869</v>
      </c>
      <c r="H125" s="110">
        <f>HomeHeatDemand!H119/$H$13</f>
        <v>3.471695198804188E-2</v>
      </c>
      <c r="I125" s="110">
        <f>HomeHeatDemand!F119/$I$13</f>
        <v>0.48220077187638283</v>
      </c>
      <c r="J125" s="110">
        <f>HomeHeatDemand!G119/$J$13</f>
        <v>0.26288381733406258</v>
      </c>
      <c r="K125" s="110">
        <f>HomeHeatDemand!H119/$K$13</f>
        <v>4.6321775826741275E-2</v>
      </c>
      <c r="L125" s="110"/>
      <c r="M125" s="110"/>
      <c r="N125" s="104">
        <f t="shared" si="6"/>
        <v>1791.2710412660065</v>
      </c>
      <c r="O125" s="104">
        <f t="shared" si="7"/>
        <v>835.61571540795808</v>
      </c>
      <c r="P125" s="104">
        <f t="shared" si="8"/>
        <v>130.45233542283216</v>
      </c>
      <c r="Q125" s="99"/>
      <c r="R125" s="99">
        <f>HomeHeatDemand!I119-HP_Power!N125</f>
        <v>6448.5757485576241</v>
      </c>
    </row>
    <row r="126" spans="1:18" x14ac:dyDescent="0.2">
      <c r="A126" s="17">
        <v>111</v>
      </c>
      <c r="B126" s="55">
        <f>HomeHeatDemand!F120/$B$13</f>
        <v>0.74636293386083608</v>
      </c>
      <c r="C126" s="55">
        <f>HomeHeatDemand!G120/$C$13</f>
        <v>0.34817321475331586</v>
      </c>
      <c r="D126" s="55">
        <f>HomeHeatDemand!H120/$D$13</f>
        <v>5.4355139759513407E-2</v>
      </c>
      <c r="E126" s="55"/>
      <c r="F126" s="110">
        <f>HomeHeatDemand!F120/$F$13</f>
        <v>0.36139678902735217</v>
      </c>
      <c r="G126" s="110">
        <f>HomeHeatDemand!G120/$G$13</f>
        <v>0.1970245030966869</v>
      </c>
      <c r="H126" s="110">
        <f>HomeHeatDemand!H120/$H$13</f>
        <v>3.471695198804188E-2</v>
      </c>
      <c r="I126" s="110">
        <f>HomeHeatDemand!F120/$I$13</f>
        <v>0.48220077187638283</v>
      </c>
      <c r="J126" s="110">
        <f>HomeHeatDemand!G120/$J$13</f>
        <v>0.26288381733406258</v>
      </c>
      <c r="K126" s="110">
        <f>HomeHeatDemand!H120/$K$13</f>
        <v>4.6321775826741275E-2</v>
      </c>
      <c r="L126" s="110"/>
      <c r="M126" s="110"/>
      <c r="N126" s="104">
        <f t="shared" si="6"/>
        <v>1791.2710412660065</v>
      </c>
      <c r="O126" s="104">
        <f t="shared" si="7"/>
        <v>835.61571540795808</v>
      </c>
      <c r="P126" s="104">
        <f t="shared" si="8"/>
        <v>130.45233542283216</v>
      </c>
      <c r="Q126" s="99"/>
      <c r="R126" s="99">
        <f>HomeHeatDemand!I120-HP_Power!N126</f>
        <v>6448.5757485576241</v>
      </c>
    </row>
    <row r="127" spans="1:18" x14ac:dyDescent="0.2">
      <c r="A127" s="17">
        <v>112</v>
      </c>
      <c r="B127" s="55">
        <f>HomeHeatDemand!F121/$B$13</f>
        <v>0.74636293386083608</v>
      </c>
      <c r="C127" s="55">
        <f>HomeHeatDemand!G121/$C$13</f>
        <v>0.34817321475331586</v>
      </c>
      <c r="D127" s="55">
        <f>HomeHeatDemand!H121/$D$13</f>
        <v>5.4355139759513407E-2</v>
      </c>
      <c r="E127" s="55"/>
      <c r="F127" s="110">
        <f>HomeHeatDemand!F121/$F$13</f>
        <v>0.36139678902735217</v>
      </c>
      <c r="G127" s="110">
        <f>HomeHeatDemand!G121/$G$13</f>
        <v>0.1970245030966869</v>
      </c>
      <c r="H127" s="110">
        <f>HomeHeatDemand!H121/$H$13</f>
        <v>3.471695198804188E-2</v>
      </c>
      <c r="I127" s="110">
        <f>HomeHeatDemand!F121/$I$13</f>
        <v>0.48220077187638283</v>
      </c>
      <c r="J127" s="110">
        <f>HomeHeatDemand!G121/$J$13</f>
        <v>0.26288381733406258</v>
      </c>
      <c r="K127" s="110">
        <f>HomeHeatDemand!H121/$K$13</f>
        <v>4.6321775826741275E-2</v>
      </c>
      <c r="L127" s="110"/>
      <c r="M127" s="110"/>
      <c r="N127" s="104">
        <f t="shared" si="6"/>
        <v>1791.2710412660065</v>
      </c>
      <c r="O127" s="104">
        <f t="shared" si="7"/>
        <v>835.61571540795808</v>
      </c>
      <c r="P127" s="104">
        <f t="shared" si="8"/>
        <v>130.45233542283216</v>
      </c>
      <c r="Q127" s="99"/>
      <c r="R127" s="99">
        <f>HomeHeatDemand!I121-HP_Power!N127</f>
        <v>6448.5757485576241</v>
      </c>
    </row>
    <row r="128" spans="1:18" x14ac:dyDescent="0.2">
      <c r="A128" s="17">
        <v>113</v>
      </c>
      <c r="B128" s="55">
        <f>HomeHeatDemand!F122/$B$13</f>
        <v>0.74636293386083608</v>
      </c>
      <c r="C128" s="55">
        <f>HomeHeatDemand!G122/$C$13</f>
        <v>0.34817321475331586</v>
      </c>
      <c r="D128" s="55">
        <f>HomeHeatDemand!H122/$D$13</f>
        <v>5.4355139759513407E-2</v>
      </c>
      <c r="E128" s="55"/>
      <c r="F128" s="110">
        <f>HomeHeatDemand!F122/$F$13</f>
        <v>0.36139678902735217</v>
      </c>
      <c r="G128" s="110">
        <f>HomeHeatDemand!G122/$G$13</f>
        <v>0.1970245030966869</v>
      </c>
      <c r="H128" s="110">
        <f>HomeHeatDemand!H122/$H$13</f>
        <v>3.471695198804188E-2</v>
      </c>
      <c r="I128" s="110">
        <f>HomeHeatDemand!F122/$I$13</f>
        <v>0.48220077187638283</v>
      </c>
      <c r="J128" s="110">
        <f>HomeHeatDemand!G122/$J$13</f>
        <v>0.26288381733406258</v>
      </c>
      <c r="K128" s="110">
        <f>HomeHeatDemand!H122/$K$13</f>
        <v>4.6321775826741275E-2</v>
      </c>
      <c r="L128" s="110"/>
      <c r="M128" s="110"/>
      <c r="N128" s="104">
        <f t="shared" si="6"/>
        <v>1791.2710412660065</v>
      </c>
      <c r="O128" s="104">
        <f t="shared" si="7"/>
        <v>835.61571540795808</v>
      </c>
      <c r="P128" s="104">
        <f t="shared" si="8"/>
        <v>130.45233542283216</v>
      </c>
      <c r="Q128" s="99"/>
      <c r="R128" s="99">
        <f>HomeHeatDemand!I122-HP_Power!N128</f>
        <v>6448.5757485576241</v>
      </c>
    </row>
    <row r="129" spans="1:18" x14ac:dyDescent="0.2">
      <c r="A129" s="17">
        <v>114</v>
      </c>
      <c r="B129" s="55">
        <f>HomeHeatDemand!F123/$B$13</f>
        <v>0.74636293386083608</v>
      </c>
      <c r="C129" s="55">
        <f>HomeHeatDemand!G123/$C$13</f>
        <v>0.34817321475331586</v>
      </c>
      <c r="D129" s="55">
        <f>HomeHeatDemand!H123/$D$13</f>
        <v>5.4355139759513407E-2</v>
      </c>
      <c r="E129" s="55"/>
      <c r="F129" s="110">
        <f>HomeHeatDemand!F123/$F$13</f>
        <v>0.36139678902735217</v>
      </c>
      <c r="G129" s="110">
        <f>HomeHeatDemand!G123/$G$13</f>
        <v>0.1970245030966869</v>
      </c>
      <c r="H129" s="110">
        <f>HomeHeatDemand!H123/$H$13</f>
        <v>3.471695198804188E-2</v>
      </c>
      <c r="I129" s="110">
        <f>HomeHeatDemand!F123/$I$13</f>
        <v>0.48220077187638283</v>
      </c>
      <c r="J129" s="110">
        <f>HomeHeatDemand!G123/$J$13</f>
        <v>0.26288381733406258</v>
      </c>
      <c r="K129" s="110">
        <f>HomeHeatDemand!H123/$K$13</f>
        <v>4.6321775826741275E-2</v>
      </c>
      <c r="L129" s="110"/>
      <c r="M129" s="110"/>
      <c r="N129" s="104">
        <f t="shared" si="6"/>
        <v>1791.2710412660065</v>
      </c>
      <c r="O129" s="104">
        <f t="shared" si="7"/>
        <v>835.61571540795808</v>
      </c>
      <c r="P129" s="104">
        <f t="shared" si="8"/>
        <v>130.45233542283216</v>
      </c>
      <c r="Q129" s="99"/>
      <c r="R129" s="99">
        <f>HomeHeatDemand!I123-HP_Power!N129</f>
        <v>6448.5757485576241</v>
      </c>
    </row>
    <row r="130" spans="1:18" x14ac:dyDescent="0.2">
      <c r="A130" s="17">
        <v>115</v>
      </c>
      <c r="B130" s="55">
        <f>HomeHeatDemand!F124/$B$13</f>
        <v>0.74636293386083608</v>
      </c>
      <c r="C130" s="55">
        <f>HomeHeatDemand!G124/$C$13</f>
        <v>0.34817321475331586</v>
      </c>
      <c r="D130" s="55">
        <f>HomeHeatDemand!H124/$D$13</f>
        <v>5.4355139759513407E-2</v>
      </c>
      <c r="E130" s="55"/>
      <c r="F130" s="110">
        <f>HomeHeatDemand!F124/$F$13</f>
        <v>0.36139678902735217</v>
      </c>
      <c r="G130" s="110">
        <f>HomeHeatDemand!G124/$G$13</f>
        <v>0.1970245030966869</v>
      </c>
      <c r="H130" s="110">
        <f>HomeHeatDemand!H124/$H$13</f>
        <v>3.471695198804188E-2</v>
      </c>
      <c r="I130" s="110">
        <f>HomeHeatDemand!F124/$I$13</f>
        <v>0.48220077187638283</v>
      </c>
      <c r="J130" s="110">
        <f>HomeHeatDemand!G124/$J$13</f>
        <v>0.26288381733406258</v>
      </c>
      <c r="K130" s="110">
        <f>HomeHeatDemand!H124/$K$13</f>
        <v>4.6321775826741275E-2</v>
      </c>
      <c r="L130" s="110"/>
      <c r="M130" s="110"/>
      <c r="N130" s="104">
        <f t="shared" si="6"/>
        <v>1791.2710412660065</v>
      </c>
      <c r="O130" s="104">
        <f t="shared" si="7"/>
        <v>835.61571540795808</v>
      </c>
      <c r="P130" s="104">
        <f t="shared" si="8"/>
        <v>130.45233542283216</v>
      </c>
      <c r="Q130" s="99"/>
      <c r="R130" s="99">
        <f>HomeHeatDemand!I124-HP_Power!N130</f>
        <v>6448.5757485576241</v>
      </c>
    </row>
    <row r="131" spans="1:18" x14ac:dyDescent="0.2">
      <c r="A131" s="17">
        <v>116</v>
      </c>
      <c r="B131" s="55">
        <f>HomeHeatDemand!F125/$B$13</f>
        <v>0.74636293386083608</v>
      </c>
      <c r="C131" s="55">
        <f>HomeHeatDemand!G125/$C$13</f>
        <v>0.34817321475331586</v>
      </c>
      <c r="D131" s="55">
        <f>HomeHeatDemand!H125/$D$13</f>
        <v>5.4355139759513407E-2</v>
      </c>
      <c r="E131" s="55"/>
      <c r="F131" s="110">
        <f>HomeHeatDemand!F125/$F$13</f>
        <v>0.36139678902735217</v>
      </c>
      <c r="G131" s="110">
        <f>HomeHeatDemand!G125/$G$13</f>
        <v>0.1970245030966869</v>
      </c>
      <c r="H131" s="110">
        <f>HomeHeatDemand!H125/$H$13</f>
        <v>3.471695198804188E-2</v>
      </c>
      <c r="I131" s="110">
        <f>HomeHeatDemand!F125/$I$13</f>
        <v>0.48220077187638283</v>
      </c>
      <c r="J131" s="110">
        <f>HomeHeatDemand!G125/$J$13</f>
        <v>0.26288381733406258</v>
      </c>
      <c r="K131" s="110">
        <f>HomeHeatDemand!H125/$K$13</f>
        <v>4.6321775826741275E-2</v>
      </c>
      <c r="L131" s="110"/>
      <c r="M131" s="110"/>
      <c r="N131" s="104">
        <f t="shared" si="6"/>
        <v>1791.2710412660065</v>
      </c>
      <c r="O131" s="104">
        <f t="shared" si="7"/>
        <v>835.61571540795808</v>
      </c>
      <c r="P131" s="104">
        <f t="shared" si="8"/>
        <v>130.45233542283216</v>
      </c>
      <c r="Q131" s="99"/>
      <c r="R131" s="99">
        <f>HomeHeatDemand!I125-HP_Power!N131</f>
        <v>6448.5757485576241</v>
      </c>
    </row>
    <row r="132" spans="1:18" x14ac:dyDescent="0.2">
      <c r="A132" s="17">
        <v>117</v>
      </c>
      <c r="B132" s="55">
        <f>HomeHeatDemand!F126/$B$13</f>
        <v>0.74636293386083608</v>
      </c>
      <c r="C132" s="55">
        <f>HomeHeatDemand!G126/$C$13</f>
        <v>0.34817321475331586</v>
      </c>
      <c r="D132" s="55">
        <f>HomeHeatDemand!H126/$D$13</f>
        <v>5.4355139759513407E-2</v>
      </c>
      <c r="E132" s="55"/>
      <c r="F132" s="110">
        <f>HomeHeatDemand!F126/$F$13</f>
        <v>0.36139678902735217</v>
      </c>
      <c r="G132" s="110">
        <f>HomeHeatDemand!G126/$G$13</f>
        <v>0.1970245030966869</v>
      </c>
      <c r="H132" s="110">
        <f>HomeHeatDemand!H126/$H$13</f>
        <v>3.471695198804188E-2</v>
      </c>
      <c r="I132" s="110">
        <f>HomeHeatDemand!F126/$I$13</f>
        <v>0.48220077187638283</v>
      </c>
      <c r="J132" s="110">
        <f>HomeHeatDemand!G126/$J$13</f>
        <v>0.26288381733406258</v>
      </c>
      <c r="K132" s="110">
        <f>HomeHeatDemand!H126/$K$13</f>
        <v>4.6321775826741275E-2</v>
      </c>
      <c r="L132" s="110"/>
      <c r="M132" s="110"/>
      <c r="N132" s="104">
        <f t="shared" si="6"/>
        <v>1791.2710412660065</v>
      </c>
      <c r="O132" s="104">
        <f t="shared" si="7"/>
        <v>835.61571540795808</v>
      </c>
      <c r="P132" s="104">
        <f t="shared" si="8"/>
        <v>130.45233542283216</v>
      </c>
      <c r="Q132" s="99"/>
      <c r="R132" s="99">
        <f>HomeHeatDemand!I126-HP_Power!N132</f>
        <v>6448.5757485576241</v>
      </c>
    </row>
    <row r="133" spans="1:18" x14ac:dyDescent="0.2">
      <c r="A133" s="17">
        <v>118</v>
      </c>
      <c r="B133" s="55">
        <f>HomeHeatDemand!F127/$B$13</f>
        <v>0.74636293386083608</v>
      </c>
      <c r="C133" s="55">
        <f>HomeHeatDemand!G127/$C$13</f>
        <v>0.34817321475331586</v>
      </c>
      <c r="D133" s="55">
        <f>HomeHeatDemand!H127/$D$13</f>
        <v>5.4355139759513407E-2</v>
      </c>
      <c r="E133" s="55"/>
      <c r="F133" s="110">
        <f>HomeHeatDemand!F127/$F$13</f>
        <v>0.36139678902735217</v>
      </c>
      <c r="G133" s="110">
        <f>HomeHeatDemand!G127/$G$13</f>
        <v>0.1970245030966869</v>
      </c>
      <c r="H133" s="110">
        <f>HomeHeatDemand!H127/$H$13</f>
        <v>3.471695198804188E-2</v>
      </c>
      <c r="I133" s="110">
        <f>HomeHeatDemand!F127/$I$13</f>
        <v>0.48220077187638283</v>
      </c>
      <c r="J133" s="110">
        <f>HomeHeatDemand!G127/$J$13</f>
        <v>0.26288381733406258</v>
      </c>
      <c r="K133" s="110">
        <f>HomeHeatDemand!H127/$K$13</f>
        <v>4.6321775826741275E-2</v>
      </c>
      <c r="L133" s="110"/>
      <c r="M133" s="110"/>
      <c r="N133" s="104">
        <f t="shared" si="6"/>
        <v>1791.2710412660065</v>
      </c>
      <c r="O133" s="104">
        <f t="shared" si="7"/>
        <v>835.61571540795808</v>
      </c>
      <c r="P133" s="104">
        <f t="shared" si="8"/>
        <v>130.45233542283216</v>
      </c>
      <c r="Q133" s="99"/>
      <c r="R133" s="99">
        <f>HomeHeatDemand!I127-HP_Power!N133</f>
        <v>6448.5757485576241</v>
      </c>
    </row>
    <row r="134" spans="1:18" x14ac:dyDescent="0.2">
      <c r="A134" s="17">
        <v>119</v>
      </c>
      <c r="B134" s="55">
        <f>HomeHeatDemand!F128/$B$13</f>
        <v>0</v>
      </c>
      <c r="C134" s="55">
        <f>HomeHeatDemand!G128/$C$13</f>
        <v>0</v>
      </c>
      <c r="D134" s="55">
        <f>HomeHeatDemand!H128/$D$13</f>
        <v>0</v>
      </c>
      <c r="E134" s="55"/>
      <c r="F134" s="110">
        <f>HomeHeatDemand!F128/$F$13</f>
        <v>0</v>
      </c>
      <c r="G134" s="110">
        <f>HomeHeatDemand!G128/$G$13</f>
        <v>0</v>
      </c>
      <c r="H134" s="110">
        <f>HomeHeatDemand!H128/$H$13</f>
        <v>0</v>
      </c>
      <c r="I134" s="110">
        <f>HomeHeatDemand!F128/$I$13</f>
        <v>0</v>
      </c>
      <c r="J134" s="110">
        <f>HomeHeatDemand!G128/$J$13</f>
        <v>0</v>
      </c>
      <c r="K134" s="110">
        <f>HomeHeatDemand!H128/$K$13</f>
        <v>0</v>
      </c>
      <c r="L134" s="110"/>
      <c r="M134" s="110"/>
      <c r="N134" s="104">
        <f t="shared" si="6"/>
        <v>0</v>
      </c>
      <c r="O134" s="104">
        <f t="shared" si="7"/>
        <v>0</v>
      </c>
      <c r="P134" s="104">
        <f t="shared" si="8"/>
        <v>0</v>
      </c>
      <c r="Q134" s="99"/>
      <c r="R134" s="99">
        <f>HomeHeatDemand!I128-HP_Power!N134</f>
        <v>0</v>
      </c>
    </row>
    <row r="135" spans="1:18" x14ac:dyDescent="0.2">
      <c r="A135" s="17">
        <v>120</v>
      </c>
      <c r="B135" s="55">
        <f>HomeHeatDemand!F129/$B$13</f>
        <v>0</v>
      </c>
      <c r="C135" s="55">
        <f>HomeHeatDemand!G129/$C$13</f>
        <v>0</v>
      </c>
      <c r="D135" s="55">
        <f>HomeHeatDemand!H129/$D$13</f>
        <v>0</v>
      </c>
      <c r="E135" s="55"/>
      <c r="F135" s="110">
        <f>HomeHeatDemand!F129/$F$13</f>
        <v>0</v>
      </c>
      <c r="G135" s="110">
        <f>HomeHeatDemand!G129/$G$13</f>
        <v>0</v>
      </c>
      <c r="H135" s="110">
        <f>HomeHeatDemand!H129/$H$13</f>
        <v>0</v>
      </c>
      <c r="I135" s="110">
        <f>HomeHeatDemand!F129/$I$13</f>
        <v>0</v>
      </c>
      <c r="J135" s="110">
        <f>HomeHeatDemand!G129/$J$13</f>
        <v>0</v>
      </c>
      <c r="K135" s="110">
        <f>HomeHeatDemand!H129/$K$13</f>
        <v>0</v>
      </c>
      <c r="L135" s="110"/>
      <c r="M135" s="110"/>
      <c r="N135" s="104">
        <f t="shared" si="6"/>
        <v>0</v>
      </c>
      <c r="O135" s="104">
        <f t="shared" si="7"/>
        <v>0</v>
      </c>
      <c r="P135" s="104">
        <f t="shared" si="8"/>
        <v>0</v>
      </c>
      <c r="Q135" s="99"/>
      <c r="R135" s="99">
        <f>HomeHeatDemand!I129-HP_Power!N135</f>
        <v>0</v>
      </c>
    </row>
    <row r="136" spans="1:18" x14ac:dyDescent="0.2">
      <c r="A136" s="17">
        <v>121</v>
      </c>
      <c r="B136" s="55">
        <f>HomeHeatDemand!F130/$B$13</f>
        <v>0</v>
      </c>
      <c r="C136" s="55">
        <f>HomeHeatDemand!G130/$C$13</f>
        <v>0</v>
      </c>
      <c r="D136" s="55">
        <f>HomeHeatDemand!H130/$D$13</f>
        <v>0</v>
      </c>
      <c r="E136" s="55"/>
      <c r="F136" s="110">
        <f>HomeHeatDemand!F130/$F$13</f>
        <v>0</v>
      </c>
      <c r="G136" s="110">
        <f>HomeHeatDemand!G130/$G$13</f>
        <v>0</v>
      </c>
      <c r="H136" s="110">
        <f>HomeHeatDemand!H130/$H$13</f>
        <v>0</v>
      </c>
      <c r="I136" s="110">
        <f>HomeHeatDemand!F130/$I$13</f>
        <v>0</v>
      </c>
      <c r="J136" s="110">
        <f>HomeHeatDemand!G130/$J$13</f>
        <v>0</v>
      </c>
      <c r="K136" s="110">
        <f>HomeHeatDemand!H130/$K$13</f>
        <v>0</v>
      </c>
      <c r="L136" s="110"/>
      <c r="M136" s="110"/>
      <c r="N136" s="104">
        <f t="shared" si="6"/>
        <v>0</v>
      </c>
      <c r="O136" s="104">
        <f t="shared" si="7"/>
        <v>0</v>
      </c>
      <c r="P136" s="104">
        <f t="shared" si="8"/>
        <v>0</v>
      </c>
      <c r="Q136" s="99"/>
      <c r="R136" s="99">
        <f>HomeHeatDemand!I130-HP_Power!N136</f>
        <v>0</v>
      </c>
    </row>
    <row r="137" spans="1:18" x14ac:dyDescent="0.2">
      <c r="A137" s="17">
        <v>122</v>
      </c>
      <c r="B137" s="55">
        <f>HomeHeatDemand!F131/$B$13</f>
        <v>0</v>
      </c>
      <c r="C137" s="55">
        <f>HomeHeatDemand!G131/$C$13</f>
        <v>0</v>
      </c>
      <c r="D137" s="55">
        <f>HomeHeatDemand!H131/$D$13</f>
        <v>0</v>
      </c>
      <c r="E137" s="55"/>
      <c r="F137" s="110">
        <f>HomeHeatDemand!F131/$F$13</f>
        <v>0</v>
      </c>
      <c r="G137" s="110">
        <f>HomeHeatDemand!G131/$G$13</f>
        <v>0</v>
      </c>
      <c r="H137" s="110">
        <f>HomeHeatDemand!H131/$H$13</f>
        <v>0</v>
      </c>
      <c r="I137" s="110">
        <f>HomeHeatDemand!F131/$I$13</f>
        <v>0</v>
      </c>
      <c r="J137" s="110">
        <f>HomeHeatDemand!G131/$J$13</f>
        <v>0</v>
      </c>
      <c r="K137" s="110">
        <f>HomeHeatDemand!H131/$K$13</f>
        <v>0</v>
      </c>
      <c r="L137" s="110"/>
      <c r="M137" s="110"/>
      <c r="N137" s="104">
        <f t="shared" si="6"/>
        <v>0</v>
      </c>
      <c r="O137" s="104">
        <f t="shared" si="7"/>
        <v>0</v>
      </c>
      <c r="P137" s="104">
        <f t="shared" si="8"/>
        <v>0</v>
      </c>
      <c r="Q137" s="99"/>
      <c r="R137" s="99">
        <f>HomeHeatDemand!I131-HP_Power!N137</f>
        <v>0</v>
      </c>
    </row>
    <row r="138" spans="1:18" x14ac:dyDescent="0.2">
      <c r="A138" s="17">
        <v>123</v>
      </c>
      <c r="B138" s="55">
        <f>HomeHeatDemand!F132/$B$13</f>
        <v>0</v>
      </c>
      <c r="C138" s="55">
        <f>HomeHeatDemand!G132/$C$13</f>
        <v>0</v>
      </c>
      <c r="D138" s="55">
        <f>HomeHeatDemand!H132/$D$13</f>
        <v>0</v>
      </c>
      <c r="E138" s="55"/>
      <c r="F138" s="110">
        <f>HomeHeatDemand!F132/$F$13</f>
        <v>0</v>
      </c>
      <c r="G138" s="110">
        <f>HomeHeatDemand!G132/$G$13</f>
        <v>0</v>
      </c>
      <c r="H138" s="110">
        <f>HomeHeatDemand!H132/$H$13</f>
        <v>0</v>
      </c>
      <c r="I138" s="110">
        <f>HomeHeatDemand!F132/$I$13</f>
        <v>0</v>
      </c>
      <c r="J138" s="110">
        <f>HomeHeatDemand!G132/$J$13</f>
        <v>0</v>
      </c>
      <c r="K138" s="110">
        <f>HomeHeatDemand!H132/$K$13</f>
        <v>0</v>
      </c>
      <c r="L138" s="110"/>
      <c r="M138" s="110"/>
      <c r="N138" s="104">
        <f t="shared" si="6"/>
        <v>0</v>
      </c>
      <c r="O138" s="104">
        <f t="shared" si="7"/>
        <v>0</v>
      </c>
      <c r="P138" s="104">
        <f t="shared" si="8"/>
        <v>0</v>
      </c>
      <c r="Q138" s="99"/>
      <c r="R138" s="99">
        <f>HomeHeatDemand!I132-HP_Power!N138</f>
        <v>0</v>
      </c>
    </row>
    <row r="139" spans="1:18" x14ac:dyDescent="0.2">
      <c r="A139" s="17">
        <v>124</v>
      </c>
      <c r="B139" s="55">
        <f>HomeHeatDemand!F133/$B$13</f>
        <v>0</v>
      </c>
      <c r="C139" s="55">
        <f>HomeHeatDemand!G133/$C$13</f>
        <v>0</v>
      </c>
      <c r="D139" s="55">
        <f>HomeHeatDemand!H133/$D$13</f>
        <v>0</v>
      </c>
      <c r="E139" s="55"/>
      <c r="F139" s="110">
        <f>HomeHeatDemand!F133/$F$13</f>
        <v>0</v>
      </c>
      <c r="G139" s="110">
        <f>HomeHeatDemand!G133/$G$13</f>
        <v>0</v>
      </c>
      <c r="H139" s="110">
        <f>HomeHeatDemand!H133/$H$13</f>
        <v>0</v>
      </c>
      <c r="I139" s="110">
        <f>HomeHeatDemand!F133/$I$13</f>
        <v>0</v>
      </c>
      <c r="J139" s="110">
        <f>HomeHeatDemand!G133/$J$13</f>
        <v>0</v>
      </c>
      <c r="K139" s="110">
        <f>HomeHeatDemand!H133/$K$13</f>
        <v>0</v>
      </c>
      <c r="L139" s="110"/>
      <c r="M139" s="110"/>
      <c r="N139" s="104">
        <f t="shared" si="6"/>
        <v>0</v>
      </c>
      <c r="O139" s="104">
        <f t="shared" si="7"/>
        <v>0</v>
      </c>
      <c r="P139" s="104">
        <f t="shared" si="8"/>
        <v>0</v>
      </c>
      <c r="Q139" s="99"/>
      <c r="R139" s="99">
        <f>HomeHeatDemand!I133-HP_Power!N139</f>
        <v>0</v>
      </c>
    </row>
    <row r="140" spans="1:18" x14ac:dyDescent="0.2">
      <c r="A140" s="17">
        <v>125</v>
      </c>
      <c r="B140" s="55">
        <f>HomeHeatDemand!F134/$B$13</f>
        <v>0</v>
      </c>
      <c r="C140" s="55">
        <f>HomeHeatDemand!G134/$C$13</f>
        <v>0</v>
      </c>
      <c r="D140" s="55">
        <f>HomeHeatDemand!H134/$D$13</f>
        <v>0</v>
      </c>
      <c r="E140" s="55"/>
      <c r="F140" s="110">
        <f>HomeHeatDemand!F134/$F$13</f>
        <v>0</v>
      </c>
      <c r="G140" s="110">
        <f>HomeHeatDemand!G134/$G$13</f>
        <v>0</v>
      </c>
      <c r="H140" s="110">
        <f>HomeHeatDemand!H134/$H$13</f>
        <v>0</v>
      </c>
      <c r="I140" s="110">
        <f>HomeHeatDemand!F134/$I$13</f>
        <v>0</v>
      </c>
      <c r="J140" s="110">
        <f>HomeHeatDemand!G134/$J$13</f>
        <v>0</v>
      </c>
      <c r="K140" s="110">
        <f>HomeHeatDemand!H134/$K$13</f>
        <v>0</v>
      </c>
      <c r="L140" s="110"/>
      <c r="M140" s="110"/>
      <c r="N140" s="104">
        <f t="shared" si="6"/>
        <v>0</v>
      </c>
      <c r="O140" s="104">
        <f t="shared" si="7"/>
        <v>0</v>
      </c>
      <c r="P140" s="104">
        <f t="shared" si="8"/>
        <v>0</v>
      </c>
      <c r="Q140" s="99"/>
      <c r="R140" s="99">
        <f>HomeHeatDemand!I134-HP_Power!N140</f>
        <v>0</v>
      </c>
    </row>
    <row r="141" spans="1:18" x14ac:dyDescent="0.2">
      <c r="A141" s="17">
        <v>126</v>
      </c>
      <c r="B141" s="55">
        <f>HomeHeatDemand!F135/$B$13</f>
        <v>0</v>
      </c>
      <c r="C141" s="55">
        <f>HomeHeatDemand!G135/$C$13</f>
        <v>0</v>
      </c>
      <c r="D141" s="55">
        <f>HomeHeatDemand!H135/$D$13</f>
        <v>0</v>
      </c>
      <c r="E141" s="55"/>
      <c r="F141" s="110">
        <f>HomeHeatDemand!F135/$F$13</f>
        <v>0</v>
      </c>
      <c r="G141" s="110">
        <f>HomeHeatDemand!G135/$G$13</f>
        <v>0</v>
      </c>
      <c r="H141" s="110">
        <f>HomeHeatDemand!H135/$H$13</f>
        <v>0</v>
      </c>
      <c r="I141" s="110">
        <f>HomeHeatDemand!F135/$I$13</f>
        <v>0</v>
      </c>
      <c r="J141" s="110">
        <f>HomeHeatDemand!G135/$J$13</f>
        <v>0</v>
      </c>
      <c r="K141" s="110">
        <f>HomeHeatDemand!H135/$K$13</f>
        <v>0</v>
      </c>
      <c r="L141" s="110"/>
      <c r="M141" s="110"/>
      <c r="N141" s="104">
        <f t="shared" si="6"/>
        <v>0</v>
      </c>
      <c r="O141" s="104">
        <f t="shared" si="7"/>
        <v>0</v>
      </c>
      <c r="P141" s="104">
        <f t="shared" si="8"/>
        <v>0</v>
      </c>
      <c r="Q141" s="99"/>
      <c r="R141" s="99">
        <f>HomeHeatDemand!I135-HP_Power!N141</f>
        <v>0</v>
      </c>
    </row>
    <row r="142" spans="1:18" x14ac:dyDescent="0.2">
      <c r="A142" s="17">
        <v>127</v>
      </c>
      <c r="B142" s="55">
        <f>HomeHeatDemand!F136/$B$13</f>
        <v>0.74636293386083608</v>
      </c>
      <c r="C142" s="55">
        <f>HomeHeatDemand!G136/$C$13</f>
        <v>0.34817321475331586</v>
      </c>
      <c r="D142" s="55">
        <f>HomeHeatDemand!H136/$D$13</f>
        <v>5.4355139759513407E-2</v>
      </c>
      <c r="E142" s="55"/>
      <c r="F142" s="110">
        <f>HomeHeatDemand!F136/$F$13</f>
        <v>0.36139678902735217</v>
      </c>
      <c r="G142" s="110">
        <f>HomeHeatDemand!G136/$G$13</f>
        <v>0.1970245030966869</v>
      </c>
      <c r="H142" s="110">
        <f>HomeHeatDemand!H136/$H$13</f>
        <v>3.471695198804188E-2</v>
      </c>
      <c r="I142" s="110">
        <f>HomeHeatDemand!F136/$I$13</f>
        <v>0.48220077187638283</v>
      </c>
      <c r="J142" s="110">
        <f>HomeHeatDemand!G136/$J$13</f>
        <v>0.26288381733406258</v>
      </c>
      <c r="K142" s="110">
        <f>HomeHeatDemand!H136/$K$13</f>
        <v>4.6321775826741275E-2</v>
      </c>
      <c r="L142" s="110"/>
      <c r="M142" s="110"/>
      <c r="N142" s="104">
        <f t="shared" si="6"/>
        <v>1791.2710412660065</v>
      </c>
      <c r="O142" s="104">
        <f t="shared" si="7"/>
        <v>835.61571540795808</v>
      </c>
      <c r="P142" s="104">
        <f t="shared" si="8"/>
        <v>130.45233542283216</v>
      </c>
      <c r="Q142" s="99"/>
      <c r="R142" s="99">
        <f>HomeHeatDemand!I136-HP_Power!N142</f>
        <v>6448.5757485576241</v>
      </c>
    </row>
    <row r="143" spans="1:18" x14ac:dyDescent="0.2">
      <c r="A143" s="17">
        <v>128</v>
      </c>
      <c r="B143" s="55">
        <f>HomeHeatDemand!F137/$B$13</f>
        <v>0.74636293386083608</v>
      </c>
      <c r="C143" s="55">
        <f>HomeHeatDemand!G137/$C$13</f>
        <v>0.34817321475331586</v>
      </c>
      <c r="D143" s="55">
        <f>HomeHeatDemand!H137/$D$13</f>
        <v>5.4355139759513407E-2</v>
      </c>
      <c r="E143" s="55"/>
      <c r="F143" s="110">
        <f>HomeHeatDemand!F137/$F$13</f>
        <v>0.36139678902735217</v>
      </c>
      <c r="G143" s="110">
        <f>HomeHeatDemand!G137/$G$13</f>
        <v>0.1970245030966869</v>
      </c>
      <c r="H143" s="110">
        <f>HomeHeatDemand!H137/$H$13</f>
        <v>3.471695198804188E-2</v>
      </c>
      <c r="I143" s="110">
        <f>HomeHeatDemand!F137/$I$13</f>
        <v>0.48220077187638283</v>
      </c>
      <c r="J143" s="110">
        <f>HomeHeatDemand!G137/$J$13</f>
        <v>0.26288381733406258</v>
      </c>
      <c r="K143" s="110">
        <f>HomeHeatDemand!H137/$K$13</f>
        <v>4.6321775826741275E-2</v>
      </c>
      <c r="L143" s="110"/>
      <c r="M143" s="110"/>
      <c r="N143" s="104">
        <f t="shared" si="6"/>
        <v>1791.2710412660065</v>
      </c>
      <c r="O143" s="104">
        <f t="shared" si="7"/>
        <v>835.61571540795808</v>
      </c>
      <c r="P143" s="104">
        <f t="shared" si="8"/>
        <v>130.45233542283216</v>
      </c>
      <c r="Q143" s="99"/>
      <c r="R143" s="99">
        <f>HomeHeatDemand!I137-HP_Power!N143</f>
        <v>6448.5757485576241</v>
      </c>
    </row>
    <row r="144" spans="1:18" x14ac:dyDescent="0.2">
      <c r="A144" s="17">
        <v>129</v>
      </c>
      <c r="B144" s="55">
        <f>HomeHeatDemand!F138/$B$13</f>
        <v>0</v>
      </c>
      <c r="C144" s="55">
        <f>HomeHeatDemand!G138/$C$13</f>
        <v>0</v>
      </c>
      <c r="D144" s="55">
        <f>HomeHeatDemand!H138/$D$13</f>
        <v>0</v>
      </c>
      <c r="E144" s="55"/>
      <c r="F144" s="110">
        <f>HomeHeatDemand!F138/$F$13</f>
        <v>0</v>
      </c>
      <c r="G144" s="110">
        <f>HomeHeatDemand!G138/$G$13</f>
        <v>0</v>
      </c>
      <c r="H144" s="110">
        <f>HomeHeatDemand!H138/$H$13</f>
        <v>0</v>
      </c>
      <c r="I144" s="110">
        <f>HomeHeatDemand!F138/$I$13</f>
        <v>0</v>
      </c>
      <c r="J144" s="110">
        <f>HomeHeatDemand!G138/$J$13</f>
        <v>0</v>
      </c>
      <c r="K144" s="110">
        <f>HomeHeatDemand!H138/$K$13</f>
        <v>0</v>
      </c>
      <c r="L144" s="110"/>
      <c r="M144" s="110"/>
      <c r="N144" s="104">
        <f t="shared" si="6"/>
        <v>0</v>
      </c>
      <c r="O144" s="104">
        <f t="shared" si="7"/>
        <v>0</v>
      </c>
      <c r="P144" s="104">
        <f t="shared" si="8"/>
        <v>0</v>
      </c>
      <c r="Q144" s="99"/>
      <c r="R144" s="99">
        <f>HomeHeatDemand!I138-HP_Power!N144</f>
        <v>0</v>
      </c>
    </row>
    <row r="145" spans="1:18" x14ac:dyDescent="0.2">
      <c r="A145" s="17">
        <v>130</v>
      </c>
      <c r="B145" s="55">
        <f>HomeHeatDemand!F139/$B$13</f>
        <v>0</v>
      </c>
      <c r="C145" s="55">
        <f>HomeHeatDemand!G139/$C$13</f>
        <v>0</v>
      </c>
      <c r="D145" s="55">
        <f>HomeHeatDemand!H139/$D$13</f>
        <v>0</v>
      </c>
      <c r="E145" s="55"/>
      <c r="F145" s="110">
        <f>HomeHeatDemand!F139/$F$13</f>
        <v>0</v>
      </c>
      <c r="G145" s="110">
        <f>HomeHeatDemand!G139/$G$13</f>
        <v>0</v>
      </c>
      <c r="H145" s="110">
        <f>HomeHeatDemand!H139/$H$13</f>
        <v>0</v>
      </c>
      <c r="I145" s="110">
        <f>HomeHeatDemand!F139/$I$13</f>
        <v>0</v>
      </c>
      <c r="J145" s="110">
        <f>HomeHeatDemand!G139/$J$13</f>
        <v>0</v>
      </c>
      <c r="K145" s="110">
        <f>HomeHeatDemand!H139/$K$13</f>
        <v>0</v>
      </c>
      <c r="L145" s="110"/>
      <c r="M145" s="110"/>
      <c r="N145" s="104">
        <f t="shared" ref="N145:N183" si="9">B145*$B$6</f>
        <v>0</v>
      </c>
      <c r="O145" s="104">
        <f t="shared" ref="O145:O183" si="10">C145*$B$6</f>
        <v>0</v>
      </c>
      <c r="P145" s="104">
        <f t="shared" ref="P145:P183" si="11">D145*$B$6</f>
        <v>0</v>
      </c>
      <c r="Q145" s="99"/>
      <c r="R145" s="99">
        <f>HomeHeatDemand!I139-HP_Power!N145</f>
        <v>0</v>
      </c>
    </row>
    <row r="146" spans="1:18" x14ac:dyDescent="0.2">
      <c r="A146" s="17">
        <v>131</v>
      </c>
      <c r="B146" s="55">
        <f>HomeHeatDemand!F140/$B$13</f>
        <v>0</v>
      </c>
      <c r="C146" s="55">
        <f>HomeHeatDemand!G140/$C$13</f>
        <v>0</v>
      </c>
      <c r="D146" s="55">
        <f>HomeHeatDemand!H140/$D$13</f>
        <v>0</v>
      </c>
      <c r="E146" s="55"/>
      <c r="F146" s="110">
        <f>HomeHeatDemand!F140/$F$13</f>
        <v>0</v>
      </c>
      <c r="G146" s="110">
        <f>HomeHeatDemand!G140/$G$13</f>
        <v>0</v>
      </c>
      <c r="H146" s="110">
        <f>HomeHeatDemand!H140/$H$13</f>
        <v>0</v>
      </c>
      <c r="I146" s="110">
        <f>HomeHeatDemand!F140/$I$13</f>
        <v>0</v>
      </c>
      <c r="J146" s="110">
        <f>HomeHeatDemand!G140/$J$13</f>
        <v>0</v>
      </c>
      <c r="K146" s="110">
        <f>HomeHeatDemand!H140/$K$13</f>
        <v>0</v>
      </c>
      <c r="L146" s="110"/>
      <c r="M146" s="110"/>
      <c r="N146" s="104">
        <f t="shared" si="9"/>
        <v>0</v>
      </c>
      <c r="O146" s="104">
        <f t="shared" si="10"/>
        <v>0</v>
      </c>
      <c r="P146" s="104">
        <f t="shared" si="11"/>
        <v>0</v>
      </c>
      <c r="Q146" s="99"/>
      <c r="R146" s="99">
        <f>HomeHeatDemand!I140-HP_Power!N146</f>
        <v>0</v>
      </c>
    </row>
    <row r="147" spans="1:18" x14ac:dyDescent="0.2">
      <c r="A147" s="17">
        <v>132</v>
      </c>
      <c r="B147" s="55">
        <f>HomeHeatDemand!F141/$B$13</f>
        <v>0</v>
      </c>
      <c r="C147" s="55">
        <f>HomeHeatDemand!G141/$C$13</f>
        <v>0</v>
      </c>
      <c r="D147" s="55">
        <f>HomeHeatDemand!H141/$D$13</f>
        <v>0</v>
      </c>
      <c r="E147" s="55"/>
      <c r="F147" s="110">
        <f>HomeHeatDemand!F141/$F$13</f>
        <v>0</v>
      </c>
      <c r="G147" s="110">
        <f>HomeHeatDemand!G141/$G$13</f>
        <v>0</v>
      </c>
      <c r="H147" s="110">
        <f>HomeHeatDemand!H141/$H$13</f>
        <v>0</v>
      </c>
      <c r="I147" s="110">
        <f>HomeHeatDemand!F141/$I$13</f>
        <v>0</v>
      </c>
      <c r="J147" s="110">
        <f>HomeHeatDemand!G141/$J$13</f>
        <v>0</v>
      </c>
      <c r="K147" s="110">
        <f>HomeHeatDemand!H141/$K$13</f>
        <v>0</v>
      </c>
      <c r="L147" s="110"/>
      <c r="M147" s="110"/>
      <c r="N147" s="104">
        <f t="shared" si="9"/>
        <v>0</v>
      </c>
      <c r="O147" s="104">
        <f t="shared" si="10"/>
        <v>0</v>
      </c>
      <c r="P147" s="104">
        <f t="shared" si="11"/>
        <v>0</v>
      </c>
      <c r="Q147" s="99"/>
      <c r="R147" s="99">
        <f>HomeHeatDemand!I141-HP_Power!N147</f>
        <v>0</v>
      </c>
    </row>
    <row r="148" spans="1:18" x14ac:dyDescent="0.2">
      <c r="A148" s="17">
        <v>133</v>
      </c>
      <c r="B148" s="55">
        <f>HomeHeatDemand!F142/$B$13</f>
        <v>0</v>
      </c>
      <c r="C148" s="55">
        <f>HomeHeatDemand!G142/$C$13</f>
        <v>0</v>
      </c>
      <c r="D148" s="55">
        <f>HomeHeatDemand!H142/$D$13</f>
        <v>0</v>
      </c>
      <c r="E148" s="55"/>
      <c r="F148" s="110">
        <f>HomeHeatDemand!F142/$F$13</f>
        <v>0</v>
      </c>
      <c r="G148" s="110">
        <f>HomeHeatDemand!G142/$G$13</f>
        <v>0</v>
      </c>
      <c r="H148" s="110">
        <f>HomeHeatDemand!H142/$H$13</f>
        <v>0</v>
      </c>
      <c r="I148" s="110">
        <f>HomeHeatDemand!F142/$I$13</f>
        <v>0</v>
      </c>
      <c r="J148" s="110">
        <f>HomeHeatDemand!G142/$J$13</f>
        <v>0</v>
      </c>
      <c r="K148" s="110">
        <f>HomeHeatDemand!H142/$K$13</f>
        <v>0</v>
      </c>
      <c r="L148" s="110"/>
      <c r="M148" s="110"/>
      <c r="N148" s="104">
        <f t="shared" si="9"/>
        <v>0</v>
      </c>
      <c r="O148" s="104">
        <f t="shared" si="10"/>
        <v>0</v>
      </c>
      <c r="P148" s="104">
        <f t="shared" si="11"/>
        <v>0</v>
      </c>
      <c r="Q148" s="99"/>
      <c r="R148" s="99">
        <f>HomeHeatDemand!I142-HP_Power!N148</f>
        <v>0</v>
      </c>
    </row>
    <row r="149" spans="1:18" x14ac:dyDescent="0.2">
      <c r="A149" s="17">
        <v>134</v>
      </c>
      <c r="B149" s="55">
        <f>HomeHeatDemand!F143/$B$13</f>
        <v>0</v>
      </c>
      <c r="C149" s="55">
        <f>HomeHeatDemand!G143/$C$13</f>
        <v>0</v>
      </c>
      <c r="D149" s="55">
        <f>HomeHeatDemand!H143/$D$13</f>
        <v>0</v>
      </c>
      <c r="E149" s="55"/>
      <c r="F149" s="110">
        <f>HomeHeatDemand!F143/$F$13</f>
        <v>0</v>
      </c>
      <c r="G149" s="110">
        <f>HomeHeatDemand!G143/$G$13</f>
        <v>0</v>
      </c>
      <c r="H149" s="110">
        <f>HomeHeatDemand!H143/$H$13</f>
        <v>0</v>
      </c>
      <c r="I149" s="110">
        <f>HomeHeatDemand!F143/$I$13</f>
        <v>0</v>
      </c>
      <c r="J149" s="110">
        <f>HomeHeatDemand!G143/$J$13</f>
        <v>0</v>
      </c>
      <c r="K149" s="110">
        <f>HomeHeatDemand!H143/$K$13</f>
        <v>0</v>
      </c>
      <c r="L149" s="110"/>
      <c r="M149" s="110"/>
      <c r="N149" s="104">
        <f t="shared" si="9"/>
        <v>0</v>
      </c>
      <c r="O149" s="104">
        <f t="shared" si="10"/>
        <v>0</v>
      </c>
      <c r="P149" s="104">
        <f t="shared" si="11"/>
        <v>0</v>
      </c>
      <c r="Q149" s="99"/>
      <c r="R149" s="99">
        <f>HomeHeatDemand!I143-HP_Power!N149</f>
        <v>0</v>
      </c>
    </row>
    <row r="150" spans="1:18" x14ac:dyDescent="0.2">
      <c r="A150" s="17">
        <v>135</v>
      </c>
      <c r="B150" s="55">
        <f>HomeHeatDemand!F144/$B$13</f>
        <v>0</v>
      </c>
      <c r="C150" s="55">
        <f>HomeHeatDemand!G144/$C$13</f>
        <v>0</v>
      </c>
      <c r="D150" s="55">
        <f>HomeHeatDemand!H144/$D$13</f>
        <v>0</v>
      </c>
      <c r="E150" s="55"/>
      <c r="F150" s="110">
        <f>HomeHeatDemand!F144/$F$13</f>
        <v>0</v>
      </c>
      <c r="G150" s="110">
        <f>HomeHeatDemand!G144/$G$13</f>
        <v>0</v>
      </c>
      <c r="H150" s="110">
        <f>HomeHeatDemand!H144/$H$13</f>
        <v>0</v>
      </c>
      <c r="I150" s="110">
        <f>HomeHeatDemand!F144/$I$13</f>
        <v>0</v>
      </c>
      <c r="J150" s="110">
        <f>HomeHeatDemand!G144/$J$13</f>
        <v>0</v>
      </c>
      <c r="K150" s="110">
        <f>HomeHeatDemand!H144/$K$13</f>
        <v>0</v>
      </c>
      <c r="L150" s="110"/>
      <c r="M150" s="110"/>
      <c r="N150" s="104">
        <f t="shared" si="9"/>
        <v>0</v>
      </c>
      <c r="O150" s="104">
        <f t="shared" si="10"/>
        <v>0</v>
      </c>
      <c r="P150" s="104">
        <f t="shared" si="11"/>
        <v>0</v>
      </c>
      <c r="Q150" s="99"/>
      <c r="R150" s="99">
        <f>HomeHeatDemand!I144-HP_Power!N150</f>
        <v>0</v>
      </c>
    </row>
    <row r="151" spans="1:18" x14ac:dyDescent="0.2">
      <c r="A151" s="17">
        <v>136</v>
      </c>
      <c r="B151" s="55">
        <f>HomeHeatDemand!F145/$B$13</f>
        <v>0.74636293386083608</v>
      </c>
      <c r="C151" s="55">
        <f>HomeHeatDemand!G145/$C$13</f>
        <v>0.34817321475331586</v>
      </c>
      <c r="D151" s="55">
        <f>HomeHeatDemand!H145/$D$13</f>
        <v>5.4355139759513407E-2</v>
      </c>
      <c r="E151" s="55"/>
      <c r="F151" s="110">
        <f>HomeHeatDemand!F145/$F$13</f>
        <v>0.36139678902735217</v>
      </c>
      <c r="G151" s="110">
        <f>HomeHeatDemand!G145/$G$13</f>
        <v>0.1970245030966869</v>
      </c>
      <c r="H151" s="110">
        <f>HomeHeatDemand!H145/$H$13</f>
        <v>3.471695198804188E-2</v>
      </c>
      <c r="I151" s="110">
        <f>HomeHeatDemand!F145/$I$13</f>
        <v>0.48220077187638283</v>
      </c>
      <c r="J151" s="110">
        <f>HomeHeatDemand!G145/$J$13</f>
        <v>0.26288381733406258</v>
      </c>
      <c r="K151" s="110">
        <f>HomeHeatDemand!H145/$K$13</f>
        <v>4.6321775826741275E-2</v>
      </c>
      <c r="L151" s="110"/>
      <c r="M151" s="110"/>
      <c r="N151" s="104">
        <f t="shared" si="9"/>
        <v>1791.2710412660065</v>
      </c>
      <c r="O151" s="104">
        <f t="shared" si="10"/>
        <v>835.61571540795808</v>
      </c>
      <c r="P151" s="104">
        <f t="shared" si="11"/>
        <v>130.45233542283216</v>
      </c>
      <c r="Q151" s="99"/>
      <c r="R151" s="99">
        <f>HomeHeatDemand!I145-HP_Power!N151</f>
        <v>6448.5757485576241</v>
      </c>
    </row>
    <row r="152" spans="1:18" x14ac:dyDescent="0.2">
      <c r="A152" s="17">
        <v>137</v>
      </c>
      <c r="B152" s="55">
        <f>HomeHeatDemand!F146/$B$13</f>
        <v>0.74636293386083608</v>
      </c>
      <c r="C152" s="55">
        <f>HomeHeatDemand!G146/$C$13</f>
        <v>0.34817321475331586</v>
      </c>
      <c r="D152" s="55">
        <f>HomeHeatDemand!H146/$D$13</f>
        <v>5.4355139759513407E-2</v>
      </c>
      <c r="E152" s="55"/>
      <c r="F152" s="110">
        <f>HomeHeatDemand!F146/$F$13</f>
        <v>0.36139678902735217</v>
      </c>
      <c r="G152" s="110">
        <f>HomeHeatDemand!G146/$G$13</f>
        <v>0.1970245030966869</v>
      </c>
      <c r="H152" s="110">
        <f>HomeHeatDemand!H146/$H$13</f>
        <v>3.471695198804188E-2</v>
      </c>
      <c r="I152" s="110">
        <f>HomeHeatDemand!F146/$I$13</f>
        <v>0.48220077187638283</v>
      </c>
      <c r="J152" s="110">
        <f>HomeHeatDemand!G146/$J$13</f>
        <v>0.26288381733406258</v>
      </c>
      <c r="K152" s="110">
        <f>HomeHeatDemand!H146/$K$13</f>
        <v>4.6321775826741275E-2</v>
      </c>
      <c r="L152" s="110"/>
      <c r="M152" s="110"/>
      <c r="N152" s="104">
        <f t="shared" si="9"/>
        <v>1791.2710412660065</v>
      </c>
      <c r="O152" s="104">
        <f t="shared" si="10"/>
        <v>835.61571540795808</v>
      </c>
      <c r="P152" s="104">
        <f t="shared" si="11"/>
        <v>130.45233542283216</v>
      </c>
      <c r="Q152" s="99"/>
      <c r="R152" s="99">
        <f>HomeHeatDemand!I146-HP_Power!N152</f>
        <v>6448.5757485576241</v>
      </c>
    </row>
    <row r="153" spans="1:18" x14ac:dyDescent="0.2">
      <c r="A153" s="17">
        <v>138</v>
      </c>
      <c r="B153" s="55">
        <f>HomeHeatDemand!F147/$B$13</f>
        <v>0.74636293386083608</v>
      </c>
      <c r="C153" s="55">
        <f>HomeHeatDemand!G147/$C$13</f>
        <v>0.34817321475331586</v>
      </c>
      <c r="D153" s="55">
        <f>HomeHeatDemand!H147/$D$13</f>
        <v>5.4355139759513407E-2</v>
      </c>
      <c r="E153" s="55"/>
      <c r="F153" s="110">
        <f>HomeHeatDemand!F147/$F$13</f>
        <v>0.36139678902735217</v>
      </c>
      <c r="G153" s="110">
        <f>HomeHeatDemand!G147/$G$13</f>
        <v>0.1970245030966869</v>
      </c>
      <c r="H153" s="110">
        <f>HomeHeatDemand!H147/$H$13</f>
        <v>3.471695198804188E-2</v>
      </c>
      <c r="I153" s="110">
        <f>HomeHeatDemand!F147/$I$13</f>
        <v>0.48220077187638283</v>
      </c>
      <c r="J153" s="110">
        <f>HomeHeatDemand!G147/$J$13</f>
        <v>0.26288381733406258</v>
      </c>
      <c r="K153" s="110">
        <f>HomeHeatDemand!H147/$K$13</f>
        <v>4.6321775826741275E-2</v>
      </c>
      <c r="L153" s="110"/>
      <c r="M153" s="110"/>
      <c r="N153" s="104">
        <f t="shared" si="9"/>
        <v>1791.2710412660065</v>
      </c>
      <c r="O153" s="104">
        <f t="shared" si="10"/>
        <v>835.61571540795808</v>
      </c>
      <c r="P153" s="104">
        <f t="shared" si="11"/>
        <v>130.45233542283216</v>
      </c>
      <c r="Q153" s="99"/>
      <c r="R153" s="99">
        <f>HomeHeatDemand!I147-HP_Power!N153</f>
        <v>6448.5757485576241</v>
      </c>
    </row>
    <row r="154" spans="1:18" x14ac:dyDescent="0.2">
      <c r="A154" s="17">
        <v>139</v>
      </c>
      <c r="B154" s="55">
        <f>HomeHeatDemand!F148/$B$13</f>
        <v>0.74636293386083608</v>
      </c>
      <c r="C154" s="55">
        <f>HomeHeatDemand!G148/$C$13</f>
        <v>0.34817321475331586</v>
      </c>
      <c r="D154" s="55">
        <f>HomeHeatDemand!H148/$D$13</f>
        <v>5.4355139759513407E-2</v>
      </c>
      <c r="E154" s="55"/>
      <c r="F154" s="110">
        <f>HomeHeatDemand!F148/$F$13</f>
        <v>0.36139678902735217</v>
      </c>
      <c r="G154" s="110">
        <f>HomeHeatDemand!G148/$G$13</f>
        <v>0.1970245030966869</v>
      </c>
      <c r="H154" s="110">
        <f>HomeHeatDemand!H148/$H$13</f>
        <v>3.471695198804188E-2</v>
      </c>
      <c r="I154" s="110">
        <f>HomeHeatDemand!F148/$I$13</f>
        <v>0.48220077187638283</v>
      </c>
      <c r="J154" s="110">
        <f>HomeHeatDemand!G148/$J$13</f>
        <v>0.26288381733406258</v>
      </c>
      <c r="K154" s="110">
        <f>HomeHeatDemand!H148/$K$13</f>
        <v>4.6321775826741275E-2</v>
      </c>
      <c r="L154" s="110"/>
      <c r="M154" s="110"/>
      <c r="N154" s="104">
        <f t="shared" si="9"/>
        <v>1791.2710412660065</v>
      </c>
      <c r="O154" s="104">
        <f t="shared" si="10"/>
        <v>835.61571540795808</v>
      </c>
      <c r="P154" s="104">
        <f t="shared" si="11"/>
        <v>130.45233542283216</v>
      </c>
      <c r="Q154" s="99"/>
      <c r="R154" s="99">
        <f>HomeHeatDemand!I148-HP_Power!N154</f>
        <v>6448.5757485576241</v>
      </c>
    </row>
    <row r="155" spans="1:18" x14ac:dyDescent="0.2">
      <c r="A155" s="17">
        <v>140</v>
      </c>
      <c r="B155" s="55">
        <f>HomeHeatDemand!F149/$B$13</f>
        <v>0.74636293386083608</v>
      </c>
      <c r="C155" s="55">
        <f>HomeHeatDemand!G149/$C$13</f>
        <v>0.34817321475331586</v>
      </c>
      <c r="D155" s="55">
        <f>HomeHeatDemand!H149/$D$13</f>
        <v>5.4355139759513407E-2</v>
      </c>
      <c r="E155" s="55"/>
      <c r="F155" s="110">
        <f>HomeHeatDemand!F149/$F$13</f>
        <v>0.36139678902735217</v>
      </c>
      <c r="G155" s="110">
        <f>HomeHeatDemand!G149/$G$13</f>
        <v>0.1970245030966869</v>
      </c>
      <c r="H155" s="110">
        <f>HomeHeatDemand!H149/$H$13</f>
        <v>3.471695198804188E-2</v>
      </c>
      <c r="I155" s="110">
        <f>HomeHeatDemand!F149/$I$13</f>
        <v>0.48220077187638283</v>
      </c>
      <c r="J155" s="110">
        <f>HomeHeatDemand!G149/$J$13</f>
        <v>0.26288381733406258</v>
      </c>
      <c r="K155" s="110">
        <f>HomeHeatDemand!H149/$K$13</f>
        <v>4.6321775826741275E-2</v>
      </c>
      <c r="L155" s="110"/>
      <c r="M155" s="110"/>
      <c r="N155" s="104">
        <f t="shared" si="9"/>
        <v>1791.2710412660065</v>
      </c>
      <c r="O155" s="104">
        <f t="shared" si="10"/>
        <v>835.61571540795808</v>
      </c>
      <c r="P155" s="104">
        <f t="shared" si="11"/>
        <v>130.45233542283216</v>
      </c>
      <c r="Q155" s="99"/>
      <c r="R155" s="99">
        <f>HomeHeatDemand!I149-HP_Power!N155</f>
        <v>6448.5757485576241</v>
      </c>
    </row>
    <row r="156" spans="1:18" x14ac:dyDescent="0.2">
      <c r="A156" s="17">
        <v>141</v>
      </c>
      <c r="B156" s="55">
        <f>HomeHeatDemand!F150/$B$13</f>
        <v>0.74636293386083608</v>
      </c>
      <c r="C156" s="55">
        <f>HomeHeatDemand!G150/$C$13</f>
        <v>0.34817321475331586</v>
      </c>
      <c r="D156" s="55">
        <f>HomeHeatDemand!H150/$D$13</f>
        <v>5.4355139759513407E-2</v>
      </c>
      <c r="E156" s="55"/>
      <c r="F156" s="110">
        <f>HomeHeatDemand!F150/$F$13</f>
        <v>0.36139678902735217</v>
      </c>
      <c r="G156" s="110">
        <f>HomeHeatDemand!G150/$G$13</f>
        <v>0.1970245030966869</v>
      </c>
      <c r="H156" s="110">
        <f>HomeHeatDemand!H150/$H$13</f>
        <v>3.471695198804188E-2</v>
      </c>
      <c r="I156" s="110">
        <f>HomeHeatDemand!F150/$I$13</f>
        <v>0.48220077187638283</v>
      </c>
      <c r="J156" s="110">
        <f>HomeHeatDemand!G150/$J$13</f>
        <v>0.26288381733406258</v>
      </c>
      <c r="K156" s="110">
        <f>HomeHeatDemand!H150/$K$13</f>
        <v>4.6321775826741275E-2</v>
      </c>
      <c r="L156" s="110"/>
      <c r="M156" s="110"/>
      <c r="N156" s="104">
        <f t="shared" si="9"/>
        <v>1791.2710412660065</v>
      </c>
      <c r="O156" s="104">
        <f t="shared" si="10"/>
        <v>835.61571540795808</v>
      </c>
      <c r="P156" s="104">
        <f t="shared" si="11"/>
        <v>130.45233542283216</v>
      </c>
      <c r="Q156" s="99"/>
      <c r="R156" s="99">
        <f>HomeHeatDemand!I150-HP_Power!N156</f>
        <v>6448.5757485576241</v>
      </c>
    </row>
    <row r="157" spans="1:18" x14ac:dyDescent="0.2">
      <c r="A157" s="17">
        <v>142</v>
      </c>
      <c r="B157" s="55">
        <f>HomeHeatDemand!F151/$B$13</f>
        <v>0.74636293386083608</v>
      </c>
      <c r="C157" s="55">
        <f>HomeHeatDemand!G151/$C$13</f>
        <v>0.34817321475331586</v>
      </c>
      <c r="D157" s="55">
        <f>HomeHeatDemand!H151/$D$13</f>
        <v>5.4355139759513407E-2</v>
      </c>
      <c r="E157" s="55"/>
      <c r="F157" s="110">
        <f>HomeHeatDemand!F151/$F$13</f>
        <v>0.36139678902735217</v>
      </c>
      <c r="G157" s="110">
        <f>HomeHeatDemand!G151/$G$13</f>
        <v>0.1970245030966869</v>
      </c>
      <c r="H157" s="110">
        <f>HomeHeatDemand!H151/$H$13</f>
        <v>3.471695198804188E-2</v>
      </c>
      <c r="I157" s="110">
        <f>HomeHeatDemand!F151/$I$13</f>
        <v>0.48220077187638283</v>
      </c>
      <c r="J157" s="110">
        <f>HomeHeatDemand!G151/$J$13</f>
        <v>0.26288381733406258</v>
      </c>
      <c r="K157" s="110">
        <f>HomeHeatDemand!H151/$K$13</f>
        <v>4.6321775826741275E-2</v>
      </c>
      <c r="L157" s="110"/>
      <c r="M157" s="110"/>
      <c r="N157" s="104">
        <f t="shared" si="9"/>
        <v>1791.2710412660065</v>
      </c>
      <c r="O157" s="104">
        <f t="shared" si="10"/>
        <v>835.61571540795808</v>
      </c>
      <c r="P157" s="104">
        <f t="shared" si="11"/>
        <v>130.45233542283216</v>
      </c>
      <c r="Q157" s="99"/>
      <c r="R157" s="99">
        <f>HomeHeatDemand!I151-HP_Power!N157</f>
        <v>6448.5757485576241</v>
      </c>
    </row>
    <row r="158" spans="1:18" x14ac:dyDescent="0.2">
      <c r="A158" s="17">
        <v>143</v>
      </c>
      <c r="B158" s="55">
        <f>HomeHeatDemand!F152/$B$13</f>
        <v>0</v>
      </c>
      <c r="C158" s="55">
        <f>HomeHeatDemand!G152/$C$13</f>
        <v>0</v>
      </c>
      <c r="D158" s="55">
        <f>HomeHeatDemand!H152/$D$13</f>
        <v>0</v>
      </c>
      <c r="E158" s="55"/>
      <c r="F158" s="110">
        <f>HomeHeatDemand!F152/$F$13</f>
        <v>0</v>
      </c>
      <c r="G158" s="110">
        <f>HomeHeatDemand!G152/$G$13</f>
        <v>0</v>
      </c>
      <c r="H158" s="110">
        <f>HomeHeatDemand!H152/$H$13</f>
        <v>0</v>
      </c>
      <c r="I158" s="110">
        <f>HomeHeatDemand!F152/$I$13</f>
        <v>0</v>
      </c>
      <c r="J158" s="110">
        <f>HomeHeatDemand!G152/$J$13</f>
        <v>0</v>
      </c>
      <c r="K158" s="110">
        <f>HomeHeatDemand!H152/$K$13</f>
        <v>0</v>
      </c>
      <c r="L158" s="110"/>
      <c r="M158" s="110"/>
      <c r="N158" s="104">
        <f t="shared" si="9"/>
        <v>0</v>
      </c>
      <c r="O158" s="104">
        <f t="shared" si="10"/>
        <v>0</v>
      </c>
      <c r="P158" s="104">
        <f t="shared" si="11"/>
        <v>0</v>
      </c>
      <c r="Q158" s="99"/>
      <c r="R158" s="99">
        <f>HomeHeatDemand!I152-HP_Power!N158</f>
        <v>0</v>
      </c>
    </row>
    <row r="159" spans="1:18" x14ac:dyDescent="0.2">
      <c r="A159" s="17">
        <v>144</v>
      </c>
      <c r="B159" s="55">
        <f>HomeHeatDemand!F153/$B$13</f>
        <v>0</v>
      </c>
      <c r="C159" s="55">
        <f>HomeHeatDemand!G153/$C$13</f>
        <v>0</v>
      </c>
      <c r="D159" s="55">
        <f>HomeHeatDemand!H153/$D$13</f>
        <v>0</v>
      </c>
      <c r="E159" s="55"/>
      <c r="F159" s="110">
        <f>HomeHeatDemand!F153/$F$13</f>
        <v>0</v>
      </c>
      <c r="G159" s="110">
        <f>HomeHeatDemand!G153/$G$13</f>
        <v>0</v>
      </c>
      <c r="H159" s="110">
        <f>HomeHeatDemand!H153/$H$13</f>
        <v>0</v>
      </c>
      <c r="I159" s="110">
        <f>HomeHeatDemand!F153/$I$13</f>
        <v>0</v>
      </c>
      <c r="J159" s="110">
        <f>HomeHeatDemand!G153/$J$13</f>
        <v>0</v>
      </c>
      <c r="K159" s="110">
        <f>HomeHeatDemand!H153/$K$13</f>
        <v>0</v>
      </c>
      <c r="L159" s="110"/>
      <c r="M159" s="110"/>
      <c r="N159" s="104">
        <f t="shared" si="9"/>
        <v>0</v>
      </c>
      <c r="O159" s="104">
        <f t="shared" si="10"/>
        <v>0</v>
      </c>
      <c r="P159" s="104">
        <f t="shared" si="11"/>
        <v>0</v>
      </c>
      <c r="Q159" s="99"/>
      <c r="R159" s="99">
        <f>HomeHeatDemand!I153-HP_Power!N159</f>
        <v>0</v>
      </c>
    </row>
    <row r="160" spans="1:18" x14ac:dyDescent="0.2">
      <c r="A160" s="17">
        <v>145</v>
      </c>
      <c r="B160" s="55">
        <f>HomeHeatDemand!F154/$B$13</f>
        <v>0</v>
      </c>
      <c r="C160" s="55">
        <f>HomeHeatDemand!G154/$C$13</f>
        <v>0</v>
      </c>
      <c r="D160" s="55">
        <f>HomeHeatDemand!H154/$D$13</f>
        <v>0</v>
      </c>
      <c r="E160" s="55"/>
      <c r="F160" s="110">
        <f>HomeHeatDemand!F154/$F$13</f>
        <v>0</v>
      </c>
      <c r="G160" s="110">
        <f>HomeHeatDemand!G154/$G$13</f>
        <v>0</v>
      </c>
      <c r="H160" s="110">
        <f>HomeHeatDemand!H154/$H$13</f>
        <v>0</v>
      </c>
      <c r="I160" s="110">
        <f>HomeHeatDemand!F154/$I$13</f>
        <v>0</v>
      </c>
      <c r="J160" s="110">
        <f>HomeHeatDemand!G154/$J$13</f>
        <v>0</v>
      </c>
      <c r="K160" s="110">
        <f>HomeHeatDemand!H154/$K$13</f>
        <v>0</v>
      </c>
      <c r="L160" s="110"/>
      <c r="M160" s="110"/>
      <c r="N160" s="104">
        <f t="shared" si="9"/>
        <v>0</v>
      </c>
      <c r="O160" s="104">
        <f t="shared" si="10"/>
        <v>0</v>
      </c>
      <c r="P160" s="104">
        <f t="shared" si="11"/>
        <v>0</v>
      </c>
      <c r="Q160" s="99"/>
      <c r="R160" s="99">
        <f>HomeHeatDemand!I154-HP_Power!N160</f>
        <v>0</v>
      </c>
    </row>
    <row r="161" spans="1:18" x14ac:dyDescent="0.2">
      <c r="A161" s="17">
        <v>146</v>
      </c>
      <c r="B161" s="55">
        <f>HomeHeatDemand!F155/$B$13</f>
        <v>0</v>
      </c>
      <c r="C161" s="55">
        <f>HomeHeatDemand!G155/$C$13</f>
        <v>0</v>
      </c>
      <c r="D161" s="55">
        <f>HomeHeatDemand!H155/$D$13</f>
        <v>0</v>
      </c>
      <c r="E161" s="55"/>
      <c r="F161" s="110">
        <f>HomeHeatDemand!F155/$F$13</f>
        <v>0</v>
      </c>
      <c r="G161" s="110">
        <f>HomeHeatDemand!G155/$G$13</f>
        <v>0</v>
      </c>
      <c r="H161" s="110">
        <f>HomeHeatDemand!H155/$H$13</f>
        <v>0</v>
      </c>
      <c r="I161" s="110">
        <f>HomeHeatDemand!F155/$I$13</f>
        <v>0</v>
      </c>
      <c r="J161" s="110">
        <f>HomeHeatDemand!G155/$J$13</f>
        <v>0</v>
      </c>
      <c r="K161" s="110">
        <f>HomeHeatDemand!H155/$K$13</f>
        <v>0</v>
      </c>
      <c r="L161" s="110"/>
      <c r="M161" s="110"/>
      <c r="N161" s="104">
        <f t="shared" si="9"/>
        <v>0</v>
      </c>
      <c r="O161" s="104">
        <f t="shared" si="10"/>
        <v>0</v>
      </c>
      <c r="P161" s="104">
        <f t="shared" si="11"/>
        <v>0</v>
      </c>
      <c r="Q161" s="99"/>
      <c r="R161" s="99">
        <f>HomeHeatDemand!I155-HP_Power!N161</f>
        <v>0</v>
      </c>
    </row>
    <row r="162" spans="1:18" x14ac:dyDescent="0.2">
      <c r="A162" s="17">
        <v>147</v>
      </c>
      <c r="B162" s="55">
        <f>HomeHeatDemand!F156/$B$13</f>
        <v>0</v>
      </c>
      <c r="C162" s="55">
        <f>HomeHeatDemand!G156/$C$13</f>
        <v>0</v>
      </c>
      <c r="D162" s="55">
        <f>HomeHeatDemand!H156/$D$13</f>
        <v>0</v>
      </c>
      <c r="E162" s="55"/>
      <c r="F162" s="110">
        <f>HomeHeatDemand!F156/$F$13</f>
        <v>0</v>
      </c>
      <c r="G162" s="110">
        <f>HomeHeatDemand!G156/$G$13</f>
        <v>0</v>
      </c>
      <c r="H162" s="110">
        <f>HomeHeatDemand!H156/$H$13</f>
        <v>0</v>
      </c>
      <c r="I162" s="110">
        <f>HomeHeatDemand!F156/$I$13</f>
        <v>0</v>
      </c>
      <c r="J162" s="110">
        <f>HomeHeatDemand!G156/$J$13</f>
        <v>0</v>
      </c>
      <c r="K162" s="110">
        <f>HomeHeatDemand!H156/$K$13</f>
        <v>0</v>
      </c>
      <c r="L162" s="110"/>
      <c r="M162" s="110"/>
      <c r="N162" s="104">
        <f t="shared" si="9"/>
        <v>0</v>
      </c>
      <c r="O162" s="104">
        <f t="shared" si="10"/>
        <v>0</v>
      </c>
      <c r="P162" s="104">
        <f t="shared" si="11"/>
        <v>0</v>
      </c>
      <c r="Q162" s="99"/>
      <c r="R162" s="99">
        <f>HomeHeatDemand!I156-HP_Power!N162</f>
        <v>0</v>
      </c>
    </row>
    <row r="163" spans="1:18" x14ac:dyDescent="0.2">
      <c r="A163" s="17">
        <v>148</v>
      </c>
      <c r="B163" s="55">
        <f>HomeHeatDemand!F157/$B$13</f>
        <v>0</v>
      </c>
      <c r="C163" s="55">
        <f>HomeHeatDemand!G157/$C$13</f>
        <v>0</v>
      </c>
      <c r="D163" s="55">
        <f>HomeHeatDemand!H157/$D$13</f>
        <v>0</v>
      </c>
      <c r="E163" s="55"/>
      <c r="F163" s="110">
        <f>HomeHeatDemand!F157/$F$13</f>
        <v>0</v>
      </c>
      <c r="G163" s="110">
        <f>HomeHeatDemand!G157/$G$13</f>
        <v>0</v>
      </c>
      <c r="H163" s="110">
        <f>HomeHeatDemand!H157/$H$13</f>
        <v>0</v>
      </c>
      <c r="I163" s="110">
        <f>HomeHeatDemand!F157/$I$13</f>
        <v>0</v>
      </c>
      <c r="J163" s="110">
        <f>HomeHeatDemand!G157/$J$13</f>
        <v>0</v>
      </c>
      <c r="K163" s="110">
        <f>HomeHeatDemand!H157/$K$13</f>
        <v>0</v>
      </c>
      <c r="L163" s="110"/>
      <c r="M163" s="110"/>
      <c r="N163" s="104">
        <f t="shared" si="9"/>
        <v>0</v>
      </c>
      <c r="O163" s="104">
        <f t="shared" si="10"/>
        <v>0</v>
      </c>
      <c r="P163" s="104">
        <f t="shared" si="11"/>
        <v>0</v>
      </c>
      <c r="Q163" s="99"/>
      <c r="R163" s="99">
        <f>HomeHeatDemand!I157-HP_Power!N163</f>
        <v>0</v>
      </c>
    </row>
    <row r="164" spans="1:18" x14ac:dyDescent="0.2">
      <c r="A164" s="17">
        <v>149</v>
      </c>
      <c r="B164" s="55">
        <f>HomeHeatDemand!F158/$B$13</f>
        <v>0</v>
      </c>
      <c r="C164" s="55">
        <f>HomeHeatDemand!G158/$C$13</f>
        <v>0</v>
      </c>
      <c r="D164" s="55">
        <f>HomeHeatDemand!H158/$D$13</f>
        <v>0</v>
      </c>
      <c r="E164" s="55"/>
      <c r="F164" s="110">
        <f>HomeHeatDemand!F158/$F$13</f>
        <v>0</v>
      </c>
      <c r="G164" s="110">
        <f>HomeHeatDemand!G158/$G$13</f>
        <v>0</v>
      </c>
      <c r="H164" s="110">
        <f>HomeHeatDemand!H158/$H$13</f>
        <v>0</v>
      </c>
      <c r="I164" s="110">
        <f>HomeHeatDemand!F158/$I$13</f>
        <v>0</v>
      </c>
      <c r="J164" s="110">
        <f>HomeHeatDemand!G158/$J$13</f>
        <v>0</v>
      </c>
      <c r="K164" s="110">
        <f>HomeHeatDemand!H158/$K$13</f>
        <v>0</v>
      </c>
      <c r="L164" s="110"/>
      <c r="M164" s="110"/>
      <c r="N164" s="104">
        <f t="shared" si="9"/>
        <v>0</v>
      </c>
      <c r="O164" s="104">
        <f t="shared" si="10"/>
        <v>0</v>
      </c>
      <c r="P164" s="104">
        <f t="shared" si="11"/>
        <v>0</v>
      </c>
      <c r="Q164" s="99"/>
      <c r="R164" s="99">
        <f>HomeHeatDemand!I158-HP_Power!N164</f>
        <v>0</v>
      </c>
    </row>
    <row r="165" spans="1:18" x14ac:dyDescent="0.2">
      <c r="A165" s="17">
        <v>150</v>
      </c>
      <c r="B165" s="55">
        <f>HomeHeatDemand!F159/$B$13</f>
        <v>0</v>
      </c>
      <c r="C165" s="55">
        <f>HomeHeatDemand!G159/$C$13</f>
        <v>0</v>
      </c>
      <c r="D165" s="55">
        <f>HomeHeatDemand!H159/$D$13</f>
        <v>0</v>
      </c>
      <c r="E165" s="55"/>
      <c r="F165" s="110">
        <f>HomeHeatDemand!F159/$F$13</f>
        <v>0</v>
      </c>
      <c r="G165" s="110">
        <f>HomeHeatDemand!G159/$G$13</f>
        <v>0</v>
      </c>
      <c r="H165" s="110">
        <f>HomeHeatDemand!H159/$H$13</f>
        <v>0</v>
      </c>
      <c r="I165" s="110">
        <f>HomeHeatDemand!F159/$I$13</f>
        <v>0</v>
      </c>
      <c r="J165" s="110">
        <f>HomeHeatDemand!G159/$J$13</f>
        <v>0</v>
      </c>
      <c r="K165" s="110">
        <f>HomeHeatDemand!H159/$K$13</f>
        <v>0</v>
      </c>
      <c r="L165" s="110"/>
      <c r="M165" s="110"/>
      <c r="N165" s="104">
        <f t="shared" si="9"/>
        <v>0</v>
      </c>
      <c r="O165" s="104">
        <f t="shared" si="10"/>
        <v>0</v>
      </c>
      <c r="P165" s="104">
        <f t="shared" si="11"/>
        <v>0</v>
      </c>
      <c r="Q165" s="99"/>
      <c r="R165" s="99">
        <f>HomeHeatDemand!I159-HP_Power!N165</f>
        <v>0</v>
      </c>
    </row>
    <row r="166" spans="1:18" x14ac:dyDescent="0.2">
      <c r="A166" s="17">
        <v>151</v>
      </c>
      <c r="B166" s="55">
        <f>HomeHeatDemand!F160/$B$13</f>
        <v>0.74636293386083608</v>
      </c>
      <c r="C166" s="55">
        <f>HomeHeatDemand!G160/$C$13</f>
        <v>0.34817321475331586</v>
      </c>
      <c r="D166" s="55">
        <f>HomeHeatDemand!H160/$D$13</f>
        <v>5.4355139759513407E-2</v>
      </c>
      <c r="E166" s="55"/>
      <c r="F166" s="110">
        <f>HomeHeatDemand!F160/$F$13</f>
        <v>0.36139678902735217</v>
      </c>
      <c r="G166" s="110">
        <f>HomeHeatDemand!G160/$G$13</f>
        <v>0.1970245030966869</v>
      </c>
      <c r="H166" s="110">
        <f>HomeHeatDemand!H160/$H$13</f>
        <v>3.471695198804188E-2</v>
      </c>
      <c r="I166" s="110">
        <f>HomeHeatDemand!F160/$I$13</f>
        <v>0.48220077187638283</v>
      </c>
      <c r="J166" s="110">
        <f>HomeHeatDemand!G160/$J$13</f>
        <v>0.26288381733406258</v>
      </c>
      <c r="K166" s="110">
        <f>HomeHeatDemand!H160/$K$13</f>
        <v>4.6321775826741275E-2</v>
      </c>
      <c r="L166" s="110"/>
      <c r="M166" s="110"/>
      <c r="N166" s="104">
        <f t="shared" si="9"/>
        <v>1791.2710412660065</v>
      </c>
      <c r="O166" s="104">
        <f t="shared" si="10"/>
        <v>835.61571540795808</v>
      </c>
      <c r="P166" s="104">
        <f t="shared" si="11"/>
        <v>130.45233542283216</v>
      </c>
      <c r="Q166" s="99"/>
      <c r="R166" s="99">
        <f>HomeHeatDemand!I160-HP_Power!N166</f>
        <v>6448.5757485576241</v>
      </c>
    </row>
    <row r="167" spans="1:18" x14ac:dyDescent="0.2">
      <c r="A167" s="17">
        <v>152</v>
      </c>
      <c r="B167" s="55">
        <f>HomeHeatDemand!F161/$B$13</f>
        <v>0.74636293386083608</v>
      </c>
      <c r="C167" s="55">
        <f>HomeHeatDemand!G161/$C$13</f>
        <v>0.34817321475331586</v>
      </c>
      <c r="D167" s="55">
        <f>HomeHeatDemand!H161/$D$13</f>
        <v>5.4355139759513407E-2</v>
      </c>
      <c r="E167" s="55"/>
      <c r="F167" s="110">
        <f>HomeHeatDemand!F161/$F$13</f>
        <v>0.36139678902735217</v>
      </c>
      <c r="G167" s="110">
        <f>HomeHeatDemand!G161/$G$13</f>
        <v>0.1970245030966869</v>
      </c>
      <c r="H167" s="110">
        <f>HomeHeatDemand!H161/$H$13</f>
        <v>3.471695198804188E-2</v>
      </c>
      <c r="I167" s="110">
        <f>HomeHeatDemand!F161/$I$13</f>
        <v>0.48220077187638283</v>
      </c>
      <c r="J167" s="110">
        <f>HomeHeatDemand!G161/$J$13</f>
        <v>0.26288381733406258</v>
      </c>
      <c r="K167" s="110">
        <f>HomeHeatDemand!H161/$K$13</f>
        <v>4.6321775826741275E-2</v>
      </c>
      <c r="L167" s="110"/>
      <c r="M167" s="110"/>
      <c r="N167" s="104">
        <f t="shared" si="9"/>
        <v>1791.2710412660065</v>
      </c>
      <c r="O167" s="104">
        <f t="shared" si="10"/>
        <v>835.61571540795808</v>
      </c>
      <c r="P167" s="104">
        <f t="shared" si="11"/>
        <v>130.45233542283216</v>
      </c>
      <c r="Q167" s="99"/>
      <c r="R167" s="99">
        <f>HomeHeatDemand!I161-HP_Power!N167</f>
        <v>6448.5757485576241</v>
      </c>
    </row>
    <row r="168" spans="1:18" x14ac:dyDescent="0.2">
      <c r="A168" s="17">
        <v>153</v>
      </c>
      <c r="B168" s="55">
        <f>HomeHeatDemand!F162/$B$13</f>
        <v>0</v>
      </c>
      <c r="C168" s="55">
        <f>HomeHeatDemand!G162/$C$13</f>
        <v>0</v>
      </c>
      <c r="D168" s="55">
        <f>HomeHeatDemand!H162/$D$13</f>
        <v>0</v>
      </c>
      <c r="E168" s="55"/>
      <c r="F168" s="110">
        <f>HomeHeatDemand!F162/$F$13</f>
        <v>0</v>
      </c>
      <c r="G168" s="110">
        <f>HomeHeatDemand!G162/$G$13</f>
        <v>0</v>
      </c>
      <c r="H168" s="110">
        <f>HomeHeatDemand!H162/$H$13</f>
        <v>0</v>
      </c>
      <c r="I168" s="110">
        <f>HomeHeatDemand!F162/$I$13</f>
        <v>0</v>
      </c>
      <c r="J168" s="110">
        <f>HomeHeatDemand!G162/$J$13</f>
        <v>0</v>
      </c>
      <c r="K168" s="110">
        <f>HomeHeatDemand!H162/$K$13</f>
        <v>0</v>
      </c>
      <c r="L168" s="110"/>
      <c r="M168" s="110"/>
      <c r="N168" s="104">
        <f t="shared" si="9"/>
        <v>0</v>
      </c>
      <c r="O168" s="104">
        <f t="shared" si="10"/>
        <v>0</v>
      </c>
      <c r="P168" s="104">
        <f t="shared" si="11"/>
        <v>0</v>
      </c>
      <c r="Q168" s="99"/>
      <c r="R168" s="99">
        <f>HomeHeatDemand!I162-HP_Power!N168</f>
        <v>0</v>
      </c>
    </row>
    <row r="169" spans="1:18" x14ac:dyDescent="0.2">
      <c r="A169" s="17">
        <v>154</v>
      </c>
      <c r="B169" s="55">
        <f>HomeHeatDemand!F163/$B$13</f>
        <v>0</v>
      </c>
      <c r="C169" s="55">
        <f>HomeHeatDemand!G163/$C$13</f>
        <v>0</v>
      </c>
      <c r="D169" s="55">
        <f>HomeHeatDemand!H163/$D$13</f>
        <v>0</v>
      </c>
      <c r="E169" s="55"/>
      <c r="F169" s="110">
        <f>HomeHeatDemand!F163/$F$13</f>
        <v>0</v>
      </c>
      <c r="G169" s="110">
        <f>HomeHeatDemand!G163/$G$13</f>
        <v>0</v>
      </c>
      <c r="H169" s="110">
        <f>HomeHeatDemand!H163/$H$13</f>
        <v>0</v>
      </c>
      <c r="I169" s="110">
        <f>HomeHeatDemand!F163/$I$13</f>
        <v>0</v>
      </c>
      <c r="J169" s="110">
        <f>HomeHeatDemand!G163/$J$13</f>
        <v>0</v>
      </c>
      <c r="K169" s="110">
        <f>HomeHeatDemand!H163/$K$13</f>
        <v>0</v>
      </c>
      <c r="L169" s="110"/>
      <c r="M169" s="110"/>
      <c r="N169" s="104">
        <f t="shared" si="9"/>
        <v>0</v>
      </c>
      <c r="O169" s="104">
        <f t="shared" si="10"/>
        <v>0</v>
      </c>
      <c r="P169" s="104">
        <f t="shared" si="11"/>
        <v>0</v>
      </c>
      <c r="Q169" s="99"/>
      <c r="R169" s="99">
        <f>HomeHeatDemand!I163-HP_Power!N169</f>
        <v>0</v>
      </c>
    </row>
    <row r="170" spans="1:18" x14ac:dyDescent="0.2">
      <c r="A170" s="17">
        <v>155</v>
      </c>
      <c r="B170" s="55">
        <f>HomeHeatDemand!F164/$B$13</f>
        <v>0</v>
      </c>
      <c r="C170" s="55">
        <f>HomeHeatDemand!G164/$C$13</f>
        <v>0</v>
      </c>
      <c r="D170" s="55">
        <f>HomeHeatDemand!H164/$D$13</f>
        <v>0</v>
      </c>
      <c r="E170" s="55"/>
      <c r="F170" s="110">
        <f>HomeHeatDemand!F164/$F$13</f>
        <v>0</v>
      </c>
      <c r="G170" s="110">
        <f>HomeHeatDemand!G164/$G$13</f>
        <v>0</v>
      </c>
      <c r="H170" s="110">
        <f>HomeHeatDemand!H164/$H$13</f>
        <v>0</v>
      </c>
      <c r="I170" s="110">
        <f>HomeHeatDemand!F164/$I$13</f>
        <v>0</v>
      </c>
      <c r="J170" s="110">
        <f>HomeHeatDemand!G164/$J$13</f>
        <v>0</v>
      </c>
      <c r="K170" s="110">
        <f>HomeHeatDemand!H164/$K$13</f>
        <v>0</v>
      </c>
      <c r="L170" s="110"/>
      <c r="M170" s="110"/>
      <c r="N170" s="104">
        <f t="shared" si="9"/>
        <v>0</v>
      </c>
      <c r="O170" s="104">
        <f t="shared" si="10"/>
        <v>0</v>
      </c>
      <c r="P170" s="104">
        <f t="shared" si="11"/>
        <v>0</v>
      </c>
      <c r="Q170" s="99"/>
      <c r="R170" s="99">
        <f>HomeHeatDemand!I164-HP_Power!N170</f>
        <v>0</v>
      </c>
    </row>
    <row r="171" spans="1:18" x14ac:dyDescent="0.2">
      <c r="A171" s="17">
        <v>156</v>
      </c>
      <c r="B171" s="55">
        <f>HomeHeatDemand!F165/$B$13</f>
        <v>0</v>
      </c>
      <c r="C171" s="55">
        <f>HomeHeatDemand!G165/$C$13</f>
        <v>0</v>
      </c>
      <c r="D171" s="55">
        <f>HomeHeatDemand!H165/$D$13</f>
        <v>0</v>
      </c>
      <c r="E171" s="55"/>
      <c r="F171" s="110">
        <f>HomeHeatDemand!F165/$F$13</f>
        <v>0</v>
      </c>
      <c r="G171" s="110">
        <f>HomeHeatDemand!G165/$G$13</f>
        <v>0</v>
      </c>
      <c r="H171" s="110">
        <f>HomeHeatDemand!H165/$H$13</f>
        <v>0</v>
      </c>
      <c r="I171" s="110">
        <f>HomeHeatDemand!F165/$I$13</f>
        <v>0</v>
      </c>
      <c r="J171" s="110">
        <f>HomeHeatDemand!G165/$J$13</f>
        <v>0</v>
      </c>
      <c r="K171" s="110">
        <f>HomeHeatDemand!H165/$K$13</f>
        <v>0</v>
      </c>
      <c r="L171" s="110"/>
      <c r="M171" s="110"/>
      <c r="N171" s="104">
        <f t="shared" si="9"/>
        <v>0</v>
      </c>
      <c r="O171" s="104">
        <f t="shared" si="10"/>
        <v>0</v>
      </c>
      <c r="P171" s="104">
        <f t="shared" si="11"/>
        <v>0</v>
      </c>
      <c r="Q171" s="99"/>
      <c r="R171" s="99">
        <f>HomeHeatDemand!I165-HP_Power!N171</f>
        <v>0</v>
      </c>
    </row>
    <row r="172" spans="1:18" x14ac:dyDescent="0.2">
      <c r="A172" s="17">
        <v>157</v>
      </c>
      <c r="B172" s="55">
        <f>HomeHeatDemand!F166/$B$13</f>
        <v>0</v>
      </c>
      <c r="C172" s="55">
        <f>HomeHeatDemand!G166/$C$13</f>
        <v>0</v>
      </c>
      <c r="D172" s="55">
        <f>HomeHeatDemand!H166/$D$13</f>
        <v>0</v>
      </c>
      <c r="E172" s="55"/>
      <c r="F172" s="110">
        <f>HomeHeatDemand!F166/$F$13</f>
        <v>0</v>
      </c>
      <c r="G172" s="110">
        <f>HomeHeatDemand!G166/$G$13</f>
        <v>0</v>
      </c>
      <c r="H172" s="110">
        <f>HomeHeatDemand!H166/$H$13</f>
        <v>0</v>
      </c>
      <c r="I172" s="110">
        <f>HomeHeatDemand!F166/$I$13</f>
        <v>0</v>
      </c>
      <c r="J172" s="110">
        <f>HomeHeatDemand!G166/$J$13</f>
        <v>0</v>
      </c>
      <c r="K172" s="110">
        <f>HomeHeatDemand!H166/$K$13</f>
        <v>0</v>
      </c>
      <c r="L172" s="110"/>
      <c r="M172" s="110"/>
      <c r="N172" s="104">
        <f t="shared" si="9"/>
        <v>0</v>
      </c>
      <c r="O172" s="104">
        <f t="shared" si="10"/>
        <v>0</v>
      </c>
      <c r="P172" s="104">
        <f t="shared" si="11"/>
        <v>0</v>
      </c>
      <c r="Q172" s="99"/>
      <c r="R172" s="99">
        <f>HomeHeatDemand!I166-HP_Power!N172</f>
        <v>0</v>
      </c>
    </row>
    <row r="173" spans="1:18" x14ac:dyDescent="0.2">
      <c r="A173" s="17">
        <v>158</v>
      </c>
      <c r="B173" s="55">
        <f>HomeHeatDemand!F167/$B$13</f>
        <v>0</v>
      </c>
      <c r="C173" s="55">
        <f>HomeHeatDemand!G167/$C$13</f>
        <v>0</v>
      </c>
      <c r="D173" s="55">
        <f>HomeHeatDemand!H167/$D$13</f>
        <v>0</v>
      </c>
      <c r="E173" s="55"/>
      <c r="F173" s="110">
        <f>HomeHeatDemand!F167/$F$13</f>
        <v>0</v>
      </c>
      <c r="G173" s="110">
        <f>HomeHeatDemand!G167/$G$13</f>
        <v>0</v>
      </c>
      <c r="H173" s="110">
        <f>HomeHeatDemand!H167/$H$13</f>
        <v>0</v>
      </c>
      <c r="I173" s="110">
        <f>HomeHeatDemand!F167/$I$13</f>
        <v>0</v>
      </c>
      <c r="J173" s="110">
        <f>HomeHeatDemand!G167/$J$13</f>
        <v>0</v>
      </c>
      <c r="K173" s="110">
        <f>HomeHeatDemand!H167/$K$13</f>
        <v>0</v>
      </c>
      <c r="L173" s="110"/>
      <c r="M173" s="110"/>
      <c r="N173" s="104">
        <f t="shared" si="9"/>
        <v>0</v>
      </c>
      <c r="O173" s="104">
        <f t="shared" si="10"/>
        <v>0</v>
      </c>
      <c r="P173" s="104">
        <f t="shared" si="11"/>
        <v>0</v>
      </c>
      <c r="Q173" s="99"/>
      <c r="R173" s="99">
        <f>HomeHeatDemand!I167-HP_Power!N173</f>
        <v>0</v>
      </c>
    </row>
    <row r="174" spans="1:18" x14ac:dyDescent="0.2">
      <c r="A174" s="17">
        <v>159</v>
      </c>
      <c r="B174" s="55">
        <f>HomeHeatDemand!F168/$B$13</f>
        <v>0</v>
      </c>
      <c r="C174" s="55">
        <f>HomeHeatDemand!G168/$C$13</f>
        <v>0</v>
      </c>
      <c r="D174" s="55">
        <f>HomeHeatDemand!H168/$D$13</f>
        <v>0</v>
      </c>
      <c r="E174" s="55"/>
      <c r="F174" s="110">
        <f>HomeHeatDemand!F168/$F$13</f>
        <v>0</v>
      </c>
      <c r="G174" s="110">
        <f>HomeHeatDemand!G168/$G$13</f>
        <v>0</v>
      </c>
      <c r="H174" s="110">
        <f>HomeHeatDemand!H168/$H$13</f>
        <v>0</v>
      </c>
      <c r="I174" s="110">
        <f>HomeHeatDemand!F168/$I$13</f>
        <v>0</v>
      </c>
      <c r="J174" s="110">
        <f>HomeHeatDemand!G168/$J$13</f>
        <v>0</v>
      </c>
      <c r="K174" s="110">
        <f>HomeHeatDemand!H168/$K$13</f>
        <v>0</v>
      </c>
      <c r="L174" s="110"/>
      <c r="M174" s="110"/>
      <c r="N174" s="104">
        <f t="shared" si="9"/>
        <v>0</v>
      </c>
      <c r="O174" s="104">
        <f t="shared" si="10"/>
        <v>0</v>
      </c>
      <c r="P174" s="104">
        <f t="shared" si="11"/>
        <v>0</v>
      </c>
      <c r="Q174" s="99"/>
      <c r="R174" s="99">
        <f>HomeHeatDemand!I168-HP_Power!N174</f>
        <v>0</v>
      </c>
    </row>
    <row r="175" spans="1:18" x14ac:dyDescent="0.2">
      <c r="A175" s="17">
        <v>160</v>
      </c>
      <c r="B175" s="55">
        <f>HomeHeatDemand!F169/$B$13</f>
        <v>0.74636293386083608</v>
      </c>
      <c r="C175" s="55">
        <f>HomeHeatDemand!G169/$C$13</f>
        <v>0.34817321475331586</v>
      </c>
      <c r="D175" s="55">
        <f>HomeHeatDemand!H169/$D$13</f>
        <v>5.4355139759513407E-2</v>
      </c>
      <c r="E175" s="55"/>
      <c r="F175" s="110">
        <f>HomeHeatDemand!F169/$F$13</f>
        <v>0.36139678902735217</v>
      </c>
      <c r="G175" s="110">
        <f>HomeHeatDemand!G169/$G$13</f>
        <v>0.1970245030966869</v>
      </c>
      <c r="H175" s="110">
        <f>HomeHeatDemand!H169/$H$13</f>
        <v>3.471695198804188E-2</v>
      </c>
      <c r="I175" s="110">
        <f>HomeHeatDemand!F169/$I$13</f>
        <v>0.48220077187638283</v>
      </c>
      <c r="J175" s="110">
        <f>HomeHeatDemand!G169/$J$13</f>
        <v>0.26288381733406258</v>
      </c>
      <c r="K175" s="110">
        <f>HomeHeatDemand!H169/$K$13</f>
        <v>4.6321775826741275E-2</v>
      </c>
      <c r="L175" s="110"/>
      <c r="M175" s="110"/>
      <c r="N175" s="104">
        <f t="shared" si="9"/>
        <v>1791.2710412660065</v>
      </c>
      <c r="O175" s="104">
        <f t="shared" si="10"/>
        <v>835.61571540795808</v>
      </c>
      <c r="P175" s="104">
        <f t="shared" si="11"/>
        <v>130.45233542283216</v>
      </c>
      <c r="Q175" s="99"/>
      <c r="R175" s="99">
        <f>HomeHeatDemand!I169-HP_Power!N175</f>
        <v>6448.5757485576241</v>
      </c>
    </row>
    <row r="176" spans="1:18" x14ac:dyDescent="0.2">
      <c r="A176" s="17">
        <v>161</v>
      </c>
      <c r="B176" s="55">
        <f>HomeHeatDemand!F170/$B$13</f>
        <v>0.74636293386083608</v>
      </c>
      <c r="C176" s="55">
        <f>HomeHeatDemand!G170/$C$13</f>
        <v>0.34817321475331586</v>
      </c>
      <c r="D176" s="55">
        <f>HomeHeatDemand!H170/$D$13</f>
        <v>5.4355139759513407E-2</v>
      </c>
      <c r="E176" s="55"/>
      <c r="F176" s="110">
        <f>HomeHeatDemand!F170/$F$13</f>
        <v>0.36139678902735217</v>
      </c>
      <c r="G176" s="110">
        <f>HomeHeatDemand!G170/$G$13</f>
        <v>0.1970245030966869</v>
      </c>
      <c r="H176" s="110">
        <f>HomeHeatDemand!H170/$H$13</f>
        <v>3.471695198804188E-2</v>
      </c>
      <c r="I176" s="110">
        <f>HomeHeatDemand!F170/$I$13</f>
        <v>0.48220077187638283</v>
      </c>
      <c r="J176" s="110">
        <f>HomeHeatDemand!G170/$J$13</f>
        <v>0.26288381733406258</v>
      </c>
      <c r="K176" s="110">
        <f>HomeHeatDemand!H170/$K$13</f>
        <v>4.6321775826741275E-2</v>
      </c>
      <c r="L176" s="110"/>
      <c r="M176" s="110"/>
      <c r="N176" s="104">
        <f t="shared" si="9"/>
        <v>1791.2710412660065</v>
      </c>
      <c r="O176" s="104">
        <f t="shared" si="10"/>
        <v>835.61571540795808</v>
      </c>
      <c r="P176" s="104">
        <f t="shared" si="11"/>
        <v>130.45233542283216</v>
      </c>
      <c r="Q176" s="99"/>
      <c r="R176" s="99">
        <f>HomeHeatDemand!I170-HP_Power!N176</f>
        <v>6448.5757485576241</v>
      </c>
    </row>
    <row r="177" spans="1:18" x14ac:dyDescent="0.2">
      <c r="A177" s="17">
        <v>162</v>
      </c>
      <c r="B177" s="55">
        <f>HomeHeatDemand!F171/$B$13</f>
        <v>0.74636293386083608</v>
      </c>
      <c r="C177" s="55">
        <f>HomeHeatDemand!G171/$C$13</f>
        <v>0.34817321475331586</v>
      </c>
      <c r="D177" s="55">
        <f>HomeHeatDemand!H171/$D$13</f>
        <v>5.4355139759513407E-2</v>
      </c>
      <c r="E177" s="55"/>
      <c r="F177" s="110">
        <f>HomeHeatDemand!F171/$F$13</f>
        <v>0.36139678902735217</v>
      </c>
      <c r="G177" s="110">
        <f>HomeHeatDemand!G171/$G$13</f>
        <v>0.1970245030966869</v>
      </c>
      <c r="H177" s="110">
        <f>HomeHeatDemand!H171/$H$13</f>
        <v>3.471695198804188E-2</v>
      </c>
      <c r="I177" s="110">
        <f>HomeHeatDemand!F171/$I$13</f>
        <v>0.48220077187638283</v>
      </c>
      <c r="J177" s="110">
        <f>HomeHeatDemand!G171/$J$13</f>
        <v>0.26288381733406258</v>
      </c>
      <c r="K177" s="110">
        <f>HomeHeatDemand!H171/$K$13</f>
        <v>4.6321775826741275E-2</v>
      </c>
      <c r="L177" s="110"/>
      <c r="M177" s="110"/>
      <c r="N177" s="104">
        <f t="shared" si="9"/>
        <v>1791.2710412660065</v>
      </c>
      <c r="O177" s="104">
        <f t="shared" si="10"/>
        <v>835.61571540795808</v>
      </c>
      <c r="P177" s="104">
        <f t="shared" si="11"/>
        <v>130.45233542283216</v>
      </c>
      <c r="Q177" s="99"/>
      <c r="R177" s="99">
        <f>HomeHeatDemand!I171-HP_Power!N177</f>
        <v>6448.5757485576241</v>
      </c>
    </row>
    <row r="178" spans="1:18" x14ac:dyDescent="0.2">
      <c r="A178" s="17">
        <v>163</v>
      </c>
      <c r="B178" s="55">
        <f>HomeHeatDemand!F172/$B$13</f>
        <v>0.74636293386083608</v>
      </c>
      <c r="C178" s="55">
        <f>HomeHeatDemand!G172/$C$13</f>
        <v>0.34817321475331586</v>
      </c>
      <c r="D178" s="55">
        <f>HomeHeatDemand!H172/$D$13</f>
        <v>5.4355139759513407E-2</v>
      </c>
      <c r="E178" s="55"/>
      <c r="F178" s="110">
        <f>HomeHeatDemand!F172/$F$13</f>
        <v>0.36139678902735217</v>
      </c>
      <c r="G178" s="110">
        <f>HomeHeatDemand!G172/$G$13</f>
        <v>0.1970245030966869</v>
      </c>
      <c r="H178" s="110">
        <f>HomeHeatDemand!H172/$H$13</f>
        <v>3.471695198804188E-2</v>
      </c>
      <c r="I178" s="110">
        <f>HomeHeatDemand!F172/$I$13</f>
        <v>0.48220077187638283</v>
      </c>
      <c r="J178" s="110">
        <f>HomeHeatDemand!G172/$J$13</f>
        <v>0.26288381733406258</v>
      </c>
      <c r="K178" s="110">
        <f>HomeHeatDemand!H172/$K$13</f>
        <v>4.6321775826741275E-2</v>
      </c>
      <c r="L178" s="110"/>
      <c r="M178" s="110"/>
      <c r="N178" s="104">
        <f t="shared" si="9"/>
        <v>1791.2710412660065</v>
      </c>
      <c r="O178" s="104">
        <f t="shared" si="10"/>
        <v>835.61571540795808</v>
      </c>
      <c r="P178" s="104">
        <f t="shared" si="11"/>
        <v>130.45233542283216</v>
      </c>
      <c r="Q178" s="99"/>
      <c r="R178" s="99">
        <f>HomeHeatDemand!I172-HP_Power!N178</f>
        <v>6448.5757485576241</v>
      </c>
    </row>
    <row r="179" spans="1:18" x14ac:dyDescent="0.2">
      <c r="A179" s="17">
        <v>164</v>
      </c>
      <c r="B179" s="55">
        <f>HomeHeatDemand!F173/$B$13</f>
        <v>0.74636293386083608</v>
      </c>
      <c r="C179" s="55">
        <f>HomeHeatDemand!G173/$C$13</f>
        <v>0.34817321475331586</v>
      </c>
      <c r="D179" s="55">
        <f>HomeHeatDemand!H173/$D$13</f>
        <v>5.4355139759513407E-2</v>
      </c>
      <c r="E179" s="55"/>
      <c r="F179" s="110">
        <f>HomeHeatDemand!F173/$F$13</f>
        <v>0.36139678902735217</v>
      </c>
      <c r="G179" s="110">
        <f>HomeHeatDemand!G173/$G$13</f>
        <v>0.1970245030966869</v>
      </c>
      <c r="H179" s="110">
        <f>HomeHeatDemand!H173/$H$13</f>
        <v>3.471695198804188E-2</v>
      </c>
      <c r="I179" s="110">
        <f>HomeHeatDemand!F173/$I$13</f>
        <v>0.48220077187638283</v>
      </c>
      <c r="J179" s="110">
        <f>HomeHeatDemand!G173/$J$13</f>
        <v>0.26288381733406258</v>
      </c>
      <c r="K179" s="110">
        <f>HomeHeatDemand!H173/$K$13</f>
        <v>4.6321775826741275E-2</v>
      </c>
      <c r="L179" s="110"/>
      <c r="M179" s="110"/>
      <c r="N179" s="104">
        <f t="shared" si="9"/>
        <v>1791.2710412660065</v>
      </c>
      <c r="O179" s="104">
        <f t="shared" si="10"/>
        <v>835.61571540795808</v>
      </c>
      <c r="P179" s="104">
        <f t="shared" si="11"/>
        <v>130.45233542283216</v>
      </c>
      <c r="Q179" s="99"/>
      <c r="R179" s="99">
        <f>HomeHeatDemand!I173-HP_Power!N179</f>
        <v>6448.5757485576241</v>
      </c>
    </row>
    <row r="180" spans="1:18" x14ac:dyDescent="0.2">
      <c r="A180" s="17">
        <v>165</v>
      </c>
      <c r="B180" s="55">
        <f>HomeHeatDemand!F174/$B$13</f>
        <v>0.74636293386083608</v>
      </c>
      <c r="C180" s="55">
        <f>HomeHeatDemand!G174/$C$13</f>
        <v>0.34817321475331586</v>
      </c>
      <c r="D180" s="55">
        <f>HomeHeatDemand!H174/$D$13</f>
        <v>5.4355139759513407E-2</v>
      </c>
      <c r="E180" s="55"/>
      <c r="F180" s="110">
        <f>HomeHeatDemand!F174/$F$13</f>
        <v>0.36139678902735217</v>
      </c>
      <c r="G180" s="110">
        <f>HomeHeatDemand!G174/$G$13</f>
        <v>0.1970245030966869</v>
      </c>
      <c r="H180" s="110">
        <f>HomeHeatDemand!H174/$H$13</f>
        <v>3.471695198804188E-2</v>
      </c>
      <c r="I180" s="110">
        <f>HomeHeatDemand!F174/$I$13</f>
        <v>0.48220077187638283</v>
      </c>
      <c r="J180" s="110">
        <f>HomeHeatDemand!G174/$J$13</f>
        <v>0.26288381733406258</v>
      </c>
      <c r="K180" s="110">
        <f>HomeHeatDemand!H174/$K$13</f>
        <v>4.6321775826741275E-2</v>
      </c>
      <c r="L180" s="110"/>
      <c r="M180" s="110"/>
      <c r="N180" s="104">
        <f t="shared" si="9"/>
        <v>1791.2710412660065</v>
      </c>
      <c r="O180" s="104">
        <f t="shared" si="10"/>
        <v>835.61571540795808</v>
      </c>
      <c r="P180" s="104">
        <f t="shared" si="11"/>
        <v>130.45233542283216</v>
      </c>
      <c r="Q180" s="99"/>
      <c r="R180" s="99">
        <f>HomeHeatDemand!I174-HP_Power!N180</f>
        <v>6448.5757485576241</v>
      </c>
    </row>
    <row r="181" spans="1:18" x14ac:dyDescent="0.2">
      <c r="A181" s="17">
        <v>166</v>
      </c>
      <c r="B181" s="55">
        <f>HomeHeatDemand!F175/$B$13</f>
        <v>0.74636293386083608</v>
      </c>
      <c r="C181" s="55">
        <f>HomeHeatDemand!G175/$C$13</f>
        <v>0.34817321475331586</v>
      </c>
      <c r="D181" s="55">
        <f>HomeHeatDemand!H175/$D$13</f>
        <v>5.4355139759513407E-2</v>
      </c>
      <c r="E181" s="55"/>
      <c r="F181" s="110">
        <f>HomeHeatDemand!F175/$F$13</f>
        <v>0.36139678902735217</v>
      </c>
      <c r="G181" s="110">
        <f>HomeHeatDemand!G175/$G$13</f>
        <v>0.1970245030966869</v>
      </c>
      <c r="H181" s="110">
        <f>HomeHeatDemand!H175/$H$13</f>
        <v>3.471695198804188E-2</v>
      </c>
      <c r="I181" s="110">
        <f>HomeHeatDemand!F175/$I$13</f>
        <v>0.48220077187638283</v>
      </c>
      <c r="J181" s="110">
        <f>HomeHeatDemand!G175/$J$13</f>
        <v>0.26288381733406258</v>
      </c>
      <c r="K181" s="110">
        <f>HomeHeatDemand!H175/$K$13</f>
        <v>4.6321775826741275E-2</v>
      </c>
      <c r="L181" s="110"/>
      <c r="M181" s="110"/>
      <c r="N181" s="104">
        <f t="shared" si="9"/>
        <v>1791.2710412660065</v>
      </c>
      <c r="O181" s="104">
        <f t="shared" si="10"/>
        <v>835.61571540795808</v>
      </c>
      <c r="P181" s="104">
        <f t="shared" si="11"/>
        <v>130.45233542283216</v>
      </c>
      <c r="Q181" s="99"/>
      <c r="R181" s="99">
        <f>HomeHeatDemand!I175-HP_Power!N181</f>
        <v>6448.5757485576241</v>
      </c>
    </row>
    <row r="182" spans="1:18" x14ac:dyDescent="0.2">
      <c r="A182" s="17">
        <v>167</v>
      </c>
      <c r="B182" s="55">
        <f>HomeHeatDemand!F176/$B$13</f>
        <v>0</v>
      </c>
      <c r="C182" s="55">
        <f>HomeHeatDemand!G176/$C$13</f>
        <v>0</v>
      </c>
      <c r="D182" s="55">
        <f>HomeHeatDemand!H176/$D$13</f>
        <v>0</v>
      </c>
      <c r="E182" s="55"/>
      <c r="F182" s="110">
        <f>HomeHeatDemand!F176/$F$13</f>
        <v>0</v>
      </c>
      <c r="G182" s="110">
        <f>HomeHeatDemand!G176/$G$13</f>
        <v>0</v>
      </c>
      <c r="H182" s="110">
        <f>HomeHeatDemand!H176/$H$13</f>
        <v>0</v>
      </c>
      <c r="I182" s="110">
        <f>HomeHeatDemand!F176/$I$13</f>
        <v>0</v>
      </c>
      <c r="J182" s="110">
        <f>HomeHeatDemand!G176/$J$13</f>
        <v>0</v>
      </c>
      <c r="K182" s="110">
        <f>HomeHeatDemand!H176/$K$13</f>
        <v>0</v>
      </c>
      <c r="L182" s="110"/>
      <c r="M182" s="110"/>
      <c r="N182" s="104">
        <f t="shared" si="9"/>
        <v>0</v>
      </c>
      <c r="O182" s="104">
        <f t="shared" si="10"/>
        <v>0</v>
      </c>
      <c r="P182" s="104">
        <f t="shared" si="11"/>
        <v>0</v>
      </c>
      <c r="Q182" s="99"/>
      <c r="R182" s="99">
        <f>HomeHeatDemand!I176-HP_Power!N182</f>
        <v>0</v>
      </c>
    </row>
    <row r="183" spans="1:18" x14ac:dyDescent="0.2">
      <c r="A183" s="17">
        <v>168</v>
      </c>
      <c r="B183" s="55">
        <f>HomeHeatDemand!F177/$B$13</f>
        <v>0</v>
      </c>
      <c r="C183" s="55">
        <f>HomeHeatDemand!G177/$C$13</f>
        <v>0</v>
      </c>
      <c r="D183" s="55">
        <f>HomeHeatDemand!H177/$D$13</f>
        <v>0</v>
      </c>
      <c r="E183" s="55"/>
      <c r="F183" s="110">
        <f>HomeHeatDemand!F177/$F$13</f>
        <v>0</v>
      </c>
      <c r="G183" s="110">
        <f>HomeHeatDemand!G177/$G$13</f>
        <v>0</v>
      </c>
      <c r="H183" s="110">
        <f>HomeHeatDemand!H177/$H$13</f>
        <v>0</v>
      </c>
      <c r="I183" s="110">
        <f>HomeHeatDemand!F177/$I$13</f>
        <v>0</v>
      </c>
      <c r="J183" s="110">
        <f>HomeHeatDemand!G177/$J$13</f>
        <v>0</v>
      </c>
      <c r="K183" s="110">
        <f>HomeHeatDemand!H177/$K$13</f>
        <v>0</v>
      </c>
      <c r="L183" s="110"/>
      <c r="M183" s="110"/>
      <c r="N183" s="104">
        <f t="shared" si="9"/>
        <v>0</v>
      </c>
      <c r="O183" s="104">
        <f t="shared" si="10"/>
        <v>0</v>
      </c>
      <c r="P183" s="104">
        <f t="shared" si="11"/>
        <v>0</v>
      </c>
      <c r="Q183" s="99"/>
      <c r="R183" s="99">
        <f>HomeHeatDemand!I177-HP_Power!N183</f>
        <v>0</v>
      </c>
    </row>
  </sheetData>
  <mergeCells count="8">
    <mergeCell ref="B2:D2"/>
    <mergeCell ref="N9:P9"/>
    <mergeCell ref="R9:T9"/>
    <mergeCell ref="B8:D8"/>
    <mergeCell ref="F10:H10"/>
    <mergeCell ref="I10:K10"/>
    <mergeCell ref="F8:K8"/>
    <mergeCell ref="N8:T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C6BE1-1D93-4447-B72E-8C91DDD12824}">
  <dimension ref="A1:AD685"/>
  <sheetViews>
    <sheetView topLeftCell="M1" zoomScale="130" zoomScaleNormal="130" workbookViewId="0">
      <selection activeCell="AC12" sqref="AC12"/>
    </sheetView>
  </sheetViews>
  <sheetFormatPr baseColWidth="10" defaultRowHeight="16" x14ac:dyDescent="0.2"/>
  <cols>
    <col min="1" max="1" width="10.83203125" style="71"/>
    <col min="2" max="2" width="11.83203125" style="59" customWidth="1"/>
    <col min="3" max="3" width="11.6640625" style="40" bestFit="1" customWidth="1"/>
    <col min="4" max="4" width="12.83203125" customWidth="1"/>
    <col min="6" max="6" width="10.83203125" style="40"/>
    <col min="7" max="7" width="12.83203125" customWidth="1"/>
    <col min="9" max="9" width="10.83203125" style="107"/>
    <col min="10" max="10" width="13.6640625" style="107" customWidth="1"/>
    <col min="11" max="12" width="10.83203125" style="107"/>
    <col min="13" max="13" width="13" style="107" customWidth="1"/>
    <col min="14" max="14" width="10.83203125" style="107"/>
    <col min="16" max="16" width="14.5" customWidth="1"/>
    <col min="19" max="19" width="13.83203125" customWidth="1"/>
    <col min="26" max="26" width="10.83203125" style="111"/>
    <col min="27" max="27" width="13" bestFit="1" customWidth="1"/>
    <col min="28" max="28" width="14.83203125" customWidth="1"/>
  </cols>
  <sheetData>
    <row r="1" spans="1:30" x14ac:dyDescent="0.2">
      <c r="A1" s="29" t="s">
        <v>140</v>
      </c>
    </row>
    <row r="2" spans="1:30" x14ac:dyDescent="0.2">
      <c r="A2" s="29"/>
    </row>
    <row r="3" spans="1:30" s="29" customFormat="1" ht="19" customHeight="1" x14ac:dyDescent="0.2">
      <c r="A3" s="29" t="s">
        <v>175</v>
      </c>
      <c r="B3" s="59"/>
      <c r="C3" s="25" t="s">
        <v>145</v>
      </c>
      <c r="D3" s="25" t="s">
        <v>150</v>
      </c>
      <c r="E3" s="25" t="s">
        <v>146</v>
      </c>
      <c r="F3" s="36"/>
      <c r="G3" s="36"/>
      <c r="H3" s="36"/>
      <c r="I3" s="101"/>
      <c r="J3" s="101"/>
      <c r="K3" s="101"/>
      <c r="L3" s="101"/>
      <c r="M3" s="101"/>
      <c r="N3" s="101"/>
      <c r="O3" s="36" t="s">
        <v>148</v>
      </c>
      <c r="P3" s="36" t="s">
        <v>149</v>
      </c>
      <c r="Q3" s="36" t="s">
        <v>147</v>
      </c>
      <c r="Z3" s="111"/>
    </row>
    <row r="4" spans="1:30" s="29" customFormat="1" ht="19" customHeight="1" x14ac:dyDescent="0.2">
      <c r="A4" s="71"/>
      <c r="B4" s="59"/>
      <c r="C4" s="25"/>
      <c r="D4" s="25"/>
      <c r="E4" s="25"/>
      <c r="F4" s="36"/>
      <c r="G4" s="36"/>
      <c r="H4" s="36"/>
      <c r="I4" s="101"/>
      <c r="J4" s="101"/>
      <c r="K4" s="101"/>
      <c r="L4" s="101"/>
      <c r="M4" s="101"/>
      <c r="N4" s="111" t="str">
        <f>'Side Calcs'!A36</f>
        <v>% Qevap, h</v>
      </c>
      <c r="O4" s="127">
        <f>'Side Calcs'!C36</f>
        <v>0.82743339253605341</v>
      </c>
      <c r="P4" s="127">
        <f>'Side Calcs'!D36</f>
        <v>0.65756780480814014</v>
      </c>
      <c r="Q4" s="127">
        <f>'Side Calcs'!E36</f>
        <v>0</v>
      </c>
      <c r="Z4" s="111"/>
    </row>
    <row r="5" spans="1:30" s="29" customFormat="1" ht="19" customHeight="1" x14ac:dyDescent="0.2">
      <c r="A5" s="71"/>
      <c r="B5" s="59"/>
      <c r="C5" s="25"/>
      <c r="D5" s="25"/>
      <c r="E5" s="25"/>
      <c r="F5" s="36"/>
      <c r="G5" s="36"/>
      <c r="H5" s="36"/>
      <c r="I5" s="101"/>
      <c r="J5" s="101"/>
      <c r="K5" s="101"/>
      <c r="L5" s="101"/>
      <c r="M5" s="101"/>
      <c r="N5" s="111" t="str">
        <f>'Side Calcs'!A37</f>
        <v>% Qevap, c</v>
      </c>
      <c r="O5" s="127">
        <f>'Side Calcs'!C37</f>
        <v>0.17256660746394661</v>
      </c>
      <c r="P5" s="127">
        <f>'Side Calcs'!D37</f>
        <v>0.34243219519185986</v>
      </c>
      <c r="Q5" s="127">
        <f>'Side Calcs'!E37</f>
        <v>1</v>
      </c>
      <c r="Z5" s="111"/>
    </row>
    <row r="6" spans="1:30" s="29" customFormat="1" ht="17" customHeight="1" x14ac:dyDescent="0.2">
      <c r="A6" s="71"/>
      <c r="B6" s="59"/>
      <c r="C6" s="141" t="s">
        <v>141</v>
      </c>
      <c r="D6" s="141"/>
      <c r="E6" s="141"/>
      <c r="F6" s="133" t="s">
        <v>139</v>
      </c>
      <c r="G6" s="133"/>
      <c r="H6" s="133"/>
      <c r="I6" s="133" t="str">
        <f>HP_Power!F8</f>
        <v>Individual WSHP Power (kWh)</v>
      </c>
      <c r="J6" s="133"/>
      <c r="K6" s="133"/>
      <c r="L6" s="133"/>
      <c r="M6" s="133"/>
      <c r="N6" s="133"/>
      <c r="O6" s="133"/>
      <c r="P6" s="133"/>
      <c r="Q6" s="133"/>
      <c r="S6" s="29" t="s">
        <v>143</v>
      </c>
      <c r="T6" s="59">
        <v>2400</v>
      </c>
      <c r="U6" s="29" t="s">
        <v>142</v>
      </c>
      <c r="Z6" s="111"/>
    </row>
    <row r="7" spans="1:30" s="29" customFormat="1" ht="17" customHeight="1" x14ac:dyDescent="0.2">
      <c r="A7" s="71"/>
      <c r="B7" s="59"/>
      <c r="C7" s="25"/>
      <c r="D7" s="25"/>
      <c r="E7" s="25"/>
      <c r="F7" s="109" t="str">
        <f>HP_Power!B10</f>
        <v>A7W35</v>
      </c>
      <c r="G7" s="109" t="str">
        <f>HP_Power!C10</f>
        <v>A15.4W35</v>
      </c>
      <c r="H7" s="109" t="str">
        <f>HP_Power!D10</f>
        <v>A23W35</v>
      </c>
      <c r="I7" s="142" t="str">
        <f>HP_Power!F10</f>
        <v>W20W35</v>
      </c>
      <c r="J7" s="142"/>
      <c r="K7" s="142"/>
      <c r="L7" s="143" t="str">
        <f>HP_Power!I10</f>
        <v>W10W35</v>
      </c>
      <c r="M7" s="143"/>
      <c r="N7" s="143"/>
      <c r="O7" s="144" t="s">
        <v>174</v>
      </c>
      <c r="P7" s="144"/>
      <c r="Q7" s="144"/>
      <c r="T7" s="59"/>
      <c r="Z7" s="111"/>
    </row>
    <row r="8" spans="1:30" s="29" customFormat="1" ht="17" customHeight="1" x14ac:dyDescent="0.2">
      <c r="A8" s="71"/>
      <c r="B8" s="59"/>
      <c r="C8" s="25" t="s">
        <v>88</v>
      </c>
      <c r="D8" s="25" t="s">
        <v>88</v>
      </c>
      <c r="E8" s="25" t="s">
        <v>88</v>
      </c>
      <c r="F8" s="25" t="s">
        <v>88</v>
      </c>
      <c r="G8" s="25" t="s">
        <v>88</v>
      </c>
      <c r="H8" s="25" t="s">
        <v>88</v>
      </c>
      <c r="I8" s="106" t="s">
        <v>88</v>
      </c>
      <c r="J8" s="106" t="s">
        <v>88</v>
      </c>
      <c r="K8" s="106" t="s">
        <v>88</v>
      </c>
      <c r="L8" s="106" t="s">
        <v>88</v>
      </c>
      <c r="M8" s="106" t="s">
        <v>88</v>
      </c>
      <c r="N8" s="106" t="s">
        <v>88</v>
      </c>
      <c r="O8" s="25" t="str">
        <f>N8</f>
        <v>(kWh)</v>
      </c>
      <c r="P8" s="25" t="str">
        <f t="shared" ref="P8:Q8" si="0">O8</f>
        <v>(kWh)</v>
      </c>
      <c r="Q8" s="25" t="str">
        <f t="shared" si="0"/>
        <v>(kWh)</v>
      </c>
      <c r="S8" s="133" t="str">
        <f>F6</f>
        <v>Counterfactual Individual ASHP Power</v>
      </c>
      <c r="T8" s="133"/>
      <c r="U8" s="133"/>
      <c r="V8" s="133" t="s">
        <v>185</v>
      </c>
      <c r="W8" s="133"/>
      <c r="X8" s="133"/>
      <c r="Z8" s="111"/>
      <c r="AA8" s="133" t="s">
        <v>186</v>
      </c>
      <c r="AB8" s="133"/>
      <c r="AC8" s="133"/>
    </row>
    <row r="9" spans="1:30" s="29" customFormat="1" ht="17" customHeight="1" x14ac:dyDescent="0.2">
      <c r="A9" s="71"/>
      <c r="B9" s="46" t="s">
        <v>13</v>
      </c>
      <c r="C9" s="49">
        <f>SUM(C11:C682)</f>
        <v>1057.4470046940378</v>
      </c>
      <c r="D9" s="49">
        <f t="shared" ref="D9:Q9" si="1">SUM(D11:D682)</f>
        <v>576.49369606090784</v>
      </c>
      <c r="E9" s="49">
        <f t="shared" si="1"/>
        <v>101.58180151700981</v>
      </c>
      <c r="F9" s="49">
        <f t="shared" si="1"/>
        <v>229.87978362913779</v>
      </c>
      <c r="G9" s="49">
        <f t="shared" si="1"/>
        <v>107.23735014402146</v>
      </c>
      <c r="H9" s="49">
        <f t="shared" si="1"/>
        <v>16.741383045930117</v>
      </c>
      <c r="I9" s="128">
        <f t="shared" si="1"/>
        <v>111.31021102042465</v>
      </c>
      <c r="J9" s="128">
        <f t="shared" si="1"/>
        <v>60.683546953779434</v>
      </c>
      <c r="K9" s="128">
        <f t="shared" si="1"/>
        <v>10.692821212316856</v>
      </c>
      <c r="L9" s="128">
        <f t="shared" si="1"/>
        <v>148.51783773792593</v>
      </c>
      <c r="M9" s="128">
        <f t="shared" si="1"/>
        <v>80.968215738891146</v>
      </c>
      <c r="N9" s="128">
        <f t="shared" si="1"/>
        <v>14.267106954636214</v>
      </c>
      <c r="O9" s="49">
        <f t="shared" si="1"/>
        <v>117.73100493484792</v>
      </c>
      <c r="P9" s="49">
        <f t="shared" si="1"/>
        <v>67.629670614604848</v>
      </c>
      <c r="Q9" s="49">
        <f t="shared" si="1"/>
        <v>14.267106954636214</v>
      </c>
      <c r="S9" s="36" t="s">
        <v>144</v>
      </c>
      <c r="T9" s="36" t="s">
        <v>144</v>
      </c>
      <c r="U9" s="36" t="s">
        <v>144</v>
      </c>
      <c r="V9" s="36" t="s">
        <v>144</v>
      </c>
      <c r="W9" s="36" t="s">
        <v>144</v>
      </c>
      <c r="X9" s="36" t="s">
        <v>144</v>
      </c>
      <c r="Z9" s="111"/>
      <c r="AA9" s="36" t="str">
        <f>V9</f>
        <v>(MWh)</v>
      </c>
      <c r="AB9" s="36" t="str">
        <f t="shared" ref="AB9:AC9" si="2">W9</f>
        <v>(MWh)</v>
      </c>
      <c r="AC9" s="36" t="str">
        <f t="shared" si="2"/>
        <v>(MWh)</v>
      </c>
    </row>
    <row r="10" spans="1:30" s="36" customFormat="1" x14ac:dyDescent="0.2">
      <c r="A10" s="72"/>
      <c r="B10" s="36" t="s">
        <v>59</v>
      </c>
      <c r="C10" s="62" t="str">
        <f>HomeHeatDemand!I2</f>
        <v>Winter</v>
      </c>
      <c r="D10" s="36" t="str">
        <f>HomeHeatDemand!J2</f>
        <v>Spring/Autumn</v>
      </c>
      <c r="E10" s="36" t="str">
        <f>HomeHeatDemand!K2</f>
        <v>Summer</v>
      </c>
      <c r="F10" s="62" t="str">
        <f>C10</f>
        <v>Winter</v>
      </c>
      <c r="G10" s="62" t="str">
        <f>D10</f>
        <v>Spring/Autumn</v>
      </c>
      <c r="H10" s="62" t="str">
        <f>E10</f>
        <v>Summer</v>
      </c>
      <c r="I10" s="102" t="str">
        <f>HP_Power!F11</f>
        <v>Winter</v>
      </c>
      <c r="J10" s="102" t="str">
        <f>HP_Power!G11</f>
        <v>Spring/Autumn</v>
      </c>
      <c r="K10" s="102" t="str">
        <f>HP_Power!H11</f>
        <v>Summer</v>
      </c>
      <c r="L10" s="102" t="str">
        <f>I10</f>
        <v>Winter</v>
      </c>
      <c r="M10" s="102" t="str">
        <f t="shared" ref="M10:N10" si="3">J10</f>
        <v>Spring/Autumn</v>
      </c>
      <c r="N10" s="102" t="str">
        <f t="shared" si="3"/>
        <v>Summer</v>
      </c>
      <c r="O10" s="36" t="str">
        <f>L10</f>
        <v>Winter</v>
      </c>
      <c r="P10" s="36" t="str">
        <f t="shared" ref="P10:Q10" si="4">M10</f>
        <v>Spring/Autumn</v>
      </c>
      <c r="Q10" s="36" t="str">
        <f t="shared" si="4"/>
        <v>Summer</v>
      </c>
      <c r="S10" s="62" t="str">
        <f t="shared" ref="S10:X10" si="5">C10</f>
        <v>Winter</v>
      </c>
      <c r="T10" s="62" t="str">
        <f t="shared" si="5"/>
        <v>Spring/Autumn</v>
      </c>
      <c r="U10" s="62" t="str">
        <f t="shared" si="5"/>
        <v>Summer</v>
      </c>
      <c r="V10" s="62" t="str">
        <f t="shared" si="5"/>
        <v>Winter</v>
      </c>
      <c r="W10" s="62" t="str">
        <f t="shared" si="5"/>
        <v>Spring/Autumn</v>
      </c>
      <c r="X10" s="62" t="str">
        <f t="shared" si="5"/>
        <v>Summer</v>
      </c>
      <c r="AA10" s="62" t="str">
        <f>V10</f>
        <v>Winter</v>
      </c>
      <c r="AB10" s="62" t="str">
        <f t="shared" ref="AB10:AC10" si="6">W10</f>
        <v>Spring/Autumn</v>
      </c>
      <c r="AC10" s="62" t="str">
        <f t="shared" si="6"/>
        <v>Summer</v>
      </c>
      <c r="AD10" s="36" t="s">
        <v>13</v>
      </c>
    </row>
    <row r="11" spans="1:30" x14ac:dyDescent="0.2">
      <c r="A11" s="72">
        <v>1</v>
      </c>
      <c r="B11" s="59" cm="1">
        <f t="array" ref="B11:B682">_xlfn.SEQUENCE(672)</f>
        <v>1</v>
      </c>
      <c r="C11" s="40">
        <f>HomeHeatDemand!F10</f>
        <v>0</v>
      </c>
      <c r="D11" s="40">
        <f>HomeHeatDemand!G10</f>
        <v>0</v>
      </c>
      <c r="E11" s="40">
        <f>HomeHeatDemand!H10</f>
        <v>0</v>
      </c>
      <c r="F11" s="40">
        <f>HP_Power!B16</f>
        <v>0</v>
      </c>
      <c r="G11" s="40">
        <f>HP_Power!C16</f>
        <v>0</v>
      </c>
      <c r="H11" s="40">
        <f>HP_Power!D16</f>
        <v>0</v>
      </c>
      <c r="I11" s="104">
        <f>HP_Power!F16</f>
        <v>0</v>
      </c>
      <c r="J11" s="104">
        <f>HP_Power!G16</f>
        <v>0</v>
      </c>
      <c r="K11" s="104">
        <f>HP_Power!H16</f>
        <v>0</v>
      </c>
      <c r="L11" s="104">
        <f>HP_Power!I16</f>
        <v>0</v>
      </c>
      <c r="M11" s="104">
        <f>HP_Power!J16</f>
        <v>0</v>
      </c>
      <c r="N11" s="104">
        <f>HP_Power!K16</f>
        <v>0</v>
      </c>
      <c r="O11" s="55">
        <f>$O$4*I11+$O$5*L11</f>
        <v>0</v>
      </c>
      <c r="P11" s="55">
        <f>$P$4*J11+$P$5*M11</f>
        <v>0</v>
      </c>
      <c r="Q11" s="55">
        <f>$Q$4*K11+$Q$5*N11</f>
        <v>0</v>
      </c>
      <c r="S11" s="55">
        <f t="shared" ref="S11:U11" si="7">F9*$T$6/1000</f>
        <v>551.7114807099307</v>
      </c>
      <c r="T11" s="55">
        <f t="shared" si="7"/>
        <v>257.36964034565153</v>
      </c>
      <c r="U11" s="55">
        <f t="shared" si="7"/>
        <v>40.179319310232287</v>
      </c>
      <c r="V11" s="55">
        <f>O9*$T$6/1000</f>
        <v>282.55441184363502</v>
      </c>
      <c r="W11" s="55">
        <f t="shared" ref="W11:X11" si="8">P9*$T$6/1000</f>
        <v>162.31120947505164</v>
      </c>
      <c r="X11" s="55">
        <f t="shared" si="8"/>
        <v>34.241056691126914</v>
      </c>
      <c r="Z11" s="29" t="s">
        <v>179</v>
      </c>
      <c r="AA11" s="151">
        <f>C9/1000*$T$6-V11</f>
        <v>2255.3183994220558</v>
      </c>
      <c r="AB11" s="151">
        <f>D9/1000*$T$6-W11</f>
        <v>1221.2736610711272</v>
      </c>
      <c r="AC11" s="151">
        <f>E9/1000*$T$6-X11</f>
        <v>209.55526694969663</v>
      </c>
    </row>
    <row r="12" spans="1:30" x14ac:dyDescent="0.2">
      <c r="A12" s="72">
        <v>2</v>
      </c>
      <c r="B12" s="59">
        <v>2</v>
      </c>
      <c r="C12" s="40">
        <f>HomeHeatDemand!F11</f>
        <v>0</v>
      </c>
      <c r="D12" s="40">
        <f>HomeHeatDemand!G11</f>
        <v>0</v>
      </c>
      <c r="E12" s="40">
        <f>HomeHeatDemand!H11</f>
        <v>0</v>
      </c>
      <c r="F12" s="40">
        <f>HP_Power!B17</f>
        <v>0</v>
      </c>
      <c r="G12" s="40">
        <f>HP_Power!C17</f>
        <v>0</v>
      </c>
      <c r="H12" s="40">
        <f>HP_Power!D17</f>
        <v>0</v>
      </c>
      <c r="I12" s="104">
        <f>HP_Power!F17</f>
        <v>0</v>
      </c>
      <c r="J12" s="104">
        <f>HP_Power!G17</f>
        <v>0</v>
      </c>
      <c r="K12" s="104">
        <f>HP_Power!H17</f>
        <v>0</v>
      </c>
      <c r="L12" s="104">
        <f>HP_Power!I17</f>
        <v>0</v>
      </c>
      <c r="M12" s="104">
        <f>HP_Power!J17</f>
        <v>0</v>
      </c>
      <c r="N12" s="104">
        <f>HP_Power!K17</f>
        <v>0</v>
      </c>
      <c r="O12" s="55">
        <f t="shared" ref="O12:O75" si="9">$O$4*I12+$O$5*L12</f>
        <v>0</v>
      </c>
      <c r="P12" s="55">
        <f t="shared" ref="P12:P75" si="10">$P$4*J12+$P$5*M12</f>
        <v>0</v>
      </c>
      <c r="Q12" s="55">
        <f t="shared" ref="Q12:Q75" si="11">$Q$4*K12+$Q$5*N12</f>
        <v>0</v>
      </c>
      <c r="V12" s="118">
        <f>(S11-V11)/S11</f>
        <v>0.48785837938327842</v>
      </c>
      <c r="W12" s="118">
        <f>(T11-W11)/T11</f>
        <v>0.36934593661837856</v>
      </c>
      <c r="X12" s="118">
        <f>(U11-X11)/U11</f>
        <v>0.14779400749064214</v>
      </c>
      <c r="Z12" s="29" t="s">
        <v>187</v>
      </c>
      <c r="AA12" s="151">
        <f>13/4*AA11</f>
        <v>7329.784798121681</v>
      </c>
      <c r="AB12" s="151">
        <f>26/4*AB11</f>
        <v>7938.2787969623269</v>
      </c>
      <c r="AC12" s="151">
        <f>13/4*AC11</f>
        <v>681.05461758651404</v>
      </c>
      <c r="AD12" s="151">
        <f>SUM(AA12:AC12)</f>
        <v>15949.118212670523</v>
      </c>
    </row>
    <row r="13" spans="1:30" x14ac:dyDescent="0.2">
      <c r="A13" s="72">
        <v>3</v>
      </c>
      <c r="B13" s="59">
        <v>3</v>
      </c>
      <c r="C13" s="40">
        <f>HomeHeatDemand!F12</f>
        <v>0</v>
      </c>
      <c r="D13" s="40">
        <f>HomeHeatDemand!G12</f>
        <v>0</v>
      </c>
      <c r="E13" s="40">
        <f>HomeHeatDemand!H12</f>
        <v>0</v>
      </c>
      <c r="F13" s="40">
        <f>HP_Power!B18</f>
        <v>0</v>
      </c>
      <c r="G13" s="40">
        <f>HP_Power!C18</f>
        <v>0</v>
      </c>
      <c r="H13" s="40">
        <f>HP_Power!D18</f>
        <v>0</v>
      </c>
      <c r="I13" s="104">
        <f>HP_Power!F18</f>
        <v>0</v>
      </c>
      <c r="J13" s="104">
        <f>HP_Power!G18</f>
        <v>0</v>
      </c>
      <c r="K13" s="104">
        <f>HP_Power!H18</f>
        <v>0</v>
      </c>
      <c r="L13" s="104">
        <f>HP_Power!I18</f>
        <v>0</v>
      </c>
      <c r="M13" s="104">
        <f>HP_Power!J18</f>
        <v>0</v>
      </c>
      <c r="N13" s="104">
        <f>HP_Power!K18</f>
        <v>0</v>
      </c>
      <c r="O13" s="55">
        <f t="shared" si="9"/>
        <v>0</v>
      </c>
      <c r="P13" s="55">
        <f t="shared" si="10"/>
        <v>0</v>
      </c>
      <c r="Q13" s="55">
        <f t="shared" si="11"/>
        <v>0</v>
      </c>
      <c r="U13" t="s">
        <v>158</v>
      </c>
      <c r="V13" s="87">
        <v>49.8</v>
      </c>
      <c r="W13" s="88">
        <v>0</v>
      </c>
      <c r="X13" s="88">
        <v>0</v>
      </c>
      <c r="Z13" s="29"/>
    </row>
    <row r="14" spans="1:30" x14ac:dyDescent="0.2">
      <c r="A14" s="72">
        <v>4</v>
      </c>
      <c r="B14" s="59">
        <v>4</v>
      </c>
      <c r="C14" s="40">
        <f>HomeHeatDemand!F13</f>
        <v>0</v>
      </c>
      <c r="D14" s="40">
        <f>HomeHeatDemand!G13</f>
        <v>0</v>
      </c>
      <c r="E14" s="40">
        <f>HomeHeatDemand!H13</f>
        <v>0</v>
      </c>
      <c r="F14" s="40">
        <f>HP_Power!B19</f>
        <v>0</v>
      </c>
      <c r="G14" s="40">
        <f>HP_Power!C19</f>
        <v>0</v>
      </c>
      <c r="H14" s="40">
        <f>HP_Power!D19</f>
        <v>0</v>
      </c>
      <c r="I14" s="104">
        <f>HP_Power!F19</f>
        <v>0</v>
      </c>
      <c r="J14" s="104">
        <f>HP_Power!G19</f>
        <v>0</v>
      </c>
      <c r="K14" s="104">
        <f>HP_Power!H19</f>
        <v>0</v>
      </c>
      <c r="L14" s="104">
        <f>HP_Power!I19</f>
        <v>0</v>
      </c>
      <c r="M14" s="104">
        <f>HP_Power!J19</f>
        <v>0</v>
      </c>
      <c r="N14" s="104">
        <f>HP_Power!K19</f>
        <v>0</v>
      </c>
      <c r="O14" s="55">
        <f t="shared" si="9"/>
        <v>0</v>
      </c>
      <c r="P14" s="55">
        <f t="shared" si="10"/>
        <v>0</v>
      </c>
      <c r="Q14" s="55">
        <f t="shared" si="11"/>
        <v>0</v>
      </c>
      <c r="U14" t="s">
        <v>13</v>
      </c>
      <c r="V14" s="117">
        <f>V13+V11</f>
        <v>332.35441184363503</v>
      </c>
      <c r="W14" s="117">
        <f>W13+W11</f>
        <v>162.31120947505164</v>
      </c>
      <c r="X14" s="117">
        <f>X13+X11</f>
        <v>34.241056691126914</v>
      </c>
      <c r="Z14" s="29"/>
    </row>
    <row r="15" spans="1:30" x14ac:dyDescent="0.2">
      <c r="A15" s="72">
        <v>5</v>
      </c>
      <c r="B15" s="59">
        <v>5</v>
      </c>
      <c r="C15" s="40">
        <f>HomeHeatDemand!F14</f>
        <v>0</v>
      </c>
      <c r="D15" s="40">
        <f>HomeHeatDemand!G14</f>
        <v>0</v>
      </c>
      <c r="E15" s="40">
        <f>HomeHeatDemand!H14</f>
        <v>0</v>
      </c>
      <c r="F15" s="40">
        <f>HP_Power!B20</f>
        <v>0</v>
      </c>
      <c r="G15" s="40">
        <f>HP_Power!C20</f>
        <v>0</v>
      </c>
      <c r="H15" s="40">
        <f>HP_Power!D20</f>
        <v>0</v>
      </c>
      <c r="I15" s="104">
        <f>HP_Power!F20</f>
        <v>0</v>
      </c>
      <c r="J15" s="104">
        <f>HP_Power!G20</f>
        <v>0</v>
      </c>
      <c r="K15" s="104">
        <f>HP_Power!H20</f>
        <v>0</v>
      </c>
      <c r="L15" s="104">
        <f>HP_Power!I20</f>
        <v>0</v>
      </c>
      <c r="M15" s="104">
        <f>HP_Power!J20</f>
        <v>0</v>
      </c>
      <c r="N15" s="104">
        <f>HP_Power!K20</f>
        <v>0</v>
      </c>
      <c r="O15" s="55">
        <f t="shared" si="9"/>
        <v>0</v>
      </c>
      <c r="P15" s="55">
        <f t="shared" si="10"/>
        <v>0</v>
      </c>
      <c r="Q15" s="55">
        <f t="shared" si="11"/>
        <v>0</v>
      </c>
      <c r="V15" s="118">
        <f>(S11-V14)/S11</f>
        <v>0.39759380860451121</v>
      </c>
      <c r="W15" s="118">
        <f>(T11-W14)/T11</f>
        <v>0.36934593661837856</v>
      </c>
      <c r="X15" s="118">
        <f>(U11-X14)/U11</f>
        <v>0.14779400749064214</v>
      </c>
      <c r="Z15" s="29"/>
    </row>
    <row r="16" spans="1:30" x14ac:dyDescent="0.2">
      <c r="A16" s="72">
        <v>6</v>
      </c>
      <c r="B16" s="59">
        <v>6</v>
      </c>
      <c r="C16" s="40">
        <f>HomeHeatDemand!F15</f>
        <v>0</v>
      </c>
      <c r="D16" s="40">
        <f>HomeHeatDemand!G15</f>
        <v>0</v>
      </c>
      <c r="E16" s="40">
        <f>HomeHeatDemand!H15</f>
        <v>0</v>
      </c>
      <c r="F16" s="40">
        <f>HP_Power!B21</f>
        <v>0</v>
      </c>
      <c r="G16" s="40">
        <f>HP_Power!C21</f>
        <v>0</v>
      </c>
      <c r="H16" s="40">
        <f>HP_Power!D21</f>
        <v>0</v>
      </c>
      <c r="I16" s="104">
        <f>HP_Power!F21</f>
        <v>0</v>
      </c>
      <c r="J16" s="104">
        <f>HP_Power!G21</f>
        <v>0</v>
      </c>
      <c r="K16" s="104">
        <f>HP_Power!H21</f>
        <v>0</v>
      </c>
      <c r="L16" s="104">
        <f>HP_Power!I21</f>
        <v>0</v>
      </c>
      <c r="M16" s="104">
        <f>HP_Power!J21</f>
        <v>0</v>
      </c>
      <c r="N16" s="104">
        <f>HP_Power!K21</f>
        <v>0</v>
      </c>
      <c r="O16" s="55">
        <f t="shared" si="9"/>
        <v>0</v>
      </c>
      <c r="P16" s="55">
        <f t="shared" si="10"/>
        <v>0</v>
      </c>
      <c r="Q16" s="55">
        <f t="shared" si="11"/>
        <v>0</v>
      </c>
      <c r="Z16" s="29"/>
    </row>
    <row r="17" spans="1:26" x14ac:dyDescent="0.2">
      <c r="A17" s="72">
        <v>7</v>
      </c>
      <c r="B17" s="59">
        <v>7</v>
      </c>
      <c r="C17" s="40">
        <f>HomeHeatDemand!F16</f>
        <v>3.4332694957598457</v>
      </c>
      <c r="D17" s="40">
        <f>HomeHeatDemand!G16</f>
        <v>1.8717327794185254</v>
      </c>
      <c r="E17" s="40">
        <f>HomeHeatDemand!H16</f>
        <v>0.32981104388639787</v>
      </c>
      <c r="F17" s="40">
        <f>HP_Power!B22</f>
        <v>0.74636293386083608</v>
      </c>
      <c r="G17" s="40">
        <f>HP_Power!C22</f>
        <v>0.34817321475331586</v>
      </c>
      <c r="H17" s="40">
        <f>HP_Power!D22</f>
        <v>5.4355139759513407E-2</v>
      </c>
      <c r="I17" s="104">
        <f>HP_Power!F22</f>
        <v>0.36139678902735217</v>
      </c>
      <c r="J17" s="104">
        <f>HP_Power!G22</f>
        <v>0.1970245030966869</v>
      </c>
      <c r="K17" s="104">
        <f>HP_Power!H22</f>
        <v>3.471695198804188E-2</v>
      </c>
      <c r="L17" s="104">
        <f>HP_Power!I22</f>
        <v>0.48220077187638283</v>
      </c>
      <c r="M17" s="104">
        <f>HP_Power!J22</f>
        <v>0.26288381733406258</v>
      </c>
      <c r="N17" s="104">
        <f>HP_Power!K22</f>
        <v>4.6321775826741275E-2</v>
      </c>
      <c r="O17" s="55">
        <f t="shared" si="9"/>
        <v>0.38224352251574223</v>
      </c>
      <c r="P17" s="55">
        <f t="shared" si="10"/>
        <v>0.21957685264482196</v>
      </c>
      <c r="Q17" s="55">
        <f t="shared" si="11"/>
        <v>4.6321775826741275E-2</v>
      </c>
      <c r="Z17" s="29"/>
    </row>
    <row r="18" spans="1:26" x14ac:dyDescent="0.2">
      <c r="A18" s="72">
        <v>8</v>
      </c>
      <c r="B18" s="59">
        <v>8</v>
      </c>
      <c r="C18" s="40">
        <f>HomeHeatDemand!F17</f>
        <v>3.4332694957598457</v>
      </c>
      <c r="D18" s="40">
        <f>HomeHeatDemand!G17</f>
        <v>1.8717327794185254</v>
      </c>
      <c r="E18" s="40">
        <f>HomeHeatDemand!H17</f>
        <v>0.32981104388639787</v>
      </c>
      <c r="F18" s="40">
        <f>HP_Power!B23</f>
        <v>0.74636293386083608</v>
      </c>
      <c r="G18" s="40">
        <f>HP_Power!C23</f>
        <v>0.34817321475331586</v>
      </c>
      <c r="H18" s="40">
        <f>HP_Power!D23</f>
        <v>5.4355139759513407E-2</v>
      </c>
      <c r="I18" s="104">
        <f>HP_Power!F23</f>
        <v>0.36139678902735217</v>
      </c>
      <c r="J18" s="104">
        <f>HP_Power!G23</f>
        <v>0.1970245030966869</v>
      </c>
      <c r="K18" s="104">
        <f>HP_Power!H23</f>
        <v>3.471695198804188E-2</v>
      </c>
      <c r="L18" s="104">
        <f>HP_Power!I23</f>
        <v>0.48220077187638283</v>
      </c>
      <c r="M18" s="104">
        <f>HP_Power!J23</f>
        <v>0.26288381733406258</v>
      </c>
      <c r="N18" s="104">
        <f>HP_Power!K23</f>
        <v>4.6321775826741275E-2</v>
      </c>
      <c r="O18" s="55">
        <f t="shared" si="9"/>
        <v>0.38224352251574223</v>
      </c>
      <c r="P18" s="55">
        <f t="shared" si="10"/>
        <v>0.21957685264482196</v>
      </c>
      <c r="Q18" s="55">
        <f t="shared" si="11"/>
        <v>4.6321775826741275E-2</v>
      </c>
      <c r="Z18" s="29"/>
    </row>
    <row r="19" spans="1:26" x14ac:dyDescent="0.2">
      <c r="A19" s="72">
        <v>9</v>
      </c>
      <c r="B19" s="59">
        <v>9</v>
      </c>
      <c r="C19" s="40">
        <f>HomeHeatDemand!F18</f>
        <v>0</v>
      </c>
      <c r="D19" s="40">
        <f>HomeHeatDemand!G18</f>
        <v>0</v>
      </c>
      <c r="E19" s="40">
        <f>HomeHeatDemand!H18</f>
        <v>0</v>
      </c>
      <c r="F19" s="40">
        <f>HP_Power!B24</f>
        <v>0</v>
      </c>
      <c r="G19" s="40">
        <f>HP_Power!C24</f>
        <v>0</v>
      </c>
      <c r="H19" s="40">
        <f>HP_Power!D24</f>
        <v>0</v>
      </c>
      <c r="I19" s="104">
        <f>HP_Power!F24</f>
        <v>0</v>
      </c>
      <c r="J19" s="104">
        <f>HP_Power!G24</f>
        <v>0</v>
      </c>
      <c r="K19" s="104">
        <f>HP_Power!H24</f>
        <v>0</v>
      </c>
      <c r="L19" s="104">
        <f>HP_Power!I24</f>
        <v>0</v>
      </c>
      <c r="M19" s="104">
        <f>HP_Power!J24</f>
        <v>0</v>
      </c>
      <c r="N19" s="104">
        <f>HP_Power!K24</f>
        <v>0</v>
      </c>
      <c r="O19" s="55">
        <f t="shared" si="9"/>
        <v>0</v>
      </c>
      <c r="P19" s="55">
        <f t="shared" si="10"/>
        <v>0</v>
      </c>
      <c r="Q19" s="55">
        <f t="shared" si="11"/>
        <v>0</v>
      </c>
      <c r="V19" s="55"/>
      <c r="W19" s="55"/>
      <c r="X19" s="55"/>
      <c r="Z19" s="29"/>
    </row>
    <row r="20" spans="1:26" x14ac:dyDescent="0.2">
      <c r="A20" s="72">
        <v>10</v>
      </c>
      <c r="B20" s="59">
        <v>10</v>
      </c>
      <c r="C20" s="40">
        <f>HomeHeatDemand!F19</f>
        <v>0</v>
      </c>
      <c r="D20" s="40">
        <f>HomeHeatDemand!G19</f>
        <v>0</v>
      </c>
      <c r="E20" s="40">
        <f>HomeHeatDemand!H19</f>
        <v>0</v>
      </c>
      <c r="F20" s="40">
        <f>HP_Power!B25</f>
        <v>0</v>
      </c>
      <c r="G20" s="40">
        <f>HP_Power!C25</f>
        <v>0</v>
      </c>
      <c r="H20" s="40">
        <f>HP_Power!D25</f>
        <v>0</v>
      </c>
      <c r="I20" s="104">
        <f>HP_Power!F25</f>
        <v>0</v>
      </c>
      <c r="J20" s="104">
        <f>HP_Power!G25</f>
        <v>0</v>
      </c>
      <c r="K20" s="104">
        <f>HP_Power!H25</f>
        <v>0</v>
      </c>
      <c r="L20" s="104">
        <f>HP_Power!I25</f>
        <v>0</v>
      </c>
      <c r="M20" s="104">
        <f>HP_Power!J25</f>
        <v>0</v>
      </c>
      <c r="N20" s="104">
        <f>HP_Power!K25</f>
        <v>0</v>
      </c>
      <c r="O20" s="55">
        <f t="shared" si="9"/>
        <v>0</v>
      </c>
      <c r="P20" s="55">
        <f t="shared" si="10"/>
        <v>0</v>
      </c>
      <c r="Q20" s="55">
        <f t="shared" si="11"/>
        <v>0</v>
      </c>
      <c r="Z20" s="29"/>
    </row>
    <row r="21" spans="1:26" x14ac:dyDescent="0.2">
      <c r="A21" s="72">
        <v>11</v>
      </c>
      <c r="B21" s="59">
        <v>11</v>
      </c>
      <c r="C21" s="40">
        <f>HomeHeatDemand!F20</f>
        <v>0</v>
      </c>
      <c r="D21" s="40">
        <f>HomeHeatDemand!G20</f>
        <v>0</v>
      </c>
      <c r="E21" s="40">
        <f>HomeHeatDemand!H20</f>
        <v>0</v>
      </c>
      <c r="F21" s="40">
        <f>HP_Power!B26</f>
        <v>0</v>
      </c>
      <c r="G21" s="40">
        <f>HP_Power!C26</f>
        <v>0</v>
      </c>
      <c r="H21" s="40">
        <f>HP_Power!D26</f>
        <v>0</v>
      </c>
      <c r="I21" s="104">
        <f>HP_Power!F26</f>
        <v>0</v>
      </c>
      <c r="J21" s="104">
        <f>HP_Power!G26</f>
        <v>0</v>
      </c>
      <c r="K21" s="104">
        <f>HP_Power!H26</f>
        <v>0</v>
      </c>
      <c r="L21" s="104">
        <f>HP_Power!I26</f>
        <v>0</v>
      </c>
      <c r="M21" s="104">
        <f>HP_Power!J26</f>
        <v>0</v>
      </c>
      <c r="N21" s="104">
        <f>HP_Power!K26</f>
        <v>0</v>
      </c>
      <c r="O21" s="55">
        <f t="shared" si="9"/>
        <v>0</v>
      </c>
      <c r="P21" s="55">
        <f t="shared" si="10"/>
        <v>0</v>
      </c>
      <c r="Q21" s="55">
        <f t="shared" si="11"/>
        <v>0</v>
      </c>
      <c r="S21" s="55">
        <v>551.7114807099307</v>
      </c>
      <c r="T21" s="55">
        <v>257.36964034565153</v>
      </c>
      <c r="U21" s="55">
        <v>40.179319310232287</v>
      </c>
      <c r="V21" s="55">
        <v>267.1445064490191</v>
      </c>
      <c r="W21" s="55">
        <v>145.64051268907062</v>
      </c>
      <c r="X21" s="55">
        <v>25.662770909560454</v>
      </c>
      <c r="Z21" s="29"/>
    </row>
    <row r="22" spans="1:26" x14ac:dyDescent="0.2">
      <c r="A22" s="72">
        <v>12</v>
      </c>
      <c r="B22" s="59">
        <v>12</v>
      </c>
      <c r="C22" s="40">
        <f>HomeHeatDemand!F21</f>
        <v>0</v>
      </c>
      <c r="D22" s="40">
        <f>HomeHeatDemand!G21</f>
        <v>0</v>
      </c>
      <c r="E22" s="40">
        <f>HomeHeatDemand!H21</f>
        <v>0</v>
      </c>
      <c r="F22" s="40">
        <f>HP_Power!B27</f>
        <v>0</v>
      </c>
      <c r="G22" s="40">
        <f>HP_Power!C27</f>
        <v>0</v>
      </c>
      <c r="H22" s="40">
        <f>HP_Power!D27</f>
        <v>0</v>
      </c>
      <c r="I22" s="104">
        <f>HP_Power!F27</f>
        <v>0</v>
      </c>
      <c r="J22" s="104">
        <f>HP_Power!G27</f>
        <v>0</v>
      </c>
      <c r="K22" s="104">
        <f>HP_Power!H27</f>
        <v>0</v>
      </c>
      <c r="L22" s="104">
        <f>HP_Power!I27</f>
        <v>0</v>
      </c>
      <c r="M22" s="104">
        <f>HP_Power!J27</f>
        <v>0</v>
      </c>
      <c r="N22" s="104">
        <f>HP_Power!K27</f>
        <v>0</v>
      </c>
      <c r="O22" s="55">
        <f t="shared" si="9"/>
        <v>0</v>
      </c>
      <c r="P22" s="55">
        <f t="shared" si="10"/>
        <v>0</v>
      </c>
      <c r="Q22" s="55">
        <f t="shared" si="11"/>
        <v>0</v>
      </c>
      <c r="S22" s="55"/>
      <c r="T22" s="55"/>
      <c r="U22" s="55"/>
      <c r="V22" s="116">
        <v>0.51578947368421046</v>
      </c>
      <c r="W22" s="116">
        <v>0.43411929824561635</v>
      </c>
      <c r="X22" s="116">
        <v>0.36129403508772157</v>
      </c>
    </row>
    <row r="23" spans="1:26" x14ac:dyDescent="0.2">
      <c r="A23" s="72">
        <v>13</v>
      </c>
      <c r="B23" s="59">
        <v>13</v>
      </c>
      <c r="C23" s="40">
        <f>HomeHeatDemand!F22</f>
        <v>0</v>
      </c>
      <c r="D23" s="40">
        <f>HomeHeatDemand!G22</f>
        <v>0</v>
      </c>
      <c r="E23" s="40">
        <f>HomeHeatDemand!H22</f>
        <v>0</v>
      </c>
      <c r="F23" s="40">
        <f>HP_Power!B28</f>
        <v>0</v>
      </c>
      <c r="G23" s="40">
        <f>HP_Power!C28</f>
        <v>0</v>
      </c>
      <c r="H23" s="40">
        <f>HP_Power!D28</f>
        <v>0</v>
      </c>
      <c r="I23" s="104">
        <f>HP_Power!F28</f>
        <v>0</v>
      </c>
      <c r="J23" s="104">
        <f>HP_Power!G28</f>
        <v>0</v>
      </c>
      <c r="K23" s="104">
        <f>HP_Power!H28</f>
        <v>0</v>
      </c>
      <c r="L23" s="104">
        <f>HP_Power!I28</f>
        <v>0</v>
      </c>
      <c r="M23" s="104">
        <f>HP_Power!J28</f>
        <v>0</v>
      </c>
      <c r="N23" s="104">
        <f>HP_Power!K28</f>
        <v>0</v>
      </c>
      <c r="O23" s="55">
        <f t="shared" si="9"/>
        <v>0</v>
      </c>
      <c r="P23" s="55">
        <f t="shared" si="10"/>
        <v>0</v>
      </c>
      <c r="Q23" s="55">
        <f t="shared" si="11"/>
        <v>0</v>
      </c>
      <c r="S23" s="55"/>
      <c r="T23" s="55"/>
      <c r="U23" s="55" t="s">
        <v>158</v>
      </c>
      <c r="V23" s="55">
        <v>49.8</v>
      </c>
      <c r="W23" s="55">
        <v>0</v>
      </c>
      <c r="X23" s="55">
        <v>0</v>
      </c>
    </row>
    <row r="24" spans="1:26" x14ac:dyDescent="0.2">
      <c r="A24" s="72">
        <v>14</v>
      </c>
      <c r="B24" s="59">
        <v>14</v>
      </c>
      <c r="C24" s="40">
        <f>HomeHeatDemand!F23</f>
        <v>0</v>
      </c>
      <c r="D24" s="40">
        <f>HomeHeatDemand!G23</f>
        <v>0</v>
      </c>
      <c r="E24" s="40">
        <f>HomeHeatDemand!H23</f>
        <v>0</v>
      </c>
      <c r="F24" s="40">
        <f>HP_Power!B29</f>
        <v>0</v>
      </c>
      <c r="G24" s="40">
        <f>HP_Power!C29</f>
        <v>0</v>
      </c>
      <c r="H24" s="40">
        <f>HP_Power!D29</f>
        <v>0</v>
      </c>
      <c r="I24" s="104">
        <f>HP_Power!F29</f>
        <v>0</v>
      </c>
      <c r="J24" s="104">
        <f>HP_Power!G29</f>
        <v>0</v>
      </c>
      <c r="K24" s="104">
        <f>HP_Power!H29</f>
        <v>0</v>
      </c>
      <c r="L24" s="104">
        <f>HP_Power!I29</f>
        <v>0</v>
      </c>
      <c r="M24" s="104">
        <f>HP_Power!J29</f>
        <v>0</v>
      </c>
      <c r="N24" s="104">
        <f>HP_Power!K29</f>
        <v>0</v>
      </c>
      <c r="O24" s="55">
        <f t="shared" si="9"/>
        <v>0</v>
      </c>
      <c r="P24" s="55">
        <f t="shared" si="10"/>
        <v>0</v>
      </c>
      <c r="Q24" s="55">
        <f t="shared" si="11"/>
        <v>0</v>
      </c>
      <c r="S24" s="55"/>
      <c r="T24" s="55"/>
      <c r="U24" s="55" t="s">
        <v>13</v>
      </c>
      <c r="V24" s="55">
        <v>316.94450644901912</v>
      </c>
      <c r="W24" s="55">
        <v>145.64051268907062</v>
      </c>
      <c r="X24" s="55">
        <v>25.662770909560454</v>
      </c>
    </row>
    <row r="25" spans="1:26" x14ac:dyDescent="0.2">
      <c r="A25" s="72">
        <v>15</v>
      </c>
      <c r="B25" s="59">
        <v>15</v>
      </c>
      <c r="C25" s="40">
        <f>HomeHeatDemand!F24</f>
        <v>0</v>
      </c>
      <c r="D25" s="40">
        <f>HomeHeatDemand!G24</f>
        <v>0</v>
      </c>
      <c r="E25" s="40">
        <f>HomeHeatDemand!H24</f>
        <v>0</v>
      </c>
      <c r="F25" s="40">
        <f>HP_Power!B30</f>
        <v>0</v>
      </c>
      <c r="G25" s="40">
        <f>HP_Power!C30</f>
        <v>0</v>
      </c>
      <c r="H25" s="40">
        <f>HP_Power!D30</f>
        <v>0</v>
      </c>
      <c r="I25" s="104">
        <f>HP_Power!F30</f>
        <v>0</v>
      </c>
      <c r="J25" s="104">
        <f>HP_Power!G30</f>
        <v>0</v>
      </c>
      <c r="K25" s="104">
        <f>HP_Power!H30</f>
        <v>0</v>
      </c>
      <c r="L25" s="104">
        <f>HP_Power!I30</f>
        <v>0</v>
      </c>
      <c r="M25" s="104">
        <f>HP_Power!J30</f>
        <v>0</v>
      </c>
      <c r="N25" s="104">
        <f>HP_Power!K30</f>
        <v>0</v>
      </c>
      <c r="O25" s="55">
        <f t="shared" si="9"/>
        <v>0</v>
      </c>
      <c r="P25" s="55">
        <f t="shared" si="10"/>
        <v>0</v>
      </c>
      <c r="Q25" s="55">
        <f t="shared" si="11"/>
        <v>0</v>
      </c>
      <c r="S25" s="55"/>
      <c r="T25" s="55"/>
      <c r="U25" s="55"/>
      <c r="V25" s="116">
        <v>0.42552490290544326</v>
      </c>
      <c r="W25" s="116">
        <v>0.43411929824561635</v>
      </c>
      <c r="X25" s="116">
        <v>0.36129403508772157</v>
      </c>
    </row>
    <row r="26" spans="1:26" x14ac:dyDescent="0.2">
      <c r="A26" s="72">
        <v>16</v>
      </c>
      <c r="B26" s="59">
        <v>16</v>
      </c>
      <c r="C26" s="40">
        <f>HomeHeatDemand!F25</f>
        <v>3.4332694957598457</v>
      </c>
      <c r="D26" s="40">
        <f>HomeHeatDemand!G25</f>
        <v>1.8717327794185254</v>
      </c>
      <c r="E26" s="40">
        <f>HomeHeatDemand!H25</f>
        <v>0.32981104388639787</v>
      </c>
      <c r="F26" s="40">
        <f>HP_Power!B31</f>
        <v>0.74636293386083608</v>
      </c>
      <c r="G26" s="40">
        <f>HP_Power!C31</f>
        <v>0.34817321475331586</v>
      </c>
      <c r="H26" s="40">
        <f>HP_Power!D31</f>
        <v>5.4355139759513407E-2</v>
      </c>
      <c r="I26" s="104">
        <f>HP_Power!F31</f>
        <v>0.36139678902735217</v>
      </c>
      <c r="J26" s="104">
        <f>HP_Power!G31</f>
        <v>0.1970245030966869</v>
      </c>
      <c r="K26" s="104">
        <f>HP_Power!H31</f>
        <v>3.471695198804188E-2</v>
      </c>
      <c r="L26" s="104">
        <f>HP_Power!I31</f>
        <v>0.48220077187638283</v>
      </c>
      <c r="M26" s="104">
        <f>HP_Power!J31</f>
        <v>0.26288381733406258</v>
      </c>
      <c r="N26" s="104">
        <f>HP_Power!K31</f>
        <v>4.6321775826741275E-2</v>
      </c>
      <c r="O26" s="55">
        <f t="shared" si="9"/>
        <v>0.38224352251574223</v>
      </c>
      <c r="P26" s="55">
        <f t="shared" si="10"/>
        <v>0.21957685264482196</v>
      </c>
      <c r="Q26" s="55">
        <f t="shared" si="11"/>
        <v>4.6321775826741275E-2</v>
      </c>
    </row>
    <row r="27" spans="1:26" x14ac:dyDescent="0.2">
      <c r="A27" s="72">
        <v>17</v>
      </c>
      <c r="B27" s="59">
        <v>17</v>
      </c>
      <c r="C27" s="40">
        <f>HomeHeatDemand!F26</f>
        <v>3.4332694957598457</v>
      </c>
      <c r="D27" s="40">
        <f>HomeHeatDemand!G26</f>
        <v>1.8717327794185254</v>
      </c>
      <c r="E27" s="40">
        <f>HomeHeatDemand!H26</f>
        <v>0.32981104388639787</v>
      </c>
      <c r="F27" s="40">
        <f>HP_Power!B32</f>
        <v>0.74636293386083608</v>
      </c>
      <c r="G27" s="40">
        <f>HP_Power!C32</f>
        <v>0.34817321475331586</v>
      </c>
      <c r="H27" s="40">
        <f>HP_Power!D32</f>
        <v>5.4355139759513407E-2</v>
      </c>
      <c r="I27" s="104">
        <f>HP_Power!F32</f>
        <v>0.36139678902735217</v>
      </c>
      <c r="J27" s="104">
        <f>HP_Power!G32</f>
        <v>0.1970245030966869</v>
      </c>
      <c r="K27" s="104">
        <f>HP_Power!H32</f>
        <v>3.471695198804188E-2</v>
      </c>
      <c r="L27" s="104">
        <f>HP_Power!I32</f>
        <v>0.48220077187638283</v>
      </c>
      <c r="M27" s="104">
        <f>HP_Power!J32</f>
        <v>0.26288381733406258</v>
      </c>
      <c r="N27" s="104">
        <f>HP_Power!K32</f>
        <v>4.6321775826741275E-2</v>
      </c>
      <c r="O27" s="55">
        <f t="shared" si="9"/>
        <v>0.38224352251574223</v>
      </c>
      <c r="P27" s="55">
        <f t="shared" si="10"/>
        <v>0.21957685264482196</v>
      </c>
      <c r="Q27" s="55">
        <f t="shared" si="11"/>
        <v>4.6321775826741275E-2</v>
      </c>
    </row>
    <row r="28" spans="1:26" x14ac:dyDescent="0.2">
      <c r="A28" s="72">
        <v>18</v>
      </c>
      <c r="B28" s="59">
        <v>18</v>
      </c>
      <c r="C28" s="40">
        <f>HomeHeatDemand!F27</f>
        <v>3.4332694957598457</v>
      </c>
      <c r="D28" s="40">
        <f>HomeHeatDemand!G27</f>
        <v>1.8717327794185254</v>
      </c>
      <c r="E28" s="40">
        <f>HomeHeatDemand!H27</f>
        <v>0.32981104388639787</v>
      </c>
      <c r="F28" s="40">
        <f>HP_Power!B33</f>
        <v>0.74636293386083608</v>
      </c>
      <c r="G28" s="40">
        <f>HP_Power!C33</f>
        <v>0.34817321475331586</v>
      </c>
      <c r="H28" s="40">
        <f>HP_Power!D33</f>
        <v>5.4355139759513407E-2</v>
      </c>
      <c r="I28" s="104">
        <f>HP_Power!F33</f>
        <v>0.36139678902735217</v>
      </c>
      <c r="J28" s="104">
        <f>HP_Power!G33</f>
        <v>0.1970245030966869</v>
      </c>
      <c r="K28" s="104">
        <f>HP_Power!H33</f>
        <v>3.471695198804188E-2</v>
      </c>
      <c r="L28" s="104">
        <f>HP_Power!I33</f>
        <v>0.48220077187638283</v>
      </c>
      <c r="M28" s="104">
        <f>HP_Power!J33</f>
        <v>0.26288381733406258</v>
      </c>
      <c r="N28" s="104">
        <f>HP_Power!K33</f>
        <v>4.6321775826741275E-2</v>
      </c>
      <c r="O28" s="55">
        <f t="shared" si="9"/>
        <v>0.38224352251574223</v>
      </c>
      <c r="P28" s="55">
        <f t="shared" si="10"/>
        <v>0.21957685264482196</v>
      </c>
      <c r="Q28" s="55">
        <f t="shared" si="11"/>
        <v>4.6321775826741275E-2</v>
      </c>
    </row>
    <row r="29" spans="1:26" x14ac:dyDescent="0.2">
      <c r="A29" s="72">
        <v>19</v>
      </c>
      <c r="B29" s="59">
        <v>19</v>
      </c>
      <c r="C29" s="40">
        <f>HomeHeatDemand!F28</f>
        <v>3.4332694957598457</v>
      </c>
      <c r="D29" s="40">
        <f>HomeHeatDemand!G28</f>
        <v>1.8717327794185254</v>
      </c>
      <c r="E29" s="40">
        <f>HomeHeatDemand!H28</f>
        <v>0.32981104388639787</v>
      </c>
      <c r="F29" s="40">
        <f>HP_Power!B34</f>
        <v>0.74636293386083608</v>
      </c>
      <c r="G29" s="40">
        <f>HP_Power!C34</f>
        <v>0.34817321475331586</v>
      </c>
      <c r="H29" s="40">
        <f>HP_Power!D34</f>
        <v>5.4355139759513407E-2</v>
      </c>
      <c r="I29" s="104">
        <f>HP_Power!F34</f>
        <v>0.36139678902735217</v>
      </c>
      <c r="J29" s="104">
        <f>HP_Power!G34</f>
        <v>0.1970245030966869</v>
      </c>
      <c r="K29" s="104">
        <f>HP_Power!H34</f>
        <v>3.471695198804188E-2</v>
      </c>
      <c r="L29" s="104">
        <f>HP_Power!I34</f>
        <v>0.48220077187638283</v>
      </c>
      <c r="M29" s="104">
        <f>HP_Power!J34</f>
        <v>0.26288381733406258</v>
      </c>
      <c r="N29" s="104">
        <f>HP_Power!K34</f>
        <v>4.6321775826741275E-2</v>
      </c>
      <c r="O29" s="55">
        <f t="shared" si="9"/>
        <v>0.38224352251574223</v>
      </c>
      <c r="P29" s="55">
        <f t="shared" si="10"/>
        <v>0.21957685264482196</v>
      </c>
      <c r="Q29" s="55">
        <f t="shared" si="11"/>
        <v>4.6321775826741275E-2</v>
      </c>
    </row>
    <row r="30" spans="1:26" x14ac:dyDescent="0.2">
      <c r="A30" s="72">
        <v>20</v>
      </c>
      <c r="B30" s="59">
        <v>20</v>
      </c>
      <c r="C30" s="40">
        <f>HomeHeatDemand!F29</f>
        <v>3.4332694957598457</v>
      </c>
      <c r="D30" s="40">
        <f>HomeHeatDemand!G29</f>
        <v>1.8717327794185254</v>
      </c>
      <c r="E30" s="40">
        <f>HomeHeatDemand!H29</f>
        <v>0.32981104388639787</v>
      </c>
      <c r="F30" s="40">
        <f>HP_Power!B35</f>
        <v>0.74636293386083608</v>
      </c>
      <c r="G30" s="40">
        <f>HP_Power!C35</f>
        <v>0.34817321475331586</v>
      </c>
      <c r="H30" s="40">
        <f>HP_Power!D35</f>
        <v>5.4355139759513407E-2</v>
      </c>
      <c r="I30" s="104">
        <f>HP_Power!F35</f>
        <v>0.36139678902735217</v>
      </c>
      <c r="J30" s="104">
        <f>HP_Power!G35</f>
        <v>0.1970245030966869</v>
      </c>
      <c r="K30" s="104">
        <f>HP_Power!H35</f>
        <v>3.471695198804188E-2</v>
      </c>
      <c r="L30" s="104">
        <f>HP_Power!I35</f>
        <v>0.48220077187638283</v>
      </c>
      <c r="M30" s="104">
        <f>HP_Power!J35</f>
        <v>0.26288381733406258</v>
      </c>
      <c r="N30" s="104">
        <f>HP_Power!K35</f>
        <v>4.6321775826741275E-2</v>
      </c>
      <c r="O30" s="55">
        <f t="shared" si="9"/>
        <v>0.38224352251574223</v>
      </c>
      <c r="P30" s="55">
        <f t="shared" si="10"/>
        <v>0.21957685264482196</v>
      </c>
      <c r="Q30" s="55">
        <f t="shared" si="11"/>
        <v>4.6321775826741275E-2</v>
      </c>
    </row>
    <row r="31" spans="1:26" x14ac:dyDescent="0.2">
      <c r="A31" s="72">
        <v>21</v>
      </c>
      <c r="B31" s="59">
        <v>21</v>
      </c>
      <c r="C31" s="40">
        <f>HomeHeatDemand!F30</f>
        <v>3.4332694957598457</v>
      </c>
      <c r="D31" s="40">
        <f>HomeHeatDemand!G30</f>
        <v>1.8717327794185254</v>
      </c>
      <c r="E31" s="40">
        <f>HomeHeatDemand!H30</f>
        <v>0.32981104388639787</v>
      </c>
      <c r="F31" s="40">
        <f>HP_Power!B36</f>
        <v>0.74636293386083608</v>
      </c>
      <c r="G31" s="40">
        <f>HP_Power!C36</f>
        <v>0.34817321475331586</v>
      </c>
      <c r="H31" s="40">
        <f>HP_Power!D36</f>
        <v>5.4355139759513407E-2</v>
      </c>
      <c r="I31" s="104">
        <f>HP_Power!F36</f>
        <v>0.36139678902735217</v>
      </c>
      <c r="J31" s="104">
        <f>HP_Power!G36</f>
        <v>0.1970245030966869</v>
      </c>
      <c r="K31" s="104">
        <f>HP_Power!H36</f>
        <v>3.471695198804188E-2</v>
      </c>
      <c r="L31" s="104">
        <f>HP_Power!I36</f>
        <v>0.48220077187638283</v>
      </c>
      <c r="M31" s="104">
        <f>HP_Power!J36</f>
        <v>0.26288381733406258</v>
      </c>
      <c r="N31" s="104">
        <f>HP_Power!K36</f>
        <v>4.6321775826741275E-2</v>
      </c>
      <c r="O31" s="55">
        <f t="shared" si="9"/>
        <v>0.38224352251574223</v>
      </c>
      <c r="P31" s="55">
        <f t="shared" si="10"/>
        <v>0.21957685264482196</v>
      </c>
      <c r="Q31" s="55">
        <f t="shared" si="11"/>
        <v>4.6321775826741275E-2</v>
      </c>
    </row>
    <row r="32" spans="1:26" x14ac:dyDescent="0.2">
      <c r="A32" s="72">
        <v>22</v>
      </c>
      <c r="B32" s="59">
        <v>22</v>
      </c>
      <c r="C32" s="40">
        <f>HomeHeatDemand!F31</f>
        <v>3.4332694957598457</v>
      </c>
      <c r="D32" s="40">
        <f>HomeHeatDemand!G31</f>
        <v>1.8717327794185254</v>
      </c>
      <c r="E32" s="40">
        <f>HomeHeatDemand!H31</f>
        <v>0.32981104388639787</v>
      </c>
      <c r="F32" s="40">
        <f>HP_Power!B37</f>
        <v>0.74636293386083608</v>
      </c>
      <c r="G32" s="40">
        <f>HP_Power!C37</f>
        <v>0.34817321475331586</v>
      </c>
      <c r="H32" s="40">
        <f>HP_Power!D37</f>
        <v>5.4355139759513407E-2</v>
      </c>
      <c r="I32" s="104">
        <f>HP_Power!F37</f>
        <v>0.36139678902735217</v>
      </c>
      <c r="J32" s="104">
        <f>HP_Power!G37</f>
        <v>0.1970245030966869</v>
      </c>
      <c r="K32" s="104">
        <f>HP_Power!H37</f>
        <v>3.471695198804188E-2</v>
      </c>
      <c r="L32" s="104">
        <f>HP_Power!I37</f>
        <v>0.48220077187638283</v>
      </c>
      <c r="M32" s="104">
        <f>HP_Power!J37</f>
        <v>0.26288381733406258</v>
      </c>
      <c r="N32" s="104">
        <f>HP_Power!K37</f>
        <v>4.6321775826741275E-2</v>
      </c>
      <c r="O32" s="55">
        <f t="shared" si="9"/>
        <v>0.38224352251574223</v>
      </c>
      <c r="P32" s="55">
        <f t="shared" si="10"/>
        <v>0.21957685264482196</v>
      </c>
      <c r="Q32" s="55">
        <f t="shared" si="11"/>
        <v>4.6321775826741275E-2</v>
      </c>
    </row>
    <row r="33" spans="1:17" x14ac:dyDescent="0.2">
      <c r="A33" s="72">
        <v>23</v>
      </c>
      <c r="B33" s="59">
        <v>23</v>
      </c>
      <c r="C33" s="40">
        <f>HomeHeatDemand!F32</f>
        <v>0</v>
      </c>
      <c r="D33" s="40">
        <f>HomeHeatDemand!G32</f>
        <v>0</v>
      </c>
      <c r="E33" s="40">
        <f>HomeHeatDemand!H32</f>
        <v>0</v>
      </c>
      <c r="F33" s="40">
        <f>HP_Power!B38</f>
        <v>0</v>
      </c>
      <c r="G33" s="40">
        <f>HP_Power!C38</f>
        <v>0</v>
      </c>
      <c r="H33" s="40">
        <f>HP_Power!D38</f>
        <v>0</v>
      </c>
      <c r="I33" s="104">
        <f>HP_Power!F38</f>
        <v>0</v>
      </c>
      <c r="J33" s="104">
        <f>HP_Power!G38</f>
        <v>0</v>
      </c>
      <c r="K33" s="104">
        <f>HP_Power!H38</f>
        <v>0</v>
      </c>
      <c r="L33" s="104">
        <f>HP_Power!I38</f>
        <v>0</v>
      </c>
      <c r="M33" s="104">
        <f>HP_Power!J38</f>
        <v>0</v>
      </c>
      <c r="N33" s="104">
        <f>HP_Power!K38</f>
        <v>0</v>
      </c>
      <c r="O33" s="55">
        <f t="shared" si="9"/>
        <v>0</v>
      </c>
      <c r="P33" s="55">
        <f t="shared" si="10"/>
        <v>0</v>
      </c>
      <c r="Q33" s="55">
        <f t="shared" si="11"/>
        <v>0</v>
      </c>
    </row>
    <row r="34" spans="1:17" x14ac:dyDescent="0.2">
      <c r="A34" s="72">
        <v>24</v>
      </c>
      <c r="B34" s="59">
        <v>24</v>
      </c>
      <c r="C34" s="40">
        <f>HomeHeatDemand!F33</f>
        <v>0</v>
      </c>
      <c r="D34" s="40">
        <f>HomeHeatDemand!G33</f>
        <v>0</v>
      </c>
      <c r="E34" s="40">
        <f>HomeHeatDemand!H33</f>
        <v>0</v>
      </c>
      <c r="F34" s="40">
        <f>HP_Power!B39</f>
        <v>0</v>
      </c>
      <c r="G34" s="40">
        <f>HP_Power!C39</f>
        <v>0</v>
      </c>
      <c r="H34" s="40">
        <f>HP_Power!D39</f>
        <v>0</v>
      </c>
      <c r="I34" s="104">
        <f>HP_Power!F39</f>
        <v>0</v>
      </c>
      <c r="J34" s="104">
        <f>HP_Power!G39</f>
        <v>0</v>
      </c>
      <c r="K34" s="104">
        <f>HP_Power!H39</f>
        <v>0</v>
      </c>
      <c r="L34" s="104">
        <f>HP_Power!I39</f>
        <v>0</v>
      </c>
      <c r="M34" s="104">
        <f>HP_Power!J39</f>
        <v>0</v>
      </c>
      <c r="N34" s="104">
        <f>HP_Power!K39</f>
        <v>0</v>
      </c>
      <c r="O34" s="55">
        <f t="shared" si="9"/>
        <v>0</v>
      </c>
      <c r="P34" s="55">
        <f t="shared" si="10"/>
        <v>0</v>
      </c>
      <c r="Q34" s="55">
        <f t="shared" si="11"/>
        <v>0</v>
      </c>
    </row>
    <row r="35" spans="1:17" x14ac:dyDescent="0.2">
      <c r="A35" s="72">
        <v>25</v>
      </c>
      <c r="B35" s="59">
        <v>25</v>
      </c>
      <c r="C35" s="40">
        <f>HomeHeatDemand!F34</f>
        <v>0</v>
      </c>
      <c r="D35" s="40">
        <f>HomeHeatDemand!G34</f>
        <v>0</v>
      </c>
      <c r="E35" s="40">
        <f>HomeHeatDemand!H34</f>
        <v>0</v>
      </c>
      <c r="F35" s="40">
        <f>HP_Power!B40</f>
        <v>0</v>
      </c>
      <c r="G35" s="40">
        <f>HP_Power!C40</f>
        <v>0</v>
      </c>
      <c r="H35" s="40">
        <f>HP_Power!D40</f>
        <v>0</v>
      </c>
      <c r="I35" s="104">
        <f>HP_Power!F40</f>
        <v>0</v>
      </c>
      <c r="J35" s="104">
        <f>HP_Power!G40</f>
        <v>0</v>
      </c>
      <c r="K35" s="104">
        <f>HP_Power!H40</f>
        <v>0</v>
      </c>
      <c r="L35" s="104">
        <f>HP_Power!I40</f>
        <v>0</v>
      </c>
      <c r="M35" s="104">
        <f>HP_Power!J40</f>
        <v>0</v>
      </c>
      <c r="N35" s="104">
        <f>HP_Power!K40</f>
        <v>0</v>
      </c>
      <c r="O35" s="55">
        <f t="shared" si="9"/>
        <v>0</v>
      </c>
      <c r="P35" s="55">
        <f t="shared" si="10"/>
        <v>0</v>
      </c>
      <c r="Q35" s="55">
        <f t="shared" si="11"/>
        <v>0</v>
      </c>
    </row>
    <row r="36" spans="1:17" x14ac:dyDescent="0.2">
      <c r="A36" s="72">
        <v>26</v>
      </c>
      <c r="B36" s="59">
        <v>26</v>
      </c>
      <c r="C36" s="40">
        <f>HomeHeatDemand!F35</f>
        <v>0</v>
      </c>
      <c r="D36" s="40">
        <f>HomeHeatDemand!G35</f>
        <v>0</v>
      </c>
      <c r="E36" s="40">
        <f>HomeHeatDemand!H35</f>
        <v>0</v>
      </c>
      <c r="F36" s="40">
        <f>HP_Power!B41</f>
        <v>0</v>
      </c>
      <c r="G36" s="40">
        <f>HP_Power!C41</f>
        <v>0</v>
      </c>
      <c r="H36" s="40">
        <f>HP_Power!D41</f>
        <v>0</v>
      </c>
      <c r="I36" s="104">
        <f>HP_Power!F41</f>
        <v>0</v>
      </c>
      <c r="J36" s="104">
        <f>HP_Power!G41</f>
        <v>0</v>
      </c>
      <c r="K36" s="104">
        <f>HP_Power!H41</f>
        <v>0</v>
      </c>
      <c r="L36" s="104">
        <f>HP_Power!I41</f>
        <v>0</v>
      </c>
      <c r="M36" s="104">
        <f>HP_Power!J41</f>
        <v>0</v>
      </c>
      <c r="N36" s="104">
        <f>HP_Power!K41</f>
        <v>0</v>
      </c>
      <c r="O36" s="55">
        <f t="shared" si="9"/>
        <v>0</v>
      </c>
      <c r="P36" s="55">
        <f t="shared" si="10"/>
        <v>0</v>
      </c>
      <c r="Q36" s="55">
        <f t="shared" si="11"/>
        <v>0</v>
      </c>
    </row>
    <row r="37" spans="1:17" x14ac:dyDescent="0.2">
      <c r="A37" s="72">
        <v>27</v>
      </c>
      <c r="B37" s="59">
        <v>27</v>
      </c>
      <c r="C37" s="40">
        <f>HomeHeatDemand!F36</f>
        <v>0</v>
      </c>
      <c r="D37" s="40">
        <f>HomeHeatDemand!G36</f>
        <v>0</v>
      </c>
      <c r="E37" s="40">
        <f>HomeHeatDemand!H36</f>
        <v>0</v>
      </c>
      <c r="F37" s="40">
        <f>HP_Power!B42</f>
        <v>0</v>
      </c>
      <c r="G37" s="40">
        <f>HP_Power!C42</f>
        <v>0</v>
      </c>
      <c r="H37" s="40">
        <f>HP_Power!D42</f>
        <v>0</v>
      </c>
      <c r="I37" s="104">
        <f>HP_Power!F42</f>
        <v>0</v>
      </c>
      <c r="J37" s="104">
        <f>HP_Power!G42</f>
        <v>0</v>
      </c>
      <c r="K37" s="104">
        <f>HP_Power!H42</f>
        <v>0</v>
      </c>
      <c r="L37" s="104">
        <f>HP_Power!I42</f>
        <v>0</v>
      </c>
      <c r="M37" s="104">
        <f>HP_Power!J42</f>
        <v>0</v>
      </c>
      <c r="N37" s="104">
        <f>HP_Power!K42</f>
        <v>0</v>
      </c>
      <c r="O37" s="55">
        <f t="shared" si="9"/>
        <v>0</v>
      </c>
      <c r="P37" s="55">
        <f t="shared" si="10"/>
        <v>0</v>
      </c>
      <c r="Q37" s="55">
        <f t="shared" si="11"/>
        <v>0</v>
      </c>
    </row>
    <row r="38" spans="1:17" x14ac:dyDescent="0.2">
      <c r="A38" s="72">
        <v>28</v>
      </c>
      <c r="B38" s="59">
        <v>28</v>
      </c>
      <c r="C38" s="40">
        <f>HomeHeatDemand!F37</f>
        <v>0</v>
      </c>
      <c r="D38" s="40">
        <f>HomeHeatDemand!G37</f>
        <v>0</v>
      </c>
      <c r="E38" s="40">
        <f>HomeHeatDemand!H37</f>
        <v>0</v>
      </c>
      <c r="F38" s="40">
        <f>HP_Power!B43</f>
        <v>0</v>
      </c>
      <c r="G38" s="40">
        <f>HP_Power!C43</f>
        <v>0</v>
      </c>
      <c r="H38" s="40">
        <f>HP_Power!D43</f>
        <v>0</v>
      </c>
      <c r="I38" s="104">
        <f>HP_Power!F43</f>
        <v>0</v>
      </c>
      <c r="J38" s="104">
        <f>HP_Power!G43</f>
        <v>0</v>
      </c>
      <c r="K38" s="104">
        <f>HP_Power!H43</f>
        <v>0</v>
      </c>
      <c r="L38" s="104">
        <f>HP_Power!I43</f>
        <v>0</v>
      </c>
      <c r="M38" s="104">
        <f>HP_Power!J43</f>
        <v>0</v>
      </c>
      <c r="N38" s="104">
        <f>HP_Power!K43</f>
        <v>0</v>
      </c>
      <c r="O38" s="55">
        <f t="shared" si="9"/>
        <v>0</v>
      </c>
      <c r="P38" s="55">
        <f t="shared" si="10"/>
        <v>0</v>
      </c>
      <c r="Q38" s="55">
        <f t="shared" si="11"/>
        <v>0</v>
      </c>
    </row>
    <row r="39" spans="1:17" x14ac:dyDescent="0.2">
      <c r="A39" s="72">
        <v>29</v>
      </c>
      <c r="B39" s="59">
        <v>29</v>
      </c>
      <c r="C39" s="40">
        <f>HomeHeatDemand!F38</f>
        <v>0</v>
      </c>
      <c r="D39" s="40">
        <f>HomeHeatDemand!G38</f>
        <v>0</v>
      </c>
      <c r="E39" s="40">
        <f>HomeHeatDemand!H38</f>
        <v>0</v>
      </c>
      <c r="F39" s="40">
        <f>HP_Power!B44</f>
        <v>0</v>
      </c>
      <c r="G39" s="40">
        <f>HP_Power!C44</f>
        <v>0</v>
      </c>
      <c r="H39" s="40">
        <f>HP_Power!D44</f>
        <v>0</v>
      </c>
      <c r="I39" s="104">
        <f>HP_Power!F44</f>
        <v>0</v>
      </c>
      <c r="J39" s="104">
        <f>HP_Power!G44</f>
        <v>0</v>
      </c>
      <c r="K39" s="104">
        <f>HP_Power!H44</f>
        <v>0</v>
      </c>
      <c r="L39" s="104">
        <f>HP_Power!I44</f>
        <v>0</v>
      </c>
      <c r="M39" s="104">
        <f>HP_Power!J44</f>
        <v>0</v>
      </c>
      <c r="N39" s="104">
        <f>HP_Power!K44</f>
        <v>0</v>
      </c>
      <c r="O39" s="55">
        <f t="shared" si="9"/>
        <v>0</v>
      </c>
      <c r="P39" s="55">
        <f t="shared" si="10"/>
        <v>0</v>
      </c>
      <c r="Q39" s="55">
        <f t="shared" si="11"/>
        <v>0</v>
      </c>
    </row>
    <row r="40" spans="1:17" x14ac:dyDescent="0.2">
      <c r="A40" s="72">
        <v>30</v>
      </c>
      <c r="B40" s="59">
        <v>30</v>
      </c>
      <c r="C40" s="40">
        <f>HomeHeatDemand!F39</f>
        <v>0</v>
      </c>
      <c r="D40" s="40">
        <f>HomeHeatDemand!G39</f>
        <v>0</v>
      </c>
      <c r="E40" s="40">
        <f>HomeHeatDemand!H39</f>
        <v>0</v>
      </c>
      <c r="F40" s="40">
        <f>HP_Power!B45</f>
        <v>0</v>
      </c>
      <c r="G40" s="40">
        <f>HP_Power!C45</f>
        <v>0</v>
      </c>
      <c r="H40" s="40">
        <f>HP_Power!D45</f>
        <v>0</v>
      </c>
      <c r="I40" s="104">
        <f>HP_Power!F45</f>
        <v>0</v>
      </c>
      <c r="J40" s="104">
        <f>HP_Power!G45</f>
        <v>0</v>
      </c>
      <c r="K40" s="104">
        <f>HP_Power!H45</f>
        <v>0</v>
      </c>
      <c r="L40" s="104">
        <f>HP_Power!I45</f>
        <v>0</v>
      </c>
      <c r="M40" s="104">
        <f>HP_Power!J45</f>
        <v>0</v>
      </c>
      <c r="N40" s="104">
        <f>HP_Power!K45</f>
        <v>0</v>
      </c>
      <c r="O40" s="55">
        <f t="shared" si="9"/>
        <v>0</v>
      </c>
      <c r="P40" s="55">
        <f t="shared" si="10"/>
        <v>0</v>
      </c>
      <c r="Q40" s="55">
        <f t="shared" si="11"/>
        <v>0</v>
      </c>
    </row>
    <row r="41" spans="1:17" x14ac:dyDescent="0.2">
      <c r="A41" s="72">
        <v>31</v>
      </c>
      <c r="B41" s="59">
        <v>31</v>
      </c>
      <c r="C41" s="40">
        <f>HomeHeatDemand!F40</f>
        <v>3.4332694957598457</v>
      </c>
      <c r="D41" s="40">
        <f>HomeHeatDemand!G40</f>
        <v>1.8717327794185254</v>
      </c>
      <c r="E41" s="40">
        <f>HomeHeatDemand!H40</f>
        <v>0.32981104388639787</v>
      </c>
      <c r="F41" s="40">
        <f>HP_Power!B46</f>
        <v>0.74636293386083608</v>
      </c>
      <c r="G41" s="40">
        <f>HP_Power!C46</f>
        <v>0.34817321475331586</v>
      </c>
      <c r="H41" s="40">
        <f>HP_Power!D46</f>
        <v>5.4355139759513407E-2</v>
      </c>
      <c r="I41" s="104">
        <f>HP_Power!F46</f>
        <v>0.36139678902735217</v>
      </c>
      <c r="J41" s="104">
        <f>HP_Power!G46</f>
        <v>0.1970245030966869</v>
      </c>
      <c r="K41" s="104">
        <f>HP_Power!H46</f>
        <v>3.471695198804188E-2</v>
      </c>
      <c r="L41" s="104">
        <f>HP_Power!I46</f>
        <v>0.48220077187638283</v>
      </c>
      <c r="M41" s="104">
        <f>HP_Power!J46</f>
        <v>0.26288381733406258</v>
      </c>
      <c r="N41" s="104">
        <f>HP_Power!K46</f>
        <v>4.6321775826741275E-2</v>
      </c>
      <c r="O41" s="55">
        <f t="shared" si="9"/>
        <v>0.38224352251574223</v>
      </c>
      <c r="P41" s="55">
        <f t="shared" si="10"/>
        <v>0.21957685264482196</v>
      </c>
      <c r="Q41" s="55">
        <f t="shared" si="11"/>
        <v>4.6321775826741275E-2</v>
      </c>
    </row>
    <row r="42" spans="1:17" x14ac:dyDescent="0.2">
      <c r="A42" s="72">
        <v>32</v>
      </c>
      <c r="B42" s="59">
        <v>32</v>
      </c>
      <c r="C42" s="40">
        <f>HomeHeatDemand!F41</f>
        <v>3.4332694957598457</v>
      </c>
      <c r="D42" s="40">
        <f>HomeHeatDemand!G41</f>
        <v>1.8717327794185254</v>
      </c>
      <c r="E42" s="40">
        <f>HomeHeatDemand!H41</f>
        <v>0.32981104388639787</v>
      </c>
      <c r="F42" s="40">
        <f>HP_Power!B47</f>
        <v>0.74636293386083608</v>
      </c>
      <c r="G42" s="40">
        <f>HP_Power!C47</f>
        <v>0.34817321475331586</v>
      </c>
      <c r="H42" s="40">
        <f>HP_Power!D47</f>
        <v>5.4355139759513407E-2</v>
      </c>
      <c r="I42" s="104">
        <f>HP_Power!F47</f>
        <v>0.36139678902735217</v>
      </c>
      <c r="J42" s="104">
        <f>HP_Power!G47</f>
        <v>0.1970245030966869</v>
      </c>
      <c r="K42" s="104">
        <f>HP_Power!H47</f>
        <v>3.471695198804188E-2</v>
      </c>
      <c r="L42" s="104">
        <f>HP_Power!I47</f>
        <v>0.48220077187638283</v>
      </c>
      <c r="M42" s="104">
        <f>HP_Power!J47</f>
        <v>0.26288381733406258</v>
      </c>
      <c r="N42" s="104">
        <f>HP_Power!K47</f>
        <v>4.6321775826741275E-2</v>
      </c>
      <c r="O42" s="55">
        <f t="shared" si="9"/>
        <v>0.38224352251574223</v>
      </c>
      <c r="P42" s="55">
        <f t="shared" si="10"/>
        <v>0.21957685264482196</v>
      </c>
      <c r="Q42" s="55">
        <f t="shared" si="11"/>
        <v>4.6321775826741275E-2</v>
      </c>
    </row>
    <row r="43" spans="1:17" x14ac:dyDescent="0.2">
      <c r="A43" s="72">
        <v>33</v>
      </c>
      <c r="B43" s="59">
        <v>33</v>
      </c>
      <c r="C43" s="40">
        <f>HomeHeatDemand!F42</f>
        <v>0</v>
      </c>
      <c r="D43" s="40">
        <f>HomeHeatDemand!G42</f>
        <v>0</v>
      </c>
      <c r="E43" s="40">
        <f>HomeHeatDemand!H42</f>
        <v>0</v>
      </c>
      <c r="F43" s="40">
        <f>HP_Power!B48</f>
        <v>0</v>
      </c>
      <c r="G43" s="40">
        <f>HP_Power!C48</f>
        <v>0</v>
      </c>
      <c r="H43" s="40">
        <f>HP_Power!D48</f>
        <v>0</v>
      </c>
      <c r="I43" s="104">
        <f>HP_Power!F48</f>
        <v>0</v>
      </c>
      <c r="J43" s="104">
        <f>HP_Power!G48</f>
        <v>0</v>
      </c>
      <c r="K43" s="104">
        <f>HP_Power!H48</f>
        <v>0</v>
      </c>
      <c r="L43" s="104">
        <f>HP_Power!I48</f>
        <v>0</v>
      </c>
      <c r="M43" s="104">
        <f>HP_Power!J48</f>
        <v>0</v>
      </c>
      <c r="N43" s="104">
        <f>HP_Power!K48</f>
        <v>0</v>
      </c>
      <c r="O43" s="55">
        <f t="shared" si="9"/>
        <v>0</v>
      </c>
      <c r="P43" s="55">
        <f t="shared" si="10"/>
        <v>0</v>
      </c>
      <c r="Q43" s="55">
        <f t="shared" si="11"/>
        <v>0</v>
      </c>
    </row>
    <row r="44" spans="1:17" x14ac:dyDescent="0.2">
      <c r="A44" s="72">
        <v>34</v>
      </c>
      <c r="B44" s="59">
        <v>34</v>
      </c>
      <c r="C44" s="40">
        <f>HomeHeatDemand!F43</f>
        <v>0</v>
      </c>
      <c r="D44" s="40">
        <f>HomeHeatDemand!G43</f>
        <v>0</v>
      </c>
      <c r="E44" s="40">
        <f>HomeHeatDemand!H43</f>
        <v>0</v>
      </c>
      <c r="F44" s="40">
        <f>HP_Power!B49</f>
        <v>0</v>
      </c>
      <c r="G44" s="40">
        <f>HP_Power!C49</f>
        <v>0</v>
      </c>
      <c r="H44" s="40">
        <f>HP_Power!D49</f>
        <v>0</v>
      </c>
      <c r="I44" s="104">
        <f>HP_Power!F49</f>
        <v>0</v>
      </c>
      <c r="J44" s="104">
        <f>HP_Power!G49</f>
        <v>0</v>
      </c>
      <c r="K44" s="104">
        <f>HP_Power!H49</f>
        <v>0</v>
      </c>
      <c r="L44" s="104">
        <f>HP_Power!I49</f>
        <v>0</v>
      </c>
      <c r="M44" s="104">
        <f>HP_Power!J49</f>
        <v>0</v>
      </c>
      <c r="N44" s="104">
        <f>HP_Power!K49</f>
        <v>0</v>
      </c>
      <c r="O44" s="55">
        <f t="shared" si="9"/>
        <v>0</v>
      </c>
      <c r="P44" s="55">
        <f t="shared" si="10"/>
        <v>0</v>
      </c>
      <c r="Q44" s="55">
        <f t="shared" si="11"/>
        <v>0</v>
      </c>
    </row>
    <row r="45" spans="1:17" x14ac:dyDescent="0.2">
      <c r="A45" s="72">
        <v>35</v>
      </c>
      <c r="B45" s="59">
        <v>35</v>
      </c>
      <c r="C45" s="40">
        <f>HomeHeatDemand!F44</f>
        <v>0</v>
      </c>
      <c r="D45" s="40">
        <f>HomeHeatDemand!G44</f>
        <v>0</v>
      </c>
      <c r="E45" s="40">
        <f>HomeHeatDemand!H44</f>
        <v>0</v>
      </c>
      <c r="F45" s="40">
        <f>HP_Power!B50</f>
        <v>0</v>
      </c>
      <c r="G45" s="40">
        <f>HP_Power!C50</f>
        <v>0</v>
      </c>
      <c r="H45" s="40">
        <f>HP_Power!D50</f>
        <v>0</v>
      </c>
      <c r="I45" s="104">
        <f>HP_Power!F50</f>
        <v>0</v>
      </c>
      <c r="J45" s="104">
        <f>HP_Power!G50</f>
        <v>0</v>
      </c>
      <c r="K45" s="104">
        <f>HP_Power!H50</f>
        <v>0</v>
      </c>
      <c r="L45" s="104">
        <f>HP_Power!I50</f>
        <v>0</v>
      </c>
      <c r="M45" s="104">
        <f>HP_Power!J50</f>
        <v>0</v>
      </c>
      <c r="N45" s="104">
        <f>HP_Power!K50</f>
        <v>0</v>
      </c>
      <c r="O45" s="55">
        <f t="shared" si="9"/>
        <v>0</v>
      </c>
      <c r="P45" s="55">
        <f t="shared" si="10"/>
        <v>0</v>
      </c>
      <c r="Q45" s="55">
        <f t="shared" si="11"/>
        <v>0</v>
      </c>
    </row>
    <row r="46" spans="1:17" x14ac:dyDescent="0.2">
      <c r="A46" s="72">
        <v>36</v>
      </c>
      <c r="B46" s="59">
        <v>36</v>
      </c>
      <c r="C46" s="40">
        <f>HomeHeatDemand!F45</f>
        <v>0</v>
      </c>
      <c r="D46" s="40">
        <f>HomeHeatDemand!G45</f>
        <v>0</v>
      </c>
      <c r="E46" s="40">
        <f>HomeHeatDemand!H45</f>
        <v>0</v>
      </c>
      <c r="F46" s="40">
        <f>HP_Power!B51</f>
        <v>0</v>
      </c>
      <c r="G46" s="40">
        <f>HP_Power!C51</f>
        <v>0</v>
      </c>
      <c r="H46" s="40">
        <f>HP_Power!D51</f>
        <v>0</v>
      </c>
      <c r="I46" s="104">
        <f>HP_Power!F51</f>
        <v>0</v>
      </c>
      <c r="J46" s="104">
        <f>HP_Power!G51</f>
        <v>0</v>
      </c>
      <c r="K46" s="104">
        <f>HP_Power!H51</f>
        <v>0</v>
      </c>
      <c r="L46" s="104">
        <f>HP_Power!I51</f>
        <v>0</v>
      </c>
      <c r="M46" s="104">
        <f>HP_Power!J51</f>
        <v>0</v>
      </c>
      <c r="N46" s="104">
        <f>HP_Power!K51</f>
        <v>0</v>
      </c>
      <c r="O46" s="55">
        <f t="shared" si="9"/>
        <v>0</v>
      </c>
      <c r="P46" s="55">
        <f t="shared" si="10"/>
        <v>0</v>
      </c>
      <c r="Q46" s="55">
        <f t="shared" si="11"/>
        <v>0</v>
      </c>
    </row>
    <row r="47" spans="1:17" x14ac:dyDescent="0.2">
      <c r="A47" s="72">
        <v>37</v>
      </c>
      <c r="B47" s="59">
        <v>37</v>
      </c>
      <c r="C47" s="40">
        <f>HomeHeatDemand!F46</f>
        <v>0</v>
      </c>
      <c r="D47" s="40">
        <f>HomeHeatDemand!G46</f>
        <v>0</v>
      </c>
      <c r="E47" s="40">
        <f>HomeHeatDemand!H46</f>
        <v>0</v>
      </c>
      <c r="F47" s="40">
        <f>HP_Power!B52</f>
        <v>0</v>
      </c>
      <c r="G47" s="40">
        <f>HP_Power!C52</f>
        <v>0</v>
      </c>
      <c r="H47" s="40">
        <f>HP_Power!D52</f>
        <v>0</v>
      </c>
      <c r="I47" s="104">
        <f>HP_Power!F52</f>
        <v>0</v>
      </c>
      <c r="J47" s="104">
        <f>HP_Power!G52</f>
        <v>0</v>
      </c>
      <c r="K47" s="104">
        <f>HP_Power!H52</f>
        <v>0</v>
      </c>
      <c r="L47" s="104">
        <f>HP_Power!I52</f>
        <v>0</v>
      </c>
      <c r="M47" s="104">
        <f>HP_Power!J52</f>
        <v>0</v>
      </c>
      <c r="N47" s="104">
        <f>HP_Power!K52</f>
        <v>0</v>
      </c>
      <c r="O47" s="55">
        <f t="shared" si="9"/>
        <v>0</v>
      </c>
      <c r="P47" s="55">
        <f t="shared" si="10"/>
        <v>0</v>
      </c>
      <c r="Q47" s="55">
        <f t="shared" si="11"/>
        <v>0</v>
      </c>
    </row>
    <row r="48" spans="1:17" x14ac:dyDescent="0.2">
      <c r="A48" s="72">
        <v>38</v>
      </c>
      <c r="B48" s="59">
        <v>38</v>
      </c>
      <c r="C48" s="40">
        <f>HomeHeatDemand!F47</f>
        <v>0</v>
      </c>
      <c r="D48" s="40">
        <f>HomeHeatDemand!G47</f>
        <v>0</v>
      </c>
      <c r="E48" s="40">
        <f>HomeHeatDemand!H47</f>
        <v>0</v>
      </c>
      <c r="F48" s="40">
        <f>HP_Power!B53</f>
        <v>0</v>
      </c>
      <c r="G48" s="40">
        <f>HP_Power!C53</f>
        <v>0</v>
      </c>
      <c r="H48" s="40">
        <f>HP_Power!D53</f>
        <v>0</v>
      </c>
      <c r="I48" s="104">
        <f>HP_Power!F53</f>
        <v>0</v>
      </c>
      <c r="J48" s="104">
        <f>HP_Power!G53</f>
        <v>0</v>
      </c>
      <c r="K48" s="104">
        <f>HP_Power!H53</f>
        <v>0</v>
      </c>
      <c r="L48" s="104">
        <f>HP_Power!I53</f>
        <v>0</v>
      </c>
      <c r="M48" s="104">
        <f>HP_Power!J53</f>
        <v>0</v>
      </c>
      <c r="N48" s="104">
        <f>HP_Power!K53</f>
        <v>0</v>
      </c>
      <c r="O48" s="55">
        <f t="shared" si="9"/>
        <v>0</v>
      </c>
      <c r="P48" s="55">
        <f t="shared" si="10"/>
        <v>0</v>
      </c>
      <c r="Q48" s="55">
        <f t="shared" si="11"/>
        <v>0</v>
      </c>
    </row>
    <row r="49" spans="1:17" x14ac:dyDescent="0.2">
      <c r="A49" s="72">
        <v>39</v>
      </c>
      <c r="B49" s="59">
        <v>39</v>
      </c>
      <c r="C49" s="40">
        <f>HomeHeatDemand!F48</f>
        <v>0</v>
      </c>
      <c r="D49" s="40">
        <f>HomeHeatDemand!G48</f>
        <v>0</v>
      </c>
      <c r="E49" s="40">
        <f>HomeHeatDemand!H48</f>
        <v>0</v>
      </c>
      <c r="F49" s="40">
        <f>HP_Power!B54</f>
        <v>0</v>
      </c>
      <c r="G49" s="40">
        <f>HP_Power!C54</f>
        <v>0</v>
      </c>
      <c r="H49" s="40">
        <f>HP_Power!D54</f>
        <v>0</v>
      </c>
      <c r="I49" s="104">
        <f>HP_Power!F54</f>
        <v>0</v>
      </c>
      <c r="J49" s="104">
        <f>HP_Power!G54</f>
        <v>0</v>
      </c>
      <c r="K49" s="104">
        <f>HP_Power!H54</f>
        <v>0</v>
      </c>
      <c r="L49" s="104">
        <f>HP_Power!I54</f>
        <v>0</v>
      </c>
      <c r="M49" s="104">
        <f>HP_Power!J54</f>
        <v>0</v>
      </c>
      <c r="N49" s="104">
        <f>HP_Power!K54</f>
        <v>0</v>
      </c>
      <c r="O49" s="55">
        <f t="shared" si="9"/>
        <v>0</v>
      </c>
      <c r="P49" s="55">
        <f t="shared" si="10"/>
        <v>0</v>
      </c>
      <c r="Q49" s="55">
        <f t="shared" si="11"/>
        <v>0</v>
      </c>
    </row>
    <row r="50" spans="1:17" x14ac:dyDescent="0.2">
      <c r="A50" s="72">
        <v>40</v>
      </c>
      <c r="B50" s="59">
        <v>40</v>
      </c>
      <c r="C50" s="40">
        <f>HomeHeatDemand!F49</f>
        <v>3.4332694957598457</v>
      </c>
      <c r="D50" s="40">
        <f>HomeHeatDemand!G49</f>
        <v>1.8717327794185254</v>
      </c>
      <c r="E50" s="40">
        <f>HomeHeatDemand!H49</f>
        <v>0.32981104388639787</v>
      </c>
      <c r="F50" s="40">
        <f>HP_Power!B55</f>
        <v>0.74636293386083608</v>
      </c>
      <c r="G50" s="40">
        <f>HP_Power!C55</f>
        <v>0.34817321475331586</v>
      </c>
      <c r="H50" s="40">
        <f>HP_Power!D55</f>
        <v>5.4355139759513407E-2</v>
      </c>
      <c r="I50" s="104">
        <f>HP_Power!F55</f>
        <v>0.36139678902735217</v>
      </c>
      <c r="J50" s="104">
        <f>HP_Power!G55</f>
        <v>0.1970245030966869</v>
      </c>
      <c r="K50" s="104">
        <f>HP_Power!H55</f>
        <v>3.471695198804188E-2</v>
      </c>
      <c r="L50" s="104">
        <f>HP_Power!I55</f>
        <v>0.48220077187638283</v>
      </c>
      <c r="M50" s="104">
        <f>HP_Power!J55</f>
        <v>0.26288381733406258</v>
      </c>
      <c r="N50" s="104">
        <f>HP_Power!K55</f>
        <v>4.6321775826741275E-2</v>
      </c>
      <c r="O50" s="55">
        <f t="shared" si="9"/>
        <v>0.38224352251574223</v>
      </c>
      <c r="P50" s="55">
        <f t="shared" si="10"/>
        <v>0.21957685264482196</v>
      </c>
      <c r="Q50" s="55">
        <f t="shared" si="11"/>
        <v>4.6321775826741275E-2</v>
      </c>
    </row>
    <row r="51" spans="1:17" x14ac:dyDescent="0.2">
      <c r="A51" s="72">
        <v>41</v>
      </c>
      <c r="B51" s="59">
        <v>41</v>
      </c>
      <c r="C51" s="40">
        <f>HomeHeatDemand!F50</f>
        <v>3.4332694957598457</v>
      </c>
      <c r="D51" s="40">
        <f>HomeHeatDemand!G50</f>
        <v>1.8717327794185254</v>
      </c>
      <c r="E51" s="40">
        <f>HomeHeatDemand!H50</f>
        <v>0.32981104388639787</v>
      </c>
      <c r="F51" s="40">
        <f>HP_Power!B56</f>
        <v>0.74636293386083608</v>
      </c>
      <c r="G51" s="40">
        <f>HP_Power!C56</f>
        <v>0.34817321475331586</v>
      </c>
      <c r="H51" s="40">
        <f>HP_Power!D56</f>
        <v>5.4355139759513407E-2</v>
      </c>
      <c r="I51" s="104">
        <f>HP_Power!F56</f>
        <v>0.36139678902735217</v>
      </c>
      <c r="J51" s="104">
        <f>HP_Power!G56</f>
        <v>0.1970245030966869</v>
      </c>
      <c r="K51" s="104">
        <f>HP_Power!H56</f>
        <v>3.471695198804188E-2</v>
      </c>
      <c r="L51" s="104">
        <f>HP_Power!I56</f>
        <v>0.48220077187638283</v>
      </c>
      <c r="M51" s="104">
        <f>HP_Power!J56</f>
        <v>0.26288381733406258</v>
      </c>
      <c r="N51" s="104">
        <f>HP_Power!K56</f>
        <v>4.6321775826741275E-2</v>
      </c>
      <c r="O51" s="55">
        <f t="shared" si="9"/>
        <v>0.38224352251574223</v>
      </c>
      <c r="P51" s="55">
        <f t="shared" si="10"/>
        <v>0.21957685264482196</v>
      </c>
      <c r="Q51" s="55">
        <f t="shared" si="11"/>
        <v>4.6321775826741275E-2</v>
      </c>
    </row>
    <row r="52" spans="1:17" x14ac:dyDescent="0.2">
      <c r="A52" s="72">
        <v>42</v>
      </c>
      <c r="B52" s="59">
        <v>42</v>
      </c>
      <c r="C52" s="40">
        <f>HomeHeatDemand!F51</f>
        <v>3.4332694957598457</v>
      </c>
      <c r="D52" s="40">
        <f>HomeHeatDemand!G51</f>
        <v>1.8717327794185254</v>
      </c>
      <c r="E52" s="40">
        <f>HomeHeatDemand!H51</f>
        <v>0.32981104388639787</v>
      </c>
      <c r="F52" s="40">
        <f>HP_Power!B57</f>
        <v>0.74636293386083608</v>
      </c>
      <c r="G52" s="40">
        <f>HP_Power!C57</f>
        <v>0.34817321475331586</v>
      </c>
      <c r="H52" s="40">
        <f>HP_Power!D57</f>
        <v>5.4355139759513407E-2</v>
      </c>
      <c r="I52" s="104">
        <f>HP_Power!F57</f>
        <v>0.36139678902735217</v>
      </c>
      <c r="J52" s="104">
        <f>HP_Power!G57</f>
        <v>0.1970245030966869</v>
      </c>
      <c r="K52" s="104">
        <f>HP_Power!H57</f>
        <v>3.471695198804188E-2</v>
      </c>
      <c r="L52" s="104">
        <f>HP_Power!I57</f>
        <v>0.48220077187638283</v>
      </c>
      <c r="M52" s="104">
        <f>HP_Power!J57</f>
        <v>0.26288381733406258</v>
      </c>
      <c r="N52" s="104">
        <f>HP_Power!K57</f>
        <v>4.6321775826741275E-2</v>
      </c>
      <c r="O52" s="55">
        <f t="shared" si="9"/>
        <v>0.38224352251574223</v>
      </c>
      <c r="P52" s="55">
        <f t="shared" si="10"/>
        <v>0.21957685264482196</v>
      </c>
      <c r="Q52" s="55">
        <f t="shared" si="11"/>
        <v>4.6321775826741275E-2</v>
      </c>
    </row>
    <row r="53" spans="1:17" x14ac:dyDescent="0.2">
      <c r="A53" s="72">
        <v>43</v>
      </c>
      <c r="B53" s="59">
        <v>43</v>
      </c>
      <c r="C53" s="40">
        <f>HomeHeatDemand!F52</f>
        <v>3.4332694957598457</v>
      </c>
      <c r="D53" s="40">
        <f>HomeHeatDemand!G52</f>
        <v>1.8717327794185254</v>
      </c>
      <c r="E53" s="40">
        <f>HomeHeatDemand!H52</f>
        <v>0.32981104388639787</v>
      </c>
      <c r="F53" s="40">
        <f>HP_Power!B58</f>
        <v>0.74636293386083608</v>
      </c>
      <c r="G53" s="40">
        <f>HP_Power!C58</f>
        <v>0.34817321475331586</v>
      </c>
      <c r="H53" s="40">
        <f>HP_Power!D58</f>
        <v>5.4355139759513407E-2</v>
      </c>
      <c r="I53" s="104">
        <f>HP_Power!F58</f>
        <v>0.36139678902735217</v>
      </c>
      <c r="J53" s="104">
        <f>HP_Power!G58</f>
        <v>0.1970245030966869</v>
      </c>
      <c r="K53" s="104">
        <f>HP_Power!H58</f>
        <v>3.471695198804188E-2</v>
      </c>
      <c r="L53" s="104">
        <f>HP_Power!I58</f>
        <v>0.48220077187638283</v>
      </c>
      <c r="M53" s="104">
        <f>HP_Power!J58</f>
        <v>0.26288381733406258</v>
      </c>
      <c r="N53" s="104">
        <f>HP_Power!K58</f>
        <v>4.6321775826741275E-2</v>
      </c>
      <c r="O53" s="55">
        <f t="shared" si="9"/>
        <v>0.38224352251574223</v>
      </c>
      <c r="P53" s="55">
        <f t="shared" si="10"/>
        <v>0.21957685264482196</v>
      </c>
      <c r="Q53" s="55">
        <f t="shared" si="11"/>
        <v>4.6321775826741275E-2</v>
      </c>
    </row>
    <row r="54" spans="1:17" x14ac:dyDescent="0.2">
      <c r="A54" s="72">
        <v>44</v>
      </c>
      <c r="B54" s="59">
        <v>44</v>
      </c>
      <c r="C54" s="40">
        <f>HomeHeatDemand!F53</f>
        <v>3.4332694957598457</v>
      </c>
      <c r="D54" s="40">
        <f>HomeHeatDemand!G53</f>
        <v>1.8717327794185254</v>
      </c>
      <c r="E54" s="40">
        <f>HomeHeatDemand!H53</f>
        <v>0.32981104388639787</v>
      </c>
      <c r="F54" s="40">
        <f>HP_Power!B59</f>
        <v>0.74636293386083608</v>
      </c>
      <c r="G54" s="40">
        <f>HP_Power!C59</f>
        <v>0.34817321475331586</v>
      </c>
      <c r="H54" s="40">
        <f>HP_Power!D59</f>
        <v>5.4355139759513407E-2</v>
      </c>
      <c r="I54" s="104">
        <f>HP_Power!F59</f>
        <v>0.36139678902735217</v>
      </c>
      <c r="J54" s="104">
        <f>HP_Power!G59</f>
        <v>0.1970245030966869</v>
      </c>
      <c r="K54" s="104">
        <f>HP_Power!H59</f>
        <v>3.471695198804188E-2</v>
      </c>
      <c r="L54" s="104">
        <f>HP_Power!I59</f>
        <v>0.48220077187638283</v>
      </c>
      <c r="M54" s="104">
        <f>HP_Power!J59</f>
        <v>0.26288381733406258</v>
      </c>
      <c r="N54" s="104">
        <f>HP_Power!K59</f>
        <v>4.6321775826741275E-2</v>
      </c>
      <c r="O54" s="55">
        <f t="shared" si="9"/>
        <v>0.38224352251574223</v>
      </c>
      <c r="P54" s="55">
        <f t="shared" si="10"/>
        <v>0.21957685264482196</v>
      </c>
      <c r="Q54" s="55">
        <f t="shared" si="11"/>
        <v>4.6321775826741275E-2</v>
      </c>
    </row>
    <row r="55" spans="1:17" x14ac:dyDescent="0.2">
      <c r="A55" s="72">
        <v>45</v>
      </c>
      <c r="B55" s="59">
        <v>45</v>
      </c>
      <c r="C55" s="40">
        <f>HomeHeatDemand!F54</f>
        <v>3.4332694957598457</v>
      </c>
      <c r="D55" s="40">
        <f>HomeHeatDemand!G54</f>
        <v>1.8717327794185254</v>
      </c>
      <c r="E55" s="40">
        <f>HomeHeatDemand!H54</f>
        <v>0.32981104388639787</v>
      </c>
      <c r="F55" s="40">
        <f>HP_Power!B60</f>
        <v>0.74636293386083608</v>
      </c>
      <c r="G55" s="40">
        <f>HP_Power!C60</f>
        <v>0.34817321475331586</v>
      </c>
      <c r="H55" s="40">
        <f>HP_Power!D60</f>
        <v>5.4355139759513407E-2</v>
      </c>
      <c r="I55" s="104">
        <f>HP_Power!F60</f>
        <v>0.36139678902735217</v>
      </c>
      <c r="J55" s="104">
        <f>HP_Power!G60</f>
        <v>0.1970245030966869</v>
      </c>
      <c r="K55" s="104">
        <f>HP_Power!H60</f>
        <v>3.471695198804188E-2</v>
      </c>
      <c r="L55" s="104">
        <f>HP_Power!I60</f>
        <v>0.48220077187638283</v>
      </c>
      <c r="M55" s="104">
        <f>HP_Power!J60</f>
        <v>0.26288381733406258</v>
      </c>
      <c r="N55" s="104">
        <f>HP_Power!K60</f>
        <v>4.6321775826741275E-2</v>
      </c>
      <c r="O55" s="55">
        <f t="shared" si="9"/>
        <v>0.38224352251574223</v>
      </c>
      <c r="P55" s="55">
        <f t="shared" si="10"/>
        <v>0.21957685264482196</v>
      </c>
      <c r="Q55" s="55">
        <f t="shared" si="11"/>
        <v>4.6321775826741275E-2</v>
      </c>
    </row>
    <row r="56" spans="1:17" x14ac:dyDescent="0.2">
      <c r="A56" s="72">
        <v>46</v>
      </c>
      <c r="B56" s="59">
        <v>46</v>
      </c>
      <c r="C56" s="40">
        <f>HomeHeatDemand!F55</f>
        <v>3.4332694957598457</v>
      </c>
      <c r="D56" s="40">
        <f>HomeHeatDemand!G55</f>
        <v>1.8717327794185254</v>
      </c>
      <c r="E56" s="40">
        <f>HomeHeatDemand!H55</f>
        <v>0.32981104388639787</v>
      </c>
      <c r="F56" s="40">
        <f>HP_Power!B61</f>
        <v>0.74636293386083608</v>
      </c>
      <c r="G56" s="40">
        <f>HP_Power!C61</f>
        <v>0.34817321475331586</v>
      </c>
      <c r="H56" s="40">
        <f>HP_Power!D61</f>
        <v>5.4355139759513407E-2</v>
      </c>
      <c r="I56" s="104">
        <f>HP_Power!F61</f>
        <v>0.36139678902735217</v>
      </c>
      <c r="J56" s="104">
        <f>HP_Power!G61</f>
        <v>0.1970245030966869</v>
      </c>
      <c r="K56" s="104">
        <f>HP_Power!H61</f>
        <v>3.471695198804188E-2</v>
      </c>
      <c r="L56" s="104">
        <f>HP_Power!I61</f>
        <v>0.48220077187638283</v>
      </c>
      <c r="M56" s="104">
        <f>HP_Power!J61</f>
        <v>0.26288381733406258</v>
      </c>
      <c r="N56" s="104">
        <f>HP_Power!K61</f>
        <v>4.6321775826741275E-2</v>
      </c>
      <c r="O56" s="55">
        <f t="shared" si="9"/>
        <v>0.38224352251574223</v>
      </c>
      <c r="P56" s="55">
        <f t="shared" si="10"/>
        <v>0.21957685264482196</v>
      </c>
      <c r="Q56" s="55">
        <f t="shared" si="11"/>
        <v>4.6321775826741275E-2</v>
      </c>
    </row>
    <row r="57" spans="1:17" x14ac:dyDescent="0.2">
      <c r="A57" s="72">
        <v>47</v>
      </c>
      <c r="B57" s="59">
        <v>47</v>
      </c>
      <c r="C57" s="40">
        <f>HomeHeatDemand!F56</f>
        <v>0</v>
      </c>
      <c r="D57" s="40">
        <f>HomeHeatDemand!G56</f>
        <v>0</v>
      </c>
      <c r="E57" s="40">
        <f>HomeHeatDemand!H56</f>
        <v>0</v>
      </c>
      <c r="F57" s="40">
        <f>HP_Power!B62</f>
        <v>0</v>
      </c>
      <c r="G57" s="40">
        <f>HP_Power!C62</f>
        <v>0</v>
      </c>
      <c r="H57" s="40">
        <f>HP_Power!D62</f>
        <v>0</v>
      </c>
      <c r="I57" s="104">
        <f>HP_Power!F62</f>
        <v>0</v>
      </c>
      <c r="J57" s="104">
        <f>HP_Power!G62</f>
        <v>0</v>
      </c>
      <c r="K57" s="104">
        <f>HP_Power!H62</f>
        <v>0</v>
      </c>
      <c r="L57" s="104">
        <f>HP_Power!I62</f>
        <v>0</v>
      </c>
      <c r="M57" s="104">
        <f>HP_Power!J62</f>
        <v>0</v>
      </c>
      <c r="N57" s="104">
        <f>HP_Power!K62</f>
        <v>0</v>
      </c>
      <c r="O57" s="55">
        <f t="shared" si="9"/>
        <v>0</v>
      </c>
      <c r="P57" s="55">
        <f t="shared" si="10"/>
        <v>0</v>
      </c>
      <c r="Q57" s="55">
        <f t="shared" si="11"/>
        <v>0</v>
      </c>
    </row>
    <row r="58" spans="1:17" x14ac:dyDescent="0.2">
      <c r="A58" s="72">
        <v>48</v>
      </c>
      <c r="B58" s="59">
        <v>48</v>
      </c>
      <c r="C58" s="40">
        <f>HomeHeatDemand!F57</f>
        <v>0</v>
      </c>
      <c r="D58" s="40">
        <f>HomeHeatDemand!G57</f>
        <v>0</v>
      </c>
      <c r="E58" s="40">
        <f>HomeHeatDemand!H57</f>
        <v>0</v>
      </c>
      <c r="F58" s="40">
        <f>HP_Power!B63</f>
        <v>0</v>
      </c>
      <c r="G58" s="40">
        <f>HP_Power!C63</f>
        <v>0</v>
      </c>
      <c r="H58" s="40">
        <f>HP_Power!D63</f>
        <v>0</v>
      </c>
      <c r="I58" s="104">
        <f>HP_Power!F63</f>
        <v>0</v>
      </c>
      <c r="J58" s="104">
        <f>HP_Power!G63</f>
        <v>0</v>
      </c>
      <c r="K58" s="104">
        <f>HP_Power!H63</f>
        <v>0</v>
      </c>
      <c r="L58" s="104">
        <f>HP_Power!I63</f>
        <v>0</v>
      </c>
      <c r="M58" s="104">
        <f>HP_Power!J63</f>
        <v>0</v>
      </c>
      <c r="N58" s="104">
        <f>HP_Power!K63</f>
        <v>0</v>
      </c>
      <c r="O58" s="55">
        <f t="shared" si="9"/>
        <v>0</v>
      </c>
      <c r="P58" s="55">
        <f t="shared" si="10"/>
        <v>0</v>
      </c>
      <c r="Q58" s="55">
        <f t="shared" si="11"/>
        <v>0</v>
      </c>
    </row>
    <row r="59" spans="1:17" x14ac:dyDescent="0.2">
      <c r="A59" s="72">
        <v>49</v>
      </c>
      <c r="B59" s="59">
        <v>49</v>
      </c>
      <c r="C59" s="40">
        <f>HomeHeatDemand!F58</f>
        <v>0</v>
      </c>
      <c r="D59" s="40">
        <f>HomeHeatDemand!G58</f>
        <v>0</v>
      </c>
      <c r="E59" s="40">
        <f>HomeHeatDemand!H58</f>
        <v>0</v>
      </c>
      <c r="F59" s="40">
        <f>HP_Power!B64</f>
        <v>0</v>
      </c>
      <c r="G59" s="40">
        <f>HP_Power!C64</f>
        <v>0</v>
      </c>
      <c r="H59" s="40">
        <f>HP_Power!D64</f>
        <v>0</v>
      </c>
      <c r="I59" s="104">
        <f>HP_Power!F64</f>
        <v>0</v>
      </c>
      <c r="J59" s="104">
        <f>HP_Power!G64</f>
        <v>0</v>
      </c>
      <c r="K59" s="104">
        <f>HP_Power!H64</f>
        <v>0</v>
      </c>
      <c r="L59" s="104">
        <f>HP_Power!I64</f>
        <v>0</v>
      </c>
      <c r="M59" s="104">
        <f>HP_Power!J64</f>
        <v>0</v>
      </c>
      <c r="N59" s="104">
        <f>HP_Power!K64</f>
        <v>0</v>
      </c>
      <c r="O59" s="55">
        <f t="shared" si="9"/>
        <v>0</v>
      </c>
      <c r="P59" s="55">
        <f t="shared" si="10"/>
        <v>0</v>
      </c>
      <c r="Q59" s="55">
        <f t="shared" si="11"/>
        <v>0</v>
      </c>
    </row>
    <row r="60" spans="1:17" x14ac:dyDescent="0.2">
      <c r="A60" s="72">
        <v>50</v>
      </c>
      <c r="B60" s="59">
        <v>50</v>
      </c>
      <c r="C60" s="40">
        <f>HomeHeatDemand!F59</f>
        <v>0</v>
      </c>
      <c r="D60" s="40">
        <f>HomeHeatDemand!G59</f>
        <v>0</v>
      </c>
      <c r="E60" s="40">
        <f>HomeHeatDemand!H59</f>
        <v>0</v>
      </c>
      <c r="F60" s="40">
        <f>HP_Power!B65</f>
        <v>0</v>
      </c>
      <c r="G60" s="40">
        <f>HP_Power!C65</f>
        <v>0</v>
      </c>
      <c r="H60" s="40">
        <f>HP_Power!D65</f>
        <v>0</v>
      </c>
      <c r="I60" s="104">
        <f>HP_Power!F65</f>
        <v>0</v>
      </c>
      <c r="J60" s="104">
        <f>HP_Power!G65</f>
        <v>0</v>
      </c>
      <c r="K60" s="104">
        <f>HP_Power!H65</f>
        <v>0</v>
      </c>
      <c r="L60" s="104">
        <f>HP_Power!I65</f>
        <v>0</v>
      </c>
      <c r="M60" s="104">
        <f>HP_Power!J65</f>
        <v>0</v>
      </c>
      <c r="N60" s="104">
        <f>HP_Power!K65</f>
        <v>0</v>
      </c>
      <c r="O60" s="55">
        <f t="shared" si="9"/>
        <v>0</v>
      </c>
      <c r="P60" s="55">
        <f t="shared" si="10"/>
        <v>0</v>
      </c>
      <c r="Q60" s="55">
        <f t="shared" si="11"/>
        <v>0</v>
      </c>
    </row>
    <row r="61" spans="1:17" x14ac:dyDescent="0.2">
      <c r="A61" s="72">
        <v>51</v>
      </c>
      <c r="B61" s="59">
        <v>51</v>
      </c>
      <c r="C61" s="40">
        <f>HomeHeatDemand!F60</f>
        <v>0</v>
      </c>
      <c r="D61" s="40">
        <f>HomeHeatDemand!G60</f>
        <v>0</v>
      </c>
      <c r="E61" s="40">
        <f>HomeHeatDemand!H60</f>
        <v>0</v>
      </c>
      <c r="F61" s="40">
        <f>HP_Power!B66</f>
        <v>0</v>
      </c>
      <c r="G61" s="40">
        <f>HP_Power!C66</f>
        <v>0</v>
      </c>
      <c r="H61" s="40">
        <f>HP_Power!D66</f>
        <v>0</v>
      </c>
      <c r="I61" s="104">
        <f>HP_Power!F66</f>
        <v>0</v>
      </c>
      <c r="J61" s="104">
        <f>HP_Power!G66</f>
        <v>0</v>
      </c>
      <c r="K61" s="104">
        <f>HP_Power!H66</f>
        <v>0</v>
      </c>
      <c r="L61" s="104">
        <f>HP_Power!I66</f>
        <v>0</v>
      </c>
      <c r="M61" s="104">
        <f>HP_Power!J66</f>
        <v>0</v>
      </c>
      <c r="N61" s="104">
        <f>HP_Power!K66</f>
        <v>0</v>
      </c>
      <c r="O61" s="55">
        <f t="shared" si="9"/>
        <v>0</v>
      </c>
      <c r="P61" s="55">
        <f t="shared" si="10"/>
        <v>0</v>
      </c>
      <c r="Q61" s="55">
        <f t="shared" si="11"/>
        <v>0</v>
      </c>
    </row>
    <row r="62" spans="1:17" x14ac:dyDescent="0.2">
      <c r="A62" s="72">
        <v>52</v>
      </c>
      <c r="B62" s="59">
        <v>52</v>
      </c>
      <c r="C62" s="40">
        <f>HomeHeatDemand!F61</f>
        <v>0</v>
      </c>
      <c r="D62" s="40">
        <f>HomeHeatDemand!G61</f>
        <v>0</v>
      </c>
      <c r="E62" s="40">
        <f>HomeHeatDemand!H61</f>
        <v>0</v>
      </c>
      <c r="F62" s="40">
        <f>HP_Power!B67</f>
        <v>0</v>
      </c>
      <c r="G62" s="40">
        <f>HP_Power!C67</f>
        <v>0</v>
      </c>
      <c r="H62" s="40">
        <f>HP_Power!D67</f>
        <v>0</v>
      </c>
      <c r="I62" s="104">
        <f>HP_Power!F67</f>
        <v>0</v>
      </c>
      <c r="J62" s="104">
        <f>HP_Power!G67</f>
        <v>0</v>
      </c>
      <c r="K62" s="104">
        <f>HP_Power!H67</f>
        <v>0</v>
      </c>
      <c r="L62" s="104">
        <f>HP_Power!I67</f>
        <v>0</v>
      </c>
      <c r="M62" s="104">
        <f>HP_Power!J67</f>
        <v>0</v>
      </c>
      <c r="N62" s="104">
        <f>HP_Power!K67</f>
        <v>0</v>
      </c>
      <c r="O62" s="55">
        <f t="shared" si="9"/>
        <v>0</v>
      </c>
      <c r="P62" s="55">
        <f t="shared" si="10"/>
        <v>0</v>
      </c>
      <c r="Q62" s="55">
        <f t="shared" si="11"/>
        <v>0</v>
      </c>
    </row>
    <row r="63" spans="1:17" x14ac:dyDescent="0.2">
      <c r="A63" s="72">
        <v>53</v>
      </c>
      <c r="B63" s="59">
        <v>53</v>
      </c>
      <c r="C63" s="40">
        <f>HomeHeatDemand!F62</f>
        <v>0</v>
      </c>
      <c r="D63" s="40">
        <f>HomeHeatDemand!G62</f>
        <v>0</v>
      </c>
      <c r="E63" s="40">
        <f>HomeHeatDemand!H62</f>
        <v>0</v>
      </c>
      <c r="F63" s="40">
        <f>HP_Power!B68</f>
        <v>0</v>
      </c>
      <c r="G63" s="40">
        <f>HP_Power!C68</f>
        <v>0</v>
      </c>
      <c r="H63" s="40">
        <f>HP_Power!D68</f>
        <v>0</v>
      </c>
      <c r="I63" s="104">
        <f>HP_Power!F68</f>
        <v>0</v>
      </c>
      <c r="J63" s="104">
        <f>HP_Power!G68</f>
        <v>0</v>
      </c>
      <c r="K63" s="104">
        <f>HP_Power!H68</f>
        <v>0</v>
      </c>
      <c r="L63" s="104">
        <f>HP_Power!I68</f>
        <v>0</v>
      </c>
      <c r="M63" s="104">
        <f>HP_Power!J68</f>
        <v>0</v>
      </c>
      <c r="N63" s="104">
        <f>HP_Power!K68</f>
        <v>0</v>
      </c>
      <c r="O63" s="55">
        <f t="shared" si="9"/>
        <v>0</v>
      </c>
      <c r="P63" s="55">
        <f t="shared" si="10"/>
        <v>0</v>
      </c>
      <c r="Q63" s="55">
        <f t="shared" si="11"/>
        <v>0</v>
      </c>
    </row>
    <row r="64" spans="1:17" x14ac:dyDescent="0.2">
      <c r="A64" s="72">
        <v>54</v>
      </c>
      <c r="B64" s="59">
        <v>54</v>
      </c>
      <c r="C64" s="40">
        <f>HomeHeatDemand!F63</f>
        <v>0</v>
      </c>
      <c r="D64" s="40">
        <f>HomeHeatDemand!G63</f>
        <v>0</v>
      </c>
      <c r="E64" s="40">
        <f>HomeHeatDemand!H63</f>
        <v>0</v>
      </c>
      <c r="F64" s="40">
        <f>HP_Power!B69</f>
        <v>0</v>
      </c>
      <c r="G64" s="40">
        <f>HP_Power!C69</f>
        <v>0</v>
      </c>
      <c r="H64" s="40">
        <f>HP_Power!D69</f>
        <v>0</v>
      </c>
      <c r="I64" s="104">
        <f>HP_Power!F69</f>
        <v>0</v>
      </c>
      <c r="J64" s="104">
        <f>HP_Power!G69</f>
        <v>0</v>
      </c>
      <c r="K64" s="104">
        <f>HP_Power!H69</f>
        <v>0</v>
      </c>
      <c r="L64" s="104">
        <f>HP_Power!I69</f>
        <v>0</v>
      </c>
      <c r="M64" s="104">
        <f>HP_Power!J69</f>
        <v>0</v>
      </c>
      <c r="N64" s="104">
        <f>HP_Power!K69</f>
        <v>0</v>
      </c>
      <c r="O64" s="55">
        <f t="shared" si="9"/>
        <v>0</v>
      </c>
      <c r="P64" s="55">
        <f t="shared" si="10"/>
        <v>0</v>
      </c>
      <c r="Q64" s="55">
        <f t="shared" si="11"/>
        <v>0</v>
      </c>
    </row>
    <row r="65" spans="1:17" x14ac:dyDescent="0.2">
      <c r="A65" s="72">
        <v>55</v>
      </c>
      <c r="B65" s="59">
        <v>55</v>
      </c>
      <c r="C65" s="40">
        <f>HomeHeatDemand!F64</f>
        <v>3.4332694957598457</v>
      </c>
      <c r="D65" s="40">
        <f>HomeHeatDemand!G64</f>
        <v>1.8717327794185254</v>
      </c>
      <c r="E65" s="40">
        <f>HomeHeatDemand!H64</f>
        <v>0.32981104388639787</v>
      </c>
      <c r="F65" s="40">
        <f>HP_Power!B70</f>
        <v>0.74636293386083608</v>
      </c>
      <c r="G65" s="40">
        <f>HP_Power!C70</f>
        <v>0.34817321475331586</v>
      </c>
      <c r="H65" s="40">
        <f>HP_Power!D70</f>
        <v>5.4355139759513407E-2</v>
      </c>
      <c r="I65" s="104">
        <f>HP_Power!F70</f>
        <v>0.36139678902735217</v>
      </c>
      <c r="J65" s="104">
        <f>HP_Power!G70</f>
        <v>0.1970245030966869</v>
      </c>
      <c r="K65" s="104">
        <f>HP_Power!H70</f>
        <v>3.471695198804188E-2</v>
      </c>
      <c r="L65" s="104">
        <f>HP_Power!I70</f>
        <v>0.48220077187638283</v>
      </c>
      <c r="M65" s="104">
        <f>HP_Power!J70</f>
        <v>0.26288381733406258</v>
      </c>
      <c r="N65" s="104">
        <f>HP_Power!K70</f>
        <v>4.6321775826741275E-2</v>
      </c>
      <c r="O65" s="55">
        <f t="shared" si="9"/>
        <v>0.38224352251574223</v>
      </c>
      <c r="P65" s="55">
        <f t="shared" si="10"/>
        <v>0.21957685264482196</v>
      </c>
      <c r="Q65" s="55">
        <f t="shared" si="11"/>
        <v>4.6321775826741275E-2</v>
      </c>
    </row>
    <row r="66" spans="1:17" x14ac:dyDescent="0.2">
      <c r="A66" s="72">
        <v>56</v>
      </c>
      <c r="B66" s="59">
        <v>56</v>
      </c>
      <c r="C66" s="40">
        <f>HomeHeatDemand!F65</f>
        <v>3.4332694957598457</v>
      </c>
      <c r="D66" s="40">
        <f>HomeHeatDemand!G65</f>
        <v>1.8717327794185254</v>
      </c>
      <c r="E66" s="40">
        <f>HomeHeatDemand!H65</f>
        <v>0.32981104388639787</v>
      </c>
      <c r="F66" s="40">
        <f>HP_Power!B71</f>
        <v>0.74636293386083608</v>
      </c>
      <c r="G66" s="40">
        <f>HP_Power!C71</f>
        <v>0.34817321475331586</v>
      </c>
      <c r="H66" s="40">
        <f>HP_Power!D71</f>
        <v>5.4355139759513407E-2</v>
      </c>
      <c r="I66" s="104">
        <f>HP_Power!F71</f>
        <v>0.36139678902735217</v>
      </c>
      <c r="J66" s="104">
        <f>HP_Power!G71</f>
        <v>0.1970245030966869</v>
      </c>
      <c r="K66" s="104">
        <f>HP_Power!H71</f>
        <v>3.471695198804188E-2</v>
      </c>
      <c r="L66" s="104">
        <f>HP_Power!I71</f>
        <v>0.48220077187638283</v>
      </c>
      <c r="M66" s="104">
        <f>HP_Power!J71</f>
        <v>0.26288381733406258</v>
      </c>
      <c r="N66" s="104">
        <f>HP_Power!K71</f>
        <v>4.6321775826741275E-2</v>
      </c>
      <c r="O66" s="55">
        <f t="shared" si="9"/>
        <v>0.38224352251574223</v>
      </c>
      <c r="P66" s="55">
        <f t="shared" si="10"/>
        <v>0.21957685264482196</v>
      </c>
      <c r="Q66" s="55">
        <f t="shared" si="11"/>
        <v>4.6321775826741275E-2</v>
      </c>
    </row>
    <row r="67" spans="1:17" x14ac:dyDescent="0.2">
      <c r="A67" s="72">
        <v>57</v>
      </c>
      <c r="B67" s="59">
        <v>57</v>
      </c>
      <c r="C67" s="40">
        <f>HomeHeatDemand!F66</f>
        <v>0</v>
      </c>
      <c r="D67" s="40">
        <f>HomeHeatDemand!G66</f>
        <v>0</v>
      </c>
      <c r="E67" s="40">
        <f>HomeHeatDemand!H66</f>
        <v>0</v>
      </c>
      <c r="F67" s="40">
        <f>HP_Power!B72</f>
        <v>0</v>
      </c>
      <c r="G67" s="40">
        <f>HP_Power!C72</f>
        <v>0</v>
      </c>
      <c r="H67" s="40">
        <f>HP_Power!D72</f>
        <v>0</v>
      </c>
      <c r="I67" s="104">
        <f>HP_Power!F72</f>
        <v>0</v>
      </c>
      <c r="J67" s="104">
        <f>HP_Power!G72</f>
        <v>0</v>
      </c>
      <c r="K67" s="104">
        <f>HP_Power!H72</f>
        <v>0</v>
      </c>
      <c r="L67" s="104">
        <f>HP_Power!I72</f>
        <v>0</v>
      </c>
      <c r="M67" s="104">
        <f>HP_Power!J72</f>
        <v>0</v>
      </c>
      <c r="N67" s="104">
        <f>HP_Power!K72</f>
        <v>0</v>
      </c>
      <c r="O67" s="55">
        <f t="shared" si="9"/>
        <v>0</v>
      </c>
      <c r="P67" s="55">
        <f t="shared" si="10"/>
        <v>0</v>
      </c>
      <c r="Q67" s="55">
        <f t="shared" si="11"/>
        <v>0</v>
      </c>
    </row>
    <row r="68" spans="1:17" x14ac:dyDescent="0.2">
      <c r="A68" s="72">
        <v>58</v>
      </c>
      <c r="B68" s="59">
        <v>58</v>
      </c>
      <c r="C68" s="40">
        <f>HomeHeatDemand!F67</f>
        <v>0</v>
      </c>
      <c r="D68" s="40">
        <f>HomeHeatDemand!G67</f>
        <v>0</v>
      </c>
      <c r="E68" s="40">
        <f>HomeHeatDemand!H67</f>
        <v>0</v>
      </c>
      <c r="F68" s="40">
        <f>HP_Power!B73</f>
        <v>0</v>
      </c>
      <c r="G68" s="40">
        <f>HP_Power!C73</f>
        <v>0</v>
      </c>
      <c r="H68" s="40">
        <f>HP_Power!D73</f>
        <v>0</v>
      </c>
      <c r="I68" s="104">
        <f>HP_Power!F73</f>
        <v>0</v>
      </c>
      <c r="J68" s="104">
        <f>HP_Power!G73</f>
        <v>0</v>
      </c>
      <c r="K68" s="104">
        <f>HP_Power!H73</f>
        <v>0</v>
      </c>
      <c r="L68" s="104">
        <f>HP_Power!I73</f>
        <v>0</v>
      </c>
      <c r="M68" s="104">
        <f>HP_Power!J73</f>
        <v>0</v>
      </c>
      <c r="N68" s="104">
        <f>HP_Power!K73</f>
        <v>0</v>
      </c>
      <c r="O68" s="55">
        <f t="shared" si="9"/>
        <v>0</v>
      </c>
      <c r="P68" s="55">
        <f t="shared" si="10"/>
        <v>0</v>
      </c>
      <c r="Q68" s="55">
        <f t="shared" si="11"/>
        <v>0</v>
      </c>
    </row>
    <row r="69" spans="1:17" x14ac:dyDescent="0.2">
      <c r="A69" s="72">
        <v>59</v>
      </c>
      <c r="B69" s="59">
        <v>59</v>
      </c>
      <c r="C69" s="40">
        <f>HomeHeatDemand!F68</f>
        <v>0</v>
      </c>
      <c r="D69" s="40">
        <f>HomeHeatDemand!G68</f>
        <v>0</v>
      </c>
      <c r="E69" s="40">
        <f>HomeHeatDemand!H68</f>
        <v>0</v>
      </c>
      <c r="F69" s="40">
        <f>HP_Power!B74</f>
        <v>0</v>
      </c>
      <c r="G69" s="40">
        <f>HP_Power!C74</f>
        <v>0</v>
      </c>
      <c r="H69" s="40">
        <f>HP_Power!D74</f>
        <v>0</v>
      </c>
      <c r="I69" s="104">
        <f>HP_Power!F74</f>
        <v>0</v>
      </c>
      <c r="J69" s="104">
        <f>HP_Power!G74</f>
        <v>0</v>
      </c>
      <c r="K69" s="104">
        <f>HP_Power!H74</f>
        <v>0</v>
      </c>
      <c r="L69" s="104">
        <f>HP_Power!I74</f>
        <v>0</v>
      </c>
      <c r="M69" s="104">
        <f>HP_Power!J74</f>
        <v>0</v>
      </c>
      <c r="N69" s="104">
        <f>HP_Power!K74</f>
        <v>0</v>
      </c>
      <c r="O69" s="55">
        <f t="shared" si="9"/>
        <v>0</v>
      </c>
      <c r="P69" s="55">
        <f t="shared" si="10"/>
        <v>0</v>
      </c>
      <c r="Q69" s="55">
        <f t="shared" si="11"/>
        <v>0</v>
      </c>
    </row>
    <row r="70" spans="1:17" x14ac:dyDescent="0.2">
      <c r="A70" s="72">
        <v>60</v>
      </c>
      <c r="B70" s="59">
        <v>60</v>
      </c>
      <c r="C70" s="40">
        <f>HomeHeatDemand!F69</f>
        <v>0</v>
      </c>
      <c r="D70" s="40">
        <f>HomeHeatDemand!G69</f>
        <v>0</v>
      </c>
      <c r="E70" s="40">
        <f>HomeHeatDemand!H69</f>
        <v>0</v>
      </c>
      <c r="F70" s="40">
        <f>HP_Power!B75</f>
        <v>0</v>
      </c>
      <c r="G70" s="40">
        <f>HP_Power!C75</f>
        <v>0</v>
      </c>
      <c r="H70" s="40">
        <f>HP_Power!D75</f>
        <v>0</v>
      </c>
      <c r="I70" s="104">
        <f>HP_Power!F75</f>
        <v>0</v>
      </c>
      <c r="J70" s="104">
        <f>HP_Power!G75</f>
        <v>0</v>
      </c>
      <c r="K70" s="104">
        <f>HP_Power!H75</f>
        <v>0</v>
      </c>
      <c r="L70" s="104">
        <f>HP_Power!I75</f>
        <v>0</v>
      </c>
      <c r="M70" s="104">
        <f>HP_Power!J75</f>
        <v>0</v>
      </c>
      <c r="N70" s="104">
        <f>HP_Power!K75</f>
        <v>0</v>
      </c>
      <c r="O70" s="55">
        <f t="shared" si="9"/>
        <v>0</v>
      </c>
      <c r="P70" s="55">
        <f t="shared" si="10"/>
        <v>0</v>
      </c>
      <c r="Q70" s="55">
        <f t="shared" si="11"/>
        <v>0</v>
      </c>
    </row>
    <row r="71" spans="1:17" x14ac:dyDescent="0.2">
      <c r="A71" s="72">
        <v>61</v>
      </c>
      <c r="B71" s="59">
        <v>61</v>
      </c>
      <c r="C71" s="40">
        <f>HomeHeatDemand!F70</f>
        <v>0</v>
      </c>
      <c r="D71" s="40">
        <f>HomeHeatDemand!G70</f>
        <v>0</v>
      </c>
      <c r="E71" s="40">
        <f>HomeHeatDemand!H70</f>
        <v>0</v>
      </c>
      <c r="F71" s="40">
        <f>HP_Power!B76</f>
        <v>0</v>
      </c>
      <c r="G71" s="40">
        <f>HP_Power!C76</f>
        <v>0</v>
      </c>
      <c r="H71" s="40">
        <f>HP_Power!D76</f>
        <v>0</v>
      </c>
      <c r="I71" s="104">
        <f>HP_Power!F76</f>
        <v>0</v>
      </c>
      <c r="J71" s="104">
        <f>HP_Power!G76</f>
        <v>0</v>
      </c>
      <c r="K71" s="104">
        <f>HP_Power!H76</f>
        <v>0</v>
      </c>
      <c r="L71" s="104">
        <f>HP_Power!I76</f>
        <v>0</v>
      </c>
      <c r="M71" s="104">
        <f>HP_Power!J76</f>
        <v>0</v>
      </c>
      <c r="N71" s="104">
        <f>HP_Power!K76</f>
        <v>0</v>
      </c>
      <c r="O71" s="55">
        <f t="shared" si="9"/>
        <v>0</v>
      </c>
      <c r="P71" s="55">
        <f t="shared" si="10"/>
        <v>0</v>
      </c>
      <c r="Q71" s="55">
        <f t="shared" si="11"/>
        <v>0</v>
      </c>
    </row>
    <row r="72" spans="1:17" x14ac:dyDescent="0.2">
      <c r="A72" s="72">
        <v>62</v>
      </c>
      <c r="B72" s="59">
        <v>62</v>
      </c>
      <c r="C72" s="40">
        <f>HomeHeatDemand!F71</f>
        <v>0</v>
      </c>
      <c r="D72" s="40">
        <f>HomeHeatDemand!G71</f>
        <v>0</v>
      </c>
      <c r="E72" s="40">
        <f>HomeHeatDemand!H71</f>
        <v>0</v>
      </c>
      <c r="F72" s="40">
        <f>HP_Power!B77</f>
        <v>0</v>
      </c>
      <c r="G72" s="40">
        <f>HP_Power!C77</f>
        <v>0</v>
      </c>
      <c r="H72" s="40">
        <f>HP_Power!D77</f>
        <v>0</v>
      </c>
      <c r="I72" s="104">
        <f>HP_Power!F77</f>
        <v>0</v>
      </c>
      <c r="J72" s="104">
        <f>HP_Power!G77</f>
        <v>0</v>
      </c>
      <c r="K72" s="104">
        <f>HP_Power!H77</f>
        <v>0</v>
      </c>
      <c r="L72" s="104">
        <f>HP_Power!I77</f>
        <v>0</v>
      </c>
      <c r="M72" s="104">
        <f>HP_Power!J77</f>
        <v>0</v>
      </c>
      <c r="N72" s="104">
        <f>HP_Power!K77</f>
        <v>0</v>
      </c>
      <c r="O72" s="55">
        <f t="shared" si="9"/>
        <v>0</v>
      </c>
      <c r="P72" s="55">
        <f t="shared" si="10"/>
        <v>0</v>
      </c>
      <c r="Q72" s="55">
        <f t="shared" si="11"/>
        <v>0</v>
      </c>
    </row>
    <row r="73" spans="1:17" x14ac:dyDescent="0.2">
      <c r="A73" s="72">
        <v>63</v>
      </c>
      <c r="B73" s="59">
        <v>63</v>
      </c>
      <c r="C73" s="40">
        <f>HomeHeatDemand!F72</f>
        <v>0</v>
      </c>
      <c r="D73" s="40">
        <f>HomeHeatDemand!G72</f>
        <v>0</v>
      </c>
      <c r="E73" s="40">
        <f>HomeHeatDemand!H72</f>
        <v>0</v>
      </c>
      <c r="F73" s="40">
        <f>HP_Power!B78</f>
        <v>0</v>
      </c>
      <c r="G73" s="40">
        <f>HP_Power!C78</f>
        <v>0</v>
      </c>
      <c r="H73" s="40">
        <f>HP_Power!D78</f>
        <v>0</v>
      </c>
      <c r="I73" s="104">
        <f>HP_Power!F78</f>
        <v>0</v>
      </c>
      <c r="J73" s="104">
        <f>HP_Power!G78</f>
        <v>0</v>
      </c>
      <c r="K73" s="104">
        <f>HP_Power!H78</f>
        <v>0</v>
      </c>
      <c r="L73" s="104">
        <f>HP_Power!I78</f>
        <v>0</v>
      </c>
      <c r="M73" s="104">
        <f>HP_Power!J78</f>
        <v>0</v>
      </c>
      <c r="N73" s="104">
        <f>HP_Power!K78</f>
        <v>0</v>
      </c>
      <c r="O73" s="55">
        <f t="shared" si="9"/>
        <v>0</v>
      </c>
      <c r="P73" s="55">
        <f t="shared" si="10"/>
        <v>0</v>
      </c>
      <c r="Q73" s="55">
        <f t="shared" si="11"/>
        <v>0</v>
      </c>
    </row>
    <row r="74" spans="1:17" x14ac:dyDescent="0.2">
      <c r="A74" s="72">
        <v>64</v>
      </c>
      <c r="B74" s="59">
        <v>64</v>
      </c>
      <c r="C74" s="40">
        <f>HomeHeatDemand!F73</f>
        <v>3.4332694957598457</v>
      </c>
      <c r="D74" s="40">
        <f>HomeHeatDemand!G73</f>
        <v>1.8717327794185254</v>
      </c>
      <c r="E74" s="40">
        <f>HomeHeatDemand!H73</f>
        <v>0.32981104388639787</v>
      </c>
      <c r="F74" s="40">
        <f>HP_Power!B79</f>
        <v>0.74636293386083608</v>
      </c>
      <c r="G74" s="40">
        <f>HP_Power!C79</f>
        <v>0.34817321475331586</v>
      </c>
      <c r="H74" s="40">
        <f>HP_Power!D79</f>
        <v>5.4355139759513407E-2</v>
      </c>
      <c r="I74" s="104">
        <f>HP_Power!F79</f>
        <v>0.36139678902735217</v>
      </c>
      <c r="J74" s="104">
        <f>HP_Power!G79</f>
        <v>0.1970245030966869</v>
      </c>
      <c r="K74" s="104">
        <f>HP_Power!H79</f>
        <v>3.471695198804188E-2</v>
      </c>
      <c r="L74" s="104">
        <f>HP_Power!I79</f>
        <v>0.48220077187638283</v>
      </c>
      <c r="M74" s="104">
        <f>HP_Power!J79</f>
        <v>0.26288381733406258</v>
      </c>
      <c r="N74" s="104">
        <f>HP_Power!K79</f>
        <v>4.6321775826741275E-2</v>
      </c>
      <c r="O74" s="55">
        <f t="shared" si="9"/>
        <v>0.38224352251574223</v>
      </c>
      <c r="P74" s="55">
        <f t="shared" si="10"/>
        <v>0.21957685264482196</v>
      </c>
      <c r="Q74" s="55">
        <f t="shared" si="11"/>
        <v>4.6321775826741275E-2</v>
      </c>
    </row>
    <row r="75" spans="1:17" x14ac:dyDescent="0.2">
      <c r="A75" s="72">
        <v>65</v>
      </c>
      <c r="B75" s="59">
        <v>65</v>
      </c>
      <c r="C75" s="40">
        <f>HomeHeatDemand!F74</f>
        <v>3.4332694957598457</v>
      </c>
      <c r="D75" s="40">
        <f>HomeHeatDemand!G74</f>
        <v>1.8717327794185254</v>
      </c>
      <c r="E75" s="40">
        <f>HomeHeatDemand!H74</f>
        <v>0.32981104388639787</v>
      </c>
      <c r="F75" s="40">
        <f>HP_Power!B80</f>
        <v>0.74636293386083608</v>
      </c>
      <c r="G75" s="40">
        <f>HP_Power!C80</f>
        <v>0.34817321475331586</v>
      </c>
      <c r="H75" s="40">
        <f>HP_Power!D80</f>
        <v>5.4355139759513407E-2</v>
      </c>
      <c r="I75" s="104">
        <f>HP_Power!F80</f>
        <v>0.36139678902735217</v>
      </c>
      <c r="J75" s="104">
        <f>HP_Power!G80</f>
        <v>0.1970245030966869</v>
      </c>
      <c r="K75" s="104">
        <f>HP_Power!H80</f>
        <v>3.471695198804188E-2</v>
      </c>
      <c r="L75" s="104">
        <f>HP_Power!I80</f>
        <v>0.48220077187638283</v>
      </c>
      <c r="M75" s="104">
        <f>HP_Power!J80</f>
        <v>0.26288381733406258</v>
      </c>
      <c r="N75" s="104">
        <f>HP_Power!K80</f>
        <v>4.6321775826741275E-2</v>
      </c>
      <c r="O75" s="55">
        <f t="shared" si="9"/>
        <v>0.38224352251574223</v>
      </c>
      <c r="P75" s="55">
        <f t="shared" si="10"/>
        <v>0.21957685264482196</v>
      </c>
      <c r="Q75" s="55">
        <f t="shared" si="11"/>
        <v>4.6321775826741275E-2</v>
      </c>
    </row>
    <row r="76" spans="1:17" x14ac:dyDescent="0.2">
      <c r="A76" s="72">
        <v>66</v>
      </c>
      <c r="B76" s="59">
        <v>66</v>
      </c>
      <c r="C76" s="40">
        <f>HomeHeatDemand!F75</f>
        <v>3.4332694957598457</v>
      </c>
      <c r="D76" s="40">
        <f>HomeHeatDemand!G75</f>
        <v>1.8717327794185254</v>
      </c>
      <c r="E76" s="40">
        <f>HomeHeatDemand!H75</f>
        <v>0.32981104388639787</v>
      </c>
      <c r="F76" s="40">
        <f>HP_Power!B81</f>
        <v>0.74636293386083608</v>
      </c>
      <c r="G76" s="40">
        <f>HP_Power!C81</f>
        <v>0.34817321475331586</v>
      </c>
      <c r="H76" s="40">
        <f>HP_Power!D81</f>
        <v>5.4355139759513407E-2</v>
      </c>
      <c r="I76" s="104">
        <f>HP_Power!F81</f>
        <v>0.36139678902735217</v>
      </c>
      <c r="J76" s="104">
        <f>HP_Power!G81</f>
        <v>0.1970245030966869</v>
      </c>
      <c r="K76" s="104">
        <f>HP_Power!H81</f>
        <v>3.471695198804188E-2</v>
      </c>
      <c r="L76" s="104">
        <f>HP_Power!I81</f>
        <v>0.48220077187638283</v>
      </c>
      <c r="M76" s="104">
        <f>HP_Power!J81</f>
        <v>0.26288381733406258</v>
      </c>
      <c r="N76" s="104">
        <f>HP_Power!K81</f>
        <v>4.6321775826741275E-2</v>
      </c>
      <c r="O76" s="55">
        <f t="shared" ref="O76:O139" si="12">$O$4*I76+$O$5*L76</f>
        <v>0.38224352251574223</v>
      </c>
      <c r="P76" s="55">
        <f t="shared" ref="P76:P139" si="13">$P$4*J76+$P$5*M76</f>
        <v>0.21957685264482196</v>
      </c>
      <c r="Q76" s="55">
        <f t="shared" ref="Q76:Q139" si="14">$Q$4*K76+$Q$5*N76</f>
        <v>4.6321775826741275E-2</v>
      </c>
    </row>
    <row r="77" spans="1:17" x14ac:dyDescent="0.2">
      <c r="A77" s="72">
        <v>67</v>
      </c>
      <c r="B77" s="59">
        <v>67</v>
      </c>
      <c r="C77" s="40">
        <f>HomeHeatDemand!F76</f>
        <v>3.4332694957598457</v>
      </c>
      <c r="D77" s="40">
        <f>HomeHeatDemand!G76</f>
        <v>1.8717327794185254</v>
      </c>
      <c r="E77" s="40">
        <f>HomeHeatDemand!H76</f>
        <v>0.32981104388639787</v>
      </c>
      <c r="F77" s="40">
        <f>HP_Power!B82</f>
        <v>0.74636293386083608</v>
      </c>
      <c r="G77" s="40">
        <f>HP_Power!C82</f>
        <v>0.34817321475331586</v>
      </c>
      <c r="H77" s="40">
        <f>HP_Power!D82</f>
        <v>5.4355139759513407E-2</v>
      </c>
      <c r="I77" s="104">
        <f>HP_Power!F82</f>
        <v>0.36139678902735217</v>
      </c>
      <c r="J77" s="104">
        <f>HP_Power!G82</f>
        <v>0.1970245030966869</v>
      </c>
      <c r="K77" s="104">
        <f>HP_Power!H82</f>
        <v>3.471695198804188E-2</v>
      </c>
      <c r="L77" s="104">
        <f>HP_Power!I82</f>
        <v>0.48220077187638283</v>
      </c>
      <c r="M77" s="104">
        <f>HP_Power!J82</f>
        <v>0.26288381733406258</v>
      </c>
      <c r="N77" s="104">
        <f>HP_Power!K82</f>
        <v>4.6321775826741275E-2</v>
      </c>
      <c r="O77" s="55">
        <f t="shared" si="12"/>
        <v>0.38224352251574223</v>
      </c>
      <c r="P77" s="55">
        <f t="shared" si="13"/>
        <v>0.21957685264482196</v>
      </c>
      <c r="Q77" s="55">
        <f t="shared" si="14"/>
        <v>4.6321775826741275E-2</v>
      </c>
    </row>
    <row r="78" spans="1:17" x14ac:dyDescent="0.2">
      <c r="A78" s="72">
        <v>68</v>
      </c>
      <c r="B78" s="59">
        <v>68</v>
      </c>
      <c r="C78" s="40">
        <f>HomeHeatDemand!F77</f>
        <v>3.4332694957598457</v>
      </c>
      <c r="D78" s="40">
        <f>HomeHeatDemand!G77</f>
        <v>1.8717327794185254</v>
      </c>
      <c r="E78" s="40">
        <f>HomeHeatDemand!H77</f>
        <v>0.32981104388639787</v>
      </c>
      <c r="F78" s="40">
        <f>HP_Power!B83</f>
        <v>0.74636293386083608</v>
      </c>
      <c r="G78" s="40">
        <f>HP_Power!C83</f>
        <v>0.34817321475331586</v>
      </c>
      <c r="H78" s="40">
        <f>HP_Power!D83</f>
        <v>5.4355139759513407E-2</v>
      </c>
      <c r="I78" s="104">
        <f>HP_Power!F83</f>
        <v>0.36139678902735217</v>
      </c>
      <c r="J78" s="104">
        <f>HP_Power!G83</f>
        <v>0.1970245030966869</v>
      </c>
      <c r="K78" s="104">
        <f>HP_Power!H83</f>
        <v>3.471695198804188E-2</v>
      </c>
      <c r="L78" s="104">
        <f>HP_Power!I83</f>
        <v>0.48220077187638283</v>
      </c>
      <c r="M78" s="104">
        <f>HP_Power!J83</f>
        <v>0.26288381733406258</v>
      </c>
      <c r="N78" s="104">
        <f>HP_Power!K83</f>
        <v>4.6321775826741275E-2</v>
      </c>
      <c r="O78" s="55">
        <f t="shared" si="12"/>
        <v>0.38224352251574223</v>
      </c>
      <c r="P78" s="55">
        <f t="shared" si="13"/>
        <v>0.21957685264482196</v>
      </c>
      <c r="Q78" s="55">
        <f t="shared" si="14"/>
        <v>4.6321775826741275E-2</v>
      </c>
    </row>
    <row r="79" spans="1:17" x14ac:dyDescent="0.2">
      <c r="A79" s="72">
        <v>69</v>
      </c>
      <c r="B79" s="59">
        <v>69</v>
      </c>
      <c r="C79" s="40">
        <f>HomeHeatDemand!F78</f>
        <v>3.4332694957598457</v>
      </c>
      <c r="D79" s="40">
        <f>HomeHeatDemand!G78</f>
        <v>1.8717327794185254</v>
      </c>
      <c r="E79" s="40">
        <f>HomeHeatDemand!H78</f>
        <v>0.32981104388639787</v>
      </c>
      <c r="F79" s="40">
        <f>HP_Power!B84</f>
        <v>0.74636293386083608</v>
      </c>
      <c r="G79" s="40">
        <f>HP_Power!C84</f>
        <v>0.34817321475331586</v>
      </c>
      <c r="H79" s="40">
        <f>HP_Power!D84</f>
        <v>5.4355139759513407E-2</v>
      </c>
      <c r="I79" s="104">
        <f>HP_Power!F84</f>
        <v>0.36139678902735217</v>
      </c>
      <c r="J79" s="104">
        <f>HP_Power!G84</f>
        <v>0.1970245030966869</v>
      </c>
      <c r="K79" s="104">
        <f>HP_Power!H84</f>
        <v>3.471695198804188E-2</v>
      </c>
      <c r="L79" s="104">
        <f>HP_Power!I84</f>
        <v>0.48220077187638283</v>
      </c>
      <c r="M79" s="104">
        <f>HP_Power!J84</f>
        <v>0.26288381733406258</v>
      </c>
      <c r="N79" s="104">
        <f>HP_Power!K84</f>
        <v>4.6321775826741275E-2</v>
      </c>
      <c r="O79" s="55">
        <f t="shared" si="12"/>
        <v>0.38224352251574223</v>
      </c>
      <c r="P79" s="55">
        <f t="shared" si="13"/>
        <v>0.21957685264482196</v>
      </c>
      <c r="Q79" s="55">
        <f t="shared" si="14"/>
        <v>4.6321775826741275E-2</v>
      </c>
    </row>
    <row r="80" spans="1:17" x14ac:dyDescent="0.2">
      <c r="A80" s="72">
        <v>70</v>
      </c>
      <c r="B80" s="59">
        <v>70</v>
      </c>
      <c r="C80" s="40">
        <f>HomeHeatDemand!F79</f>
        <v>3.4332694957598457</v>
      </c>
      <c r="D80" s="40">
        <f>HomeHeatDemand!G79</f>
        <v>1.8717327794185254</v>
      </c>
      <c r="E80" s="40">
        <f>HomeHeatDemand!H79</f>
        <v>0.32981104388639787</v>
      </c>
      <c r="F80" s="40">
        <f>HP_Power!B85</f>
        <v>0.74636293386083608</v>
      </c>
      <c r="G80" s="40">
        <f>HP_Power!C85</f>
        <v>0.34817321475331586</v>
      </c>
      <c r="H80" s="40">
        <f>HP_Power!D85</f>
        <v>5.4355139759513407E-2</v>
      </c>
      <c r="I80" s="104">
        <f>HP_Power!F85</f>
        <v>0.36139678902735217</v>
      </c>
      <c r="J80" s="104">
        <f>HP_Power!G85</f>
        <v>0.1970245030966869</v>
      </c>
      <c r="K80" s="104">
        <f>HP_Power!H85</f>
        <v>3.471695198804188E-2</v>
      </c>
      <c r="L80" s="104">
        <f>HP_Power!I85</f>
        <v>0.48220077187638283</v>
      </c>
      <c r="M80" s="104">
        <f>HP_Power!J85</f>
        <v>0.26288381733406258</v>
      </c>
      <c r="N80" s="104">
        <f>HP_Power!K85</f>
        <v>4.6321775826741275E-2</v>
      </c>
      <c r="O80" s="55">
        <f t="shared" si="12"/>
        <v>0.38224352251574223</v>
      </c>
      <c r="P80" s="55">
        <f t="shared" si="13"/>
        <v>0.21957685264482196</v>
      </c>
      <c r="Q80" s="55">
        <f t="shared" si="14"/>
        <v>4.6321775826741275E-2</v>
      </c>
    </row>
    <row r="81" spans="1:17" x14ac:dyDescent="0.2">
      <c r="A81" s="72">
        <v>71</v>
      </c>
      <c r="B81" s="59">
        <v>71</v>
      </c>
      <c r="C81" s="40">
        <f>HomeHeatDemand!F80</f>
        <v>0</v>
      </c>
      <c r="D81" s="40">
        <f>HomeHeatDemand!G80</f>
        <v>0</v>
      </c>
      <c r="E81" s="40">
        <f>HomeHeatDemand!H80</f>
        <v>0</v>
      </c>
      <c r="F81" s="40">
        <f>HP_Power!B86</f>
        <v>0</v>
      </c>
      <c r="G81" s="40">
        <f>HP_Power!C86</f>
        <v>0</v>
      </c>
      <c r="H81" s="40">
        <f>HP_Power!D86</f>
        <v>0</v>
      </c>
      <c r="I81" s="104">
        <f>HP_Power!F86</f>
        <v>0</v>
      </c>
      <c r="J81" s="104">
        <f>HP_Power!G86</f>
        <v>0</v>
      </c>
      <c r="K81" s="104">
        <f>HP_Power!H86</f>
        <v>0</v>
      </c>
      <c r="L81" s="104">
        <f>HP_Power!I86</f>
        <v>0</v>
      </c>
      <c r="M81" s="104">
        <f>HP_Power!J86</f>
        <v>0</v>
      </c>
      <c r="N81" s="104">
        <f>HP_Power!K86</f>
        <v>0</v>
      </c>
      <c r="O81" s="55">
        <f t="shared" si="12"/>
        <v>0</v>
      </c>
      <c r="P81" s="55">
        <f t="shared" si="13"/>
        <v>0</v>
      </c>
      <c r="Q81" s="55">
        <f t="shared" si="14"/>
        <v>0</v>
      </c>
    </row>
    <row r="82" spans="1:17" x14ac:dyDescent="0.2">
      <c r="A82" s="72">
        <v>72</v>
      </c>
      <c r="B82" s="59">
        <v>72</v>
      </c>
      <c r="C82" s="40">
        <f>HomeHeatDemand!F81</f>
        <v>0</v>
      </c>
      <c r="D82" s="40">
        <f>HomeHeatDemand!G81</f>
        <v>0</v>
      </c>
      <c r="E82" s="40">
        <f>HomeHeatDemand!H81</f>
        <v>0</v>
      </c>
      <c r="F82" s="40">
        <f>HP_Power!B87</f>
        <v>0</v>
      </c>
      <c r="G82" s="40">
        <f>HP_Power!C87</f>
        <v>0</v>
      </c>
      <c r="H82" s="40">
        <f>HP_Power!D87</f>
        <v>0</v>
      </c>
      <c r="I82" s="104">
        <f>HP_Power!F87</f>
        <v>0</v>
      </c>
      <c r="J82" s="104">
        <f>HP_Power!G87</f>
        <v>0</v>
      </c>
      <c r="K82" s="104">
        <f>HP_Power!H87</f>
        <v>0</v>
      </c>
      <c r="L82" s="104">
        <f>HP_Power!I87</f>
        <v>0</v>
      </c>
      <c r="M82" s="104">
        <f>HP_Power!J87</f>
        <v>0</v>
      </c>
      <c r="N82" s="104">
        <f>HP_Power!K87</f>
        <v>0</v>
      </c>
      <c r="O82" s="55">
        <f t="shared" si="12"/>
        <v>0</v>
      </c>
      <c r="P82" s="55">
        <f t="shared" si="13"/>
        <v>0</v>
      </c>
      <c r="Q82" s="55">
        <f t="shared" si="14"/>
        <v>0</v>
      </c>
    </row>
    <row r="83" spans="1:17" x14ac:dyDescent="0.2">
      <c r="A83" s="72">
        <v>73</v>
      </c>
      <c r="B83" s="59">
        <v>73</v>
      </c>
      <c r="C83" s="40">
        <f>HomeHeatDemand!F82</f>
        <v>0</v>
      </c>
      <c r="D83" s="40">
        <f>HomeHeatDemand!G82</f>
        <v>0</v>
      </c>
      <c r="E83" s="40">
        <f>HomeHeatDemand!H82</f>
        <v>0</v>
      </c>
      <c r="F83" s="40">
        <f>HP_Power!B88</f>
        <v>0</v>
      </c>
      <c r="G83" s="40">
        <f>HP_Power!C88</f>
        <v>0</v>
      </c>
      <c r="H83" s="40">
        <f>HP_Power!D88</f>
        <v>0</v>
      </c>
      <c r="I83" s="104">
        <f>HP_Power!F88</f>
        <v>0</v>
      </c>
      <c r="J83" s="104">
        <f>HP_Power!G88</f>
        <v>0</v>
      </c>
      <c r="K83" s="104">
        <f>HP_Power!H88</f>
        <v>0</v>
      </c>
      <c r="L83" s="104">
        <f>HP_Power!I88</f>
        <v>0</v>
      </c>
      <c r="M83" s="104">
        <f>HP_Power!J88</f>
        <v>0</v>
      </c>
      <c r="N83" s="104">
        <f>HP_Power!K88</f>
        <v>0</v>
      </c>
      <c r="O83" s="55">
        <f t="shared" si="12"/>
        <v>0</v>
      </c>
      <c r="P83" s="55">
        <f t="shared" si="13"/>
        <v>0</v>
      </c>
      <c r="Q83" s="55">
        <f t="shared" si="14"/>
        <v>0</v>
      </c>
    </row>
    <row r="84" spans="1:17" x14ac:dyDescent="0.2">
      <c r="A84" s="72">
        <v>74</v>
      </c>
      <c r="B84" s="59">
        <v>74</v>
      </c>
      <c r="C84" s="40">
        <f>HomeHeatDemand!F83</f>
        <v>0</v>
      </c>
      <c r="D84" s="40">
        <f>HomeHeatDemand!G83</f>
        <v>0</v>
      </c>
      <c r="E84" s="40">
        <f>HomeHeatDemand!H83</f>
        <v>0</v>
      </c>
      <c r="F84" s="40">
        <f>HP_Power!B89</f>
        <v>0</v>
      </c>
      <c r="G84" s="40">
        <f>HP_Power!C89</f>
        <v>0</v>
      </c>
      <c r="H84" s="40">
        <f>HP_Power!D89</f>
        <v>0</v>
      </c>
      <c r="I84" s="104">
        <f>HP_Power!F89</f>
        <v>0</v>
      </c>
      <c r="J84" s="104">
        <f>HP_Power!G89</f>
        <v>0</v>
      </c>
      <c r="K84" s="104">
        <f>HP_Power!H89</f>
        <v>0</v>
      </c>
      <c r="L84" s="104">
        <f>HP_Power!I89</f>
        <v>0</v>
      </c>
      <c r="M84" s="104">
        <f>HP_Power!J89</f>
        <v>0</v>
      </c>
      <c r="N84" s="104">
        <f>HP_Power!K89</f>
        <v>0</v>
      </c>
      <c r="O84" s="55">
        <f t="shared" si="12"/>
        <v>0</v>
      </c>
      <c r="P84" s="55">
        <f t="shared" si="13"/>
        <v>0</v>
      </c>
      <c r="Q84" s="55">
        <f t="shared" si="14"/>
        <v>0</v>
      </c>
    </row>
    <row r="85" spans="1:17" x14ac:dyDescent="0.2">
      <c r="A85" s="72">
        <v>75</v>
      </c>
      <c r="B85" s="59">
        <v>75</v>
      </c>
      <c r="C85" s="40">
        <f>HomeHeatDemand!F84</f>
        <v>0</v>
      </c>
      <c r="D85" s="40">
        <f>HomeHeatDemand!G84</f>
        <v>0</v>
      </c>
      <c r="E85" s="40">
        <f>HomeHeatDemand!H84</f>
        <v>0</v>
      </c>
      <c r="F85" s="40">
        <f>HP_Power!B90</f>
        <v>0</v>
      </c>
      <c r="G85" s="40">
        <f>HP_Power!C90</f>
        <v>0</v>
      </c>
      <c r="H85" s="40">
        <f>HP_Power!D90</f>
        <v>0</v>
      </c>
      <c r="I85" s="104">
        <f>HP_Power!F90</f>
        <v>0</v>
      </c>
      <c r="J85" s="104">
        <f>HP_Power!G90</f>
        <v>0</v>
      </c>
      <c r="K85" s="104">
        <f>HP_Power!H90</f>
        <v>0</v>
      </c>
      <c r="L85" s="104">
        <f>HP_Power!I90</f>
        <v>0</v>
      </c>
      <c r="M85" s="104">
        <f>HP_Power!J90</f>
        <v>0</v>
      </c>
      <c r="N85" s="104">
        <f>HP_Power!K90</f>
        <v>0</v>
      </c>
      <c r="O85" s="55">
        <f t="shared" si="12"/>
        <v>0</v>
      </c>
      <c r="P85" s="55">
        <f t="shared" si="13"/>
        <v>0</v>
      </c>
      <c r="Q85" s="55">
        <f t="shared" si="14"/>
        <v>0</v>
      </c>
    </row>
    <row r="86" spans="1:17" x14ac:dyDescent="0.2">
      <c r="A86" s="72">
        <v>76</v>
      </c>
      <c r="B86" s="59">
        <v>76</v>
      </c>
      <c r="C86" s="40">
        <f>HomeHeatDemand!F85</f>
        <v>0</v>
      </c>
      <c r="D86" s="40">
        <f>HomeHeatDemand!G85</f>
        <v>0</v>
      </c>
      <c r="E86" s="40">
        <f>HomeHeatDemand!H85</f>
        <v>0</v>
      </c>
      <c r="F86" s="40">
        <f>HP_Power!B91</f>
        <v>0</v>
      </c>
      <c r="G86" s="40">
        <f>HP_Power!C91</f>
        <v>0</v>
      </c>
      <c r="H86" s="40">
        <f>HP_Power!D91</f>
        <v>0</v>
      </c>
      <c r="I86" s="104">
        <f>HP_Power!F91</f>
        <v>0</v>
      </c>
      <c r="J86" s="104">
        <f>HP_Power!G91</f>
        <v>0</v>
      </c>
      <c r="K86" s="104">
        <f>HP_Power!H91</f>
        <v>0</v>
      </c>
      <c r="L86" s="104">
        <f>HP_Power!I91</f>
        <v>0</v>
      </c>
      <c r="M86" s="104">
        <f>HP_Power!J91</f>
        <v>0</v>
      </c>
      <c r="N86" s="104">
        <f>HP_Power!K91</f>
        <v>0</v>
      </c>
      <c r="O86" s="55">
        <f t="shared" si="12"/>
        <v>0</v>
      </c>
      <c r="P86" s="55">
        <f t="shared" si="13"/>
        <v>0</v>
      </c>
      <c r="Q86" s="55">
        <f t="shared" si="14"/>
        <v>0</v>
      </c>
    </row>
    <row r="87" spans="1:17" x14ac:dyDescent="0.2">
      <c r="A87" s="72">
        <v>77</v>
      </c>
      <c r="B87" s="59">
        <v>77</v>
      </c>
      <c r="C87" s="40">
        <f>HomeHeatDemand!F86</f>
        <v>0</v>
      </c>
      <c r="D87" s="40">
        <f>HomeHeatDemand!G86</f>
        <v>0</v>
      </c>
      <c r="E87" s="40">
        <f>HomeHeatDemand!H86</f>
        <v>0</v>
      </c>
      <c r="F87" s="40">
        <f>HP_Power!B92</f>
        <v>0</v>
      </c>
      <c r="G87" s="40">
        <f>HP_Power!C92</f>
        <v>0</v>
      </c>
      <c r="H87" s="40">
        <f>HP_Power!D92</f>
        <v>0</v>
      </c>
      <c r="I87" s="104">
        <f>HP_Power!F92</f>
        <v>0</v>
      </c>
      <c r="J87" s="104">
        <f>HP_Power!G92</f>
        <v>0</v>
      </c>
      <c r="K87" s="104">
        <f>HP_Power!H92</f>
        <v>0</v>
      </c>
      <c r="L87" s="104">
        <f>HP_Power!I92</f>
        <v>0</v>
      </c>
      <c r="M87" s="104">
        <f>HP_Power!J92</f>
        <v>0</v>
      </c>
      <c r="N87" s="104">
        <f>HP_Power!K92</f>
        <v>0</v>
      </c>
      <c r="O87" s="55">
        <f t="shared" si="12"/>
        <v>0</v>
      </c>
      <c r="P87" s="55">
        <f t="shared" si="13"/>
        <v>0</v>
      </c>
      <c r="Q87" s="55">
        <f t="shared" si="14"/>
        <v>0</v>
      </c>
    </row>
    <row r="88" spans="1:17" x14ac:dyDescent="0.2">
      <c r="A88" s="72">
        <v>78</v>
      </c>
      <c r="B88" s="59">
        <v>78</v>
      </c>
      <c r="C88" s="40">
        <f>HomeHeatDemand!F87</f>
        <v>0</v>
      </c>
      <c r="D88" s="40">
        <f>HomeHeatDemand!G87</f>
        <v>0</v>
      </c>
      <c r="E88" s="40">
        <f>HomeHeatDemand!H87</f>
        <v>0</v>
      </c>
      <c r="F88" s="40">
        <f>HP_Power!B93</f>
        <v>0</v>
      </c>
      <c r="G88" s="40">
        <f>HP_Power!C93</f>
        <v>0</v>
      </c>
      <c r="H88" s="40">
        <f>HP_Power!D93</f>
        <v>0</v>
      </c>
      <c r="I88" s="104">
        <f>HP_Power!F93</f>
        <v>0</v>
      </c>
      <c r="J88" s="104">
        <f>HP_Power!G93</f>
        <v>0</v>
      </c>
      <c r="K88" s="104">
        <f>HP_Power!H93</f>
        <v>0</v>
      </c>
      <c r="L88" s="104">
        <f>HP_Power!I93</f>
        <v>0</v>
      </c>
      <c r="M88" s="104">
        <f>HP_Power!J93</f>
        <v>0</v>
      </c>
      <c r="N88" s="104">
        <f>HP_Power!K93</f>
        <v>0</v>
      </c>
      <c r="O88" s="55">
        <f t="shared" si="12"/>
        <v>0</v>
      </c>
      <c r="P88" s="55">
        <f t="shared" si="13"/>
        <v>0</v>
      </c>
      <c r="Q88" s="55">
        <f t="shared" si="14"/>
        <v>0</v>
      </c>
    </row>
    <row r="89" spans="1:17" x14ac:dyDescent="0.2">
      <c r="A89" s="72">
        <v>79</v>
      </c>
      <c r="B89" s="59">
        <v>79</v>
      </c>
      <c r="C89" s="40">
        <f>HomeHeatDemand!F88</f>
        <v>3.4332694957598457</v>
      </c>
      <c r="D89" s="40">
        <f>HomeHeatDemand!G88</f>
        <v>1.8717327794185254</v>
      </c>
      <c r="E89" s="40">
        <f>HomeHeatDemand!H88</f>
        <v>0.32981104388639787</v>
      </c>
      <c r="F89" s="40">
        <f>HP_Power!B94</f>
        <v>0.74636293386083608</v>
      </c>
      <c r="G89" s="40">
        <f>HP_Power!C94</f>
        <v>0.34817321475331586</v>
      </c>
      <c r="H89" s="40">
        <f>HP_Power!D94</f>
        <v>5.4355139759513407E-2</v>
      </c>
      <c r="I89" s="104">
        <f>HP_Power!F94</f>
        <v>0.36139678902735217</v>
      </c>
      <c r="J89" s="104">
        <f>HP_Power!G94</f>
        <v>0.1970245030966869</v>
      </c>
      <c r="K89" s="104">
        <f>HP_Power!H94</f>
        <v>3.471695198804188E-2</v>
      </c>
      <c r="L89" s="104">
        <f>HP_Power!I94</f>
        <v>0.48220077187638283</v>
      </c>
      <c r="M89" s="104">
        <f>HP_Power!J94</f>
        <v>0.26288381733406258</v>
      </c>
      <c r="N89" s="104">
        <f>HP_Power!K94</f>
        <v>4.6321775826741275E-2</v>
      </c>
      <c r="O89" s="55">
        <f t="shared" si="12"/>
        <v>0.38224352251574223</v>
      </c>
      <c r="P89" s="55">
        <f t="shared" si="13"/>
        <v>0.21957685264482196</v>
      </c>
      <c r="Q89" s="55">
        <f t="shared" si="14"/>
        <v>4.6321775826741275E-2</v>
      </c>
    </row>
    <row r="90" spans="1:17" x14ac:dyDescent="0.2">
      <c r="A90" s="72">
        <v>80</v>
      </c>
      <c r="B90" s="59">
        <v>80</v>
      </c>
      <c r="C90" s="40">
        <f>HomeHeatDemand!F89</f>
        <v>3.4332694957598457</v>
      </c>
      <c r="D90" s="40">
        <f>HomeHeatDemand!G89</f>
        <v>1.8717327794185254</v>
      </c>
      <c r="E90" s="40">
        <f>HomeHeatDemand!H89</f>
        <v>0.32981104388639787</v>
      </c>
      <c r="F90" s="40">
        <f>HP_Power!B95</f>
        <v>0.74636293386083608</v>
      </c>
      <c r="G90" s="40">
        <f>HP_Power!C95</f>
        <v>0.34817321475331586</v>
      </c>
      <c r="H90" s="40">
        <f>HP_Power!D95</f>
        <v>5.4355139759513407E-2</v>
      </c>
      <c r="I90" s="104">
        <f>HP_Power!F95</f>
        <v>0.36139678902735217</v>
      </c>
      <c r="J90" s="104">
        <f>HP_Power!G95</f>
        <v>0.1970245030966869</v>
      </c>
      <c r="K90" s="104">
        <f>HP_Power!H95</f>
        <v>3.471695198804188E-2</v>
      </c>
      <c r="L90" s="104">
        <f>HP_Power!I95</f>
        <v>0.48220077187638283</v>
      </c>
      <c r="M90" s="104">
        <f>HP_Power!J95</f>
        <v>0.26288381733406258</v>
      </c>
      <c r="N90" s="104">
        <f>HP_Power!K95</f>
        <v>4.6321775826741275E-2</v>
      </c>
      <c r="O90" s="55">
        <f t="shared" si="12"/>
        <v>0.38224352251574223</v>
      </c>
      <c r="P90" s="55">
        <f t="shared" si="13"/>
        <v>0.21957685264482196</v>
      </c>
      <c r="Q90" s="55">
        <f t="shared" si="14"/>
        <v>4.6321775826741275E-2</v>
      </c>
    </row>
    <row r="91" spans="1:17" x14ac:dyDescent="0.2">
      <c r="A91" s="72">
        <v>81</v>
      </c>
      <c r="B91" s="59">
        <v>81</v>
      </c>
      <c r="C91" s="40">
        <f>HomeHeatDemand!F90</f>
        <v>3.4332694957598457</v>
      </c>
      <c r="D91" s="40">
        <f>HomeHeatDemand!G90</f>
        <v>1.8717327794185254</v>
      </c>
      <c r="E91" s="40">
        <f>HomeHeatDemand!H90</f>
        <v>0.32981104388639787</v>
      </c>
      <c r="F91" s="40">
        <f>HP_Power!B96</f>
        <v>0.74636293386083608</v>
      </c>
      <c r="G91" s="40">
        <f>HP_Power!C96</f>
        <v>0.34817321475331586</v>
      </c>
      <c r="H91" s="40">
        <f>HP_Power!D96</f>
        <v>5.4355139759513407E-2</v>
      </c>
      <c r="I91" s="104">
        <f>HP_Power!F96</f>
        <v>0.36139678902735217</v>
      </c>
      <c r="J91" s="104">
        <f>HP_Power!G96</f>
        <v>0.1970245030966869</v>
      </c>
      <c r="K91" s="104">
        <f>HP_Power!H96</f>
        <v>3.471695198804188E-2</v>
      </c>
      <c r="L91" s="104">
        <f>HP_Power!I96</f>
        <v>0.48220077187638283</v>
      </c>
      <c r="M91" s="104">
        <f>HP_Power!J96</f>
        <v>0.26288381733406258</v>
      </c>
      <c r="N91" s="104">
        <f>HP_Power!K96</f>
        <v>4.6321775826741275E-2</v>
      </c>
      <c r="O91" s="55">
        <f t="shared" si="12"/>
        <v>0.38224352251574223</v>
      </c>
      <c r="P91" s="55">
        <f t="shared" si="13"/>
        <v>0.21957685264482196</v>
      </c>
      <c r="Q91" s="55">
        <f t="shared" si="14"/>
        <v>4.6321775826741275E-2</v>
      </c>
    </row>
    <row r="92" spans="1:17" x14ac:dyDescent="0.2">
      <c r="A92" s="72">
        <v>82</v>
      </c>
      <c r="B92" s="59">
        <v>82</v>
      </c>
      <c r="C92" s="40">
        <f>HomeHeatDemand!F91</f>
        <v>3.4332694957598457</v>
      </c>
      <c r="D92" s="40">
        <f>HomeHeatDemand!G91</f>
        <v>1.8717327794185254</v>
      </c>
      <c r="E92" s="40">
        <f>HomeHeatDemand!H91</f>
        <v>0.32981104388639787</v>
      </c>
      <c r="F92" s="40">
        <f>HP_Power!B97</f>
        <v>0.74636293386083608</v>
      </c>
      <c r="G92" s="40">
        <f>HP_Power!C97</f>
        <v>0.34817321475331586</v>
      </c>
      <c r="H92" s="40">
        <f>HP_Power!D97</f>
        <v>5.4355139759513407E-2</v>
      </c>
      <c r="I92" s="104">
        <f>HP_Power!F97</f>
        <v>0.36139678902735217</v>
      </c>
      <c r="J92" s="104">
        <f>HP_Power!G97</f>
        <v>0.1970245030966869</v>
      </c>
      <c r="K92" s="104">
        <f>HP_Power!H97</f>
        <v>3.471695198804188E-2</v>
      </c>
      <c r="L92" s="104">
        <f>HP_Power!I97</f>
        <v>0.48220077187638283</v>
      </c>
      <c r="M92" s="104">
        <f>HP_Power!J97</f>
        <v>0.26288381733406258</v>
      </c>
      <c r="N92" s="104">
        <f>HP_Power!K97</f>
        <v>4.6321775826741275E-2</v>
      </c>
      <c r="O92" s="55">
        <f t="shared" si="12"/>
        <v>0.38224352251574223</v>
      </c>
      <c r="P92" s="55">
        <f t="shared" si="13"/>
        <v>0.21957685264482196</v>
      </c>
      <c r="Q92" s="55">
        <f t="shared" si="14"/>
        <v>4.6321775826741275E-2</v>
      </c>
    </row>
    <row r="93" spans="1:17" x14ac:dyDescent="0.2">
      <c r="A93" s="72">
        <v>83</v>
      </c>
      <c r="B93" s="59">
        <v>83</v>
      </c>
      <c r="C93" s="40">
        <f>HomeHeatDemand!F92</f>
        <v>3.4332694957598457</v>
      </c>
      <c r="D93" s="40">
        <f>HomeHeatDemand!G92</f>
        <v>1.8717327794185254</v>
      </c>
      <c r="E93" s="40">
        <f>HomeHeatDemand!H92</f>
        <v>0.32981104388639787</v>
      </c>
      <c r="F93" s="40">
        <f>HP_Power!B98</f>
        <v>0.74636293386083608</v>
      </c>
      <c r="G93" s="40">
        <f>HP_Power!C98</f>
        <v>0.34817321475331586</v>
      </c>
      <c r="H93" s="40">
        <f>HP_Power!D98</f>
        <v>5.4355139759513407E-2</v>
      </c>
      <c r="I93" s="104">
        <f>HP_Power!F98</f>
        <v>0.36139678902735217</v>
      </c>
      <c r="J93" s="104">
        <f>HP_Power!G98</f>
        <v>0.1970245030966869</v>
      </c>
      <c r="K93" s="104">
        <f>HP_Power!H98</f>
        <v>3.471695198804188E-2</v>
      </c>
      <c r="L93" s="104">
        <f>HP_Power!I98</f>
        <v>0.48220077187638283</v>
      </c>
      <c r="M93" s="104">
        <f>HP_Power!J98</f>
        <v>0.26288381733406258</v>
      </c>
      <c r="N93" s="104">
        <f>HP_Power!K98</f>
        <v>4.6321775826741275E-2</v>
      </c>
      <c r="O93" s="55">
        <f t="shared" si="12"/>
        <v>0.38224352251574223</v>
      </c>
      <c r="P93" s="55">
        <f t="shared" si="13"/>
        <v>0.21957685264482196</v>
      </c>
      <c r="Q93" s="55">
        <f t="shared" si="14"/>
        <v>4.6321775826741275E-2</v>
      </c>
    </row>
    <row r="94" spans="1:17" x14ac:dyDescent="0.2">
      <c r="A94" s="72">
        <v>84</v>
      </c>
      <c r="B94" s="59">
        <v>84</v>
      </c>
      <c r="C94" s="40">
        <f>HomeHeatDemand!F93</f>
        <v>3.4332694957598457</v>
      </c>
      <c r="D94" s="40">
        <f>HomeHeatDemand!G93</f>
        <v>1.8717327794185254</v>
      </c>
      <c r="E94" s="40">
        <f>HomeHeatDemand!H93</f>
        <v>0.32981104388639787</v>
      </c>
      <c r="F94" s="40">
        <f>HP_Power!B99</f>
        <v>0.74636293386083608</v>
      </c>
      <c r="G94" s="40">
        <f>HP_Power!C99</f>
        <v>0.34817321475331586</v>
      </c>
      <c r="H94" s="40">
        <f>HP_Power!D99</f>
        <v>5.4355139759513407E-2</v>
      </c>
      <c r="I94" s="104">
        <f>HP_Power!F99</f>
        <v>0.36139678902735217</v>
      </c>
      <c r="J94" s="104">
        <f>HP_Power!G99</f>
        <v>0.1970245030966869</v>
      </c>
      <c r="K94" s="104">
        <f>HP_Power!H99</f>
        <v>3.471695198804188E-2</v>
      </c>
      <c r="L94" s="104">
        <f>HP_Power!I99</f>
        <v>0.48220077187638283</v>
      </c>
      <c r="M94" s="104">
        <f>HP_Power!J99</f>
        <v>0.26288381733406258</v>
      </c>
      <c r="N94" s="104">
        <f>HP_Power!K99</f>
        <v>4.6321775826741275E-2</v>
      </c>
      <c r="O94" s="55">
        <f t="shared" si="12"/>
        <v>0.38224352251574223</v>
      </c>
      <c r="P94" s="55">
        <f t="shared" si="13"/>
        <v>0.21957685264482196</v>
      </c>
      <c r="Q94" s="55">
        <f t="shared" si="14"/>
        <v>4.6321775826741275E-2</v>
      </c>
    </row>
    <row r="95" spans="1:17" x14ac:dyDescent="0.2">
      <c r="A95" s="72">
        <v>85</v>
      </c>
      <c r="B95" s="59">
        <v>85</v>
      </c>
      <c r="C95" s="40">
        <f>HomeHeatDemand!F94</f>
        <v>3.4332694957598457</v>
      </c>
      <c r="D95" s="40">
        <f>HomeHeatDemand!G94</f>
        <v>1.8717327794185254</v>
      </c>
      <c r="E95" s="40">
        <f>HomeHeatDemand!H94</f>
        <v>0.32981104388639787</v>
      </c>
      <c r="F95" s="40">
        <f>HP_Power!B100</f>
        <v>0.74636293386083608</v>
      </c>
      <c r="G95" s="40">
        <f>HP_Power!C100</f>
        <v>0.34817321475331586</v>
      </c>
      <c r="H95" s="40">
        <f>HP_Power!D100</f>
        <v>5.4355139759513407E-2</v>
      </c>
      <c r="I95" s="104">
        <f>HP_Power!F100</f>
        <v>0.36139678902735217</v>
      </c>
      <c r="J95" s="104">
        <f>HP_Power!G100</f>
        <v>0.1970245030966869</v>
      </c>
      <c r="K95" s="104">
        <f>HP_Power!H100</f>
        <v>3.471695198804188E-2</v>
      </c>
      <c r="L95" s="104">
        <f>HP_Power!I100</f>
        <v>0.48220077187638283</v>
      </c>
      <c r="M95" s="104">
        <f>HP_Power!J100</f>
        <v>0.26288381733406258</v>
      </c>
      <c r="N95" s="104">
        <f>HP_Power!K100</f>
        <v>4.6321775826741275E-2</v>
      </c>
      <c r="O95" s="55">
        <f t="shared" si="12"/>
        <v>0.38224352251574223</v>
      </c>
      <c r="P95" s="55">
        <f t="shared" si="13"/>
        <v>0.21957685264482196</v>
      </c>
      <c r="Q95" s="55">
        <f t="shared" si="14"/>
        <v>4.6321775826741275E-2</v>
      </c>
    </row>
    <row r="96" spans="1:17" x14ac:dyDescent="0.2">
      <c r="A96" s="72">
        <v>86</v>
      </c>
      <c r="B96" s="59">
        <v>86</v>
      </c>
      <c r="C96" s="40">
        <f>HomeHeatDemand!F95</f>
        <v>3.4332694957598457</v>
      </c>
      <c r="D96" s="40">
        <f>HomeHeatDemand!G95</f>
        <v>1.8717327794185254</v>
      </c>
      <c r="E96" s="40">
        <f>HomeHeatDemand!H95</f>
        <v>0.32981104388639787</v>
      </c>
      <c r="F96" s="40">
        <f>HP_Power!B101</f>
        <v>0.74636293386083608</v>
      </c>
      <c r="G96" s="40">
        <f>HP_Power!C101</f>
        <v>0.34817321475331586</v>
      </c>
      <c r="H96" s="40">
        <f>HP_Power!D101</f>
        <v>5.4355139759513407E-2</v>
      </c>
      <c r="I96" s="104">
        <f>HP_Power!F101</f>
        <v>0.36139678902735217</v>
      </c>
      <c r="J96" s="104">
        <f>HP_Power!G101</f>
        <v>0.1970245030966869</v>
      </c>
      <c r="K96" s="104">
        <f>HP_Power!H101</f>
        <v>3.471695198804188E-2</v>
      </c>
      <c r="L96" s="104">
        <f>HP_Power!I101</f>
        <v>0.48220077187638283</v>
      </c>
      <c r="M96" s="104">
        <f>HP_Power!J101</f>
        <v>0.26288381733406258</v>
      </c>
      <c r="N96" s="104">
        <f>HP_Power!K101</f>
        <v>4.6321775826741275E-2</v>
      </c>
      <c r="O96" s="55">
        <f t="shared" si="12"/>
        <v>0.38224352251574223</v>
      </c>
      <c r="P96" s="55">
        <f t="shared" si="13"/>
        <v>0.21957685264482196</v>
      </c>
      <c r="Q96" s="55">
        <f t="shared" si="14"/>
        <v>4.6321775826741275E-2</v>
      </c>
    </row>
    <row r="97" spans="1:17" x14ac:dyDescent="0.2">
      <c r="A97" s="72">
        <v>87</v>
      </c>
      <c r="B97" s="59">
        <v>87</v>
      </c>
      <c r="C97" s="40">
        <f>HomeHeatDemand!F96</f>
        <v>3.4332694957598457</v>
      </c>
      <c r="D97" s="40">
        <f>HomeHeatDemand!G96</f>
        <v>1.8717327794185254</v>
      </c>
      <c r="E97" s="40">
        <f>HomeHeatDemand!H96</f>
        <v>0.32981104388639787</v>
      </c>
      <c r="F97" s="40">
        <f>HP_Power!B102</f>
        <v>0.74636293386083608</v>
      </c>
      <c r="G97" s="40">
        <f>HP_Power!C102</f>
        <v>0.34817321475331586</v>
      </c>
      <c r="H97" s="40">
        <f>HP_Power!D102</f>
        <v>5.4355139759513407E-2</v>
      </c>
      <c r="I97" s="104">
        <f>HP_Power!F102</f>
        <v>0.36139678902735217</v>
      </c>
      <c r="J97" s="104">
        <f>HP_Power!G102</f>
        <v>0.1970245030966869</v>
      </c>
      <c r="K97" s="104">
        <f>HP_Power!H102</f>
        <v>3.471695198804188E-2</v>
      </c>
      <c r="L97" s="104">
        <f>HP_Power!I102</f>
        <v>0.48220077187638283</v>
      </c>
      <c r="M97" s="104">
        <f>HP_Power!J102</f>
        <v>0.26288381733406258</v>
      </c>
      <c r="N97" s="104">
        <f>HP_Power!K102</f>
        <v>4.6321775826741275E-2</v>
      </c>
      <c r="O97" s="55">
        <f t="shared" si="12"/>
        <v>0.38224352251574223</v>
      </c>
      <c r="P97" s="55">
        <f t="shared" si="13"/>
        <v>0.21957685264482196</v>
      </c>
      <c r="Q97" s="55">
        <f t="shared" si="14"/>
        <v>4.6321775826741275E-2</v>
      </c>
    </row>
    <row r="98" spans="1:17" x14ac:dyDescent="0.2">
      <c r="A98" s="72">
        <v>88</v>
      </c>
      <c r="B98" s="59">
        <v>88</v>
      </c>
      <c r="C98" s="40">
        <f>HomeHeatDemand!F97</f>
        <v>3.4332694957598457</v>
      </c>
      <c r="D98" s="40">
        <f>HomeHeatDemand!G97</f>
        <v>1.8717327794185254</v>
      </c>
      <c r="E98" s="40">
        <f>HomeHeatDemand!H97</f>
        <v>0.32981104388639787</v>
      </c>
      <c r="F98" s="40">
        <f>HP_Power!B103</f>
        <v>0.74636293386083608</v>
      </c>
      <c r="G98" s="40">
        <f>HP_Power!C103</f>
        <v>0.34817321475331586</v>
      </c>
      <c r="H98" s="40">
        <f>HP_Power!D103</f>
        <v>5.4355139759513407E-2</v>
      </c>
      <c r="I98" s="104">
        <f>HP_Power!F103</f>
        <v>0.36139678902735217</v>
      </c>
      <c r="J98" s="104">
        <f>HP_Power!G103</f>
        <v>0.1970245030966869</v>
      </c>
      <c r="K98" s="104">
        <f>HP_Power!H103</f>
        <v>3.471695198804188E-2</v>
      </c>
      <c r="L98" s="104">
        <f>HP_Power!I103</f>
        <v>0.48220077187638283</v>
      </c>
      <c r="M98" s="104">
        <f>HP_Power!J103</f>
        <v>0.26288381733406258</v>
      </c>
      <c r="N98" s="104">
        <f>HP_Power!K103</f>
        <v>4.6321775826741275E-2</v>
      </c>
      <c r="O98" s="55">
        <f t="shared" si="12"/>
        <v>0.38224352251574223</v>
      </c>
      <c r="P98" s="55">
        <f t="shared" si="13"/>
        <v>0.21957685264482196</v>
      </c>
      <c r="Q98" s="55">
        <f t="shared" si="14"/>
        <v>4.6321775826741275E-2</v>
      </c>
    </row>
    <row r="99" spans="1:17" x14ac:dyDescent="0.2">
      <c r="A99" s="72">
        <v>89</v>
      </c>
      <c r="B99" s="59">
        <v>89</v>
      </c>
      <c r="C99" s="40">
        <f>HomeHeatDemand!F98</f>
        <v>3.4332694957598457</v>
      </c>
      <c r="D99" s="40">
        <f>HomeHeatDemand!G98</f>
        <v>1.8717327794185254</v>
      </c>
      <c r="E99" s="40">
        <f>HomeHeatDemand!H98</f>
        <v>0.32981104388639787</v>
      </c>
      <c r="F99" s="40">
        <f>HP_Power!B104</f>
        <v>0.74636293386083608</v>
      </c>
      <c r="G99" s="40">
        <f>HP_Power!C104</f>
        <v>0.34817321475331586</v>
      </c>
      <c r="H99" s="40">
        <f>HP_Power!D104</f>
        <v>5.4355139759513407E-2</v>
      </c>
      <c r="I99" s="104">
        <f>HP_Power!F104</f>
        <v>0.36139678902735217</v>
      </c>
      <c r="J99" s="104">
        <f>HP_Power!G104</f>
        <v>0.1970245030966869</v>
      </c>
      <c r="K99" s="104">
        <f>HP_Power!H104</f>
        <v>3.471695198804188E-2</v>
      </c>
      <c r="L99" s="104">
        <f>HP_Power!I104</f>
        <v>0.48220077187638283</v>
      </c>
      <c r="M99" s="104">
        <f>HP_Power!J104</f>
        <v>0.26288381733406258</v>
      </c>
      <c r="N99" s="104">
        <f>HP_Power!K104</f>
        <v>4.6321775826741275E-2</v>
      </c>
      <c r="O99" s="55">
        <f t="shared" si="12"/>
        <v>0.38224352251574223</v>
      </c>
      <c r="P99" s="55">
        <f t="shared" si="13"/>
        <v>0.21957685264482196</v>
      </c>
      <c r="Q99" s="55">
        <f t="shared" si="14"/>
        <v>4.6321775826741275E-2</v>
      </c>
    </row>
    <row r="100" spans="1:17" x14ac:dyDescent="0.2">
      <c r="A100" s="72">
        <v>90</v>
      </c>
      <c r="B100" s="59">
        <v>90</v>
      </c>
      <c r="C100" s="40">
        <f>HomeHeatDemand!F99</f>
        <v>3.4332694957598457</v>
      </c>
      <c r="D100" s="40">
        <f>HomeHeatDemand!G99</f>
        <v>1.8717327794185254</v>
      </c>
      <c r="E100" s="40">
        <f>HomeHeatDemand!H99</f>
        <v>0.32981104388639787</v>
      </c>
      <c r="F100" s="40">
        <f>HP_Power!B105</f>
        <v>0.74636293386083608</v>
      </c>
      <c r="G100" s="40">
        <f>HP_Power!C105</f>
        <v>0.34817321475331586</v>
      </c>
      <c r="H100" s="40">
        <f>HP_Power!D105</f>
        <v>5.4355139759513407E-2</v>
      </c>
      <c r="I100" s="104">
        <f>HP_Power!F105</f>
        <v>0.36139678902735217</v>
      </c>
      <c r="J100" s="104">
        <f>HP_Power!G105</f>
        <v>0.1970245030966869</v>
      </c>
      <c r="K100" s="104">
        <f>HP_Power!H105</f>
        <v>3.471695198804188E-2</v>
      </c>
      <c r="L100" s="104">
        <f>HP_Power!I105</f>
        <v>0.48220077187638283</v>
      </c>
      <c r="M100" s="104">
        <f>HP_Power!J105</f>
        <v>0.26288381733406258</v>
      </c>
      <c r="N100" s="104">
        <f>HP_Power!K105</f>
        <v>4.6321775826741275E-2</v>
      </c>
      <c r="O100" s="55">
        <f t="shared" si="12"/>
        <v>0.38224352251574223</v>
      </c>
      <c r="P100" s="55">
        <f t="shared" si="13"/>
        <v>0.21957685264482196</v>
      </c>
      <c r="Q100" s="55">
        <f t="shared" si="14"/>
        <v>4.6321775826741275E-2</v>
      </c>
    </row>
    <row r="101" spans="1:17" x14ac:dyDescent="0.2">
      <c r="A101" s="72">
        <v>91</v>
      </c>
      <c r="B101" s="59">
        <v>91</v>
      </c>
      <c r="C101" s="40">
        <f>HomeHeatDemand!F100</f>
        <v>3.4332694957598457</v>
      </c>
      <c r="D101" s="40">
        <f>HomeHeatDemand!G100</f>
        <v>1.8717327794185254</v>
      </c>
      <c r="E101" s="40">
        <f>HomeHeatDemand!H100</f>
        <v>0.32981104388639787</v>
      </c>
      <c r="F101" s="40">
        <f>HP_Power!B106</f>
        <v>0.74636293386083608</v>
      </c>
      <c r="G101" s="40">
        <f>HP_Power!C106</f>
        <v>0.34817321475331586</v>
      </c>
      <c r="H101" s="40">
        <f>HP_Power!D106</f>
        <v>5.4355139759513407E-2</v>
      </c>
      <c r="I101" s="104">
        <f>HP_Power!F106</f>
        <v>0.36139678902735217</v>
      </c>
      <c r="J101" s="104">
        <f>HP_Power!G106</f>
        <v>0.1970245030966869</v>
      </c>
      <c r="K101" s="104">
        <f>HP_Power!H106</f>
        <v>3.471695198804188E-2</v>
      </c>
      <c r="L101" s="104">
        <f>HP_Power!I106</f>
        <v>0.48220077187638283</v>
      </c>
      <c r="M101" s="104">
        <f>HP_Power!J106</f>
        <v>0.26288381733406258</v>
      </c>
      <c r="N101" s="104">
        <f>HP_Power!K106</f>
        <v>4.6321775826741275E-2</v>
      </c>
      <c r="O101" s="55">
        <f t="shared" si="12"/>
        <v>0.38224352251574223</v>
      </c>
      <c r="P101" s="55">
        <f t="shared" si="13"/>
        <v>0.21957685264482196</v>
      </c>
      <c r="Q101" s="55">
        <f t="shared" si="14"/>
        <v>4.6321775826741275E-2</v>
      </c>
    </row>
    <row r="102" spans="1:17" x14ac:dyDescent="0.2">
      <c r="A102" s="72">
        <v>92</v>
      </c>
      <c r="B102" s="59">
        <v>92</v>
      </c>
      <c r="C102" s="40">
        <f>HomeHeatDemand!F101</f>
        <v>3.4332694957598457</v>
      </c>
      <c r="D102" s="40">
        <f>HomeHeatDemand!G101</f>
        <v>1.8717327794185254</v>
      </c>
      <c r="E102" s="40">
        <f>HomeHeatDemand!H101</f>
        <v>0.32981104388639787</v>
      </c>
      <c r="F102" s="40">
        <f>HP_Power!B107</f>
        <v>0.74636293386083608</v>
      </c>
      <c r="G102" s="40">
        <f>HP_Power!C107</f>
        <v>0.34817321475331586</v>
      </c>
      <c r="H102" s="40">
        <f>HP_Power!D107</f>
        <v>5.4355139759513407E-2</v>
      </c>
      <c r="I102" s="104">
        <f>HP_Power!F107</f>
        <v>0.36139678902735217</v>
      </c>
      <c r="J102" s="104">
        <f>HP_Power!G107</f>
        <v>0.1970245030966869</v>
      </c>
      <c r="K102" s="104">
        <f>HP_Power!H107</f>
        <v>3.471695198804188E-2</v>
      </c>
      <c r="L102" s="104">
        <f>HP_Power!I107</f>
        <v>0.48220077187638283</v>
      </c>
      <c r="M102" s="104">
        <f>HP_Power!J107</f>
        <v>0.26288381733406258</v>
      </c>
      <c r="N102" s="104">
        <f>HP_Power!K107</f>
        <v>4.6321775826741275E-2</v>
      </c>
      <c r="O102" s="55">
        <f t="shared" si="12"/>
        <v>0.38224352251574223</v>
      </c>
      <c r="P102" s="55">
        <f t="shared" si="13"/>
        <v>0.21957685264482196</v>
      </c>
      <c r="Q102" s="55">
        <f t="shared" si="14"/>
        <v>4.6321775826741275E-2</v>
      </c>
    </row>
    <row r="103" spans="1:17" x14ac:dyDescent="0.2">
      <c r="A103" s="72">
        <v>93</v>
      </c>
      <c r="B103" s="59">
        <v>93</v>
      </c>
      <c r="C103" s="40">
        <f>HomeHeatDemand!F102</f>
        <v>3.4332694957598457</v>
      </c>
      <c r="D103" s="40">
        <f>HomeHeatDemand!G102</f>
        <v>1.8717327794185254</v>
      </c>
      <c r="E103" s="40">
        <f>HomeHeatDemand!H102</f>
        <v>0.32981104388639787</v>
      </c>
      <c r="F103" s="40">
        <f>HP_Power!B108</f>
        <v>0.74636293386083608</v>
      </c>
      <c r="G103" s="40">
        <f>HP_Power!C108</f>
        <v>0.34817321475331586</v>
      </c>
      <c r="H103" s="40">
        <f>HP_Power!D108</f>
        <v>5.4355139759513407E-2</v>
      </c>
      <c r="I103" s="104">
        <f>HP_Power!F108</f>
        <v>0.36139678902735217</v>
      </c>
      <c r="J103" s="104">
        <f>HP_Power!G108</f>
        <v>0.1970245030966869</v>
      </c>
      <c r="K103" s="104">
        <f>HP_Power!H108</f>
        <v>3.471695198804188E-2</v>
      </c>
      <c r="L103" s="104">
        <f>HP_Power!I108</f>
        <v>0.48220077187638283</v>
      </c>
      <c r="M103" s="104">
        <f>HP_Power!J108</f>
        <v>0.26288381733406258</v>
      </c>
      <c r="N103" s="104">
        <f>HP_Power!K108</f>
        <v>4.6321775826741275E-2</v>
      </c>
      <c r="O103" s="55">
        <f t="shared" si="12"/>
        <v>0.38224352251574223</v>
      </c>
      <c r="P103" s="55">
        <f t="shared" si="13"/>
        <v>0.21957685264482196</v>
      </c>
      <c r="Q103" s="55">
        <f t="shared" si="14"/>
        <v>4.6321775826741275E-2</v>
      </c>
    </row>
    <row r="104" spans="1:17" x14ac:dyDescent="0.2">
      <c r="A104" s="72">
        <v>94</v>
      </c>
      <c r="B104" s="59">
        <v>94</v>
      </c>
      <c r="C104" s="40">
        <f>HomeHeatDemand!F103</f>
        <v>3.4332694957598457</v>
      </c>
      <c r="D104" s="40">
        <f>HomeHeatDemand!G103</f>
        <v>1.8717327794185254</v>
      </c>
      <c r="E104" s="40">
        <f>HomeHeatDemand!H103</f>
        <v>0.32981104388639787</v>
      </c>
      <c r="F104" s="40">
        <f>HP_Power!B109</f>
        <v>0.74636293386083608</v>
      </c>
      <c r="G104" s="40">
        <f>HP_Power!C109</f>
        <v>0.34817321475331586</v>
      </c>
      <c r="H104" s="40">
        <f>HP_Power!D109</f>
        <v>5.4355139759513407E-2</v>
      </c>
      <c r="I104" s="104">
        <f>HP_Power!F109</f>
        <v>0.36139678902735217</v>
      </c>
      <c r="J104" s="104">
        <f>HP_Power!G109</f>
        <v>0.1970245030966869</v>
      </c>
      <c r="K104" s="104">
        <f>HP_Power!H109</f>
        <v>3.471695198804188E-2</v>
      </c>
      <c r="L104" s="104">
        <f>HP_Power!I109</f>
        <v>0.48220077187638283</v>
      </c>
      <c r="M104" s="104">
        <f>HP_Power!J109</f>
        <v>0.26288381733406258</v>
      </c>
      <c r="N104" s="104">
        <f>HP_Power!K109</f>
        <v>4.6321775826741275E-2</v>
      </c>
      <c r="O104" s="55">
        <f t="shared" si="12"/>
        <v>0.38224352251574223</v>
      </c>
      <c r="P104" s="55">
        <f t="shared" si="13"/>
        <v>0.21957685264482196</v>
      </c>
      <c r="Q104" s="55">
        <f t="shared" si="14"/>
        <v>4.6321775826741275E-2</v>
      </c>
    </row>
    <row r="105" spans="1:17" x14ac:dyDescent="0.2">
      <c r="A105" s="72">
        <v>95</v>
      </c>
      <c r="B105" s="59">
        <v>95</v>
      </c>
      <c r="C105" s="40">
        <f>HomeHeatDemand!F104</f>
        <v>0</v>
      </c>
      <c r="D105" s="40">
        <f>HomeHeatDemand!G104</f>
        <v>0</v>
      </c>
      <c r="E105" s="40">
        <f>HomeHeatDemand!H104</f>
        <v>0</v>
      </c>
      <c r="F105" s="40">
        <f>HP_Power!B110</f>
        <v>0</v>
      </c>
      <c r="G105" s="40">
        <f>HP_Power!C110</f>
        <v>0</v>
      </c>
      <c r="H105" s="40">
        <f>HP_Power!D110</f>
        <v>0</v>
      </c>
      <c r="I105" s="104">
        <f>HP_Power!F110</f>
        <v>0</v>
      </c>
      <c r="J105" s="104">
        <f>HP_Power!G110</f>
        <v>0</v>
      </c>
      <c r="K105" s="104">
        <f>HP_Power!H110</f>
        <v>0</v>
      </c>
      <c r="L105" s="104">
        <f>HP_Power!I110</f>
        <v>0</v>
      </c>
      <c r="M105" s="104">
        <f>HP_Power!J110</f>
        <v>0</v>
      </c>
      <c r="N105" s="104">
        <f>HP_Power!K110</f>
        <v>0</v>
      </c>
      <c r="O105" s="55">
        <f t="shared" si="12"/>
        <v>0</v>
      </c>
      <c r="P105" s="55">
        <f t="shared" si="13"/>
        <v>0</v>
      </c>
      <c r="Q105" s="55">
        <f t="shared" si="14"/>
        <v>0</v>
      </c>
    </row>
    <row r="106" spans="1:17" x14ac:dyDescent="0.2">
      <c r="A106" s="72">
        <v>96</v>
      </c>
      <c r="B106" s="59">
        <v>96</v>
      </c>
      <c r="C106" s="40">
        <f>HomeHeatDemand!F105</f>
        <v>0</v>
      </c>
      <c r="D106" s="40">
        <f>HomeHeatDemand!G105</f>
        <v>0</v>
      </c>
      <c r="E106" s="40">
        <f>HomeHeatDemand!H105</f>
        <v>0</v>
      </c>
      <c r="F106" s="40">
        <f>HP_Power!B111</f>
        <v>0</v>
      </c>
      <c r="G106" s="40">
        <f>HP_Power!C111</f>
        <v>0</v>
      </c>
      <c r="H106" s="40">
        <f>HP_Power!D111</f>
        <v>0</v>
      </c>
      <c r="I106" s="104">
        <f>HP_Power!F111</f>
        <v>0</v>
      </c>
      <c r="J106" s="104">
        <f>HP_Power!G111</f>
        <v>0</v>
      </c>
      <c r="K106" s="104">
        <f>HP_Power!H111</f>
        <v>0</v>
      </c>
      <c r="L106" s="104">
        <f>HP_Power!I111</f>
        <v>0</v>
      </c>
      <c r="M106" s="104">
        <f>HP_Power!J111</f>
        <v>0</v>
      </c>
      <c r="N106" s="104">
        <f>HP_Power!K111</f>
        <v>0</v>
      </c>
      <c r="O106" s="55">
        <f t="shared" si="12"/>
        <v>0</v>
      </c>
      <c r="P106" s="55">
        <f t="shared" si="13"/>
        <v>0</v>
      </c>
      <c r="Q106" s="55">
        <f t="shared" si="14"/>
        <v>0</v>
      </c>
    </row>
    <row r="107" spans="1:17" x14ac:dyDescent="0.2">
      <c r="A107" s="72">
        <v>97</v>
      </c>
      <c r="B107" s="59">
        <v>97</v>
      </c>
      <c r="C107" s="40">
        <f>HomeHeatDemand!F106</f>
        <v>0</v>
      </c>
      <c r="D107" s="40">
        <f>HomeHeatDemand!G106</f>
        <v>0</v>
      </c>
      <c r="E107" s="40">
        <f>HomeHeatDemand!H106</f>
        <v>0</v>
      </c>
      <c r="F107" s="40">
        <f>HP_Power!B112</f>
        <v>0</v>
      </c>
      <c r="G107" s="40">
        <f>HP_Power!C112</f>
        <v>0</v>
      </c>
      <c r="H107" s="40">
        <f>HP_Power!D112</f>
        <v>0</v>
      </c>
      <c r="I107" s="104">
        <f>HP_Power!F112</f>
        <v>0</v>
      </c>
      <c r="J107" s="104">
        <f>HP_Power!G112</f>
        <v>0</v>
      </c>
      <c r="K107" s="104">
        <f>HP_Power!H112</f>
        <v>0</v>
      </c>
      <c r="L107" s="104">
        <f>HP_Power!I112</f>
        <v>0</v>
      </c>
      <c r="M107" s="104">
        <f>HP_Power!J112</f>
        <v>0</v>
      </c>
      <c r="N107" s="104">
        <f>HP_Power!K112</f>
        <v>0</v>
      </c>
      <c r="O107" s="55">
        <f t="shared" si="12"/>
        <v>0</v>
      </c>
      <c r="P107" s="55">
        <f t="shared" si="13"/>
        <v>0</v>
      </c>
      <c r="Q107" s="55">
        <f t="shared" si="14"/>
        <v>0</v>
      </c>
    </row>
    <row r="108" spans="1:17" x14ac:dyDescent="0.2">
      <c r="A108" s="72">
        <v>98</v>
      </c>
      <c r="B108" s="59">
        <v>98</v>
      </c>
      <c r="C108" s="40">
        <f>HomeHeatDemand!F107</f>
        <v>0</v>
      </c>
      <c r="D108" s="40">
        <f>HomeHeatDemand!G107</f>
        <v>0</v>
      </c>
      <c r="E108" s="40">
        <f>HomeHeatDemand!H107</f>
        <v>0</v>
      </c>
      <c r="F108" s="40">
        <f>HP_Power!B113</f>
        <v>0</v>
      </c>
      <c r="G108" s="40">
        <f>HP_Power!C113</f>
        <v>0</v>
      </c>
      <c r="H108" s="40">
        <f>HP_Power!D113</f>
        <v>0</v>
      </c>
      <c r="I108" s="104">
        <f>HP_Power!F113</f>
        <v>0</v>
      </c>
      <c r="J108" s="104">
        <f>HP_Power!G113</f>
        <v>0</v>
      </c>
      <c r="K108" s="104">
        <f>HP_Power!H113</f>
        <v>0</v>
      </c>
      <c r="L108" s="104">
        <f>HP_Power!I113</f>
        <v>0</v>
      </c>
      <c r="M108" s="104">
        <f>HP_Power!J113</f>
        <v>0</v>
      </c>
      <c r="N108" s="104">
        <f>HP_Power!K113</f>
        <v>0</v>
      </c>
      <c r="O108" s="55">
        <f t="shared" si="12"/>
        <v>0</v>
      </c>
      <c r="P108" s="55">
        <f t="shared" si="13"/>
        <v>0</v>
      </c>
      <c r="Q108" s="55">
        <f t="shared" si="14"/>
        <v>0</v>
      </c>
    </row>
    <row r="109" spans="1:17" x14ac:dyDescent="0.2">
      <c r="A109" s="72">
        <v>99</v>
      </c>
      <c r="B109" s="59">
        <v>99</v>
      </c>
      <c r="C109" s="40">
        <f>HomeHeatDemand!F108</f>
        <v>0</v>
      </c>
      <c r="D109" s="40">
        <f>HomeHeatDemand!G108</f>
        <v>0</v>
      </c>
      <c r="E109" s="40">
        <f>HomeHeatDemand!H108</f>
        <v>0</v>
      </c>
      <c r="F109" s="40">
        <f>HP_Power!B114</f>
        <v>0</v>
      </c>
      <c r="G109" s="40">
        <f>HP_Power!C114</f>
        <v>0</v>
      </c>
      <c r="H109" s="40">
        <f>HP_Power!D114</f>
        <v>0</v>
      </c>
      <c r="I109" s="104">
        <f>HP_Power!F114</f>
        <v>0</v>
      </c>
      <c r="J109" s="104">
        <f>HP_Power!G114</f>
        <v>0</v>
      </c>
      <c r="K109" s="104">
        <f>HP_Power!H114</f>
        <v>0</v>
      </c>
      <c r="L109" s="104">
        <f>HP_Power!I114</f>
        <v>0</v>
      </c>
      <c r="M109" s="104">
        <f>HP_Power!J114</f>
        <v>0</v>
      </c>
      <c r="N109" s="104">
        <f>HP_Power!K114</f>
        <v>0</v>
      </c>
      <c r="O109" s="55">
        <f t="shared" si="12"/>
        <v>0</v>
      </c>
      <c r="P109" s="55">
        <f t="shared" si="13"/>
        <v>0</v>
      </c>
      <c r="Q109" s="55">
        <f t="shared" si="14"/>
        <v>0</v>
      </c>
    </row>
    <row r="110" spans="1:17" x14ac:dyDescent="0.2">
      <c r="A110" s="72">
        <v>100</v>
      </c>
      <c r="B110" s="59">
        <v>100</v>
      </c>
      <c r="C110" s="40">
        <f>HomeHeatDemand!F109</f>
        <v>0</v>
      </c>
      <c r="D110" s="40">
        <f>HomeHeatDemand!G109</f>
        <v>0</v>
      </c>
      <c r="E110" s="40">
        <f>HomeHeatDemand!H109</f>
        <v>0</v>
      </c>
      <c r="F110" s="40">
        <f>HP_Power!B115</f>
        <v>0</v>
      </c>
      <c r="G110" s="40">
        <f>HP_Power!C115</f>
        <v>0</v>
      </c>
      <c r="H110" s="40">
        <f>HP_Power!D115</f>
        <v>0</v>
      </c>
      <c r="I110" s="104">
        <f>HP_Power!F115</f>
        <v>0</v>
      </c>
      <c r="J110" s="104">
        <f>HP_Power!G115</f>
        <v>0</v>
      </c>
      <c r="K110" s="104">
        <f>HP_Power!H115</f>
        <v>0</v>
      </c>
      <c r="L110" s="104">
        <f>HP_Power!I115</f>
        <v>0</v>
      </c>
      <c r="M110" s="104">
        <f>HP_Power!J115</f>
        <v>0</v>
      </c>
      <c r="N110" s="104">
        <f>HP_Power!K115</f>
        <v>0</v>
      </c>
      <c r="O110" s="55">
        <f t="shared" si="12"/>
        <v>0</v>
      </c>
      <c r="P110" s="55">
        <f t="shared" si="13"/>
        <v>0</v>
      </c>
      <c r="Q110" s="55">
        <f t="shared" si="14"/>
        <v>0</v>
      </c>
    </row>
    <row r="111" spans="1:17" x14ac:dyDescent="0.2">
      <c r="A111" s="72">
        <v>101</v>
      </c>
      <c r="B111" s="59">
        <v>101</v>
      </c>
      <c r="C111" s="40">
        <f>HomeHeatDemand!F110</f>
        <v>0</v>
      </c>
      <c r="D111" s="40">
        <f>HomeHeatDemand!G110</f>
        <v>0</v>
      </c>
      <c r="E111" s="40">
        <f>HomeHeatDemand!H110</f>
        <v>0</v>
      </c>
      <c r="F111" s="40">
        <f>HP_Power!B116</f>
        <v>0</v>
      </c>
      <c r="G111" s="40">
        <f>HP_Power!C116</f>
        <v>0</v>
      </c>
      <c r="H111" s="40">
        <f>HP_Power!D116</f>
        <v>0</v>
      </c>
      <c r="I111" s="104">
        <f>HP_Power!F116</f>
        <v>0</v>
      </c>
      <c r="J111" s="104">
        <f>HP_Power!G116</f>
        <v>0</v>
      </c>
      <c r="K111" s="104">
        <f>HP_Power!H116</f>
        <v>0</v>
      </c>
      <c r="L111" s="104">
        <f>HP_Power!I116</f>
        <v>0</v>
      </c>
      <c r="M111" s="104">
        <f>HP_Power!J116</f>
        <v>0</v>
      </c>
      <c r="N111" s="104">
        <f>HP_Power!K116</f>
        <v>0</v>
      </c>
      <c r="O111" s="55">
        <f t="shared" si="12"/>
        <v>0</v>
      </c>
      <c r="P111" s="55">
        <f t="shared" si="13"/>
        <v>0</v>
      </c>
      <c r="Q111" s="55">
        <f t="shared" si="14"/>
        <v>0</v>
      </c>
    </row>
    <row r="112" spans="1:17" x14ac:dyDescent="0.2">
      <c r="A112" s="72">
        <v>102</v>
      </c>
      <c r="B112" s="59">
        <v>102</v>
      </c>
      <c r="C112" s="40">
        <f>HomeHeatDemand!F111</f>
        <v>0</v>
      </c>
      <c r="D112" s="40">
        <f>HomeHeatDemand!G111</f>
        <v>0</v>
      </c>
      <c r="E112" s="40">
        <f>HomeHeatDemand!H111</f>
        <v>0</v>
      </c>
      <c r="F112" s="40">
        <f>HP_Power!B117</f>
        <v>0</v>
      </c>
      <c r="G112" s="40">
        <f>HP_Power!C117</f>
        <v>0</v>
      </c>
      <c r="H112" s="40">
        <f>HP_Power!D117</f>
        <v>0</v>
      </c>
      <c r="I112" s="104">
        <f>HP_Power!F117</f>
        <v>0</v>
      </c>
      <c r="J112" s="104">
        <f>HP_Power!G117</f>
        <v>0</v>
      </c>
      <c r="K112" s="104">
        <f>HP_Power!H117</f>
        <v>0</v>
      </c>
      <c r="L112" s="104">
        <f>HP_Power!I117</f>
        <v>0</v>
      </c>
      <c r="M112" s="104">
        <f>HP_Power!J117</f>
        <v>0</v>
      </c>
      <c r="N112" s="104">
        <f>HP_Power!K117</f>
        <v>0</v>
      </c>
      <c r="O112" s="55">
        <f t="shared" si="12"/>
        <v>0</v>
      </c>
      <c r="P112" s="55">
        <f t="shared" si="13"/>
        <v>0</v>
      </c>
      <c r="Q112" s="55">
        <f t="shared" si="14"/>
        <v>0</v>
      </c>
    </row>
    <row r="113" spans="1:17" x14ac:dyDescent="0.2">
      <c r="A113" s="72">
        <v>103</v>
      </c>
      <c r="B113" s="59">
        <v>103</v>
      </c>
      <c r="C113" s="40">
        <f>HomeHeatDemand!F112</f>
        <v>3.4332694957598457</v>
      </c>
      <c r="D113" s="40">
        <f>HomeHeatDemand!G112</f>
        <v>1.8717327794185254</v>
      </c>
      <c r="E113" s="40">
        <f>HomeHeatDemand!H112</f>
        <v>0.32981104388639787</v>
      </c>
      <c r="F113" s="40">
        <f>HP_Power!B118</f>
        <v>0.74636293386083608</v>
      </c>
      <c r="G113" s="40">
        <f>HP_Power!C118</f>
        <v>0.34817321475331586</v>
      </c>
      <c r="H113" s="40">
        <f>HP_Power!D118</f>
        <v>5.4355139759513407E-2</v>
      </c>
      <c r="I113" s="104">
        <f>HP_Power!F118</f>
        <v>0.36139678902735217</v>
      </c>
      <c r="J113" s="104">
        <f>HP_Power!G118</f>
        <v>0.1970245030966869</v>
      </c>
      <c r="K113" s="104">
        <f>HP_Power!H118</f>
        <v>3.471695198804188E-2</v>
      </c>
      <c r="L113" s="104">
        <f>HP_Power!I118</f>
        <v>0.48220077187638283</v>
      </c>
      <c r="M113" s="104">
        <f>HP_Power!J118</f>
        <v>0.26288381733406258</v>
      </c>
      <c r="N113" s="104">
        <f>HP_Power!K118</f>
        <v>4.6321775826741275E-2</v>
      </c>
      <c r="O113" s="55">
        <f t="shared" si="12"/>
        <v>0.38224352251574223</v>
      </c>
      <c r="P113" s="55">
        <f t="shared" si="13"/>
        <v>0.21957685264482196</v>
      </c>
      <c r="Q113" s="55">
        <f t="shared" si="14"/>
        <v>4.6321775826741275E-2</v>
      </c>
    </row>
    <row r="114" spans="1:17" x14ac:dyDescent="0.2">
      <c r="A114" s="72">
        <v>104</v>
      </c>
      <c r="B114" s="59">
        <v>104</v>
      </c>
      <c r="C114" s="40">
        <f>HomeHeatDemand!F113</f>
        <v>3.4332694957598457</v>
      </c>
      <c r="D114" s="40">
        <f>HomeHeatDemand!G113</f>
        <v>1.8717327794185254</v>
      </c>
      <c r="E114" s="40">
        <f>HomeHeatDemand!H113</f>
        <v>0.32981104388639787</v>
      </c>
      <c r="F114" s="40">
        <f>HP_Power!B119</f>
        <v>0.74636293386083608</v>
      </c>
      <c r="G114" s="40">
        <f>HP_Power!C119</f>
        <v>0.34817321475331586</v>
      </c>
      <c r="H114" s="40">
        <f>HP_Power!D119</f>
        <v>5.4355139759513407E-2</v>
      </c>
      <c r="I114" s="104">
        <f>HP_Power!F119</f>
        <v>0.36139678902735217</v>
      </c>
      <c r="J114" s="104">
        <f>HP_Power!G119</f>
        <v>0.1970245030966869</v>
      </c>
      <c r="K114" s="104">
        <f>HP_Power!H119</f>
        <v>3.471695198804188E-2</v>
      </c>
      <c r="L114" s="104">
        <f>HP_Power!I119</f>
        <v>0.48220077187638283</v>
      </c>
      <c r="M114" s="104">
        <f>HP_Power!J119</f>
        <v>0.26288381733406258</v>
      </c>
      <c r="N114" s="104">
        <f>HP_Power!K119</f>
        <v>4.6321775826741275E-2</v>
      </c>
      <c r="O114" s="55">
        <f t="shared" si="12"/>
        <v>0.38224352251574223</v>
      </c>
      <c r="P114" s="55">
        <f t="shared" si="13"/>
        <v>0.21957685264482196</v>
      </c>
      <c r="Q114" s="55">
        <f t="shared" si="14"/>
        <v>4.6321775826741275E-2</v>
      </c>
    </row>
    <row r="115" spans="1:17" x14ac:dyDescent="0.2">
      <c r="A115" s="72">
        <v>105</v>
      </c>
      <c r="B115" s="59">
        <v>105</v>
      </c>
      <c r="C115" s="40">
        <f>HomeHeatDemand!F114</f>
        <v>3.4332694957598457</v>
      </c>
      <c r="D115" s="40">
        <f>HomeHeatDemand!G114</f>
        <v>1.8717327794185254</v>
      </c>
      <c r="E115" s="40">
        <f>HomeHeatDemand!H114</f>
        <v>0.32981104388639787</v>
      </c>
      <c r="F115" s="40">
        <f>HP_Power!B120</f>
        <v>0.74636293386083608</v>
      </c>
      <c r="G115" s="40">
        <f>HP_Power!C120</f>
        <v>0.34817321475331586</v>
      </c>
      <c r="H115" s="40">
        <f>HP_Power!D120</f>
        <v>5.4355139759513407E-2</v>
      </c>
      <c r="I115" s="104">
        <f>HP_Power!F120</f>
        <v>0.36139678902735217</v>
      </c>
      <c r="J115" s="104">
        <f>HP_Power!G120</f>
        <v>0.1970245030966869</v>
      </c>
      <c r="K115" s="104">
        <f>HP_Power!H120</f>
        <v>3.471695198804188E-2</v>
      </c>
      <c r="L115" s="104">
        <f>HP_Power!I120</f>
        <v>0.48220077187638283</v>
      </c>
      <c r="M115" s="104">
        <f>HP_Power!J120</f>
        <v>0.26288381733406258</v>
      </c>
      <c r="N115" s="104">
        <f>HP_Power!K120</f>
        <v>4.6321775826741275E-2</v>
      </c>
      <c r="O115" s="55">
        <f t="shared" si="12"/>
        <v>0.38224352251574223</v>
      </c>
      <c r="P115" s="55">
        <f t="shared" si="13"/>
        <v>0.21957685264482196</v>
      </c>
      <c r="Q115" s="55">
        <f t="shared" si="14"/>
        <v>4.6321775826741275E-2</v>
      </c>
    </row>
    <row r="116" spans="1:17" x14ac:dyDescent="0.2">
      <c r="A116" s="72">
        <v>106</v>
      </c>
      <c r="B116" s="59">
        <v>106</v>
      </c>
      <c r="C116" s="40">
        <f>HomeHeatDemand!F115</f>
        <v>3.4332694957598457</v>
      </c>
      <c r="D116" s="40">
        <f>HomeHeatDemand!G115</f>
        <v>1.8717327794185254</v>
      </c>
      <c r="E116" s="40">
        <f>HomeHeatDemand!H115</f>
        <v>0.32981104388639787</v>
      </c>
      <c r="F116" s="40">
        <f>HP_Power!B121</f>
        <v>0.74636293386083608</v>
      </c>
      <c r="G116" s="40">
        <f>HP_Power!C121</f>
        <v>0.34817321475331586</v>
      </c>
      <c r="H116" s="40">
        <f>HP_Power!D121</f>
        <v>5.4355139759513407E-2</v>
      </c>
      <c r="I116" s="104">
        <f>HP_Power!F121</f>
        <v>0.36139678902735217</v>
      </c>
      <c r="J116" s="104">
        <f>HP_Power!G121</f>
        <v>0.1970245030966869</v>
      </c>
      <c r="K116" s="104">
        <f>HP_Power!H121</f>
        <v>3.471695198804188E-2</v>
      </c>
      <c r="L116" s="104">
        <f>HP_Power!I121</f>
        <v>0.48220077187638283</v>
      </c>
      <c r="M116" s="104">
        <f>HP_Power!J121</f>
        <v>0.26288381733406258</v>
      </c>
      <c r="N116" s="104">
        <f>HP_Power!K121</f>
        <v>4.6321775826741275E-2</v>
      </c>
      <c r="O116" s="55">
        <f t="shared" si="12"/>
        <v>0.38224352251574223</v>
      </c>
      <c r="P116" s="55">
        <f t="shared" si="13"/>
        <v>0.21957685264482196</v>
      </c>
      <c r="Q116" s="55">
        <f t="shared" si="14"/>
        <v>4.6321775826741275E-2</v>
      </c>
    </row>
    <row r="117" spans="1:17" x14ac:dyDescent="0.2">
      <c r="A117" s="72">
        <v>107</v>
      </c>
      <c r="B117" s="59">
        <v>107</v>
      </c>
      <c r="C117" s="40">
        <f>HomeHeatDemand!F116</f>
        <v>3.4332694957598457</v>
      </c>
      <c r="D117" s="40">
        <f>HomeHeatDemand!G116</f>
        <v>1.8717327794185254</v>
      </c>
      <c r="E117" s="40">
        <f>HomeHeatDemand!H116</f>
        <v>0.32981104388639787</v>
      </c>
      <c r="F117" s="40">
        <f>HP_Power!B122</f>
        <v>0.74636293386083608</v>
      </c>
      <c r="G117" s="40">
        <f>HP_Power!C122</f>
        <v>0.34817321475331586</v>
      </c>
      <c r="H117" s="40">
        <f>HP_Power!D122</f>
        <v>5.4355139759513407E-2</v>
      </c>
      <c r="I117" s="104">
        <f>HP_Power!F122</f>
        <v>0.36139678902735217</v>
      </c>
      <c r="J117" s="104">
        <f>HP_Power!G122</f>
        <v>0.1970245030966869</v>
      </c>
      <c r="K117" s="104">
        <f>HP_Power!H122</f>
        <v>3.471695198804188E-2</v>
      </c>
      <c r="L117" s="104">
        <f>HP_Power!I122</f>
        <v>0.48220077187638283</v>
      </c>
      <c r="M117" s="104">
        <f>HP_Power!J122</f>
        <v>0.26288381733406258</v>
      </c>
      <c r="N117" s="104">
        <f>HP_Power!K122</f>
        <v>4.6321775826741275E-2</v>
      </c>
      <c r="O117" s="55">
        <f t="shared" si="12"/>
        <v>0.38224352251574223</v>
      </c>
      <c r="P117" s="55">
        <f t="shared" si="13"/>
        <v>0.21957685264482196</v>
      </c>
      <c r="Q117" s="55">
        <f t="shared" si="14"/>
        <v>4.6321775826741275E-2</v>
      </c>
    </row>
    <row r="118" spans="1:17" x14ac:dyDescent="0.2">
      <c r="A118" s="72">
        <v>108</v>
      </c>
      <c r="B118" s="59">
        <v>108</v>
      </c>
      <c r="C118" s="40">
        <f>HomeHeatDemand!F117</f>
        <v>3.4332694957598457</v>
      </c>
      <c r="D118" s="40">
        <f>HomeHeatDemand!G117</f>
        <v>1.8717327794185254</v>
      </c>
      <c r="E118" s="40">
        <f>HomeHeatDemand!H117</f>
        <v>0.32981104388639787</v>
      </c>
      <c r="F118" s="40">
        <f>HP_Power!B123</f>
        <v>0.74636293386083608</v>
      </c>
      <c r="G118" s="40">
        <f>HP_Power!C123</f>
        <v>0.34817321475331586</v>
      </c>
      <c r="H118" s="40">
        <f>HP_Power!D123</f>
        <v>5.4355139759513407E-2</v>
      </c>
      <c r="I118" s="104">
        <f>HP_Power!F123</f>
        <v>0.36139678902735217</v>
      </c>
      <c r="J118" s="104">
        <f>HP_Power!G123</f>
        <v>0.1970245030966869</v>
      </c>
      <c r="K118" s="104">
        <f>HP_Power!H123</f>
        <v>3.471695198804188E-2</v>
      </c>
      <c r="L118" s="104">
        <f>HP_Power!I123</f>
        <v>0.48220077187638283</v>
      </c>
      <c r="M118" s="104">
        <f>HP_Power!J123</f>
        <v>0.26288381733406258</v>
      </c>
      <c r="N118" s="104">
        <f>HP_Power!K123</f>
        <v>4.6321775826741275E-2</v>
      </c>
      <c r="O118" s="55">
        <f t="shared" si="12"/>
        <v>0.38224352251574223</v>
      </c>
      <c r="P118" s="55">
        <f t="shared" si="13"/>
        <v>0.21957685264482196</v>
      </c>
      <c r="Q118" s="55">
        <f t="shared" si="14"/>
        <v>4.6321775826741275E-2</v>
      </c>
    </row>
    <row r="119" spans="1:17" x14ac:dyDescent="0.2">
      <c r="A119" s="72">
        <v>109</v>
      </c>
      <c r="B119" s="59">
        <v>109</v>
      </c>
      <c r="C119" s="40">
        <f>HomeHeatDemand!F118</f>
        <v>3.4332694957598457</v>
      </c>
      <c r="D119" s="40">
        <f>HomeHeatDemand!G118</f>
        <v>1.8717327794185254</v>
      </c>
      <c r="E119" s="40">
        <f>HomeHeatDemand!H118</f>
        <v>0.32981104388639787</v>
      </c>
      <c r="F119" s="40">
        <f>HP_Power!B124</f>
        <v>0.74636293386083608</v>
      </c>
      <c r="G119" s="40">
        <f>HP_Power!C124</f>
        <v>0.34817321475331586</v>
      </c>
      <c r="H119" s="40">
        <f>HP_Power!D124</f>
        <v>5.4355139759513407E-2</v>
      </c>
      <c r="I119" s="104">
        <f>HP_Power!F124</f>
        <v>0.36139678902735217</v>
      </c>
      <c r="J119" s="104">
        <f>HP_Power!G124</f>
        <v>0.1970245030966869</v>
      </c>
      <c r="K119" s="104">
        <f>HP_Power!H124</f>
        <v>3.471695198804188E-2</v>
      </c>
      <c r="L119" s="104">
        <f>HP_Power!I124</f>
        <v>0.48220077187638283</v>
      </c>
      <c r="M119" s="104">
        <f>HP_Power!J124</f>
        <v>0.26288381733406258</v>
      </c>
      <c r="N119" s="104">
        <f>HP_Power!K124</f>
        <v>4.6321775826741275E-2</v>
      </c>
      <c r="O119" s="55">
        <f t="shared" si="12"/>
        <v>0.38224352251574223</v>
      </c>
      <c r="P119" s="55">
        <f t="shared" si="13"/>
        <v>0.21957685264482196</v>
      </c>
      <c r="Q119" s="55">
        <f t="shared" si="14"/>
        <v>4.6321775826741275E-2</v>
      </c>
    </row>
    <row r="120" spans="1:17" x14ac:dyDescent="0.2">
      <c r="A120" s="72">
        <v>110</v>
      </c>
      <c r="B120" s="59">
        <v>110</v>
      </c>
      <c r="C120" s="40">
        <f>HomeHeatDemand!F119</f>
        <v>3.4332694957598457</v>
      </c>
      <c r="D120" s="40">
        <f>HomeHeatDemand!G119</f>
        <v>1.8717327794185254</v>
      </c>
      <c r="E120" s="40">
        <f>HomeHeatDemand!H119</f>
        <v>0.32981104388639787</v>
      </c>
      <c r="F120" s="40">
        <f>HP_Power!B125</f>
        <v>0.74636293386083608</v>
      </c>
      <c r="G120" s="40">
        <f>HP_Power!C125</f>
        <v>0.34817321475331586</v>
      </c>
      <c r="H120" s="40">
        <f>HP_Power!D125</f>
        <v>5.4355139759513407E-2</v>
      </c>
      <c r="I120" s="104">
        <f>HP_Power!F125</f>
        <v>0.36139678902735217</v>
      </c>
      <c r="J120" s="104">
        <f>HP_Power!G125</f>
        <v>0.1970245030966869</v>
      </c>
      <c r="K120" s="104">
        <f>HP_Power!H125</f>
        <v>3.471695198804188E-2</v>
      </c>
      <c r="L120" s="104">
        <f>HP_Power!I125</f>
        <v>0.48220077187638283</v>
      </c>
      <c r="M120" s="104">
        <f>HP_Power!J125</f>
        <v>0.26288381733406258</v>
      </c>
      <c r="N120" s="104">
        <f>HP_Power!K125</f>
        <v>4.6321775826741275E-2</v>
      </c>
      <c r="O120" s="55">
        <f t="shared" si="12"/>
        <v>0.38224352251574223</v>
      </c>
      <c r="P120" s="55">
        <f t="shared" si="13"/>
        <v>0.21957685264482196</v>
      </c>
      <c r="Q120" s="55">
        <f t="shared" si="14"/>
        <v>4.6321775826741275E-2</v>
      </c>
    </row>
    <row r="121" spans="1:17" x14ac:dyDescent="0.2">
      <c r="A121" s="72">
        <v>111</v>
      </c>
      <c r="B121" s="59">
        <v>111</v>
      </c>
      <c r="C121" s="40">
        <f>HomeHeatDemand!F120</f>
        <v>3.4332694957598457</v>
      </c>
      <c r="D121" s="40">
        <f>HomeHeatDemand!G120</f>
        <v>1.8717327794185254</v>
      </c>
      <c r="E121" s="40">
        <f>HomeHeatDemand!H120</f>
        <v>0.32981104388639787</v>
      </c>
      <c r="F121" s="40">
        <f>HP_Power!B126</f>
        <v>0.74636293386083608</v>
      </c>
      <c r="G121" s="40">
        <f>HP_Power!C126</f>
        <v>0.34817321475331586</v>
      </c>
      <c r="H121" s="40">
        <f>HP_Power!D126</f>
        <v>5.4355139759513407E-2</v>
      </c>
      <c r="I121" s="104">
        <f>HP_Power!F126</f>
        <v>0.36139678902735217</v>
      </c>
      <c r="J121" s="104">
        <f>HP_Power!G126</f>
        <v>0.1970245030966869</v>
      </c>
      <c r="K121" s="104">
        <f>HP_Power!H126</f>
        <v>3.471695198804188E-2</v>
      </c>
      <c r="L121" s="104">
        <f>HP_Power!I126</f>
        <v>0.48220077187638283</v>
      </c>
      <c r="M121" s="104">
        <f>HP_Power!J126</f>
        <v>0.26288381733406258</v>
      </c>
      <c r="N121" s="104">
        <f>HP_Power!K126</f>
        <v>4.6321775826741275E-2</v>
      </c>
      <c r="O121" s="55">
        <f t="shared" si="12"/>
        <v>0.38224352251574223</v>
      </c>
      <c r="P121" s="55">
        <f t="shared" si="13"/>
        <v>0.21957685264482196</v>
      </c>
      <c r="Q121" s="55">
        <f t="shared" si="14"/>
        <v>4.6321775826741275E-2</v>
      </c>
    </row>
    <row r="122" spans="1:17" x14ac:dyDescent="0.2">
      <c r="A122" s="72">
        <v>112</v>
      </c>
      <c r="B122" s="59">
        <v>112</v>
      </c>
      <c r="C122" s="40">
        <f>HomeHeatDemand!F121</f>
        <v>3.4332694957598457</v>
      </c>
      <c r="D122" s="40">
        <f>HomeHeatDemand!G121</f>
        <v>1.8717327794185254</v>
      </c>
      <c r="E122" s="40">
        <f>HomeHeatDemand!H121</f>
        <v>0.32981104388639787</v>
      </c>
      <c r="F122" s="40">
        <f>HP_Power!B127</f>
        <v>0.74636293386083608</v>
      </c>
      <c r="G122" s="40">
        <f>HP_Power!C127</f>
        <v>0.34817321475331586</v>
      </c>
      <c r="H122" s="40">
        <f>HP_Power!D127</f>
        <v>5.4355139759513407E-2</v>
      </c>
      <c r="I122" s="104">
        <f>HP_Power!F127</f>
        <v>0.36139678902735217</v>
      </c>
      <c r="J122" s="104">
        <f>HP_Power!G127</f>
        <v>0.1970245030966869</v>
      </c>
      <c r="K122" s="104">
        <f>HP_Power!H127</f>
        <v>3.471695198804188E-2</v>
      </c>
      <c r="L122" s="104">
        <f>HP_Power!I127</f>
        <v>0.48220077187638283</v>
      </c>
      <c r="M122" s="104">
        <f>HP_Power!J127</f>
        <v>0.26288381733406258</v>
      </c>
      <c r="N122" s="104">
        <f>HP_Power!K127</f>
        <v>4.6321775826741275E-2</v>
      </c>
      <c r="O122" s="55">
        <f t="shared" si="12"/>
        <v>0.38224352251574223</v>
      </c>
      <c r="P122" s="55">
        <f t="shared" si="13"/>
        <v>0.21957685264482196</v>
      </c>
      <c r="Q122" s="55">
        <f t="shared" si="14"/>
        <v>4.6321775826741275E-2</v>
      </c>
    </row>
    <row r="123" spans="1:17" x14ac:dyDescent="0.2">
      <c r="A123" s="72">
        <v>113</v>
      </c>
      <c r="B123" s="59">
        <v>113</v>
      </c>
      <c r="C123" s="40">
        <f>HomeHeatDemand!F122</f>
        <v>3.4332694957598457</v>
      </c>
      <c r="D123" s="40">
        <f>HomeHeatDemand!G122</f>
        <v>1.8717327794185254</v>
      </c>
      <c r="E123" s="40">
        <f>HomeHeatDemand!H122</f>
        <v>0.32981104388639787</v>
      </c>
      <c r="F123" s="40">
        <f>HP_Power!B128</f>
        <v>0.74636293386083608</v>
      </c>
      <c r="G123" s="40">
        <f>HP_Power!C128</f>
        <v>0.34817321475331586</v>
      </c>
      <c r="H123" s="40">
        <f>HP_Power!D128</f>
        <v>5.4355139759513407E-2</v>
      </c>
      <c r="I123" s="104">
        <f>HP_Power!F128</f>
        <v>0.36139678902735217</v>
      </c>
      <c r="J123" s="104">
        <f>HP_Power!G128</f>
        <v>0.1970245030966869</v>
      </c>
      <c r="K123" s="104">
        <f>HP_Power!H128</f>
        <v>3.471695198804188E-2</v>
      </c>
      <c r="L123" s="104">
        <f>HP_Power!I128</f>
        <v>0.48220077187638283</v>
      </c>
      <c r="M123" s="104">
        <f>HP_Power!J128</f>
        <v>0.26288381733406258</v>
      </c>
      <c r="N123" s="104">
        <f>HP_Power!K128</f>
        <v>4.6321775826741275E-2</v>
      </c>
      <c r="O123" s="55">
        <f t="shared" si="12"/>
        <v>0.38224352251574223</v>
      </c>
      <c r="P123" s="55">
        <f t="shared" si="13"/>
        <v>0.21957685264482196</v>
      </c>
      <c r="Q123" s="55">
        <f t="shared" si="14"/>
        <v>4.6321775826741275E-2</v>
      </c>
    </row>
    <row r="124" spans="1:17" x14ac:dyDescent="0.2">
      <c r="A124" s="72">
        <v>114</v>
      </c>
      <c r="B124" s="59">
        <v>114</v>
      </c>
      <c r="C124" s="40">
        <f>HomeHeatDemand!F123</f>
        <v>3.4332694957598457</v>
      </c>
      <c r="D124" s="40">
        <f>HomeHeatDemand!G123</f>
        <v>1.8717327794185254</v>
      </c>
      <c r="E124" s="40">
        <f>HomeHeatDemand!H123</f>
        <v>0.32981104388639787</v>
      </c>
      <c r="F124" s="40">
        <f>HP_Power!B129</f>
        <v>0.74636293386083608</v>
      </c>
      <c r="G124" s="40">
        <f>HP_Power!C129</f>
        <v>0.34817321475331586</v>
      </c>
      <c r="H124" s="40">
        <f>HP_Power!D129</f>
        <v>5.4355139759513407E-2</v>
      </c>
      <c r="I124" s="104">
        <f>HP_Power!F129</f>
        <v>0.36139678902735217</v>
      </c>
      <c r="J124" s="104">
        <f>HP_Power!G129</f>
        <v>0.1970245030966869</v>
      </c>
      <c r="K124" s="104">
        <f>HP_Power!H129</f>
        <v>3.471695198804188E-2</v>
      </c>
      <c r="L124" s="104">
        <f>HP_Power!I129</f>
        <v>0.48220077187638283</v>
      </c>
      <c r="M124" s="104">
        <f>HP_Power!J129</f>
        <v>0.26288381733406258</v>
      </c>
      <c r="N124" s="104">
        <f>HP_Power!K129</f>
        <v>4.6321775826741275E-2</v>
      </c>
      <c r="O124" s="55">
        <f t="shared" si="12"/>
        <v>0.38224352251574223</v>
      </c>
      <c r="P124" s="55">
        <f t="shared" si="13"/>
        <v>0.21957685264482196</v>
      </c>
      <c r="Q124" s="55">
        <f t="shared" si="14"/>
        <v>4.6321775826741275E-2</v>
      </c>
    </row>
    <row r="125" spans="1:17" x14ac:dyDescent="0.2">
      <c r="A125" s="72">
        <v>115</v>
      </c>
      <c r="B125" s="59">
        <v>115</v>
      </c>
      <c r="C125" s="40">
        <f>HomeHeatDemand!F124</f>
        <v>3.4332694957598457</v>
      </c>
      <c r="D125" s="40">
        <f>HomeHeatDemand!G124</f>
        <v>1.8717327794185254</v>
      </c>
      <c r="E125" s="40">
        <f>HomeHeatDemand!H124</f>
        <v>0.32981104388639787</v>
      </c>
      <c r="F125" s="40">
        <f>HP_Power!B130</f>
        <v>0.74636293386083608</v>
      </c>
      <c r="G125" s="40">
        <f>HP_Power!C130</f>
        <v>0.34817321475331586</v>
      </c>
      <c r="H125" s="40">
        <f>HP_Power!D130</f>
        <v>5.4355139759513407E-2</v>
      </c>
      <c r="I125" s="104">
        <f>HP_Power!F130</f>
        <v>0.36139678902735217</v>
      </c>
      <c r="J125" s="104">
        <f>HP_Power!G130</f>
        <v>0.1970245030966869</v>
      </c>
      <c r="K125" s="104">
        <f>HP_Power!H130</f>
        <v>3.471695198804188E-2</v>
      </c>
      <c r="L125" s="104">
        <f>HP_Power!I130</f>
        <v>0.48220077187638283</v>
      </c>
      <c r="M125" s="104">
        <f>HP_Power!J130</f>
        <v>0.26288381733406258</v>
      </c>
      <c r="N125" s="104">
        <f>HP_Power!K130</f>
        <v>4.6321775826741275E-2</v>
      </c>
      <c r="O125" s="55">
        <f t="shared" si="12"/>
        <v>0.38224352251574223</v>
      </c>
      <c r="P125" s="55">
        <f t="shared" si="13"/>
        <v>0.21957685264482196</v>
      </c>
      <c r="Q125" s="55">
        <f t="shared" si="14"/>
        <v>4.6321775826741275E-2</v>
      </c>
    </row>
    <row r="126" spans="1:17" x14ac:dyDescent="0.2">
      <c r="A126" s="72">
        <v>116</v>
      </c>
      <c r="B126" s="59">
        <v>116</v>
      </c>
      <c r="C126" s="40">
        <f>HomeHeatDemand!F125</f>
        <v>3.4332694957598457</v>
      </c>
      <c r="D126" s="40">
        <f>HomeHeatDemand!G125</f>
        <v>1.8717327794185254</v>
      </c>
      <c r="E126" s="40">
        <f>HomeHeatDemand!H125</f>
        <v>0.32981104388639787</v>
      </c>
      <c r="F126" s="40">
        <f>HP_Power!B131</f>
        <v>0.74636293386083608</v>
      </c>
      <c r="G126" s="40">
        <f>HP_Power!C131</f>
        <v>0.34817321475331586</v>
      </c>
      <c r="H126" s="40">
        <f>HP_Power!D131</f>
        <v>5.4355139759513407E-2</v>
      </c>
      <c r="I126" s="104">
        <f>HP_Power!F131</f>
        <v>0.36139678902735217</v>
      </c>
      <c r="J126" s="104">
        <f>HP_Power!G131</f>
        <v>0.1970245030966869</v>
      </c>
      <c r="K126" s="104">
        <f>HP_Power!H131</f>
        <v>3.471695198804188E-2</v>
      </c>
      <c r="L126" s="104">
        <f>HP_Power!I131</f>
        <v>0.48220077187638283</v>
      </c>
      <c r="M126" s="104">
        <f>HP_Power!J131</f>
        <v>0.26288381733406258</v>
      </c>
      <c r="N126" s="104">
        <f>HP_Power!K131</f>
        <v>4.6321775826741275E-2</v>
      </c>
      <c r="O126" s="55">
        <f t="shared" si="12"/>
        <v>0.38224352251574223</v>
      </c>
      <c r="P126" s="55">
        <f t="shared" si="13"/>
        <v>0.21957685264482196</v>
      </c>
      <c r="Q126" s="55">
        <f t="shared" si="14"/>
        <v>4.6321775826741275E-2</v>
      </c>
    </row>
    <row r="127" spans="1:17" x14ac:dyDescent="0.2">
      <c r="A127" s="72">
        <v>117</v>
      </c>
      <c r="B127" s="59">
        <v>117</v>
      </c>
      <c r="C127" s="40">
        <f>HomeHeatDemand!F126</f>
        <v>3.4332694957598457</v>
      </c>
      <c r="D127" s="40">
        <f>HomeHeatDemand!G126</f>
        <v>1.8717327794185254</v>
      </c>
      <c r="E127" s="40">
        <f>HomeHeatDemand!H126</f>
        <v>0.32981104388639787</v>
      </c>
      <c r="F127" s="40">
        <f>HP_Power!B132</f>
        <v>0.74636293386083608</v>
      </c>
      <c r="G127" s="40">
        <f>HP_Power!C132</f>
        <v>0.34817321475331586</v>
      </c>
      <c r="H127" s="40">
        <f>HP_Power!D132</f>
        <v>5.4355139759513407E-2</v>
      </c>
      <c r="I127" s="104">
        <f>HP_Power!F132</f>
        <v>0.36139678902735217</v>
      </c>
      <c r="J127" s="104">
        <f>HP_Power!G132</f>
        <v>0.1970245030966869</v>
      </c>
      <c r="K127" s="104">
        <f>HP_Power!H132</f>
        <v>3.471695198804188E-2</v>
      </c>
      <c r="L127" s="104">
        <f>HP_Power!I132</f>
        <v>0.48220077187638283</v>
      </c>
      <c r="M127" s="104">
        <f>HP_Power!J132</f>
        <v>0.26288381733406258</v>
      </c>
      <c r="N127" s="104">
        <f>HP_Power!K132</f>
        <v>4.6321775826741275E-2</v>
      </c>
      <c r="O127" s="55">
        <f t="shared" si="12"/>
        <v>0.38224352251574223</v>
      </c>
      <c r="P127" s="55">
        <f t="shared" si="13"/>
        <v>0.21957685264482196</v>
      </c>
      <c r="Q127" s="55">
        <f t="shared" si="14"/>
        <v>4.6321775826741275E-2</v>
      </c>
    </row>
    <row r="128" spans="1:17" x14ac:dyDescent="0.2">
      <c r="A128" s="72">
        <v>118</v>
      </c>
      <c r="B128" s="59">
        <v>118</v>
      </c>
      <c r="C128" s="40">
        <f>HomeHeatDemand!F127</f>
        <v>3.4332694957598457</v>
      </c>
      <c r="D128" s="40">
        <f>HomeHeatDemand!G127</f>
        <v>1.8717327794185254</v>
      </c>
      <c r="E128" s="40">
        <f>HomeHeatDemand!H127</f>
        <v>0.32981104388639787</v>
      </c>
      <c r="F128" s="40">
        <f>HP_Power!B133</f>
        <v>0.74636293386083608</v>
      </c>
      <c r="G128" s="40">
        <f>HP_Power!C133</f>
        <v>0.34817321475331586</v>
      </c>
      <c r="H128" s="40">
        <f>HP_Power!D133</f>
        <v>5.4355139759513407E-2</v>
      </c>
      <c r="I128" s="104">
        <f>HP_Power!F133</f>
        <v>0.36139678902735217</v>
      </c>
      <c r="J128" s="104">
        <f>HP_Power!G133</f>
        <v>0.1970245030966869</v>
      </c>
      <c r="K128" s="104">
        <f>HP_Power!H133</f>
        <v>3.471695198804188E-2</v>
      </c>
      <c r="L128" s="104">
        <f>HP_Power!I133</f>
        <v>0.48220077187638283</v>
      </c>
      <c r="M128" s="104">
        <f>HP_Power!J133</f>
        <v>0.26288381733406258</v>
      </c>
      <c r="N128" s="104">
        <f>HP_Power!K133</f>
        <v>4.6321775826741275E-2</v>
      </c>
      <c r="O128" s="55">
        <f t="shared" si="12"/>
        <v>0.38224352251574223</v>
      </c>
      <c r="P128" s="55">
        <f t="shared" si="13"/>
        <v>0.21957685264482196</v>
      </c>
      <c r="Q128" s="55">
        <f t="shared" si="14"/>
        <v>4.6321775826741275E-2</v>
      </c>
    </row>
    <row r="129" spans="1:17" x14ac:dyDescent="0.2">
      <c r="A129" s="72">
        <v>119</v>
      </c>
      <c r="B129" s="59">
        <v>119</v>
      </c>
      <c r="C129" s="40">
        <f>HomeHeatDemand!F128</f>
        <v>0</v>
      </c>
      <c r="D129" s="40">
        <f>HomeHeatDemand!G128</f>
        <v>0</v>
      </c>
      <c r="E129" s="40">
        <f>HomeHeatDemand!H128</f>
        <v>0</v>
      </c>
      <c r="F129" s="40">
        <f>HP_Power!B134</f>
        <v>0</v>
      </c>
      <c r="G129" s="40">
        <f>HP_Power!C134</f>
        <v>0</v>
      </c>
      <c r="H129" s="40">
        <f>HP_Power!D134</f>
        <v>0</v>
      </c>
      <c r="I129" s="104">
        <f>HP_Power!F134</f>
        <v>0</v>
      </c>
      <c r="J129" s="104">
        <f>HP_Power!G134</f>
        <v>0</v>
      </c>
      <c r="K129" s="104">
        <f>HP_Power!H134</f>
        <v>0</v>
      </c>
      <c r="L129" s="104">
        <f>HP_Power!I134</f>
        <v>0</v>
      </c>
      <c r="M129" s="104">
        <f>HP_Power!J134</f>
        <v>0</v>
      </c>
      <c r="N129" s="104">
        <f>HP_Power!K134</f>
        <v>0</v>
      </c>
      <c r="O129" s="55">
        <f t="shared" si="12"/>
        <v>0</v>
      </c>
      <c r="P129" s="55">
        <f t="shared" si="13"/>
        <v>0</v>
      </c>
      <c r="Q129" s="55">
        <f t="shared" si="14"/>
        <v>0</v>
      </c>
    </row>
    <row r="130" spans="1:17" x14ac:dyDescent="0.2">
      <c r="A130" s="72">
        <v>120</v>
      </c>
      <c r="B130" s="59">
        <v>120</v>
      </c>
      <c r="C130" s="40">
        <f>HomeHeatDemand!F129</f>
        <v>0</v>
      </c>
      <c r="D130" s="40">
        <f>HomeHeatDemand!G129</f>
        <v>0</v>
      </c>
      <c r="E130" s="40">
        <f>HomeHeatDemand!H129</f>
        <v>0</v>
      </c>
      <c r="F130" s="40">
        <f>HP_Power!B135</f>
        <v>0</v>
      </c>
      <c r="G130" s="40">
        <f>HP_Power!C135</f>
        <v>0</v>
      </c>
      <c r="H130" s="40">
        <f>HP_Power!D135</f>
        <v>0</v>
      </c>
      <c r="I130" s="104">
        <f>HP_Power!F135</f>
        <v>0</v>
      </c>
      <c r="J130" s="104">
        <f>HP_Power!G135</f>
        <v>0</v>
      </c>
      <c r="K130" s="104">
        <f>HP_Power!H135</f>
        <v>0</v>
      </c>
      <c r="L130" s="104">
        <f>HP_Power!I135</f>
        <v>0</v>
      </c>
      <c r="M130" s="104">
        <f>HP_Power!J135</f>
        <v>0</v>
      </c>
      <c r="N130" s="104">
        <f>HP_Power!K135</f>
        <v>0</v>
      </c>
      <c r="O130" s="55">
        <f t="shared" si="12"/>
        <v>0</v>
      </c>
      <c r="P130" s="55">
        <f t="shared" si="13"/>
        <v>0</v>
      </c>
      <c r="Q130" s="55">
        <f t="shared" si="14"/>
        <v>0</v>
      </c>
    </row>
    <row r="131" spans="1:17" x14ac:dyDescent="0.2">
      <c r="A131" s="72">
        <v>121</v>
      </c>
      <c r="B131" s="59">
        <v>121</v>
      </c>
      <c r="C131" s="40">
        <f>HomeHeatDemand!F130</f>
        <v>0</v>
      </c>
      <c r="D131" s="40">
        <f>HomeHeatDemand!G130</f>
        <v>0</v>
      </c>
      <c r="E131" s="40">
        <f>HomeHeatDemand!H130</f>
        <v>0</v>
      </c>
      <c r="F131" s="40">
        <f>HP_Power!B136</f>
        <v>0</v>
      </c>
      <c r="G131" s="40">
        <f>HP_Power!C136</f>
        <v>0</v>
      </c>
      <c r="H131" s="40">
        <f>HP_Power!D136</f>
        <v>0</v>
      </c>
      <c r="I131" s="104">
        <f>HP_Power!F136</f>
        <v>0</v>
      </c>
      <c r="J131" s="104">
        <f>HP_Power!G136</f>
        <v>0</v>
      </c>
      <c r="K131" s="104">
        <f>HP_Power!H136</f>
        <v>0</v>
      </c>
      <c r="L131" s="104">
        <f>HP_Power!I136</f>
        <v>0</v>
      </c>
      <c r="M131" s="104">
        <f>HP_Power!J136</f>
        <v>0</v>
      </c>
      <c r="N131" s="104">
        <f>HP_Power!K136</f>
        <v>0</v>
      </c>
      <c r="O131" s="55">
        <f t="shared" si="12"/>
        <v>0</v>
      </c>
      <c r="P131" s="55">
        <f t="shared" si="13"/>
        <v>0</v>
      </c>
      <c r="Q131" s="55">
        <f t="shared" si="14"/>
        <v>0</v>
      </c>
    </row>
    <row r="132" spans="1:17" x14ac:dyDescent="0.2">
      <c r="A132" s="72">
        <v>122</v>
      </c>
      <c r="B132" s="59">
        <v>122</v>
      </c>
      <c r="C132" s="40">
        <f>HomeHeatDemand!F131</f>
        <v>0</v>
      </c>
      <c r="D132" s="40">
        <f>HomeHeatDemand!G131</f>
        <v>0</v>
      </c>
      <c r="E132" s="40">
        <f>HomeHeatDemand!H131</f>
        <v>0</v>
      </c>
      <c r="F132" s="40">
        <f>HP_Power!B137</f>
        <v>0</v>
      </c>
      <c r="G132" s="40">
        <f>HP_Power!C137</f>
        <v>0</v>
      </c>
      <c r="H132" s="40">
        <f>HP_Power!D137</f>
        <v>0</v>
      </c>
      <c r="I132" s="104">
        <f>HP_Power!F137</f>
        <v>0</v>
      </c>
      <c r="J132" s="104">
        <f>HP_Power!G137</f>
        <v>0</v>
      </c>
      <c r="K132" s="104">
        <f>HP_Power!H137</f>
        <v>0</v>
      </c>
      <c r="L132" s="104">
        <f>HP_Power!I137</f>
        <v>0</v>
      </c>
      <c r="M132" s="104">
        <f>HP_Power!J137</f>
        <v>0</v>
      </c>
      <c r="N132" s="104">
        <f>HP_Power!K137</f>
        <v>0</v>
      </c>
      <c r="O132" s="55">
        <f t="shared" si="12"/>
        <v>0</v>
      </c>
      <c r="P132" s="55">
        <f t="shared" si="13"/>
        <v>0</v>
      </c>
      <c r="Q132" s="55">
        <f t="shared" si="14"/>
        <v>0</v>
      </c>
    </row>
    <row r="133" spans="1:17" x14ac:dyDescent="0.2">
      <c r="A133" s="72">
        <v>123</v>
      </c>
      <c r="B133" s="59">
        <v>123</v>
      </c>
      <c r="C133" s="40">
        <f>HomeHeatDemand!F132</f>
        <v>0</v>
      </c>
      <c r="D133" s="40">
        <f>HomeHeatDemand!G132</f>
        <v>0</v>
      </c>
      <c r="E133" s="40">
        <f>HomeHeatDemand!H132</f>
        <v>0</v>
      </c>
      <c r="F133" s="40">
        <f>HP_Power!B138</f>
        <v>0</v>
      </c>
      <c r="G133" s="40">
        <f>HP_Power!C138</f>
        <v>0</v>
      </c>
      <c r="H133" s="40">
        <f>HP_Power!D138</f>
        <v>0</v>
      </c>
      <c r="I133" s="104">
        <f>HP_Power!F138</f>
        <v>0</v>
      </c>
      <c r="J133" s="104">
        <f>HP_Power!G138</f>
        <v>0</v>
      </c>
      <c r="K133" s="104">
        <f>HP_Power!H138</f>
        <v>0</v>
      </c>
      <c r="L133" s="104">
        <f>HP_Power!I138</f>
        <v>0</v>
      </c>
      <c r="M133" s="104">
        <f>HP_Power!J138</f>
        <v>0</v>
      </c>
      <c r="N133" s="104">
        <f>HP_Power!K138</f>
        <v>0</v>
      </c>
      <c r="O133" s="55">
        <f t="shared" si="12"/>
        <v>0</v>
      </c>
      <c r="P133" s="55">
        <f t="shared" si="13"/>
        <v>0</v>
      </c>
      <c r="Q133" s="55">
        <f t="shared" si="14"/>
        <v>0</v>
      </c>
    </row>
    <row r="134" spans="1:17" x14ac:dyDescent="0.2">
      <c r="A134" s="72">
        <v>124</v>
      </c>
      <c r="B134" s="59">
        <v>124</v>
      </c>
      <c r="C134" s="40">
        <f>HomeHeatDemand!F133</f>
        <v>0</v>
      </c>
      <c r="D134" s="40">
        <f>HomeHeatDemand!G133</f>
        <v>0</v>
      </c>
      <c r="E134" s="40">
        <f>HomeHeatDemand!H133</f>
        <v>0</v>
      </c>
      <c r="F134" s="40">
        <f>HP_Power!B139</f>
        <v>0</v>
      </c>
      <c r="G134" s="40">
        <f>HP_Power!C139</f>
        <v>0</v>
      </c>
      <c r="H134" s="40">
        <f>HP_Power!D139</f>
        <v>0</v>
      </c>
      <c r="I134" s="104">
        <f>HP_Power!F139</f>
        <v>0</v>
      </c>
      <c r="J134" s="104">
        <f>HP_Power!G139</f>
        <v>0</v>
      </c>
      <c r="K134" s="104">
        <f>HP_Power!H139</f>
        <v>0</v>
      </c>
      <c r="L134" s="104">
        <f>HP_Power!I139</f>
        <v>0</v>
      </c>
      <c r="M134" s="104">
        <f>HP_Power!J139</f>
        <v>0</v>
      </c>
      <c r="N134" s="104">
        <f>HP_Power!K139</f>
        <v>0</v>
      </c>
      <c r="O134" s="55">
        <f t="shared" si="12"/>
        <v>0</v>
      </c>
      <c r="P134" s="55">
        <f t="shared" si="13"/>
        <v>0</v>
      </c>
      <c r="Q134" s="55">
        <f t="shared" si="14"/>
        <v>0</v>
      </c>
    </row>
    <row r="135" spans="1:17" x14ac:dyDescent="0.2">
      <c r="A135" s="72">
        <v>125</v>
      </c>
      <c r="B135" s="59">
        <v>125</v>
      </c>
      <c r="C135" s="40">
        <f>HomeHeatDemand!F134</f>
        <v>0</v>
      </c>
      <c r="D135" s="40">
        <f>HomeHeatDemand!G134</f>
        <v>0</v>
      </c>
      <c r="E135" s="40">
        <f>HomeHeatDemand!H134</f>
        <v>0</v>
      </c>
      <c r="F135" s="40">
        <f>HP_Power!B140</f>
        <v>0</v>
      </c>
      <c r="G135" s="40">
        <f>HP_Power!C140</f>
        <v>0</v>
      </c>
      <c r="H135" s="40">
        <f>HP_Power!D140</f>
        <v>0</v>
      </c>
      <c r="I135" s="104">
        <f>HP_Power!F140</f>
        <v>0</v>
      </c>
      <c r="J135" s="104">
        <f>HP_Power!G140</f>
        <v>0</v>
      </c>
      <c r="K135" s="104">
        <f>HP_Power!H140</f>
        <v>0</v>
      </c>
      <c r="L135" s="104">
        <f>HP_Power!I140</f>
        <v>0</v>
      </c>
      <c r="M135" s="104">
        <f>HP_Power!J140</f>
        <v>0</v>
      </c>
      <c r="N135" s="104">
        <f>HP_Power!K140</f>
        <v>0</v>
      </c>
      <c r="O135" s="55">
        <f t="shared" si="12"/>
        <v>0</v>
      </c>
      <c r="P135" s="55">
        <f t="shared" si="13"/>
        <v>0</v>
      </c>
      <c r="Q135" s="55">
        <f t="shared" si="14"/>
        <v>0</v>
      </c>
    </row>
    <row r="136" spans="1:17" x14ac:dyDescent="0.2">
      <c r="A136" s="72">
        <v>126</v>
      </c>
      <c r="B136" s="59">
        <v>126</v>
      </c>
      <c r="C136" s="40">
        <f>HomeHeatDemand!F135</f>
        <v>0</v>
      </c>
      <c r="D136" s="40">
        <f>HomeHeatDemand!G135</f>
        <v>0</v>
      </c>
      <c r="E136" s="40">
        <f>HomeHeatDemand!H135</f>
        <v>0</v>
      </c>
      <c r="F136" s="40">
        <f>HP_Power!B141</f>
        <v>0</v>
      </c>
      <c r="G136" s="40">
        <f>HP_Power!C141</f>
        <v>0</v>
      </c>
      <c r="H136" s="40">
        <f>HP_Power!D141</f>
        <v>0</v>
      </c>
      <c r="I136" s="104">
        <f>HP_Power!F141</f>
        <v>0</v>
      </c>
      <c r="J136" s="104">
        <f>HP_Power!G141</f>
        <v>0</v>
      </c>
      <c r="K136" s="104">
        <f>HP_Power!H141</f>
        <v>0</v>
      </c>
      <c r="L136" s="104">
        <f>HP_Power!I141</f>
        <v>0</v>
      </c>
      <c r="M136" s="104">
        <f>HP_Power!J141</f>
        <v>0</v>
      </c>
      <c r="N136" s="104">
        <f>HP_Power!K141</f>
        <v>0</v>
      </c>
      <c r="O136" s="55">
        <f t="shared" si="12"/>
        <v>0</v>
      </c>
      <c r="P136" s="55">
        <f t="shared" si="13"/>
        <v>0</v>
      </c>
      <c r="Q136" s="55">
        <f t="shared" si="14"/>
        <v>0</v>
      </c>
    </row>
    <row r="137" spans="1:17" x14ac:dyDescent="0.2">
      <c r="A137" s="72">
        <v>127</v>
      </c>
      <c r="B137" s="59">
        <v>127</v>
      </c>
      <c r="C137" s="40">
        <f>HomeHeatDemand!F136</f>
        <v>3.4332694957598457</v>
      </c>
      <c r="D137" s="40">
        <f>HomeHeatDemand!G136</f>
        <v>1.8717327794185254</v>
      </c>
      <c r="E137" s="40">
        <f>HomeHeatDemand!H136</f>
        <v>0.32981104388639787</v>
      </c>
      <c r="F137" s="40">
        <f>HP_Power!B142</f>
        <v>0.74636293386083608</v>
      </c>
      <c r="G137" s="40">
        <f>HP_Power!C142</f>
        <v>0.34817321475331586</v>
      </c>
      <c r="H137" s="40">
        <f>HP_Power!D142</f>
        <v>5.4355139759513407E-2</v>
      </c>
      <c r="I137" s="104">
        <f>HP_Power!F142</f>
        <v>0.36139678902735217</v>
      </c>
      <c r="J137" s="104">
        <f>HP_Power!G142</f>
        <v>0.1970245030966869</v>
      </c>
      <c r="K137" s="104">
        <f>HP_Power!H142</f>
        <v>3.471695198804188E-2</v>
      </c>
      <c r="L137" s="104">
        <f>HP_Power!I142</f>
        <v>0.48220077187638283</v>
      </c>
      <c r="M137" s="104">
        <f>HP_Power!J142</f>
        <v>0.26288381733406258</v>
      </c>
      <c r="N137" s="104">
        <f>HP_Power!K142</f>
        <v>4.6321775826741275E-2</v>
      </c>
      <c r="O137" s="55">
        <f t="shared" si="12"/>
        <v>0.38224352251574223</v>
      </c>
      <c r="P137" s="55">
        <f t="shared" si="13"/>
        <v>0.21957685264482196</v>
      </c>
      <c r="Q137" s="55">
        <f t="shared" si="14"/>
        <v>4.6321775826741275E-2</v>
      </c>
    </row>
    <row r="138" spans="1:17" x14ac:dyDescent="0.2">
      <c r="A138" s="72">
        <v>128</v>
      </c>
      <c r="B138" s="59">
        <v>128</v>
      </c>
      <c r="C138" s="40">
        <f>HomeHeatDemand!F137</f>
        <v>3.4332694957598457</v>
      </c>
      <c r="D138" s="40">
        <f>HomeHeatDemand!G137</f>
        <v>1.8717327794185254</v>
      </c>
      <c r="E138" s="40">
        <f>HomeHeatDemand!H137</f>
        <v>0.32981104388639787</v>
      </c>
      <c r="F138" s="40">
        <f>HP_Power!B143</f>
        <v>0.74636293386083608</v>
      </c>
      <c r="G138" s="40">
        <f>HP_Power!C143</f>
        <v>0.34817321475331586</v>
      </c>
      <c r="H138" s="40">
        <f>HP_Power!D143</f>
        <v>5.4355139759513407E-2</v>
      </c>
      <c r="I138" s="104">
        <f>HP_Power!F143</f>
        <v>0.36139678902735217</v>
      </c>
      <c r="J138" s="104">
        <f>HP_Power!G143</f>
        <v>0.1970245030966869</v>
      </c>
      <c r="K138" s="104">
        <f>HP_Power!H143</f>
        <v>3.471695198804188E-2</v>
      </c>
      <c r="L138" s="104">
        <f>HP_Power!I143</f>
        <v>0.48220077187638283</v>
      </c>
      <c r="M138" s="104">
        <f>HP_Power!J143</f>
        <v>0.26288381733406258</v>
      </c>
      <c r="N138" s="104">
        <f>HP_Power!K143</f>
        <v>4.6321775826741275E-2</v>
      </c>
      <c r="O138" s="55">
        <f t="shared" si="12"/>
        <v>0.38224352251574223</v>
      </c>
      <c r="P138" s="55">
        <f t="shared" si="13"/>
        <v>0.21957685264482196</v>
      </c>
      <c r="Q138" s="55">
        <f t="shared" si="14"/>
        <v>4.6321775826741275E-2</v>
      </c>
    </row>
    <row r="139" spans="1:17" x14ac:dyDescent="0.2">
      <c r="A139" s="72">
        <v>129</v>
      </c>
      <c r="B139" s="59">
        <v>129</v>
      </c>
      <c r="C139" s="40">
        <f>HomeHeatDemand!F138</f>
        <v>0</v>
      </c>
      <c r="D139" s="40">
        <f>HomeHeatDemand!G138</f>
        <v>0</v>
      </c>
      <c r="E139" s="40">
        <f>HomeHeatDemand!H138</f>
        <v>0</v>
      </c>
      <c r="F139" s="40">
        <f>HP_Power!B144</f>
        <v>0</v>
      </c>
      <c r="G139" s="40">
        <f>HP_Power!C144</f>
        <v>0</v>
      </c>
      <c r="H139" s="40">
        <f>HP_Power!D144</f>
        <v>0</v>
      </c>
      <c r="I139" s="104">
        <f>HP_Power!F144</f>
        <v>0</v>
      </c>
      <c r="J139" s="104">
        <f>HP_Power!G144</f>
        <v>0</v>
      </c>
      <c r="K139" s="104">
        <f>HP_Power!H144</f>
        <v>0</v>
      </c>
      <c r="L139" s="104">
        <f>HP_Power!I144</f>
        <v>0</v>
      </c>
      <c r="M139" s="104">
        <f>HP_Power!J144</f>
        <v>0</v>
      </c>
      <c r="N139" s="104">
        <f>HP_Power!K144</f>
        <v>0</v>
      </c>
      <c r="O139" s="55">
        <f t="shared" si="12"/>
        <v>0</v>
      </c>
      <c r="P139" s="55">
        <f t="shared" si="13"/>
        <v>0</v>
      </c>
      <c r="Q139" s="55">
        <f t="shared" si="14"/>
        <v>0</v>
      </c>
    </row>
    <row r="140" spans="1:17" x14ac:dyDescent="0.2">
      <c r="A140" s="72">
        <v>130</v>
      </c>
      <c r="B140" s="59">
        <v>130</v>
      </c>
      <c r="C140" s="40">
        <f>HomeHeatDemand!F139</f>
        <v>0</v>
      </c>
      <c r="D140" s="40">
        <f>HomeHeatDemand!G139</f>
        <v>0</v>
      </c>
      <c r="E140" s="40">
        <f>HomeHeatDemand!H139</f>
        <v>0</v>
      </c>
      <c r="F140" s="40">
        <f>HP_Power!B145</f>
        <v>0</v>
      </c>
      <c r="G140" s="40">
        <f>HP_Power!C145</f>
        <v>0</v>
      </c>
      <c r="H140" s="40">
        <f>HP_Power!D145</f>
        <v>0</v>
      </c>
      <c r="I140" s="104">
        <f>HP_Power!F145</f>
        <v>0</v>
      </c>
      <c r="J140" s="104">
        <f>HP_Power!G145</f>
        <v>0</v>
      </c>
      <c r="K140" s="104">
        <f>HP_Power!H145</f>
        <v>0</v>
      </c>
      <c r="L140" s="104">
        <f>HP_Power!I145</f>
        <v>0</v>
      </c>
      <c r="M140" s="104">
        <f>HP_Power!J145</f>
        <v>0</v>
      </c>
      <c r="N140" s="104">
        <f>HP_Power!K145</f>
        <v>0</v>
      </c>
      <c r="O140" s="55">
        <f t="shared" ref="O140:O178" si="15">$O$4*I140+$O$5*L140</f>
        <v>0</v>
      </c>
      <c r="P140" s="55">
        <f t="shared" ref="P140:P178" si="16">$P$4*J140+$P$5*M140</f>
        <v>0</v>
      </c>
      <c r="Q140" s="55">
        <f t="shared" ref="Q140:Q178" si="17">$Q$4*K140+$Q$5*N140</f>
        <v>0</v>
      </c>
    </row>
    <row r="141" spans="1:17" x14ac:dyDescent="0.2">
      <c r="A141" s="72">
        <v>131</v>
      </c>
      <c r="B141" s="59">
        <v>131</v>
      </c>
      <c r="C141" s="40">
        <f>HomeHeatDemand!F140</f>
        <v>0</v>
      </c>
      <c r="D141" s="40">
        <f>HomeHeatDemand!G140</f>
        <v>0</v>
      </c>
      <c r="E141" s="40">
        <f>HomeHeatDemand!H140</f>
        <v>0</v>
      </c>
      <c r="F141" s="40">
        <f>HP_Power!B146</f>
        <v>0</v>
      </c>
      <c r="G141" s="40">
        <f>HP_Power!C146</f>
        <v>0</v>
      </c>
      <c r="H141" s="40">
        <f>HP_Power!D146</f>
        <v>0</v>
      </c>
      <c r="I141" s="104">
        <f>HP_Power!F146</f>
        <v>0</v>
      </c>
      <c r="J141" s="104">
        <f>HP_Power!G146</f>
        <v>0</v>
      </c>
      <c r="K141" s="104">
        <f>HP_Power!H146</f>
        <v>0</v>
      </c>
      <c r="L141" s="104">
        <f>HP_Power!I146</f>
        <v>0</v>
      </c>
      <c r="M141" s="104">
        <f>HP_Power!J146</f>
        <v>0</v>
      </c>
      <c r="N141" s="104">
        <f>HP_Power!K146</f>
        <v>0</v>
      </c>
      <c r="O141" s="55">
        <f t="shared" si="15"/>
        <v>0</v>
      </c>
      <c r="P141" s="55">
        <f t="shared" si="16"/>
        <v>0</v>
      </c>
      <c r="Q141" s="55">
        <f t="shared" si="17"/>
        <v>0</v>
      </c>
    </row>
    <row r="142" spans="1:17" x14ac:dyDescent="0.2">
      <c r="A142" s="72">
        <v>132</v>
      </c>
      <c r="B142" s="59">
        <v>132</v>
      </c>
      <c r="C142" s="40">
        <f>HomeHeatDemand!F141</f>
        <v>0</v>
      </c>
      <c r="D142" s="40">
        <f>HomeHeatDemand!G141</f>
        <v>0</v>
      </c>
      <c r="E142" s="40">
        <f>HomeHeatDemand!H141</f>
        <v>0</v>
      </c>
      <c r="F142" s="40">
        <f>HP_Power!B147</f>
        <v>0</v>
      </c>
      <c r="G142" s="40">
        <f>HP_Power!C147</f>
        <v>0</v>
      </c>
      <c r="H142" s="40">
        <f>HP_Power!D147</f>
        <v>0</v>
      </c>
      <c r="I142" s="104">
        <f>HP_Power!F147</f>
        <v>0</v>
      </c>
      <c r="J142" s="104">
        <f>HP_Power!G147</f>
        <v>0</v>
      </c>
      <c r="K142" s="104">
        <f>HP_Power!H147</f>
        <v>0</v>
      </c>
      <c r="L142" s="104">
        <f>HP_Power!I147</f>
        <v>0</v>
      </c>
      <c r="M142" s="104">
        <f>HP_Power!J147</f>
        <v>0</v>
      </c>
      <c r="N142" s="104">
        <f>HP_Power!K147</f>
        <v>0</v>
      </c>
      <c r="O142" s="55">
        <f t="shared" si="15"/>
        <v>0</v>
      </c>
      <c r="P142" s="55">
        <f t="shared" si="16"/>
        <v>0</v>
      </c>
      <c r="Q142" s="55">
        <f t="shared" si="17"/>
        <v>0</v>
      </c>
    </row>
    <row r="143" spans="1:17" x14ac:dyDescent="0.2">
      <c r="A143" s="72">
        <v>133</v>
      </c>
      <c r="B143" s="59">
        <v>133</v>
      </c>
      <c r="C143" s="40">
        <f>HomeHeatDemand!F142</f>
        <v>0</v>
      </c>
      <c r="D143" s="40">
        <f>HomeHeatDemand!G142</f>
        <v>0</v>
      </c>
      <c r="E143" s="40">
        <f>HomeHeatDemand!H142</f>
        <v>0</v>
      </c>
      <c r="F143" s="40">
        <f>HP_Power!B148</f>
        <v>0</v>
      </c>
      <c r="G143" s="40">
        <f>HP_Power!C148</f>
        <v>0</v>
      </c>
      <c r="H143" s="40">
        <f>HP_Power!D148</f>
        <v>0</v>
      </c>
      <c r="I143" s="104">
        <f>HP_Power!F148</f>
        <v>0</v>
      </c>
      <c r="J143" s="104">
        <f>HP_Power!G148</f>
        <v>0</v>
      </c>
      <c r="K143" s="104">
        <f>HP_Power!H148</f>
        <v>0</v>
      </c>
      <c r="L143" s="104">
        <f>HP_Power!I148</f>
        <v>0</v>
      </c>
      <c r="M143" s="104">
        <f>HP_Power!J148</f>
        <v>0</v>
      </c>
      <c r="N143" s="104">
        <f>HP_Power!K148</f>
        <v>0</v>
      </c>
      <c r="O143" s="55">
        <f t="shared" si="15"/>
        <v>0</v>
      </c>
      <c r="P143" s="55">
        <f t="shared" si="16"/>
        <v>0</v>
      </c>
      <c r="Q143" s="55">
        <f t="shared" si="17"/>
        <v>0</v>
      </c>
    </row>
    <row r="144" spans="1:17" x14ac:dyDescent="0.2">
      <c r="A144" s="72">
        <v>134</v>
      </c>
      <c r="B144" s="59">
        <v>134</v>
      </c>
      <c r="C144" s="40">
        <f>HomeHeatDemand!F143</f>
        <v>0</v>
      </c>
      <c r="D144" s="40">
        <f>HomeHeatDemand!G143</f>
        <v>0</v>
      </c>
      <c r="E144" s="40">
        <f>HomeHeatDemand!H143</f>
        <v>0</v>
      </c>
      <c r="F144" s="40">
        <f>HP_Power!B149</f>
        <v>0</v>
      </c>
      <c r="G144" s="40">
        <f>HP_Power!C149</f>
        <v>0</v>
      </c>
      <c r="H144" s="40">
        <f>HP_Power!D149</f>
        <v>0</v>
      </c>
      <c r="I144" s="104">
        <f>HP_Power!F149</f>
        <v>0</v>
      </c>
      <c r="J144" s="104">
        <f>HP_Power!G149</f>
        <v>0</v>
      </c>
      <c r="K144" s="104">
        <f>HP_Power!H149</f>
        <v>0</v>
      </c>
      <c r="L144" s="104">
        <f>HP_Power!I149</f>
        <v>0</v>
      </c>
      <c r="M144" s="104">
        <f>HP_Power!J149</f>
        <v>0</v>
      </c>
      <c r="N144" s="104">
        <f>HP_Power!K149</f>
        <v>0</v>
      </c>
      <c r="O144" s="55">
        <f t="shared" si="15"/>
        <v>0</v>
      </c>
      <c r="P144" s="55">
        <f t="shared" si="16"/>
        <v>0</v>
      </c>
      <c r="Q144" s="55">
        <f t="shared" si="17"/>
        <v>0</v>
      </c>
    </row>
    <row r="145" spans="1:17" x14ac:dyDescent="0.2">
      <c r="A145" s="72">
        <v>135</v>
      </c>
      <c r="B145" s="59">
        <v>135</v>
      </c>
      <c r="C145" s="40">
        <f>HomeHeatDemand!F144</f>
        <v>0</v>
      </c>
      <c r="D145" s="40">
        <f>HomeHeatDemand!G144</f>
        <v>0</v>
      </c>
      <c r="E145" s="40">
        <f>HomeHeatDemand!H144</f>
        <v>0</v>
      </c>
      <c r="F145" s="40">
        <f>HP_Power!B150</f>
        <v>0</v>
      </c>
      <c r="G145" s="40">
        <f>HP_Power!C150</f>
        <v>0</v>
      </c>
      <c r="H145" s="40">
        <f>HP_Power!D150</f>
        <v>0</v>
      </c>
      <c r="I145" s="104">
        <f>HP_Power!F150</f>
        <v>0</v>
      </c>
      <c r="J145" s="104">
        <f>HP_Power!G150</f>
        <v>0</v>
      </c>
      <c r="K145" s="104">
        <f>HP_Power!H150</f>
        <v>0</v>
      </c>
      <c r="L145" s="104">
        <f>HP_Power!I150</f>
        <v>0</v>
      </c>
      <c r="M145" s="104">
        <f>HP_Power!J150</f>
        <v>0</v>
      </c>
      <c r="N145" s="104">
        <f>HP_Power!K150</f>
        <v>0</v>
      </c>
      <c r="O145" s="55">
        <f t="shared" si="15"/>
        <v>0</v>
      </c>
      <c r="P145" s="55">
        <f t="shared" si="16"/>
        <v>0</v>
      </c>
      <c r="Q145" s="55">
        <f t="shared" si="17"/>
        <v>0</v>
      </c>
    </row>
    <row r="146" spans="1:17" x14ac:dyDescent="0.2">
      <c r="A146" s="72">
        <v>136</v>
      </c>
      <c r="B146" s="59">
        <v>136</v>
      </c>
      <c r="C146" s="40">
        <f>HomeHeatDemand!F145</f>
        <v>3.4332694957598457</v>
      </c>
      <c r="D146" s="40">
        <f>HomeHeatDemand!G145</f>
        <v>1.8717327794185254</v>
      </c>
      <c r="E146" s="40">
        <f>HomeHeatDemand!H145</f>
        <v>0.32981104388639787</v>
      </c>
      <c r="F146" s="40">
        <f>HP_Power!B151</f>
        <v>0.74636293386083608</v>
      </c>
      <c r="G146" s="40">
        <f>HP_Power!C151</f>
        <v>0.34817321475331586</v>
      </c>
      <c r="H146" s="40">
        <f>HP_Power!D151</f>
        <v>5.4355139759513407E-2</v>
      </c>
      <c r="I146" s="104">
        <f>HP_Power!F151</f>
        <v>0.36139678902735217</v>
      </c>
      <c r="J146" s="104">
        <f>HP_Power!G151</f>
        <v>0.1970245030966869</v>
      </c>
      <c r="K146" s="104">
        <f>HP_Power!H151</f>
        <v>3.471695198804188E-2</v>
      </c>
      <c r="L146" s="104">
        <f>HP_Power!I151</f>
        <v>0.48220077187638283</v>
      </c>
      <c r="M146" s="104">
        <f>HP_Power!J151</f>
        <v>0.26288381733406258</v>
      </c>
      <c r="N146" s="104">
        <f>HP_Power!K151</f>
        <v>4.6321775826741275E-2</v>
      </c>
      <c r="O146" s="55">
        <f t="shared" si="15"/>
        <v>0.38224352251574223</v>
      </c>
      <c r="P146" s="55">
        <f t="shared" si="16"/>
        <v>0.21957685264482196</v>
      </c>
      <c r="Q146" s="55">
        <f t="shared" si="17"/>
        <v>4.6321775826741275E-2</v>
      </c>
    </row>
    <row r="147" spans="1:17" x14ac:dyDescent="0.2">
      <c r="A147" s="72">
        <v>137</v>
      </c>
      <c r="B147" s="59">
        <v>137</v>
      </c>
      <c r="C147" s="40">
        <f>HomeHeatDemand!F146</f>
        <v>3.4332694957598457</v>
      </c>
      <c r="D147" s="40">
        <f>HomeHeatDemand!G146</f>
        <v>1.8717327794185254</v>
      </c>
      <c r="E147" s="40">
        <f>HomeHeatDemand!H146</f>
        <v>0.32981104388639787</v>
      </c>
      <c r="F147" s="40">
        <f>HP_Power!B152</f>
        <v>0.74636293386083608</v>
      </c>
      <c r="G147" s="40">
        <f>HP_Power!C152</f>
        <v>0.34817321475331586</v>
      </c>
      <c r="H147" s="40">
        <f>HP_Power!D152</f>
        <v>5.4355139759513407E-2</v>
      </c>
      <c r="I147" s="104">
        <f>HP_Power!F152</f>
        <v>0.36139678902735217</v>
      </c>
      <c r="J147" s="104">
        <f>HP_Power!G152</f>
        <v>0.1970245030966869</v>
      </c>
      <c r="K147" s="104">
        <f>HP_Power!H152</f>
        <v>3.471695198804188E-2</v>
      </c>
      <c r="L147" s="104">
        <f>HP_Power!I152</f>
        <v>0.48220077187638283</v>
      </c>
      <c r="M147" s="104">
        <f>HP_Power!J152</f>
        <v>0.26288381733406258</v>
      </c>
      <c r="N147" s="104">
        <f>HP_Power!K152</f>
        <v>4.6321775826741275E-2</v>
      </c>
      <c r="O147" s="55">
        <f t="shared" si="15"/>
        <v>0.38224352251574223</v>
      </c>
      <c r="P147" s="55">
        <f t="shared" si="16"/>
        <v>0.21957685264482196</v>
      </c>
      <c r="Q147" s="55">
        <f t="shared" si="17"/>
        <v>4.6321775826741275E-2</v>
      </c>
    </row>
    <row r="148" spans="1:17" x14ac:dyDescent="0.2">
      <c r="A148" s="72">
        <v>138</v>
      </c>
      <c r="B148" s="59">
        <v>138</v>
      </c>
      <c r="C148" s="40">
        <f>HomeHeatDemand!F147</f>
        <v>3.4332694957598457</v>
      </c>
      <c r="D148" s="40">
        <f>HomeHeatDemand!G147</f>
        <v>1.8717327794185254</v>
      </c>
      <c r="E148" s="40">
        <f>HomeHeatDemand!H147</f>
        <v>0.32981104388639787</v>
      </c>
      <c r="F148" s="40">
        <f>HP_Power!B153</f>
        <v>0.74636293386083608</v>
      </c>
      <c r="G148" s="40">
        <f>HP_Power!C153</f>
        <v>0.34817321475331586</v>
      </c>
      <c r="H148" s="40">
        <f>HP_Power!D153</f>
        <v>5.4355139759513407E-2</v>
      </c>
      <c r="I148" s="104">
        <f>HP_Power!F153</f>
        <v>0.36139678902735217</v>
      </c>
      <c r="J148" s="104">
        <f>HP_Power!G153</f>
        <v>0.1970245030966869</v>
      </c>
      <c r="K148" s="104">
        <f>HP_Power!H153</f>
        <v>3.471695198804188E-2</v>
      </c>
      <c r="L148" s="104">
        <f>HP_Power!I153</f>
        <v>0.48220077187638283</v>
      </c>
      <c r="M148" s="104">
        <f>HP_Power!J153</f>
        <v>0.26288381733406258</v>
      </c>
      <c r="N148" s="104">
        <f>HP_Power!K153</f>
        <v>4.6321775826741275E-2</v>
      </c>
      <c r="O148" s="55">
        <f t="shared" si="15"/>
        <v>0.38224352251574223</v>
      </c>
      <c r="P148" s="55">
        <f t="shared" si="16"/>
        <v>0.21957685264482196</v>
      </c>
      <c r="Q148" s="55">
        <f t="shared" si="17"/>
        <v>4.6321775826741275E-2</v>
      </c>
    </row>
    <row r="149" spans="1:17" x14ac:dyDescent="0.2">
      <c r="A149" s="72">
        <v>139</v>
      </c>
      <c r="B149" s="59">
        <v>139</v>
      </c>
      <c r="C149" s="40">
        <f>HomeHeatDemand!F148</f>
        <v>3.4332694957598457</v>
      </c>
      <c r="D149" s="40">
        <f>HomeHeatDemand!G148</f>
        <v>1.8717327794185254</v>
      </c>
      <c r="E149" s="40">
        <f>HomeHeatDemand!H148</f>
        <v>0.32981104388639787</v>
      </c>
      <c r="F149" s="40">
        <f>HP_Power!B154</f>
        <v>0.74636293386083608</v>
      </c>
      <c r="G149" s="40">
        <f>HP_Power!C154</f>
        <v>0.34817321475331586</v>
      </c>
      <c r="H149" s="40">
        <f>HP_Power!D154</f>
        <v>5.4355139759513407E-2</v>
      </c>
      <c r="I149" s="104">
        <f>HP_Power!F154</f>
        <v>0.36139678902735217</v>
      </c>
      <c r="J149" s="104">
        <f>HP_Power!G154</f>
        <v>0.1970245030966869</v>
      </c>
      <c r="K149" s="104">
        <f>HP_Power!H154</f>
        <v>3.471695198804188E-2</v>
      </c>
      <c r="L149" s="104">
        <f>HP_Power!I154</f>
        <v>0.48220077187638283</v>
      </c>
      <c r="M149" s="104">
        <f>HP_Power!J154</f>
        <v>0.26288381733406258</v>
      </c>
      <c r="N149" s="104">
        <f>HP_Power!K154</f>
        <v>4.6321775826741275E-2</v>
      </c>
      <c r="O149" s="55">
        <f t="shared" si="15"/>
        <v>0.38224352251574223</v>
      </c>
      <c r="P149" s="55">
        <f t="shared" si="16"/>
        <v>0.21957685264482196</v>
      </c>
      <c r="Q149" s="55">
        <f t="shared" si="17"/>
        <v>4.6321775826741275E-2</v>
      </c>
    </row>
    <row r="150" spans="1:17" x14ac:dyDescent="0.2">
      <c r="A150" s="72">
        <v>140</v>
      </c>
      <c r="B150" s="59">
        <v>140</v>
      </c>
      <c r="C150" s="40">
        <f>HomeHeatDemand!F149</f>
        <v>3.4332694957598457</v>
      </c>
      <c r="D150" s="40">
        <f>HomeHeatDemand!G149</f>
        <v>1.8717327794185254</v>
      </c>
      <c r="E150" s="40">
        <f>HomeHeatDemand!H149</f>
        <v>0.32981104388639787</v>
      </c>
      <c r="F150" s="40">
        <f>HP_Power!B155</f>
        <v>0.74636293386083608</v>
      </c>
      <c r="G150" s="40">
        <f>HP_Power!C155</f>
        <v>0.34817321475331586</v>
      </c>
      <c r="H150" s="40">
        <f>HP_Power!D155</f>
        <v>5.4355139759513407E-2</v>
      </c>
      <c r="I150" s="104">
        <f>HP_Power!F155</f>
        <v>0.36139678902735217</v>
      </c>
      <c r="J150" s="104">
        <f>HP_Power!G155</f>
        <v>0.1970245030966869</v>
      </c>
      <c r="K150" s="104">
        <f>HP_Power!H155</f>
        <v>3.471695198804188E-2</v>
      </c>
      <c r="L150" s="104">
        <f>HP_Power!I155</f>
        <v>0.48220077187638283</v>
      </c>
      <c r="M150" s="104">
        <f>HP_Power!J155</f>
        <v>0.26288381733406258</v>
      </c>
      <c r="N150" s="104">
        <f>HP_Power!K155</f>
        <v>4.6321775826741275E-2</v>
      </c>
      <c r="O150" s="55">
        <f t="shared" si="15"/>
        <v>0.38224352251574223</v>
      </c>
      <c r="P150" s="55">
        <f t="shared" si="16"/>
        <v>0.21957685264482196</v>
      </c>
      <c r="Q150" s="55">
        <f t="shared" si="17"/>
        <v>4.6321775826741275E-2</v>
      </c>
    </row>
    <row r="151" spans="1:17" x14ac:dyDescent="0.2">
      <c r="A151" s="72">
        <v>141</v>
      </c>
      <c r="B151" s="59">
        <v>141</v>
      </c>
      <c r="C151" s="40">
        <f>HomeHeatDemand!F150</f>
        <v>3.4332694957598457</v>
      </c>
      <c r="D151" s="40">
        <f>HomeHeatDemand!G150</f>
        <v>1.8717327794185254</v>
      </c>
      <c r="E151" s="40">
        <f>HomeHeatDemand!H150</f>
        <v>0.32981104388639787</v>
      </c>
      <c r="F151" s="40">
        <f>HP_Power!B156</f>
        <v>0.74636293386083608</v>
      </c>
      <c r="G151" s="40">
        <f>HP_Power!C156</f>
        <v>0.34817321475331586</v>
      </c>
      <c r="H151" s="40">
        <f>HP_Power!D156</f>
        <v>5.4355139759513407E-2</v>
      </c>
      <c r="I151" s="104">
        <f>HP_Power!F156</f>
        <v>0.36139678902735217</v>
      </c>
      <c r="J151" s="104">
        <f>HP_Power!G156</f>
        <v>0.1970245030966869</v>
      </c>
      <c r="K151" s="104">
        <f>HP_Power!H156</f>
        <v>3.471695198804188E-2</v>
      </c>
      <c r="L151" s="104">
        <f>HP_Power!I156</f>
        <v>0.48220077187638283</v>
      </c>
      <c r="M151" s="104">
        <f>HP_Power!J156</f>
        <v>0.26288381733406258</v>
      </c>
      <c r="N151" s="104">
        <f>HP_Power!K156</f>
        <v>4.6321775826741275E-2</v>
      </c>
      <c r="O151" s="55">
        <f t="shared" si="15"/>
        <v>0.38224352251574223</v>
      </c>
      <c r="P151" s="55">
        <f t="shared" si="16"/>
        <v>0.21957685264482196</v>
      </c>
      <c r="Q151" s="55">
        <f t="shared" si="17"/>
        <v>4.6321775826741275E-2</v>
      </c>
    </row>
    <row r="152" spans="1:17" x14ac:dyDescent="0.2">
      <c r="A152" s="72">
        <v>142</v>
      </c>
      <c r="B152" s="59">
        <v>142</v>
      </c>
      <c r="C152" s="40">
        <f>HomeHeatDemand!F151</f>
        <v>3.4332694957598457</v>
      </c>
      <c r="D152" s="40">
        <f>HomeHeatDemand!G151</f>
        <v>1.8717327794185254</v>
      </c>
      <c r="E152" s="40">
        <f>HomeHeatDemand!H151</f>
        <v>0.32981104388639787</v>
      </c>
      <c r="F152" s="40">
        <f>HP_Power!B157</f>
        <v>0.74636293386083608</v>
      </c>
      <c r="G152" s="40">
        <f>HP_Power!C157</f>
        <v>0.34817321475331586</v>
      </c>
      <c r="H152" s="40">
        <f>HP_Power!D157</f>
        <v>5.4355139759513407E-2</v>
      </c>
      <c r="I152" s="104">
        <f>HP_Power!F157</f>
        <v>0.36139678902735217</v>
      </c>
      <c r="J152" s="104">
        <f>HP_Power!G157</f>
        <v>0.1970245030966869</v>
      </c>
      <c r="K152" s="104">
        <f>HP_Power!H157</f>
        <v>3.471695198804188E-2</v>
      </c>
      <c r="L152" s="104">
        <f>HP_Power!I157</f>
        <v>0.48220077187638283</v>
      </c>
      <c r="M152" s="104">
        <f>HP_Power!J157</f>
        <v>0.26288381733406258</v>
      </c>
      <c r="N152" s="104">
        <f>HP_Power!K157</f>
        <v>4.6321775826741275E-2</v>
      </c>
      <c r="O152" s="55">
        <f t="shared" si="15"/>
        <v>0.38224352251574223</v>
      </c>
      <c r="P152" s="55">
        <f t="shared" si="16"/>
        <v>0.21957685264482196</v>
      </c>
      <c r="Q152" s="55">
        <f t="shared" si="17"/>
        <v>4.6321775826741275E-2</v>
      </c>
    </row>
    <row r="153" spans="1:17" x14ac:dyDescent="0.2">
      <c r="A153" s="72">
        <v>143</v>
      </c>
      <c r="B153" s="59">
        <v>143</v>
      </c>
      <c r="C153" s="40">
        <f>HomeHeatDemand!F152</f>
        <v>0</v>
      </c>
      <c r="D153" s="40">
        <f>HomeHeatDemand!G152</f>
        <v>0</v>
      </c>
      <c r="E153" s="40">
        <f>HomeHeatDemand!H152</f>
        <v>0</v>
      </c>
      <c r="F153" s="40">
        <f>HP_Power!B158</f>
        <v>0</v>
      </c>
      <c r="G153" s="40">
        <f>HP_Power!C158</f>
        <v>0</v>
      </c>
      <c r="H153" s="40">
        <f>HP_Power!D158</f>
        <v>0</v>
      </c>
      <c r="I153" s="104">
        <f>HP_Power!F158</f>
        <v>0</v>
      </c>
      <c r="J153" s="104">
        <f>HP_Power!G158</f>
        <v>0</v>
      </c>
      <c r="K153" s="104">
        <f>HP_Power!H158</f>
        <v>0</v>
      </c>
      <c r="L153" s="104">
        <f>HP_Power!I158</f>
        <v>0</v>
      </c>
      <c r="M153" s="104">
        <f>HP_Power!J158</f>
        <v>0</v>
      </c>
      <c r="N153" s="104">
        <f>HP_Power!K158</f>
        <v>0</v>
      </c>
      <c r="O153" s="55">
        <f t="shared" si="15"/>
        <v>0</v>
      </c>
      <c r="P153" s="55">
        <f t="shared" si="16"/>
        <v>0</v>
      </c>
      <c r="Q153" s="55">
        <f t="shared" si="17"/>
        <v>0</v>
      </c>
    </row>
    <row r="154" spans="1:17" x14ac:dyDescent="0.2">
      <c r="A154" s="72">
        <v>144</v>
      </c>
      <c r="B154" s="59">
        <v>144</v>
      </c>
      <c r="C154" s="40">
        <f>HomeHeatDemand!F153</f>
        <v>0</v>
      </c>
      <c r="D154" s="40">
        <f>HomeHeatDemand!G153</f>
        <v>0</v>
      </c>
      <c r="E154" s="40">
        <f>HomeHeatDemand!H153</f>
        <v>0</v>
      </c>
      <c r="F154" s="40">
        <f>HP_Power!B159</f>
        <v>0</v>
      </c>
      <c r="G154" s="40">
        <f>HP_Power!C159</f>
        <v>0</v>
      </c>
      <c r="H154" s="40">
        <f>HP_Power!D159</f>
        <v>0</v>
      </c>
      <c r="I154" s="104">
        <f>HP_Power!F159</f>
        <v>0</v>
      </c>
      <c r="J154" s="104">
        <f>HP_Power!G159</f>
        <v>0</v>
      </c>
      <c r="K154" s="104">
        <f>HP_Power!H159</f>
        <v>0</v>
      </c>
      <c r="L154" s="104">
        <f>HP_Power!I159</f>
        <v>0</v>
      </c>
      <c r="M154" s="104">
        <f>HP_Power!J159</f>
        <v>0</v>
      </c>
      <c r="N154" s="104">
        <f>HP_Power!K159</f>
        <v>0</v>
      </c>
      <c r="O154" s="55">
        <f t="shared" si="15"/>
        <v>0</v>
      </c>
      <c r="P154" s="55">
        <f t="shared" si="16"/>
        <v>0</v>
      </c>
      <c r="Q154" s="55">
        <f t="shared" si="17"/>
        <v>0</v>
      </c>
    </row>
    <row r="155" spans="1:17" x14ac:dyDescent="0.2">
      <c r="A155" s="72">
        <v>145</v>
      </c>
      <c r="B155" s="59">
        <v>145</v>
      </c>
      <c r="C155" s="40">
        <f>HomeHeatDemand!F154</f>
        <v>0</v>
      </c>
      <c r="D155" s="40">
        <f>HomeHeatDemand!G154</f>
        <v>0</v>
      </c>
      <c r="E155" s="40">
        <f>HomeHeatDemand!H154</f>
        <v>0</v>
      </c>
      <c r="F155" s="40">
        <f>HP_Power!B160</f>
        <v>0</v>
      </c>
      <c r="G155" s="40">
        <f>HP_Power!C160</f>
        <v>0</v>
      </c>
      <c r="H155" s="40">
        <f>HP_Power!D160</f>
        <v>0</v>
      </c>
      <c r="I155" s="104">
        <f>HP_Power!F160</f>
        <v>0</v>
      </c>
      <c r="J155" s="104">
        <f>HP_Power!G160</f>
        <v>0</v>
      </c>
      <c r="K155" s="104">
        <f>HP_Power!H160</f>
        <v>0</v>
      </c>
      <c r="L155" s="104">
        <f>HP_Power!I160</f>
        <v>0</v>
      </c>
      <c r="M155" s="104">
        <f>HP_Power!J160</f>
        <v>0</v>
      </c>
      <c r="N155" s="104">
        <f>HP_Power!K160</f>
        <v>0</v>
      </c>
      <c r="O155" s="55">
        <f t="shared" si="15"/>
        <v>0</v>
      </c>
      <c r="P155" s="55">
        <f t="shared" si="16"/>
        <v>0</v>
      </c>
      <c r="Q155" s="55">
        <f t="shared" si="17"/>
        <v>0</v>
      </c>
    </row>
    <row r="156" spans="1:17" x14ac:dyDescent="0.2">
      <c r="A156" s="72">
        <v>146</v>
      </c>
      <c r="B156" s="59">
        <v>146</v>
      </c>
      <c r="C156" s="40">
        <f>HomeHeatDemand!F155</f>
        <v>0</v>
      </c>
      <c r="D156" s="40">
        <f>HomeHeatDemand!G155</f>
        <v>0</v>
      </c>
      <c r="E156" s="40">
        <f>HomeHeatDemand!H155</f>
        <v>0</v>
      </c>
      <c r="F156" s="40">
        <f>HP_Power!B161</f>
        <v>0</v>
      </c>
      <c r="G156" s="40">
        <f>HP_Power!C161</f>
        <v>0</v>
      </c>
      <c r="H156" s="40">
        <f>HP_Power!D161</f>
        <v>0</v>
      </c>
      <c r="I156" s="104">
        <f>HP_Power!F161</f>
        <v>0</v>
      </c>
      <c r="J156" s="104">
        <f>HP_Power!G161</f>
        <v>0</v>
      </c>
      <c r="K156" s="104">
        <f>HP_Power!H161</f>
        <v>0</v>
      </c>
      <c r="L156" s="104">
        <f>HP_Power!I161</f>
        <v>0</v>
      </c>
      <c r="M156" s="104">
        <f>HP_Power!J161</f>
        <v>0</v>
      </c>
      <c r="N156" s="104">
        <f>HP_Power!K161</f>
        <v>0</v>
      </c>
      <c r="O156" s="55">
        <f t="shared" si="15"/>
        <v>0</v>
      </c>
      <c r="P156" s="55">
        <f t="shared" si="16"/>
        <v>0</v>
      </c>
      <c r="Q156" s="55">
        <f t="shared" si="17"/>
        <v>0</v>
      </c>
    </row>
    <row r="157" spans="1:17" x14ac:dyDescent="0.2">
      <c r="A157" s="72">
        <v>147</v>
      </c>
      <c r="B157" s="59">
        <v>147</v>
      </c>
      <c r="C157" s="40">
        <f>HomeHeatDemand!F156</f>
        <v>0</v>
      </c>
      <c r="D157" s="40">
        <f>HomeHeatDemand!G156</f>
        <v>0</v>
      </c>
      <c r="E157" s="40">
        <f>HomeHeatDemand!H156</f>
        <v>0</v>
      </c>
      <c r="F157" s="40">
        <f>HP_Power!B162</f>
        <v>0</v>
      </c>
      <c r="G157" s="40">
        <f>HP_Power!C162</f>
        <v>0</v>
      </c>
      <c r="H157" s="40">
        <f>HP_Power!D162</f>
        <v>0</v>
      </c>
      <c r="I157" s="104">
        <f>HP_Power!F162</f>
        <v>0</v>
      </c>
      <c r="J157" s="104">
        <f>HP_Power!G162</f>
        <v>0</v>
      </c>
      <c r="K157" s="104">
        <f>HP_Power!H162</f>
        <v>0</v>
      </c>
      <c r="L157" s="104">
        <f>HP_Power!I162</f>
        <v>0</v>
      </c>
      <c r="M157" s="104">
        <f>HP_Power!J162</f>
        <v>0</v>
      </c>
      <c r="N157" s="104">
        <f>HP_Power!K162</f>
        <v>0</v>
      </c>
      <c r="O157" s="55">
        <f t="shared" si="15"/>
        <v>0</v>
      </c>
      <c r="P157" s="55">
        <f t="shared" si="16"/>
        <v>0</v>
      </c>
      <c r="Q157" s="55">
        <f t="shared" si="17"/>
        <v>0</v>
      </c>
    </row>
    <row r="158" spans="1:17" x14ac:dyDescent="0.2">
      <c r="A158" s="72">
        <v>148</v>
      </c>
      <c r="B158" s="59">
        <v>148</v>
      </c>
      <c r="C158" s="40">
        <f>HomeHeatDemand!F157</f>
        <v>0</v>
      </c>
      <c r="D158" s="40">
        <f>HomeHeatDemand!G157</f>
        <v>0</v>
      </c>
      <c r="E158" s="40">
        <f>HomeHeatDemand!H157</f>
        <v>0</v>
      </c>
      <c r="F158" s="40">
        <f>HP_Power!B163</f>
        <v>0</v>
      </c>
      <c r="G158" s="40">
        <f>HP_Power!C163</f>
        <v>0</v>
      </c>
      <c r="H158" s="40">
        <f>HP_Power!D163</f>
        <v>0</v>
      </c>
      <c r="I158" s="104">
        <f>HP_Power!F163</f>
        <v>0</v>
      </c>
      <c r="J158" s="104">
        <f>HP_Power!G163</f>
        <v>0</v>
      </c>
      <c r="K158" s="104">
        <f>HP_Power!H163</f>
        <v>0</v>
      </c>
      <c r="L158" s="104">
        <f>HP_Power!I163</f>
        <v>0</v>
      </c>
      <c r="M158" s="104">
        <f>HP_Power!J163</f>
        <v>0</v>
      </c>
      <c r="N158" s="104">
        <f>HP_Power!K163</f>
        <v>0</v>
      </c>
      <c r="O158" s="55">
        <f t="shared" si="15"/>
        <v>0</v>
      </c>
      <c r="P158" s="55">
        <f t="shared" si="16"/>
        <v>0</v>
      </c>
      <c r="Q158" s="55">
        <f t="shared" si="17"/>
        <v>0</v>
      </c>
    </row>
    <row r="159" spans="1:17" x14ac:dyDescent="0.2">
      <c r="A159" s="72">
        <v>149</v>
      </c>
      <c r="B159" s="59">
        <v>149</v>
      </c>
      <c r="C159" s="40">
        <f>HomeHeatDemand!F158</f>
        <v>0</v>
      </c>
      <c r="D159" s="40">
        <f>HomeHeatDemand!G158</f>
        <v>0</v>
      </c>
      <c r="E159" s="40">
        <f>HomeHeatDemand!H158</f>
        <v>0</v>
      </c>
      <c r="F159" s="40">
        <f>HP_Power!B164</f>
        <v>0</v>
      </c>
      <c r="G159" s="40">
        <f>HP_Power!C164</f>
        <v>0</v>
      </c>
      <c r="H159" s="40">
        <f>HP_Power!D164</f>
        <v>0</v>
      </c>
      <c r="I159" s="104">
        <f>HP_Power!F164</f>
        <v>0</v>
      </c>
      <c r="J159" s="104">
        <f>HP_Power!G164</f>
        <v>0</v>
      </c>
      <c r="K159" s="104">
        <f>HP_Power!H164</f>
        <v>0</v>
      </c>
      <c r="L159" s="104">
        <f>HP_Power!I164</f>
        <v>0</v>
      </c>
      <c r="M159" s="104">
        <f>HP_Power!J164</f>
        <v>0</v>
      </c>
      <c r="N159" s="104">
        <f>HP_Power!K164</f>
        <v>0</v>
      </c>
      <c r="O159" s="55">
        <f t="shared" si="15"/>
        <v>0</v>
      </c>
      <c r="P159" s="55">
        <f t="shared" si="16"/>
        <v>0</v>
      </c>
      <c r="Q159" s="55">
        <f t="shared" si="17"/>
        <v>0</v>
      </c>
    </row>
    <row r="160" spans="1:17" x14ac:dyDescent="0.2">
      <c r="A160" s="72">
        <v>150</v>
      </c>
      <c r="B160" s="59">
        <v>150</v>
      </c>
      <c r="C160" s="40">
        <f>HomeHeatDemand!F159</f>
        <v>0</v>
      </c>
      <c r="D160" s="40">
        <f>HomeHeatDemand!G159</f>
        <v>0</v>
      </c>
      <c r="E160" s="40">
        <f>HomeHeatDemand!H159</f>
        <v>0</v>
      </c>
      <c r="F160" s="40">
        <f>HP_Power!B165</f>
        <v>0</v>
      </c>
      <c r="G160" s="40">
        <f>HP_Power!C165</f>
        <v>0</v>
      </c>
      <c r="H160" s="40">
        <f>HP_Power!D165</f>
        <v>0</v>
      </c>
      <c r="I160" s="104">
        <f>HP_Power!F165</f>
        <v>0</v>
      </c>
      <c r="J160" s="104">
        <f>HP_Power!G165</f>
        <v>0</v>
      </c>
      <c r="K160" s="104">
        <f>HP_Power!H165</f>
        <v>0</v>
      </c>
      <c r="L160" s="104">
        <f>HP_Power!I165</f>
        <v>0</v>
      </c>
      <c r="M160" s="104">
        <f>HP_Power!J165</f>
        <v>0</v>
      </c>
      <c r="N160" s="104">
        <f>HP_Power!K165</f>
        <v>0</v>
      </c>
      <c r="O160" s="55">
        <f t="shared" si="15"/>
        <v>0</v>
      </c>
      <c r="P160" s="55">
        <f t="shared" si="16"/>
        <v>0</v>
      </c>
      <c r="Q160" s="55">
        <f t="shared" si="17"/>
        <v>0</v>
      </c>
    </row>
    <row r="161" spans="1:17" x14ac:dyDescent="0.2">
      <c r="A161" s="72">
        <v>151</v>
      </c>
      <c r="B161" s="59">
        <v>151</v>
      </c>
      <c r="C161" s="40">
        <f>HomeHeatDemand!F160</f>
        <v>3.4332694957598457</v>
      </c>
      <c r="D161" s="40">
        <f>HomeHeatDemand!G160</f>
        <v>1.8717327794185254</v>
      </c>
      <c r="E161" s="40">
        <f>HomeHeatDemand!H160</f>
        <v>0.32981104388639787</v>
      </c>
      <c r="F161" s="40">
        <f>HP_Power!B166</f>
        <v>0.74636293386083608</v>
      </c>
      <c r="G161" s="40">
        <f>HP_Power!C166</f>
        <v>0.34817321475331586</v>
      </c>
      <c r="H161" s="40">
        <f>HP_Power!D166</f>
        <v>5.4355139759513407E-2</v>
      </c>
      <c r="I161" s="104">
        <f>HP_Power!F166</f>
        <v>0.36139678902735217</v>
      </c>
      <c r="J161" s="104">
        <f>HP_Power!G166</f>
        <v>0.1970245030966869</v>
      </c>
      <c r="K161" s="104">
        <f>HP_Power!H166</f>
        <v>3.471695198804188E-2</v>
      </c>
      <c r="L161" s="104">
        <f>HP_Power!I166</f>
        <v>0.48220077187638283</v>
      </c>
      <c r="M161" s="104">
        <f>HP_Power!J166</f>
        <v>0.26288381733406258</v>
      </c>
      <c r="N161" s="104">
        <f>HP_Power!K166</f>
        <v>4.6321775826741275E-2</v>
      </c>
      <c r="O161" s="55">
        <f t="shared" si="15"/>
        <v>0.38224352251574223</v>
      </c>
      <c r="P161" s="55">
        <f t="shared" si="16"/>
        <v>0.21957685264482196</v>
      </c>
      <c r="Q161" s="55">
        <f t="shared" si="17"/>
        <v>4.6321775826741275E-2</v>
      </c>
    </row>
    <row r="162" spans="1:17" x14ac:dyDescent="0.2">
      <c r="A162" s="72">
        <v>152</v>
      </c>
      <c r="B162" s="59">
        <v>152</v>
      </c>
      <c r="C162" s="40">
        <f>HomeHeatDemand!F161</f>
        <v>3.4332694957598457</v>
      </c>
      <c r="D162" s="40">
        <f>HomeHeatDemand!G161</f>
        <v>1.8717327794185254</v>
      </c>
      <c r="E162" s="40">
        <f>HomeHeatDemand!H161</f>
        <v>0.32981104388639787</v>
      </c>
      <c r="F162" s="40">
        <f>HP_Power!B167</f>
        <v>0.74636293386083608</v>
      </c>
      <c r="G162" s="40">
        <f>HP_Power!C167</f>
        <v>0.34817321475331586</v>
      </c>
      <c r="H162" s="40">
        <f>HP_Power!D167</f>
        <v>5.4355139759513407E-2</v>
      </c>
      <c r="I162" s="104">
        <f>HP_Power!F167</f>
        <v>0.36139678902735217</v>
      </c>
      <c r="J162" s="104">
        <f>HP_Power!G167</f>
        <v>0.1970245030966869</v>
      </c>
      <c r="K162" s="104">
        <f>HP_Power!H167</f>
        <v>3.471695198804188E-2</v>
      </c>
      <c r="L162" s="104">
        <f>HP_Power!I167</f>
        <v>0.48220077187638283</v>
      </c>
      <c r="M162" s="104">
        <f>HP_Power!J167</f>
        <v>0.26288381733406258</v>
      </c>
      <c r="N162" s="104">
        <f>HP_Power!K167</f>
        <v>4.6321775826741275E-2</v>
      </c>
      <c r="O162" s="55">
        <f t="shared" si="15"/>
        <v>0.38224352251574223</v>
      </c>
      <c r="P162" s="55">
        <f t="shared" si="16"/>
        <v>0.21957685264482196</v>
      </c>
      <c r="Q162" s="55">
        <f t="shared" si="17"/>
        <v>4.6321775826741275E-2</v>
      </c>
    </row>
    <row r="163" spans="1:17" x14ac:dyDescent="0.2">
      <c r="A163" s="72">
        <v>153</v>
      </c>
      <c r="B163" s="59">
        <v>153</v>
      </c>
      <c r="C163" s="40">
        <f>HomeHeatDemand!F162</f>
        <v>0</v>
      </c>
      <c r="D163" s="40">
        <f>HomeHeatDemand!G162</f>
        <v>0</v>
      </c>
      <c r="E163" s="40">
        <f>HomeHeatDemand!H162</f>
        <v>0</v>
      </c>
      <c r="F163" s="40">
        <f>HP_Power!B168</f>
        <v>0</v>
      </c>
      <c r="G163" s="40">
        <f>HP_Power!C168</f>
        <v>0</v>
      </c>
      <c r="H163" s="40">
        <f>HP_Power!D168</f>
        <v>0</v>
      </c>
      <c r="I163" s="104">
        <f>HP_Power!F168</f>
        <v>0</v>
      </c>
      <c r="J163" s="104">
        <f>HP_Power!G168</f>
        <v>0</v>
      </c>
      <c r="K163" s="104">
        <f>HP_Power!H168</f>
        <v>0</v>
      </c>
      <c r="L163" s="104">
        <f>HP_Power!I168</f>
        <v>0</v>
      </c>
      <c r="M163" s="104">
        <f>HP_Power!J168</f>
        <v>0</v>
      </c>
      <c r="N163" s="104">
        <f>HP_Power!K168</f>
        <v>0</v>
      </c>
      <c r="O163" s="55">
        <f t="shared" si="15"/>
        <v>0</v>
      </c>
      <c r="P163" s="55">
        <f t="shared" si="16"/>
        <v>0</v>
      </c>
      <c r="Q163" s="55">
        <f t="shared" si="17"/>
        <v>0</v>
      </c>
    </row>
    <row r="164" spans="1:17" x14ac:dyDescent="0.2">
      <c r="A164" s="72">
        <v>154</v>
      </c>
      <c r="B164" s="59">
        <v>154</v>
      </c>
      <c r="C164" s="40">
        <f>HomeHeatDemand!F163</f>
        <v>0</v>
      </c>
      <c r="D164" s="40">
        <f>HomeHeatDemand!G163</f>
        <v>0</v>
      </c>
      <c r="E164" s="40">
        <f>HomeHeatDemand!H163</f>
        <v>0</v>
      </c>
      <c r="F164" s="40">
        <f>HP_Power!B169</f>
        <v>0</v>
      </c>
      <c r="G164" s="40">
        <f>HP_Power!C169</f>
        <v>0</v>
      </c>
      <c r="H164" s="40">
        <f>HP_Power!D169</f>
        <v>0</v>
      </c>
      <c r="I164" s="104">
        <f>HP_Power!F169</f>
        <v>0</v>
      </c>
      <c r="J164" s="104">
        <f>HP_Power!G169</f>
        <v>0</v>
      </c>
      <c r="K164" s="104">
        <f>HP_Power!H169</f>
        <v>0</v>
      </c>
      <c r="L164" s="104">
        <f>HP_Power!I169</f>
        <v>0</v>
      </c>
      <c r="M164" s="104">
        <f>HP_Power!J169</f>
        <v>0</v>
      </c>
      <c r="N164" s="104">
        <f>HP_Power!K169</f>
        <v>0</v>
      </c>
      <c r="O164" s="55">
        <f t="shared" si="15"/>
        <v>0</v>
      </c>
      <c r="P164" s="55">
        <f t="shared" si="16"/>
        <v>0</v>
      </c>
      <c r="Q164" s="55">
        <f t="shared" si="17"/>
        <v>0</v>
      </c>
    </row>
    <row r="165" spans="1:17" x14ac:dyDescent="0.2">
      <c r="A165" s="72">
        <v>155</v>
      </c>
      <c r="B165" s="59">
        <v>155</v>
      </c>
      <c r="C165" s="40">
        <f>HomeHeatDemand!F164</f>
        <v>0</v>
      </c>
      <c r="D165" s="40">
        <f>HomeHeatDemand!G164</f>
        <v>0</v>
      </c>
      <c r="E165" s="40">
        <f>HomeHeatDemand!H164</f>
        <v>0</v>
      </c>
      <c r="F165" s="40">
        <f>HP_Power!B170</f>
        <v>0</v>
      </c>
      <c r="G165" s="40">
        <f>HP_Power!C170</f>
        <v>0</v>
      </c>
      <c r="H165" s="40">
        <f>HP_Power!D170</f>
        <v>0</v>
      </c>
      <c r="I165" s="104">
        <f>HP_Power!F170</f>
        <v>0</v>
      </c>
      <c r="J165" s="104">
        <f>HP_Power!G170</f>
        <v>0</v>
      </c>
      <c r="K165" s="104">
        <f>HP_Power!H170</f>
        <v>0</v>
      </c>
      <c r="L165" s="104">
        <f>HP_Power!I170</f>
        <v>0</v>
      </c>
      <c r="M165" s="104">
        <f>HP_Power!J170</f>
        <v>0</v>
      </c>
      <c r="N165" s="104">
        <f>HP_Power!K170</f>
        <v>0</v>
      </c>
      <c r="O165" s="55">
        <f t="shared" si="15"/>
        <v>0</v>
      </c>
      <c r="P165" s="55">
        <f t="shared" si="16"/>
        <v>0</v>
      </c>
      <c r="Q165" s="55">
        <f t="shared" si="17"/>
        <v>0</v>
      </c>
    </row>
    <row r="166" spans="1:17" x14ac:dyDescent="0.2">
      <c r="A166" s="72">
        <v>156</v>
      </c>
      <c r="B166" s="59">
        <v>156</v>
      </c>
      <c r="C166" s="40">
        <f>HomeHeatDemand!F165</f>
        <v>0</v>
      </c>
      <c r="D166" s="40">
        <f>HomeHeatDemand!G165</f>
        <v>0</v>
      </c>
      <c r="E166" s="40">
        <f>HomeHeatDemand!H165</f>
        <v>0</v>
      </c>
      <c r="F166" s="40">
        <f>HP_Power!B171</f>
        <v>0</v>
      </c>
      <c r="G166" s="40">
        <f>HP_Power!C171</f>
        <v>0</v>
      </c>
      <c r="H166" s="40">
        <f>HP_Power!D171</f>
        <v>0</v>
      </c>
      <c r="I166" s="104">
        <f>HP_Power!F171</f>
        <v>0</v>
      </c>
      <c r="J166" s="104">
        <f>HP_Power!G171</f>
        <v>0</v>
      </c>
      <c r="K166" s="104">
        <f>HP_Power!H171</f>
        <v>0</v>
      </c>
      <c r="L166" s="104">
        <f>HP_Power!I171</f>
        <v>0</v>
      </c>
      <c r="M166" s="104">
        <f>HP_Power!J171</f>
        <v>0</v>
      </c>
      <c r="N166" s="104">
        <f>HP_Power!K171</f>
        <v>0</v>
      </c>
      <c r="O166" s="55">
        <f t="shared" si="15"/>
        <v>0</v>
      </c>
      <c r="P166" s="55">
        <f t="shared" si="16"/>
        <v>0</v>
      </c>
      <c r="Q166" s="55">
        <f t="shared" si="17"/>
        <v>0</v>
      </c>
    </row>
    <row r="167" spans="1:17" x14ac:dyDescent="0.2">
      <c r="A167" s="72">
        <v>157</v>
      </c>
      <c r="B167" s="59">
        <v>157</v>
      </c>
      <c r="C167" s="40">
        <f>HomeHeatDemand!F166</f>
        <v>0</v>
      </c>
      <c r="D167" s="40">
        <f>HomeHeatDemand!G166</f>
        <v>0</v>
      </c>
      <c r="E167" s="40">
        <f>HomeHeatDemand!H166</f>
        <v>0</v>
      </c>
      <c r="F167" s="40">
        <f>HP_Power!B172</f>
        <v>0</v>
      </c>
      <c r="G167" s="40">
        <f>HP_Power!C172</f>
        <v>0</v>
      </c>
      <c r="H167" s="40">
        <f>HP_Power!D172</f>
        <v>0</v>
      </c>
      <c r="I167" s="104">
        <f>HP_Power!F172</f>
        <v>0</v>
      </c>
      <c r="J167" s="104">
        <f>HP_Power!G172</f>
        <v>0</v>
      </c>
      <c r="K167" s="104">
        <f>HP_Power!H172</f>
        <v>0</v>
      </c>
      <c r="L167" s="104">
        <f>HP_Power!I172</f>
        <v>0</v>
      </c>
      <c r="M167" s="104">
        <f>HP_Power!J172</f>
        <v>0</v>
      </c>
      <c r="N167" s="104">
        <f>HP_Power!K172</f>
        <v>0</v>
      </c>
      <c r="O167" s="55">
        <f t="shared" si="15"/>
        <v>0</v>
      </c>
      <c r="P167" s="55">
        <f t="shared" si="16"/>
        <v>0</v>
      </c>
      <c r="Q167" s="55">
        <f t="shared" si="17"/>
        <v>0</v>
      </c>
    </row>
    <row r="168" spans="1:17" x14ac:dyDescent="0.2">
      <c r="A168" s="72">
        <v>158</v>
      </c>
      <c r="B168" s="59">
        <v>158</v>
      </c>
      <c r="C168" s="40">
        <f>HomeHeatDemand!F167</f>
        <v>0</v>
      </c>
      <c r="D168" s="40">
        <f>HomeHeatDemand!G167</f>
        <v>0</v>
      </c>
      <c r="E168" s="40">
        <f>HomeHeatDemand!H167</f>
        <v>0</v>
      </c>
      <c r="F168" s="40">
        <f>HP_Power!B173</f>
        <v>0</v>
      </c>
      <c r="G168" s="40">
        <f>HP_Power!C173</f>
        <v>0</v>
      </c>
      <c r="H168" s="40">
        <f>HP_Power!D173</f>
        <v>0</v>
      </c>
      <c r="I168" s="104">
        <f>HP_Power!F173</f>
        <v>0</v>
      </c>
      <c r="J168" s="104">
        <f>HP_Power!G173</f>
        <v>0</v>
      </c>
      <c r="K168" s="104">
        <f>HP_Power!H173</f>
        <v>0</v>
      </c>
      <c r="L168" s="104">
        <f>HP_Power!I173</f>
        <v>0</v>
      </c>
      <c r="M168" s="104">
        <f>HP_Power!J173</f>
        <v>0</v>
      </c>
      <c r="N168" s="104">
        <f>HP_Power!K173</f>
        <v>0</v>
      </c>
      <c r="O168" s="55">
        <f t="shared" si="15"/>
        <v>0</v>
      </c>
      <c r="P168" s="55">
        <f t="shared" si="16"/>
        <v>0</v>
      </c>
      <c r="Q168" s="55">
        <f t="shared" si="17"/>
        <v>0</v>
      </c>
    </row>
    <row r="169" spans="1:17" x14ac:dyDescent="0.2">
      <c r="A169" s="72">
        <v>159</v>
      </c>
      <c r="B169" s="59">
        <v>159</v>
      </c>
      <c r="C169" s="40">
        <f>HomeHeatDemand!F168</f>
        <v>0</v>
      </c>
      <c r="D169" s="40">
        <f>HomeHeatDemand!G168</f>
        <v>0</v>
      </c>
      <c r="E169" s="40">
        <f>HomeHeatDemand!H168</f>
        <v>0</v>
      </c>
      <c r="F169" s="40">
        <f>HP_Power!B174</f>
        <v>0</v>
      </c>
      <c r="G169" s="40">
        <f>HP_Power!C174</f>
        <v>0</v>
      </c>
      <c r="H169" s="40">
        <f>HP_Power!D174</f>
        <v>0</v>
      </c>
      <c r="I169" s="104">
        <f>HP_Power!F174</f>
        <v>0</v>
      </c>
      <c r="J169" s="104">
        <f>HP_Power!G174</f>
        <v>0</v>
      </c>
      <c r="K169" s="104">
        <f>HP_Power!H174</f>
        <v>0</v>
      </c>
      <c r="L169" s="104">
        <f>HP_Power!I174</f>
        <v>0</v>
      </c>
      <c r="M169" s="104">
        <f>HP_Power!J174</f>
        <v>0</v>
      </c>
      <c r="N169" s="104">
        <f>HP_Power!K174</f>
        <v>0</v>
      </c>
      <c r="O169" s="55">
        <f t="shared" si="15"/>
        <v>0</v>
      </c>
      <c r="P169" s="55">
        <f t="shared" si="16"/>
        <v>0</v>
      </c>
      <c r="Q169" s="55">
        <f t="shared" si="17"/>
        <v>0</v>
      </c>
    </row>
    <row r="170" spans="1:17" x14ac:dyDescent="0.2">
      <c r="A170" s="72">
        <v>160</v>
      </c>
      <c r="B170" s="59">
        <v>160</v>
      </c>
      <c r="C170" s="40">
        <f>HomeHeatDemand!F169</f>
        <v>3.4332694957598457</v>
      </c>
      <c r="D170" s="40">
        <f>HomeHeatDemand!G169</f>
        <v>1.8717327794185254</v>
      </c>
      <c r="E170" s="40">
        <f>HomeHeatDemand!H169</f>
        <v>0.32981104388639787</v>
      </c>
      <c r="F170" s="40">
        <f>HP_Power!B175</f>
        <v>0.74636293386083608</v>
      </c>
      <c r="G170" s="40">
        <f>HP_Power!C175</f>
        <v>0.34817321475331586</v>
      </c>
      <c r="H170" s="40">
        <f>HP_Power!D175</f>
        <v>5.4355139759513407E-2</v>
      </c>
      <c r="I170" s="104">
        <f>HP_Power!F175</f>
        <v>0.36139678902735217</v>
      </c>
      <c r="J170" s="104">
        <f>HP_Power!G175</f>
        <v>0.1970245030966869</v>
      </c>
      <c r="K170" s="104">
        <f>HP_Power!H175</f>
        <v>3.471695198804188E-2</v>
      </c>
      <c r="L170" s="104">
        <f>HP_Power!I175</f>
        <v>0.48220077187638283</v>
      </c>
      <c r="M170" s="104">
        <f>HP_Power!J175</f>
        <v>0.26288381733406258</v>
      </c>
      <c r="N170" s="104">
        <f>HP_Power!K175</f>
        <v>4.6321775826741275E-2</v>
      </c>
      <c r="O170" s="55">
        <f t="shared" si="15"/>
        <v>0.38224352251574223</v>
      </c>
      <c r="P170" s="55">
        <f t="shared" si="16"/>
        <v>0.21957685264482196</v>
      </c>
      <c r="Q170" s="55">
        <f t="shared" si="17"/>
        <v>4.6321775826741275E-2</v>
      </c>
    </row>
    <row r="171" spans="1:17" x14ac:dyDescent="0.2">
      <c r="A171" s="72">
        <v>161</v>
      </c>
      <c r="B171" s="59">
        <v>161</v>
      </c>
      <c r="C171" s="40">
        <f>HomeHeatDemand!F170</f>
        <v>3.4332694957598457</v>
      </c>
      <c r="D171" s="40">
        <f>HomeHeatDemand!G170</f>
        <v>1.8717327794185254</v>
      </c>
      <c r="E171" s="40">
        <f>HomeHeatDemand!H170</f>
        <v>0.32981104388639787</v>
      </c>
      <c r="F171" s="40">
        <f>HP_Power!B176</f>
        <v>0.74636293386083608</v>
      </c>
      <c r="G171" s="40">
        <f>HP_Power!C176</f>
        <v>0.34817321475331586</v>
      </c>
      <c r="H171" s="40">
        <f>HP_Power!D176</f>
        <v>5.4355139759513407E-2</v>
      </c>
      <c r="I171" s="104">
        <f>HP_Power!F176</f>
        <v>0.36139678902735217</v>
      </c>
      <c r="J171" s="104">
        <f>HP_Power!G176</f>
        <v>0.1970245030966869</v>
      </c>
      <c r="K171" s="104">
        <f>HP_Power!H176</f>
        <v>3.471695198804188E-2</v>
      </c>
      <c r="L171" s="104">
        <f>HP_Power!I176</f>
        <v>0.48220077187638283</v>
      </c>
      <c r="M171" s="104">
        <f>HP_Power!J176</f>
        <v>0.26288381733406258</v>
      </c>
      <c r="N171" s="104">
        <f>HP_Power!K176</f>
        <v>4.6321775826741275E-2</v>
      </c>
      <c r="O171" s="55">
        <f t="shared" si="15"/>
        <v>0.38224352251574223</v>
      </c>
      <c r="P171" s="55">
        <f t="shared" si="16"/>
        <v>0.21957685264482196</v>
      </c>
      <c r="Q171" s="55">
        <f t="shared" si="17"/>
        <v>4.6321775826741275E-2</v>
      </c>
    </row>
    <row r="172" spans="1:17" x14ac:dyDescent="0.2">
      <c r="A172" s="72">
        <v>162</v>
      </c>
      <c r="B172" s="59">
        <v>162</v>
      </c>
      <c r="C172" s="40">
        <f>HomeHeatDemand!F171</f>
        <v>3.4332694957598457</v>
      </c>
      <c r="D172" s="40">
        <f>HomeHeatDemand!G171</f>
        <v>1.8717327794185254</v>
      </c>
      <c r="E172" s="40">
        <f>HomeHeatDemand!H171</f>
        <v>0.32981104388639787</v>
      </c>
      <c r="F172" s="40">
        <f>HP_Power!B177</f>
        <v>0.74636293386083608</v>
      </c>
      <c r="G172" s="40">
        <f>HP_Power!C177</f>
        <v>0.34817321475331586</v>
      </c>
      <c r="H172" s="40">
        <f>HP_Power!D177</f>
        <v>5.4355139759513407E-2</v>
      </c>
      <c r="I172" s="104">
        <f>HP_Power!F177</f>
        <v>0.36139678902735217</v>
      </c>
      <c r="J172" s="104">
        <f>HP_Power!G177</f>
        <v>0.1970245030966869</v>
      </c>
      <c r="K172" s="104">
        <f>HP_Power!H177</f>
        <v>3.471695198804188E-2</v>
      </c>
      <c r="L172" s="104">
        <f>HP_Power!I177</f>
        <v>0.48220077187638283</v>
      </c>
      <c r="M172" s="104">
        <f>HP_Power!J177</f>
        <v>0.26288381733406258</v>
      </c>
      <c r="N172" s="104">
        <f>HP_Power!K177</f>
        <v>4.6321775826741275E-2</v>
      </c>
      <c r="O172" s="55">
        <f t="shared" si="15"/>
        <v>0.38224352251574223</v>
      </c>
      <c r="P172" s="55">
        <f t="shared" si="16"/>
        <v>0.21957685264482196</v>
      </c>
      <c r="Q172" s="55">
        <f t="shared" si="17"/>
        <v>4.6321775826741275E-2</v>
      </c>
    </row>
    <row r="173" spans="1:17" x14ac:dyDescent="0.2">
      <c r="A173" s="72">
        <v>163</v>
      </c>
      <c r="B173" s="59">
        <v>163</v>
      </c>
      <c r="C173" s="40">
        <f>HomeHeatDemand!F172</f>
        <v>3.4332694957598457</v>
      </c>
      <c r="D173" s="40">
        <f>HomeHeatDemand!G172</f>
        <v>1.8717327794185254</v>
      </c>
      <c r="E173" s="40">
        <f>HomeHeatDemand!H172</f>
        <v>0.32981104388639787</v>
      </c>
      <c r="F173" s="40">
        <f>HP_Power!B178</f>
        <v>0.74636293386083608</v>
      </c>
      <c r="G173" s="40">
        <f>HP_Power!C178</f>
        <v>0.34817321475331586</v>
      </c>
      <c r="H173" s="40">
        <f>HP_Power!D178</f>
        <v>5.4355139759513407E-2</v>
      </c>
      <c r="I173" s="104">
        <f>HP_Power!F178</f>
        <v>0.36139678902735217</v>
      </c>
      <c r="J173" s="104">
        <f>HP_Power!G178</f>
        <v>0.1970245030966869</v>
      </c>
      <c r="K173" s="104">
        <f>HP_Power!H178</f>
        <v>3.471695198804188E-2</v>
      </c>
      <c r="L173" s="104">
        <f>HP_Power!I178</f>
        <v>0.48220077187638283</v>
      </c>
      <c r="M173" s="104">
        <f>HP_Power!J178</f>
        <v>0.26288381733406258</v>
      </c>
      <c r="N173" s="104">
        <f>HP_Power!K178</f>
        <v>4.6321775826741275E-2</v>
      </c>
      <c r="O173" s="55">
        <f t="shared" si="15"/>
        <v>0.38224352251574223</v>
      </c>
      <c r="P173" s="55">
        <f t="shared" si="16"/>
        <v>0.21957685264482196</v>
      </c>
      <c r="Q173" s="55">
        <f t="shared" si="17"/>
        <v>4.6321775826741275E-2</v>
      </c>
    </row>
    <row r="174" spans="1:17" x14ac:dyDescent="0.2">
      <c r="A174" s="72">
        <v>164</v>
      </c>
      <c r="B174" s="59">
        <v>164</v>
      </c>
      <c r="C174" s="40">
        <f>HomeHeatDemand!F173</f>
        <v>3.4332694957598457</v>
      </c>
      <c r="D174" s="40">
        <f>HomeHeatDemand!G173</f>
        <v>1.8717327794185254</v>
      </c>
      <c r="E174" s="40">
        <f>HomeHeatDemand!H173</f>
        <v>0.32981104388639787</v>
      </c>
      <c r="F174" s="40">
        <f>HP_Power!B179</f>
        <v>0.74636293386083608</v>
      </c>
      <c r="G174" s="40">
        <f>HP_Power!C179</f>
        <v>0.34817321475331586</v>
      </c>
      <c r="H174" s="40">
        <f>HP_Power!D179</f>
        <v>5.4355139759513407E-2</v>
      </c>
      <c r="I174" s="104">
        <f>HP_Power!F179</f>
        <v>0.36139678902735217</v>
      </c>
      <c r="J174" s="104">
        <f>HP_Power!G179</f>
        <v>0.1970245030966869</v>
      </c>
      <c r="K174" s="104">
        <f>HP_Power!H179</f>
        <v>3.471695198804188E-2</v>
      </c>
      <c r="L174" s="104">
        <f>HP_Power!I179</f>
        <v>0.48220077187638283</v>
      </c>
      <c r="M174" s="104">
        <f>HP_Power!J179</f>
        <v>0.26288381733406258</v>
      </c>
      <c r="N174" s="104">
        <f>HP_Power!K179</f>
        <v>4.6321775826741275E-2</v>
      </c>
      <c r="O174" s="55">
        <f t="shared" si="15"/>
        <v>0.38224352251574223</v>
      </c>
      <c r="P174" s="55">
        <f t="shared" si="16"/>
        <v>0.21957685264482196</v>
      </c>
      <c r="Q174" s="55">
        <f t="shared" si="17"/>
        <v>4.6321775826741275E-2</v>
      </c>
    </row>
    <row r="175" spans="1:17" x14ac:dyDescent="0.2">
      <c r="A175" s="72">
        <v>165</v>
      </c>
      <c r="B175" s="59">
        <v>165</v>
      </c>
      <c r="C175" s="40">
        <f>HomeHeatDemand!F174</f>
        <v>3.4332694957598457</v>
      </c>
      <c r="D175" s="40">
        <f>HomeHeatDemand!G174</f>
        <v>1.8717327794185254</v>
      </c>
      <c r="E175" s="40">
        <f>HomeHeatDemand!H174</f>
        <v>0.32981104388639787</v>
      </c>
      <c r="F175" s="40">
        <f>HP_Power!B180</f>
        <v>0.74636293386083608</v>
      </c>
      <c r="G175" s="40">
        <f>HP_Power!C180</f>
        <v>0.34817321475331586</v>
      </c>
      <c r="H175" s="40">
        <f>HP_Power!D180</f>
        <v>5.4355139759513407E-2</v>
      </c>
      <c r="I175" s="104">
        <f>HP_Power!F180</f>
        <v>0.36139678902735217</v>
      </c>
      <c r="J175" s="104">
        <f>HP_Power!G180</f>
        <v>0.1970245030966869</v>
      </c>
      <c r="K175" s="104">
        <f>HP_Power!H180</f>
        <v>3.471695198804188E-2</v>
      </c>
      <c r="L175" s="104">
        <f>HP_Power!I180</f>
        <v>0.48220077187638283</v>
      </c>
      <c r="M175" s="104">
        <f>HP_Power!J180</f>
        <v>0.26288381733406258</v>
      </c>
      <c r="N175" s="104">
        <f>HP_Power!K180</f>
        <v>4.6321775826741275E-2</v>
      </c>
      <c r="O175" s="55">
        <f t="shared" si="15"/>
        <v>0.38224352251574223</v>
      </c>
      <c r="P175" s="55">
        <f t="shared" si="16"/>
        <v>0.21957685264482196</v>
      </c>
      <c r="Q175" s="55">
        <f t="shared" si="17"/>
        <v>4.6321775826741275E-2</v>
      </c>
    </row>
    <row r="176" spans="1:17" x14ac:dyDescent="0.2">
      <c r="A176" s="72">
        <v>166</v>
      </c>
      <c r="B176" s="59">
        <v>166</v>
      </c>
      <c r="C176" s="40">
        <f>HomeHeatDemand!F175</f>
        <v>3.4332694957598457</v>
      </c>
      <c r="D176" s="40">
        <f>HomeHeatDemand!G175</f>
        <v>1.8717327794185254</v>
      </c>
      <c r="E176" s="40">
        <f>HomeHeatDemand!H175</f>
        <v>0.32981104388639787</v>
      </c>
      <c r="F176" s="40">
        <f>HP_Power!B181</f>
        <v>0.74636293386083608</v>
      </c>
      <c r="G176" s="40">
        <f>HP_Power!C181</f>
        <v>0.34817321475331586</v>
      </c>
      <c r="H176" s="40">
        <f>HP_Power!D181</f>
        <v>5.4355139759513407E-2</v>
      </c>
      <c r="I176" s="104">
        <f>HP_Power!F181</f>
        <v>0.36139678902735217</v>
      </c>
      <c r="J176" s="104">
        <f>HP_Power!G181</f>
        <v>0.1970245030966869</v>
      </c>
      <c r="K176" s="104">
        <f>HP_Power!H181</f>
        <v>3.471695198804188E-2</v>
      </c>
      <c r="L176" s="104">
        <f>HP_Power!I181</f>
        <v>0.48220077187638283</v>
      </c>
      <c r="M176" s="104">
        <f>HP_Power!J181</f>
        <v>0.26288381733406258</v>
      </c>
      <c r="N176" s="104">
        <f>HP_Power!K181</f>
        <v>4.6321775826741275E-2</v>
      </c>
      <c r="O176" s="55">
        <f t="shared" si="15"/>
        <v>0.38224352251574223</v>
      </c>
      <c r="P176" s="55">
        <f t="shared" si="16"/>
        <v>0.21957685264482196</v>
      </c>
      <c r="Q176" s="55">
        <f t="shared" si="17"/>
        <v>4.6321775826741275E-2</v>
      </c>
    </row>
    <row r="177" spans="1:26" x14ac:dyDescent="0.2">
      <c r="A177" s="72">
        <v>167</v>
      </c>
      <c r="B177" s="59">
        <v>167</v>
      </c>
      <c r="C177" s="40">
        <f>HomeHeatDemand!F176</f>
        <v>0</v>
      </c>
      <c r="D177" s="40">
        <f>HomeHeatDemand!G176</f>
        <v>0</v>
      </c>
      <c r="E177" s="40">
        <f>HomeHeatDemand!H176</f>
        <v>0</v>
      </c>
      <c r="F177" s="40">
        <f>HP_Power!B182</f>
        <v>0</v>
      </c>
      <c r="G177" s="40">
        <f>HP_Power!C182</f>
        <v>0</v>
      </c>
      <c r="H177" s="40">
        <f>HP_Power!D182</f>
        <v>0</v>
      </c>
      <c r="I177" s="104">
        <f>HP_Power!F182</f>
        <v>0</v>
      </c>
      <c r="J177" s="104">
        <f>HP_Power!G182</f>
        <v>0</v>
      </c>
      <c r="K177" s="104">
        <f>HP_Power!H182</f>
        <v>0</v>
      </c>
      <c r="L177" s="104">
        <f>HP_Power!I182</f>
        <v>0</v>
      </c>
      <c r="M177" s="104">
        <f>HP_Power!J182</f>
        <v>0</v>
      </c>
      <c r="N177" s="104">
        <f>HP_Power!K182</f>
        <v>0</v>
      </c>
      <c r="O177" s="55">
        <f t="shared" si="15"/>
        <v>0</v>
      </c>
      <c r="P177" s="55">
        <f t="shared" si="16"/>
        <v>0</v>
      </c>
      <c r="Q177" s="55">
        <f t="shared" si="17"/>
        <v>0</v>
      </c>
    </row>
    <row r="178" spans="1:26" s="68" customFormat="1" x14ac:dyDescent="0.2">
      <c r="A178" s="114">
        <v>168</v>
      </c>
      <c r="B178" s="70">
        <v>168</v>
      </c>
      <c r="C178" s="100">
        <f>HomeHeatDemand!F177</f>
        <v>0</v>
      </c>
      <c r="D178" s="100">
        <f>HomeHeatDemand!G177</f>
        <v>0</v>
      </c>
      <c r="E178" s="100">
        <f>HomeHeatDemand!H177</f>
        <v>0</v>
      </c>
      <c r="F178" s="100">
        <f>HP_Power!B183</f>
        <v>0</v>
      </c>
      <c r="G178" s="100">
        <f>HP_Power!C183</f>
        <v>0</v>
      </c>
      <c r="H178" s="100">
        <f>HP_Power!D183</f>
        <v>0</v>
      </c>
      <c r="I178" s="129">
        <f>HP_Power!F183</f>
        <v>0</v>
      </c>
      <c r="J178" s="129">
        <f>HP_Power!G183</f>
        <v>0</v>
      </c>
      <c r="K178" s="129">
        <f>HP_Power!H183</f>
        <v>0</v>
      </c>
      <c r="L178" s="129">
        <f>HP_Power!I183</f>
        <v>0</v>
      </c>
      <c r="M178" s="129">
        <f>HP_Power!J183</f>
        <v>0</v>
      </c>
      <c r="N178" s="129">
        <f>HP_Power!K183</f>
        <v>0</v>
      </c>
      <c r="O178" s="115">
        <f t="shared" si="15"/>
        <v>0</v>
      </c>
      <c r="P178" s="115">
        <f t="shared" si="16"/>
        <v>0</v>
      </c>
      <c r="Q178" s="115">
        <f t="shared" si="17"/>
        <v>0</v>
      </c>
      <c r="Z178" s="152"/>
    </row>
    <row r="179" spans="1:26" x14ac:dyDescent="0.2">
      <c r="A179" s="72">
        <v>1</v>
      </c>
      <c r="B179" s="59">
        <v>169</v>
      </c>
      <c r="C179" s="40">
        <f t="shared" ref="C179:N179" si="18">C11</f>
        <v>0</v>
      </c>
      <c r="D179" s="40">
        <f t="shared" si="18"/>
        <v>0</v>
      </c>
      <c r="E179" s="40">
        <f t="shared" si="18"/>
        <v>0</v>
      </c>
      <c r="F179" s="40">
        <f t="shared" si="18"/>
        <v>0</v>
      </c>
      <c r="G179" s="40">
        <f t="shared" si="18"/>
        <v>0</v>
      </c>
      <c r="H179" s="40">
        <f t="shared" si="18"/>
        <v>0</v>
      </c>
      <c r="I179" s="104">
        <f t="shared" si="18"/>
        <v>0</v>
      </c>
      <c r="J179" s="104">
        <f t="shared" si="18"/>
        <v>0</v>
      </c>
      <c r="K179" s="104">
        <f t="shared" si="18"/>
        <v>0</v>
      </c>
      <c r="L179" s="104">
        <f t="shared" si="18"/>
        <v>0</v>
      </c>
      <c r="M179" s="104">
        <f t="shared" si="18"/>
        <v>0</v>
      </c>
      <c r="N179" s="104">
        <f t="shared" si="18"/>
        <v>0</v>
      </c>
      <c r="O179" s="55">
        <f>O11</f>
        <v>0</v>
      </c>
      <c r="P179" s="55">
        <f t="shared" ref="P179:Q179" si="19">P11</f>
        <v>0</v>
      </c>
      <c r="Q179" s="55">
        <f t="shared" si="19"/>
        <v>0</v>
      </c>
    </row>
    <row r="180" spans="1:26" x14ac:dyDescent="0.2">
      <c r="A180" s="72">
        <v>2</v>
      </c>
      <c r="B180" s="59">
        <v>170</v>
      </c>
      <c r="C180" s="40">
        <f t="shared" ref="C180:Q180" si="20">C12</f>
        <v>0</v>
      </c>
      <c r="D180" s="40">
        <f t="shared" si="20"/>
        <v>0</v>
      </c>
      <c r="E180" s="40">
        <f t="shared" si="20"/>
        <v>0</v>
      </c>
      <c r="F180" s="40">
        <f t="shared" si="20"/>
        <v>0</v>
      </c>
      <c r="G180" s="40">
        <f t="shared" si="20"/>
        <v>0</v>
      </c>
      <c r="H180" s="40">
        <f t="shared" si="20"/>
        <v>0</v>
      </c>
      <c r="I180" s="104">
        <f t="shared" si="20"/>
        <v>0</v>
      </c>
      <c r="J180" s="104">
        <f t="shared" si="20"/>
        <v>0</v>
      </c>
      <c r="K180" s="104">
        <f t="shared" si="20"/>
        <v>0</v>
      </c>
      <c r="L180" s="104">
        <f t="shared" si="20"/>
        <v>0</v>
      </c>
      <c r="M180" s="104">
        <f t="shared" si="20"/>
        <v>0</v>
      </c>
      <c r="N180" s="104">
        <f t="shared" si="20"/>
        <v>0</v>
      </c>
      <c r="O180" s="55">
        <f t="shared" si="20"/>
        <v>0</v>
      </c>
      <c r="P180" s="55">
        <f t="shared" si="20"/>
        <v>0</v>
      </c>
      <c r="Q180" s="55">
        <f t="shared" si="20"/>
        <v>0</v>
      </c>
    </row>
    <row r="181" spans="1:26" x14ac:dyDescent="0.2">
      <c r="A181" s="72">
        <v>3</v>
      </c>
      <c r="B181" s="59">
        <v>171</v>
      </c>
      <c r="C181" s="40">
        <f t="shared" ref="C181:Q181" si="21">C13</f>
        <v>0</v>
      </c>
      <c r="D181" s="40">
        <f t="shared" si="21"/>
        <v>0</v>
      </c>
      <c r="E181" s="40">
        <f t="shared" si="21"/>
        <v>0</v>
      </c>
      <c r="F181" s="40">
        <f t="shared" si="21"/>
        <v>0</v>
      </c>
      <c r="G181" s="40">
        <f t="shared" si="21"/>
        <v>0</v>
      </c>
      <c r="H181" s="40">
        <f t="shared" si="21"/>
        <v>0</v>
      </c>
      <c r="I181" s="104">
        <f t="shared" si="21"/>
        <v>0</v>
      </c>
      <c r="J181" s="104">
        <f t="shared" si="21"/>
        <v>0</v>
      </c>
      <c r="K181" s="104">
        <f t="shared" si="21"/>
        <v>0</v>
      </c>
      <c r="L181" s="104">
        <f t="shared" si="21"/>
        <v>0</v>
      </c>
      <c r="M181" s="104">
        <f t="shared" si="21"/>
        <v>0</v>
      </c>
      <c r="N181" s="104">
        <f t="shared" si="21"/>
        <v>0</v>
      </c>
      <c r="O181" s="55">
        <f t="shared" si="21"/>
        <v>0</v>
      </c>
      <c r="P181" s="55">
        <f t="shared" si="21"/>
        <v>0</v>
      </c>
      <c r="Q181" s="55">
        <f t="shared" si="21"/>
        <v>0</v>
      </c>
    </row>
    <row r="182" spans="1:26" x14ac:dyDescent="0.2">
      <c r="A182" s="72">
        <v>4</v>
      </c>
      <c r="B182" s="59">
        <v>172</v>
      </c>
      <c r="C182" s="40">
        <f t="shared" ref="C182:Q182" si="22">C14</f>
        <v>0</v>
      </c>
      <c r="D182" s="40">
        <f t="shared" si="22"/>
        <v>0</v>
      </c>
      <c r="E182" s="40">
        <f t="shared" si="22"/>
        <v>0</v>
      </c>
      <c r="F182" s="40">
        <f t="shared" si="22"/>
        <v>0</v>
      </c>
      <c r="G182" s="40">
        <f t="shared" si="22"/>
        <v>0</v>
      </c>
      <c r="H182" s="40">
        <f t="shared" si="22"/>
        <v>0</v>
      </c>
      <c r="I182" s="104">
        <f t="shared" si="22"/>
        <v>0</v>
      </c>
      <c r="J182" s="104">
        <f t="shared" si="22"/>
        <v>0</v>
      </c>
      <c r="K182" s="104">
        <f t="shared" si="22"/>
        <v>0</v>
      </c>
      <c r="L182" s="104">
        <f t="shared" si="22"/>
        <v>0</v>
      </c>
      <c r="M182" s="104">
        <f t="shared" si="22"/>
        <v>0</v>
      </c>
      <c r="N182" s="104">
        <f t="shared" si="22"/>
        <v>0</v>
      </c>
      <c r="O182" s="55">
        <f t="shared" si="22"/>
        <v>0</v>
      </c>
      <c r="P182" s="55">
        <f t="shared" si="22"/>
        <v>0</v>
      </c>
      <c r="Q182" s="55">
        <f t="shared" si="22"/>
        <v>0</v>
      </c>
    </row>
    <row r="183" spans="1:26" x14ac:dyDescent="0.2">
      <c r="A183" s="72">
        <v>5</v>
      </c>
      <c r="B183" s="59">
        <v>173</v>
      </c>
      <c r="C183" s="40">
        <f t="shared" ref="C183:Q183" si="23">C15</f>
        <v>0</v>
      </c>
      <c r="D183" s="40">
        <f t="shared" si="23"/>
        <v>0</v>
      </c>
      <c r="E183" s="40">
        <f t="shared" si="23"/>
        <v>0</v>
      </c>
      <c r="F183" s="40">
        <f t="shared" si="23"/>
        <v>0</v>
      </c>
      <c r="G183" s="40">
        <f t="shared" si="23"/>
        <v>0</v>
      </c>
      <c r="H183" s="40">
        <f t="shared" si="23"/>
        <v>0</v>
      </c>
      <c r="I183" s="104">
        <f t="shared" si="23"/>
        <v>0</v>
      </c>
      <c r="J183" s="104">
        <f t="shared" si="23"/>
        <v>0</v>
      </c>
      <c r="K183" s="104">
        <f t="shared" si="23"/>
        <v>0</v>
      </c>
      <c r="L183" s="104">
        <f t="shared" si="23"/>
        <v>0</v>
      </c>
      <c r="M183" s="104">
        <f t="shared" si="23"/>
        <v>0</v>
      </c>
      <c r="N183" s="104">
        <f t="shared" si="23"/>
        <v>0</v>
      </c>
      <c r="O183" s="55">
        <f t="shared" si="23"/>
        <v>0</v>
      </c>
      <c r="P183" s="55">
        <f t="shared" si="23"/>
        <v>0</v>
      </c>
      <c r="Q183" s="55">
        <f t="shared" si="23"/>
        <v>0</v>
      </c>
    </row>
    <row r="184" spans="1:26" x14ac:dyDescent="0.2">
      <c r="A184" s="72">
        <v>6</v>
      </c>
      <c r="B184" s="59">
        <v>174</v>
      </c>
      <c r="C184" s="40">
        <f t="shared" ref="C184:Q184" si="24">C16</f>
        <v>0</v>
      </c>
      <c r="D184" s="40">
        <f t="shared" si="24"/>
        <v>0</v>
      </c>
      <c r="E184" s="40">
        <f t="shared" si="24"/>
        <v>0</v>
      </c>
      <c r="F184" s="40">
        <f t="shared" si="24"/>
        <v>0</v>
      </c>
      <c r="G184" s="40">
        <f t="shared" si="24"/>
        <v>0</v>
      </c>
      <c r="H184" s="40">
        <f t="shared" si="24"/>
        <v>0</v>
      </c>
      <c r="I184" s="104">
        <f t="shared" si="24"/>
        <v>0</v>
      </c>
      <c r="J184" s="104">
        <f t="shared" si="24"/>
        <v>0</v>
      </c>
      <c r="K184" s="104">
        <f t="shared" si="24"/>
        <v>0</v>
      </c>
      <c r="L184" s="104">
        <f t="shared" si="24"/>
        <v>0</v>
      </c>
      <c r="M184" s="104">
        <f t="shared" si="24"/>
        <v>0</v>
      </c>
      <c r="N184" s="104">
        <f t="shared" si="24"/>
        <v>0</v>
      </c>
      <c r="O184" s="55">
        <f t="shared" si="24"/>
        <v>0</v>
      </c>
      <c r="P184" s="55">
        <f t="shared" si="24"/>
        <v>0</v>
      </c>
      <c r="Q184" s="55">
        <f t="shared" si="24"/>
        <v>0</v>
      </c>
    </row>
    <row r="185" spans="1:26" x14ac:dyDescent="0.2">
      <c r="A185" s="72">
        <v>7</v>
      </c>
      <c r="B185" s="59">
        <v>175</v>
      </c>
      <c r="C185" s="40">
        <f t="shared" ref="C185:Q185" si="25">C17</f>
        <v>3.4332694957598457</v>
      </c>
      <c r="D185" s="40">
        <f t="shared" si="25"/>
        <v>1.8717327794185254</v>
      </c>
      <c r="E185" s="40">
        <f t="shared" si="25"/>
        <v>0.32981104388639787</v>
      </c>
      <c r="F185" s="40">
        <f t="shared" si="25"/>
        <v>0.74636293386083608</v>
      </c>
      <c r="G185" s="40">
        <f t="shared" si="25"/>
        <v>0.34817321475331586</v>
      </c>
      <c r="H185" s="40">
        <f t="shared" si="25"/>
        <v>5.4355139759513407E-2</v>
      </c>
      <c r="I185" s="104">
        <f t="shared" si="25"/>
        <v>0.36139678902735217</v>
      </c>
      <c r="J185" s="104">
        <f t="shared" si="25"/>
        <v>0.1970245030966869</v>
      </c>
      <c r="K185" s="104">
        <f t="shared" si="25"/>
        <v>3.471695198804188E-2</v>
      </c>
      <c r="L185" s="104">
        <f t="shared" si="25"/>
        <v>0.48220077187638283</v>
      </c>
      <c r="M185" s="104">
        <f t="shared" si="25"/>
        <v>0.26288381733406258</v>
      </c>
      <c r="N185" s="104">
        <f t="shared" si="25"/>
        <v>4.6321775826741275E-2</v>
      </c>
      <c r="O185" s="55">
        <f t="shared" si="25"/>
        <v>0.38224352251574223</v>
      </c>
      <c r="P185" s="55">
        <f t="shared" si="25"/>
        <v>0.21957685264482196</v>
      </c>
      <c r="Q185" s="55">
        <f t="shared" si="25"/>
        <v>4.6321775826741275E-2</v>
      </c>
    </row>
    <row r="186" spans="1:26" x14ac:dyDescent="0.2">
      <c r="A186" s="72">
        <v>8</v>
      </c>
      <c r="B186" s="59">
        <v>176</v>
      </c>
      <c r="C186" s="40">
        <f t="shared" ref="C186:Q186" si="26">C18</f>
        <v>3.4332694957598457</v>
      </c>
      <c r="D186" s="40">
        <f t="shared" si="26"/>
        <v>1.8717327794185254</v>
      </c>
      <c r="E186" s="40">
        <f t="shared" si="26"/>
        <v>0.32981104388639787</v>
      </c>
      <c r="F186" s="40">
        <f t="shared" si="26"/>
        <v>0.74636293386083608</v>
      </c>
      <c r="G186" s="40">
        <f t="shared" si="26"/>
        <v>0.34817321475331586</v>
      </c>
      <c r="H186" s="40">
        <f t="shared" si="26"/>
        <v>5.4355139759513407E-2</v>
      </c>
      <c r="I186" s="104">
        <f t="shared" si="26"/>
        <v>0.36139678902735217</v>
      </c>
      <c r="J186" s="104">
        <f t="shared" si="26"/>
        <v>0.1970245030966869</v>
      </c>
      <c r="K186" s="104">
        <f t="shared" si="26"/>
        <v>3.471695198804188E-2</v>
      </c>
      <c r="L186" s="104">
        <f t="shared" si="26"/>
        <v>0.48220077187638283</v>
      </c>
      <c r="M186" s="104">
        <f t="shared" si="26"/>
        <v>0.26288381733406258</v>
      </c>
      <c r="N186" s="104">
        <f t="shared" si="26"/>
        <v>4.6321775826741275E-2</v>
      </c>
      <c r="O186" s="55">
        <f t="shared" si="26"/>
        <v>0.38224352251574223</v>
      </c>
      <c r="P186" s="55">
        <f t="shared" si="26"/>
        <v>0.21957685264482196</v>
      </c>
      <c r="Q186" s="55">
        <f t="shared" si="26"/>
        <v>4.6321775826741275E-2</v>
      </c>
    </row>
    <row r="187" spans="1:26" x14ac:dyDescent="0.2">
      <c r="A187" s="72">
        <v>9</v>
      </c>
      <c r="B187" s="59">
        <v>177</v>
      </c>
      <c r="C187" s="40">
        <f t="shared" ref="C187:Q187" si="27">C19</f>
        <v>0</v>
      </c>
      <c r="D187" s="40">
        <f t="shared" si="27"/>
        <v>0</v>
      </c>
      <c r="E187" s="40">
        <f t="shared" si="27"/>
        <v>0</v>
      </c>
      <c r="F187" s="40">
        <f t="shared" si="27"/>
        <v>0</v>
      </c>
      <c r="G187" s="40">
        <f t="shared" si="27"/>
        <v>0</v>
      </c>
      <c r="H187" s="40">
        <f t="shared" si="27"/>
        <v>0</v>
      </c>
      <c r="I187" s="104">
        <f t="shared" si="27"/>
        <v>0</v>
      </c>
      <c r="J187" s="104">
        <f t="shared" si="27"/>
        <v>0</v>
      </c>
      <c r="K187" s="104">
        <f t="shared" si="27"/>
        <v>0</v>
      </c>
      <c r="L187" s="104">
        <f t="shared" si="27"/>
        <v>0</v>
      </c>
      <c r="M187" s="104">
        <f t="shared" si="27"/>
        <v>0</v>
      </c>
      <c r="N187" s="104">
        <f t="shared" si="27"/>
        <v>0</v>
      </c>
      <c r="O187" s="55">
        <f t="shared" si="27"/>
        <v>0</v>
      </c>
      <c r="P187" s="55">
        <f t="shared" si="27"/>
        <v>0</v>
      </c>
      <c r="Q187" s="55">
        <f t="shared" si="27"/>
        <v>0</v>
      </c>
    </row>
    <row r="188" spans="1:26" x14ac:dyDescent="0.2">
      <c r="A188" s="72">
        <v>10</v>
      </c>
      <c r="B188" s="59">
        <v>178</v>
      </c>
      <c r="C188" s="40">
        <f t="shared" ref="C188:Q188" si="28">C20</f>
        <v>0</v>
      </c>
      <c r="D188" s="40">
        <f t="shared" si="28"/>
        <v>0</v>
      </c>
      <c r="E188" s="40">
        <f t="shared" si="28"/>
        <v>0</v>
      </c>
      <c r="F188" s="40">
        <f t="shared" si="28"/>
        <v>0</v>
      </c>
      <c r="G188" s="40">
        <f t="shared" si="28"/>
        <v>0</v>
      </c>
      <c r="H188" s="40">
        <f t="shared" si="28"/>
        <v>0</v>
      </c>
      <c r="I188" s="104">
        <f t="shared" si="28"/>
        <v>0</v>
      </c>
      <c r="J188" s="104">
        <f t="shared" si="28"/>
        <v>0</v>
      </c>
      <c r="K188" s="104">
        <f t="shared" si="28"/>
        <v>0</v>
      </c>
      <c r="L188" s="104">
        <f t="shared" si="28"/>
        <v>0</v>
      </c>
      <c r="M188" s="104">
        <f t="shared" si="28"/>
        <v>0</v>
      </c>
      <c r="N188" s="104">
        <f t="shared" si="28"/>
        <v>0</v>
      </c>
      <c r="O188" s="55">
        <f t="shared" si="28"/>
        <v>0</v>
      </c>
      <c r="P188" s="55">
        <f t="shared" si="28"/>
        <v>0</v>
      </c>
      <c r="Q188" s="55">
        <f t="shared" si="28"/>
        <v>0</v>
      </c>
    </row>
    <row r="189" spans="1:26" x14ac:dyDescent="0.2">
      <c r="A189" s="72">
        <v>11</v>
      </c>
      <c r="B189" s="59">
        <v>179</v>
      </c>
      <c r="C189" s="40">
        <f t="shared" ref="C189:Q189" si="29">C21</f>
        <v>0</v>
      </c>
      <c r="D189" s="40">
        <f t="shared" si="29"/>
        <v>0</v>
      </c>
      <c r="E189" s="40">
        <f t="shared" si="29"/>
        <v>0</v>
      </c>
      <c r="F189" s="40">
        <f t="shared" si="29"/>
        <v>0</v>
      </c>
      <c r="G189" s="40">
        <f t="shared" si="29"/>
        <v>0</v>
      </c>
      <c r="H189" s="40">
        <f t="shared" si="29"/>
        <v>0</v>
      </c>
      <c r="I189" s="104">
        <f t="shared" si="29"/>
        <v>0</v>
      </c>
      <c r="J189" s="104">
        <f t="shared" si="29"/>
        <v>0</v>
      </c>
      <c r="K189" s="104">
        <f t="shared" si="29"/>
        <v>0</v>
      </c>
      <c r="L189" s="104">
        <f t="shared" si="29"/>
        <v>0</v>
      </c>
      <c r="M189" s="104">
        <f t="shared" si="29"/>
        <v>0</v>
      </c>
      <c r="N189" s="104">
        <f t="shared" si="29"/>
        <v>0</v>
      </c>
      <c r="O189" s="55">
        <f t="shared" si="29"/>
        <v>0</v>
      </c>
      <c r="P189" s="55">
        <f t="shared" si="29"/>
        <v>0</v>
      </c>
      <c r="Q189" s="55">
        <f t="shared" si="29"/>
        <v>0</v>
      </c>
    </row>
    <row r="190" spans="1:26" x14ac:dyDescent="0.2">
      <c r="A190" s="72">
        <v>12</v>
      </c>
      <c r="B190" s="59">
        <v>180</v>
      </c>
      <c r="C190" s="40">
        <f t="shared" ref="C190:Q190" si="30">C22</f>
        <v>0</v>
      </c>
      <c r="D190" s="40">
        <f t="shared" si="30"/>
        <v>0</v>
      </c>
      <c r="E190" s="40">
        <f t="shared" si="30"/>
        <v>0</v>
      </c>
      <c r="F190" s="40">
        <f t="shared" si="30"/>
        <v>0</v>
      </c>
      <c r="G190" s="40">
        <f t="shared" si="30"/>
        <v>0</v>
      </c>
      <c r="H190" s="40">
        <f t="shared" si="30"/>
        <v>0</v>
      </c>
      <c r="I190" s="104">
        <f t="shared" si="30"/>
        <v>0</v>
      </c>
      <c r="J190" s="104">
        <f t="shared" si="30"/>
        <v>0</v>
      </c>
      <c r="K190" s="104">
        <f t="shared" si="30"/>
        <v>0</v>
      </c>
      <c r="L190" s="104">
        <f t="shared" si="30"/>
        <v>0</v>
      </c>
      <c r="M190" s="104">
        <f t="shared" si="30"/>
        <v>0</v>
      </c>
      <c r="N190" s="104">
        <f t="shared" si="30"/>
        <v>0</v>
      </c>
      <c r="O190" s="55">
        <f t="shared" si="30"/>
        <v>0</v>
      </c>
      <c r="P190" s="55">
        <f t="shared" si="30"/>
        <v>0</v>
      </c>
      <c r="Q190" s="55">
        <f t="shared" si="30"/>
        <v>0</v>
      </c>
    </row>
    <row r="191" spans="1:26" x14ac:dyDescent="0.2">
      <c r="A191" s="72">
        <v>13</v>
      </c>
      <c r="B191" s="59">
        <v>181</v>
      </c>
      <c r="C191" s="40">
        <f t="shared" ref="C191:Q191" si="31">C23</f>
        <v>0</v>
      </c>
      <c r="D191" s="40">
        <f t="shared" si="31"/>
        <v>0</v>
      </c>
      <c r="E191" s="40">
        <f t="shared" si="31"/>
        <v>0</v>
      </c>
      <c r="F191" s="40">
        <f t="shared" si="31"/>
        <v>0</v>
      </c>
      <c r="G191" s="40">
        <f t="shared" si="31"/>
        <v>0</v>
      </c>
      <c r="H191" s="40">
        <f t="shared" si="31"/>
        <v>0</v>
      </c>
      <c r="I191" s="104">
        <f t="shared" si="31"/>
        <v>0</v>
      </c>
      <c r="J191" s="104">
        <f t="shared" si="31"/>
        <v>0</v>
      </c>
      <c r="K191" s="104">
        <f t="shared" si="31"/>
        <v>0</v>
      </c>
      <c r="L191" s="104">
        <f t="shared" si="31"/>
        <v>0</v>
      </c>
      <c r="M191" s="104">
        <f t="shared" si="31"/>
        <v>0</v>
      </c>
      <c r="N191" s="104">
        <f t="shared" si="31"/>
        <v>0</v>
      </c>
      <c r="O191" s="55">
        <f t="shared" si="31"/>
        <v>0</v>
      </c>
      <c r="P191" s="55">
        <f t="shared" si="31"/>
        <v>0</v>
      </c>
      <c r="Q191" s="55">
        <f t="shared" si="31"/>
        <v>0</v>
      </c>
    </row>
    <row r="192" spans="1:26" x14ac:dyDescent="0.2">
      <c r="A192" s="72">
        <v>14</v>
      </c>
      <c r="B192" s="59">
        <v>182</v>
      </c>
      <c r="C192" s="40">
        <f t="shared" ref="C192:Q192" si="32">C24</f>
        <v>0</v>
      </c>
      <c r="D192" s="40">
        <f t="shared" si="32"/>
        <v>0</v>
      </c>
      <c r="E192" s="40">
        <f t="shared" si="32"/>
        <v>0</v>
      </c>
      <c r="F192" s="40">
        <f t="shared" si="32"/>
        <v>0</v>
      </c>
      <c r="G192" s="40">
        <f t="shared" si="32"/>
        <v>0</v>
      </c>
      <c r="H192" s="40">
        <f t="shared" si="32"/>
        <v>0</v>
      </c>
      <c r="I192" s="104">
        <f t="shared" si="32"/>
        <v>0</v>
      </c>
      <c r="J192" s="104">
        <f t="shared" si="32"/>
        <v>0</v>
      </c>
      <c r="K192" s="104">
        <f t="shared" si="32"/>
        <v>0</v>
      </c>
      <c r="L192" s="104">
        <f t="shared" si="32"/>
        <v>0</v>
      </c>
      <c r="M192" s="104">
        <f t="shared" si="32"/>
        <v>0</v>
      </c>
      <c r="N192" s="104">
        <f t="shared" si="32"/>
        <v>0</v>
      </c>
      <c r="O192" s="55">
        <f t="shared" si="32"/>
        <v>0</v>
      </c>
      <c r="P192" s="55">
        <f t="shared" si="32"/>
        <v>0</v>
      </c>
      <c r="Q192" s="55">
        <f t="shared" si="32"/>
        <v>0</v>
      </c>
    </row>
    <row r="193" spans="1:17" x14ac:dyDescent="0.2">
      <c r="A193" s="72">
        <v>15</v>
      </c>
      <c r="B193" s="59">
        <v>183</v>
      </c>
      <c r="C193" s="40">
        <f t="shared" ref="C193:Q193" si="33">C25</f>
        <v>0</v>
      </c>
      <c r="D193" s="40">
        <f t="shared" si="33"/>
        <v>0</v>
      </c>
      <c r="E193" s="40">
        <f t="shared" si="33"/>
        <v>0</v>
      </c>
      <c r="F193" s="40">
        <f t="shared" si="33"/>
        <v>0</v>
      </c>
      <c r="G193" s="40">
        <f t="shared" si="33"/>
        <v>0</v>
      </c>
      <c r="H193" s="40">
        <f t="shared" si="33"/>
        <v>0</v>
      </c>
      <c r="I193" s="104">
        <f t="shared" si="33"/>
        <v>0</v>
      </c>
      <c r="J193" s="104">
        <f t="shared" si="33"/>
        <v>0</v>
      </c>
      <c r="K193" s="104">
        <f t="shared" si="33"/>
        <v>0</v>
      </c>
      <c r="L193" s="104">
        <f t="shared" si="33"/>
        <v>0</v>
      </c>
      <c r="M193" s="104">
        <f t="shared" si="33"/>
        <v>0</v>
      </c>
      <c r="N193" s="104">
        <f t="shared" si="33"/>
        <v>0</v>
      </c>
      <c r="O193" s="55">
        <f t="shared" si="33"/>
        <v>0</v>
      </c>
      <c r="P193" s="55">
        <f t="shared" si="33"/>
        <v>0</v>
      </c>
      <c r="Q193" s="55">
        <f t="shared" si="33"/>
        <v>0</v>
      </c>
    </row>
    <row r="194" spans="1:17" x14ac:dyDescent="0.2">
      <c r="A194" s="72">
        <v>16</v>
      </c>
      <c r="B194" s="59">
        <v>184</v>
      </c>
      <c r="C194" s="40">
        <f t="shared" ref="C194:Q194" si="34">C26</f>
        <v>3.4332694957598457</v>
      </c>
      <c r="D194" s="40">
        <f t="shared" si="34"/>
        <v>1.8717327794185254</v>
      </c>
      <c r="E194" s="40">
        <f t="shared" si="34"/>
        <v>0.32981104388639787</v>
      </c>
      <c r="F194" s="40">
        <f t="shared" si="34"/>
        <v>0.74636293386083608</v>
      </c>
      <c r="G194" s="40">
        <f t="shared" si="34"/>
        <v>0.34817321475331586</v>
      </c>
      <c r="H194" s="40">
        <f t="shared" si="34"/>
        <v>5.4355139759513407E-2</v>
      </c>
      <c r="I194" s="104">
        <f t="shared" si="34"/>
        <v>0.36139678902735217</v>
      </c>
      <c r="J194" s="104">
        <f t="shared" si="34"/>
        <v>0.1970245030966869</v>
      </c>
      <c r="K194" s="104">
        <f t="shared" si="34"/>
        <v>3.471695198804188E-2</v>
      </c>
      <c r="L194" s="104">
        <f t="shared" si="34"/>
        <v>0.48220077187638283</v>
      </c>
      <c r="M194" s="104">
        <f t="shared" si="34"/>
        <v>0.26288381733406258</v>
      </c>
      <c r="N194" s="104">
        <f t="shared" si="34"/>
        <v>4.6321775826741275E-2</v>
      </c>
      <c r="O194" s="55">
        <f t="shared" si="34"/>
        <v>0.38224352251574223</v>
      </c>
      <c r="P194" s="55">
        <f t="shared" si="34"/>
        <v>0.21957685264482196</v>
      </c>
      <c r="Q194" s="55">
        <f t="shared" si="34"/>
        <v>4.6321775826741275E-2</v>
      </c>
    </row>
    <row r="195" spans="1:17" x14ac:dyDescent="0.2">
      <c r="A195" s="72">
        <v>17</v>
      </c>
      <c r="B195" s="59">
        <v>185</v>
      </c>
      <c r="C195" s="40">
        <f t="shared" ref="C195:Q195" si="35">C27</f>
        <v>3.4332694957598457</v>
      </c>
      <c r="D195" s="40">
        <f t="shared" si="35"/>
        <v>1.8717327794185254</v>
      </c>
      <c r="E195" s="40">
        <f t="shared" si="35"/>
        <v>0.32981104388639787</v>
      </c>
      <c r="F195" s="40">
        <f t="shared" si="35"/>
        <v>0.74636293386083608</v>
      </c>
      <c r="G195" s="40">
        <f t="shared" si="35"/>
        <v>0.34817321475331586</v>
      </c>
      <c r="H195" s="40">
        <f t="shared" si="35"/>
        <v>5.4355139759513407E-2</v>
      </c>
      <c r="I195" s="104">
        <f t="shared" si="35"/>
        <v>0.36139678902735217</v>
      </c>
      <c r="J195" s="104">
        <f t="shared" si="35"/>
        <v>0.1970245030966869</v>
      </c>
      <c r="K195" s="104">
        <f t="shared" si="35"/>
        <v>3.471695198804188E-2</v>
      </c>
      <c r="L195" s="104">
        <f t="shared" si="35"/>
        <v>0.48220077187638283</v>
      </c>
      <c r="M195" s="104">
        <f t="shared" si="35"/>
        <v>0.26288381733406258</v>
      </c>
      <c r="N195" s="104">
        <f t="shared" si="35"/>
        <v>4.6321775826741275E-2</v>
      </c>
      <c r="O195" s="55">
        <f t="shared" si="35"/>
        <v>0.38224352251574223</v>
      </c>
      <c r="P195" s="55">
        <f t="shared" si="35"/>
        <v>0.21957685264482196</v>
      </c>
      <c r="Q195" s="55">
        <f t="shared" si="35"/>
        <v>4.6321775826741275E-2</v>
      </c>
    </row>
    <row r="196" spans="1:17" x14ac:dyDescent="0.2">
      <c r="A196" s="72">
        <v>18</v>
      </c>
      <c r="B196" s="59">
        <v>186</v>
      </c>
      <c r="C196" s="40">
        <f t="shared" ref="C196:Q196" si="36">C28</f>
        <v>3.4332694957598457</v>
      </c>
      <c r="D196" s="40">
        <f t="shared" si="36"/>
        <v>1.8717327794185254</v>
      </c>
      <c r="E196" s="40">
        <f t="shared" si="36"/>
        <v>0.32981104388639787</v>
      </c>
      <c r="F196" s="40">
        <f t="shared" si="36"/>
        <v>0.74636293386083608</v>
      </c>
      <c r="G196" s="40">
        <f t="shared" si="36"/>
        <v>0.34817321475331586</v>
      </c>
      <c r="H196" s="40">
        <f t="shared" si="36"/>
        <v>5.4355139759513407E-2</v>
      </c>
      <c r="I196" s="104">
        <f t="shared" si="36"/>
        <v>0.36139678902735217</v>
      </c>
      <c r="J196" s="104">
        <f t="shared" si="36"/>
        <v>0.1970245030966869</v>
      </c>
      <c r="K196" s="104">
        <f t="shared" si="36"/>
        <v>3.471695198804188E-2</v>
      </c>
      <c r="L196" s="104">
        <f t="shared" si="36"/>
        <v>0.48220077187638283</v>
      </c>
      <c r="M196" s="104">
        <f t="shared" si="36"/>
        <v>0.26288381733406258</v>
      </c>
      <c r="N196" s="104">
        <f t="shared" si="36"/>
        <v>4.6321775826741275E-2</v>
      </c>
      <c r="O196" s="55">
        <f t="shared" si="36"/>
        <v>0.38224352251574223</v>
      </c>
      <c r="P196" s="55">
        <f t="shared" si="36"/>
        <v>0.21957685264482196</v>
      </c>
      <c r="Q196" s="55">
        <f t="shared" si="36"/>
        <v>4.6321775826741275E-2</v>
      </c>
    </row>
    <row r="197" spans="1:17" x14ac:dyDescent="0.2">
      <c r="A197" s="72">
        <v>19</v>
      </c>
      <c r="B197" s="59">
        <v>187</v>
      </c>
      <c r="C197" s="40">
        <f t="shared" ref="C197:Q197" si="37">C29</f>
        <v>3.4332694957598457</v>
      </c>
      <c r="D197" s="40">
        <f t="shared" si="37"/>
        <v>1.8717327794185254</v>
      </c>
      <c r="E197" s="40">
        <f t="shared" si="37"/>
        <v>0.32981104388639787</v>
      </c>
      <c r="F197" s="40">
        <f t="shared" si="37"/>
        <v>0.74636293386083608</v>
      </c>
      <c r="G197" s="40">
        <f t="shared" si="37"/>
        <v>0.34817321475331586</v>
      </c>
      <c r="H197" s="40">
        <f t="shared" si="37"/>
        <v>5.4355139759513407E-2</v>
      </c>
      <c r="I197" s="104">
        <f t="shared" si="37"/>
        <v>0.36139678902735217</v>
      </c>
      <c r="J197" s="104">
        <f t="shared" si="37"/>
        <v>0.1970245030966869</v>
      </c>
      <c r="K197" s="104">
        <f t="shared" si="37"/>
        <v>3.471695198804188E-2</v>
      </c>
      <c r="L197" s="104">
        <f t="shared" si="37"/>
        <v>0.48220077187638283</v>
      </c>
      <c r="M197" s="104">
        <f t="shared" si="37"/>
        <v>0.26288381733406258</v>
      </c>
      <c r="N197" s="104">
        <f t="shared" si="37"/>
        <v>4.6321775826741275E-2</v>
      </c>
      <c r="O197" s="55">
        <f t="shared" si="37"/>
        <v>0.38224352251574223</v>
      </c>
      <c r="P197" s="55">
        <f t="shared" si="37"/>
        <v>0.21957685264482196</v>
      </c>
      <c r="Q197" s="55">
        <f t="shared" si="37"/>
        <v>4.6321775826741275E-2</v>
      </c>
    </row>
    <row r="198" spans="1:17" x14ac:dyDescent="0.2">
      <c r="A198" s="72">
        <v>20</v>
      </c>
      <c r="B198" s="59">
        <v>188</v>
      </c>
      <c r="C198" s="40">
        <f t="shared" ref="C198:Q198" si="38">C30</f>
        <v>3.4332694957598457</v>
      </c>
      <c r="D198" s="40">
        <f t="shared" si="38"/>
        <v>1.8717327794185254</v>
      </c>
      <c r="E198" s="40">
        <f t="shared" si="38"/>
        <v>0.32981104388639787</v>
      </c>
      <c r="F198" s="40">
        <f t="shared" si="38"/>
        <v>0.74636293386083608</v>
      </c>
      <c r="G198" s="40">
        <f t="shared" si="38"/>
        <v>0.34817321475331586</v>
      </c>
      <c r="H198" s="40">
        <f t="shared" si="38"/>
        <v>5.4355139759513407E-2</v>
      </c>
      <c r="I198" s="104">
        <f t="shared" si="38"/>
        <v>0.36139678902735217</v>
      </c>
      <c r="J198" s="104">
        <f t="shared" si="38"/>
        <v>0.1970245030966869</v>
      </c>
      <c r="K198" s="104">
        <f t="shared" si="38"/>
        <v>3.471695198804188E-2</v>
      </c>
      <c r="L198" s="104">
        <f t="shared" si="38"/>
        <v>0.48220077187638283</v>
      </c>
      <c r="M198" s="104">
        <f t="shared" si="38"/>
        <v>0.26288381733406258</v>
      </c>
      <c r="N198" s="104">
        <f t="shared" si="38"/>
        <v>4.6321775826741275E-2</v>
      </c>
      <c r="O198" s="55">
        <f t="shared" si="38"/>
        <v>0.38224352251574223</v>
      </c>
      <c r="P198" s="55">
        <f t="shared" si="38"/>
        <v>0.21957685264482196</v>
      </c>
      <c r="Q198" s="55">
        <f t="shared" si="38"/>
        <v>4.6321775826741275E-2</v>
      </c>
    </row>
    <row r="199" spans="1:17" x14ac:dyDescent="0.2">
      <c r="A199" s="72">
        <v>21</v>
      </c>
      <c r="B199" s="59">
        <v>189</v>
      </c>
      <c r="C199" s="40">
        <f t="shared" ref="C199:Q199" si="39">C31</f>
        <v>3.4332694957598457</v>
      </c>
      <c r="D199" s="40">
        <f t="shared" si="39"/>
        <v>1.8717327794185254</v>
      </c>
      <c r="E199" s="40">
        <f t="shared" si="39"/>
        <v>0.32981104388639787</v>
      </c>
      <c r="F199" s="40">
        <f t="shared" si="39"/>
        <v>0.74636293386083608</v>
      </c>
      <c r="G199" s="40">
        <f t="shared" si="39"/>
        <v>0.34817321475331586</v>
      </c>
      <c r="H199" s="40">
        <f t="shared" si="39"/>
        <v>5.4355139759513407E-2</v>
      </c>
      <c r="I199" s="104">
        <f t="shared" si="39"/>
        <v>0.36139678902735217</v>
      </c>
      <c r="J199" s="104">
        <f t="shared" si="39"/>
        <v>0.1970245030966869</v>
      </c>
      <c r="K199" s="104">
        <f t="shared" si="39"/>
        <v>3.471695198804188E-2</v>
      </c>
      <c r="L199" s="104">
        <f t="shared" si="39"/>
        <v>0.48220077187638283</v>
      </c>
      <c r="M199" s="104">
        <f t="shared" si="39"/>
        <v>0.26288381733406258</v>
      </c>
      <c r="N199" s="104">
        <f t="shared" si="39"/>
        <v>4.6321775826741275E-2</v>
      </c>
      <c r="O199" s="55">
        <f t="shared" si="39"/>
        <v>0.38224352251574223</v>
      </c>
      <c r="P199" s="55">
        <f t="shared" si="39"/>
        <v>0.21957685264482196</v>
      </c>
      <c r="Q199" s="55">
        <f t="shared" si="39"/>
        <v>4.6321775826741275E-2</v>
      </c>
    </row>
    <row r="200" spans="1:17" x14ac:dyDescent="0.2">
      <c r="A200" s="72">
        <v>22</v>
      </c>
      <c r="B200" s="59">
        <v>190</v>
      </c>
      <c r="C200" s="40">
        <f t="shared" ref="C200:Q200" si="40">C32</f>
        <v>3.4332694957598457</v>
      </c>
      <c r="D200" s="40">
        <f t="shared" si="40"/>
        <v>1.8717327794185254</v>
      </c>
      <c r="E200" s="40">
        <f t="shared" si="40"/>
        <v>0.32981104388639787</v>
      </c>
      <c r="F200" s="40">
        <f t="shared" si="40"/>
        <v>0.74636293386083608</v>
      </c>
      <c r="G200" s="40">
        <f t="shared" si="40"/>
        <v>0.34817321475331586</v>
      </c>
      <c r="H200" s="40">
        <f t="shared" si="40"/>
        <v>5.4355139759513407E-2</v>
      </c>
      <c r="I200" s="104">
        <f t="shared" si="40"/>
        <v>0.36139678902735217</v>
      </c>
      <c r="J200" s="104">
        <f t="shared" si="40"/>
        <v>0.1970245030966869</v>
      </c>
      <c r="K200" s="104">
        <f t="shared" si="40"/>
        <v>3.471695198804188E-2</v>
      </c>
      <c r="L200" s="104">
        <f t="shared" si="40"/>
        <v>0.48220077187638283</v>
      </c>
      <c r="M200" s="104">
        <f t="shared" si="40"/>
        <v>0.26288381733406258</v>
      </c>
      <c r="N200" s="104">
        <f t="shared" si="40"/>
        <v>4.6321775826741275E-2</v>
      </c>
      <c r="O200" s="55">
        <f t="shared" si="40"/>
        <v>0.38224352251574223</v>
      </c>
      <c r="P200" s="55">
        <f t="shared" si="40"/>
        <v>0.21957685264482196</v>
      </c>
      <c r="Q200" s="55">
        <f t="shared" si="40"/>
        <v>4.6321775826741275E-2</v>
      </c>
    </row>
    <row r="201" spans="1:17" x14ac:dyDescent="0.2">
      <c r="A201" s="72">
        <v>23</v>
      </c>
      <c r="B201" s="59">
        <v>191</v>
      </c>
      <c r="C201" s="40">
        <f t="shared" ref="C201:Q201" si="41">C33</f>
        <v>0</v>
      </c>
      <c r="D201" s="40">
        <f t="shared" si="41"/>
        <v>0</v>
      </c>
      <c r="E201" s="40">
        <f t="shared" si="41"/>
        <v>0</v>
      </c>
      <c r="F201" s="40">
        <f t="shared" si="41"/>
        <v>0</v>
      </c>
      <c r="G201" s="40">
        <f t="shared" si="41"/>
        <v>0</v>
      </c>
      <c r="H201" s="40">
        <f t="shared" si="41"/>
        <v>0</v>
      </c>
      <c r="I201" s="104">
        <f t="shared" si="41"/>
        <v>0</v>
      </c>
      <c r="J201" s="104">
        <f t="shared" si="41"/>
        <v>0</v>
      </c>
      <c r="K201" s="104">
        <f t="shared" si="41"/>
        <v>0</v>
      </c>
      <c r="L201" s="104">
        <f t="shared" si="41"/>
        <v>0</v>
      </c>
      <c r="M201" s="104">
        <f t="shared" si="41"/>
        <v>0</v>
      </c>
      <c r="N201" s="104">
        <f t="shared" si="41"/>
        <v>0</v>
      </c>
      <c r="O201" s="55">
        <f t="shared" si="41"/>
        <v>0</v>
      </c>
      <c r="P201" s="55">
        <f t="shared" si="41"/>
        <v>0</v>
      </c>
      <c r="Q201" s="55">
        <f t="shared" si="41"/>
        <v>0</v>
      </c>
    </row>
    <row r="202" spans="1:17" x14ac:dyDescent="0.2">
      <c r="A202" s="72">
        <v>24</v>
      </c>
      <c r="B202" s="59">
        <v>192</v>
      </c>
      <c r="C202" s="40">
        <f t="shared" ref="C202:Q202" si="42">C34</f>
        <v>0</v>
      </c>
      <c r="D202" s="40">
        <f t="shared" si="42"/>
        <v>0</v>
      </c>
      <c r="E202" s="40">
        <f t="shared" si="42"/>
        <v>0</v>
      </c>
      <c r="F202" s="40">
        <f t="shared" si="42"/>
        <v>0</v>
      </c>
      <c r="G202" s="40">
        <f t="shared" si="42"/>
        <v>0</v>
      </c>
      <c r="H202" s="40">
        <f t="shared" si="42"/>
        <v>0</v>
      </c>
      <c r="I202" s="104">
        <f t="shared" si="42"/>
        <v>0</v>
      </c>
      <c r="J202" s="104">
        <f t="shared" si="42"/>
        <v>0</v>
      </c>
      <c r="K202" s="104">
        <f t="shared" si="42"/>
        <v>0</v>
      </c>
      <c r="L202" s="104">
        <f t="shared" si="42"/>
        <v>0</v>
      </c>
      <c r="M202" s="104">
        <f t="shared" si="42"/>
        <v>0</v>
      </c>
      <c r="N202" s="104">
        <f t="shared" si="42"/>
        <v>0</v>
      </c>
      <c r="O202" s="55">
        <f t="shared" si="42"/>
        <v>0</v>
      </c>
      <c r="P202" s="55">
        <f t="shared" si="42"/>
        <v>0</v>
      </c>
      <c r="Q202" s="55">
        <f t="shared" si="42"/>
        <v>0</v>
      </c>
    </row>
    <row r="203" spans="1:17" x14ac:dyDescent="0.2">
      <c r="A203" s="72">
        <v>25</v>
      </c>
      <c r="B203" s="59">
        <v>193</v>
      </c>
      <c r="C203" s="40">
        <f t="shared" ref="C203:Q203" si="43">C35</f>
        <v>0</v>
      </c>
      <c r="D203" s="40">
        <f t="shared" si="43"/>
        <v>0</v>
      </c>
      <c r="E203" s="40">
        <f t="shared" si="43"/>
        <v>0</v>
      </c>
      <c r="F203" s="40">
        <f t="shared" si="43"/>
        <v>0</v>
      </c>
      <c r="G203" s="40">
        <f t="shared" si="43"/>
        <v>0</v>
      </c>
      <c r="H203" s="40">
        <f t="shared" si="43"/>
        <v>0</v>
      </c>
      <c r="I203" s="104">
        <f t="shared" si="43"/>
        <v>0</v>
      </c>
      <c r="J203" s="104">
        <f t="shared" si="43"/>
        <v>0</v>
      </c>
      <c r="K203" s="104">
        <f t="shared" si="43"/>
        <v>0</v>
      </c>
      <c r="L203" s="104">
        <f t="shared" si="43"/>
        <v>0</v>
      </c>
      <c r="M203" s="104">
        <f t="shared" si="43"/>
        <v>0</v>
      </c>
      <c r="N203" s="104">
        <f t="shared" si="43"/>
        <v>0</v>
      </c>
      <c r="O203" s="55">
        <f t="shared" si="43"/>
        <v>0</v>
      </c>
      <c r="P203" s="55">
        <f t="shared" si="43"/>
        <v>0</v>
      </c>
      <c r="Q203" s="55">
        <f t="shared" si="43"/>
        <v>0</v>
      </c>
    </row>
    <row r="204" spans="1:17" x14ac:dyDescent="0.2">
      <c r="A204" s="72">
        <v>26</v>
      </c>
      <c r="B204" s="59">
        <v>194</v>
      </c>
      <c r="C204" s="40">
        <f t="shared" ref="C204:Q204" si="44">C36</f>
        <v>0</v>
      </c>
      <c r="D204" s="40">
        <f t="shared" si="44"/>
        <v>0</v>
      </c>
      <c r="E204" s="40">
        <f t="shared" si="44"/>
        <v>0</v>
      </c>
      <c r="F204" s="40">
        <f t="shared" si="44"/>
        <v>0</v>
      </c>
      <c r="G204" s="40">
        <f t="shared" si="44"/>
        <v>0</v>
      </c>
      <c r="H204" s="40">
        <f t="shared" si="44"/>
        <v>0</v>
      </c>
      <c r="I204" s="104">
        <f t="shared" si="44"/>
        <v>0</v>
      </c>
      <c r="J204" s="104">
        <f t="shared" si="44"/>
        <v>0</v>
      </c>
      <c r="K204" s="104">
        <f t="shared" si="44"/>
        <v>0</v>
      </c>
      <c r="L204" s="104">
        <f t="shared" si="44"/>
        <v>0</v>
      </c>
      <c r="M204" s="104">
        <f t="shared" si="44"/>
        <v>0</v>
      </c>
      <c r="N204" s="104">
        <f t="shared" si="44"/>
        <v>0</v>
      </c>
      <c r="O204" s="55">
        <f t="shared" si="44"/>
        <v>0</v>
      </c>
      <c r="P204" s="55">
        <f t="shared" si="44"/>
        <v>0</v>
      </c>
      <c r="Q204" s="55">
        <f t="shared" si="44"/>
        <v>0</v>
      </c>
    </row>
    <row r="205" spans="1:17" x14ac:dyDescent="0.2">
      <c r="A205" s="72">
        <v>27</v>
      </c>
      <c r="B205" s="59">
        <v>195</v>
      </c>
      <c r="C205" s="40">
        <f t="shared" ref="C205:Q205" si="45">C37</f>
        <v>0</v>
      </c>
      <c r="D205" s="40">
        <f t="shared" si="45"/>
        <v>0</v>
      </c>
      <c r="E205" s="40">
        <f t="shared" si="45"/>
        <v>0</v>
      </c>
      <c r="F205" s="40">
        <f t="shared" si="45"/>
        <v>0</v>
      </c>
      <c r="G205" s="40">
        <f t="shared" si="45"/>
        <v>0</v>
      </c>
      <c r="H205" s="40">
        <f t="shared" si="45"/>
        <v>0</v>
      </c>
      <c r="I205" s="104">
        <f t="shared" si="45"/>
        <v>0</v>
      </c>
      <c r="J205" s="104">
        <f t="shared" si="45"/>
        <v>0</v>
      </c>
      <c r="K205" s="104">
        <f t="shared" si="45"/>
        <v>0</v>
      </c>
      <c r="L205" s="104">
        <f t="shared" si="45"/>
        <v>0</v>
      </c>
      <c r="M205" s="104">
        <f t="shared" si="45"/>
        <v>0</v>
      </c>
      <c r="N205" s="104">
        <f t="shared" si="45"/>
        <v>0</v>
      </c>
      <c r="O205" s="55">
        <f t="shared" si="45"/>
        <v>0</v>
      </c>
      <c r="P205" s="55">
        <f t="shared" si="45"/>
        <v>0</v>
      </c>
      <c r="Q205" s="55">
        <f t="shared" si="45"/>
        <v>0</v>
      </c>
    </row>
    <row r="206" spans="1:17" x14ac:dyDescent="0.2">
      <c r="A206" s="72">
        <v>28</v>
      </c>
      <c r="B206" s="59">
        <v>196</v>
      </c>
      <c r="C206" s="40">
        <f t="shared" ref="C206:Q206" si="46">C38</f>
        <v>0</v>
      </c>
      <c r="D206" s="40">
        <f t="shared" si="46"/>
        <v>0</v>
      </c>
      <c r="E206" s="40">
        <f t="shared" si="46"/>
        <v>0</v>
      </c>
      <c r="F206" s="40">
        <f t="shared" si="46"/>
        <v>0</v>
      </c>
      <c r="G206" s="40">
        <f t="shared" si="46"/>
        <v>0</v>
      </c>
      <c r="H206" s="40">
        <f t="shared" si="46"/>
        <v>0</v>
      </c>
      <c r="I206" s="104">
        <f t="shared" si="46"/>
        <v>0</v>
      </c>
      <c r="J206" s="104">
        <f t="shared" si="46"/>
        <v>0</v>
      </c>
      <c r="K206" s="104">
        <f t="shared" si="46"/>
        <v>0</v>
      </c>
      <c r="L206" s="104">
        <f t="shared" si="46"/>
        <v>0</v>
      </c>
      <c r="M206" s="104">
        <f t="shared" si="46"/>
        <v>0</v>
      </c>
      <c r="N206" s="104">
        <f t="shared" si="46"/>
        <v>0</v>
      </c>
      <c r="O206" s="55">
        <f t="shared" si="46"/>
        <v>0</v>
      </c>
      <c r="P206" s="55">
        <f t="shared" si="46"/>
        <v>0</v>
      </c>
      <c r="Q206" s="55">
        <f t="shared" si="46"/>
        <v>0</v>
      </c>
    </row>
    <row r="207" spans="1:17" x14ac:dyDescent="0.2">
      <c r="A207" s="72">
        <v>29</v>
      </c>
      <c r="B207" s="59">
        <v>197</v>
      </c>
      <c r="C207" s="40">
        <f t="shared" ref="C207:Q207" si="47">C39</f>
        <v>0</v>
      </c>
      <c r="D207" s="40">
        <f t="shared" si="47"/>
        <v>0</v>
      </c>
      <c r="E207" s="40">
        <f t="shared" si="47"/>
        <v>0</v>
      </c>
      <c r="F207" s="40">
        <f t="shared" si="47"/>
        <v>0</v>
      </c>
      <c r="G207" s="40">
        <f t="shared" si="47"/>
        <v>0</v>
      </c>
      <c r="H207" s="40">
        <f t="shared" si="47"/>
        <v>0</v>
      </c>
      <c r="I207" s="104">
        <f t="shared" si="47"/>
        <v>0</v>
      </c>
      <c r="J207" s="104">
        <f t="shared" si="47"/>
        <v>0</v>
      </c>
      <c r="K207" s="104">
        <f t="shared" si="47"/>
        <v>0</v>
      </c>
      <c r="L207" s="104">
        <f t="shared" si="47"/>
        <v>0</v>
      </c>
      <c r="M207" s="104">
        <f t="shared" si="47"/>
        <v>0</v>
      </c>
      <c r="N207" s="104">
        <f t="shared" si="47"/>
        <v>0</v>
      </c>
      <c r="O207" s="55">
        <f t="shared" si="47"/>
        <v>0</v>
      </c>
      <c r="P207" s="55">
        <f t="shared" si="47"/>
        <v>0</v>
      </c>
      <c r="Q207" s="55">
        <f t="shared" si="47"/>
        <v>0</v>
      </c>
    </row>
    <row r="208" spans="1:17" x14ac:dyDescent="0.2">
      <c r="A208" s="72">
        <v>30</v>
      </c>
      <c r="B208" s="59">
        <v>198</v>
      </c>
      <c r="C208" s="40">
        <f t="shared" ref="C208:Q208" si="48">C40</f>
        <v>0</v>
      </c>
      <c r="D208" s="40">
        <f t="shared" si="48"/>
        <v>0</v>
      </c>
      <c r="E208" s="40">
        <f t="shared" si="48"/>
        <v>0</v>
      </c>
      <c r="F208" s="40">
        <f t="shared" si="48"/>
        <v>0</v>
      </c>
      <c r="G208" s="40">
        <f t="shared" si="48"/>
        <v>0</v>
      </c>
      <c r="H208" s="40">
        <f t="shared" si="48"/>
        <v>0</v>
      </c>
      <c r="I208" s="104">
        <f t="shared" si="48"/>
        <v>0</v>
      </c>
      <c r="J208" s="104">
        <f t="shared" si="48"/>
        <v>0</v>
      </c>
      <c r="K208" s="104">
        <f t="shared" si="48"/>
        <v>0</v>
      </c>
      <c r="L208" s="104">
        <f t="shared" si="48"/>
        <v>0</v>
      </c>
      <c r="M208" s="104">
        <f t="shared" si="48"/>
        <v>0</v>
      </c>
      <c r="N208" s="104">
        <f t="shared" si="48"/>
        <v>0</v>
      </c>
      <c r="O208" s="55">
        <f t="shared" si="48"/>
        <v>0</v>
      </c>
      <c r="P208" s="55">
        <f t="shared" si="48"/>
        <v>0</v>
      </c>
      <c r="Q208" s="55">
        <f t="shared" si="48"/>
        <v>0</v>
      </c>
    </row>
    <row r="209" spans="1:17" x14ac:dyDescent="0.2">
      <c r="A209" s="72">
        <v>31</v>
      </c>
      <c r="B209" s="59">
        <v>199</v>
      </c>
      <c r="C209" s="40">
        <f t="shared" ref="C209:Q209" si="49">C41</f>
        <v>3.4332694957598457</v>
      </c>
      <c r="D209" s="40">
        <f t="shared" si="49"/>
        <v>1.8717327794185254</v>
      </c>
      <c r="E209" s="40">
        <f t="shared" si="49"/>
        <v>0.32981104388639787</v>
      </c>
      <c r="F209" s="40">
        <f t="shared" si="49"/>
        <v>0.74636293386083608</v>
      </c>
      <c r="G209" s="40">
        <f t="shared" si="49"/>
        <v>0.34817321475331586</v>
      </c>
      <c r="H209" s="40">
        <f t="shared" si="49"/>
        <v>5.4355139759513407E-2</v>
      </c>
      <c r="I209" s="104">
        <f t="shared" si="49"/>
        <v>0.36139678902735217</v>
      </c>
      <c r="J209" s="104">
        <f t="shared" si="49"/>
        <v>0.1970245030966869</v>
      </c>
      <c r="K209" s="104">
        <f t="shared" si="49"/>
        <v>3.471695198804188E-2</v>
      </c>
      <c r="L209" s="104">
        <f t="shared" si="49"/>
        <v>0.48220077187638283</v>
      </c>
      <c r="M209" s="104">
        <f t="shared" si="49"/>
        <v>0.26288381733406258</v>
      </c>
      <c r="N209" s="104">
        <f t="shared" si="49"/>
        <v>4.6321775826741275E-2</v>
      </c>
      <c r="O209" s="55">
        <f t="shared" si="49"/>
        <v>0.38224352251574223</v>
      </c>
      <c r="P209" s="55">
        <f t="shared" si="49"/>
        <v>0.21957685264482196</v>
      </c>
      <c r="Q209" s="55">
        <f t="shared" si="49"/>
        <v>4.6321775826741275E-2</v>
      </c>
    </row>
    <row r="210" spans="1:17" x14ac:dyDescent="0.2">
      <c r="A210" s="72">
        <v>32</v>
      </c>
      <c r="B210" s="59">
        <v>200</v>
      </c>
      <c r="C210" s="40">
        <f t="shared" ref="C210:Q210" si="50">C42</f>
        <v>3.4332694957598457</v>
      </c>
      <c r="D210" s="40">
        <f t="shared" si="50"/>
        <v>1.8717327794185254</v>
      </c>
      <c r="E210" s="40">
        <f t="shared" si="50"/>
        <v>0.32981104388639787</v>
      </c>
      <c r="F210" s="40">
        <f t="shared" si="50"/>
        <v>0.74636293386083608</v>
      </c>
      <c r="G210" s="40">
        <f t="shared" si="50"/>
        <v>0.34817321475331586</v>
      </c>
      <c r="H210" s="40">
        <f t="shared" si="50"/>
        <v>5.4355139759513407E-2</v>
      </c>
      <c r="I210" s="104">
        <f t="shared" si="50"/>
        <v>0.36139678902735217</v>
      </c>
      <c r="J210" s="104">
        <f t="shared" si="50"/>
        <v>0.1970245030966869</v>
      </c>
      <c r="K210" s="104">
        <f t="shared" si="50"/>
        <v>3.471695198804188E-2</v>
      </c>
      <c r="L210" s="104">
        <f t="shared" si="50"/>
        <v>0.48220077187638283</v>
      </c>
      <c r="M210" s="104">
        <f t="shared" si="50"/>
        <v>0.26288381733406258</v>
      </c>
      <c r="N210" s="104">
        <f t="shared" si="50"/>
        <v>4.6321775826741275E-2</v>
      </c>
      <c r="O210" s="55">
        <f t="shared" si="50"/>
        <v>0.38224352251574223</v>
      </c>
      <c r="P210" s="55">
        <f t="shared" si="50"/>
        <v>0.21957685264482196</v>
      </c>
      <c r="Q210" s="55">
        <f t="shared" si="50"/>
        <v>4.6321775826741275E-2</v>
      </c>
    </row>
    <row r="211" spans="1:17" x14ac:dyDescent="0.2">
      <c r="A211" s="72">
        <v>33</v>
      </c>
      <c r="B211" s="59">
        <v>201</v>
      </c>
      <c r="C211" s="40">
        <f t="shared" ref="C211:Q211" si="51">C43</f>
        <v>0</v>
      </c>
      <c r="D211" s="40">
        <f t="shared" si="51"/>
        <v>0</v>
      </c>
      <c r="E211" s="40">
        <f t="shared" si="51"/>
        <v>0</v>
      </c>
      <c r="F211" s="40">
        <f t="shared" si="51"/>
        <v>0</v>
      </c>
      <c r="G211" s="40">
        <f t="shared" si="51"/>
        <v>0</v>
      </c>
      <c r="H211" s="40">
        <f t="shared" si="51"/>
        <v>0</v>
      </c>
      <c r="I211" s="104">
        <f t="shared" si="51"/>
        <v>0</v>
      </c>
      <c r="J211" s="104">
        <f t="shared" si="51"/>
        <v>0</v>
      </c>
      <c r="K211" s="104">
        <f t="shared" si="51"/>
        <v>0</v>
      </c>
      <c r="L211" s="104">
        <f t="shared" si="51"/>
        <v>0</v>
      </c>
      <c r="M211" s="104">
        <f t="shared" si="51"/>
        <v>0</v>
      </c>
      <c r="N211" s="104">
        <f t="shared" si="51"/>
        <v>0</v>
      </c>
      <c r="O211" s="55">
        <f t="shared" si="51"/>
        <v>0</v>
      </c>
      <c r="P211" s="55">
        <f t="shared" si="51"/>
        <v>0</v>
      </c>
      <c r="Q211" s="55">
        <f t="shared" si="51"/>
        <v>0</v>
      </c>
    </row>
    <row r="212" spans="1:17" x14ac:dyDescent="0.2">
      <c r="A212" s="72">
        <v>34</v>
      </c>
      <c r="B212" s="59">
        <v>202</v>
      </c>
      <c r="C212" s="40">
        <f t="shared" ref="C212:Q212" si="52">C44</f>
        <v>0</v>
      </c>
      <c r="D212" s="40">
        <f t="shared" si="52"/>
        <v>0</v>
      </c>
      <c r="E212" s="40">
        <f t="shared" si="52"/>
        <v>0</v>
      </c>
      <c r="F212" s="40">
        <f t="shared" si="52"/>
        <v>0</v>
      </c>
      <c r="G212" s="40">
        <f t="shared" si="52"/>
        <v>0</v>
      </c>
      <c r="H212" s="40">
        <f t="shared" si="52"/>
        <v>0</v>
      </c>
      <c r="I212" s="104">
        <f t="shared" si="52"/>
        <v>0</v>
      </c>
      <c r="J212" s="104">
        <f t="shared" si="52"/>
        <v>0</v>
      </c>
      <c r="K212" s="104">
        <f t="shared" si="52"/>
        <v>0</v>
      </c>
      <c r="L212" s="104">
        <f t="shared" si="52"/>
        <v>0</v>
      </c>
      <c r="M212" s="104">
        <f t="shared" si="52"/>
        <v>0</v>
      </c>
      <c r="N212" s="104">
        <f t="shared" si="52"/>
        <v>0</v>
      </c>
      <c r="O212" s="55">
        <f t="shared" si="52"/>
        <v>0</v>
      </c>
      <c r="P212" s="55">
        <f t="shared" si="52"/>
        <v>0</v>
      </c>
      <c r="Q212" s="55">
        <f t="shared" si="52"/>
        <v>0</v>
      </c>
    </row>
    <row r="213" spans="1:17" x14ac:dyDescent="0.2">
      <c r="A213" s="72">
        <v>35</v>
      </c>
      <c r="B213" s="59">
        <v>203</v>
      </c>
      <c r="C213" s="40">
        <f t="shared" ref="C213:Q213" si="53">C45</f>
        <v>0</v>
      </c>
      <c r="D213" s="40">
        <f t="shared" si="53"/>
        <v>0</v>
      </c>
      <c r="E213" s="40">
        <f t="shared" si="53"/>
        <v>0</v>
      </c>
      <c r="F213" s="40">
        <f t="shared" si="53"/>
        <v>0</v>
      </c>
      <c r="G213" s="40">
        <f t="shared" si="53"/>
        <v>0</v>
      </c>
      <c r="H213" s="40">
        <f t="shared" si="53"/>
        <v>0</v>
      </c>
      <c r="I213" s="104">
        <f t="shared" si="53"/>
        <v>0</v>
      </c>
      <c r="J213" s="104">
        <f t="shared" si="53"/>
        <v>0</v>
      </c>
      <c r="K213" s="104">
        <f t="shared" si="53"/>
        <v>0</v>
      </c>
      <c r="L213" s="104">
        <f t="shared" si="53"/>
        <v>0</v>
      </c>
      <c r="M213" s="104">
        <f t="shared" si="53"/>
        <v>0</v>
      </c>
      <c r="N213" s="104">
        <f t="shared" si="53"/>
        <v>0</v>
      </c>
      <c r="O213" s="55">
        <f t="shared" si="53"/>
        <v>0</v>
      </c>
      <c r="P213" s="55">
        <f t="shared" si="53"/>
        <v>0</v>
      </c>
      <c r="Q213" s="55">
        <f t="shared" si="53"/>
        <v>0</v>
      </c>
    </row>
    <row r="214" spans="1:17" x14ac:dyDescent="0.2">
      <c r="A214" s="72">
        <v>36</v>
      </c>
      <c r="B214" s="59">
        <v>204</v>
      </c>
      <c r="C214" s="40">
        <f t="shared" ref="C214:Q214" si="54">C46</f>
        <v>0</v>
      </c>
      <c r="D214" s="40">
        <f t="shared" si="54"/>
        <v>0</v>
      </c>
      <c r="E214" s="40">
        <f t="shared" si="54"/>
        <v>0</v>
      </c>
      <c r="F214" s="40">
        <f t="shared" si="54"/>
        <v>0</v>
      </c>
      <c r="G214" s="40">
        <f t="shared" si="54"/>
        <v>0</v>
      </c>
      <c r="H214" s="40">
        <f t="shared" si="54"/>
        <v>0</v>
      </c>
      <c r="I214" s="104">
        <f t="shared" si="54"/>
        <v>0</v>
      </c>
      <c r="J214" s="104">
        <f t="shared" si="54"/>
        <v>0</v>
      </c>
      <c r="K214" s="104">
        <f t="shared" si="54"/>
        <v>0</v>
      </c>
      <c r="L214" s="104">
        <f t="shared" si="54"/>
        <v>0</v>
      </c>
      <c r="M214" s="104">
        <f t="shared" si="54"/>
        <v>0</v>
      </c>
      <c r="N214" s="104">
        <f t="shared" si="54"/>
        <v>0</v>
      </c>
      <c r="O214" s="55">
        <f t="shared" si="54"/>
        <v>0</v>
      </c>
      <c r="P214" s="55">
        <f t="shared" si="54"/>
        <v>0</v>
      </c>
      <c r="Q214" s="55">
        <f t="shared" si="54"/>
        <v>0</v>
      </c>
    </row>
    <row r="215" spans="1:17" x14ac:dyDescent="0.2">
      <c r="A215" s="72">
        <v>37</v>
      </c>
      <c r="B215" s="59">
        <v>205</v>
      </c>
      <c r="C215" s="40">
        <f t="shared" ref="C215:Q215" si="55">C47</f>
        <v>0</v>
      </c>
      <c r="D215" s="40">
        <f t="shared" si="55"/>
        <v>0</v>
      </c>
      <c r="E215" s="40">
        <f t="shared" si="55"/>
        <v>0</v>
      </c>
      <c r="F215" s="40">
        <f t="shared" si="55"/>
        <v>0</v>
      </c>
      <c r="G215" s="40">
        <f t="shared" si="55"/>
        <v>0</v>
      </c>
      <c r="H215" s="40">
        <f t="shared" si="55"/>
        <v>0</v>
      </c>
      <c r="I215" s="104">
        <f t="shared" si="55"/>
        <v>0</v>
      </c>
      <c r="J215" s="104">
        <f t="shared" si="55"/>
        <v>0</v>
      </c>
      <c r="K215" s="104">
        <f t="shared" si="55"/>
        <v>0</v>
      </c>
      <c r="L215" s="104">
        <f t="shared" si="55"/>
        <v>0</v>
      </c>
      <c r="M215" s="104">
        <f t="shared" si="55"/>
        <v>0</v>
      </c>
      <c r="N215" s="104">
        <f t="shared" si="55"/>
        <v>0</v>
      </c>
      <c r="O215" s="55">
        <f t="shared" si="55"/>
        <v>0</v>
      </c>
      <c r="P215" s="55">
        <f t="shared" si="55"/>
        <v>0</v>
      </c>
      <c r="Q215" s="55">
        <f t="shared" si="55"/>
        <v>0</v>
      </c>
    </row>
    <row r="216" spans="1:17" x14ac:dyDescent="0.2">
      <c r="A216" s="72">
        <v>38</v>
      </c>
      <c r="B216" s="59">
        <v>206</v>
      </c>
      <c r="C216" s="40">
        <f t="shared" ref="C216:Q216" si="56">C48</f>
        <v>0</v>
      </c>
      <c r="D216" s="40">
        <f t="shared" si="56"/>
        <v>0</v>
      </c>
      <c r="E216" s="40">
        <f t="shared" si="56"/>
        <v>0</v>
      </c>
      <c r="F216" s="40">
        <f t="shared" si="56"/>
        <v>0</v>
      </c>
      <c r="G216" s="40">
        <f t="shared" si="56"/>
        <v>0</v>
      </c>
      <c r="H216" s="40">
        <f t="shared" si="56"/>
        <v>0</v>
      </c>
      <c r="I216" s="104">
        <f t="shared" si="56"/>
        <v>0</v>
      </c>
      <c r="J216" s="104">
        <f t="shared" si="56"/>
        <v>0</v>
      </c>
      <c r="K216" s="104">
        <f t="shared" si="56"/>
        <v>0</v>
      </c>
      <c r="L216" s="104">
        <f t="shared" si="56"/>
        <v>0</v>
      </c>
      <c r="M216" s="104">
        <f t="shared" si="56"/>
        <v>0</v>
      </c>
      <c r="N216" s="104">
        <f t="shared" si="56"/>
        <v>0</v>
      </c>
      <c r="O216" s="55">
        <f t="shared" si="56"/>
        <v>0</v>
      </c>
      <c r="P216" s="55">
        <f t="shared" si="56"/>
        <v>0</v>
      </c>
      <c r="Q216" s="55">
        <f t="shared" si="56"/>
        <v>0</v>
      </c>
    </row>
    <row r="217" spans="1:17" x14ac:dyDescent="0.2">
      <c r="A217" s="72">
        <v>39</v>
      </c>
      <c r="B217" s="59">
        <v>207</v>
      </c>
      <c r="C217" s="40">
        <f t="shared" ref="C217:Q217" si="57">C49</f>
        <v>0</v>
      </c>
      <c r="D217" s="40">
        <f t="shared" si="57"/>
        <v>0</v>
      </c>
      <c r="E217" s="40">
        <f t="shared" si="57"/>
        <v>0</v>
      </c>
      <c r="F217" s="40">
        <f t="shared" si="57"/>
        <v>0</v>
      </c>
      <c r="G217" s="40">
        <f t="shared" si="57"/>
        <v>0</v>
      </c>
      <c r="H217" s="40">
        <f t="shared" si="57"/>
        <v>0</v>
      </c>
      <c r="I217" s="104">
        <f t="shared" si="57"/>
        <v>0</v>
      </c>
      <c r="J217" s="104">
        <f t="shared" si="57"/>
        <v>0</v>
      </c>
      <c r="K217" s="104">
        <f t="shared" si="57"/>
        <v>0</v>
      </c>
      <c r="L217" s="104">
        <f t="shared" si="57"/>
        <v>0</v>
      </c>
      <c r="M217" s="104">
        <f t="shared" si="57"/>
        <v>0</v>
      </c>
      <c r="N217" s="104">
        <f t="shared" si="57"/>
        <v>0</v>
      </c>
      <c r="O217" s="55">
        <f t="shared" si="57"/>
        <v>0</v>
      </c>
      <c r="P217" s="55">
        <f t="shared" si="57"/>
        <v>0</v>
      </c>
      <c r="Q217" s="55">
        <f t="shared" si="57"/>
        <v>0</v>
      </c>
    </row>
    <row r="218" spans="1:17" x14ac:dyDescent="0.2">
      <c r="A218" s="72">
        <v>40</v>
      </c>
      <c r="B218" s="59">
        <v>208</v>
      </c>
      <c r="C218" s="40">
        <f t="shared" ref="C218:Q218" si="58">C50</f>
        <v>3.4332694957598457</v>
      </c>
      <c r="D218" s="40">
        <f t="shared" si="58"/>
        <v>1.8717327794185254</v>
      </c>
      <c r="E218" s="40">
        <f t="shared" si="58"/>
        <v>0.32981104388639787</v>
      </c>
      <c r="F218" s="40">
        <f t="shared" si="58"/>
        <v>0.74636293386083608</v>
      </c>
      <c r="G218" s="40">
        <f t="shared" si="58"/>
        <v>0.34817321475331586</v>
      </c>
      <c r="H218" s="40">
        <f t="shared" si="58"/>
        <v>5.4355139759513407E-2</v>
      </c>
      <c r="I218" s="104">
        <f t="shared" si="58"/>
        <v>0.36139678902735217</v>
      </c>
      <c r="J218" s="104">
        <f t="shared" si="58"/>
        <v>0.1970245030966869</v>
      </c>
      <c r="K218" s="104">
        <f t="shared" si="58"/>
        <v>3.471695198804188E-2</v>
      </c>
      <c r="L218" s="104">
        <f t="shared" si="58"/>
        <v>0.48220077187638283</v>
      </c>
      <c r="M218" s="104">
        <f t="shared" si="58"/>
        <v>0.26288381733406258</v>
      </c>
      <c r="N218" s="104">
        <f t="shared" si="58"/>
        <v>4.6321775826741275E-2</v>
      </c>
      <c r="O218" s="55">
        <f t="shared" si="58"/>
        <v>0.38224352251574223</v>
      </c>
      <c r="P218" s="55">
        <f t="shared" si="58"/>
        <v>0.21957685264482196</v>
      </c>
      <c r="Q218" s="55">
        <f t="shared" si="58"/>
        <v>4.6321775826741275E-2</v>
      </c>
    </row>
    <row r="219" spans="1:17" x14ac:dyDescent="0.2">
      <c r="A219" s="72">
        <v>41</v>
      </c>
      <c r="B219" s="59">
        <v>209</v>
      </c>
      <c r="C219" s="40">
        <f t="shared" ref="C219:Q219" si="59">C51</f>
        <v>3.4332694957598457</v>
      </c>
      <c r="D219" s="40">
        <f t="shared" si="59"/>
        <v>1.8717327794185254</v>
      </c>
      <c r="E219" s="40">
        <f t="shared" si="59"/>
        <v>0.32981104388639787</v>
      </c>
      <c r="F219" s="40">
        <f t="shared" si="59"/>
        <v>0.74636293386083608</v>
      </c>
      <c r="G219" s="40">
        <f t="shared" si="59"/>
        <v>0.34817321475331586</v>
      </c>
      <c r="H219" s="40">
        <f t="shared" si="59"/>
        <v>5.4355139759513407E-2</v>
      </c>
      <c r="I219" s="104">
        <f t="shared" si="59"/>
        <v>0.36139678902735217</v>
      </c>
      <c r="J219" s="104">
        <f t="shared" si="59"/>
        <v>0.1970245030966869</v>
      </c>
      <c r="K219" s="104">
        <f t="shared" si="59"/>
        <v>3.471695198804188E-2</v>
      </c>
      <c r="L219" s="104">
        <f t="shared" si="59"/>
        <v>0.48220077187638283</v>
      </c>
      <c r="M219" s="104">
        <f t="shared" si="59"/>
        <v>0.26288381733406258</v>
      </c>
      <c r="N219" s="104">
        <f t="shared" si="59"/>
        <v>4.6321775826741275E-2</v>
      </c>
      <c r="O219" s="55">
        <f t="shared" si="59"/>
        <v>0.38224352251574223</v>
      </c>
      <c r="P219" s="55">
        <f t="shared" si="59"/>
        <v>0.21957685264482196</v>
      </c>
      <c r="Q219" s="55">
        <f t="shared" si="59"/>
        <v>4.6321775826741275E-2</v>
      </c>
    </row>
    <row r="220" spans="1:17" x14ac:dyDescent="0.2">
      <c r="A220" s="72">
        <v>42</v>
      </c>
      <c r="B220" s="59">
        <v>210</v>
      </c>
      <c r="C220" s="40">
        <f t="shared" ref="C220:Q220" si="60">C52</f>
        <v>3.4332694957598457</v>
      </c>
      <c r="D220" s="40">
        <f t="shared" si="60"/>
        <v>1.8717327794185254</v>
      </c>
      <c r="E220" s="40">
        <f t="shared" si="60"/>
        <v>0.32981104388639787</v>
      </c>
      <c r="F220" s="40">
        <f t="shared" si="60"/>
        <v>0.74636293386083608</v>
      </c>
      <c r="G220" s="40">
        <f t="shared" si="60"/>
        <v>0.34817321475331586</v>
      </c>
      <c r="H220" s="40">
        <f t="shared" si="60"/>
        <v>5.4355139759513407E-2</v>
      </c>
      <c r="I220" s="104">
        <f t="shared" si="60"/>
        <v>0.36139678902735217</v>
      </c>
      <c r="J220" s="104">
        <f t="shared" si="60"/>
        <v>0.1970245030966869</v>
      </c>
      <c r="K220" s="104">
        <f t="shared" si="60"/>
        <v>3.471695198804188E-2</v>
      </c>
      <c r="L220" s="104">
        <f t="shared" si="60"/>
        <v>0.48220077187638283</v>
      </c>
      <c r="M220" s="104">
        <f t="shared" si="60"/>
        <v>0.26288381733406258</v>
      </c>
      <c r="N220" s="104">
        <f t="shared" si="60"/>
        <v>4.6321775826741275E-2</v>
      </c>
      <c r="O220" s="55">
        <f t="shared" si="60"/>
        <v>0.38224352251574223</v>
      </c>
      <c r="P220" s="55">
        <f t="shared" si="60"/>
        <v>0.21957685264482196</v>
      </c>
      <c r="Q220" s="55">
        <f t="shared" si="60"/>
        <v>4.6321775826741275E-2</v>
      </c>
    </row>
    <row r="221" spans="1:17" x14ac:dyDescent="0.2">
      <c r="A221" s="72">
        <v>43</v>
      </c>
      <c r="B221" s="59">
        <v>211</v>
      </c>
      <c r="C221" s="40">
        <f t="shared" ref="C221:Q221" si="61">C53</f>
        <v>3.4332694957598457</v>
      </c>
      <c r="D221" s="40">
        <f t="shared" si="61"/>
        <v>1.8717327794185254</v>
      </c>
      <c r="E221" s="40">
        <f t="shared" si="61"/>
        <v>0.32981104388639787</v>
      </c>
      <c r="F221" s="40">
        <f t="shared" si="61"/>
        <v>0.74636293386083608</v>
      </c>
      <c r="G221" s="40">
        <f t="shared" si="61"/>
        <v>0.34817321475331586</v>
      </c>
      <c r="H221" s="40">
        <f t="shared" si="61"/>
        <v>5.4355139759513407E-2</v>
      </c>
      <c r="I221" s="104">
        <f t="shared" si="61"/>
        <v>0.36139678902735217</v>
      </c>
      <c r="J221" s="104">
        <f t="shared" si="61"/>
        <v>0.1970245030966869</v>
      </c>
      <c r="K221" s="104">
        <f t="shared" si="61"/>
        <v>3.471695198804188E-2</v>
      </c>
      <c r="L221" s="104">
        <f t="shared" si="61"/>
        <v>0.48220077187638283</v>
      </c>
      <c r="M221" s="104">
        <f t="shared" si="61"/>
        <v>0.26288381733406258</v>
      </c>
      <c r="N221" s="104">
        <f t="shared" si="61"/>
        <v>4.6321775826741275E-2</v>
      </c>
      <c r="O221" s="55">
        <f t="shared" si="61"/>
        <v>0.38224352251574223</v>
      </c>
      <c r="P221" s="55">
        <f t="shared" si="61"/>
        <v>0.21957685264482196</v>
      </c>
      <c r="Q221" s="55">
        <f t="shared" si="61"/>
        <v>4.6321775826741275E-2</v>
      </c>
    </row>
    <row r="222" spans="1:17" x14ac:dyDescent="0.2">
      <c r="A222" s="72">
        <v>44</v>
      </c>
      <c r="B222" s="59">
        <v>212</v>
      </c>
      <c r="C222" s="40">
        <f t="shared" ref="C222:Q222" si="62">C54</f>
        <v>3.4332694957598457</v>
      </c>
      <c r="D222" s="40">
        <f t="shared" si="62"/>
        <v>1.8717327794185254</v>
      </c>
      <c r="E222" s="40">
        <f t="shared" si="62"/>
        <v>0.32981104388639787</v>
      </c>
      <c r="F222" s="40">
        <f t="shared" si="62"/>
        <v>0.74636293386083608</v>
      </c>
      <c r="G222" s="40">
        <f t="shared" si="62"/>
        <v>0.34817321475331586</v>
      </c>
      <c r="H222" s="40">
        <f t="shared" si="62"/>
        <v>5.4355139759513407E-2</v>
      </c>
      <c r="I222" s="104">
        <f t="shared" si="62"/>
        <v>0.36139678902735217</v>
      </c>
      <c r="J222" s="104">
        <f t="shared" si="62"/>
        <v>0.1970245030966869</v>
      </c>
      <c r="K222" s="104">
        <f t="shared" si="62"/>
        <v>3.471695198804188E-2</v>
      </c>
      <c r="L222" s="104">
        <f t="shared" si="62"/>
        <v>0.48220077187638283</v>
      </c>
      <c r="M222" s="104">
        <f t="shared" si="62"/>
        <v>0.26288381733406258</v>
      </c>
      <c r="N222" s="104">
        <f t="shared" si="62"/>
        <v>4.6321775826741275E-2</v>
      </c>
      <c r="O222" s="55">
        <f t="shared" si="62"/>
        <v>0.38224352251574223</v>
      </c>
      <c r="P222" s="55">
        <f t="shared" si="62"/>
        <v>0.21957685264482196</v>
      </c>
      <c r="Q222" s="55">
        <f t="shared" si="62"/>
        <v>4.6321775826741275E-2</v>
      </c>
    </row>
    <row r="223" spans="1:17" x14ac:dyDescent="0.2">
      <c r="A223" s="72">
        <v>45</v>
      </c>
      <c r="B223" s="59">
        <v>213</v>
      </c>
      <c r="C223" s="40">
        <f t="shared" ref="C223:Q223" si="63">C55</f>
        <v>3.4332694957598457</v>
      </c>
      <c r="D223" s="40">
        <f t="shared" si="63"/>
        <v>1.8717327794185254</v>
      </c>
      <c r="E223" s="40">
        <f t="shared" si="63"/>
        <v>0.32981104388639787</v>
      </c>
      <c r="F223" s="40">
        <f t="shared" si="63"/>
        <v>0.74636293386083608</v>
      </c>
      <c r="G223" s="40">
        <f t="shared" si="63"/>
        <v>0.34817321475331586</v>
      </c>
      <c r="H223" s="40">
        <f t="shared" si="63"/>
        <v>5.4355139759513407E-2</v>
      </c>
      <c r="I223" s="104">
        <f t="shared" si="63"/>
        <v>0.36139678902735217</v>
      </c>
      <c r="J223" s="104">
        <f t="shared" si="63"/>
        <v>0.1970245030966869</v>
      </c>
      <c r="K223" s="104">
        <f t="shared" si="63"/>
        <v>3.471695198804188E-2</v>
      </c>
      <c r="L223" s="104">
        <f t="shared" si="63"/>
        <v>0.48220077187638283</v>
      </c>
      <c r="M223" s="104">
        <f t="shared" si="63"/>
        <v>0.26288381733406258</v>
      </c>
      <c r="N223" s="104">
        <f t="shared" si="63"/>
        <v>4.6321775826741275E-2</v>
      </c>
      <c r="O223" s="55">
        <f t="shared" si="63"/>
        <v>0.38224352251574223</v>
      </c>
      <c r="P223" s="55">
        <f t="shared" si="63"/>
        <v>0.21957685264482196</v>
      </c>
      <c r="Q223" s="55">
        <f t="shared" si="63"/>
        <v>4.6321775826741275E-2</v>
      </c>
    </row>
    <row r="224" spans="1:17" x14ac:dyDescent="0.2">
      <c r="A224" s="72">
        <v>46</v>
      </c>
      <c r="B224" s="59">
        <v>214</v>
      </c>
      <c r="C224" s="40">
        <f t="shared" ref="C224:Q224" si="64">C56</f>
        <v>3.4332694957598457</v>
      </c>
      <c r="D224" s="40">
        <f t="shared" si="64"/>
        <v>1.8717327794185254</v>
      </c>
      <c r="E224" s="40">
        <f t="shared" si="64"/>
        <v>0.32981104388639787</v>
      </c>
      <c r="F224" s="40">
        <f t="shared" si="64"/>
        <v>0.74636293386083608</v>
      </c>
      <c r="G224" s="40">
        <f t="shared" si="64"/>
        <v>0.34817321475331586</v>
      </c>
      <c r="H224" s="40">
        <f t="shared" si="64"/>
        <v>5.4355139759513407E-2</v>
      </c>
      <c r="I224" s="104">
        <f t="shared" si="64"/>
        <v>0.36139678902735217</v>
      </c>
      <c r="J224" s="104">
        <f t="shared" si="64"/>
        <v>0.1970245030966869</v>
      </c>
      <c r="K224" s="104">
        <f t="shared" si="64"/>
        <v>3.471695198804188E-2</v>
      </c>
      <c r="L224" s="104">
        <f t="shared" si="64"/>
        <v>0.48220077187638283</v>
      </c>
      <c r="M224" s="104">
        <f t="shared" si="64"/>
        <v>0.26288381733406258</v>
      </c>
      <c r="N224" s="104">
        <f t="shared" si="64"/>
        <v>4.6321775826741275E-2</v>
      </c>
      <c r="O224" s="55">
        <f t="shared" si="64"/>
        <v>0.38224352251574223</v>
      </c>
      <c r="P224" s="55">
        <f t="shared" si="64"/>
        <v>0.21957685264482196</v>
      </c>
      <c r="Q224" s="55">
        <f t="shared" si="64"/>
        <v>4.6321775826741275E-2</v>
      </c>
    </row>
    <row r="225" spans="1:17" x14ac:dyDescent="0.2">
      <c r="A225" s="72">
        <v>47</v>
      </c>
      <c r="B225" s="59">
        <v>215</v>
      </c>
      <c r="C225" s="40">
        <f t="shared" ref="C225:Q225" si="65">C57</f>
        <v>0</v>
      </c>
      <c r="D225" s="40">
        <f t="shared" si="65"/>
        <v>0</v>
      </c>
      <c r="E225" s="40">
        <f t="shared" si="65"/>
        <v>0</v>
      </c>
      <c r="F225" s="40">
        <f t="shared" si="65"/>
        <v>0</v>
      </c>
      <c r="G225" s="40">
        <f t="shared" si="65"/>
        <v>0</v>
      </c>
      <c r="H225" s="40">
        <f t="shared" si="65"/>
        <v>0</v>
      </c>
      <c r="I225" s="104">
        <f t="shared" si="65"/>
        <v>0</v>
      </c>
      <c r="J225" s="104">
        <f t="shared" si="65"/>
        <v>0</v>
      </c>
      <c r="K225" s="104">
        <f t="shared" si="65"/>
        <v>0</v>
      </c>
      <c r="L225" s="104">
        <f t="shared" si="65"/>
        <v>0</v>
      </c>
      <c r="M225" s="104">
        <f t="shared" si="65"/>
        <v>0</v>
      </c>
      <c r="N225" s="104">
        <f t="shared" si="65"/>
        <v>0</v>
      </c>
      <c r="O225" s="55">
        <f t="shared" si="65"/>
        <v>0</v>
      </c>
      <c r="P225" s="55">
        <f t="shared" si="65"/>
        <v>0</v>
      </c>
      <c r="Q225" s="55">
        <f t="shared" si="65"/>
        <v>0</v>
      </c>
    </row>
    <row r="226" spans="1:17" x14ac:dyDescent="0.2">
      <c r="A226" s="72">
        <v>48</v>
      </c>
      <c r="B226" s="59">
        <v>216</v>
      </c>
      <c r="C226" s="40">
        <f t="shared" ref="C226:Q226" si="66">C58</f>
        <v>0</v>
      </c>
      <c r="D226" s="40">
        <f t="shared" si="66"/>
        <v>0</v>
      </c>
      <c r="E226" s="40">
        <f t="shared" si="66"/>
        <v>0</v>
      </c>
      <c r="F226" s="40">
        <f t="shared" si="66"/>
        <v>0</v>
      </c>
      <c r="G226" s="40">
        <f t="shared" si="66"/>
        <v>0</v>
      </c>
      <c r="H226" s="40">
        <f t="shared" si="66"/>
        <v>0</v>
      </c>
      <c r="I226" s="104">
        <f t="shared" si="66"/>
        <v>0</v>
      </c>
      <c r="J226" s="104">
        <f t="shared" si="66"/>
        <v>0</v>
      </c>
      <c r="K226" s="104">
        <f t="shared" si="66"/>
        <v>0</v>
      </c>
      <c r="L226" s="104">
        <f t="shared" si="66"/>
        <v>0</v>
      </c>
      <c r="M226" s="104">
        <f t="shared" si="66"/>
        <v>0</v>
      </c>
      <c r="N226" s="104">
        <f t="shared" si="66"/>
        <v>0</v>
      </c>
      <c r="O226" s="55">
        <f t="shared" si="66"/>
        <v>0</v>
      </c>
      <c r="P226" s="55">
        <f t="shared" si="66"/>
        <v>0</v>
      </c>
      <c r="Q226" s="55">
        <f t="shared" si="66"/>
        <v>0</v>
      </c>
    </row>
    <row r="227" spans="1:17" x14ac:dyDescent="0.2">
      <c r="A227" s="72">
        <v>49</v>
      </c>
      <c r="B227" s="59">
        <v>217</v>
      </c>
      <c r="C227" s="40">
        <f t="shared" ref="C227:Q227" si="67">C59</f>
        <v>0</v>
      </c>
      <c r="D227" s="40">
        <f t="shared" si="67"/>
        <v>0</v>
      </c>
      <c r="E227" s="40">
        <f t="shared" si="67"/>
        <v>0</v>
      </c>
      <c r="F227" s="40">
        <f t="shared" si="67"/>
        <v>0</v>
      </c>
      <c r="G227" s="40">
        <f t="shared" si="67"/>
        <v>0</v>
      </c>
      <c r="H227" s="40">
        <f t="shared" si="67"/>
        <v>0</v>
      </c>
      <c r="I227" s="104">
        <f t="shared" si="67"/>
        <v>0</v>
      </c>
      <c r="J227" s="104">
        <f t="shared" si="67"/>
        <v>0</v>
      </c>
      <c r="K227" s="104">
        <f t="shared" si="67"/>
        <v>0</v>
      </c>
      <c r="L227" s="104">
        <f t="shared" si="67"/>
        <v>0</v>
      </c>
      <c r="M227" s="104">
        <f t="shared" si="67"/>
        <v>0</v>
      </c>
      <c r="N227" s="104">
        <f t="shared" si="67"/>
        <v>0</v>
      </c>
      <c r="O227" s="55">
        <f t="shared" si="67"/>
        <v>0</v>
      </c>
      <c r="P227" s="55">
        <f t="shared" si="67"/>
        <v>0</v>
      </c>
      <c r="Q227" s="55">
        <f t="shared" si="67"/>
        <v>0</v>
      </c>
    </row>
    <row r="228" spans="1:17" x14ac:dyDescent="0.2">
      <c r="A228" s="72">
        <v>50</v>
      </c>
      <c r="B228" s="59">
        <v>218</v>
      </c>
      <c r="C228" s="40">
        <f t="shared" ref="C228:Q228" si="68">C60</f>
        <v>0</v>
      </c>
      <c r="D228" s="40">
        <f t="shared" si="68"/>
        <v>0</v>
      </c>
      <c r="E228" s="40">
        <f t="shared" si="68"/>
        <v>0</v>
      </c>
      <c r="F228" s="40">
        <f t="shared" si="68"/>
        <v>0</v>
      </c>
      <c r="G228" s="40">
        <f t="shared" si="68"/>
        <v>0</v>
      </c>
      <c r="H228" s="40">
        <f t="shared" si="68"/>
        <v>0</v>
      </c>
      <c r="I228" s="104">
        <f t="shared" si="68"/>
        <v>0</v>
      </c>
      <c r="J228" s="104">
        <f t="shared" si="68"/>
        <v>0</v>
      </c>
      <c r="K228" s="104">
        <f t="shared" si="68"/>
        <v>0</v>
      </c>
      <c r="L228" s="104">
        <f t="shared" si="68"/>
        <v>0</v>
      </c>
      <c r="M228" s="104">
        <f t="shared" si="68"/>
        <v>0</v>
      </c>
      <c r="N228" s="104">
        <f t="shared" si="68"/>
        <v>0</v>
      </c>
      <c r="O228" s="55">
        <f t="shared" si="68"/>
        <v>0</v>
      </c>
      <c r="P228" s="55">
        <f t="shared" si="68"/>
        <v>0</v>
      </c>
      <c r="Q228" s="55">
        <f t="shared" si="68"/>
        <v>0</v>
      </c>
    </row>
    <row r="229" spans="1:17" x14ac:dyDescent="0.2">
      <c r="A229" s="72">
        <v>51</v>
      </c>
      <c r="B229" s="59">
        <v>219</v>
      </c>
      <c r="C229" s="40">
        <f t="shared" ref="C229:Q229" si="69">C61</f>
        <v>0</v>
      </c>
      <c r="D229" s="40">
        <f t="shared" si="69"/>
        <v>0</v>
      </c>
      <c r="E229" s="40">
        <f t="shared" si="69"/>
        <v>0</v>
      </c>
      <c r="F229" s="40">
        <f t="shared" si="69"/>
        <v>0</v>
      </c>
      <c r="G229" s="40">
        <f t="shared" si="69"/>
        <v>0</v>
      </c>
      <c r="H229" s="40">
        <f t="shared" si="69"/>
        <v>0</v>
      </c>
      <c r="I229" s="104">
        <f t="shared" si="69"/>
        <v>0</v>
      </c>
      <c r="J229" s="104">
        <f t="shared" si="69"/>
        <v>0</v>
      </c>
      <c r="K229" s="104">
        <f t="shared" si="69"/>
        <v>0</v>
      </c>
      <c r="L229" s="104">
        <f t="shared" si="69"/>
        <v>0</v>
      </c>
      <c r="M229" s="104">
        <f t="shared" si="69"/>
        <v>0</v>
      </c>
      <c r="N229" s="104">
        <f t="shared" si="69"/>
        <v>0</v>
      </c>
      <c r="O229" s="55">
        <f t="shared" si="69"/>
        <v>0</v>
      </c>
      <c r="P229" s="55">
        <f t="shared" si="69"/>
        <v>0</v>
      </c>
      <c r="Q229" s="55">
        <f t="shared" si="69"/>
        <v>0</v>
      </c>
    </row>
    <row r="230" spans="1:17" x14ac:dyDescent="0.2">
      <c r="A230" s="72">
        <v>52</v>
      </c>
      <c r="B230" s="59">
        <v>220</v>
      </c>
      <c r="C230" s="40">
        <f t="shared" ref="C230:Q230" si="70">C62</f>
        <v>0</v>
      </c>
      <c r="D230" s="40">
        <f t="shared" si="70"/>
        <v>0</v>
      </c>
      <c r="E230" s="40">
        <f t="shared" si="70"/>
        <v>0</v>
      </c>
      <c r="F230" s="40">
        <f t="shared" si="70"/>
        <v>0</v>
      </c>
      <c r="G230" s="40">
        <f t="shared" si="70"/>
        <v>0</v>
      </c>
      <c r="H230" s="40">
        <f t="shared" si="70"/>
        <v>0</v>
      </c>
      <c r="I230" s="104">
        <f t="shared" si="70"/>
        <v>0</v>
      </c>
      <c r="J230" s="104">
        <f t="shared" si="70"/>
        <v>0</v>
      </c>
      <c r="K230" s="104">
        <f t="shared" si="70"/>
        <v>0</v>
      </c>
      <c r="L230" s="104">
        <f t="shared" si="70"/>
        <v>0</v>
      </c>
      <c r="M230" s="104">
        <f t="shared" si="70"/>
        <v>0</v>
      </c>
      <c r="N230" s="104">
        <f t="shared" si="70"/>
        <v>0</v>
      </c>
      <c r="O230" s="55">
        <f t="shared" si="70"/>
        <v>0</v>
      </c>
      <c r="P230" s="55">
        <f t="shared" si="70"/>
        <v>0</v>
      </c>
      <c r="Q230" s="55">
        <f t="shared" si="70"/>
        <v>0</v>
      </c>
    </row>
    <row r="231" spans="1:17" x14ac:dyDescent="0.2">
      <c r="A231" s="72">
        <v>53</v>
      </c>
      <c r="B231" s="59">
        <v>221</v>
      </c>
      <c r="C231" s="40">
        <f t="shared" ref="C231:Q231" si="71">C63</f>
        <v>0</v>
      </c>
      <c r="D231" s="40">
        <f t="shared" si="71"/>
        <v>0</v>
      </c>
      <c r="E231" s="40">
        <f t="shared" si="71"/>
        <v>0</v>
      </c>
      <c r="F231" s="40">
        <f t="shared" si="71"/>
        <v>0</v>
      </c>
      <c r="G231" s="40">
        <f t="shared" si="71"/>
        <v>0</v>
      </c>
      <c r="H231" s="40">
        <f t="shared" si="71"/>
        <v>0</v>
      </c>
      <c r="I231" s="104">
        <f t="shared" si="71"/>
        <v>0</v>
      </c>
      <c r="J231" s="104">
        <f t="shared" si="71"/>
        <v>0</v>
      </c>
      <c r="K231" s="104">
        <f t="shared" si="71"/>
        <v>0</v>
      </c>
      <c r="L231" s="104">
        <f t="shared" si="71"/>
        <v>0</v>
      </c>
      <c r="M231" s="104">
        <f t="shared" si="71"/>
        <v>0</v>
      </c>
      <c r="N231" s="104">
        <f t="shared" si="71"/>
        <v>0</v>
      </c>
      <c r="O231" s="55">
        <f t="shared" si="71"/>
        <v>0</v>
      </c>
      <c r="P231" s="55">
        <f t="shared" si="71"/>
        <v>0</v>
      </c>
      <c r="Q231" s="55">
        <f t="shared" si="71"/>
        <v>0</v>
      </c>
    </row>
    <row r="232" spans="1:17" x14ac:dyDescent="0.2">
      <c r="A232" s="72">
        <v>54</v>
      </c>
      <c r="B232" s="59">
        <v>222</v>
      </c>
      <c r="C232" s="40">
        <f t="shared" ref="C232:Q232" si="72">C64</f>
        <v>0</v>
      </c>
      <c r="D232" s="40">
        <f t="shared" si="72"/>
        <v>0</v>
      </c>
      <c r="E232" s="40">
        <f t="shared" si="72"/>
        <v>0</v>
      </c>
      <c r="F232" s="40">
        <f t="shared" si="72"/>
        <v>0</v>
      </c>
      <c r="G232" s="40">
        <f t="shared" si="72"/>
        <v>0</v>
      </c>
      <c r="H232" s="40">
        <f t="shared" si="72"/>
        <v>0</v>
      </c>
      <c r="I232" s="104">
        <f t="shared" si="72"/>
        <v>0</v>
      </c>
      <c r="J232" s="104">
        <f t="shared" si="72"/>
        <v>0</v>
      </c>
      <c r="K232" s="104">
        <f t="shared" si="72"/>
        <v>0</v>
      </c>
      <c r="L232" s="104">
        <f t="shared" si="72"/>
        <v>0</v>
      </c>
      <c r="M232" s="104">
        <f t="shared" si="72"/>
        <v>0</v>
      </c>
      <c r="N232" s="104">
        <f t="shared" si="72"/>
        <v>0</v>
      </c>
      <c r="O232" s="55">
        <f t="shared" si="72"/>
        <v>0</v>
      </c>
      <c r="P232" s="55">
        <f t="shared" si="72"/>
        <v>0</v>
      </c>
      <c r="Q232" s="55">
        <f t="shared" si="72"/>
        <v>0</v>
      </c>
    </row>
    <row r="233" spans="1:17" x14ac:dyDescent="0.2">
      <c r="A233" s="72">
        <v>55</v>
      </c>
      <c r="B233" s="59">
        <v>223</v>
      </c>
      <c r="C233" s="40">
        <f t="shared" ref="C233:Q233" si="73">C65</f>
        <v>3.4332694957598457</v>
      </c>
      <c r="D233" s="40">
        <f t="shared" si="73"/>
        <v>1.8717327794185254</v>
      </c>
      <c r="E233" s="40">
        <f t="shared" si="73"/>
        <v>0.32981104388639787</v>
      </c>
      <c r="F233" s="40">
        <f t="shared" si="73"/>
        <v>0.74636293386083608</v>
      </c>
      <c r="G233" s="40">
        <f t="shared" si="73"/>
        <v>0.34817321475331586</v>
      </c>
      <c r="H233" s="40">
        <f t="shared" si="73"/>
        <v>5.4355139759513407E-2</v>
      </c>
      <c r="I233" s="104">
        <f t="shared" si="73"/>
        <v>0.36139678902735217</v>
      </c>
      <c r="J233" s="104">
        <f t="shared" si="73"/>
        <v>0.1970245030966869</v>
      </c>
      <c r="K233" s="104">
        <f t="shared" si="73"/>
        <v>3.471695198804188E-2</v>
      </c>
      <c r="L233" s="104">
        <f t="shared" si="73"/>
        <v>0.48220077187638283</v>
      </c>
      <c r="M233" s="104">
        <f t="shared" si="73"/>
        <v>0.26288381733406258</v>
      </c>
      <c r="N233" s="104">
        <f t="shared" si="73"/>
        <v>4.6321775826741275E-2</v>
      </c>
      <c r="O233" s="55">
        <f t="shared" si="73"/>
        <v>0.38224352251574223</v>
      </c>
      <c r="P233" s="55">
        <f t="shared" si="73"/>
        <v>0.21957685264482196</v>
      </c>
      <c r="Q233" s="55">
        <f t="shared" si="73"/>
        <v>4.6321775826741275E-2</v>
      </c>
    </row>
    <row r="234" spans="1:17" x14ac:dyDescent="0.2">
      <c r="A234" s="72">
        <v>56</v>
      </c>
      <c r="B234" s="59">
        <v>224</v>
      </c>
      <c r="C234" s="40">
        <f t="shared" ref="C234:Q234" si="74">C66</f>
        <v>3.4332694957598457</v>
      </c>
      <c r="D234" s="40">
        <f t="shared" si="74"/>
        <v>1.8717327794185254</v>
      </c>
      <c r="E234" s="40">
        <f t="shared" si="74"/>
        <v>0.32981104388639787</v>
      </c>
      <c r="F234" s="40">
        <f t="shared" si="74"/>
        <v>0.74636293386083608</v>
      </c>
      <c r="G234" s="40">
        <f t="shared" si="74"/>
        <v>0.34817321475331586</v>
      </c>
      <c r="H234" s="40">
        <f t="shared" si="74"/>
        <v>5.4355139759513407E-2</v>
      </c>
      <c r="I234" s="104">
        <f t="shared" si="74"/>
        <v>0.36139678902735217</v>
      </c>
      <c r="J234" s="104">
        <f t="shared" si="74"/>
        <v>0.1970245030966869</v>
      </c>
      <c r="K234" s="104">
        <f t="shared" si="74"/>
        <v>3.471695198804188E-2</v>
      </c>
      <c r="L234" s="104">
        <f t="shared" si="74"/>
        <v>0.48220077187638283</v>
      </c>
      <c r="M234" s="104">
        <f t="shared" si="74"/>
        <v>0.26288381733406258</v>
      </c>
      <c r="N234" s="104">
        <f t="shared" si="74"/>
        <v>4.6321775826741275E-2</v>
      </c>
      <c r="O234" s="55">
        <f t="shared" si="74"/>
        <v>0.38224352251574223</v>
      </c>
      <c r="P234" s="55">
        <f t="shared" si="74"/>
        <v>0.21957685264482196</v>
      </c>
      <c r="Q234" s="55">
        <f t="shared" si="74"/>
        <v>4.6321775826741275E-2</v>
      </c>
    </row>
    <row r="235" spans="1:17" x14ac:dyDescent="0.2">
      <c r="A235" s="72">
        <v>57</v>
      </c>
      <c r="B235" s="59">
        <v>225</v>
      </c>
      <c r="C235" s="40">
        <f t="shared" ref="C235:Q235" si="75">C67</f>
        <v>0</v>
      </c>
      <c r="D235" s="40">
        <f t="shared" si="75"/>
        <v>0</v>
      </c>
      <c r="E235" s="40">
        <f t="shared" si="75"/>
        <v>0</v>
      </c>
      <c r="F235" s="40">
        <f t="shared" si="75"/>
        <v>0</v>
      </c>
      <c r="G235" s="40">
        <f t="shared" si="75"/>
        <v>0</v>
      </c>
      <c r="H235" s="40">
        <f t="shared" si="75"/>
        <v>0</v>
      </c>
      <c r="I235" s="104">
        <f t="shared" si="75"/>
        <v>0</v>
      </c>
      <c r="J235" s="104">
        <f t="shared" si="75"/>
        <v>0</v>
      </c>
      <c r="K235" s="104">
        <f t="shared" si="75"/>
        <v>0</v>
      </c>
      <c r="L235" s="104">
        <f t="shared" si="75"/>
        <v>0</v>
      </c>
      <c r="M235" s="104">
        <f t="shared" si="75"/>
        <v>0</v>
      </c>
      <c r="N235" s="104">
        <f t="shared" si="75"/>
        <v>0</v>
      </c>
      <c r="O235" s="55">
        <f t="shared" si="75"/>
        <v>0</v>
      </c>
      <c r="P235" s="55">
        <f t="shared" si="75"/>
        <v>0</v>
      </c>
      <c r="Q235" s="55">
        <f t="shared" si="75"/>
        <v>0</v>
      </c>
    </row>
    <row r="236" spans="1:17" x14ac:dyDescent="0.2">
      <c r="A236" s="72">
        <v>58</v>
      </c>
      <c r="B236" s="59">
        <v>226</v>
      </c>
      <c r="C236" s="40">
        <f t="shared" ref="C236:Q236" si="76">C68</f>
        <v>0</v>
      </c>
      <c r="D236" s="40">
        <f t="shared" si="76"/>
        <v>0</v>
      </c>
      <c r="E236" s="40">
        <f t="shared" si="76"/>
        <v>0</v>
      </c>
      <c r="F236" s="40">
        <f t="shared" si="76"/>
        <v>0</v>
      </c>
      <c r="G236" s="40">
        <f t="shared" si="76"/>
        <v>0</v>
      </c>
      <c r="H236" s="40">
        <f t="shared" si="76"/>
        <v>0</v>
      </c>
      <c r="I236" s="104">
        <f t="shared" si="76"/>
        <v>0</v>
      </c>
      <c r="J236" s="104">
        <f t="shared" si="76"/>
        <v>0</v>
      </c>
      <c r="K236" s="104">
        <f t="shared" si="76"/>
        <v>0</v>
      </c>
      <c r="L236" s="104">
        <f t="shared" si="76"/>
        <v>0</v>
      </c>
      <c r="M236" s="104">
        <f t="shared" si="76"/>
        <v>0</v>
      </c>
      <c r="N236" s="104">
        <f t="shared" si="76"/>
        <v>0</v>
      </c>
      <c r="O236" s="55">
        <f t="shared" si="76"/>
        <v>0</v>
      </c>
      <c r="P236" s="55">
        <f t="shared" si="76"/>
        <v>0</v>
      </c>
      <c r="Q236" s="55">
        <f t="shared" si="76"/>
        <v>0</v>
      </c>
    </row>
    <row r="237" spans="1:17" x14ac:dyDescent="0.2">
      <c r="A237" s="72">
        <v>59</v>
      </c>
      <c r="B237" s="59">
        <v>227</v>
      </c>
      <c r="C237" s="40">
        <f t="shared" ref="C237:Q237" si="77">C69</f>
        <v>0</v>
      </c>
      <c r="D237" s="40">
        <f t="shared" si="77"/>
        <v>0</v>
      </c>
      <c r="E237" s="40">
        <f t="shared" si="77"/>
        <v>0</v>
      </c>
      <c r="F237" s="40">
        <f t="shared" si="77"/>
        <v>0</v>
      </c>
      <c r="G237" s="40">
        <f t="shared" si="77"/>
        <v>0</v>
      </c>
      <c r="H237" s="40">
        <f t="shared" si="77"/>
        <v>0</v>
      </c>
      <c r="I237" s="104">
        <f t="shared" si="77"/>
        <v>0</v>
      </c>
      <c r="J237" s="104">
        <f t="shared" si="77"/>
        <v>0</v>
      </c>
      <c r="K237" s="104">
        <f t="shared" si="77"/>
        <v>0</v>
      </c>
      <c r="L237" s="104">
        <f t="shared" si="77"/>
        <v>0</v>
      </c>
      <c r="M237" s="104">
        <f t="shared" si="77"/>
        <v>0</v>
      </c>
      <c r="N237" s="104">
        <f t="shared" si="77"/>
        <v>0</v>
      </c>
      <c r="O237" s="55">
        <f t="shared" si="77"/>
        <v>0</v>
      </c>
      <c r="P237" s="55">
        <f t="shared" si="77"/>
        <v>0</v>
      </c>
      <c r="Q237" s="55">
        <f t="shared" si="77"/>
        <v>0</v>
      </c>
    </row>
    <row r="238" spans="1:17" x14ac:dyDescent="0.2">
      <c r="A238" s="72">
        <v>60</v>
      </c>
      <c r="B238" s="59">
        <v>228</v>
      </c>
      <c r="C238" s="40">
        <f t="shared" ref="C238:Q238" si="78">C70</f>
        <v>0</v>
      </c>
      <c r="D238" s="40">
        <f t="shared" si="78"/>
        <v>0</v>
      </c>
      <c r="E238" s="40">
        <f t="shared" si="78"/>
        <v>0</v>
      </c>
      <c r="F238" s="40">
        <f t="shared" si="78"/>
        <v>0</v>
      </c>
      <c r="G238" s="40">
        <f t="shared" si="78"/>
        <v>0</v>
      </c>
      <c r="H238" s="40">
        <f t="shared" si="78"/>
        <v>0</v>
      </c>
      <c r="I238" s="104">
        <f t="shared" si="78"/>
        <v>0</v>
      </c>
      <c r="J238" s="104">
        <f t="shared" si="78"/>
        <v>0</v>
      </c>
      <c r="K238" s="104">
        <f t="shared" si="78"/>
        <v>0</v>
      </c>
      <c r="L238" s="104">
        <f t="shared" si="78"/>
        <v>0</v>
      </c>
      <c r="M238" s="104">
        <f t="shared" si="78"/>
        <v>0</v>
      </c>
      <c r="N238" s="104">
        <f t="shared" si="78"/>
        <v>0</v>
      </c>
      <c r="O238" s="55">
        <f t="shared" si="78"/>
        <v>0</v>
      </c>
      <c r="P238" s="55">
        <f t="shared" si="78"/>
        <v>0</v>
      </c>
      <c r="Q238" s="55">
        <f t="shared" si="78"/>
        <v>0</v>
      </c>
    </row>
    <row r="239" spans="1:17" x14ac:dyDescent="0.2">
      <c r="A239" s="72">
        <v>61</v>
      </c>
      <c r="B239" s="59">
        <v>229</v>
      </c>
      <c r="C239" s="40">
        <f t="shared" ref="C239:Q239" si="79">C71</f>
        <v>0</v>
      </c>
      <c r="D239" s="40">
        <f t="shared" si="79"/>
        <v>0</v>
      </c>
      <c r="E239" s="40">
        <f t="shared" si="79"/>
        <v>0</v>
      </c>
      <c r="F239" s="40">
        <f t="shared" si="79"/>
        <v>0</v>
      </c>
      <c r="G239" s="40">
        <f t="shared" si="79"/>
        <v>0</v>
      </c>
      <c r="H239" s="40">
        <f t="shared" si="79"/>
        <v>0</v>
      </c>
      <c r="I239" s="104">
        <f t="shared" si="79"/>
        <v>0</v>
      </c>
      <c r="J239" s="104">
        <f t="shared" si="79"/>
        <v>0</v>
      </c>
      <c r="K239" s="104">
        <f t="shared" si="79"/>
        <v>0</v>
      </c>
      <c r="L239" s="104">
        <f t="shared" si="79"/>
        <v>0</v>
      </c>
      <c r="M239" s="104">
        <f t="shared" si="79"/>
        <v>0</v>
      </c>
      <c r="N239" s="104">
        <f t="shared" si="79"/>
        <v>0</v>
      </c>
      <c r="O239" s="55">
        <f t="shared" si="79"/>
        <v>0</v>
      </c>
      <c r="P239" s="55">
        <f t="shared" si="79"/>
        <v>0</v>
      </c>
      <c r="Q239" s="55">
        <f t="shared" si="79"/>
        <v>0</v>
      </c>
    </row>
    <row r="240" spans="1:17" x14ac:dyDescent="0.2">
      <c r="A240" s="72">
        <v>62</v>
      </c>
      <c r="B240" s="59">
        <v>230</v>
      </c>
      <c r="C240" s="40">
        <f t="shared" ref="C240:Q240" si="80">C72</f>
        <v>0</v>
      </c>
      <c r="D240" s="40">
        <f t="shared" si="80"/>
        <v>0</v>
      </c>
      <c r="E240" s="40">
        <f t="shared" si="80"/>
        <v>0</v>
      </c>
      <c r="F240" s="40">
        <f t="shared" si="80"/>
        <v>0</v>
      </c>
      <c r="G240" s="40">
        <f t="shared" si="80"/>
        <v>0</v>
      </c>
      <c r="H240" s="40">
        <f t="shared" si="80"/>
        <v>0</v>
      </c>
      <c r="I240" s="104">
        <f t="shared" si="80"/>
        <v>0</v>
      </c>
      <c r="J240" s="104">
        <f t="shared" si="80"/>
        <v>0</v>
      </c>
      <c r="K240" s="104">
        <f t="shared" si="80"/>
        <v>0</v>
      </c>
      <c r="L240" s="104">
        <f t="shared" si="80"/>
        <v>0</v>
      </c>
      <c r="M240" s="104">
        <f t="shared" si="80"/>
        <v>0</v>
      </c>
      <c r="N240" s="104">
        <f t="shared" si="80"/>
        <v>0</v>
      </c>
      <c r="O240" s="55">
        <f t="shared" si="80"/>
        <v>0</v>
      </c>
      <c r="P240" s="55">
        <f t="shared" si="80"/>
        <v>0</v>
      </c>
      <c r="Q240" s="55">
        <f t="shared" si="80"/>
        <v>0</v>
      </c>
    </row>
    <row r="241" spans="1:17" x14ac:dyDescent="0.2">
      <c r="A241" s="72">
        <v>63</v>
      </c>
      <c r="B241" s="59">
        <v>231</v>
      </c>
      <c r="C241" s="40">
        <f t="shared" ref="C241:Q241" si="81">C73</f>
        <v>0</v>
      </c>
      <c r="D241" s="40">
        <f t="shared" si="81"/>
        <v>0</v>
      </c>
      <c r="E241" s="40">
        <f t="shared" si="81"/>
        <v>0</v>
      </c>
      <c r="F241" s="40">
        <f t="shared" si="81"/>
        <v>0</v>
      </c>
      <c r="G241" s="40">
        <f t="shared" si="81"/>
        <v>0</v>
      </c>
      <c r="H241" s="40">
        <f t="shared" si="81"/>
        <v>0</v>
      </c>
      <c r="I241" s="104">
        <f t="shared" si="81"/>
        <v>0</v>
      </c>
      <c r="J241" s="104">
        <f t="shared" si="81"/>
        <v>0</v>
      </c>
      <c r="K241" s="104">
        <f t="shared" si="81"/>
        <v>0</v>
      </c>
      <c r="L241" s="104">
        <f t="shared" si="81"/>
        <v>0</v>
      </c>
      <c r="M241" s="104">
        <f t="shared" si="81"/>
        <v>0</v>
      </c>
      <c r="N241" s="104">
        <f t="shared" si="81"/>
        <v>0</v>
      </c>
      <c r="O241" s="55">
        <f t="shared" si="81"/>
        <v>0</v>
      </c>
      <c r="P241" s="55">
        <f t="shared" si="81"/>
        <v>0</v>
      </c>
      <c r="Q241" s="55">
        <f t="shared" si="81"/>
        <v>0</v>
      </c>
    </row>
    <row r="242" spans="1:17" x14ac:dyDescent="0.2">
      <c r="A242" s="72">
        <v>64</v>
      </c>
      <c r="B242" s="59">
        <v>232</v>
      </c>
      <c r="C242" s="40">
        <f t="shared" ref="C242:Q242" si="82">C74</f>
        <v>3.4332694957598457</v>
      </c>
      <c r="D242" s="40">
        <f t="shared" si="82"/>
        <v>1.8717327794185254</v>
      </c>
      <c r="E242" s="40">
        <f t="shared" si="82"/>
        <v>0.32981104388639787</v>
      </c>
      <c r="F242" s="40">
        <f t="shared" si="82"/>
        <v>0.74636293386083608</v>
      </c>
      <c r="G242" s="40">
        <f t="shared" si="82"/>
        <v>0.34817321475331586</v>
      </c>
      <c r="H242" s="40">
        <f t="shared" si="82"/>
        <v>5.4355139759513407E-2</v>
      </c>
      <c r="I242" s="104">
        <f t="shared" si="82"/>
        <v>0.36139678902735217</v>
      </c>
      <c r="J242" s="104">
        <f t="shared" si="82"/>
        <v>0.1970245030966869</v>
      </c>
      <c r="K242" s="104">
        <f t="shared" si="82"/>
        <v>3.471695198804188E-2</v>
      </c>
      <c r="L242" s="104">
        <f t="shared" si="82"/>
        <v>0.48220077187638283</v>
      </c>
      <c r="M242" s="104">
        <f t="shared" si="82"/>
        <v>0.26288381733406258</v>
      </c>
      <c r="N242" s="104">
        <f t="shared" si="82"/>
        <v>4.6321775826741275E-2</v>
      </c>
      <c r="O242" s="55">
        <f t="shared" si="82"/>
        <v>0.38224352251574223</v>
      </c>
      <c r="P242" s="55">
        <f t="shared" si="82"/>
        <v>0.21957685264482196</v>
      </c>
      <c r="Q242" s="55">
        <f t="shared" si="82"/>
        <v>4.6321775826741275E-2</v>
      </c>
    </row>
    <row r="243" spans="1:17" x14ac:dyDescent="0.2">
      <c r="A243" s="72">
        <v>65</v>
      </c>
      <c r="B243" s="59">
        <v>233</v>
      </c>
      <c r="C243" s="40">
        <f t="shared" ref="C243:Q243" si="83">C75</f>
        <v>3.4332694957598457</v>
      </c>
      <c r="D243" s="40">
        <f t="shared" si="83"/>
        <v>1.8717327794185254</v>
      </c>
      <c r="E243" s="40">
        <f t="shared" si="83"/>
        <v>0.32981104388639787</v>
      </c>
      <c r="F243" s="40">
        <f t="shared" si="83"/>
        <v>0.74636293386083608</v>
      </c>
      <c r="G243" s="40">
        <f t="shared" si="83"/>
        <v>0.34817321475331586</v>
      </c>
      <c r="H243" s="40">
        <f t="shared" si="83"/>
        <v>5.4355139759513407E-2</v>
      </c>
      <c r="I243" s="104">
        <f t="shared" si="83"/>
        <v>0.36139678902735217</v>
      </c>
      <c r="J243" s="104">
        <f t="shared" si="83"/>
        <v>0.1970245030966869</v>
      </c>
      <c r="K243" s="104">
        <f t="shared" si="83"/>
        <v>3.471695198804188E-2</v>
      </c>
      <c r="L243" s="104">
        <f t="shared" si="83"/>
        <v>0.48220077187638283</v>
      </c>
      <c r="M243" s="104">
        <f t="shared" si="83"/>
        <v>0.26288381733406258</v>
      </c>
      <c r="N243" s="104">
        <f t="shared" si="83"/>
        <v>4.6321775826741275E-2</v>
      </c>
      <c r="O243" s="55">
        <f t="shared" si="83"/>
        <v>0.38224352251574223</v>
      </c>
      <c r="P243" s="55">
        <f t="shared" si="83"/>
        <v>0.21957685264482196</v>
      </c>
      <c r="Q243" s="55">
        <f t="shared" si="83"/>
        <v>4.6321775826741275E-2</v>
      </c>
    </row>
    <row r="244" spans="1:17" x14ac:dyDescent="0.2">
      <c r="A244" s="72">
        <v>66</v>
      </c>
      <c r="B244" s="59">
        <v>234</v>
      </c>
      <c r="C244" s="40">
        <f t="shared" ref="C244:Q244" si="84">C76</f>
        <v>3.4332694957598457</v>
      </c>
      <c r="D244" s="40">
        <f t="shared" si="84"/>
        <v>1.8717327794185254</v>
      </c>
      <c r="E244" s="40">
        <f t="shared" si="84"/>
        <v>0.32981104388639787</v>
      </c>
      <c r="F244" s="40">
        <f t="shared" si="84"/>
        <v>0.74636293386083608</v>
      </c>
      <c r="G244" s="40">
        <f t="shared" si="84"/>
        <v>0.34817321475331586</v>
      </c>
      <c r="H244" s="40">
        <f t="shared" si="84"/>
        <v>5.4355139759513407E-2</v>
      </c>
      <c r="I244" s="104">
        <f t="shared" si="84"/>
        <v>0.36139678902735217</v>
      </c>
      <c r="J244" s="104">
        <f t="shared" si="84"/>
        <v>0.1970245030966869</v>
      </c>
      <c r="K244" s="104">
        <f t="shared" si="84"/>
        <v>3.471695198804188E-2</v>
      </c>
      <c r="L244" s="104">
        <f t="shared" si="84"/>
        <v>0.48220077187638283</v>
      </c>
      <c r="M244" s="104">
        <f t="shared" si="84"/>
        <v>0.26288381733406258</v>
      </c>
      <c r="N244" s="104">
        <f t="shared" si="84"/>
        <v>4.6321775826741275E-2</v>
      </c>
      <c r="O244" s="55">
        <f t="shared" si="84"/>
        <v>0.38224352251574223</v>
      </c>
      <c r="P244" s="55">
        <f t="shared" si="84"/>
        <v>0.21957685264482196</v>
      </c>
      <c r="Q244" s="55">
        <f t="shared" si="84"/>
        <v>4.6321775826741275E-2</v>
      </c>
    </row>
    <row r="245" spans="1:17" x14ac:dyDescent="0.2">
      <c r="A245" s="72">
        <v>67</v>
      </c>
      <c r="B245" s="59">
        <v>235</v>
      </c>
      <c r="C245" s="40">
        <f t="shared" ref="C245:Q245" si="85">C77</f>
        <v>3.4332694957598457</v>
      </c>
      <c r="D245" s="40">
        <f t="shared" si="85"/>
        <v>1.8717327794185254</v>
      </c>
      <c r="E245" s="40">
        <f t="shared" si="85"/>
        <v>0.32981104388639787</v>
      </c>
      <c r="F245" s="40">
        <f t="shared" si="85"/>
        <v>0.74636293386083608</v>
      </c>
      <c r="G245" s="40">
        <f t="shared" si="85"/>
        <v>0.34817321475331586</v>
      </c>
      <c r="H245" s="40">
        <f t="shared" si="85"/>
        <v>5.4355139759513407E-2</v>
      </c>
      <c r="I245" s="104">
        <f t="shared" si="85"/>
        <v>0.36139678902735217</v>
      </c>
      <c r="J245" s="104">
        <f t="shared" si="85"/>
        <v>0.1970245030966869</v>
      </c>
      <c r="K245" s="104">
        <f t="shared" si="85"/>
        <v>3.471695198804188E-2</v>
      </c>
      <c r="L245" s="104">
        <f t="shared" si="85"/>
        <v>0.48220077187638283</v>
      </c>
      <c r="M245" s="104">
        <f t="shared" si="85"/>
        <v>0.26288381733406258</v>
      </c>
      <c r="N245" s="104">
        <f t="shared" si="85"/>
        <v>4.6321775826741275E-2</v>
      </c>
      <c r="O245" s="55">
        <f t="shared" si="85"/>
        <v>0.38224352251574223</v>
      </c>
      <c r="P245" s="55">
        <f t="shared" si="85"/>
        <v>0.21957685264482196</v>
      </c>
      <c r="Q245" s="55">
        <f t="shared" si="85"/>
        <v>4.6321775826741275E-2</v>
      </c>
    </row>
    <row r="246" spans="1:17" x14ac:dyDescent="0.2">
      <c r="A246" s="72">
        <v>68</v>
      </c>
      <c r="B246" s="59">
        <v>236</v>
      </c>
      <c r="C246" s="40">
        <f t="shared" ref="C246:Q246" si="86">C78</f>
        <v>3.4332694957598457</v>
      </c>
      <c r="D246" s="40">
        <f t="shared" si="86"/>
        <v>1.8717327794185254</v>
      </c>
      <c r="E246" s="40">
        <f t="shared" si="86"/>
        <v>0.32981104388639787</v>
      </c>
      <c r="F246" s="40">
        <f t="shared" si="86"/>
        <v>0.74636293386083608</v>
      </c>
      <c r="G246" s="40">
        <f t="shared" si="86"/>
        <v>0.34817321475331586</v>
      </c>
      <c r="H246" s="40">
        <f t="shared" si="86"/>
        <v>5.4355139759513407E-2</v>
      </c>
      <c r="I246" s="104">
        <f t="shared" si="86"/>
        <v>0.36139678902735217</v>
      </c>
      <c r="J246" s="104">
        <f t="shared" si="86"/>
        <v>0.1970245030966869</v>
      </c>
      <c r="K246" s="104">
        <f t="shared" si="86"/>
        <v>3.471695198804188E-2</v>
      </c>
      <c r="L246" s="104">
        <f t="shared" si="86"/>
        <v>0.48220077187638283</v>
      </c>
      <c r="M246" s="104">
        <f t="shared" si="86"/>
        <v>0.26288381733406258</v>
      </c>
      <c r="N246" s="104">
        <f t="shared" si="86"/>
        <v>4.6321775826741275E-2</v>
      </c>
      <c r="O246" s="55">
        <f t="shared" si="86"/>
        <v>0.38224352251574223</v>
      </c>
      <c r="P246" s="55">
        <f t="shared" si="86"/>
        <v>0.21957685264482196</v>
      </c>
      <c r="Q246" s="55">
        <f t="shared" si="86"/>
        <v>4.6321775826741275E-2</v>
      </c>
    </row>
    <row r="247" spans="1:17" x14ac:dyDescent="0.2">
      <c r="A247" s="72">
        <v>69</v>
      </c>
      <c r="B247" s="59">
        <v>237</v>
      </c>
      <c r="C247" s="40">
        <f t="shared" ref="C247:Q247" si="87">C79</f>
        <v>3.4332694957598457</v>
      </c>
      <c r="D247" s="40">
        <f t="shared" si="87"/>
        <v>1.8717327794185254</v>
      </c>
      <c r="E247" s="40">
        <f t="shared" si="87"/>
        <v>0.32981104388639787</v>
      </c>
      <c r="F247" s="40">
        <f t="shared" si="87"/>
        <v>0.74636293386083608</v>
      </c>
      <c r="G247" s="40">
        <f t="shared" si="87"/>
        <v>0.34817321475331586</v>
      </c>
      <c r="H247" s="40">
        <f t="shared" si="87"/>
        <v>5.4355139759513407E-2</v>
      </c>
      <c r="I247" s="104">
        <f t="shared" si="87"/>
        <v>0.36139678902735217</v>
      </c>
      <c r="J247" s="104">
        <f t="shared" si="87"/>
        <v>0.1970245030966869</v>
      </c>
      <c r="K247" s="104">
        <f t="shared" si="87"/>
        <v>3.471695198804188E-2</v>
      </c>
      <c r="L247" s="104">
        <f t="shared" si="87"/>
        <v>0.48220077187638283</v>
      </c>
      <c r="M247" s="104">
        <f t="shared" si="87"/>
        <v>0.26288381733406258</v>
      </c>
      <c r="N247" s="104">
        <f t="shared" si="87"/>
        <v>4.6321775826741275E-2</v>
      </c>
      <c r="O247" s="55">
        <f t="shared" si="87"/>
        <v>0.38224352251574223</v>
      </c>
      <c r="P247" s="55">
        <f t="shared" si="87"/>
        <v>0.21957685264482196</v>
      </c>
      <c r="Q247" s="55">
        <f t="shared" si="87"/>
        <v>4.6321775826741275E-2</v>
      </c>
    </row>
    <row r="248" spans="1:17" x14ac:dyDescent="0.2">
      <c r="A248" s="72">
        <v>70</v>
      </c>
      <c r="B248" s="59">
        <v>238</v>
      </c>
      <c r="C248" s="40">
        <f t="shared" ref="C248:Q248" si="88">C80</f>
        <v>3.4332694957598457</v>
      </c>
      <c r="D248" s="40">
        <f t="shared" si="88"/>
        <v>1.8717327794185254</v>
      </c>
      <c r="E248" s="40">
        <f t="shared" si="88"/>
        <v>0.32981104388639787</v>
      </c>
      <c r="F248" s="40">
        <f t="shared" si="88"/>
        <v>0.74636293386083608</v>
      </c>
      <c r="G248" s="40">
        <f t="shared" si="88"/>
        <v>0.34817321475331586</v>
      </c>
      <c r="H248" s="40">
        <f t="shared" si="88"/>
        <v>5.4355139759513407E-2</v>
      </c>
      <c r="I248" s="104">
        <f t="shared" si="88"/>
        <v>0.36139678902735217</v>
      </c>
      <c r="J248" s="104">
        <f t="shared" si="88"/>
        <v>0.1970245030966869</v>
      </c>
      <c r="K248" s="104">
        <f t="shared" si="88"/>
        <v>3.471695198804188E-2</v>
      </c>
      <c r="L248" s="104">
        <f t="shared" si="88"/>
        <v>0.48220077187638283</v>
      </c>
      <c r="M248" s="104">
        <f t="shared" si="88"/>
        <v>0.26288381733406258</v>
      </c>
      <c r="N248" s="104">
        <f t="shared" si="88"/>
        <v>4.6321775826741275E-2</v>
      </c>
      <c r="O248" s="55">
        <f t="shared" si="88"/>
        <v>0.38224352251574223</v>
      </c>
      <c r="P248" s="55">
        <f t="shared" si="88"/>
        <v>0.21957685264482196</v>
      </c>
      <c r="Q248" s="55">
        <f t="shared" si="88"/>
        <v>4.6321775826741275E-2</v>
      </c>
    </row>
    <row r="249" spans="1:17" x14ac:dyDescent="0.2">
      <c r="A249" s="72">
        <v>71</v>
      </c>
      <c r="B249" s="59">
        <v>239</v>
      </c>
      <c r="C249" s="40">
        <f t="shared" ref="C249:Q249" si="89">C81</f>
        <v>0</v>
      </c>
      <c r="D249" s="40">
        <f t="shared" si="89"/>
        <v>0</v>
      </c>
      <c r="E249" s="40">
        <f t="shared" si="89"/>
        <v>0</v>
      </c>
      <c r="F249" s="40">
        <f t="shared" si="89"/>
        <v>0</v>
      </c>
      <c r="G249" s="40">
        <f t="shared" si="89"/>
        <v>0</v>
      </c>
      <c r="H249" s="40">
        <f t="shared" si="89"/>
        <v>0</v>
      </c>
      <c r="I249" s="104">
        <f t="shared" si="89"/>
        <v>0</v>
      </c>
      <c r="J249" s="104">
        <f t="shared" si="89"/>
        <v>0</v>
      </c>
      <c r="K249" s="104">
        <f t="shared" si="89"/>
        <v>0</v>
      </c>
      <c r="L249" s="104">
        <f t="shared" si="89"/>
        <v>0</v>
      </c>
      <c r="M249" s="104">
        <f t="shared" si="89"/>
        <v>0</v>
      </c>
      <c r="N249" s="104">
        <f t="shared" si="89"/>
        <v>0</v>
      </c>
      <c r="O249" s="55">
        <f t="shared" si="89"/>
        <v>0</v>
      </c>
      <c r="P249" s="55">
        <f t="shared" si="89"/>
        <v>0</v>
      </c>
      <c r="Q249" s="55">
        <f t="shared" si="89"/>
        <v>0</v>
      </c>
    </row>
    <row r="250" spans="1:17" x14ac:dyDescent="0.2">
      <c r="A250" s="72">
        <v>72</v>
      </c>
      <c r="B250" s="59">
        <v>240</v>
      </c>
      <c r="C250" s="40">
        <f t="shared" ref="C250:Q250" si="90">C82</f>
        <v>0</v>
      </c>
      <c r="D250" s="40">
        <f t="shared" si="90"/>
        <v>0</v>
      </c>
      <c r="E250" s="40">
        <f t="shared" si="90"/>
        <v>0</v>
      </c>
      <c r="F250" s="40">
        <f t="shared" si="90"/>
        <v>0</v>
      </c>
      <c r="G250" s="40">
        <f t="shared" si="90"/>
        <v>0</v>
      </c>
      <c r="H250" s="40">
        <f t="shared" si="90"/>
        <v>0</v>
      </c>
      <c r="I250" s="104">
        <f t="shared" si="90"/>
        <v>0</v>
      </c>
      <c r="J250" s="104">
        <f t="shared" si="90"/>
        <v>0</v>
      </c>
      <c r="K250" s="104">
        <f t="shared" si="90"/>
        <v>0</v>
      </c>
      <c r="L250" s="104">
        <f t="shared" si="90"/>
        <v>0</v>
      </c>
      <c r="M250" s="104">
        <f t="shared" si="90"/>
        <v>0</v>
      </c>
      <c r="N250" s="104">
        <f t="shared" si="90"/>
        <v>0</v>
      </c>
      <c r="O250" s="55">
        <f t="shared" si="90"/>
        <v>0</v>
      </c>
      <c r="P250" s="55">
        <f t="shared" si="90"/>
        <v>0</v>
      </c>
      <c r="Q250" s="55">
        <f t="shared" si="90"/>
        <v>0</v>
      </c>
    </row>
    <row r="251" spans="1:17" x14ac:dyDescent="0.2">
      <c r="A251" s="72">
        <v>73</v>
      </c>
      <c r="B251" s="59">
        <v>241</v>
      </c>
      <c r="C251" s="40">
        <f t="shared" ref="C251:Q251" si="91">C83</f>
        <v>0</v>
      </c>
      <c r="D251" s="40">
        <f t="shared" si="91"/>
        <v>0</v>
      </c>
      <c r="E251" s="40">
        <f t="shared" si="91"/>
        <v>0</v>
      </c>
      <c r="F251" s="40">
        <f t="shared" si="91"/>
        <v>0</v>
      </c>
      <c r="G251" s="40">
        <f t="shared" si="91"/>
        <v>0</v>
      </c>
      <c r="H251" s="40">
        <f t="shared" si="91"/>
        <v>0</v>
      </c>
      <c r="I251" s="104">
        <f t="shared" si="91"/>
        <v>0</v>
      </c>
      <c r="J251" s="104">
        <f t="shared" si="91"/>
        <v>0</v>
      </c>
      <c r="K251" s="104">
        <f t="shared" si="91"/>
        <v>0</v>
      </c>
      <c r="L251" s="104">
        <f t="shared" si="91"/>
        <v>0</v>
      </c>
      <c r="M251" s="104">
        <f t="shared" si="91"/>
        <v>0</v>
      </c>
      <c r="N251" s="104">
        <f t="shared" si="91"/>
        <v>0</v>
      </c>
      <c r="O251" s="55">
        <f t="shared" si="91"/>
        <v>0</v>
      </c>
      <c r="P251" s="55">
        <f t="shared" si="91"/>
        <v>0</v>
      </c>
      <c r="Q251" s="55">
        <f t="shared" si="91"/>
        <v>0</v>
      </c>
    </row>
    <row r="252" spans="1:17" x14ac:dyDescent="0.2">
      <c r="A252" s="72">
        <v>74</v>
      </c>
      <c r="B252" s="59">
        <v>242</v>
      </c>
      <c r="C252" s="40">
        <f t="shared" ref="C252:Q252" si="92">C84</f>
        <v>0</v>
      </c>
      <c r="D252" s="40">
        <f t="shared" si="92"/>
        <v>0</v>
      </c>
      <c r="E252" s="40">
        <f t="shared" si="92"/>
        <v>0</v>
      </c>
      <c r="F252" s="40">
        <f t="shared" si="92"/>
        <v>0</v>
      </c>
      <c r="G252" s="40">
        <f t="shared" si="92"/>
        <v>0</v>
      </c>
      <c r="H252" s="40">
        <f t="shared" si="92"/>
        <v>0</v>
      </c>
      <c r="I252" s="104">
        <f t="shared" si="92"/>
        <v>0</v>
      </c>
      <c r="J252" s="104">
        <f t="shared" si="92"/>
        <v>0</v>
      </c>
      <c r="K252" s="104">
        <f t="shared" si="92"/>
        <v>0</v>
      </c>
      <c r="L252" s="104">
        <f t="shared" si="92"/>
        <v>0</v>
      </c>
      <c r="M252" s="104">
        <f t="shared" si="92"/>
        <v>0</v>
      </c>
      <c r="N252" s="104">
        <f t="shared" si="92"/>
        <v>0</v>
      </c>
      <c r="O252" s="55">
        <f t="shared" si="92"/>
        <v>0</v>
      </c>
      <c r="P252" s="55">
        <f t="shared" si="92"/>
        <v>0</v>
      </c>
      <c r="Q252" s="55">
        <f t="shared" si="92"/>
        <v>0</v>
      </c>
    </row>
    <row r="253" spans="1:17" x14ac:dyDescent="0.2">
      <c r="A253" s="72">
        <v>75</v>
      </c>
      <c r="B253" s="59">
        <v>243</v>
      </c>
      <c r="C253" s="40">
        <f t="shared" ref="C253:Q253" si="93">C85</f>
        <v>0</v>
      </c>
      <c r="D253" s="40">
        <f t="shared" si="93"/>
        <v>0</v>
      </c>
      <c r="E253" s="40">
        <f t="shared" si="93"/>
        <v>0</v>
      </c>
      <c r="F253" s="40">
        <f t="shared" si="93"/>
        <v>0</v>
      </c>
      <c r="G253" s="40">
        <f t="shared" si="93"/>
        <v>0</v>
      </c>
      <c r="H253" s="40">
        <f t="shared" si="93"/>
        <v>0</v>
      </c>
      <c r="I253" s="104">
        <f t="shared" si="93"/>
        <v>0</v>
      </c>
      <c r="J253" s="104">
        <f t="shared" si="93"/>
        <v>0</v>
      </c>
      <c r="K253" s="104">
        <f t="shared" si="93"/>
        <v>0</v>
      </c>
      <c r="L253" s="104">
        <f t="shared" si="93"/>
        <v>0</v>
      </c>
      <c r="M253" s="104">
        <f t="shared" si="93"/>
        <v>0</v>
      </c>
      <c r="N253" s="104">
        <f t="shared" si="93"/>
        <v>0</v>
      </c>
      <c r="O253" s="55">
        <f t="shared" si="93"/>
        <v>0</v>
      </c>
      <c r="P253" s="55">
        <f t="shared" si="93"/>
        <v>0</v>
      </c>
      <c r="Q253" s="55">
        <f t="shared" si="93"/>
        <v>0</v>
      </c>
    </row>
    <row r="254" spans="1:17" x14ac:dyDescent="0.2">
      <c r="A254" s="72">
        <v>76</v>
      </c>
      <c r="B254" s="59">
        <v>244</v>
      </c>
      <c r="C254" s="40">
        <f t="shared" ref="C254:Q254" si="94">C86</f>
        <v>0</v>
      </c>
      <c r="D254" s="40">
        <f t="shared" si="94"/>
        <v>0</v>
      </c>
      <c r="E254" s="40">
        <f t="shared" si="94"/>
        <v>0</v>
      </c>
      <c r="F254" s="40">
        <f t="shared" si="94"/>
        <v>0</v>
      </c>
      <c r="G254" s="40">
        <f t="shared" si="94"/>
        <v>0</v>
      </c>
      <c r="H254" s="40">
        <f t="shared" si="94"/>
        <v>0</v>
      </c>
      <c r="I254" s="104">
        <f t="shared" si="94"/>
        <v>0</v>
      </c>
      <c r="J254" s="104">
        <f t="shared" si="94"/>
        <v>0</v>
      </c>
      <c r="K254" s="104">
        <f t="shared" si="94"/>
        <v>0</v>
      </c>
      <c r="L254" s="104">
        <f t="shared" si="94"/>
        <v>0</v>
      </c>
      <c r="M254" s="104">
        <f t="shared" si="94"/>
        <v>0</v>
      </c>
      <c r="N254" s="104">
        <f t="shared" si="94"/>
        <v>0</v>
      </c>
      <c r="O254" s="55">
        <f t="shared" si="94"/>
        <v>0</v>
      </c>
      <c r="P254" s="55">
        <f t="shared" si="94"/>
        <v>0</v>
      </c>
      <c r="Q254" s="55">
        <f t="shared" si="94"/>
        <v>0</v>
      </c>
    </row>
    <row r="255" spans="1:17" x14ac:dyDescent="0.2">
      <c r="A255" s="72">
        <v>77</v>
      </c>
      <c r="B255" s="59">
        <v>245</v>
      </c>
      <c r="C255" s="40">
        <f t="shared" ref="C255:Q255" si="95">C87</f>
        <v>0</v>
      </c>
      <c r="D255" s="40">
        <f t="shared" si="95"/>
        <v>0</v>
      </c>
      <c r="E255" s="40">
        <f t="shared" si="95"/>
        <v>0</v>
      </c>
      <c r="F255" s="40">
        <f t="shared" si="95"/>
        <v>0</v>
      </c>
      <c r="G255" s="40">
        <f t="shared" si="95"/>
        <v>0</v>
      </c>
      <c r="H255" s="40">
        <f t="shared" si="95"/>
        <v>0</v>
      </c>
      <c r="I255" s="104">
        <f t="shared" si="95"/>
        <v>0</v>
      </c>
      <c r="J255" s="104">
        <f t="shared" si="95"/>
        <v>0</v>
      </c>
      <c r="K255" s="104">
        <f t="shared" si="95"/>
        <v>0</v>
      </c>
      <c r="L255" s="104">
        <f t="shared" si="95"/>
        <v>0</v>
      </c>
      <c r="M255" s="104">
        <f t="shared" si="95"/>
        <v>0</v>
      </c>
      <c r="N255" s="104">
        <f t="shared" si="95"/>
        <v>0</v>
      </c>
      <c r="O255" s="55">
        <f t="shared" si="95"/>
        <v>0</v>
      </c>
      <c r="P255" s="55">
        <f t="shared" si="95"/>
        <v>0</v>
      </c>
      <c r="Q255" s="55">
        <f t="shared" si="95"/>
        <v>0</v>
      </c>
    </row>
    <row r="256" spans="1:17" x14ac:dyDescent="0.2">
      <c r="A256" s="72">
        <v>78</v>
      </c>
      <c r="B256" s="59">
        <v>246</v>
      </c>
      <c r="C256" s="40">
        <f t="shared" ref="C256:Q256" si="96">C88</f>
        <v>0</v>
      </c>
      <c r="D256" s="40">
        <f t="shared" si="96"/>
        <v>0</v>
      </c>
      <c r="E256" s="40">
        <f t="shared" si="96"/>
        <v>0</v>
      </c>
      <c r="F256" s="40">
        <f t="shared" si="96"/>
        <v>0</v>
      </c>
      <c r="G256" s="40">
        <f t="shared" si="96"/>
        <v>0</v>
      </c>
      <c r="H256" s="40">
        <f t="shared" si="96"/>
        <v>0</v>
      </c>
      <c r="I256" s="104">
        <f t="shared" si="96"/>
        <v>0</v>
      </c>
      <c r="J256" s="104">
        <f t="shared" si="96"/>
        <v>0</v>
      </c>
      <c r="K256" s="104">
        <f t="shared" si="96"/>
        <v>0</v>
      </c>
      <c r="L256" s="104">
        <f t="shared" si="96"/>
        <v>0</v>
      </c>
      <c r="M256" s="104">
        <f t="shared" si="96"/>
        <v>0</v>
      </c>
      <c r="N256" s="104">
        <f t="shared" si="96"/>
        <v>0</v>
      </c>
      <c r="O256" s="55">
        <f t="shared" si="96"/>
        <v>0</v>
      </c>
      <c r="P256" s="55">
        <f t="shared" si="96"/>
        <v>0</v>
      </c>
      <c r="Q256" s="55">
        <f t="shared" si="96"/>
        <v>0</v>
      </c>
    </row>
    <row r="257" spans="1:17" x14ac:dyDescent="0.2">
      <c r="A257" s="72">
        <v>79</v>
      </c>
      <c r="B257" s="59">
        <v>247</v>
      </c>
      <c r="C257" s="40">
        <f t="shared" ref="C257:Q257" si="97">C89</f>
        <v>3.4332694957598457</v>
      </c>
      <c r="D257" s="40">
        <f t="shared" si="97"/>
        <v>1.8717327794185254</v>
      </c>
      <c r="E257" s="40">
        <f t="shared" si="97"/>
        <v>0.32981104388639787</v>
      </c>
      <c r="F257" s="40">
        <f t="shared" si="97"/>
        <v>0.74636293386083608</v>
      </c>
      <c r="G257" s="40">
        <f t="shared" si="97"/>
        <v>0.34817321475331586</v>
      </c>
      <c r="H257" s="40">
        <f t="shared" si="97"/>
        <v>5.4355139759513407E-2</v>
      </c>
      <c r="I257" s="104">
        <f t="shared" si="97"/>
        <v>0.36139678902735217</v>
      </c>
      <c r="J257" s="104">
        <f t="shared" si="97"/>
        <v>0.1970245030966869</v>
      </c>
      <c r="K257" s="104">
        <f t="shared" si="97"/>
        <v>3.471695198804188E-2</v>
      </c>
      <c r="L257" s="104">
        <f t="shared" si="97"/>
        <v>0.48220077187638283</v>
      </c>
      <c r="M257" s="104">
        <f t="shared" si="97"/>
        <v>0.26288381733406258</v>
      </c>
      <c r="N257" s="104">
        <f t="shared" si="97"/>
        <v>4.6321775826741275E-2</v>
      </c>
      <c r="O257" s="55">
        <f t="shared" si="97"/>
        <v>0.38224352251574223</v>
      </c>
      <c r="P257" s="55">
        <f t="shared" si="97"/>
        <v>0.21957685264482196</v>
      </c>
      <c r="Q257" s="55">
        <f t="shared" si="97"/>
        <v>4.6321775826741275E-2</v>
      </c>
    </row>
    <row r="258" spans="1:17" x14ac:dyDescent="0.2">
      <c r="A258" s="72">
        <v>80</v>
      </c>
      <c r="B258" s="59">
        <v>248</v>
      </c>
      <c r="C258" s="40">
        <f t="shared" ref="C258:Q258" si="98">C90</f>
        <v>3.4332694957598457</v>
      </c>
      <c r="D258" s="40">
        <f t="shared" si="98"/>
        <v>1.8717327794185254</v>
      </c>
      <c r="E258" s="40">
        <f t="shared" si="98"/>
        <v>0.32981104388639787</v>
      </c>
      <c r="F258" s="40">
        <f t="shared" si="98"/>
        <v>0.74636293386083608</v>
      </c>
      <c r="G258" s="40">
        <f t="shared" si="98"/>
        <v>0.34817321475331586</v>
      </c>
      <c r="H258" s="40">
        <f t="shared" si="98"/>
        <v>5.4355139759513407E-2</v>
      </c>
      <c r="I258" s="104">
        <f t="shared" si="98"/>
        <v>0.36139678902735217</v>
      </c>
      <c r="J258" s="104">
        <f t="shared" si="98"/>
        <v>0.1970245030966869</v>
      </c>
      <c r="K258" s="104">
        <f t="shared" si="98"/>
        <v>3.471695198804188E-2</v>
      </c>
      <c r="L258" s="104">
        <f t="shared" si="98"/>
        <v>0.48220077187638283</v>
      </c>
      <c r="M258" s="104">
        <f t="shared" si="98"/>
        <v>0.26288381733406258</v>
      </c>
      <c r="N258" s="104">
        <f t="shared" si="98"/>
        <v>4.6321775826741275E-2</v>
      </c>
      <c r="O258" s="55">
        <f t="shared" si="98"/>
        <v>0.38224352251574223</v>
      </c>
      <c r="P258" s="55">
        <f t="shared" si="98"/>
        <v>0.21957685264482196</v>
      </c>
      <c r="Q258" s="55">
        <f t="shared" si="98"/>
        <v>4.6321775826741275E-2</v>
      </c>
    </row>
    <row r="259" spans="1:17" x14ac:dyDescent="0.2">
      <c r="A259" s="72">
        <v>81</v>
      </c>
      <c r="B259" s="59">
        <v>249</v>
      </c>
      <c r="C259" s="40">
        <f t="shared" ref="C259:Q259" si="99">C91</f>
        <v>3.4332694957598457</v>
      </c>
      <c r="D259" s="40">
        <f t="shared" si="99"/>
        <v>1.8717327794185254</v>
      </c>
      <c r="E259" s="40">
        <f t="shared" si="99"/>
        <v>0.32981104388639787</v>
      </c>
      <c r="F259" s="40">
        <f t="shared" si="99"/>
        <v>0.74636293386083608</v>
      </c>
      <c r="G259" s="40">
        <f t="shared" si="99"/>
        <v>0.34817321475331586</v>
      </c>
      <c r="H259" s="40">
        <f t="shared" si="99"/>
        <v>5.4355139759513407E-2</v>
      </c>
      <c r="I259" s="104">
        <f t="shared" si="99"/>
        <v>0.36139678902735217</v>
      </c>
      <c r="J259" s="104">
        <f t="shared" si="99"/>
        <v>0.1970245030966869</v>
      </c>
      <c r="K259" s="104">
        <f t="shared" si="99"/>
        <v>3.471695198804188E-2</v>
      </c>
      <c r="L259" s="104">
        <f t="shared" si="99"/>
        <v>0.48220077187638283</v>
      </c>
      <c r="M259" s="104">
        <f t="shared" si="99"/>
        <v>0.26288381733406258</v>
      </c>
      <c r="N259" s="104">
        <f t="shared" si="99"/>
        <v>4.6321775826741275E-2</v>
      </c>
      <c r="O259" s="55">
        <f t="shared" si="99"/>
        <v>0.38224352251574223</v>
      </c>
      <c r="P259" s="55">
        <f t="shared" si="99"/>
        <v>0.21957685264482196</v>
      </c>
      <c r="Q259" s="55">
        <f t="shared" si="99"/>
        <v>4.6321775826741275E-2</v>
      </c>
    </row>
    <row r="260" spans="1:17" x14ac:dyDescent="0.2">
      <c r="A260" s="72">
        <v>82</v>
      </c>
      <c r="B260" s="59">
        <v>250</v>
      </c>
      <c r="C260" s="40">
        <f t="shared" ref="C260:Q260" si="100">C92</f>
        <v>3.4332694957598457</v>
      </c>
      <c r="D260" s="40">
        <f t="shared" si="100"/>
        <v>1.8717327794185254</v>
      </c>
      <c r="E260" s="40">
        <f t="shared" si="100"/>
        <v>0.32981104388639787</v>
      </c>
      <c r="F260" s="40">
        <f t="shared" si="100"/>
        <v>0.74636293386083608</v>
      </c>
      <c r="G260" s="40">
        <f t="shared" si="100"/>
        <v>0.34817321475331586</v>
      </c>
      <c r="H260" s="40">
        <f t="shared" si="100"/>
        <v>5.4355139759513407E-2</v>
      </c>
      <c r="I260" s="104">
        <f t="shared" si="100"/>
        <v>0.36139678902735217</v>
      </c>
      <c r="J260" s="104">
        <f t="shared" si="100"/>
        <v>0.1970245030966869</v>
      </c>
      <c r="K260" s="104">
        <f t="shared" si="100"/>
        <v>3.471695198804188E-2</v>
      </c>
      <c r="L260" s="104">
        <f t="shared" si="100"/>
        <v>0.48220077187638283</v>
      </c>
      <c r="M260" s="104">
        <f t="shared" si="100"/>
        <v>0.26288381733406258</v>
      </c>
      <c r="N260" s="104">
        <f t="shared" si="100"/>
        <v>4.6321775826741275E-2</v>
      </c>
      <c r="O260" s="55">
        <f t="shared" si="100"/>
        <v>0.38224352251574223</v>
      </c>
      <c r="P260" s="55">
        <f t="shared" si="100"/>
        <v>0.21957685264482196</v>
      </c>
      <c r="Q260" s="55">
        <f t="shared" si="100"/>
        <v>4.6321775826741275E-2</v>
      </c>
    </row>
    <row r="261" spans="1:17" x14ac:dyDescent="0.2">
      <c r="A261" s="72">
        <v>83</v>
      </c>
      <c r="B261" s="59">
        <v>251</v>
      </c>
      <c r="C261" s="40">
        <f t="shared" ref="C261:Q261" si="101">C93</f>
        <v>3.4332694957598457</v>
      </c>
      <c r="D261" s="40">
        <f t="shared" si="101"/>
        <v>1.8717327794185254</v>
      </c>
      <c r="E261" s="40">
        <f t="shared" si="101"/>
        <v>0.32981104388639787</v>
      </c>
      <c r="F261" s="40">
        <f t="shared" si="101"/>
        <v>0.74636293386083608</v>
      </c>
      <c r="G261" s="40">
        <f t="shared" si="101"/>
        <v>0.34817321475331586</v>
      </c>
      <c r="H261" s="40">
        <f t="shared" si="101"/>
        <v>5.4355139759513407E-2</v>
      </c>
      <c r="I261" s="104">
        <f t="shared" si="101"/>
        <v>0.36139678902735217</v>
      </c>
      <c r="J261" s="104">
        <f t="shared" si="101"/>
        <v>0.1970245030966869</v>
      </c>
      <c r="K261" s="104">
        <f t="shared" si="101"/>
        <v>3.471695198804188E-2</v>
      </c>
      <c r="L261" s="104">
        <f t="shared" si="101"/>
        <v>0.48220077187638283</v>
      </c>
      <c r="M261" s="104">
        <f t="shared" si="101"/>
        <v>0.26288381733406258</v>
      </c>
      <c r="N261" s="104">
        <f t="shared" si="101"/>
        <v>4.6321775826741275E-2</v>
      </c>
      <c r="O261" s="55">
        <f t="shared" si="101"/>
        <v>0.38224352251574223</v>
      </c>
      <c r="P261" s="55">
        <f t="shared" si="101"/>
        <v>0.21957685264482196</v>
      </c>
      <c r="Q261" s="55">
        <f t="shared" si="101"/>
        <v>4.6321775826741275E-2</v>
      </c>
    </row>
    <row r="262" spans="1:17" x14ac:dyDescent="0.2">
      <c r="A262" s="72">
        <v>84</v>
      </c>
      <c r="B262" s="59">
        <v>252</v>
      </c>
      <c r="C262" s="40">
        <f t="shared" ref="C262:Q262" si="102">C94</f>
        <v>3.4332694957598457</v>
      </c>
      <c r="D262" s="40">
        <f t="shared" si="102"/>
        <v>1.8717327794185254</v>
      </c>
      <c r="E262" s="40">
        <f t="shared" si="102"/>
        <v>0.32981104388639787</v>
      </c>
      <c r="F262" s="40">
        <f t="shared" si="102"/>
        <v>0.74636293386083608</v>
      </c>
      <c r="G262" s="40">
        <f t="shared" si="102"/>
        <v>0.34817321475331586</v>
      </c>
      <c r="H262" s="40">
        <f t="shared" si="102"/>
        <v>5.4355139759513407E-2</v>
      </c>
      <c r="I262" s="104">
        <f t="shared" si="102"/>
        <v>0.36139678902735217</v>
      </c>
      <c r="J262" s="104">
        <f t="shared" si="102"/>
        <v>0.1970245030966869</v>
      </c>
      <c r="K262" s="104">
        <f t="shared" si="102"/>
        <v>3.471695198804188E-2</v>
      </c>
      <c r="L262" s="104">
        <f t="shared" si="102"/>
        <v>0.48220077187638283</v>
      </c>
      <c r="M262" s="104">
        <f t="shared" si="102"/>
        <v>0.26288381733406258</v>
      </c>
      <c r="N262" s="104">
        <f t="shared" si="102"/>
        <v>4.6321775826741275E-2</v>
      </c>
      <c r="O262" s="55">
        <f t="shared" si="102"/>
        <v>0.38224352251574223</v>
      </c>
      <c r="P262" s="55">
        <f t="shared" si="102"/>
        <v>0.21957685264482196</v>
      </c>
      <c r="Q262" s="55">
        <f t="shared" si="102"/>
        <v>4.6321775826741275E-2</v>
      </c>
    </row>
    <row r="263" spans="1:17" x14ac:dyDescent="0.2">
      <c r="A263" s="72">
        <v>85</v>
      </c>
      <c r="B263" s="59">
        <v>253</v>
      </c>
      <c r="C263" s="40">
        <f t="shared" ref="C263:Q263" si="103">C95</f>
        <v>3.4332694957598457</v>
      </c>
      <c r="D263" s="40">
        <f t="shared" si="103"/>
        <v>1.8717327794185254</v>
      </c>
      <c r="E263" s="40">
        <f t="shared" si="103"/>
        <v>0.32981104388639787</v>
      </c>
      <c r="F263" s="40">
        <f t="shared" si="103"/>
        <v>0.74636293386083608</v>
      </c>
      <c r="G263" s="40">
        <f t="shared" si="103"/>
        <v>0.34817321475331586</v>
      </c>
      <c r="H263" s="40">
        <f t="shared" si="103"/>
        <v>5.4355139759513407E-2</v>
      </c>
      <c r="I263" s="104">
        <f t="shared" si="103"/>
        <v>0.36139678902735217</v>
      </c>
      <c r="J263" s="104">
        <f t="shared" si="103"/>
        <v>0.1970245030966869</v>
      </c>
      <c r="K263" s="104">
        <f t="shared" si="103"/>
        <v>3.471695198804188E-2</v>
      </c>
      <c r="L263" s="104">
        <f t="shared" si="103"/>
        <v>0.48220077187638283</v>
      </c>
      <c r="M263" s="104">
        <f t="shared" si="103"/>
        <v>0.26288381733406258</v>
      </c>
      <c r="N263" s="104">
        <f t="shared" si="103"/>
        <v>4.6321775826741275E-2</v>
      </c>
      <c r="O263" s="55">
        <f t="shared" si="103"/>
        <v>0.38224352251574223</v>
      </c>
      <c r="P263" s="55">
        <f t="shared" si="103"/>
        <v>0.21957685264482196</v>
      </c>
      <c r="Q263" s="55">
        <f t="shared" si="103"/>
        <v>4.6321775826741275E-2</v>
      </c>
    </row>
    <row r="264" spans="1:17" x14ac:dyDescent="0.2">
      <c r="A264" s="72">
        <v>86</v>
      </c>
      <c r="B264" s="59">
        <v>254</v>
      </c>
      <c r="C264" s="40">
        <f t="shared" ref="C264:Q264" si="104">C96</f>
        <v>3.4332694957598457</v>
      </c>
      <c r="D264" s="40">
        <f t="shared" si="104"/>
        <v>1.8717327794185254</v>
      </c>
      <c r="E264" s="40">
        <f t="shared" si="104"/>
        <v>0.32981104388639787</v>
      </c>
      <c r="F264" s="40">
        <f t="shared" si="104"/>
        <v>0.74636293386083608</v>
      </c>
      <c r="G264" s="40">
        <f t="shared" si="104"/>
        <v>0.34817321475331586</v>
      </c>
      <c r="H264" s="40">
        <f t="shared" si="104"/>
        <v>5.4355139759513407E-2</v>
      </c>
      <c r="I264" s="104">
        <f t="shared" si="104"/>
        <v>0.36139678902735217</v>
      </c>
      <c r="J264" s="104">
        <f t="shared" si="104"/>
        <v>0.1970245030966869</v>
      </c>
      <c r="K264" s="104">
        <f t="shared" si="104"/>
        <v>3.471695198804188E-2</v>
      </c>
      <c r="L264" s="104">
        <f t="shared" si="104"/>
        <v>0.48220077187638283</v>
      </c>
      <c r="M264" s="104">
        <f t="shared" si="104"/>
        <v>0.26288381733406258</v>
      </c>
      <c r="N264" s="104">
        <f t="shared" si="104"/>
        <v>4.6321775826741275E-2</v>
      </c>
      <c r="O264" s="55">
        <f t="shared" si="104"/>
        <v>0.38224352251574223</v>
      </c>
      <c r="P264" s="55">
        <f t="shared" si="104"/>
        <v>0.21957685264482196</v>
      </c>
      <c r="Q264" s="55">
        <f t="shared" si="104"/>
        <v>4.6321775826741275E-2</v>
      </c>
    </row>
    <row r="265" spans="1:17" x14ac:dyDescent="0.2">
      <c r="A265" s="72">
        <v>87</v>
      </c>
      <c r="B265" s="59">
        <v>255</v>
      </c>
      <c r="C265" s="40">
        <f t="shared" ref="C265:Q265" si="105">C97</f>
        <v>3.4332694957598457</v>
      </c>
      <c r="D265" s="40">
        <f t="shared" si="105"/>
        <v>1.8717327794185254</v>
      </c>
      <c r="E265" s="40">
        <f t="shared" si="105"/>
        <v>0.32981104388639787</v>
      </c>
      <c r="F265" s="40">
        <f t="shared" si="105"/>
        <v>0.74636293386083608</v>
      </c>
      <c r="G265" s="40">
        <f t="shared" si="105"/>
        <v>0.34817321475331586</v>
      </c>
      <c r="H265" s="40">
        <f t="shared" si="105"/>
        <v>5.4355139759513407E-2</v>
      </c>
      <c r="I265" s="104">
        <f t="shared" si="105"/>
        <v>0.36139678902735217</v>
      </c>
      <c r="J265" s="104">
        <f t="shared" si="105"/>
        <v>0.1970245030966869</v>
      </c>
      <c r="K265" s="104">
        <f t="shared" si="105"/>
        <v>3.471695198804188E-2</v>
      </c>
      <c r="L265" s="104">
        <f t="shared" si="105"/>
        <v>0.48220077187638283</v>
      </c>
      <c r="M265" s="104">
        <f t="shared" si="105"/>
        <v>0.26288381733406258</v>
      </c>
      <c r="N265" s="104">
        <f t="shared" si="105"/>
        <v>4.6321775826741275E-2</v>
      </c>
      <c r="O265" s="55">
        <f t="shared" si="105"/>
        <v>0.38224352251574223</v>
      </c>
      <c r="P265" s="55">
        <f t="shared" si="105"/>
        <v>0.21957685264482196</v>
      </c>
      <c r="Q265" s="55">
        <f t="shared" si="105"/>
        <v>4.6321775826741275E-2</v>
      </c>
    </row>
    <row r="266" spans="1:17" x14ac:dyDescent="0.2">
      <c r="A266" s="72">
        <v>88</v>
      </c>
      <c r="B266" s="59">
        <v>256</v>
      </c>
      <c r="C266" s="40">
        <f t="shared" ref="C266:Q266" si="106">C98</f>
        <v>3.4332694957598457</v>
      </c>
      <c r="D266" s="40">
        <f t="shared" si="106"/>
        <v>1.8717327794185254</v>
      </c>
      <c r="E266" s="40">
        <f t="shared" si="106"/>
        <v>0.32981104388639787</v>
      </c>
      <c r="F266" s="40">
        <f t="shared" si="106"/>
        <v>0.74636293386083608</v>
      </c>
      <c r="G266" s="40">
        <f t="shared" si="106"/>
        <v>0.34817321475331586</v>
      </c>
      <c r="H266" s="40">
        <f t="shared" si="106"/>
        <v>5.4355139759513407E-2</v>
      </c>
      <c r="I266" s="104">
        <f t="shared" si="106"/>
        <v>0.36139678902735217</v>
      </c>
      <c r="J266" s="104">
        <f t="shared" si="106"/>
        <v>0.1970245030966869</v>
      </c>
      <c r="K266" s="104">
        <f t="shared" si="106"/>
        <v>3.471695198804188E-2</v>
      </c>
      <c r="L266" s="104">
        <f t="shared" si="106"/>
        <v>0.48220077187638283</v>
      </c>
      <c r="M266" s="104">
        <f t="shared" si="106"/>
        <v>0.26288381733406258</v>
      </c>
      <c r="N266" s="104">
        <f t="shared" si="106"/>
        <v>4.6321775826741275E-2</v>
      </c>
      <c r="O266" s="55">
        <f t="shared" si="106"/>
        <v>0.38224352251574223</v>
      </c>
      <c r="P266" s="55">
        <f t="shared" si="106"/>
        <v>0.21957685264482196</v>
      </c>
      <c r="Q266" s="55">
        <f t="shared" si="106"/>
        <v>4.6321775826741275E-2</v>
      </c>
    </row>
    <row r="267" spans="1:17" x14ac:dyDescent="0.2">
      <c r="A267" s="72">
        <v>89</v>
      </c>
      <c r="B267" s="59">
        <v>257</v>
      </c>
      <c r="C267" s="40">
        <f t="shared" ref="C267:Q267" si="107">C99</f>
        <v>3.4332694957598457</v>
      </c>
      <c r="D267" s="40">
        <f t="shared" si="107"/>
        <v>1.8717327794185254</v>
      </c>
      <c r="E267" s="40">
        <f t="shared" si="107"/>
        <v>0.32981104388639787</v>
      </c>
      <c r="F267" s="40">
        <f t="shared" si="107"/>
        <v>0.74636293386083608</v>
      </c>
      <c r="G267" s="40">
        <f t="shared" si="107"/>
        <v>0.34817321475331586</v>
      </c>
      <c r="H267" s="40">
        <f t="shared" si="107"/>
        <v>5.4355139759513407E-2</v>
      </c>
      <c r="I267" s="104">
        <f t="shared" si="107"/>
        <v>0.36139678902735217</v>
      </c>
      <c r="J267" s="104">
        <f t="shared" si="107"/>
        <v>0.1970245030966869</v>
      </c>
      <c r="K267" s="104">
        <f t="shared" si="107"/>
        <v>3.471695198804188E-2</v>
      </c>
      <c r="L267" s="104">
        <f t="shared" si="107"/>
        <v>0.48220077187638283</v>
      </c>
      <c r="M267" s="104">
        <f t="shared" si="107"/>
        <v>0.26288381733406258</v>
      </c>
      <c r="N267" s="104">
        <f t="shared" si="107"/>
        <v>4.6321775826741275E-2</v>
      </c>
      <c r="O267" s="55">
        <f t="shared" si="107"/>
        <v>0.38224352251574223</v>
      </c>
      <c r="P267" s="55">
        <f t="shared" si="107"/>
        <v>0.21957685264482196</v>
      </c>
      <c r="Q267" s="55">
        <f t="shared" si="107"/>
        <v>4.6321775826741275E-2</v>
      </c>
    </row>
    <row r="268" spans="1:17" x14ac:dyDescent="0.2">
      <c r="A268" s="72">
        <v>90</v>
      </c>
      <c r="B268" s="59">
        <v>258</v>
      </c>
      <c r="C268" s="40">
        <f t="shared" ref="C268:Q268" si="108">C100</f>
        <v>3.4332694957598457</v>
      </c>
      <c r="D268" s="40">
        <f t="shared" si="108"/>
        <v>1.8717327794185254</v>
      </c>
      <c r="E268" s="40">
        <f t="shared" si="108"/>
        <v>0.32981104388639787</v>
      </c>
      <c r="F268" s="40">
        <f t="shared" si="108"/>
        <v>0.74636293386083608</v>
      </c>
      <c r="G268" s="40">
        <f t="shared" si="108"/>
        <v>0.34817321475331586</v>
      </c>
      <c r="H268" s="40">
        <f t="shared" si="108"/>
        <v>5.4355139759513407E-2</v>
      </c>
      <c r="I268" s="104">
        <f t="shared" si="108"/>
        <v>0.36139678902735217</v>
      </c>
      <c r="J268" s="104">
        <f t="shared" si="108"/>
        <v>0.1970245030966869</v>
      </c>
      <c r="K268" s="104">
        <f t="shared" si="108"/>
        <v>3.471695198804188E-2</v>
      </c>
      <c r="L268" s="104">
        <f t="shared" si="108"/>
        <v>0.48220077187638283</v>
      </c>
      <c r="M268" s="104">
        <f t="shared" si="108"/>
        <v>0.26288381733406258</v>
      </c>
      <c r="N268" s="104">
        <f t="shared" si="108"/>
        <v>4.6321775826741275E-2</v>
      </c>
      <c r="O268" s="55">
        <f t="shared" si="108"/>
        <v>0.38224352251574223</v>
      </c>
      <c r="P268" s="55">
        <f t="shared" si="108"/>
        <v>0.21957685264482196</v>
      </c>
      <c r="Q268" s="55">
        <f t="shared" si="108"/>
        <v>4.6321775826741275E-2</v>
      </c>
    </row>
    <row r="269" spans="1:17" x14ac:dyDescent="0.2">
      <c r="A269" s="72">
        <v>91</v>
      </c>
      <c r="B269" s="59">
        <v>259</v>
      </c>
      <c r="C269" s="40">
        <f t="shared" ref="C269:Q269" si="109">C101</f>
        <v>3.4332694957598457</v>
      </c>
      <c r="D269" s="40">
        <f t="shared" si="109"/>
        <v>1.8717327794185254</v>
      </c>
      <c r="E269" s="40">
        <f t="shared" si="109"/>
        <v>0.32981104388639787</v>
      </c>
      <c r="F269" s="40">
        <f t="shared" si="109"/>
        <v>0.74636293386083608</v>
      </c>
      <c r="G269" s="40">
        <f t="shared" si="109"/>
        <v>0.34817321475331586</v>
      </c>
      <c r="H269" s="40">
        <f t="shared" si="109"/>
        <v>5.4355139759513407E-2</v>
      </c>
      <c r="I269" s="104">
        <f t="shared" si="109"/>
        <v>0.36139678902735217</v>
      </c>
      <c r="J269" s="104">
        <f t="shared" si="109"/>
        <v>0.1970245030966869</v>
      </c>
      <c r="K269" s="104">
        <f t="shared" si="109"/>
        <v>3.471695198804188E-2</v>
      </c>
      <c r="L269" s="104">
        <f t="shared" si="109"/>
        <v>0.48220077187638283</v>
      </c>
      <c r="M269" s="104">
        <f t="shared" si="109"/>
        <v>0.26288381733406258</v>
      </c>
      <c r="N269" s="104">
        <f t="shared" si="109"/>
        <v>4.6321775826741275E-2</v>
      </c>
      <c r="O269" s="55">
        <f t="shared" si="109"/>
        <v>0.38224352251574223</v>
      </c>
      <c r="P269" s="55">
        <f t="shared" si="109"/>
        <v>0.21957685264482196</v>
      </c>
      <c r="Q269" s="55">
        <f t="shared" si="109"/>
        <v>4.6321775826741275E-2</v>
      </c>
    </row>
    <row r="270" spans="1:17" x14ac:dyDescent="0.2">
      <c r="A270" s="72">
        <v>92</v>
      </c>
      <c r="B270" s="59">
        <v>260</v>
      </c>
      <c r="C270" s="40">
        <f t="shared" ref="C270:Q270" si="110">C102</f>
        <v>3.4332694957598457</v>
      </c>
      <c r="D270" s="40">
        <f t="shared" si="110"/>
        <v>1.8717327794185254</v>
      </c>
      <c r="E270" s="40">
        <f t="shared" si="110"/>
        <v>0.32981104388639787</v>
      </c>
      <c r="F270" s="40">
        <f t="shared" si="110"/>
        <v>0.74636293386083608</v>
      </c>
      <c r="G270" s="40">
        <f t="shared" si="110"/>
        <v>0.34817321475331586</v>
      </c>
      <c r="H270" s="40">
        <f t="shared" si="110"/>
        <v>5.4355139759513407E-2</v>
      </c>
      <c r="I270" s="104">
        <f t="shared" si="110"/>
        <v>0.36139678902735217</v>
      </c>
      <c r="J270" s="104">
        <f t="shared" si="110"/>
        <v>0.1970245030966869</v>
      </c>
      <c r="K270" s="104">
        <f t="shared" si="110"/>
        <v>3.471695198804188E-2</v>
      </c>
      <c r="L270" s="104">
        <f t="shared" si="110"/>
        <v>0.48220077187638283</v>
      </c>
      <c r="M270" s="104">
        <f t="shared" si="110"/>
        <v>0.26288381733406258</v>
      </c>
      <c r="N270" s="104">
        <f t="shared" si="110"/>
        <v>4.6321775826741275E-2</v>
      </c>
      <c r="O270" s="55">
        <f t="shared" si="110"/>
        <v>0.38224352251574223</v>
      </c>
      <c r="P270" s="55">
        <f t="shared" si="110"/>
        <v>0.21957685264482196</v>
      </c>
      <c r="Q270" s="55">
        <f t="shared" si="110"/>
        <v>4.6321775826741275E-2</v>
      </c>
    </row>
    <row r="271" spans="1:17" x14ac:dyDescent="0.2">
      <c r="A271" s="72">
        <v>93</v>
      </c>
      <c r="B271" s="59">
        <v>261</v>
      </c>
      <c r="C271" s="40">
        <f t="shared" ref="C271:Q271" si="111">C103</f>
        <v>3.4332694957598457</v>
      </c>
      <c r="D271" s="40">
        <f t="shared" si="111"/>
        <v>1.8717327794185254</v>
      </c>
      <c r="E271" s="40">
        <f t="shared" si="111"/>
        <v>0.32981104388639787</v>
      </c>
      <c r="F271" s="40">
        <f t="shared" si="111"/>
        <v>0.74636293386083608</v>
      </c>
      <c r="G271" s="40">
        <f t="shared" si="111"/>
        <v>0.34817321475331586</v>
      </c>
      <c r="H271" s="40">
        <f t="shared" si="111"/>
        <v>5.4355139759513407E-2</v>
      </c>
      <c r="I271" s="104">
        <f t="shared" si="111"/>
        <v>0.36139678902735217</v>
      </c>
      <c r="J271" s="104">
        <f t="shared" si="111"/>
        <v>0.1970245030966869</v>
      </c>
      <c r="K271" s="104">
        <f t="shared" si="111"/>
        <v>3.471695198804188E-2</v>
      </c>
      <c r="L271" s="104">
        <f t="shared" si="111"/>
        <v>0.48220077187638283</v>
      </c>
      <c r="M271" s="104">
        <f t="shared" si="111"/>
        <v>0.26288381733406258</v>
      </c>
      <c r="N271" s="104">
        <f t="shared" si="111"/>
        <v>4.6321775826741275E-2</v>
      </c>
      <c r="O271" s="55">
        <f t="shared" si="111"/>
        <v>0.38224352251574223</v>
      </c>
      <c r="P271" s="55">
        <f t="shared" si="111"/>
        <v>0.21957685264482196</v>
      </c>
      <c r="Q271" s="55">
        <f t="shared" si="111"/>
        <v>4.6321775826741275E-2</v>
      </c>
    </row>
    <row r="272" spans="1:17" x14ac:dyDescent="0.2">
      <c r="A272" s="72">
        <v>94</v>
      </c>
      <c r="B272" s="59">
        <v>262</v>
      </c>
      <c r="C272" s="40">
        <f t="shared" ref="C272:Q272" si="112">C104</f>
        <v>3.4332694957598457</v>
      </c>
      <c r="D272" s="40">
        <f t="shared" si="112"/>
        <v>1.8717327794185254</v>
      </c>
      <c r="E272" s="40">
        <f t="shared" si="112"/>
        <v>0.32981104388639787</v>
      </c>
      <c r="F272" s="40">
        <f t="shared" si="112"/>
        <v>0.74636293386083608</v>
      </c>
      <c r="G272" s="40">
        <f t="shared" si="112"/>
        <v>0.34817321475331586</v>
      </c>
      <c r="H272" s="40">
        <f t="shared" si="112"/>
        <v>5.4355139759513407E-2</v>
      </c>
      <c r="I272" s="104">
        <f t="shared" si="112"/>
        <v>0.36139678902735217</v>
      </c>
      <c r="J272" s="104">
        <f t="shared" si="112"/>
        <v>0.1970245030966869</v>
      </c>
      <c r="K272" s="104">
        <f t="shared" si="112"/>
        <v>3.471695198804188E-2</v>
      </c>
      <c r="L272" s="104">
        <f t="shared" si="112"/>
        <v>0.48220077187638283</v>
      </c>
      <c r="M272" s="104">
        <f t="shared" si="112"/>
        <v>0.26288381733406258</v>
      </c>
      <c r="N272" s="104">
        <f t="shared" si="112"/>
        <v>4.6321775826741275E-2</v>
      </c>
      <c r="O272" s="55">
        <f t="shared" si="112"/>
        <v>0.38224352251574223</v>
      </c>
      <c r="P272" s="55">
        <f t="shared" si="112"/>
        <v>0.21957685264482196</v>
      </c>
      <c r="Q272" s="55">
        <f t="shared" si="112"/>
        <v>4.6321775826741275E-2</v>
      </c>
    </row>
    <row r="273" spans="1:17" x14ac:dyDescent="0.2">
      <c r="A273" s="72">
        <v>95</v>
      </c>
      <c r="B273" s="59">
        <v>263</v>
      </c>
      <c r="C273" s="40">
        <f t="shared" ref="C273:Q273" si="113">C105</f>
        <v>0</v>
      </c>
      <c r="D273" s="40">
        <f t="shared" si="113"/>
        <v>0</v>
      </c>
      <c r="E273" s="40">
        <f t="shared" si="113"/>
        <v>0</v>
      </c>
      <c r="F273" s="40">
        <f t="shared" si="113"/>
        <v>0</v>
      </c>
      <c r="G273" s="40">
        <f t="shared" si="113"/>
        <v>0</v>
      </c>
      <c r="H273" s="40">
        <f t="shared" si="113"/>
        <v>0</v>
      </c>
      <c r="I273" s="104">
        <f t="shared" si="113"/>
        <v>0</v>
      </c>
      <c r="J273" s="104">
        <f t="shared" si="113"/>
        <v>0</v>
      </c>
      <c r="K273" s="104">
        <f t="shared" si="113"/>
        <v>0</v>
      </c>
      <c r="L273" s="104">
        <f t="shared" si="113"/>
        <v>0</v>
      </c>
      <c r="M273" s="104">
        <f t="shared" si="113"/>
        <v>0</v>
      </c>
      <c r="N273" s="104">
        <f t="shared" si="113"/>
        <v>0</v>
      </c>
      <c r="O273" s="55">
        <f t="shared" si="113"/>
        <v>0</v>
      </c>
      <c r="P273" s="55">
        <f t="shared" si="113"/>
        <v>0</v>
      </c>
      <c r="Q273" s="55">
        <f t="shared" si="113"/>
        <v>0</v>
      </c>
    </row>
    <row r="274" spans="1:17" x14ac:dyDescent="0.2">
      <c r="A274" s="72">
        <v>96</v>
      </c>
      <c r="B274" s="59">
        <v>264</v>
      </c>
      <c r="C274" s="40">
        <f t="shared" ref="C274:Q274" si="114">C106</f>
        <v>0</v>
      </c>
      <c r="D274" s="40">
        <f t="shared" si="114"/>
        <v>0</v>
      </c>
      <c r="E274" s="40">
        <f t="shared" si="114"/>
        <v>0</v>
      </c>
      <c r="F274" s="40">
        <f t="shared" si="114"/>
        <v>0</v>
      </c>
      <c r="G274" s="40">
        <f t="shared" si="114"/>
        <v>0</v>
      </c>
      <c r="H274" s="40">
        <f t="shared" si="114"/>
        <v>0</v>
      </c>
      <c r="I274" s="104">
        <f t="shared" si="114"/>
        <v>0</v>
      </c>
      <c r="J274" s="104">
        <f t="shared" si="114"/>
        <v>0</v>
      </c>
      <c r="K274" s="104">
        <f t="shared" si="114"/>
        <v>0</v>
      </c>
      <c r="L274" s="104">
        <f t="shared" si="114"/>
        <v>0</v>
      </c>
      <c r="M274" s="104">
        <f t="shared" si="114"/>
        <v>0</v>
      </c>
      <c r="N274" s="104">
        <f t="shared" si="114"/>
        <v>0</v>
      </c>
      <c r="O274" s="55">
        <f t="shared" si="114"/>
        <v>0</v>
      </c>
      <c r="P274" s="55">
        <f t="shared" si="114"/>
        <v>0</v>
      </c>
      <c r="Q274" s="55">
        <f t="shared" si="114"/>
        <v>0</v>
      </c>
    </row>
    <row r="275" spans="1:17" x14ac:dyDescent="0.2">
      <c r="A275" s="72">
        <v>97</v>
      </c>
      <c r="B275" s="59">
        <v>265</v>
      </c>
      <c r="C275" s="40">
        <f t="shared" ref="C275:Q275" si="115">C107</f>
        <v>0</v>
      </c>
      <c r="D275" s="40">
        <f t="shared" si="115"/>
        <v>0</v>
      </c>
      <c r="E275" s="40">
        <f t="shared" si="115"/>
        <v>0</v>
      </c>
      <c r="F275" s="40">
        <f t="shared" si="115"/>
        <v>0</v>
      </c>
      <c r="G275" s="40">
        <f t="shared" si="115"/>
        <v>0</v>
      </c>
      <c r="H275" s="40">
        <f t="shared" si="115"/>
        <v>0</v>
      </c>
      <c r="I275" s="104">
        <f t="shared" si="115"/>
        <v>0</v>
      </c>
      <c r="J275" s="104">
        <f t="shared" si="115"/>
        <v>0</v>
      </c>
      <c r="K275" s="104">
        <f t="shared" si="115"/>
        <v>0</v>
      </c>
      <c r="L275" s="104">
        <f t="shared" si="115"/>
        <v>0</v>
      </c>
      <c r="M275" s="104">
        <f t="shared" si="115"/>
        <v>0</v>
      </c>
      <c r="N275" s="104">
        <f t="shared" si="115"/>
        <v>0</v>
      </c>
      <c r="O275" s="55">
        <f t="shared" si="115"/>
        <v>0</v>
      </c>
      <c r="P275" s="55">
        <f t="shared" si="115"/>
        <v>0</v>
      </c>
      <c r="Q275" s="55">
        <f t="shared" si="115"/>
        <v>0</v>
      </c>
    </row>
    <row r="276" spans="1:17" x14ac:dyDescent="0.2">
      <c r="A276" s="72">
        <v>98</v>
      </c>
      <c r="B276" s="59">
        <v>266</v>
      </c>
      <c r="C276" s="40">
        <f t="shared" ref="C276:Q276" si="116">C108</f>
        <v>0</v>
      </c>
      <c r="D276" s="40">
        <f t="shared" si="116"/>
        <v>0</v>
      </c>
      <c r="E276" s="40">
        <f t="shared" si="116"/>
        <v>0</v>
      </c>
      <c r="F276" s="40">
        <f t="shared" si="116"/>
        <v>0</v>
      </c>
      <c r="G276" s="40">
        <f t="shared" si="116"/>
        <v>0</v>
      </c>
      <c r="H276" s="40">
        <f t="shared" si="116"/>
        <v>0</v>
      </c>
      <c r="I276" s="104">
        <f t="shared" si="116"/>
        <v>0</v>
      </c>
      <c r="J276" s="104">
        <f t="shared" si="116"/>
        <v>0</v>
      </c>
      <c r="K276" s="104">
        <f t="shared" si="116"/>
        <v>0</v>
      </c>
      <c r="L276" s="104">
        <f t="shared" si="116"/>
        <v>0</v>
      </c>
      <c r="M276" s="104">
        <f t="shared" si="116"/>
        <v>0</v>
      </c>
      <c r="N276" s="104">
        <f t="shared" si="116"/>
        <v>0</v>
      </c>
      <c r="O276" s="55">
        <f t="shared" si="116"/>
        <v>0</v>
      </c>
      <c r="P276" s="55">
        <f t="shared" si="116"/>
        <v>0</v>
      </c>
      <c r="Q276" s="55">
        <f t="shared" si="116"/>
        <v>0</v>
      </c>
    </row>
    <row r="277" spans="1:17" x14ac:dyDescent="0.2">
      <c r="A277" s="72">
        <v>99</v>
      </c>
      <c r="B277" s="59">
        <v>267</v>
      </c>
      <c r="C277" s="40">
        <f t="shared" ref="C277:Q277" si="117">C109</f>
        <v>0</v>
      </c>
      <c r="D277" s="40">
        <f t="shared" si="117"/>
        <v>0</v>
      </c>
      <c r="E277" s="40">
        <f t="shared" si="117"/>
        <v>0</v>
      </c>
      <c r="F277" s="40">
        <f t="shared" si="117"/>
        <v>0</v>
      </c>
      <c r="G277" s="40">
        <f t="shared" si="117"/>
        <v>0</v>
      </c>
      <c r="H277" s="40">
        <f t="shared" si="117"/>
        <v>0</v>
      </c>
      <c r="I277" s="104">
        <f t="shared" si="117"/>
        <v>0</v>
      </c>
      <c r="J277" s="104">
        <f t="shared" si="117"/>
        <v>0</v>
      </c>
      <c r="K277" s="104">
        <f t="shared" si="117"/>
        <v>0</v>
      </c>
      <c r="L277" s="104">
        <f t="shared" si="117"/>
        <v>0</v>
      </c>
      <c r="M277" s="104">
        <f t="shared" si="117"/>
        <v>0</v>
      </c>
      <c r="N277" s="104">
        <f t="shared" si="117"/>
        <v>0</v>
      </c>
      <c r="O277" s="55">
        <f t="shared" si="117"/>
        <v>0</v>
      </c>
      <c r="P277" s="55">
        <f t="shared" si="117"/>
        <v>0</v>
      </c>
      <c r="Q277" s="55">
        <f t="shared" si="117"/>
        <v>0</v>
      </c>
    </row>
    <row r="278" spans="1:17" x14ac:dyDescent="0.2">
      <c r="A278" s="72">
        <v>100</v>
      </c>
      <c r="B278" s="59">
        <v>268</v>
      </c>
      <c r="C278" s="40">
        <f t="shared" ref="C278:Q278" si="118">C110</f>
        <v>0</v>
      </c>
      <c r="D278" s="40">
        <f t="shared" si="118"/>
        <v>0</v>
      </c>
      <c r="E278" s="40">
        <f t="shared" si="118"/>
        <v>0</v>
      </c>
      <c r="F278" s="40">
        <f t="shared" si="118"/>
        <v>0</v>
      </c>
      <c r="G278" s="40">
        <f t="shared" si="118"/>
        <v>0</v>
      </c>
      <c r="H278" s="40">
        <f t="shared" si="118"/>
        <v>0</v>
      </c>
      <c r="I278" s="104">
        <f t="shared" si="118"/>
        <v>0</v>
      </c>
      <c r="J278" s="104">
        <f t="shared" si="118"/>
        <v>0</v>
      </c>
      <c r="K278" s="104">
        <f t="shared" si="118"/>
        <v>0</v>
      </c>
      <c r="L278" s="104">
        <f t="shared" si="118"/>
        <v>0</v>
      </c>
      <c r="M278" s="104">
        <f t="shared" si="118"/>
        <v>0</v>
      </c>
      <c r="N278" s="104">
        <f t="shared" si="118"/>
        <v>0</v>
      </c>
      <c r="O278" s="55">
        <f t="shared" si="118"/>
        <v>0</v>
      </c>
      <c r="P278" s="55">
        <f t="shared" si="118"/>
        <v>0</v>
      </c>
      <c r="Q278" s="55">
        <f t="shared" si="118"/>
        <v>0</v>
      </c>
    </row>
    <row r="279" spans="1:17" x14ac:dyDescent="0.2">
      <c r="A279" s="72">
        <v>101</v>
      </c>
      <c r="B279" s="59">
        <v>269</v>
      </c>
      <c r="C279" s="40">
        <f t="shared" ref="C279:Q279" si="119">C111</f>
        <v>0</v>
      </c>
      <c r="D279" s="40">
        <f t="shared" si="119"/>
        <v>0</v>
      </c>
      <c r="E279" s="40">
        <f t="shared" si="119"/>
        <v>0</v>
      </c>
      <c r="F279" s="40">
        <f t="shared" si="119"/>
        <v>0</v>
      </c>
      <c r="G279" s="40">
        <f t="shared" si="119"/>
        <v>0</v>
      </c>
      <c r="H279" s="40">
        <f t="shared" si="119"/>
        <v>0</v>
      </c>
      <c r="I279" s="104">
        <f t="shared" si="119"/>
        <v>0</v>
      </c>
      <c r="J279" s="104">
        <f t="shared" si="119"/>
        <v>0</v>
      </c>
      <c r="K279" s="104">
        <f t="shared" si="119"/>
        <v>0</v>
      </c>
      <c r="L279" s="104">
        <f t="shared" si="119"/>
        <v>0</v>
      </c>
      <c r="M279" s="104">
        <f t="shared" si="119"/>
        <v>0</v>
      </c>
      <c r="N279" s="104">
        <f t="shared" si="119"/>
        <v>0</v>
      </c>
      <c r="O279" s="55">
        <f t="shared" si="119"/>
        <v>0</v>
      </c>
      <c r="P279" s="55">
        <f t="shared" si="119"/>
        <v>0</v>
      </c>
      <c r="Q279" s="55">
        <f t="shared" si="119"/>
        <v>0</v>
      </c>
    </row>
    <row r="280" spans="1:17" x14ac:dyDescent="0.2">
      <c r="A280" s="72">
        <v>102</v>
      </c>
      <c r="B280" s="59">
        <v>270</v>
      </c>
      <c r="C280" s="40">
        <f t="shared" ref="C280:Q280" si="120">C112</f>
        <v>0</v>
      </c>
      <c r="D280" s="40">
        <f t="shared" si="120"/>
        <v>0</v>
      </c>
      <c r="E280" s="40">
        <f t="shared" si="120"/>
        <v>0</v>
      </c>
      <c r="F280" s="40">
        <f t="shared" si="120"/>
        <v>0</v>
      </c>
      <c r="G280" s="40">
        <f t="shared" si="120"/>
        <v>0</v>
      </c>
      <c r="H280" s="40">
        <f t="shared" si="120"/>
        <v>0</v>
      </c>
      <c r="I280" s="104">
        <f t="shared" si="120"/>
        <v>0</v>
      </c>
      <c r="J280" s="104">
        <f t="shared" si="120"/>
        <v>0</v>
      </c>
      <c r="K280" s="104">
        <f t="shared" si="120"/>
        <v>0</v>
      </c>
      <c r="L280" s="104">
        <f t="shared" si="120"/>
        <v>0</v>
      </c>
      <c r="M280" s="104">
        <f t="shared" si="120"/>
        <v>0</v>
      </c>
      <c r="N280" s="104">
        <f t="shared" si="120"/>
        <v>0</v>
      </c>
      <c r="O280" s="55">
        <f t="shared" si="120"/>
        <v>0</v>
      </c>
      <c r="P280" s="55">
        <f t="shared" si="120"/>
        <v>0</v>
      </c>
      <c r="Q280" s="55">
        <f t="shared" si="120"/>
        <v>0</v>
      </c>
    </row>
    <row r="281" spans="1:17" x14ac:dyDescent="0.2">
      <c r="A281" s="72">
        <v>103</v>
      </c>
      <c r="B281" s="59">
        <v>271</v>
      </c>
      <c r="C281" s="40">
        <f t="shared" ref="C281:Q281" si="121">C113</f>
        <v>3.4332694957598457</v>
      </c>
      <c r="D281" s="40">
        <f t="shared" si="121"/>
        <v>1.8717327794185254</v>
      </c>
      <c r="E281" s="40">
        <f t="shared" si="121"/>
        <v>0.32981104388639787</v>
      </c>
      <c r="F281" s="40">
        <f t="shared" si="121"/>
        <v>0.74636293386083608</v>
      </c>
      <c r="G281" s="40">
        <f t="shared" si="121"/>
        <v>0.34817321475331586</v>
      </c>
      <c r="H281" s="40">
        <f t="shared" si="121"/>
        <v>5.4355139759513407E-2</v>
      </c>
      <c r="I281" s="104">
        <f t="shared" si="121"/>
        <v>0.36139678902735217</v>
      </c>
      <c r="J281" s="104">
        <f t="shared" si="121"/>
        <v>0.1970245030966869</v>
      </c>
      <c r="K281" s="104">
        <f t="shared" si="121"/>
        <v>3.471695198804188E-2</v>
      </c>
      <c r="L281" s="104">
        <f t="shared" si="121"/>
        <v>0.48220077187638283</v>
      </c>
      <c r="M281" s="104">
        <f t="shared" si="121"/>
        <v>0.26288381733406258</v>
      </c>
      <c r="N281" s="104">
        <f t="shared" si="121"/>
        <v>4.6321775826741275E-2</v>
      </c>
      <c r="O281" s="55">
        <f t="shared" si="121"/>
        <v>0.38224352251574223</v>
      </c>
      <c r="P281" s="55">
        <f t="shared" si="121"/>
        <v>0.21957685264482196</v>
      </c>
      <c r="Q281" s="55">
        <f t="shared" si="121"/>
        <v>4.6321775826741275E-2</v>
      </c>
    </row>
    <row r="282" spans="1:17" x14ac:dyDescent="0.2">
      <c r="A282" s="72">
        <v>104</v>
      </c>
      <c r="B282" s="59">
        <v>272</v>
      </c>
      <c r="C282" s="40">
        <f t="shared" ref="C282:Q282" si="122">C114</f>
        <v>3.4332694957598457</v>
      </c>
      <c r="D282" s="40">
        <f t="shared" si="122"/>
        <v>1.8717327794185254</v>
      </c>
      <c r="E282" s="40">
        <f t="shared" si="122"/>
        <v>0.32981104388639787</v>
      </c>
      <c r="F282" s="40">
        <f t="shared" si="122"/>
        <v>0.74636293386083608</v>
      </c>
      <c r="G282" s="40">
        <f t="shared" si="122"/>
        <v>0.34817321475331586</v>
      </c>
      <c r="H282" s="40">
        <f t="shared" si="122"/>
        <v>5.4355139759513407E-2</v>
      </c>
      <c r="I282" s="104">
        <f t="shared" si="122"/>
        <v>0.36139678902735217</v>
      </c>
      <c r="J282" s="104">
        <f t="shared" si="122"/>
        <v>0.1970245030966869</v>
      </c>
      <c r="K282" s="104">
        <f t="shared" si="122"/>
        <v>3.471695198804188E-2</v>
      </c>
      <c r="L282" s="104">
        <f t="shared" si="122"/>
        <v>0.48220077187638283</v>
      </c>
      <c r="M282" s="104">
        <f t="shared" si="122"/>
        <v>0.26288381733406258</v>
      </c>
      <c r="N282" s="104">
        <f t="shared" si="122"/>
        <v>4.6321775826741275E-2</v>
      </c>
      <c r="O282" s="55">
        <f t="shared" si="122"/>
        <v>0.38224352251574223</v>
      </c>
      <c r="P282" s="55">
        <f t="shared" si="122"/>
        <v>0.21957685264482196</v>
      </c>
      <c r="Q282" s="55">
        <f t="shared" si="122"/>
        <v>4.6321775826741275E-2</v>
      </c>
    </row>
    <row r="283" spans="1:17" x14ac:dyDescent="0.2">
      <c r="A283" s="72">
        <v>105</v>
      </c>
      <c r="B283" s="59">
        <v>273</v>
      </c>
      <c r="C283" s="40">
        <f t="shared" ref="C283:Q283" si="123">C115</f>
        <v>3.4332694957598457</v>
      </c>
      <c r="D283" s="40">
        <f t="shared" si="123"/>
        <v>1.8717327794185254</v>
      </c>
      <c r="E283" s="40">
        <f t="shared" si="123"/>
        <v>0.32981104388639787</v>
      </c>
      <c r="F283" s="40">
        <f t="shared" si="123"/>
        <v>0.74636293386083608</v>
      </c>
      <c r="G283" s="40">
        <f t="shared" si="123"/>
        <v>0.34817321475331586</v>
      </c>
      <c r="H283" s="40">
        <f t="shared" si="123"/>
        <v>5.4355139759513407E-2</v>
      </c>
      <c r="I283" s="104">
        <f t="shared" si="123"/>
        <v>0.36139678902735217</v>
      </c>
      <c r="J283" s="104">
        <f t="shared" si="123"/>
        <v>0.1970245030966869</v>
      </c>
      <c r="K283" s="104">
        <f t="shared" si="123"/>
        <v>3.471695198804188E-2</v>
      </c>
      <c r="L283" s="104">
        <f t="shared" si="123"/>
        <v>0.48220077187638283</v>
      </c>
      <c r="M283" s="104">
        <f t="shared" si="123"/>
        <v>0.26288381733406258</v>
      </c>
      <c r="N283" s="104">
        <f t="shared" si="123"/>
        <v>4.6321775826741275E-2</v>
      </c>
      <c r="O283" s="55">
        <f t="shared" si="123"/>
        <v>0.38224352251574223</v>
      </c>
      <c r="P283" s="55">
        <f t="shared" si="123"/>
        <v>0.21957685264482196</v>
      </c>
      <c r="Q283" s="55">
        <f t="shared" si="123"/>
        <v>4.6321775826741275E-2</v>
      </c>
    </row>
    <row r="284" spans="1:17" x14ac:dyDescent="0.2">
      <c r="A284" s="72">
        <v>106</v>
      </c>
      <c r="B284" s="59">
        <v>274</v>
      </c>
      <c r="C284" s="40">
        <f t="shared" ref="C284:Q284" si="124">C116</f>
        <v>3.4332694957598457</v>
      </c>
      <c r="D284" s="40">
        <f t="shared" si="124"/>
        <v>1.8717327794185254</v>
      </c>
      <c r="E284" s="40">
        <f t="shared" si="124"/>
        <v>0.32981104388639787</v>
      </c>
      <c r="F284" s="40">
        <f t="shared" si="124"/>
        <v>0.74636293386083608</v>
      </c>
      <c r="G284" s="40">
        <f t="shared" si="124"/>
        <v>0.34817321475331586</v>
      </c>
      <c r="H284" s="40">
        <f t="shared" si="124"/>
        <v>5.4355139759513407E-2</v>
      </c>
      <c r="I284" s="104">
        <f t="shared" si="124"/>
        <v>0.36139678902735217</v>
      </c>
      <c r="J284" s="104">
        <f t="shared" si="124"/>
        <v>0.1970245030966869</v>
      </c>
      <c r="K284" s="104">
        <f t="shared" si="124"/>
        <v>3.471695198804188E-2</v>
      </c>
      <c r="L284" s="104">
        <f t="shared" si="124"/>
        <v>0.48220077187638283</v>
      </c>
      <c r="M284" s="104">
        <f t="shared" si="124"/>
        <v>0.26288381733406258</v>
      </c>
      <c r="N284" s="104">
        <f t="shared" si="124"/>
        <v>4.6321775826741275E-2</v>
      </c>
      <c r="O284" s="55">
        <f t="shared" si="124"/>
        <v>0.38224352251574223</v>
      </c>
      <c r="P284" s="55">
        <f t="shared" si="124"/>
        <v>0.21957685264482196</v>
      </c>
      <c r="Q284" s="55">
        <f t="shared" si="124"/>
        <v>4.6321775826741275E-2</v>
      </c>
    </row>
    <row r="285" spans="1:17" x14ac:dyDescent="0.2">
      <c r="A285" s="72">
        <v>107</v>
      </c>
      <c r="B285" s="59">
        <v>275</v>
      </c>
      <c r="C285" s="40">
        <f t="shared" ref="C285:Q285" si="125">C117</f>
        <v>3.4332694957598457</v>
      </c>
      <c r="D285" s="40">
        <f t="shared" si="125"/>
        <v>1.8717327794185254</v>
      </c>
      <c r="E285" s="40">
        <f t="shared" si="125"/>
        <v>0.32981104388639787</v>
      </c>
      <c r="F285" s="40">
        <f t="shared" si="125"/>
        <v>0.74636293386083608</v>
      </c>
      <c r="G285" s="40">
        <f t="shared" si="125"/>
        <v>0.34817321475331586</v>
      </c>
      <c r="H285" s="40">
        <f t="shared" si="125"/>
        <v>5.4355139759513407E-2</v>
      </c>
      <c r="I285" s="104">
        <f t="shared" si="125"/>
        <v>0.36139678902735217</v>
      </c>
      <c r="J285" s="104">
        <f t="shared" si="125"/>
        <v>0.1970245030966869</v>
      </c>
      <c r="K285" s="104">
        <f t="shared" si="125"/>
        <v>3.471695198804188E-2</v>
      </c>
      <c r="L285" s="104">
        <f t="shared" si="125"/>
        <v>0.48220077187638283</v>
      </c>
      <c r="M285" s="104">
        <f t="shared" si="125"/>
        <v>0.26288381733406258</v>
      </c>
      <c r="N285" s="104">
        <f t="shared" si="125"/>
        <v>4.6321775826741275E-2</v>
      </c>
      <c r="O285" s="55">
        <f t="shared" si="125"/>
        <v>0.38224352251574223</v>
      </c>
      <c r="P285" s="55">
        <f t="shared" si="125"/>
        <v>0.21957685264482196</v>
      </c>
      <c r="Q285" s="55">
        <f t="shared" si="125"/>
        <v>4.6321775826741275E-2</v>
      </c>
    </row>
    <row r="286" spans="1:17" x14ac:dyDescent="0.2">
      <c r="A286" s="72">
        <v>108</v>
      </c>
      <c r="B286" s="59">
        <v>276</v>
      </c>
      <c r="C286" s="40">
        <f t="shared" ref="C286:Q286" si="126">C118</f>
        <v>3.4332694957598457</v>
      </c>
      <c r="D286" s="40">
        <f t="shared" si="126"/>
        <v>1.8717327794185254</v>
      </c>
      <c r="E286" s="40">
        <f t="shared" si="126"/>
        <v>0.32981104388639787</v>
      </c>
      <c r="F286" s="40">
        <f t="shared" si="126"/>
        <v>0.74636293386083608</v>
      </c>
      <c r="G286" s="40">
        <f t="shared" si="126"/>
        <v>0.34817321475331586</v>
      </c>
      <c r="H286" s="40">
        <f t="shared" si="126"/>
        <v>5.4355139759513407E-2</v>
      </c>
      <c r="I286" s="104">
        <f t="shared" si="126"/>
        <v>0.36139678902735217</v>
      </c>
      <c r="J286" s="104">
        <f t="shared" si="126"/>
        <v>0.1970245030966869</v>
      </c>
      <c r="K286" s="104">
        <f t="shared" si="126"/>
        <v>3.471695198804188E-2</v>
      </c>
      <c r="L286" s="104">
        <f t="shared" si="126"/>
        <v>0.48220077187638283</v>
      </c>
      <c r="M286" s="104">
        <f t="shared" si="126"/>
        <v>0.26288381733406258</v>
      </c>
      <c r="N286" s="104">
        <f t="shared" si="126"/>
        <v>4.6321775826741275E-2</v>
      </c>
      <c r="O286" s="55">
        <f t="shared" si="126"/>
        <v>0.38224352251574223</v>
      </c>
      <c r="P286" s="55">
        <f t="shared" si="126"/>
        <v>0.21957685264482196</v>
      </c>
      <c r="Q286" s="55">
        <f t="shared" si="126"/>
        <v>4.6321775826741275E-2</v>
      </c>
    </row>
    <row r="287" spans="1:17" x14ac:dyDescent="0.2">
      <c r="A287" s="72">
        <v>109</v>
      </c>
      <c r="B287" s="59">
        <v>277</v>
      </c>
      <c r="C287" s="40">
        <f t="shared" ref="C287:Q287" si="127">C119</f>
        <v>3.4332694957598457</v>
      </c>
      <c r="D287" s="40">
        <f t="shared" si="127"/>
        <v>1.8717327794185254</v>
      </c>
      <c r="E287" s="40">
        <f t="shared" si="127"/>
        <v>0.32981104388639787</v>
      </c>
      <c r="F287" s="40">
        <f t="shared" si="127"/>
        <v>0.74636293386083608</v>
      </c>
      <c r="G287" s="40">
        <f t="shared" si="127"/>
        <v>0.34817321475331586</v>
      </c>
      <c r="H287" s="40">
        <f t="shared" si="127"/>
        <v>5.4355139759513407E-2</v>
      </c>
      <c r="I287" s="104">
        <f t="shared" si="127"/>
        <v>0.36139678902735217</v>
      </c>
      <c r="J287" s="104">
        <f t="shared" si="127"/>
        <v>0.1970245030966869</v>
      </c>
      <c r="K287" s="104">
        <f t="shared" si="127"/>
        <v>3.471695198804188E-2</v>
      </c>
      <c r="L287" s="104">
        <f t="shared" si="127"/>
        <v>0.48220077187638283</v>
      </c>
      <c r="M287" s="104">
        <f t="shared" si="127"/>
        <v>0.26288381733406258</v>
      </c>
      <c r="N287" s="104">
        <f t="shared" si="127"/>
        <v>4.6321775826741275E-2</v>
      </c>
      <c r="O287" s="55">
        <f t="shared" si="127"/>
        <v>0.38224352251574223</v>
      </c>
      <c r="P287" s="55">
        <f t="shared" si="127"/>
        <v>0.21957685264482196</v>
      </c>
      <c r="Q287" s="55">
        <f t="shared" si="127"/>
        <v>4.6321775826741275E-2</v>
      </c>
    </row>
    <row r="288" spans="1:17" x14ac:dyDescent="0.2">
      <c r="A288" s="72">
        <v>110</v>
      </c>
      <c r="B288" s="59">
        <v>278</v>
      </c>
      <c r="C288" s="40">
        <f t="shared" ref="C288:Q288" si="128">C120</f>
        <v>3.4332694957598457</v>
      </c>
      <c r="D288" s="40">
        <f t="shared" si="128"/>
        <v>1.8717327794185254</v>
      </c>
      <c r="E288" s="40">
        <f t="shared" si="128"/>
        <v>0.32981104388639787</v>
      </c>
      <c r="F288" s="40">
        <f t="shared" si="128"/>
        <v>0.74636293386083608</v>
      </c>
      <c r="G288" s="40">
        <f t="shared" si="128"/>
        <v>0.34817321475331586</v>
      </c>
      <c r="H288" s="40">
        <f t="shared" si="128"/>
        <v>5.4355139759513407E-2</v>
      </c>
      <c r="I288" s="104">
        <f t="shared" si="128"/>
        <v>0.36139678902735217</v>
      </c>
      <c r="J288" s="104">
        <f t="shared" si="128"/>
        <v>0.1970245030966869</v>
      </c>
      <c r="K288" s="104">
        <f t="shared" si="128"/>
        <v>3.471695198804188E-2</v>
      </c>
      <c r="L288" s="104">
        <f t="shared" si="128"/>
        <v>0.48220077187638283</v>
      </c>
      <c r="M288" s="104">
        <f t="shared" si="128"/>
        <v>0.26288381733406258</v>
      </c>
      <c r="N288" s="104">
        <f t="shared" si="128"/>
        <v>4.6321775826741275E-2</v>
      </c>
      <c r="O288" s="55">
        <f t="shared" si="128"/>
        <v>0.38224352251574223</v>
      </c>
      <c r="P288" s="55">
        <f t="shared" si="128"/>
        <v>0.21957685264482196</v>
      </c>
      <c r="Q288" s="55">
        <f t="shared" si="128"/>
        <v>4.6321775826741275E-2</v>
      </c>
    </row>
    <row r="289" spans="1:17" x14ac:dyDescent="0.2">
      <c r="A289" s="72">
        <v>111</v>
      </c>
      <c r="B289" s="59">
        <v>279</v>
      </c>
      <c r="C289" s="40">
        <f t="shared" ref="C289:Q289" si="129">C121</f>
        <v>3.4332694957598457</v>
      </c>
      <c r="D289" s="40">
        <f t="shared" si="129"/>
        <v>1.8717327794185254</v>
      </c>
      <c r="E289" s="40">
        <f t="shared" si="129"/>
        <v>0.32981104388639787</v>
      </c>
      <c r="F289" s="40">
        <f t="shared" si="129"/>
        <v>0.74636293386083608</v>
      </c>
      <c r="G289" s="40">
        <f t="shared" si="129"/>
        <v>0.34817321475331586</v>
      </c>
      <c r="H289" s="40">
        <f t="shared" si="129"/>
        <v>5.4355139759513407E-2</v>
      </c>
      <c r="I289" s="104">
        <f t="shared" si="129"/>
        <v>0.36139678902735217</v>
      </c>
      <c r="J289" s="104">
        <f t="shared" si="129"/>
        <v>0.1970245030966869</v>
      </c>
      <c r="K289" s="104">
        <f t="shared" si="129"/>
        <v>3.471695198804188E-2</v>
      </c>
      <c r="L289" s="104">
        <f t="shared" si="129"/>
        <v>0.48220077187638283</v>
      </c>
      <c r="M289" s="104">
        <f t="shared" si="129"/>
        <v>0.26288381733406258</v>
      </c>
      <c r="N289" s="104">
        <f t="shared" si="129"/>
        <v>4.6321775826741275E-2</v>
      </c>
      <c r="O289" s="55">
        <f t="shared" si="129"/>
        <v>0.38224352251574223</v>
      </c>
      <c r="P289" s="55">
        <f t="shared" si="129"/>
        <v>0.21957685264482196</v>
      </c>
      <c r="Q289" s="55">
        <f t="shared" si="129"/>
        <v>4.6321775826741275E-2</v>
      </c>
    </row>
    <row r="290" spans="1:17" x14ac:dyDescent="0.2">
      <c r="A290" s="72">
        <v>112</v>
      </c>
      <c r="B290" s="59">
        <v>280</v>
      </c>
      <c r="C290" s="40">
        <f t="shared" ref="C290:Q290" si="130">C122</f>
        <v>3.4332694957598457</v>
      </c>
      <c r="D290" s="40">
        <f t="shared" si="130"/>
        <v>1.8717327794185254</v>
      </c>
      <c r="E290" s="40">
        <f t="shared" si="130"/>
        <v>0.32981104388639787</v>
      </c>
      <c r="F290" s="40">
        <f t="shared" si="130"/>
        <v>0.74636293386083608</v>
      </c>
      <c r="G290" s="40">
        <f t="shared" si="130"/>
        <v>0.34817321475331586</v>
      </c>
      <c r="H290" s="40">
        <f t="shared" si="130"/>
        <v>5.4355139759513407E-2</v>
      </c>
      <c r="I290" s="104">
        <f t="shared" si="130"/>
        <v>0.36139678902735217</v>
      </c>
      <c r="J290" s="104">
        <f t="shared" si="130"/>
        <v>0.1970245030966869</v>
      </c>
      <c r="K290" s="104">
        <f t="shared" si="130"/>
        <v>3.471695198804188E-2</v>
      </c>
      <c r="L290" s="104">
        <f t="shared" si="130"/>
        <v>0.48220077187638283</v>
      </c>
      <c r="M290" s="104">
        <f t="shared" si="130"/>
        <v>0.26288381733406258</v>
      </c>
      <c r="N290" s="104">
        <f t="shared" si="130"/>
        <v>4.6321775826741275E-2</v>
      </c>
      <c r="O290" s="55">
        <f t="shared" si="130"/>
        <v>0.38224352251574223</v>
      </c>
      <c r="P290" s="55">
        <f t="shared" si="130"/>
        <v>0.21957685264482196</v>
      </c>
      <c r="Q290" s="55">
        <f t="shared" si="130"/>
        <v>4.6321775826741275E-2</v>
      </c>
    </row>
    <row r="291" spans="1:17" x14ac:dyDescent="0.2">
      <c r="A291" s="72">
        <v>113</v>
      </c>
      <c r="B291" s="59">
        <v>281</v>
      </c>
      <c r="C291" s="40">
        <f t="shared" ref="C291:Q291" si="131">C123</f>
        <v>3.4332694957598457</v>
      </c>
      <c r="D291" s="40">
        <f t="shared" si="131"/>
        <v>1.8717327794185254</v>
      </c>
      <c r="E291" s="40">
        <f t="shared" si="131"/>
        <v>0.32981104388639787</v>
      </c>
      <c r="F291" s="40">
        <f t="shared" si="131"/>
        <v>0.74636293386083608</v>
      </c>
      <c r="G291" s="40">
        <f t="shared" si="131"/>
        <v>0.34817321475331586</v>
      </c>
      <c r="H291" s="40">
        <f t="shared" si="131"/>
        <v>5.4355139759513407E-2</v>
      </c>
      <c r="I291" s="104">
        <f t="shared" si="131"/>
        <v>0.36139678902735217</v>
      </c>
      <c r="J291" s="104">
        <f t="shared" si="131"/>
        <v>0.1970245030966869</v>
      </c>
      <c r="K291" s="104">
        <f t="shared" si="131"/>
        <v>3.471695198804188E-2</v>
      </c>
      <c r="L291" s="104">
        <f t="shared" si="131"/>
        <v>0.48220077187638283</v>
      </c>
      <c r="M291" s="104">
        <f t="shared" si="131"/>
        <v>0.26288381733406258</v>
      </c>
      <c r="N291" s="104">
        <f t="shared" si="131"/>
        <v>4.6321775826741275E-2</v>
      </c>
      <c r="O291" s="55">
        <f t="shared" si="131"/>
        <v>0.38224352251574223</v>
      </c>
      <c r="P291" s="55">
        <f t="shared" si="131"/>
        <v>0.21957685264482196</v>
      </c>
      <c r="Q291" s="55">
        <f t="shared" si="131"/>
        <v>4.6321775826741275E-2</v>
      </c>
    </row>
    <row r="292" spans="1:17" x14ac:dyDescent="0.2">
      <c r="A292" s="72">
        <v>114</v>
      </c>
      <c r="B292" s="59">
        <v>282</v>
      </c>
      <c r="C292" s="40">
        <f t="shared" ref="C292:Q292" si="132">C124</f>
        <v>3.4332694957598457</v>
      </c>
      <c r="D292" s="40">
        <f t="shared" si="132"/>
        <v>1.8717327794185254</v>
      </c>
      <c r="E292" s="40">
        <f t="shared" si="132"/>
        <v>0.32981104388639787</v>
      </c>
      <c r="F292" s="40">
        <f t="shared" si="132"/>
        <v>0.74636293386083608</v>
      </c>
      <c r="G292" s="40">
        <f t="shared" si="132"/>
        <v>0.34817321475331586</v>
      </c>
      <c r="H292" s="40">
        <f t="shared" si="132"/>
        <v>5.4355139759513407E-2</v>
      </c>
      <c r="I292" s="104">
        <f t="shared" si="132"/>
        <v>0.36139678902735217</v>
      </c>
      <c r="J292" s="104">
        <f t="shared" si="132"/>
        <v>0.1970245030966869</v>
      </c>
      <c r="K292" s="104">
        <f t="shared" si="132"/>
        <v>3.471695198804188E-2</v>
      </c>
      <c r="L292" s="104">
        <f t="shared" si="132"/>
        <v>0.48220077187638283</v>
      </c>
      <c r="M292" s="104">
        <f t="shared" si="132"/>
        <v>0.26288381733406258</v>
      </c>
      <c r="N292" s="104">
        <f t="shared" si="132"/>
        <v>4.6321775826741275E-2</v>
      </c>
      <c r="O292" s="55">
        <f t="shared" si="132"/>
        <v>0.38224352251574223</v>
      </c>
      <c r="P292" s="55">
        <f t="shared" si="132"/>
        <v>0.21957685264482196</v>
      </c>
      <c r="Q292" s="55">
        <f t="shared" si="132"/>
        <v>4.6321775826741275E-2</v>
      </c>
    </row>
    <row r="293" spans="1:17" x14ac:dyDescent="0.2">
      <c r="A293" s="72">
        <v>115</v>
      </c>
      <c r="B293" s="59">
        <v>283</v>
      </c>
      <c r="C293" s="40">
        <f t="shared" ref="C293:Q293" si="133">C125</f>
        <v>3.4332694957598457</v>
      </c>
      <c r="D293" s="40">
        <f t="shared" si="133"/>
        <v>1.8717327794185254</v>
      </c>
      <c r="E293" s="40">
        <f t="shared" si="133"/>
        <v>0.32981104388639787</v>
      </c>
      <c r="F293" s="40">
        <f t="shared" si="133"/>
        <v>0.74636293386083608</v>
      </c>
      <c r="G293" s="40">
        <f t="shared" si="133"/>
        <v>0.34817321475331586</v>
      </c>
      <c r="H293" s="40">
        <f t="shared" si="133"/>
        <v>5.4355139759513407E-2</v>
      </c>
      <c r="I293" s="104">
        <f t="shared" si="133"/>
        <v>0.36139678902735217</v>
      </c>
      <c r="J293" s="104">
        <f t="shared" si="133"/>
        <v>0.1970245030966869</v>
      </c>
      <c r="K293" s="104">
        <f t="shared" si="133"/>
        <v>3.471695198804188E-2</v>
      </c>
      <c r="L293" s="104">
        <f t="shared" si="133"/>
        <v>0.48220077187638283</v>
      </c>
      <c r="M293" s="104">
        <f t="shared" si="133"/>
        <v>0.26288381733406258</v>
      </c>
      <c r="N293" s="104">
        <f t="shared" si="133"/>
        <v>4.6321775826741275E-2</v>
      </c>
      <c r="O293" s="55">
        <f t="shared" si="133"/>
        <v>0.38224352251574223</v>
      </c>
      <c r="P293" s="55">
        <f t="shared" si="133"/>
        <v>0.21957685264482196</v>
      </c>
      <c r="Q293" s="55">
        <f t="shared" si="133"/>
        <v>4.6321775826741275E-2</v>
      </c>
    </row>
    <row r="294" spans="1:17" x14ac:dyDescent="0.2">
      <c r="A294" s="72">
        <v>116</v>
      </c>
      <c r="B294" s="59">
        <v>284</v>
      </c>
      <c r="C294" s="40">
        <f t="shared" ref="C294:Q294" si="134">C126</f>
        <v>3.4332694957598457</v>
      </c>
      <c r="D294" s="40">
        <f t="shared" si="134"/>
        <v>1.8717327794185254</v>
      </c>
      <c r="E294" s="40">
        <f t="shared" si="134"/>
        <v>0.32981104388639787</v>
      </c>
      <c r="F294" s="40">
        <f t="shared" si="134"/>
        <v>0.74636293386083608</v>
      </c>
      <c r="G294" s="40">
        <f t="shared" si="134"/>
        <v>0.34817321475331586</v>
      </c>
      <c r="H294" s="40">
        <f t="shared" si="134"/>
        <v>5.4355139759513407E-2</v>
      </c>
      <c r="I294" s="104">
        <f t="shared" si="134"/>
        <v>0.36139678902735217</v>
      </c>
      <c r="J294" s="104">
        <f t="shared" si="134"/>
        <v>0.1970245030966869</v>
      </c>
      <c r="K294" s="104">
        <f t="shared" si="134"/>
        <v>3.471695198804188E-2</v>
      </c>
      <c r="L294" s="104">
        <f t="shared" si="134"/>
        <v>0.48220077187638283</v>
      </c>
      <c r="M294" s="104">
        <f t="shared" si="134"/>
        <v>0.26288381733406258</v>
      </c>
      <c r="N294" s="104">
        <f t="shared" si="134"/>
        <v>4.6321775826741275E-2</v>
      </c>
      <c r="O294" s="55">
        <f t="shared" si="134"/>
        <v>0.38224352251574223</v>
      </c>
      <c r="P294" s="55">
        <f t="shared" si="134"/>
        <v>0.21957685264482196</v>
      </c>
      <c r="Q294" s="55">
        <f t="shared" si="134"/>
        <v>4.6321775826741275E-2</v>
      </c>
    </row>
    <row r="295" spans="1:17" x14ac:dyDescent="0.2">
      <c r="A295" s="72">
        <v>117</v>
      </c>
      <c r="B295" s="59">
        <v>285</v>
      </c>
      <c r="C295" s="40">
        <f t="shared" ref="C295:Q295" si="135">C127</f>
        <v>3.4332694957598457</v>
      </c>
      <c r="D295" s="40">
        <f t="shared" si="135"/>
        <v>1.8717327794185254</v>
      </c>
      <c r="E295" s="40">
        <f t="shared" si="135"/>
        <v>0.32981104388639787</v>
      </c>
      <c r="F295" s="40">
        <f t="shared" si="135"/>
        <v>0.74636293386083608</v>
      </c>
      <c r="G295" s="40">
        <f t="shared" si="135"/>
        <v>0.34817321475331586</v>
      </c>
      <c r="H295" s="40">
        <f t="shared" si="135"/>
        <v>5.4355139759513407E-2</v>
      </c>
      <c r="I295" s="104">
        <f t="shared" si="135"/>
        <v>0.36139678902735217</v>
      </c>
      <c r="J295" s="104">
        <f t="shared" si="135"/>
        <v>0.1970245030966869</v>
      </c>
      <c r="K295" s="104">
        <f t="shared" si="135"/>
        <v>3.471695198804188E-2</v>
      </c>
      <c r="L295" s="104">
        <f t="shared" si="135"/>
        <v>0.48220077187638283</v>
      </c>
      <c r="M295" s="104">
        <f t="shared" si="135"/>
        <v>0.26288381733406258</v>
      </c>
      <c r="N295" s="104">
        <f t="shared" si="135"/>
        <v>4.6321775826741275E-2</v>
      </c>
      <c r="O295" s="55">
        <f t="shared" si="135"/>
        <v>0.38224352251574223</v>
      </c>
      <c r="P295" s="55">
        <f t="shared" si="135"/>
        <v>0.21957685264482196</v>
      </c>
      <c r="Q295" s="55">
        <f t="shared" si="135"/>
        <v>4.6321775826741275E-2</v>
      </c>
    </row>
    <row r="296" spans="1:17" x14ac:dyDescent="0.2">
      <c r="A296" s="72">
        <v>118</v>
      </c>
      <c r="B296" s="59">
        <v>286</v>
      </c>
      <c r="C296" s="40">
        <f t="shared" ref="C296:Q296" si="136">C128</f>
        <v>3.4332694957598457</v>
      </c>
      <c r="D296" s="40">
        <f t="shared" si="136"/>
        <v>1.8717327794185254</v>
      </c>
      <c r="E296" s="40">
        <f t="shared" si="136"/>
        <v>0.32981104388639787</v>
      </c>
      <c r="F296" s="40">
        <f t="shared" si="136"/>
        <v>0.74636293386083608</v>
      </c>
      <c r="G296" s="40">
        <f t="shared" si="136"/>
        <v>0.34817321475331586</v>
      </c>
      <c r="H296" s="40">
        <f t="shared" si="136"/>
        <v>5.4355139759513407E-2</v>
      </c>
      <c r="I296" s="104">
        <f t="shared" si="136"/>
        <v>0.36139678902735217</v>
      </c>
      <c r="J296" s="104">
        <f t="shared" si="136"/>
        <v>0.1970245030966869</v>
      </c>
      <c r="K296" s="104">
        <f t="shared" si="136"/>
        <v>3.471695198804188E-2</v>
      </c>
      <c r="L296" s="104">
        <f t="shared" si="136"/>
        <v>0.48220077187638283</v>
      </c>
      <c r="M296" s="104">
        <f t="shared" si="136"/>
        <v>0.26288381733406258</v>
      </c>
      <c r="N296" s="104">
        <f t="shared" si="136"/>
        <v>4.6321775826741275E-2</v>
      </c>
      <c r="O296" s="55">
        <f t="shared" si="136"/>
        <v>0.38224352251574223</v>
      </c>
      <c r="P296" s="55">
        <f t="shared" si="136"/>
        <v>0.21957685264482196</v>
      </c>
      <c r="Q296" s="55">
        <f t="shared" si="136"/>
        <v>4.6321775826741275E-2</v>
      </c>
    </row>
    <row r="297" spans="1:17" x14ac:dyDescent="0.2">
      <c r="A297" s="72">
        <v>119</v>
      </c>
      <c r="B297" s="59">
        <v>287</v>
      </c>
      <c r="C297" s="40">
        <f t="shared" ref="C297:Q297" si="137">C129</f>
        <v>0</v>
      </c>
      <c r="D297" s="40">
        <f t="shared" si="137"/>
        <v>0</v>
      </c>
      <c r="E297" s="40">
        <f t="shared" si="137"/>
        <v>0</v>
      </c>
      <c r="F297" s="40">
        <f t="shared" si="137"/>
        <v>0</v>
      </c>
      <c r="G297" s="40">
        <f t="shared" si="137"/>
        <v>0</v>
      </c>
      <c r="H297" s="40">
        <f t="shared" si="137"/>
        <v>0</v>
      </c>
      <c r="I297" s="104">
        <f t="shared" si="137"/>
        <v>0</v>
      </c>
      <c r="J297" s="104">
        <f t="shared" si="137"/>
        <v>0</v>
      </c>
      <c r="K297" s="104">
        <f t="shared" si="137"/>
        <v>0</v>
      </c>
      <c r="L297" s="104">
        <f t="shared" si="137"/>
        <v>0</v>
      </c>
      <c r="M297" s="104">
        <f t="shared" si="137"/>
        <v>0</v>
      </c>
      <c r="N297" s="104">
        <f t="shared" si="137"/>
        <v>0</v>
      </c>
      <c r="O297" s="55">
        <f t="shared" si="137"/>
        <v>0</v>
      </c>
      <c r="P297" s="55">
        <f t="shared" si="137"/>
        <v>0</v>
      </c>
      <c r="Q297" s="55">
        <f t="shared" si="137"/>
        <v>0</v>
      </c>
    </row>
    <row r="298" spans="1:17" x14ac:dyDescent="0.2">
      <c r="A298" s="72">
        <v>120</v>
      </c>
      <c r="B298" s="59">
        <v>288</v>
      </c>
      <c r="C298" s="40">
        <f t="shared" ref="C298:Q298" si="138">C130</f>
        <v>0</v>
      </c>
      <c r="D298" s="40">
        <f t="shared" si="138"/>
        <v>0</v>
      </c>
      <c r="E298" s="40">
        <f t="shared" si="138"/>
        <v>0</v>
      </c>
      <c r="F298" s="40">
        <f t="shared" si="138"/>
        <v>0</v>
      </c>
      <c r="G298" s="40">
        <f t="shared" si="138"/>
        <v>0</v>
      </c>
      <c r="H298" s="40">
        <f t="shared" si="138"/>
        <v>0</v>
      </c>
      <c r="I298" s="104">
        <f t="shared" si="138"/>
        <v>0</v>
      </c>
      <c r="J298" s="104">
        <f t="shared" si="138"/>
        <v>0</v>
      </c>
      <c r="K298" s="104">
        <f t="shared" si="138"/>
        <v>0</v>
      </c>
      <c r="L298" s="104">
        <f t="shared" si="138"/>
        <v>0</v>
      </c>
      <c r="M298" s="104">
        <f t="shared" si="138"/>
        <v>0</v>
      </c>
      <c r="N298" s="104">
        <f t="shared" si="138"/>
        <v>0</v>
      </c>
      <c r="O298" s="55">
        <f t="shared" si="138"/>
        <v>0</v>
      </c>
      <c r="P298" s="55">
        <f t="shared" si="138"/>
        <v>0</v>
      </c>
      <c r="Q298" s="55">
        <f t="shared" si="138"/>
        <v>0</v>
      </c>
    </row>
    <row r="299" spans="1:17" x14ac:dyDescent="0.2">
      <c r="A299" s="72">
        <v>121</v>
      </c>
      <c r="B299" s="59">
        <v>289</v>
      </c>
      <c r="C299" s="40">
        <f t="shared" ref="C299:Q299" si="139">C131</f>
        <v>0</v>
      </c>
      <c r="D299" s="40">
        <f t="shared" si="139"/>
        <v>0</v>
      </c>
      <c r="E299" s="40">
        <f t="shared" si="139"/>
        <v>0</v>
      </c>
      <c r="F299" s="40">
        <f t="shared" si="139"/>
        <v>0</v>
      </c>
      <c r="G299" s="40">
        <f t="shared" si="139"/>
        <v>0</v>
      </c>
      <c r="H299" s="40">
        <f t="shared" si="139"/>
        <v>0</v>
      </c>
      <c r="I299" s="104">
        <f t="shared" si="139"/>
        <v>0</v>
      </c>
      <c r="J299" s="104">
        <f t="shared" si="139"/>
        <v>0</v>
      </c>
      <c r="K299" s="104">
        <f t="shared" si="139"/>
        <v>0</v>
      </c>
      <c r="L299" s="104">
        <f t="shared" si="139"/>
        <v>0</v>
      </c>
      <c r="M299" s="104">
        <f t="shared" si="139"/>
        <v>0</v>
      </c>
      <c r="N299" s="104">
        <f t="shared" si="139"/>
        <v>0</v>
      </c>
      <c r="O299" s="55">
        <f t="shared" si="139"/>
        <v>0</v>
      </c>
      <c r="P299" s="55">
        <f t="shared" si="139"/>
        <v>0</v>
      </c>
      <c r="Q299" s="55">
        <f t="shared" si="139"/>
        <v>0</v>
      </c>
    </row>
    <row r="300" spans="1:17" x14ac:dyDescent="0.2">
      <c r="A300" s="72">
        <v>122</v>
      </c>
      <c r="B300" s="59">
        <v>290</v>
      </c>
      <c r="C300" s="40">
        <f t="shared" ref="C300:Q300" si="140">C132</f>
        <v>0</v>
      </c>
      <c r="D300" s="40">
        <f t="shared" si="140"/>
        <v>0</v>
      </c>
      <c r="E300" s="40">
        <f t="shared" si="140"/>
        <v>0</v>
      </c>
      <c r="F300" s="40">
        <f t="shared" si="140"/>
        <v>0</v>
      </c>
      <c r="G300" s="40">
        <f t="shared" si="140"/>
        <v>0</v>
      </c>
      <c r="H300" s="40">
        <f t="shared" si="140"/>
        <v>0</v>
      </c>
      <c r="I300" s="104">
        <f t="shared" si="140"/>
        <v>0</v>
      </c>
      <c r="J300" s="104">
        <f t="shared" si="140"/>
        <v>0</v>
      </c>
      <c r="K300" s="104">
        <f t="shared" si="140"/>
        <v>0</v>
      </c>
      <c r="L300" s="104">
        <f t="shared" si="140"/>
        <v>0</v>
      </c>
      <c r="M300" s="104">
        <f t="shared" si="140"/>
        <v>0</v>
      </c>
      <c r="N300" s="104">
        <f t="shared" si="140"/>
        <v>0</v>
      </c>
      <c r="O300" s="55">
        <f t="shared" si="140"/>
        <v>0</v>
      </c>
      <c r="P300" s="55">
        <f t="shared" si="140"/>
        <v>0</v>
      </c>
      <c r="Q300" s="55">
        <f t="shared" si="140"/>
        <v>0</v>
      </c>
    </row>
    <row r="301" spans="1:17" x14ac:dyDescent="0.2">
      <c r="A301" s="72">
        <v>123</v>
      </c>
      <c r="B301" s="59">
        <v>291</v>
      </c>
      <c r="C301" s="40">
        <f t="shared" ref="C301:Q301" si="141">C133</f>
        <v>0</v>
      </c>
      <c r="D301" s="40">
        <f t="shared" si="141"/>
        <v>0</v>
      </c>
      <c r="E301" s="40">
        <f t="shared" si="141"/>
        <v>0</v>
      </c>
      <c r="F301" s="40">
        <f t="shared" si="141"/>
        <v>0</v>
      </c>
      <c r="G301" s="40">
        <f t="shared" si="141"/>
        <v>0</v>
      </c>
      <c r="H301" s="40">
        <f t="shared" si="141"/>
        <v>0</v>
      </c>
      <c r="I301" s="104">
        <f t="shared" si="141"/>
        <v>0</v>
      </c>
      <c r="J301" s="104">
        <f t="shared" si="141"/>
        <v>0</v>
      </c>
      <c r="K301" s="104">
        <f t="shared" si="141"/>
        <v>0</v>
      </c>
      <c r="L301" s="104">
        <f t="shared" si="141"/>
        <v>0</v>
      </c>
      <c r="M301" s="104">
        <f t="shared" si="141"/>
        <v>0</v>
      </c>
      <c r="N301" s="104">
        <f t="shared" si="141"/>
        <v>0</v>
      </c>
      <c r="O301" s="55">
        <f t="shared" si="141"/>
        <v>0</v>
      </c>
      <c r="P301" s="55">
        <f t="shared" si="141"/>
        <v>0</v>
      </c>
      <c r="Q301" s="55">
        <f t="shared" si="141"/>
        <v>0</v>
      </c>
    </row>
    <row r="302" spans="1:17" x14ac:dyDescent="0.2">
      <c r="A302" s="72">
        <v>124</v>
      </c>
      <c r="B302" s="59">
        <v>292</v>
      </c>
      <c r="C302" s="40">
        <f t="shared" ref="C302:Q302" si="142">C134</f>
        <v>0</v>
      </c>
      <c r="D302" s="40">
        <f t="shared" si="142"/>
        <v>0</v>
      </c>
      <c r="E302" s="40">
        <f t="shared" si="142"/>
        <v>0</v>
      </c>
      <c r="F302" s="40">
        <f t="shared" si="142"/>
        <v>0</v>
      </c>
      <c r="G302" s="40">
        <f t="shared" si="142"/>
        <v>0</v>
      </c>
      <c r="H302" s="40">
        <f t="shared" si="142"/>
        <v>0</v>
      </c>
      <c r="I302" s="104">
        <f t="shared" si="142"/>
        <v>0</v>
      </c>
      <c r="J302" s="104">
        <f t="shared" si="142"/>
        <v>0</v>
      </c>
      <c r="K302" s="104">
        <f t="shared" si="142"/>
        <v>0</v>
      </c>
      <c r="L302" s="104">
        <f t="shared" si="142"/>
        <v>0</v>
      </c>
      <c r="M302" s="104">
        <f t="shared" si="142"/>
        <v>0</v>
      </c>
      <c r="N302" s="104">
        <f t="shared" si="142"/>
        <v>0</v>
      </c>
      <c r="O302" s="55">
        <f t="shared" si="142"/>
        <v>0</v>
      </c>
      <c r="P302" s="55">
        <f t="shared" si="142"/>
        <v>0</v>
      </c>
      <c r="Q302" s="55">
        <f t="shared" si="142"/>
        <v>0</v>
      </c>
    </row>
    <row r="303" spans="1:17" x14ac:dyDescent="0.2">
      <c r="A303" s="72">
        <v>125</v>
      </c>
      <c r="B303" s="59">
        <v>293</v>
      </c>
      <c r="C303" s="40">
        <f t="shared" ref="C303:Q303" si="143">C135</f>
        <v>0</v>
      </c>
      <c r="D303" s="40">
        <f t="shared" si="143"/>
        <v>0</v>
      </c>
      <c r="E303" s="40">
        <f t="shared" si="143"/>
        <v>0</v>
      </c>
      <c r="F303" s="40">
        <f t="shared" si="143"/>
        <v>0</v>
      </c>
      <c r="G303" s="40">
        <f t="shared" si="143"/>
        <v>0</v>
      </c>
      <c r="H303" s="40">
        <f t="shared" si="143"/>
        <v>0</v>
      </c>
      <c r="I303" s="104">
        <f t="shared" si="143"/>
        <v>0</v>
      </c>
      <c r="J303" s="104">
        <f t="shared" si="143"/>
        <v>0</v>
      </c>
      <c r="K303" s="104">
        <f t="shared" si="143"/>
        <v>0</v>
      </c>
      <c r="L303" s="104">
        <f t="shared" si="143"/>
        <v>0</v>
      </c>
      <c r="M303" s="104">
        <f t="shared" si="143"/>
        <v>0</v>
      </c>
      <c r="N303" s="104">
        <f t="shared" si="143"/>
        <v>0</v>
      </c>
      <c r="O303" s="55">
        <f t="shared" si="143"/>
        <v>0</v>
      </c>
      <c r="P303" s="55">
        <f t="shared" si="143"/>
        <v>0</v>
      </c>
      <c r="Q303" s="55">
        <f t="shared" si="143"/>
        <v>0</v>
      </c>
    </row>
    <row r="304" spans="1:17" x14ac:dyDescent="0.2">
      <c r="A304" s="72">
        <v>126</v>
      </c>
      <c r="B304" s="59">
        <v>294</v>
      </c>
      <c r="C304" s="40">
        <f t="shared" ref="C304:Q304" si="144">C136</f>
        <v>0</v>
      </c>
      <c r="D304" s="40">
        <f t="shared" si="144"/>
        <v>0</v>
      </c>
      <c r="E304" s="40">
        <f t="shared" si="144"/>
        <v>0</v>
      </c>
      <c r="F304" s="40">
        <f t="shared" si="144"/>
        <v>0</v>
      </c>
      <c r="G304" s="40">
        <f t="shared" si="144"/>
        <v>0</v>
      </c>
      <c r="H304" s="40">
        <f t="shared" si="144"/>
        <v>0</v>
      </c>
      <c r="I304" s="104">
        <f t="shared" si="144"/>
        <v>0</v>
      </c>
      <c r="J304" s="104">
        <f t="shared" si="144"/>
        <v>0</v>
      </c>
      <c r="K304" s="104">
        <f t="shared" si="144"/>
        <v>0</v>
      </c>
      <c r="L304" s="104">
        <f t="shared" si="144"/>
        <v>0</v>
      </c>
      <c r="M304" s="104">
        <f t="shared" si="144"/>
        <v>0</v>
      </c>
      <c r="N304" s="104">
        <f t="shared" si="144"/>
        <v>0</v>
      </c>
      <c r="O304" s="55">
        <f t="shared" si="144"/>
        <v>0</v>
      </c>
      <c r="P304" s="55">
        <f t="shared" si="144"/>
        <v>0</v>
      </c>
      <c r="Q304" s="55">
        <f t="shared" si="144"/>
        <v>0</v>
      </c>
    </row>
    <row r="305" spans="1:17" x14ac:dyDescent="0.2">
      <c r="A305" s="72">
        <v>127</v>
      </c>
      <c r="B305" s="59">
        <v>295</v>
      </c>
      <c r="C305" s="40">
        <f t="shared" ref="C305:Q305" si="145">C137</f>
        <v>3.4332694957598457</v>
      </c>
      <c r="D305" s="40">
        <f t="shared" si="145"/>
        <v>1.8717327794185254</v>
      </c>
      <c r="E305" s="40">
        <f t="shared" si="145"/>
        <v>0.32981104388639787</v>
      </c>
      <c r="F305" s="40">
        <f t="shared" si="145"/>
        <v>0.74636293386083608</v>
      </c>
      <c r="G305" s="40">
        <f t="shared" si="145"/>
        <v>0.34817321475331586</v>
      </c>
      <c r="H305" s="40">
        <f t="shared" si="145"/>
        <v>5.4355139759513407E-2</v>
      </c>
      <c r="I305" s="104">
        <f t="shared" si="145"/>
        <v>0.36139678902735217</v>
      </c>
      <c r="J305" s="104">
        <f t="shared" si="145"/>
        <v>0.1970245030966869</v>
      </c>
      <c r="K305" s="104">
        <f t="shared" si="145"/>
        <v>3.471695198804188E-2</v>
      </c>
      <c r="L305" s="104">
        <f t="shared" si="145"/>
        <v>0.48220077187638283</v>
      </c>
      <c r="M305" s="104">
        <f t="shared" si="145"/>
        <v>0.26288381733406258</v>
      </c>
      <c r="N305" s="104">
        <f t="shared" si="145"/>
        <v>4.6321775826741275E-2</v>
      </c>
      <c r="O305" s="55">
        <f t="shared" si="145"/>
        <v>0.38224352251574223</v>
      </c>
      <c r="P305" s="55">
        <f t="shared" si="145"/>
        <v>0.21957685264482196</v>
      </c>
      <c r="Q305" s="55">
        <f t="shared" si="145"/>
        <v>4.6321775826741275E-2</v>
      </c>
    </row>
    <row r="306" spans="1:17" x14ac:dyDescent="0.2">
      <c r="A306" s="72">
        <v>128</v>
      </c>
      <c r="B306" s="59">
        <v>296</v>
      </c>
      <c r="C306" s="40">
        <f t="shared" ref="C306:Q306" si="146">C138</f>
        <v>3.4332694957598457</v>
      </c>
      <c r="D306" s="40">
        <f t="shared" si="146"/>
        <v>1.8717327794185254</v>
      </c>
      <c r="E306" s="40">
        <f t="shared" si="146"/>
        <v>0.32981104388639787</v>
      </c>
      <c r="F306" s="40">
        <f t="shared" si="146"/>
        <v>0.74636293386083608</v>
      </c>
      <c r="G306" s="40">
        <f t="shared" si="146"/>
        <v>0.34817321475331586</v>
      </c>
      <c r="H306" s="40">
        <f t="shared" si="146"/>
        <v>5.4355139759513407E-2</v>
      </c>
      <c r="I306" s="104">
        <f t="shared" si="146"/>
        <v>0.36139678902735217</v>
      </c>
      <c r="J306" s="104">
        <f t="shared" si="146"/>
        <v>0.1970245030966869</v>
      </c>
      <c r="K306" s="104">
        <f t="shared" si="146"/>
        <v>3.471695198804188E-2</v>
      </c>
      <c r="L306" s="104">
        <f t="shared" si="146"/>
        <v>0.48220077187638283</v>
      </c>
      <c r="M306" s="104">
        <f t="shared" si="146"/>
        <v>0.26288381733406258</v>
      </c>
      <c r="N306" s="104">
        <f t="shared" si="146"/>
        <v>4.6321775826741275E-2</v>
      </c>
      <c r="O306" s="55">
        <f t="shared" si="146"/>
        <v>0.38224352251574223</v>
      </c>
      <c r="P306" s="55">
        <f t="shared" si="146"/>
        <v>0.21957685264482196</v>
      </c>
      <c r="Q306" s="55">
        <f t="shared" si="146"/>
        <v>4.6321775826741275E-2</v>
      </c>
    </row>
    <row r="307" spans="1:17" x14ac:dyDescent="0.2">
      <c r="A307" s="72">
        <v>129</v>
      </c>
      <c r="B307" s="59">
        <v>297</v>
      </c>
      <c r="C307" s="40">
        <f t="shared" ref="C307:Q307" si="147">C139</f>
        <v>0</v>
      </c>
      <c r="D307" s="40">
        <f t="shared" si="147"/>
        <v>0</v>
      </c>
      <c r="E307" s="40">
        <f t="shared" si="147"/>
        <v>0</v>
      </c>
      <c r="F307" s="40">
        <f t="shared" si="147"/>
        <v>0</v>
      </c>
      <c r="G307" s="40">
        <f t="shared" si="147"/>
        <v>0</v>
      </c>
      <c r="H307" s="40">
        <f t="shared" si="147"/>
        <v>0</v>
      </c>
      <c r="I307" s="104">
        <f t="shared" si="147"/>
        <v>0</v>
      </c>
      <c r="J307" s="104">
        <f t="shared" si="147"/>
        <v>0</v>
      </c>
      <c r="K307" s="104">
        <f t="shared" si="147"/>
        <v>0</v>
      </c>
      <c r="L307" s="104">
        <f t="shared" si="147"/>
        <v>0</v>
      </c>
      <c r="M307" s="104">
        <f t="shared" si="147"/>
        <v>0</v>
      </c>
      <c r="N307" s="104">
        <f t="shared" si="147"/>
        <v>0</v>
      </c>
      <c r="O307" s="55">
        <f t="shared" si="147"/>
        <v>0</v>
      </c>
      <c r="P307" s="55">
        <f t="shared" si="147"/>
        <v>0</v>
      </c>
      <c r="Q307" s="55">
        <f t="shared" si="147"/>
        <v>0</v>
      </c>
    </row>
    <row r="308" spans="1:17" x14ac:dyDescent="0.2">
      <c r="A308" s="72">
        <v>130</v>
      </c>
      <c r="B308" s="59">
        <v>298</v>
      </c>
      <c r="C308" s="40">
        <f t="shared" ref="C308:Q308" si="148">C140</f>
        <v>0</v>
      </c>
      <c r="D308" s="40">
        <f t="shared" si="148"/>
        <v>0</v>
      </c>
      <c r="E308" s="40">
        <f t="shared" si="148"/>
        <v>0</v>
      </c>
      <c r="F308" s="40">
        <f t="shared" si="148"/>
        <v>0</v>
      </c>
      <c r="G308" s="40">
        <f t="shared" si="148"/>
        <v>0</v>
      </c>
      <c r="H308" s="40">
        <f t="shared" si="148"/>
        <v>0</v>
      </c>
      <c r="I308" s="104">
        <f t="shared" si="148"/>
        <v>0</v>
      </c>
      <c r="J308" s="104">
        <f t="shared" si="148"/>
        <v>0</v>
      </c>
      <c r="K308" s="104">
        <f t="shared" si="148"/>
        <v>0</v>
      </c>
      <c r="L308" s="104">
        <f t="shared" si="148"/>
        <v>0</v>
      </c>
      <c r="M308" s="104">
        <f t="shared" si="148"/>
        <v>0</v>
      </c>
      <c r="N308" s="104">
        <f t="shared" si="148"/>
        <v>0</v>
      </c>
      <c r="O308" s="55">
        <f t="shared" si="148"/>
        <v>0</v>
      </c>
      <c r="P308" s="55">
        <f t="shared" si="148"/>
        <v>0</v>
      </c>
      <c r="Q308" s="55">
        <f t="shared" si="148"/>
        <v>0</v>
      </c>
    </row>
    <row r="309" spans="1:17" x14ac:dyDescent="0.2">
      <c r="A309" s="72">
        <v>131</v>
      </c>
      <c r="B309" s="59">
        <v>299</v>
      </c>
      <c r="C309" s="40">
        <f t="shared" ref="C309:Q309" si="149">C141</f>
        <v>0</v>
      </c>
      <c r="D309" s="40">
        <f t="shared" si="149"/>
        <v>0</v>
      </c>
      <c r="E309" s="40">
        <f t="shared" si="149"/>
        <v>0</v>
      </c>
      <c r="F309" s="40">
        <f t="shared" si="149"/>
        <v>0</v>
      </c>
      <c r="G309" s="40">
        <f t="shared" si="149"/>
        <v>0</v>
      </c>
      <c r="H309" s="40">
        <f t="shared" si="149"/>
        <v>0</v>
      </c>
      <c r="I309" s="104">
        <f t="shared" si="149"/>
        <v>0</v>
      </c>
      <c r="J309" s="104">
        <f t="shared" si="149"/>
        <v>0</v>
      </c>
      <c r="K309" s="104">
        <f t="shared" si="149"/>
        <v>0</v>
      </c>
      <c r="L309" s="104">
        <f t="shared" si="149"/>
        <v>0</v>
      </c>
      <c r="M309" s="104">
        <f t="shared" si="149"/>
        <v>0</v>
      </c>
      <c r="N309" s="104">
        <f t="shared" si="149"/>
        <v>0</v>
      </c>
      <c r="O309" s="55">
        <f t="shared" si="149"/>
        <v>0</v>
      </c>
      <c r="P309" s="55">
        <f t="shared" si="149"/>
        <v>0</v>
      </c>
      <c r="Q309" s="55">
        <f t="shared" si="149"/>
        <v>0</v>
      </c>
    </row>
    <row r="310" spans="1:17" x14ac:dyDescent="0.2">
      <c r="A310" s="72">
        <v>132</v>
      </c>
      <c r="B310" s="59">
        <v>300</v>
      </c>
      <c r="C310" s="40">
        <f t="shared" ref="C310:Q310" si="150">C142</f>
        <v>0</v>
      </c>
      <c r="D310" s="40">
        <f t="shared" si="150"/>
        <v>0</v>
      </c>
      <c r="E310" s="40">
        <f t="shared" si="150"/>
        <v>0</v>
      </c>
      <c r="F310" s="40">
        <f t="shared" si="150"/>
        <v>0</v>
      </c>
      <c r="G310" s="40">
        <f t="shared" si="150"/>
        <v>0</v>
      </c>
      <c r="H310" s="40">
        <f t="shared" si="150"/>
        <v>0</v>
      </c>
      <c r="I310" s="104">
        <f t="shared" si="150"/>
        <v>0</v>
      </c>
      <c r="J310" s="104">
        <f t="shared" si="150"/>
        <v>0</v>
      </c>
      <c r="K310" s="104">
        <f t="shared" si="150"/>
        <v>0</v>
      </c>
      <c r="L310" s="104">
        <f t="shared" si="150"/>
        <v>0</v>
      </c>
      <c r="M310" s="104">
        <f t="shared" si="150"/>
        <v>0</v>
      </c>
      <c r="N310" s="104">
        <f t="shared" si="150"/>
        <v>0</v>
      </c>
      <c r="O310" s="55">
        <f t="shared" si="150"/>
        <v>0</v>
      </c>
      <c r="P310" s="55">
        <f t="shared" si="150"/>
        <v>0</v>
      </c>
      <c r="Q310" s="55">
        <f t="shared" si="150"/>
        <v>0</v>
      </c>
    </row>
    <row r="311" spans="1:17" x14ac:dyDescent="0.2">
      <c r="A311" s="72">
        <v>133</v>
      </c>
      <c r="B311" s="59">
        <v>301</v>
      </c>
      <c r="C311" s="40">
        <f t="shared" ref="C311:Q311" si="151">C143</f>
        <v>0</v>
      </c>
      <c r="D311" s="40">
        <f t="shared" si="151"/>
        <v>0</v>
      </c>
      <c r="E311" s="40">
        <f t="shared" si="151"/>
        <v>0</v>
      </c>
      <c r="F311" s="40">
        <f t="shared" si="151"/>
        <v>0</v>
      </c>
      <c r="G311" s="40">
        <f t="shared" si="151"/>
        <v>0</v>
      </c>
      <c r="H311" s="40">
        <f t="shared" si="151"/>
        <v>0</v>
      </c>
      <c r="I311" s="104">
        <f t="shared" si="151"/>
        <v>0</v>
      </c>
      <c r="J311" s="104">
        <f t="shared" si="151"/>
        <v>0</v>
      </c>
      <c r="K311" s="104">
        <f t="shared" si="151"/>
        <v>0</v>
      </c>
      <c r="L311" s="104">
        <f t="shared" si="151"/>
        <v>0</v>
      </c>
      <c r="M311" s="104">
        <f t="shared" si="151"/>
        <v>0</v>
      </c>
      <c r="N311" s="104">
        <f t="shared" si="151"/>
        <v>0</v>
      </c>
      <c r="O311" s="55">
        <f t="shared" si="151"/>
        <v>0</v>
      </c>
      <c r="P311" s="55">
        <f t="shared" si="151"/>
        <v>0</v>
      </c>
      <c r="Q311" s="55">
        <f t="shared" si="151"/>
        <v>0</v>
      </c>
    </row>
    <row r="312" spans="1:17" x14ac:dyDescent="0.2">
      <c r="A312" s="72">
        <v>134</v>
      </c>
      <c r="B312" s="59">
        <v>302</v>
      </c>
      <c r="C312" s="40">
        <f t="shared" ref="C312:Q312" si="152">C144</f>
        <v>0</v>
      </c>
      <c r="D312" s="40">
        <f t="shared" si="152"/>
        <v>0</v>
      </c>
      <c r="E312" s="40">
        <f t="shared" si="152"/>
        <v>0</v>
      </c>
      <c r="F312" s="40">
        <f t="shared" si="152"/>
        <v>0</v>
      </c>
      <c r="G312" s="40">
        <f t="shared" si="152"/>
        <v>0</v>
      </c>
      <c r="H312" s="40">
        <f t="shared" si="152"/>
        <v>0</v>
      </c>
      <c r="I312" s="104">
        <f t="shared" si="152"/>
        <v>0</v>
      </c>
      <c r="J312" s="104">
        <f t="shared" si="152"/>
        <v>0</v>
      </c>
      <c r="K312" s="104">
        <f t="shared" si="152"/>
        <v>0</v>
      </c>
      <c r="L312" s="104">
        <f t="shared" si="152"/>
        <v>0</v>
      </c>
      <c r="M312" s="104">
        <f t="shared" si="152"/>
        <v>0</v>
      </c>
      <c r="N312" s="104">
        <f t="shared" si="152"/>
        <v>0</v>
      </c>
      <c r="O312" s="55">
        <f t="shared" si="152"/>
        <v>0</v>
      </c>
      <c r="P312" s="55">
        <f t="shared" si="152"/>
        <v>0</v>
      </c>
      <c r="Q312" s="55">
        <f t="shared" si="152"/>
        <v>0</v>
      </c>
    </row>
    <row r="313" spans="1:17" x14ac:dyDescent="0.2">
      <c r="A313" s="72">
        <v>135</v>
      </c>
      <c r="B313" s="59">
        <v>303</v>
      </c>
      <c r="C313" s="40">
        <f t="shared" ref="C313:Q313" si="153">C145</f>
        <v>0</v>
      </c>
      <c r="D313" s="40">
        <f t="shared" si="153"/>
        <v>0</v>
      </c>
      <c r="E313" s="40">
        <f t="shared" si="153"/>
        <v>0</v>
      </c>
      <c r="F313" s="40">
        <f t="shared" si="153"/>
        <v>0</v>
      </c>
      <c r="G313" s="40">
        <f t="shared" si="153"/>
        <v>0</v>
      </c>
      <c r="H313" s="40">
        <f t="shared" si="153"/>
        <v>0</v>
      </c>
      <c r="I313" s="104">
        <f t="shared" si="153"/>
        <v>0</v>
      </c>
      <c r="J313" s="104">
        <f t="shared" si="153"/>
        <v>0</v>
      </c>
      <c r="K313" s="104">
        <f t="shared" si="153"/>
        <v>0</v>
      </c>
      <c r="L313" s="104">
        <f t="shared" si="153"/>
        <v>0</v>
      </c>
      <c r="M313" s="104">
        <f t="shared" si="153"/>
        <v>0</v>
      </c>
      <c r="N313" s="104">
        <f t="shared" si="153"/>
        <v>0</v>
      </c>
      <c r="O313" s="55">
        <f t="shared" si="153"/>
        <v>0</v>
      </c>
      <c r="P313" s="55">
        <f t="shared" si="153"/>
        <v>0</v>
      </c>
      <c r="Q313" s="55">
        <f t="shared" si="153"/>
        <v>0</v>
      </c>
    </row>
    <row r="314" spans="1:17" x14ac:dyDescent="0.2">
      <c r="A314" s="72">
        <v>136</v>
      </c>
      <c r="B314" s="59">
        <v>304</v>
      </c>
      <c r="C314" s="40">
        <f t="shared" ref="C314:Q314" si="154">C146</f>
        <v>3.4332694957598457</v>
      </c>
      <c r="D314" s="40">
        <f t="shared" si="154"/>
        <v>1.8717327794185254</v>
      </c>
      <c r="E314" s="40">
        <f t="shared" si="154"/>
        <v>0.32981104388639787</v>
      </c>
      <c r="F314" s="40">
        <f t="shared" si="154"/>
        <v>0.74636293386083608</v>
      </c>
      <c r="G314" s="40">
        <f t="shared" si="154"/>
        <v>0.34817321475331586</v>
      </c>
      <c r="H314" s="40">
        <f t="shared" si="154"/>
        <v>5.4355139759513407E-2</v>
      </c>
      <c r="I314" s="104">
        <f t="shared" si="154"/>
        <v>0.36139678902735217</v>
      </c>
      <c r="J314" s="104">
        <f t="shared" si="154"/>
        <v>0.1970245030966869</v>
      </c>
      <c r="K314" s="104">
        <f t="shared" si="154"/>
        <v>3.471695198804188E-2</v>
      </c>
      <c r="L314" s="104">
        <f t="shared" si="154"/>
        <v>0.48220077187638283</v>
      </c>
      <c r="M314" s="104">
        <f t="shared" si="154"/>
        <v>0.26288381733406258</v>
      </c>
      <c r="N314" s="104">
        <f t="shared" si="154"/>
        <v>4.6321775826741275E-2</v>
      </c>
      <c r="O314" s="55">
        <f t="shared" si="154"/>
        <v>0.38224352251574223</v>
      </c>
      <c r="P314" s="55">
        <f t="shared" si="154"/>
        <v>0.21957685264482196</v>
      </c>
      <c r="Q314" s="55">
        <f t="shared" si="154"/>
        <v>4.6321775826741275E-2</v>
      </c>
    </row>
    <row r="315" spans="1:17" x14ac:dyDescent="0.2">
      <c r="A315" s="72">
        <v>137</v>
      </c>
      <c r="B315" s="59">
        <v>305</v>
      </c>
      <c r="C315" s="40">
        <f t="shared" ref="C315:Q315" si="155">C147</f>
        <v>3.4332694957598457</v>
      </c>
      <c r="D315" s="40">
        <f t="shared" si="155"/>
        <v>1.8717327794185254</v>
      </c>
      <c r="E315" s="40">
        <f t="shared" si="155"/>
        <v>0.32981104388639787</v>
      </c>
      <c r="F315" s="40">
        <f t="shared" si="155"/>
        <v>0.74636293386083608</v>
      </c>
      <c r="G315" s="40">
        <f t="shared" si="155"/>
        <v>0.34817321475331586</v>
      </c>
      <c r="H315" s="40">
        <f t="shared" si="155"/>
        <v>5.4355139759513407E-2</v>
      </c>
      <c r="I315" s="104">
        <f t="shared" si="155"/>
        <v>0.36139678902735217</v>
      </c>
      <c r="J315" s="104">
        <f t="shared" si="155"/>
        <v>0.1970245030966869</v>
      </c>
      <c r="K315" s="104">
        <f t="shared" si="155"/>
        <v>3.471695198804188E-2</v>
      </c>
      <c r="L315" s="104">
        <f t="shared" si="155"/>
        <v>0.48220077187638283</v>
      </c>
      <c r="M315" s="104">
        <f t="shared" si="155"/>
        <v>0.26288381733406258</v>
      </c>
      <c r="N315" s="104">
        <f t="shared" si="155"/>
        <v>4.6321775826741275E-2</v>
      </c>
      <c r="O315" s="55">
        <f t="shared" si="155"/>
        <v>0.38224352251574223</v>
      </c>
      <c r="P315" s="55">
        <f t="shared" si="155"/>
        <v>0.21957685264482196</v>
      </c>
      <c r="Q315" s="55">
        <f t="shared" si="155"/>
        <v>4.6321775826741275E-2</v>
      </c>
    </row>
    <row r="316" spans="1:17" x14ac:dyDescent="0.2">
      <c r="A316" s="72">
        <v>138</v>
      </c>
      <c r="B316" s="59">
        <v>306</v>
      </c>
      <c r="C316" s="40">
        <f t="shared" ref="C316:Q316" si="156">C148</f>
        <v>3.4332694957598457</v>
      </c>
      <c r="D316" s="40">
        <f t="shared" si="156"/>
        <v>1.8717327794185254</v>
      </c>
      <c r="E316" s="40">
        <f t="shared" si="156"/>
        <v>0.32981104388639787</v>
      </c>
      <c r="F316" s="40">
        <f t="shared" si="156"/>
        <v>0.74636293386083608</v>
      </c>
      <c r="G316" s="40">
        <f t="shared" si="156"/>
        <v>0.34817321475331586</v>
      </c>
      <c r="H316" s="40">
        <f t="shared" si="156"/>
        <v>5.4355139759513407E-2</v>
      </c>
      <c r="I316" s="104">
        <f t="shared" si="156"/>
        <v>0.36139678902735217</v>
      </c>
      <c r="J316" s="104">
        <f t="shared" si="156"/>
        <v>0.1970245030966869</v>
      </c>
      <c r="K316" s="104">
        <f t="shared" si="156"/>
        <v>3.471695198804188E-2</v>
      </c>
      <c r="L316" s="104">
        <f t="shared" si="156"/>
        <v>0.48220077187638283</v>
      </c>
      <c r="M316" s="104">
        <f t="shared" si="156"/>
        <v>0.26288381733406258</v>
      </c>
      <c r="N316" s="104">
        <f t="shared" si="156"/>
        <v>4.6321775826741275E-2</v>
      </c>
      <c r="O316" s="55">
        <f t="shared" si="156"/>
        <v>0.38224352251574223</v>
      </c>
      <c r="P316" s="55">
        <f t="shared" si="156"/>
        <v>0.21957685264482196</v>
      </c>
      <c r="Q316" s="55">
        <f t="shared" si="156"/>
        <v>4.6321775826741275E-2</v>
      </c>
    </row>
    <row r="317" spans="1:17" x14ac:dyDescent="0.2">
      <c r="A317" s="72">
        <v>139</v>
      </c>
      <c r="B317" s="59">
        <v>307</v>
      </c>
      <c r="C317" s="40">
        <f t="shared" ref="C317:Q317" si="157">C149</f>
        <v>3.4332694957598457</v>
      </c>
      <c r="D317" s="40">
        <f t="shared" si="157"/>
        <v>1.8717327794185254</v>
      </c>
      <c r="E317" s="40">
        <f t="shared" si="157"/>
        <v>0.32981104388639787</v>
      </c>
      <c r="F317" s="40">
        <f t="shared" si="157"/>
        <v>0.74636293386083608</v>
      </c>
      <c r="G317" s="40">
        <f t="shared" si="157"/>
        <v>0.34817321475331586</v>
      </c>
      <c r="H317" s="40">
        <f t="shared" si="157"/>
        <v>5.4355139759513407E-2</v>
      </c>
      <c r="I317" s="104">
        <f t="shared" si="157"/>
        <v>0.36139678902735217</v>
      </c>
      <c r="J317" s="104">
        <f t="shared" si="157"/>
        <v>0.1970245030966869</v>
      </c>
      <c r="K317" s="104">
        <f t="shared" si="157"/>
        <v>3.471695198804188E-2</v>
      </c>
      <c r="L317" s="104">
        <f t="shared" si="157"/>
        <v>0.48220077187638283</v>
      </c>
      <c r="M317" s="104">
        <f t="shared" si="157"/>
        <v>0.26288381733406258</v>
      </c>
      <c r="N317" s="104">
        <f t="shared" si="157"/>
        <v>4.6321775826741275E-2</v>
      </c>
      <c r="O317" s="55">
        <f t="shared" si="157"/>
        <v>0.38224352251574223</v>
      </c>
      <c r="P317" s="55">
        <f t="shared" si="157"/>
        <v>0.21957685264482196</v>
      </c>
      <c r="Q317" s="55">
        <f t="shared" si="157"/>
        <v>4.6321775826741275E-2</v>
      </c>
    </row>
    <row r="318" spans="1:17" x14ac:dyDescent="0.2">
      <c r="A318" s="72">
        <v>140</v>
      </c>
      <c r="B318" s="59">
        <v>308</v>
      </c>
      <c r="C318" s="40">
        <f t="shared" ref="C318:Q318" si="158">C150</f>
        <v>3.4332694957598457</v>
      </c>
      <c r="D318" s="40">
        <f t="shared" si="158"/>
        <v>1.8717327794185254</v>
      </c>
      <c r="E318" s="40">
        <f t="shared" si="158"/>
        <v>0.32981104388639787</v>
      </c>
      <c r="F318" s="40">
        <f t="shared" si="158"/>
        <v>0.74636293386083608</v>
      </c>
      <c r="G318" s="40">
        <f t="shared" si="158"/>
        <v>0.34817321475331586</v>
      </c>
      <c r="H318" s="40">
        <f t="shared" si="158"/>
        <v>5.4355139759513407E-2</v>
      </c>
      <c r="I318" s="104">
        <f t="shared" si="158"/>
        <v>0.36139678902735217</v>
      </c>
      <c r="J318" s="104">
        <f t="shared" si="158"/>
        <v>0.1970245030966869</v>
      </c>
      <c r="K318" s="104">
        <f t="shared" si="158"/>
        <v>3.471695198804188E-2</v>
      </c>
      <c r="L318" s="104">
        <f t="shared" si="158"/>
        <v>0.48220077187638283</v>
      </c>
      <c r="M318" s="104">
        <f t="shared" si="158"/>
        <v>0.26288381733406258</v>
      </c>
      <c r="N318" s="104">
        <f t="shared" si="158"/>
        <v>4.6321775826741275E-2</v>
      </c>
      <c r="O318" s="55">
        <f t="shared" si="158"/>
        <v>0.38224352251574223</v>
      </c>
      <c r="P318" s="55">
        <f t="shared" si="158"/>
        <v>0.21957685264482196</v>
      </c>
      <c r="Q318" s="55">
        <f t="shared" si="158"/>
        <v>4.6321775826741275E-2</v>
      </c>
    </row>
    <row r="319" spans="1:17" x14ac:dyDescent="0.2">
      <c r="A319" s="72">
        <v>141</v>
      </c>
      <c r="B319" s="59">
        <v>309</v>
      </c>
      <c r="C319" s="40">
        <f t="shared" ref="C319:Q319" si="159">C151</f>
        <v>3.4332694957598457</v>
      </c>
      <c r="D319" s="40">
        <f t="shared" si="159"/>
        <v>1.8717327794185254</v>
      </c>
      <c r="E319" s="40">
        <f t="shared" si="159"/>
        <v>0.32981104388639787</v>
      </c>
      <c r="F319" s="40">
        <f t="shared" si="159"/>
        <v>0.74636293386083608</v>
      </c>
      <c r="G319" s="40">
        <f t="shared" si="159"/>
        <v>0.34817321475331586</v>
      </c>
      <c r="H319" s="40">
        <f t="shared" si="159"/>
        <v>5.4355139759513407E-2</v>
      </c>
      <c r="I319" s="104">
        <f t="shared" si="159"/>
        <v>0.36139678902735217</v>
      </c>
      <c r="J319" s="104">
        <f t="shared" si="159"/>
        <v>0.1970245030966869</v>
      </c>
      <c r="K319" s="104">
        <f t="shared" si="159"/>
        <v>3.471695198804188E-2</v>
      </c>
      <c r="L319" s="104">
        <f t="shared" si="159"/>
        <v>0.48220077187638283</v>
      </c>
      <c r="M319" s="104">
        <f t="shared" si="159"/>
        <v>0.26288381733406258</v>
      </c>
      <c r="N319" s="104">
        <f t="shared" si="159"/>
        <v>4.6321775826741275E-2</v>
      </c>
      <c r="O319" s="55">
        <f t="shared" si="159"/>
        <v>0.38224352251574223</v>
      </c>
      <c r="P319" s="55">
        <f t="shared" si="159"/>
        <v>0.21957685264482196</v>
      </c>
      <c r="Q319" s="55">
        <f t="shared" si="159"/>
        <v>4.6321775826741275E-2</v>
      </c>
    </row>
    <row r="320" spans="1:17" x14ac:dyDescent="0.2">
      <c r="A320" s="72">
        <v>142</v>
      </c>
      <c r="B320" s="59">
        <v>310</v>
      </c>
      <c r="C320" s="40">
        <f t="shared" ref="C320:Q320" si="160">C152</f>
        <v>3.4332694957598457</v>
      </c>
      <c r="D320" s="40">
        <f t="shared" si="160"/>
        <v>1.8717327794185254</v>
      </c>
      <c r="E320" s="40">
        <f t="shared" si="160"/>
        <v>0.32981104388639787</v>
      </c>
      <c r="F320" s="40">
        <f t="shared" si="160"/>
        <v>0.74636293386083608</v>
      </c>
      <c r="G320" s="40">
        <f t="shared" si="160"/>
        <v>0.34817321475331586</v>
      </c>
      <c r="H320" s="40">
        <f t="shared" si="160"/>
        <v>5.4355139759513407E-2</v>
      </c>
      <c r="I320" s="104">
        <f t="shared" si="160"/>
        <v>0.36139678902735217</v>
      </c>
      <c r="J320" s="104">
        <f t="shared" si="160"/>
        <v>0.1970245030966869</v>
      </c>
      <c r="K320" s="104">
        <f t="shared" si="160"/>
        <v>3.471695198804188E-2</v>
      </c>
      <c r="L320" s="104">
        <f t="shared" si="160"/>
        <v>0.48220077187638283</v>
      </c>
      <c r="M320" s="104">
        <f t="shared" si="160"/>
        <v>0.26288381733406258</v>
      </c>
      <c r="N320" s="104">
        <f t="shared" si="160"/>
        <v>4.6321775826741275E-2</v>
      </c>
      <c r="O320" s="55">
        <f t="shared" si="160"/>
        <v>0.38224352251574223</v>
      </c>
      <c r="P320" s="55">
        <f t="shared" si="160"/>
        <v>0.21957685264482196</v>
      </c>
      <c r="Q320" s="55">
        <f t="shared" si="160"/>
        <v>4.6321775826741275E-2</v>
      </c>
    </row>
    <row r="321" spans="1:17" x14ac:dyDescent="0.2">
      <c r="A321" s="72">
        <v>143</v>
      </c>
      <c r="B321" s="59">
        <v>311</v>
      </c>
      <c r="C321" s="40">
        <f t="shared" ref="C321:Q321" si="161">C153</f>
        <v>0</v>
      </c>
      <c r="D321" s="40">
        <f t="shared" si="161"/>
        <v>0</v>
      </c>
      <c r="E321" s="40">
        <f t="shared" si="161"/>
        <v>0</v>
      </c>
      <c r="F321" s="40">
        <f t="shared" si="161"/>
        <v>0</v>
      </c>
      <c r="G321" s="40">
        <f t="shared" si="161"/>
        <v>0</v>
      </c>
      <c r="H321" s="40">
        <f t="shared" si="161"/>
        <v>0</v>
      </c>
      <c r="I321" s="104">
        <f t="shared" si="161"/>
        <v>0</v>
      </c>
      <c r="J321" s="104">
        <f t="shared" si="161"/>
        <v>0</v>
      </c>
      <c r="K321" s="104">
        <f t="shared" si="161"/>
        <v>0</v>
      </c>
      <c r="L321" s="104">
        <f t="shared" si="161"/>
        <v>0</v>
      </c>
      <c r="M321" s="104">
        <f t="shared" si="161"/>
        <v>0</v>
      </c>
      <c r="N321" s="104">
        <f t="shared" si="161"/>
        <v>0</v>
      </c>
      <c r="O321" s="55">
        <f t="shared" si="161"/>
        <v>0</v>
      </c>
      <c r="P321" s="55">
        <f t="shared" si="161"/>
        <v>0</v>
      </c>
      <c r="Q321" s="55">
        <f t="shared" si="161"/>
        <v>0</v>
      </c>
    </row>
    <row r="322" spans="1:17" x14ac:dyDescent="0.2">
      <c r="A322" s="72">
        <v>144</v>
      </c>
      <c r="B322" s="59">
        <v>312</v>
      </c>
      <c r="C322" s="40">
        <f t="shared" ref="C322:Q322" si="162">C154</f>
        <v>0</v>
      </c>
      <c r="D322" s="40">
        <f t="shared" si="162"/>
        <v>0</v>
      </c>
      <c r="E322" s="40">
        <f t="shared" si="162"/>
        <v>0</v>
      </c>
      <c r="F322" s="40">
        <f t="shared" si="162"/>
        <v>0</v>
      </c>
      <c r="G322" s="40">
        <f t="shared" si="162"/>
        <v>0</v>
      </c>
      <c r="H322" s="40">
        <f t="shared" si="162"/>
        <v>0</v>
      </c>
      <c r="I322" s="104">
        <f t="shared" si="162"/>
        <v>0</v>
      </c>
      <c r="J322" s="104">
        <f t="shared" si="162"/>
        <v>0</v>
      </c>
      <c r="K322" s="104">
        <f t="shared" si="162"/>
        <v>0</v>
      </c>
      <c r="L322" s="104">
        <f t="shared" si="162"/>
        <v>0</v>
      </c>
      <c r="M322" s="104">
        <f t="shared" si="162"/>
        <v>0</v>
      </c>
      <c r="N322" s="104">
        <f t="shared" si="162"/>
        <v>0</v>
      </c>
      <c r="O322" s="55">
        <f t="shared" si="162"/>
        <v>0</v>
      </c>
      <c r="P322" s="55">
        <f t="shared" si="162"/>
        <v>0</v>
      </c>
      <c r="Q322" s="55">
        <f t="shared" si="162"/>
        <v>0</v>
      </c>
    </row>
    <row r="323" spans="1:17" x14ac:dyDescent="0.2">
      <c r="A323" s="72">
        <v>145</v>
      </c>
      <c r="B323" s="59">
        <v>313</v>
      </c>
      <c r="C323" s="40">
        <f t="shared" ref="C323:Q323" si="163">C155</f>
        <v>0</v>
      </c>
      <c r="D323" s="40">
        <f t="shared" si="163"/>
        <v>0</v>
      </c>
      <c r="E323" s="40">
        <f t="shared" si="163"/>
        <v>0</v>
      </c>
      <c r="F323" s="40">
        <f t="shared" si="163"/>
        <v>0</v>
      </c>
      <c r="G323" s="40">
        <f t="shared" si="163"/>
        <v>0</v>
      </c>
      <c r="H323" s="40">
        <f t="shared" si="163"/>
        <v>0</v>
      </c>
      <c r="I323" s="104">
        <f t="shared" si="163"/>
        <v>0</v>
      </c>
      <c r="J323" s="104">
        <f t="shared" si="163"/>
        <v>0</v>
      </c>
      <c r="K323" s="104">
        <f t="shared" si="163"/>
        <v>0</v>
      </c>
      <c r="L323" s="104">
        <f t="shared" si="163"/>
        <v>0</v>
      </c>
      <c r="M323" s="104">
        <f t="shared" si="163"/>
        <v>0</v>
      </c>
      <c r="N323" s="104">
        <f t="shared" si="163"/>
        <v>0</v>
      </c>
      <c r="O323" s="55">
        <f t="shared" si="163"/>
        <v>0</v>
      </c>
      <c r="P323" s="55">
        <f t="shared" si="163"/>
        <v>0</v>
      </c>
      <c r="Q323" s="55">
        <f t="shared" si="163"/>
        <v>0</v>
      </c>
    </row>
    <row r="324" spans="1:17" x14ac:dyDescent="0.2">
      <c r="A324" s="72">
        <v>146</v>
      </c>
      <c r="B324" s="59">
        <v>314</v>
      </c>
      <c r="C324" s="40">
        <f t="shared" ref="C324:Q324" si="164">C156</f>
        <v>0</v>
      </c>
      <c r="D324" s="40">
        <f t="shared" si="164"/>
        <v>0</v>
      </c>
      <c r="E324" s="40">
        <f t="shared" si="164"/>
        <v>0</v>
      </c>
      <c r="F324" s="40">
        <f t="shared" si="164"/>
        <v>0</v>
      </c>
      <c r="G324" s="40">
        <f t="shared" si="164"/>
        <v>0</v>
      </c>
      <c r="H324" s="40">
        <f t="shared" si="164"/>
        <v>0</v>
      </c>
      <c r="I324" s="104">
        <f t="shared" si="164"/>
        <v>0</v>
      </c>
      <c r="J324" s="104">
        <f t="shared" si="164"/>
        <v>0</v>
      </c>
      <c r="K324" s="104">
        <f t="shared" si="164"/>
        <v>0</v>
      </c>
      <c r="L324" s="104">
        <f t="shared" si="164"/>
        <v>0</v>
      </c>
      <c r="M324" s="104">
        <f t="shared" si="164"/>
        <v>0</v>
      </c>
      <c r="N324" s="104">
        <f t="shared" si="164"/>
        <v>0</v>
      </c>
      <c r="O324" s="55">
        <f t="shared" si="164"/>
        <v>0</v>
      </c>
      <c r="P324" s="55">
        <f t="shared" si="164"/>
        <v>0</v>
      </c>
      <c r="Q324" s="55">
        <f t="shared" si="164"/>
        <v>0</v>
      </c>
    </row>
    <row r="325" spans="1:17" x14ac:dyDescent="0.2">
      <c r="A325" s="72">
        <v>147</v>
      </c>
      <c r="B325" s="59">
        <v>315</v>
      </c>
      <c r="C325" s="40">
        <f t="shared" ref="C325:Q325" si="165">C157</f>
        <v>0</v>
      </c>
      <c r="D325" s="40">
        <f t="shared" si="165"/>
        <v>0</v>
      </c>
      <c r="E325" s="40">
        <f t="shared" si="165"/>
        <v>0</v>
      </c>
      <c r="F325" s="40">
        <f t="shared" si="165"/>
        <v>0</v>
      </c>
      <c r="G325" s="40">
        <f t="shared" si="165"/>
        <v>0</v>
      </c>
      <c r="H325" s="40">
        <f t="shared" si="165"/>
        <v>0</v>
      </c>
      <c r="I325" s="104">
        <f t="shared" si="165"/>
        <v>0</v>
      </c>
      <c r="J325" s="104">
        <f t="shared" si="165"/>
        <v>0</v>
      </c>
      <c r="K325" s="104">
        <f t="shared" si="165"/>
        <v>0</v>
      </c>
      <c r="L325" s="104">
        <f t="shared" si="165"/>
        <v>0</v>
      </c>
      <c r="M325" s="104">
        <f t="shared" si="165"/>
        <v>0</v>
      </c>
      <c r="N325" s="104">
        <f t="shared" si="165"/>
        <v>0</v>
      </c>
      <c r="O325" s="55">
        <f t="shared" si="165"/>
        <v>0</v>
      </c>
      <c r="P325" s="55">
        <f t="shared" si="165"/>
        <v>0</v>
      </c>
      <c r="Q325" s="55">
        <f t="shared" si="165"/>
        <v>0</v>
      </c>
    </row>
    <row r="326" spans="1:17" x14ac:dyDescent="0.2">
      <c r="A326" s="72">
        <v>148</v>
      </c>
      <c r="B326" s="59">
        <v>316</v>
      </c>
      <c r="C326" s="40">
        <f t="shared" ref="C326:Q326" si="166">C158</f>
        <v>0</v>
      </c>
      <c r="D326" s="40">
        <f t="shared" si="166"/>
        <v>0</v>
      </c>
      <c r="E326" s="40">
        <f t="shared" si="166"/>
        <v>0</v>
      </c>
      <c r="F326" s="40">
        <f t="shared" si="166"/>
        <v>0</v>
      </c>
      <c r="G326" s="40">
        <f t="shared" si="166"/>
        <v>0</v>
      </c>
      <c r="H326" s="40">
        <f t="shared" si="166"/>
        <v>0</v>
      </c>
      <c r="I326" s="104">
        <f t="shared" si="166"/>
        <v>0</v>
      </c>
      <c r="J326" s="104">
        <f t="shared" si="166"/>
        <v>0</v>
      </c>
      <c r="K326" s="104">
        <f t="shared" si="166"/>
        <v>0</v>
      </c>
      <c r="L326" s="104">
        <f t="shared" si="166"/>
        <v>0</v>
      </c>
      <c r="M326" s="104">
        <f t="shared" si="166"/>
        <v>0</v>
      </c>
      <c r="N326" s="104">
        <f t="shared" si="166"/>
        <v>0</v>
      </c>
      <c r="O326" s="55">
        <f t="shared" si="166"/>
        <v>0</v>
      </c>
      <c r="P326" s="55">
        <f t="shared" si="166"/>
        <v>0</v>
      </c>
      <c r="Q326" s="55">
        <f t="shared" si="166"/>
        <v>0</v>
      </c>
    </row>
    <row r="327" spans="1:17" x14ac:dyDescent="0.2">
      <c r="A327" s="72">
        <v>149</v>
      </c>
      <c r="B327" s="59">
        <v>317</v>
      </c>
      <c r="C327" s="40">
        <f t="shared" ref="C327:Q327" si="167">C159</f>
        <v>0</v>
      </c>
      <c r="D327" s="40">
        <f t="shared" si="167"/>
        <v>0</v>
      </c>
      <c r="E327" s="40">
        <f t="shared" si="167"/>
        <v>0</v>
      </c>
      <c r="F327" s="40">
        <f t="shared" si="167"/>
        <v>0</v>
      </c>
      <c r="G327" s="40">
        <f t="shared" si="167"/>
        <v>0</v>
      </c>
      <c r="H327" s="40">
        <f t="shared" si="167"/>
        <v>0</v>
      </c>
      <c r="I327" s="104">
        <f t="shared" si="167"/>
        <v>0</v>
      </c>
      <c r="J327" s="104">
        <f t="shared" si="167"/>
        <v>0</v>
      </c>
      <c r="K327" s="104">
        <f t="shared" si="167"/>
        <v>0</v>
      </c>
      <c r="L327" s="104">
        <f t="shared" si="167"/>
        <v>0</v>
      </c>
      <c r="M327" s="104">
        <f t="shared" si="167"/>
        <v>0</v>
      </c>
      <c r="N327" s="104">
        <f t="shared" si="167"/>
        <v>0</v>
      </c>
      <c r="O327" s="55">
        <f t="shared" si="167"/>
        <v>0</v>
      </c>
      <c r="P327" s="55">
        <f t="shared" si="167"/>
        <v>0</v>
      </c>
      <c r="Q327" s="55">
        <f t="shared" si="167"/>
        <v>0</v>
      </c>
    </row>
    <row r="328" spans="1:17" x14ac:dyDescent="0.2">
      <c r="A328" s="72">
        <v>150</v>
      </c>
      <c r="B328" s="59">
        <v>318</v>
      </c>
      <c r="C328" s="40">
        <f t="shared" ref="C328:Q328" si="168">C160</f>
        <v>0</v>
      </c>
      <c r="D328" s="40">
        <f t="shared" si="168"/>
        <v>0</v>
      </c>
      <c r="E328" s="40">
        <f t="shared" si="168"/>
        <v>0</v>
      </c>
      <c r="F328" s="40">
        <f t="shared" si="168"/>
        <v>0</v>
      </c>
      <c r="G328" s="40">
        <f t="shared" si="168"/>
        <v>0</v>
      </c>
      <c r="H328" s="40">
        <f t="shared" si="168"/>
        <v>0</v>
      </c>
      <c r="I328" s="104">
        <f t="shared" si="168"/>
        <v>0</v>
      </c>
      <c r="J328" s="104">
        <f t="shared" si="168"/>
        <v>0</v>
      </c>
      <c r="K328" s="104">
        <f t="shared" si="168"/>
        <v>0</v>
      </c>
      <c r="L328" s="104">
        <f t="shared" si="168"/>
        <v>0</v>
      </c>
      <c r="M328" s="104">
        <f t="shared" si="168"/>
        <v>0</v>
      </c>
      <c r="N328" s="104">
        <f t="shared" si="168"/>
        <v>0</v>
      </c>
      <c r="O328" s="55">
        <f t="shared" si="168"/>
        <v>0</v>
      </c>
      <c r="P328" s="55">
        <f t="shared" si="168"/>
        <v>0</v>
      </c>
      <c r="Q328" s="55">
        <f t="shared" si="168"/>
        <v>0</v>
      </c>
    </row>
    <row r="329" spans="1:17" x14ac:dyDescent="0.2">
      <c r="A329" s="72">
        <v>151</v>
      </c>
      <c r="B329" s="59">
        <v>319</v>
      </c>
      <c r="C329" s="40">
        <f t="shared" ref="C329:Q329" si="169">C161</f>
        <v>3.4332694957598457</v>
      </c>
      <c r="D329" s="40">
        <f t="shared" si="169"/>
        <v>1.8717327794185254</v>
      </c>
      <c r="E329" s="40">
        <f t="shared" si="169"/>
        <v>0.32981104388639787</v>
      </c>
      <c r="F329" s="40">
        <f t="shared" si="169"/>
        <v>0.74636293386083608</v>
      </c>
      <c r="G329" s="40">
        <f t="shared" si="169"/>
        <v>0.34817321475331586</v>
      </c>
      <c r="H329" s="40">
        <f t="shared" si="169"/>
        <v>5.4355139759513407E-2</v>
      </c>
      <c r="I329" s="104">
        <f t="shared" si="169"/>
        <v>0.36139678902735217</v>
      </c>
      <c r="J329" s="104">
        <f t="shared" si="169"/>
        <v>0.1970245030966869</v>
      </c>
      <c r="K329" s="104">
        <f t="shared" si="169"/>
        <v>3.471695198804188E-2</v>
      </c>
      <c r="L329" s="104">
        <f t="shared" si="169"/>
        <v>0.48220077187638283</v>
      </c>
      <c r="M329" s="104">
        <f t="shared" si="169"/>
        <v>0.26288381733406258</v>
      </c>
      <c r="N329" s="104">
        <f t="shared" si="169"/>
        <v>4.6321775826741275E-2</v>
      </c>
      <c r="O329" s="55">
        <f t="shared" si="169"/>
        <v>0.38224352251574223</v>
      </c>
      <c r="P329" s="55">
        <f t="shared" si="169"/>
        <v>0.21957685264482196</v>
      </c>
      <c r="Q329" s="55">
        <f t="shared" si="169"/>
        <v>4.6321775826741275E-2</v>
      </c>
    </row>
    <row r="330" spans="1:17" x14ac:dyDescent="0.2">
      <c r="A330" s="72">
        <v>152</v>
      </c>
      <c r="B330" s="59">
        <v>320</v>
      </c>
      <c r="C330" s="40">
        <f t="shared" ref="C330:Q330" si="170">C162</f>
        <v>3.4332694957598457</v>
      </c>
      <c r="D330" s="40">
        <f t="shared" si="170"/>
        <v>1.8717327794185254</v>
      </c>
      <c r="E330" s="40">
        <f t="shared" si="170"/>
        <v>0.32981104388639787</v>
      </c>
      <c r="F330" s="40">
        <f t="shared" si="170"/>
        <v>0.74636293386083608</v>
      </c>
      <c r="G330" s="40">
        <f t="shared" si="170"/>
        <v>0.34817321475331586</v>
      </c>
      <c r="H330" s="40">
        <f t="shared" si="170"/>
        <v>5.4355139759513407E-2</v>
      </c>
      <c r="I330" s="104">
        <f t="shared" si="170"/>
        <v>0.36139678902735217</v>
      </c>
      <c r="J330" s="104">
        <f t="shared" si="170"/>
        <v>0.1970245030966869</v>
      </c>
      <c r="K330" s="104">
        <f t="shared" si="170"/>
        <v>3.471695198804188E-2</v>
      </c>
      <c r="L330" s="104">
        <f t="shared" si="170"/>
        <v>0.48220077187638283</v>
      </c>
      <c r="M330" s="104">
        <f t="shared" si="170"/>
        <v>0.26288381733406258</v>
      </c>
      <c r="N330" s="104">
        <f t="shared" si="170"/>
        <v>4.6321775826741275E-2</v>
      </c>
      <c r="O330" s="55">
        <f t="shared" si="170"/>
        <v>0.38224352251574223</v>
      </c>
      <c r="P330" s="55">
        <f t="shared" si="170"/>
        <v>0.21957685264482196</v>
      </c>
      <c r="Q330" s="55">
        <f t="shared" si="170"/>
        <v>4.6321775826741275E-2</v>
      </c>
    </row>
    <row r="331" spans="1:17" x14ac:dyDescent="0.2">
      <c r="A331" s="72">
        <v>153</v>
      </c>
      <c r="B331" s="59">
        <v>321</v>
      </c>
      <c r="C331" s="40">
        <f t="shared" ref="C331:Q331" si="171">C163</f>
        <v>0</v>
      </c>
      <c r="D331" s="40">
        <f t="shared" si="171"/>
        <v>0</v>
      </c>
      <c r="E331" s="40">
        <f t="shared" si="171"/>
        <v>0</v>
      </c>
      <c r="F331" s="40">
        <f t="shared" si="171"/>
        <v>0</v>
      </c>
      <c r="G331" s="40">
        <f t="shared" si="171"/>
        <v>0</v>
      </c>
      <c r="H331" s="40">
        <f t="shared" si="171"/>
        <v>0</v>
      </c>
      <c r="I331" s="104">
        <f t="shared" si="171"/>
        <v>0</v>
      </c>
      <c r="J331" s="104">
        <f t="shared" si="171"/>
        <v>0</v>
      </c>
      <c r="K331" s="104">
        <f t="shared" si="171"/>
        <v>0</v>
      </c>
      <c r="L331" s="104">
        <f t="shared" si="171"/>
        <v>0</v>
      </c>
      <c r="M331" s="104">
        <f t="shared" si="171"/>
        <v>0</v>
      </c>
      <c r="N331" s="104">
        <f t="shared" si="171"/>
        <v>0</v>
      </c>
      <c r="O331" s="55">
        <f t="shared" si="171"/>
        <v>0</v>
      </c>
      <c r="P331" s="55">
        <f t="shared" si="171"/>
        <v>0</v>
      </c>
      <c r="Q331" s="55">
        <f t="shared" si="171"/>
        <v>0</v>
      </c>
    </row>
    <row r="332" spans="1:17" x14ac:dyDescent="0.2">
      <c r="A332" s="72">
        <v>154</v>
      </c>
      <c r="B332" s="59">
        <v>322</v>
      </c>
      <c r="C332" s="40">
        <f t="shared" ref="C332:Q332" si="172">C164</f>
        <v>0</v>
      </c>
      <c r="D332" s="40">
        <f t="shared" si="172"/>
        <v>0</v>
      </c>
      <c r="E332" s="40">
        <f t="shared" si="172"/>
        <v>0</v>
      </c>
      <c r="F332" s="40">
        <f t="shared" si="172"/>
        <v>0</v>
      </c>
      <c r="G332" s="40">
        <f t="shared" si="172"/>
        <v>0</v>
      </c>
      <c r="H332" s="40">
        <f t="shared" si="172"/>
        <v>0</v>
      </c>
      <c r="I332" s="104">
        <f t="shared" si="172"/>
        <v>0</v>
      </c>
      <c r="J332" s="104">
        <f t="shared" si="172"/>
        <v>0</v>
      </c>
      <c r="K332" s="104">
        <f t="shared" si="172"/>
        <v>0</v>
      </c>
      <c r="L332" s="104">
        <f t="shared" si="172"/>
        <v>0</v>
      </c>
      <c r="M332" s="104">
        <f t="shared" si="172"/>
        <v>0</v>
      </c>
      <c r="N332" s="104">
        <f t="shared" si="172"/>
        <v>0</v>
      </c>
      <c r="O332" s="55">
        <f t="shared" si="172"/>
        <v>0</v>
      </c>
      <c r="P332" s="55">
        <f t="shared" si="172"/>
        <v>0</v>
      </c>
      <c r="Q332" s="55">
        <f t="shared" si="172"/>
        <v>0</v>
      </c>
    </row>
    <row r="333" spans="1:17" x14ac:dyDescent="0.2">
      <c r="A333" s="72">
        <v>155</v>
      </c>
      <c r="B333" s="59">
        <v>323</v>
      </c>
      <c r="C333" s="40">
        <f t="shared" ref="C333:Q333" si="173">C165</f>
        <v>0</v>
      </c>
      <c r="D333" s="40">
        <f t="shared" si="173"/>
        <v>0</v>
      </c>
      <c r="E333" s="40">
        <f t="shared" si="173"/>
        <v>0</v>
      </c>
      <c r="F333" s="40">
        <f t="shared" si="173"/>
        <v>0</v>
      </c>
      <c r="G333" s="40">
        <f t="shared" si="173"/>
        <v>0</v>
      </c>
      <c r="H333" s="40">
        <f t="shared" si="173"/>
        <v>0</v>
      </c>
      <c r="I333" s="104">
        <f t="shared" si="173"/>
        <v>0</v>
      </c>
      <c r="J333" s="104">
        <f t="shared" si="173"/>
        <v>0</v>
      </c>
      <c r="K333" s="104">
        <f t="shared" si="173"/>
        <v>0</v>
      </c>
      <c r="L333" s="104">
        <f t="shared" si="173"/>
        <v>0</v>
      </c>
      <c r="M333" s="104">
        <f t="shared" si="173"/>
        <v>0</v>
      </c>
      <c r="N333" s="104">
        <f t="shared" si="173"/>
        <v>0</v>
      </c>
      <c r="O333" s="55">
        <f t="shared" si="173"/>
        <v>0</v>
      </c>
      <c r="P333" s="55">
        <f t="shared" si="173"/>
        <v>0</v>
      </c>
      <c r="Q333" s="55">
        <f t="shared" si="173"/>
        <v>0</v>
      </c>
    </row>
    <row r="334" spans="1:17" x14ac:dyDescent="0.2">
      <c r="A334" s="72">
        <v>156</v>
      </c>
      <c r="B334" s="59">
        <v>324</v>
      </c>
      <c r="C334" s="40">
        <f t="shared" ref="C334:Q334" si="174">C166</f>
        <v>0</v>
      </c>
      <c r="D334" s="40">
        <f t="shared" si="174"/>
        <v>0</v>
      </c>
      <c r="E334" s="40">
        <f t="shared" si="174"/>
        <v>0</v>
      </c>
      <c r="F334" s="40">
        <f t="shared" si="174"/>
        <v>0</v>
      </c>
      <c r="G334" s="40">
        <f t="shared" si="174"/>
        <v>0</v>
      </c>
      <c r="H334" s="40">
        <f t="shared" si="174"/>
        <v>0</v>
      </c>
      <c r="I334" s="104">
        <f t="shared" si="174"/>
        <v>0</v>
      </c>
      <c r="J334" s="104">
        <f t="shared" si="174"/>
        <v>0</v>
      </c>
      <c r="K334" s="104">
        <f t="shared" si="174"/>
        <v>0</v>
      </c>
      <c r="L334" s="104">
        <f t="shared" si="174"/>
        <v>0</v>
      </c>
      <c r="M334" s="104">
        <f t="shared" si="174"/>
        <v>0</v>
      </c>
      <c r="N334" s="104">
        <f t="shared" si="174"/>
        <v>0</v>
      </c>
      <c r="O334" s="55">
        <f t="shared" si="174"/>
        <v>0</v>
      </c>
      <c r="P334" s="55">
        <f t="shared" si="174"/>
        <v>0</v>
      </c>
      <c r="Q334" s="55">
        <f t="shared" si="174"/>
        <v>0</v>
      </c>
    </row>
    <row r="335" spans="1:17" x14ac:dyDescent="0.2">
      <c r="A335" s="72">
        <v>157</v>
      </c>
      <c r="B335" s="59">
        <v>325</v>
      </c>
      <c r="C335" s="40">
        <f t="shared" ref="C335:Q335" si="175">C167</f>
        <v>0</v>
      </c>
      <c r="D335" s="40">
        <f t="shared" si="175"/>
        <v>0</v>
      </c>
      <c r="E335" s="40">
        <f t="shared" si="175"/>
        <v>0</v>
      </c>
      <c r="F335" s="40">
        <f t="shared" si="175"/>
        <v>0</v>
      </c>
      <c r="G335" s="40">
        <f t="shared" si="175"/>
        <v>0</v>
      </c>
      <c r="H335" s="40">
        <f t="shared" si="175"/>
        <v>0</v>
      </c>
      <c r="I335" s="104">
        <f t="shared" si="175"/>
        <v>0</v>
      </c>
      <c r="J335" s="104">
        <f t="shared" si="175"/>
        <v>0</v>
      </c>
      <c r="K335" s="104">
        <f t="shared" si="175"/>
        <v>0</v>
      </c>
      <c r="L335" s="104">
        <f t="shared" si="175"/>
        <v>0</v>
      </c>
      <c r="M335" s="104">
        <f t="shared" si="175"/>
        <v>0</v>
      </c>
      <c r="N335" s="104">
        <f t="shared" si="175"/>
        <v>0</v>
      </c>
      <c r="O335" s="55">
        <f t="shared" si="175"/>
        <v>0</v>
      </c>
      <c r="P335" s="55">
        <f t="shared" si="175"/>
        <v>0</v>
      </c>
      <c r="Q335" s="55">
        <f t="shared" si="175"/>
        <v>0</v>
      </c>
    </row>
    <row r="336" spans="1:17" x14ac:dyDescent="0.2">
      <c r="A336" s="72">
        <v>158</v>
      </c>
      <c r="B336" s="59">
        <v>326</v>
      </c>
      <c r="C336" s="40">
        <f t="shared" ref="C336:Q336" si="176">C168</f>
        <v>0</v>
      </c>
      <c r="D336" s="40">
        <f t="shared" si="176"/>
        <v>0</v>
      </c>
      <c r="E336" s="40">
        <f t="shared" si="176"/>
        <v>0</v>
      </c>
      <c r="F336" s="40">
        <f t="shared" si="176"/>
        <v>0</v>
      </c>
      <c r="G336" s="40">
        <f t="shared" si="176"/>
        <v>0</v>
      </c>
      <c r="H336" s="40">
        <f t="shared" si="176"/>
        <v>0</v>
      </c>
      <c r="I336" s="104">
        <f t="shared" si="176"/>
        <v>0</v>
      </c>
      <c r="J336" s="104">
        <f t="shared" si="176"/>
        <v>0</v>
      </c>
      <c r="K336" s="104">
        <f t="shared" si="176"/>
        <v>0</v>
      </c>
      <c r="L336" s="104">
        <f t="shared" si="176"/>
        <v>0</v>
      </c>
      <c r="M336" s="104">
        <f t="shared" si="176"/>
        <v>0</v>
      </c>
      <c r="N336" s="104">
        <f t="shared" si="176"/>
        <v>0</v>
      </c>
      <c r="O336" s="55">
        <f t="shared" si="176"/>
        <v>0</v>
      </c>
      <c r="P336" s="55">
        <f t="shared" si="176"/>
        <v>0</v>
      </c>
      <c r="Q336" s="55">
        <f t="shared" si="176"/>
        <v>0</v>
      </c>
    </row>
    <row r="337" spans="1:26" x14ac:dyDescent="0.2">
      <c r="A337" s="72">
        <v>159</v>
      </c>
      <c r="B337" s="59">
        <v>327</v>
      </c>
      <c r="C337" s="40">
        <f t="shared" ref="C337:Q337" si="177">C169</f>
        <v>0</v>
      </c>
      <c r="D337" s="40">
        <f t="shared" si="177"/>
        <v>0</v>
      </c>
      <c r="E337" s="40">
        <f t="shared" si="177"/>
        <v>0</v>
      </c>
      <c r="F337" s="40">
        <f t="shared" si="177"/>
        <v>0</v>
      </c>
      <c r="G337" s="40">
        <f t="shared" si="177"/>
        <v>0</v>
      </c>
      <c r="H337" s="40">
        <f t="shared" si="177"/>
        <v>0</v>
      </c>
      <c r="I337" s="104">
        <f t="shared" si="177"/>
        <v>0</v>
      </c>
      <c r="J337" s="104">
        <f t="shared" si="177"/>
        <v>0</v>
      </c>
      <c r="K337" s="104">
        <f t="shared" si="177"/>
        <v>0</v>
      </c>
      <c r="L337" s="104">
        <f t="shared" si="177"/>
        <v>0</v>
      </c>
      <c r="M337" s="104">
        <f t="shared" si="177"/>
        <v>0</v>
      </c>
      <c r="N337" s="104">
        <f t="shared" si="177"/>
        <v>0</v>
      </c>
      <c r="O337" s="55">
        <f t="shared" si="177"/>
        <v>0</v>
      </c>
      <c r="P337" s="55">
        <f t="shared" si="177"/>
        <v>0</v>
      </c>
      <c r="Q337" s="55">
        <f t="shared" si="177"/>
        <v>0</v>
      </c>
    </row>
    <row r="338" spans="1:26" x14ac:dyDescent="0.2">
      <c r="A338" s="72">
        <v>160</v>
      </c>
      <c r="B338" s="59">
        <v>328</v>
      </c>
      <c r="C338" s="40">
        <f t="shared" ref="C338:Q338" si="178">C170</f>
        <v>3.4332694957598457</v>
      </c>
      <c r="D338" s="40">
        <f t="shared" si="178"/>
        <v>1.8717327794185254</v>
      </c>
      <c r="E338" s="40">
        <f t="shared" si="178"/>
        <v>0.32981104388639787</v>
      </c>
      <c r="F338" s="40">
        <f t="shared" si="178"/>
        <v>0.74636293386083608</v>
      </c>
      <c r="G338" s="40">
        <f t="shared" si="178"/>
        <v>0.34817321475331586</v>
      </c>
      <c r="H338" s="40">
        <f t="shared" si="178"/>
        <v>5.4355139759513407E-2</v>
      </c>
      <c r="I338" s="104">
        <f t="shared" si="178"/>
        <v>0.36139678902735217</v>
      </c>
      <c r="J338" s="104">
        <f t="shared" si="178"/>
        <v>0.1970245030966869</v>
      </c>
      <c r="K338" s="104">
        <f t="shared" si="178"/>
        <v>3.471695198804188E-2</v>
      </c>
      <c r="L338" s="104">
        <f t="shared" si="178"/>
        <v>0.48220077187638283</v>
      </c>
      <c r="M338" s="104">
        <f t="shared" si="178"/>
        <v>0.26288381733406258</v>
      </c>
      <c r="N338" s="104">
        <f t="shared" si="178"/>
        <v>4.6321775826741275E-2</v>
      </c>
      <c r="O338" s="55">
        <f t="shared" si="178"/>
        <v>0.38224352251574223</v>
      </c>
      <c r="P338" s="55">
        <f t="shared" si="178"/>
        <v>0.21957685264482196</v>
      </c>
      <c r="Q338" s="55">
        <f t="shared" si="178"/>
        <v>4.6321775826741275E-2</v>
      </c>
    </row>
    <row r="339" spans="1:26" x14ac:dyDescent="0.2">
      <c r="A339" s="72">
        <v>161</v>
      </c>
      <c r="B339" s="59">
        <v>329</v>
      </c>
      <c r="C339" s="40">
        <f t="shared" ref="C339:Q339" si="179">C171</f>
        <v>3.4332694957598457</v>
      </c>
      <c r="D339" s="40">
        <f t="shared" si="179"/>
        <v>1.8717327794185254</v>
      </c>
      <c r="E339" s="40">
        <f t="shared" si="179"/>
        <v>0.32981104388639787</v>
      </c>
      <c r="F339" s="40">
        <f t="shared" si="179"/>
        <v>0.74636293386083608</v>
      </c>
      <c r="G339" s="40">
        <f t="shared" si="179"/>
        <v>0.34817321475331586</v>
      </c>
      <c r="H339" s="40">
        <f t="shared" si="179"/>
        <v>5.4355139759513407E-2</v>
      </c>
      <c r="I339" s="104">
        <f t="shared" si="179"/>
        <v>0.36139678902735217</v>
      </c>
      <c r="J339" s="104">
        <f t="shared" si="179"/>
        <v>0.1970245030966869</v>
      </c>
      <c r="K339" s="104">
        <f t="shared" si="179"/>
        <v>3.471695198804188E-2</v>
      </c>
      <c r="L339" s="104">
        <f t="shared" si="179"/>
        <v>0.48220077187638283</v>
      </c>
      <c r="M339" s="104">
        <f t="shared" si="179"/>
        <v>0.26288381733406258</v>
      </c>
      <c r="N339" s="104">
        <f t="shared" si="179"/>
        <v>4.6321775826741275E-2</v>
      </c>
      <c r="O339" s="55">
        <f t="shared" si="179"/>
        <v>0.38224352251574223</v>
      </c>
      <c r="P339" s="55">
        <f t="shared" si="179"/>
        <v>0.21957685264482196</v>
      </c>
      <c r="Q339" s="55">
        <f t="shared" si="179"/>
        <v>4.6321775826741275E-2</v>
      </c>
    </row>
    <row r="340" spans="1:26" x14ac:dyDescent="0.2">
      <c r="A340" s="72">
        <v>162</v>
      </c>
      <c r="B340" s="59">
        <v>330</v>
      </c>
      <c r="C340" s="40">
        <f t="shared" ref="C340:Q340" si="180">C172</f>
        <v>3.4332694957598457</v>
      </c>
      <c r="D340" s="40">
        <f t="shared" si="180"/>
        <v>1.8717327794185254</v>
      </c>
      <c r="E340" s="40">
        <f t="shared" si="180"/>
        <v>0.32981104388639787</v>
      </c>
      <c r="F340" s="40">
        <f t="shared" si="180"/>
        <v>0.74636293386083608</v>
      </c>
      <c r="G340" s="40">
        <f t="shared" si="180"/>
        <v>0.34817321475331586</v>
      </c>
      <c r="H340" s="40">
        <f t="shared" si="180"/>
        <v>5.4355139759513407E-2</v>
      </c>
      <c r="I340" s="104">
        <f t="shared" si="180"/>
        <v>0.36139678902735217</v>
      </c>
      <c r="J340" s="104">
        <f t="shared" si="180"/>
        <v>0.1970245030966869</v>
      </c>
      <c r="K340" s="104">
        <f t="shared" si="180"/>
        <v>3.471695198804188E-2</v>
      </c>
      <c r="L340" s="104">
        <f t="shared" si="180"/>
        <v>0.48220077187638283</v>
      </c>
      <c r="M340" s="104">
        <f t="shared" si="180"/>
        <v>0.26288381733406258</v>
      </c>
      <c r="N340" s="104">
        <f t="shared" si="180"/>
        <v>4.6321775826741275E-2</v>
      </c>
      <c r="O340" s="55">
        <f t="shared" si="180"/>
        <v>0.38224352251574223</v>
      </c>
      <c r="P340" s="55">
        <f t="shared" si="180"/>
        <v>0.21957685264482196</v>
      </c>
      <c r="Q340" s="55">
        <f t="shared" si="180"/>
        <v>4.6321775826741275E-2</v>
      </c>
    </row>
    <row r="341" spans="1:26" x14ac:dyDescent="0.2">
      <c r="A341" s="72">
        <v>163</v>
      </c>
      <c r="B341" s="59">
        <v>331</v>
      </c>
      <c r="C341" s="40">
        <f t="shared" ref="C341:Q341" si="181">C173</f>
        <v>3.4332694957598457</v>
      </c>
      <c r="D341" s="40">
        <f t="shared" si="181"/>
        <v>1.8717327794185254</v>
      </c>
      <c r="E341" s="40">
        <f t="shared" si="181"/>
        <v>0.32981104388639787</v>
      </c>
      <c r="F341" s="40">
        <f t="shared" si="181"/>
        <v>0.74636293386083608</v>
      </c>
      <c r="G341" s="40">
        <f t="shared" si="181"/>
        <v>0.34817321475331586</v>
      </c>
      <c r="H341" s="40">
        <f t="shared" si="181"/>
        <v>5.4355139759513407E-2</v>
      </c>
      <c r="I341" s="104">
        <f t="shared" si="181"/>
        <v>0.36139678902735217</v>
      </c>
      <c r="J341" s="104">
        <f t="shared" si="181"/>
        <v>0.1970245030966869</v>
      </c>
      <c r="K341" s="104">
        <f t="shared" si="181"/>
        <v>3.471695198804188E-2</v>
      </c>
      <c r="L341" s="104">
        <f t="shared" si="181"/>
        <v>0.48220077187638283</v>
      </c>
      <c r="M341" s="104">
        <f t="shared" si="181"/>
        <v>0.26288381733406258</v>
      </c>
      <c r="N341" s="104">
        <f t="shared" si="181"/>
        <v>4.6321775826741275E-2</v>
      </c>
      <c r="O341" s="55">
        <f t="shared" si="181"/>
        <v>0.38224352251574223</v>
      </c>
      <c r="P341" s="55">
        <f t="shared" si="181"/>
        <v>0.21957685264482196</v>
      </c>
      <c r="Q341" s="55">
        <f t="shared" si="181"/>
        <v>4.6321775826741275E-2</v>
      </c>
    </row>
    <row r="342" spans="1:26" x14ac:dyDescent="0.2">
      <c r="A342" s="72">
        <v>164</v>
      </c>
      <c r="B342" s="59">
        <v>332</v>
      </c>
      <c r="C342" s="40">
        <f t="shared" ref="C342:Q342" si="182">C174</f>
        <v>3.4332694957598457</v>
      </c>
      <c r="D342" s="40">
        <f t="shared" si="182"/>
        <v>1.8717327794185254</v>
      </c>
      <c r="E342" s="40">
        <f t="shared" si="182"/>
        <v>0.32981104388639787</v>
      </c>
      <c r="F342" s="40">
        <f t="shared" si="182"/>
        <v>0.74636293386083608</v>
      </c>
      <c r="G342" s="40">
        <f t="shared" si="182"/>
        <v>0.34817321475331586</v>
      </c>
      <c r="H342" s="40">
        <f t="shared" si="182"/>
        <v>5.4355139759513407E-2</v>
      </c>
      <c r="I342" s="104">
        <f t="shared" si="182"/>
        <v>0.36139678902735217</v>
      </c>
      <c r="J342" s="104">
        <f t="shared" si="182"/>
        <v>0.1970245030966869</v>
      </c>
      <c r="K342" s="104">
        <f t="shared" si="182"/>
        <v>3.471695198804188E-2</v>
      </c>
      <c r="L342" s="104">
        <f t="shared" si="182"/>
        <v>0.48220077187638283</v>
      </c>
      <c r="M342" s="104">
        <f t="shared" si="182"/>
        <v>0.26288381733406258</v>
      </c>
      <c r="N342" s="104">
        <f t="shared" si="182"/>
        <v>4.6321775826741275E-2</v>
      </c>
      <c r="O342" s="55">
        <f t="shared" si="182"/>
        <v>0.38224352251574223</v>
      </c>
      <c r="P342" s="55">
        <f t="shared" si="182"/>
        <v>0.21957685264482196</v>
      </c>
      <c r="Q342" s="55">
        <f t="shared" si="182"/>
        <v>4.6321775826741275E-2</v>
      </c>
    </row>
    <row r="343" spans="1:26" x14ac:dyDescent="0.2">
      <c r="A343" s="72">
        <v>165</v>
      </c>
      <c r="B343" s="59">
        <v>333</v>
      </c>
      <c r="C343" s="40">
        <f t="shared" ref="C343:Q343" si="183">C175</f>
        <v>3.4332694957598457</v>
      </c>
      <c r="D343" s="40">
        <f t="shared" si="183"/>
        <v>1.8717327794185254</v>
      </c>
      <c r="E343" s="40">
        <f t="shared" si="183"/>
        <v>0.32981104388639787</v>
      </c>
      <c r="F343" s="40">
        <f t="shared" si="183"/>
        <v>0.74636293386083608</v>
      </c>
      <c r="G343" s="40">
        <f t="shared" si="183"/>
        <v>0.34817321475331586</v>
      </c>
      <c r="H343" s="40">
        <f t="shared" si="183"/>
        <v>5.4355139759513407E-2</v>
      </c>
      <c r="I343" s="104">
        <f t="shared" si="183"/>
        <v>0.36139678902735217</v>
      </c>
      <c r="J343" s="104">
        <f t="shared" si="183"/>
        <v>0.1970245030966869</v>
      </c>
      <c r="K343" s="104">
        <f t="shared" si="183"/>
        <v>3.471695198804188E-2</v>
      </c>
      <c r="L343" s="104">
        <f t="shared" si="183"/>
        <v>0.48220077187638283</v>
      </c>
      <c r="M343" s="104">
        <f t="shared" si="183"/>
        <v>0.26288381733406258</v>
      </c>
      <c r="N343" s="104">
        <f t="shared" si="183"/>
        <v>4.6321775826741275E-2</v>
      </c>
      <c r="O343" s="55">
        <f t="shared" si="183"/>
        <v>0.38224352251574223</v>
      </c>
      <c r="P343" s="55">
        <f t="shared" si="183"/>
        <v>0.21957685264482196</v>
      </c>
      <c r="Q343" s="55">
        <f t="shared" si="183"/>
        <v>4.6321775826741275E-2</v>
      </c>
    </row>
    <row r="344" spans="1:26" x14ac:dyDescent="0.2">
      <c r="A344" s="72">
        <v>166</v>
      </c>
      <c r="B344" s="59">
        <v>334</v>
      </c>
      <c r="C344" s="40">
        <f t="shared" ref="C344:Q344" si="184">C176</f>
        <v>3.4332694957598457</v>
      </c>
      <c r="D344" s="40">
        <f t="shared" si="184"/>
        <v>1.8717327794185254</v>
      </c>
      <c r="E344" s="40">
        <f t="shared" si="184"/>
        <v>0.32981104388639787</v>
      </c>
      <c r="F344" s="40">
        <f t="shared" si="184"/>
        <v>0.74636293386083608</v>
      </c>
      <c r="G344" s="40">
        <f t="shared" si="184"/>
        <v>0.34817321475331586</v>
      </c>
      <c r="H344" s="40">
        <f t="shared" si="184"/>
        <v>5.4355139759513407E-2</v>
      </c>
      <c r="I344" s="104">
        <f t="shared" si="184"/>
        <v>0.36139678902735217</v>
      </c>
      <c r="J344" s="104">
        <f t="shared" si="184"/>
        <v>0.1970245030966869</v>
      </c>
      <c r="K344" s="104">
        <f t="shared" si="184"/>
        <v>3.471695198804188E-2</v>
      </c>
      <c r="L344" s="104">
        <f t="shared" si="184"/>
        <v>0.48220077187638283</v>
      </c>
      <c r="M344" s="104">
        <f t="shared" si="184"/>
        <v>0.26288381733406258</v>
      </c>
      <c r="N344" s="104">
        <f t="shared" si="184"/>
        <v>4.6321775826741275E-2</v>
      </c>
      <c r="O344" s="55">
        <f t="shared" si="184"/>
        <v>0.38224352251574223</v>
      </c>
      <c r="P344" s="55">
        <f t="shared" si="184"/>
        <v>0.21957685264482196</v>
      </c>
      <c r="Q344" s="55">
        <f t="shared" si="184"/>
        <v>4.6321775826741275E-2</v>
      </c>
    </row>
    <row r="345" spans="1:26" x14ac:dyDescent="0.2">
      <c r="A345" s="72">
        <v>167</v>
      </c>
      <c r="B345" s="59">
        <v>335</v>
      </c>
      <c r="C345" s="40">
        <f t="shared" ref="C345:F346" si="185">C177</f>
        <v>0</v>
      </c>
      <c r="D345" s="40">
        <f t="shared" si="185"/>
        <v>0</v>
      </c>
      <c r="E345" s="40">
        <f t="shared" si="185"/>
        <v>0</v>
      </c>
      <c r="F345" s="40">
        <f t="shared" si="185"/>
        <v>0</v>
      </c>
      <c r="G345" s="40">
        <f t="shared" ref="G345:Q346" si="186">G177</f>
        <v>0</v>
      </c>
      <c r="H345" s="40">
        <f t="shared" si="186"/>
        <v>0</v>
      </c>
      <c r="I345" s="104">
        <f t="shared" si="186"/>
        <v>0</v>
      </c>
      <c r="J345" s="104">
        <f t="shared" si="186"/>
        <v>0</v>
      </c>
      <c r="K345" s="104">
        <f t="shared" si="186"/>
        <v>0</v>
      </c>
      <c r="L345" s="104">
        <f t="shared" si="186"/>
        <v>0</v>
      </c>
      <c r="M345" s="104">
        <f t="shared" si="186"/>
        <v>0</v>
      </c>
      <c r="N345" s="104">
        <f t="shared" si="186"/>
        <v>0</v>
      </c>
      <c r="O345" s="55">
        <f t="shared" si="186"/>
        <v>0</v>
      </c>
      <c r="P345" s="55">
        <f t="shared" si="186"/>
        <v>0</v>
      </c>
      <c r="Q345" s="55">
        <f t="shared" si="186"/>
        <v>0</v>
      </c>
    </row>
    <row r="346" spans="1:26" s="68" customFormat="1" x14ac:dyDescent="0.2">
      <c r="A346" s="114">
        <v>168</v>
      </c>
      <c r="B346" s="70">
        <v>336</v>
      </c>
      <c r="C346" s="100">
        <f>C178</f>
        <v>0</v>
      </c>
      <c r="D346" s="100">
        <f t="shared" si="185"/>
        <v>0</v>
      </c>
      <c r="E346" s="100">
        <f t="shared" si="185"/>
        <v>0</v>
      </c>
      <c r="F346" s="100">
        <f t="shared" si="185"/>
        <v>0</v>
      </c>
      <c r="G346" s="100">
        <f t="shared" si="186"/>
        <v>0</v>
      </c>
      <c r="H346" s="100">
        <f t="shared" si="186"/>
        <v>0</v>
      </c>
      <c r="I346" s="129">
        <f t="shared" si="186"/>
        <v>0</v>
      </c>
      <c r="J346" s="129">
        <f t="shared" si="186"/>
        <v>0</v>
      </c>
      <c r="K346" s="129">
        <f t="shared" si="186"/>
        <v>0</v>
      </c>
      <c r="L346" s="104">
        <f t="shared" si="186"/>
        <v>0</v>
      </c>
      <c r="M346" s="104">
        <f t="shared" si="186"/>
        <v>0</v>
      </c>
      <c r="N346" s="104">
        <f t="shared" si="186"/>
        <v>0</v>
      </c>
      <c r="O346" s="55">
        <f t="shared" si="186"/>
        <v>0</v>
      </c>
      <c r="P346" s="55">
        <f t="shared" si="186"/>
        <v>0</v>
      </c>
      <c r="Q346" s="55">
        <f t="shared" si="186"/>
        <v>0</v>
      </c>
      <c r="Z346" s="152"/>
    </row>
    <row r="347" spans="1:26" x14ac:dyDescent="0.2">
      <c r="A347" s="72">
        <v>1</v>
      </c>
      <c r="B347" s="59">
        <v>337</v>
      </c>
      <c r="C347" s="40">
        <f>C11</f>
        <v>0</v>
      </c>
      <c r="D347" s="40">
        <f>D11</f>
        <v>0</v>
      </c>
      <c r="E347" s="40">
        <f>E11</f>
        <v>0</v>
      </c>
      <c r="F347" s="40">
        <f>F11</f>
        <v>0</v>
      </c>
      <c r="G347" s="40">
        <f t="shared" ref="G347:Q362" si="187">G11</f>
        <v>0</v>
      </c>
      <c r="H347" s="40">
        <f t="shared" si="187"/>
        <v>0</v>
      </c>
      <c r="I347" s="104">
        <f>I11</f>
        <v>0</v>
      </c>
      <c r="J347" s="104">
        <f>J11</f>
        <v>0</v>
      </c>
      <c r="K347" s="104">
        <f>K11</f>
        <v>0</v>
      </c>
      <c r="L347" s="104">
        <f t="shared" ref="L347:N347" si="188">L11</f>
        <v>0</v>
      </c>
      <c r="M347" s="104">
        <f t="shared" si="188"/>
        <v>0</v>
      </c>
      <c r="N347" s="104">
        <f t="shared" si="188"/>
        <v>0</v>
      </c>
      <c r="O347" s="55">
        <f>O11</f>
        <v>0</v>
      </c>
      <c r="P347" s="55">
        <f t="shared" ref="P347:Q347" si="189">P11</f>
        <v>0</v>
      </c>
      <c r="Q347" s="55">
        <f t="shared" si="189"/>
        <v>0</v>
      </c>
    </row>
    <row r="348" spans="1:26" x14ac:dyDescent="0.2">
      <c r="A348" s="72">
        <v>2</v>
      </c>
      <c r="B348" s="59">
        <v>338</v>
      </c>
      <c r="C348" s="40">
        <f t="shared" ref="C348:F411" si="190">C12</f>
        <v>0</v>
      </c>
      <c r="D348" s="40">
        <f t="shared" si="190"/>
        <v>0</v>
      </c>
      <c r="E348" s="40">
        <f t="shared" si="190"/>
        <v>0</v>
      </c>
      <c r="F348" s="40">
        <f t="shared" si="190"/>
        <v>0</v>
      </c>
      <c r="G348" s="40">
        <f t="shared" si="187"/>
        <v>0</v>
      </c>
      <c r="H348" s="40">
        <f t="shared" si="187"/>
        <v>0</v>
      </c>
      <c r="I348" s="104">
        <f t="shared" si="187"/>
        <v>0</v>
      </c>
      <c r="J348" s="104">
        <f t="shared" si="187"/>
        <v>0</v>
      </c>
      <c r="K348" s="104">
        <f t="shared" si="187"/>
        <v>0</v>
      </c>
      <c r="L348" s="104">
        <f t="shared" si="187"/>
        <v>0</v>
      </c>
      <c r="M348" s="104">
        <f t="shared" si="187"/>
        <v>0</v>
      </c>
      <c r="N348" s="104">
        <f t="shared" si="187"/>
        <v>0</v>
      </c>
      <c r="O348" s="55">
        <f t="shared" si="187"/>
        <v>0</v>
      </c>
      <c r="P348" s="55">
        <f t="shared" si="187"/>
        <v>0</v>
      </c>
      <c r="Q348" s="55">
        <f t="shared" si="187"/>
        <v>0</v>
      </c>
    </row>
    <row r="349" spans="1:26" x14ac:dyDescent="0.2">
      <c r="A349" s="72">
        <v>3</v>
      </c>
      <c r="B349" s="59">
        <v>339</v>
      </c>
      <c r="C349" s="40">
        <f t="shared" si="190"/>
        <v>0</v>
      </c>
      <c r="D349" s="40">
        <f t="shared" si="190"/>
        <v>0</v>
      </c>
      <c r="E349" s="40">
        <f t="shared" si="190"/>
        <v>0</v>
      </c>
      <c r="F349" s="40">
        <f t="shared" si="190"/>
        <v>0</v>
      </c>
      <c r="G349" s="40">
        <f t="shared" si="187"/>
        <v>0</v>
      </c>
      <c r="H349" s="40">
        <f t="shared" si="187"/>
        <v>0</v>
      </c>
      <c r="I349" s="104">
        <f t="shared" si="187"/>
        <v>0</v>
      </c>
      <c r="J349" s="104">
        <f t="shared" si="187"/>
        <v>0</v>
      </c>
      <c r="K349" s="104">
        <f t="shared" si="187"/>
        <v>0</v>
      </c>
      <c r="L349" s="104">
        <f t="shared" si="187"/>
        <v>0</v>
      </c>
      <c r="M349" s="104">
        <f t="shared" si="187"/>
        <v>0</v>
      </c>
      <c r="N349" s="104">
        <f t="shared" si="187"/>
        <v>0</v>
      </c>
      <c r="O349" s="55">
        <f t="shared" si="187"/>
        <v>0</v>
      </c>
      <c r="P349" s="55">
        <f t="shared" si="187"/>
        <v>0</v>
      </c>
      <c r="Q349" s="55">
        <f t="shared" si="187"/>
        <v>0</v>
      </c>
    </row>
    <row r="350" spans="1:26" x14ac:dyDescent="0.2">
      <c r="A350" s="72">
        <v>4</v>
      </c>
      <c r="B350" s="59">
        <v>340</v>
      </c>
      <c r="C350" s="40">
        <f t="shared" si="190"/>
        <v>0</v>
      </c>
      <c r="D350" s="40">
        <f t="shared" si="190"/>
        <v>0</v>
      </c>
      <c r="E350" s="40">
        <f t="shared" si="190"/>
        <v>0</v>
      </c>
      <c r="F350" s="40">
        <f t="shared" si="190"/>
        <v>0</v>
      </c>
      <c r="G350" s="40">
        <f t="shared" si="187"/>
        <v>0</v>
      </c>
      <c r="H350" s="40">
        <f t="shared" si="187"/>
        <v>0</v>
      </c>
      <c r="I350" s="104">
        <f t="shared" si="187"/>
        <v>0</v>
      </c>
      <c r="J350" s="104">
        <f t="shared" si="187"/>
        <v>0</v>
      </c>
      <c r="K350" s="104">
        <f t="shared" si="187"/>
        <v>0</v>
      </c>
      <c r="L350" s="104">
        <f t="shared" si="187"/>
        <v>0</v>
      </c>
      <c r="M350" s="104">
        <f t="shared" si="187"/>
        <v>0</v>
      </c>
      <c r="N350" s="104">
        <f t="shared" si="187"/>
        <v>0</v>
      </c>
      <c r="O350" s="55">
        <f t="shared" si="187"/>
        <v>0</v>
      </c>
      <c r="P350" s="55">
        <f t="shared" si="187"/>
        <v>0</v>
      </c>
      <c r="Q350" s="55">
        <f t="shared" si="187"/>
        <v>0</v>
      </c>
    </row>
    <row r="351" spans="1:26" x14ac:dyDescent="0.2">
      <c r="A351" s="72">
        <v>5</v>
      </c>
      <c r="B351" s="59">
        <v>341</v>
      </c>
      <c r="C351" s="40">
        <f t="shared" si="190"/>
        <v>0</v>
      </c>
      <c r="D351" s="40">
        <f t="shared" si="190"/>
        <v>0</v>
      </c>
      <c r="E351" s="40">
        <f t="shared" si="190"/>
        <v>0</v>
      </c>
      <c r="F351" s="40">
        <f t="shared" si="190"/>
        <v>0</v>
      </c>
      <c r="G351" s="40">
        <f t="shared" si="187"/>
        <v>0</v>
      </c>
      <c r="H351" s="40">
        <f t="shared" si="187"/>
        <v>0</v>
      </c>
      <c r="I351" s="104">
        <f t="shared" si="187"/>
        <v>0</v>
      </c>
      <c r="J351" s="104">
        <f t="shared" si="187"/>
        <v>0</v>
      </c>
      <c r="K351" s="104">
        <f t="shared" si="187"/>
        <v>0</v>
      </c>
      <c r="L351" s="104">
        <f t="shared" si="187"/>
        <v>0</v>
      </c>
      <c r="M351" s="104">
        <f t="shared" si="187"/>
        <v>0</v>
      </c>
      <c r="N351" s="104">
        <f t="shared" si="187"/>
        <v>0</v>
      </c>
      <c r="O351" s="55">
        <f t="shared" si="187"/>
        <v>0</v>
      </c>
      <c r="P351" s="55">
        <f t="shared" si="187"/>
        <v>0</v>
      </c>
      <c r="Q351" s="55">
        <f t="shared" si="187"/>
        <v>0</v>
      </c>
    </row>
    <row r="352" spans="1:26" x14ac:dyDescent="0.2">
      <c r="A352" s="72">
        <v>6</v>
      </c>
      <c r="B352" s="59">
        <v>342</v>
      </c>
      <c r="C352" s="40">
        <f t="shared" si="190"/>
        <v>0</v>
      </c>
      <c r="D352" s="40">
        <f t="shared" si="190"/>
        <v>0</v>
      </c>
      <c r="E352" s="40">
        <f t="shared" si="190"/>
        <v>0</v>
      </c>
      <c r="F352" s="40">
        <f t="shared" si="190"/>
        <v>0</v>
      </c>
      <c r="G352" s="40">
        <f t="shared" si="187"/>
        <v>0</v>
      </c>
      <c r="H352" s="40">
        <f t="shared" si="187"/>
        <v>0</v>
      </c>
      <c r="I352" s="104">
        <f t="shared" si="187"/>
        <v>0</v>
      </c>
      <c r="J352" s="104">
        <f t="shared" si="187"/>
        <v>0</v>
      </c>
      <c r="K352" s="104">
        <f t="shared" si="187"/>
        <v>0</v>
      </c>
      <c r="L352" s="104">
        <f t="shared" si="187"/>
        <v>0</v>
      </c>
      <c r="M352" s="104">
        <f t="shared" si="187"/>
        <v>0</v>
      </c>
      <c r="N352" s="104">
        <f t="shared" si="187"/>
        <v>0</v>
      </c>
      <c r="O352" s="55">
        <f t="shared" si="187"/>
        <v>0</v>
      </c>
      <c r="P352" s="55">
        <f t="shared" si="187"/>
        <v>0</v>
      </c>
      <c r="Q352" s="55">
        <f t="shared" si="187"/>
        <v>0</v>
      </c>
    </row>
    <row r="353" spans="1:17" x14ac:dyDescent="0.2">
      <c r="A353" s="72">
        <v>7</v>
      </c>
      <c r="B353" s="59">
        <v>343</v>
      </c>
      <c r="C353" s="40">
        <f t="shared" si="190"/>
        <v>3.4332694957598457</v>
      </c>
      <c r="D353" s="40">
        <f t="shared" si="190"/>
        <v>1.8717327794185254</v>
      </c>
      <c r="E353" s="40">
        <f t="shared" si="190"/>
        <v>0.32981104388639787</v>
      </c>
      <c r="F353" s="40">
        <f t="shared" si="190"/>
        <v>0.74636293386083608</v>
      </c>
      <c r="G353" s="40">
        <f t="shared" si="187"/>
        <v>0.34817321475331586</v>
      </c>
      <c r="H353" s="40">
        <f t="shared" si="187"/>
        <v>5.4355139759513407E-2</v>
      </c>
      <c r="I353" s="104">
        <f t="shared" si="187"/>
        <v>0.36139678902735217</v>
      </c>
      <c r="J353" s="104">
        <f t="shared" si="187"/>
        <v>0.1970245030966869</v>
      </c>
      <c r="K353" s="104">
        <f t="shared" si="187"/>
        <v>3.471695198804188E-2</v>
      </c>
      <c r="L353" s="104">
        <f t="shared" si="187"/>
        <v>0.48220077187638283</v>
      </c>
      <c r="M353" s="104">
        <f t="shared" si="187"/>
        <v>0.26288381733406258</v>
      </c>
      <c r="N353" s="104">
        <f t="shared" si="187"/>
        <v>4.6321775826741275E-2</v>
      </c>
      <c r="O353" s="55">
        <f t="shared" si="187"/>
        <v>0.38224352251574223</v>
      </c>
      <c r="P353" s="55">
        <f t="shared" si="187"/>
        <v>0.21957685264482196</v>
      </c>
      <c r="Q353" s="55">
        <f t="shared" si="187"/>
        <v>4.6321775826741275E-2</v>
      </c>
    </row>
    <row r="354" spans="1:17" x14ac:dyDescent="0.2">
      <c r="A354" s="72">
        <v>8</v>
      </c>
      <c r="B354" s="59">
        <v>344</v>
      </c>
      <c r="C354" s="40">
        <f t="shared" si="190"/>
        <v>3.4332694957598457</v>
      </c>
      <c r="D354" s="40">
        <f t="shared" si="190"/>
        <v>1.8717327794185254</v>
      </c>
      <c r="E354" s="40">
        <f t="shared" si="190"/>
        <v>0.32981104388639787</v>
      </c>
      <c r="F354" s="40">
        <f t="shared" si="190"/>
        <v>0.74636293386083608</v>
      </c>
      <c r="G354" s="40">
        <f t="shared" si="187"/>
        <v>0.34817321475331586</v>
      </c>
      <c r="H354" s="40">
        <f t="shared" si="187"/>
        <v>5.4355139759513407E-2</v>
      </c>
      <c r="I354" s="104">
        <f t="shared" si="187"/>
        <v>0.36139678902735217</v>
      </c>
      <c r="J354" s="104">
        <f t="shared" si="187"/>
        <v>0.1970245030966869</v>
      </c>
      <c r="K354" s="104">
        <f t="shared" si="187"/>
        <v>3.471695198804188E-2</v>
      </c>
      <c r="L354" s="104">
        <f t="shared" si="187"/>
        <v>0.48220077187638283</v>
      </c>
      <c r="M354" s="104">
        <f t="shared" si="187"/>
        <v>0.26288381733406258</v>
      </c>
      <c r="N354" s="104">
        <f t="shared" si="187"/>
        <v>4.6321775826741275E-2</v>
      </c>
      <c r="O354" s="55">
        <f t="shared" si="187"/>
        <v>0.38224352251574223</v>
      </c>
      <c r="P354" s="55">
        <f t="shared" si="187"/>
        <v>0.21957685264482196</v>
      </c>
      <c r="Q354" s="55">
        <f t="shared" si="187"/>
        <v>4.6321775826741275E-2</v>
      </c>
    </row>
    <row r="355" spans="1:17" x14ac:dyDescent="0.2">
      <c r="A355" s="72">
        <v>9</v>
      </c>
      <c r="B355" s="59">
        <v>345</v>
      </c>
      <c r="C355" s="40">
        <f t="shared" si="190"/>
        <v>0</v>
      </c>
      <c r="D355" s="40">
        <f t="shared" si="190"/>
        <v>0</v>
      </c>
      <c r="E355" s="40">
        <f t="shared" si="190"/>
        <v>0</v>
      </c>
      <c r="F355" s="40">
        <f t="shared" si="190"/>
        <v>0</v>
      </c>
      <c r="G355" s="40">
        <f t="shared" si="187"/>
        <v>0</v>
      </c>
      <c r="H355" s="40">
        <f t="shared" si="187"/>
        <v>0</v>
      </c>
      <c r="I355" s="104">
        <f t="shared" si="187"/>
        <v>0</v>
      </c>
      <c r="J355" s="104">
        <f t="shared" si="187"/>
        <v>0</v>
      </c>
      <c r="K355" s="104">
        <f t="shared" si="187"/>
        <v>0</v>
      </c>
      <c r="L355" s="104">
        <f t="shared" si="187"/>
        <v>0</v>
      </c>
      <c r="M355" s="104">
        <f t="shared" si="187"/>
        <v>0</v>
      </c>
      <c r="N355" s="104">
        <f t="shared" si="187"/>
        <v>0</v>
      </c>
      <c r="O355" s="55">
        <f t="shared" si="187"/>
        <v>0</v>
      </c>
      <c r="P355" s="55">
        <f t="shared" si="187"/>
        <v>0</v>
      </c>
      <c r="Q355" s="55">
        <f t="shared" si="187"/>
        <v>0</v>
      </c>
    </row>
    <row r="356" spans="1:17" x14ac:dyDescent="0.2">
      <c r="A356" s="72">
        <v>10</v>
      </c>
      <c r="B356" s="59">
        <v>346</v>
      </c>
      <c r="C356" s="40">
        <f t="shared" si="190"/>
        <v>0</v>
      </c>
      <c r="D356" s="40">
        <f t="shared" si="190"/>
        <v>0</v>
      </c>
      <c r="E356" s="40">
        <f t="shared" si="190"/>
        <v>0</v>
      </c>
      <c r="F356" s="40">
        <f t="shared" si="190"/>
        <v>0</v>
      </c>
      <c r="G356" s="40">
        <f t="shared" si="187"/>
        <v>0</v>
      </c>
      <c r="H356" s="40">
        <f t="shared" si="187"/>
        <v>0</v>
      </c>
      <c r="I356" s="104">
        <f t="shared" si="187"/>
        <v>0</v>
      </c>
      <c r="J356" s="104">
        <f t="shared" si="187"/>
        <v>0</v>
      </c>
      <c r="K356" s="104">
        <f t="shared" si="187"/>
        <v>0</v>
      </c>
      <c r="L356" s="104">
        <f t="shared" si="187"/>
        <v>0</v>
      </c>
      <c r="M356" s="104">
        <f t="shared" si="187"/>
        <v>0</v>
      </c>
      <c r="N356" s="104">
        <f t="shared" si="187"/>
        <v>0</v>
      </c>
      <c r="O356" s="55">
        <f t="shared" si="187"/>
        <v>0</v>
      </c>
      <c r="P356" s="55">
        <f t="shared" si="187"/>
        <v>0</v>
      </c>
      <c r="Q356" s="55">
        <f t="shared" si="187"/>
        <v>0</v>
      </c>
    </row>
    <row r="357" spans="1:17" x14ac:dyDescent="0.2">
      <c r="A357" s="72">
        <v>11</v>
      </c>
      <c r="B357" s="59">
        <v>347</v>
      </c>
      <c r="C357" s="40">
        <f t="shared" si="190"/>
        <v>0</v>
      </c>
      <c r="D357" s="40">
        <f t="shared" si="190"/>
        <v>0</v>
      </c>
      <c r="E357" s="40">
        <f t="shared" si="190"/>
        <v>0</v>
      </c>
      <c r="F357" s="40">
        <f t="shared" si="190"/>
        <v>0</v>
      </c>
      <c r="G357" s="40">
        <f t="shared" si="187"/>
        <v>0</v>
      </c>
      <c r="H357" s="40">
        <f t="shared" si="187"/>
        <v>0</v>
      </c>
      <c r="I357" s="104">
        <f t="shared" si="187"/>
        <v>0</v>
      </c>
      <c r="J357" s="104">
        <f t="shared" si="187"/>
        <v>0</v>
      </c>
      <c r="K357" s="104">
        <f t="shared" si="187"/>
        <v>0</v>
      </c>
      <c r="L357" s="104">
        <f t="shared" si="187"/>
        <v>0</v>
      </c>
      <c r="M357" s="104">
        <f t="shared" si="187"/>
        <v>0</v>
      </c>
      <c r="N357" s="104">
        <f t="shared" si="187"/>
        <v>0</v>
      </c>
      <c r="O357" s="55">
        <f t="shared" si="187"/>
        <v>0</v>
      </c>
      <c r="P357" s="55">
        <f t="shared" si="187"/>
        <v>0</v>
      </c>
      <c r="Q357" s="55">
        <f t="shared" si="187"/>
        <v>0</v>
      </c>
    </row>
    <row r="358" spans="1:17" x14ac:dyDescent="0.2">
      <c r="A358" s="72">
        <v>12</v>
      </c>
      <c r="B358" s="59">
        <v>348</v>
      </c>
      <c r="C358" s="40">
        <f t="shared" si="190"/>
        <v>0</v>
      </c>
      <c r="D358" s="40">
        <f t="shared" si="190"/>
        <v>0</v>
      </c>
      <c r="E358" s="40">
        <f t="shared" si="190"/>
        <v>0</v>
      </c>
      <c r="F358" s="40">
        <f t="shared" si="190"/>
        <v>0</v>
      </c>
      <c r="G358" s="40">
        <f t="shared" si="187"/>
        <v>0</v>
      </c>
      <c r="H358" s="40">
        <f t="shared" si="187"/>
        <v>0</v>
      </c>
      <c r="I358" s="104">
        <f t="shared" si="187"/>
        <v>0</v>
      </c>
      <c r="J358" s="104">
        <f t="shared" si="187"/>
        <v>0</v>
      </c>
      <c r="K358" s="104">
        <f t="shared" si="187"/>
        <v>0</v>
      </c>
      <c r="L358" s="104">
        <f t="shared" si="187"/>
        <v>0</v>
      </c>
      <c r="M358" s="104">
        <f t="shared" si="187"/>
        <v>0</v>
      </c>
      <c r="N358" s="104">
        <f t="shared" si="187"/>
        <v>0</v>
      </c>
      <c r="O358" s="55">
        <f t="shared" si="187"/>
        <v>0</v>
      </c>
      <c r="P358" s="55">
        <f t="shared" si="187"/>
        <v>0</v>
      </c>
      <c r="Q358" s="55">
        <f t="shared" si="187"/>
        <v>0</v>
      </c>
    </row>
    <row r="359" spans="1:17" x14ac:dyDescent="0.2">
      <c r="A359" s="72">
        <v>13</v>
      </c>
      <c r="B359" s="59">
        <v>349</v>
      </c>
      <c r="C359" s="40">
        <f t="shared" si="190"/>
        <v>0</v>
      </c>
      <c r="D359" s="40">
        <f t="shared" si="190"/>
        <v>0</v>
      </c>
      <c r="E359" s="40">
        <f t="shared" si="190"/>
        <v>0</v>
      </c>
      <c r="F359" s="40">
        <f t="shared" si="190"/>
        <v>0</v>
      </c>
      <c r="G359" s="40">
        <f t="shared" si="187"/>
        <v>0</v>
      </c>
      <c r="H359" s="40">
        <f t="shared" si="187"/>
        <v>0</v>
      </c>
      <c r="I359" s="104">
        <f t="shared" si="187"/>
        <v>0</v>
      </c>
      <c r="J359" s="104">
        <f t="shared" si="187"/>
        <v>0</v>
      </c>
      <c r="K359" s="104">
        <f t="shared" si="187"/>
        <v>0</v>
      </c>
      <c r="L359" s="104">
        <f t="shared" si="187"/>
        <v>0</v>
      </c>
      <c r="M359" s="104">
        <f t="shared" si="187"/>
        <v>0</v>
      </c>
      <c r="N359" s="104">
        <f t="shared" si="187"/>
        <v>0</v>
      </c>
      <c r="O359" s="55">
        <f t="shared" si="187"/>
        <v>0</v>
      </c>
      <c r="P359" s="55">
        <f t="shared" si="187"/>
        <v>0</v>
      </c>
      <c r="Q359" s="55">
        <f t="shared" si="187"/>
        <v>0</v>
      </c>
    </row>
    <row r="360" spans="1:17" x14ac:dyDescent="0.2">
      <c r="A360" s="72">
        <v>14</v>
      </c>
      <c r="B360" s="59">
        <v>350</v>
      </c>
      <c r="C360" s="40">
        <f t="shared" si="190"/>
        <v>0</v>
      </c>
      <c r="D360" s="40">
        <f t="shared" si="190"/>
        <v>0</v>
      </c>
      <c r="E360" s="40">
        <f t="shared" si="190"/>
        <v>0</v>
      </c>
      <c r="F360" s="40">
        <f t="shared" si="190"/>
        <v>0</v>
      </c>
      <c r="G360" s="40">
        <f t="shared" si="187"/>
        <v>0</v>
      </c>
      <c r="H360" s="40">
        <f t="shared" si="187"/>
        <v>0</v>
      </c>
      <c r="I360" s="104">
        <f t="shared" si="187"/>
        <v>0</v>
      </c>
      <c r="J360" s="104">
        <f t="shared" si="187"/>
        <v>0</v>
      </c>
      <c r="K360" s="104">
        <f t="shared" si="187"/>
        <v>0</v>
      </c>
      <c r="L360" s="104">
        <f t="shared" si="187"/>
        <v>0</v>
      </c>
      <c r="M360" s="104">
        <f t="shared" si="187"/>
        <v>0</v>
      </c>
      <c r="N360" s="104">
        <f t="shared" si="187"/>
        <v>0</v>
      </c>
      <c r="O360" s="55">
        <f t="shared" si="187"/>
        <v>0</v>
      </c>
      <c r="P360" s="55">
        <f t="shared" si="187"/>
        <v>0</v>
      </c>
      <c r="Q360" s="55">
        <f t="shared" si="187"/>
        <v>0</v>
      </c>
    </row>
    <row r="361" spans="1:17" x14ac:dyDescent="0.2">
      <c r="A361" s="72">
        <v>15</v>
      </c>
      <c r="B361" s="59">
        <v>351</v>
      </c>
      <c r="C361" s="40">
        <f t="shared" si="190"/>
        <v>0</v>
      </c>
      <c r="D361" s="40">
        <f t="shared" si="190"/>
        <v>0</v>
      </c>
      <c r="E361" s="40">
        <f t="shared" si="190"/>
        <v>0</v>
      </c>
      <c r="F361" s="40">
        <f t="shared" si="190"/>
        <v>0</v>
      </c>
      <c r="G361" s="40">
        <f t="shared" si="187"/>
        <v>0</v>
      </c>
      <c r="H361" s="40">
        <f t="shared" si="187"/>
        <v>0</v>
      </c>
      <c r="I361" s="104">
        <f t="shared" si="187"/>
        <v>0</v>
      </c>
      <c r="J361" s="104">
        <f t="shared" si="187"/>
        <v>0</v>
      </c>
      <c r="K361" s="104">
        <f t="shared" si="187"/>
        <v>0</v>
      </c>
      <c r="L361" s="104">
        <f t="shared" si="187"/>
        <v>0</v>
      </c>
      <c r="M361" s="104">
        <f t="shared" si="187"/>
        <v>0</v>
      </c>
      <c r="N361" s="104">
        <f t="shared" si="187"/>
        <v>0</v>
      </c>
      <c r="O361" s="55">
        <f t="shared" si="187"/>
        <v>0</v>
      </c>
      <c r="P361" s="55">
        <f t="shared" si="187"/>
        <v>0</v>
      </c>
      <c r="Q361" s="55">
        <f t="shared" si="187"/>
        <v>0</v>
      </c>
    </row>
    <row r="362" spans="1:17" x14ac:dyDescent="0.2">
      <c r="A362" s="72">
        <v>16</v>
      </c>
      <c r="B362" s="59">
        <v>352</v>
      </c>
      <c r="C362" s="40">
        <f t="shared" si="190"/>
        <v>3.4332694957598457</v>
      </c>
      <c r="D362" s="40">
        <f t="shared" si="190"/>
        <v>1.8717327794185254</v>
      </c>
      <c r="E362" s="40">
        <f t="shared" si="190"/>
        <v>0.32981104388639787</v>
      </c>
      <c r="F362" s="40">
        <f t="shared" si="190"/>
        <v>0.74636293386083608</v>
      </c>
      <c r="G362" s="40">
        <f t="shared" si="187"/>
        <v>0.34817321475331586</v>
      </c>
      <c r="H362" s="40">
        <f t="shared" si="187"/>
        <v>5.4355139759513407E-2</v>
      </c>
      <c r="I362" s="104">
        <f t="shared" si="187"/>
        <v>0.36139678902735217</v>
      </c>
      <c r="J362" s="104">
        <f t="shared" si="187"/>
        <v>0.1970245030966869</v>
      </c>
      <c r="K362" s="104">
        <f t="shared" si="187"/>
        <v>3.471695198804188E-2</v>
      </c>
      <c r="L362" s="104">
        <f t="shared" si="187"/>
        <v>0.48220077187638283</v>
      </c>
      <c r="M362" s="104">
        <f t="shared" si="187"/>
        <v>0.26288381733406258</v>
      </c>
      <c r="N362" s="104">
        <f t="shared" si="187"/>
        <v>4.6321775826741275E-2</v>
      </c>
      <c r="O362" s="55">
        <f t="shared" si="187"/>
        <v>0.38224352251574223</v>
      </c>
      <c r="P362" s="55">
        <f t="shared" si="187"/>
        <v>0.21957685264482196</v>
      </c>
      <c r="Q362" s="55">
        <f t="shared" si="187"/>
        <v>4.6321775826741275E-2</v>
      </c>
    </row>
    <row r="363" spans="1:17" x14ac:dyDescent="0.2">
      <c r="A363" s="72">
        <v>17</v>
      </c>
      <c r="B363" s="59">
        <v>353</v>
      </c>
      <c r="C363" s="40">
        <f t="shared" si="190"/>
        <v>3.4332694957598457</v>
      </c>
      <c r="D363" s="40">
        <f t="shared" si="190"/>
        <v>1.8717327794185254</v>
      </c>
      <c r="E363" s="40">
        <f t="shared" si="190"/>
        <v>0.32981104388639787</v>
      </c>
      <c r="F363" s="40">
        <f t="shared" si="190"/>
        <v>0.74636293386083608</v>
      </c>
      <c r="G363" s="40">
        <f t="shared" ref="G363:Q378" si="191">G27</f>
        <v>0.34817321475331586</v>
      </c>
      <c r="H363" s="40">
        <f t="shared" si="191"/>
        <v>5.4355139759513407E-2</v>
      </c>
      <c r="I363" s="104">
        <f t="shared" si="191"/>
        <v>0.36139678902735217</v>
      </c>
      <c r="J363" s="104">
        <f t="shared" si="191"/>
        <v>0.1970245030966869</v>
      </c>
      <c r="K363" s="104">
        <f t="shared" si="191"/>
        <v>3.471695198804188E-2</v>
      </c>
      <c r="L363" s="104">
        <f t="shared" si="191"/>
        <v>0.48220077187638283</v>
      </c>
      <c r="M363" s="104">
        <f t="shared" si="191"/>
        <v>0.26288381733406258</v>
      </c>
      <c r="N363" s="104">
        <f t="shared" si="191"/>
        <v>4.6321775826741275E-2</v>
      </c>
      <c r="O363" s="55">
        <f t="shared" si="191"/>
        <v>0.38224352251574223</v>
      </c>
      <c r="P363" s="55">
        <f t="shared" si="191"/>
        <v>0.21957685264482196</v>
      </c>
      <c r="Q363" s="55">
        <f t="shared" si="191"/>
        <v>4.6321775826741275E-2</v>
      </c>
    </row>
    <row r="364" spans="1:17" x14ac:dyDescent="0.2">
      <c r="A364" s="72">
        <v>18</v>
      </c>
      <c r="B364" s="59">
        <v>354</v>
      </c>
      <c r="C364" s="40">
        <f t="shared" si="190"/>
        <v>3.4332694957598457</v>
      </c>
      <c r="D364" s="40">
        <f t="shared" si="190"/>
        <v>1.8717327794185254</v>
      </c>
      <c r="E364" s="40">
        <f t="shared" si="190"/>
        <v>0.32981104388639787</v>
      </c>
      <c r="F364" s="40">
        <f t="shared" si="190"/>
        <v>0.74636293386083608</v>
      </c>
      <c r="G364" s="40">
        <f t="shared" si="191"/>
        <v>0.34817321475331586</v>
      </c>
      <c r="H364" s="40">
        <f t="shared" si="191"/>
        <v>5.4355139759513407E-2</v>
      </c>
      <c r="I364" s="104">
        <f t="shared" si="191"/>
        <v>0.36139678902735217</v>
      </c>
      <c r="J364" s="104">
        <f t="shared" si="191"/>
        <v>0.1970245030966869</v>
      </c>
      <c r="K364" s="104">
        <f t="shared" si="191"/>
        <v>3.471695198804188E-2</v>
      </c>
      <c r="L364" s="104">
        <f t="shared" si="191"/>
        <v>0.48220077187638283</v>
      </c>
      <c r="M364" s="104">
        <f t="shared" si="191"/>
        <v>0.26288381733406258</v>
      </c>
      <c r="N364" s="104">
        <f t="shared" si="191"/>
        <v>4.6321775826741275E-2</v>
      </c>
      <c r="O364" s="55">
        <f t="shared" si="191"/>
        <v>0.38224352251574223</v>
      </c>
      <c r="P364" s="55">
        <f t="shared" si="191"/>
        <v>0.21957685264482196</v>
      </c>
      <c r="Q364" s="55">
        <f t="shared" si="191"/>
        <v>4.6321775826741275E-2</v>
      </c>
    </row>
    <row r="365" spans="1:17" x14ac:dyDescent="0.2">
      <c r="A365" s="72">
        <v>19</v>
      </c>
      <c r="B365" s="59">
        <v>355</v>
      </c>
      <c r="C365" s="40">
        <f t="shared" si="190"/>
        <v>3.4332694957598457</v>
      </c>
      <c r="D365" s="40">
        <f t="shared" si="190"/>
        <v>1.8717327794185254</v>
      </c>
      <c r="E365" s="40">
        <f t="shared" si="190"/>
        <v>0.32981104388639787</v>
      </c>
      <c r="F365" s="40">
        <f t="shared" si="190"/>
        <v>0.74636293386083608</v>
      </c>
      <c r="G365" s="40">
        <f t="shared" si="191"/>
        <v>0.34817321475331586</v>
      </c>
      <c r="H365" s="40">
        <f t="shared" si="191"/>
        <v>5.4355139759513407E-2</v>
      </c>
      <c r="I365" s="104">
        <f t="shared" si="191"/>
        <v>0.36139678902735217</v>
      </c>
      <c r="J365" s="104">
        <f t="shared" si="191"/>
        <v>0.1970245030966869</v>
      </c>
      <c r="K365" s="104">
        <f t="shared" si="191"/>
        <v>3.471695198804188E-2</v>
      </c>
      <c r="L365" s="104">
        <f t="shared" si="191"/>
        <v>0.48220077187638283</v>
      </c>
      <c r="M365" s="104">
        <f t="shared" si="191"/>
        <v>0.26288381733406258</v>
      </c>
      <c r="N365" s="104">
        <f t="shared" si="191"/>
        <v>4.6321775826741275E-2</v>
      </c>
      <c r="O365" s="55">
        <f t="shared" si="191"/>
        <v>0.38224352251574223</v>
      </c>
      <c r="P365" s="55">
        <f t="shared" si="191"/>
        <v>0.21957685264482196</v>
      </c>
      <c r="Q365" s="55">
        <f t="shared" si="191"/>
        <v>4.6321775826741275E-2</v>
      </c>
    </row>
    <row r="366" spans="1:17" x14ac:dyDescent="0.2">
      <c r="A366" s="72">
        <v>20</v>
      </c>
      <c r="B366" s="59">
        <v>356</v>
      </c>
      <c r="C366" s="40">
        <f t="shared" si="190"/>
        <v>3.4332694957598457</v>
      </c>
      <c r="D366" s="40">
        <f t="shared" si="190"/>
        <v>1.8717327794185254</v>
      </c>
      <c r="E366" s="40">
        <f t="shared" si="190"/>
        <v>0.32981104388639787</v>
      </c>
      <c r="F366" s="40">
        <f t="shared" si="190"/>
        <v>0.74636293386083608</v>
      </c>
      <c r="G366" s="40">
        <f t="shared" si="191"/>
        <v>0.34817321475331586</v>
      </c>
      <c r="H366" s="40">
        <f t="shared" si="191"/>
        <v>5.4355139759513407E-2</v>
      </c>
      <c r="I366" s="104">
        <f t="shared" si="191"/>
        <v>0.36139678902735217</v>
      </c>
      <c r="J366" s="104">
        <f t="shared" si="191"/>
        <v>0.1970245030966869</v>
      </c>
      <c r="K366" s="104">
        <f t="shared" si="191"/>
        <v>3.471695198804188E-2</v>
      </c>
      <c r="L366" s="104">
        <f t="shared" si="191"/>
        <v>0.48220077187638283</v>
      </c>
      <c r="M366" s="104">
        <f t="shared" si="191"/>
        <v>0.26288381733406258</v>
      </c>
      <c r="N366" s="104">
        <f t="shared" si="191"/>
        <v>4.6321775826741275E-2</v>
      </c>
      <c r="O366" s="55">
        <f t="shared" si="191"/>
        <v>0.38224352251574223</v>
      </c>
      <c r="P366" s="55">
        <f t="shared" si="191"/>
        <v>0.21957685264482196</v>
      </c>
      <c r="Q366" s="55">
        <f t="shared" si="191"/>
        <v>4.6321775826741275E-2</v>
      </c>
    </row>
    <row r="367" spans="1:17" x14ac:dyDescent="0.2">
      <c r="A367" s="72">
        <v>21</v>
      </c>
      <c r="B367" s="59">
        <v>357</v>
      </c>
      <c r="C367" s="40">
        <f t="shared" si="190"/>
        <v>3.4332694957598457</v>
      </c>
      <c r="D367" s="40">
        <f t="shared" si="190"/>
        <v>1.8717327794185254</v>
      </c>
      <c r="E367" s="40">
        <f t="shared" si="190"/>
        <v>0.32981104388639787</v>
      </c>
      <c r="F367" s="40">
        <f t="shared" si="190"/>
        <v>0.74636293386083608</v>
      </c>
      <c r="G367" s="40">
        <f t="shared" si="191"/>
        <v>0.34817321475331586</v>
      </c>
      <c r="H367" s="40">
        <f t="shared" si="191"/>
        <v>5.4355139759513407E-2</v>
      </c>
      <c r="I367" s="104">
        <f t="shared" si="191"/>
        <v>0.36139678902735217</v>
      </c>
      <c r="J367" s="104">
        <f t="shared" si="191"/>
        <v>0.1970245030966869</v>
      </c>
      <c r="K367" s="104">
        <f t="shared" si="191"/>
        <v>3.471695198804188E-2</v>
      </c>
      <c r="L367" s="104">
        <f t="shared" si="191"/>
        <v>0.48220077187638283</v>
      </c>
      <c r="M367" s="104">
        <f t="shared" si="191"/>
        <v>0.26288381733406258</v>
      </c>
      <c r="N367" s="104">
        <f t="shared" si="191"/>
        <v>4.6321775826741275E-2</v>
      </c>
      <c r="O367" s="55">
        <f t="shared" si="191"/>
        <v>0.38224352251574223</v>
      </c>
      <c r="P367" s="55">
        <f t="shared" si="191"/>
        <v>0.21957685264482196</v>
      </c>
      <c r="Q367" s="55">
        <f t="shared" si="191"/>
        <v>4.6321775826741275E-2</v>
      </c>
    </row>
    <row r="368" spans="1:17" x14ac:dyDescent="0.2">
      <c r="A368" s="72">
        <v>22</v>
      </c>
      <c r="B368" s="59">
        <v>358</v>
      </c>
      <c r="C368" s="40">
        <f t="shared" si="190"/>
        <v>3.4332694957598457</v>
      </c>
      <c r="D368" s="40">
        <f t="shared" si="190"/>
        <v>1.8717327794185254</v>
      </c>
      <c r="E368" s="40">
        <f t="shared" si="190"/>
        <v>0.32981104388639787</v>
      </c>
      <c r="F368" s="40">
        <f t="shared" si="190"/>
        <v>0.74636293386083608</v>
      </c>
      <c r="G368" s="40">
        <f t="shared" si="191"/>
        <v>0.34817321475331586</v>
      </c>
      <c r="H368" s="40">
        <f t="shared" si="191"/>
        <v>5.4355139759513407E-2</v>
      </c>
      <c r="I368" s="104">
        <f t="shared" si="191"/>
        <v>0.36139678902735217</v>
      </c>
      <c r="J368" s="104">
        <f t="shared" si="191"/>
        <v>0.1970245030966869</v>
      </c>
      <c r="K368" s="104">
        <f t="shared" si="191"/>
        <v>3.471695198804188E-2</v>
      </c>
      <c r="L368" s="104">
        <f t="shared" si="191"/>
        <v>0.48220077187638283</v>
      </c>
      <c r="M368" s="104">
        <f t="shared" si="191"/>
        <v>0.26288381733406258</v>
      </c>
      <c r="N368" s="104">
        <f t="shared" si="191"/>
        <v>4.6321775826741275E-2</v>
      </c>
      <c r="O368" s="55">
        <f t="shared" si="191"/>
        <v>0.38224352251574223</v>
      </c>
      <c r="P368" s="55">
        <f t="shared" si="191"/>
        <v>0.21957685264482196</v>
      </c>
      <c r="Q368" s="55">
        <f t="shared" si="191"/>
        <v>4.6321775826741275E-2</v>
      </c>
    </row>
    <row r="369" spans="1:17" x14ac:dyDescent="0.2">
      <c r="A369" s="72">
        <v>23</v>
      </c>
      <c r="B369" s="59">
        <v>359</v>
      </c>
      <c r="C369" s="40">
        <f t="shared" si="190"/>
        <v>0</v>
      </c>
      <c r="D369" s="40">
        <f t="shared" si="190"/>
        <v>0</v>
      </c>
      <c r="E369" s="40">
        <f t="shared" si="190"/>
        <v>0</v>
      </c>
      <c r="F369" s="40">
        <f t="shared" si="190"/>
        <v>0</v>
      </c>
      <c r="G369" s="40">
        <f t="shared" si="191"/>
        <v>0</v>
      </c>
      <c r="H369" s="40">
        <f t="shared" si="191"/>
        <v>0</v>
      </c>
      <c r="I369" s="104">
        <f t="shared" si="191"/>
        <v>0</v>
      </c>
      <c r="J369" s="104">
        <f t="shared" si="191"/>
        <v>0</v>
      </c>
      <c r="K369" s="104">
        <f t="shared" si="191"/>
        <v>0</v>
      </c>
      <c r="L369" s="104">
        <f t="shared" si="191"/>
        <v>0</v>
      </c>
      <c r="M369" s="104">
        <f t="shared" si="191"/>
        <v>0</v>
      </c>
      <c r="N369" s="104">
        <f t="shared" si="191"/>
        <v>0</v>
      </c>
      <c r="O369" s="55">
        <f t="shared" si="191"/>
        <v>0</v>
      </c>
      <c r="P369" s="55">
        <f t="shared" si="191"/>
        <v>0</v>
      </c>
      <c r="Q369" s="55">
        <f t="shared" si="191"/>
        <v>0</v>
      </c>
    </row>
    <row r="370" spans="1:17" x14ac:dyDescent="0.2">
      <c r="A370" s="72">
        <v>24</v>
      </c>
      <c r="B370" s="59">
        <v>360</v>
      </c>
      <c r="C370" s="40">
        <f t="shared" si="190"/>
        <v>0</v>
      </c>
      <c r="D370" s="40">
        <f t="shared" si="190"/>
        <v>0</v>
      </c>
      <c r="E370" s="40">
        <f t="shared" si="190"/>
        <v>0</v>
      </c>
      <c r="F370" s="40">
        <f t="shared" si="190"/>
        <v>0</v>
      </c>
      <c r="G370" s="40">
        <f t="shared" si="191"/>
        <v>0</v>
      </c>
      <c r="H370" s="40">
        <f t="shared" si="191"/>
        <v>0</v>
      </c>
      <c r="I370" s="104">
        <f t="shared" si="191"/>
        <v>0</v>
      </c>
      <c r="J370" s="104">
        <f t="shared" si="191"/>
        <v>0</v>
      </c>
      <c r="K370" s="104">
        <f t="shared" si="191"/>
        <v>0</v>
      </c>
      <c r="L370" s="104">
        <f t="shared" si="191"/>
        <v>0</v>
      </c>
      <c r="M370" s="104">
        <f t="shared" si="191"/>
        <v>0</v>
      </c>
      <c r="N370" s="104">
        <f t="shared" si="191"/>
        <v>0</v>
      </c>
      <c r="O370" s="55">
        <f t="shared" si="191"/>
        <v>0</v>
      </c>
      <c r="P370" s="55">
        <f t="shared" si="191"/>
        <v>0</v>
      </c>
      <c r="Q370" s="55">
        <f t="shared" si="191"/>
        <v>0</v>
      </c>
    </row>
    <row r="371" spans="1:17" x14ac:dyDescent="0.2">
      <c r="A371" s="72">
        <v>25</v>
      </c>
      <c r="B371" s="59">
        <v>361</v>
      </c>
      <c r="C371" s="40">
        <f t="shared" si="190"/>
        <v>0</v>
      </c>
      <c r="D371" s="40">
        <f t="shared" si="190"/>
        <v>0</v>
      </c>
      <c r="E371" s="40">
        <f t="shared" si="190"/>
        <v>0</v>
      </c>
      <c r="F371" s="40">
        <f t="shared" si="190"/>
        <v>0</v>
      </c>
      <c r="G371" s="40">
        <f t="shared" si="191"/>
        <v>0</v>
      </c>
      <c r="H371" s="40">
        <f t="shared" si="191"/>
        <v>0</v>
      </c>
      <c r="I371" s="104">
        <f t="shared" si="191"/>
        <v>0</v>
      </c>
      <c r="J371" s="104">
        <f t="shared" si="191"/>
        <v>0</v>
      </c>
      <c r="K371" s="104">
        <f t="shared" si="191"/>
        <v>0</v>
      </c>
      <c r="L371" s="104">
        <f t="shared" si="191"/>
        <v>0</v>
      </c>
      <c r="M371" s="104">
        <f t="shared" si="191"/>
        <v>0</v>
      </c>
      <c r="N371" s="104">
        <f t="shared" si="191"/>
        <v>0</v>
      </c>
      <c r="O371" s="55">
        <f t="shared" si="191"/>
        <v>0</v>
      </c>
      <c r="P371" s="55">
        <f t="shared" si="191"/>
        <v>0</v>
      </c>
      <c r="Q371" s="55">
        <f t="shared" si="191"/>
        <v>0</v>
      </c>
    </row>
    <row r="372" spans="1:17" x14ac:dyDescent="0.2">
      <c r="A372" s="72">
        <v>26</v>
      </c>
      <c r="B372" s="59">
        <v>362</v>
      </c>
      <c r="C372" s="40">
        <f t="shared" si="190"/>
        <v>0</v>
      </c>
      <c r="D372" s="40">
        <f t="shared" si="190"/>
        <v>0</v>
      </c>
      <c r="E372" s="40">
        <f t="shared" si="190"/>
        <v>0</v>
      </c>
      <c r="F372" s="40">
        <f t="shared" si="190"/>
        <v>0</v>
      </c>
      <c r="G372" s="40">
        <f t="shared" si="191"/>
        <v>0</v>
      </c>
      <c r="H372" s="40">
        <f t="shared" si="191"/>
        <v>0</v>
      </c>
      <c r="I372" s="104">
        <f t="shared" si="191"/>
        <v>0</v>
      </c>
      <c r="J372" s="104">
        <f t="shared" si="191"/>
        <v>0</v>
      </c>
      <c r="K372" s="104">
        <f t="shared" si="191"/>
        <v>0</v>
      </c>
      <c r="L372" s="104">
        <f t="shared" si="191"/>
        <v>0</v>
      </c>
      <c r="M372" s="104">
        <f t="shared" si="191"/>
        <v>0</v>
      </c>
      <c r="N372" s="104">
        <f t="shared" si="191"/>
        <v>0</v>
      </c>
      <c r="O372" s="55">
        <f t="shared" si="191"/>
        <v>0</v>
      </c>
      <c r="P372" s="55">
        <f t="shared" si="191"/>
        <v>0</v>
      </c>
      <c r="Q372" s="55">
        <f t="shared" si="191"/>
        <v>0</v>
      </c>
    </row>
    <row r="373" spans="1:17" x14ac:dyDescent="0.2">
      <c r="A373" s="72">
        <v>27</v>
      </c>
      <c r="B373" s="59">
        <v>363</v>
      </c>
      <c r="C373" s="40">
        <f t="shared" si="190"/>
        <v>0</v>
      </c>
      <c r="D373" s="40">
        <f t="shared" si="190"/>
        <v>0</v>
      </c>
      <c r="E373" s="40">
        <f t="shared" si="190"/>
        <v>0</v>
      </c>
      <c r="F373" s="40">
        <f t="shared" si="190"/>
        <v>0</v>
      </c>
      <c r="G373" s="40">
        <f t="shared" si="191"/>
        <v>0</v>
      </c>
      <c r="H373" s="40">
        <f t="shared" si="191"/>
        <v>0</v>
      </c>
      <c r="I373" s="104">
        <f t="shared" si="191"/>
        <v>0</v>
      </c>
      <c r="J373" s="104">
        <f t="shared" si="191"/>
        <v>0</v>
      </c>
      <c r="K373" s="104">
        <f t="shared" si="191"/>
        <v>0</v>
      </c>
      <c r="L373" s="104">
        <f t="shared" si="191"/>
        <v>0</v>
      </c>
      <c r="M373" s="104">
        <f t="shared" si="191"/>
        <v>0</v>
      </c>
      <c r="N373" s="104">
        <f t="shared" si="191"/>
        <v>0</v>
      </c>
      <c r="O373" s="55">
        <f t="shared" si="191"/>
        <v>0</v>
      </c>
      <c r="P373" s="55">
        <f t="shared" si="191"/>
        <v>0</v>
      </c>
      <c r="Q373" s="55">
        <f t="shared" si="191"/>
        <v>0</v>
      </c>
    </row>
    <row r="374" spans="1:17" x14ac:dyDescent="0.2">
      <c r="A374" s="72">
        <v>28</v>
      </c>
      <c r="B374" s="59">
        <v>364</v>
      </c>
      <c r="C374" s="40">
        <f t="shared" si="190"/>
        <v>0</v>
      </c>
      <c r="D374" s="40">
        <f t="shared" si="190"/>
        <v>0</v>
      </c>
      <c r="E374" s="40">
        <f t="shared" si="190"/>
        <v>0</v>
      </c>
      <c r="F374" s="40">
        <f t="shared" si="190"/>
        <v>0</v>
      </c>
      <c r="G374" s="40">
        <f t="shared" si="191"/>
        <v>0</v>
      </c>
      <c r="H374" s="40">
        <f t="shared" si="191"/>
        <v>0</v>
      </c>
      <c r="I374" s="104">
        <f t="shared" si="191"/>
        <v>0</v>
      </c>
      <c r="J374" s="104">
        <f t="shared" si="191"/>
        <v>0</v>
      </c>
      <c r="K374" s="104">
        <f t="shared" si="191"/>
        <v>0</v>
      </c>
      <c r="L374" s="104">
        <f t="shared" si="191"/>
        <v>0</v>
      </c>
      <c r="M374" s="104">
        <f t="shared" si="191"/>
        <v>0</v>
      </c>
      <c r="N374" s="104">
        <f t="shared" si="191"/>
        <v>0</v>
      </c>
      <c r="O374" s="55">
        <f t="shared" si="191"/>
        <v>0</v>
      </c>
      <c r="P374" s="55">
        <f t="shared" si="191"/>
        <v>0</v>
      </c>
      <c r="Q374" s="55">
        <f t="shared" si="191"/>
        <v>0</v>
      </c>
    </row>
    <row r="375" spans="1:17" x14ac:dyDescent="0.2">
      <c r="A375" s="72">
        <v>29</v>
      </c>
      <c r="B375" s="59">
        <v>365</v>
      </c>
      <c r="C375" s="40">
        <f t="shared" si="190"/>
        <v>0</v>
      </c>
      <c r="D375" s="40">
        <f t="shared" si="190"/>
        <v>0</v>
      </c>
      <c r="E375" s="40">
        <f t="shared" si="190"/>
        <v>0</v>
      </c>
      <c r="F375" s="40">
        <f t="shared" si="190"/>
        <v>0</v>
      </c>
      <c r="G375" s="40">
        <f t="shared" si="191"/>
        <v>0</v>
      </c>
      <c r="H375" s="40">
        <f t="shared" si="191"/>
        <v>0</v>
      </c>
      <c r="I375" s="104">
        <f t="shared" si="191"/>
        <v>0</v>
      </c>
      <c r="J375" s="104">
        <f t="shared" si="191"/>
        <v>0</v>
      </c>
      <c r="K375" s="104">
        <f t="shared" si="191"/>
        <v>0</v>
      </c>
      <c r="L375" s="104">
        <f t="shared" si="191"/>
        <v>0</v>
      </c>
      <c r="M375" s="104">
        <f t="shared" si="191"/>
        <v>0</v>
      </c>
      <c r="N375" s="104">
        <f t="shared" si="191"/>
        <v>0</v>
      </c>
      <c r="O375" s="55">
        <f t="shared" si="191"/>
        <v>0</v>
      </c>
      <c r="P375" s="55">
        <f t="shared" si="191"/>
        <v>0</v>
      </c>
      <c r="Q375" s="55">
        <f t="shared" si="191"/>
        <v>0</v>
      </c>
    </row>
    <row r="376" spans="1:17" x14ac:dyDescent="0.2">
      <c r="A376" s="72">
        <v>30</v>
      </c>
      <c r="B376" s="59">
        <v>366</v>
      </c>
      <c r="C376" s="40">
        <f t="shared" si="190"/>
        <v>0</v>
      </c>
      <c r="D376" s="40">
        <f t="shared" si="190"/>
        <v>0</v>
      </c>
      <c r="E376" s="40">
        <f t="shared" si="190"/>
        <v>0</v>
      </c>
      <c r="F376" s="40">
        <f t="shared" si="190"/>
        <v>0</v>
      </c>
      <c r="G376" s="40">
        <f t="shared" si="191"/>
        <v>0</v>
      </c>
      <c r="H376" s="40">
        <f t="shared" si="191"/>
        <v>0</v>
      </c>
      <c r="I376" s="104">
        <f t="shared" si="191"/>
        <v>0</v>
      </c>
      <c r="J376" s="104">
        <f t="shared" si="191"/>
        <v>0</v>
      </c>
      <c r="K376" s="104">
        <f t="shared" si="191"/>
        <v>0</v>
      </c>
      <c r="L376" s="104">
        <f t="shared" si="191"/>
        <v>0</v>
      </c>
      <c r="M376" s="104">
        <f t="shared" si="191"/>
        <v>0</v>
      </c>
      <c r="N376" s="104">
        <f t="shared" si="191"/>
        <v>0</v>
      </c>
      <c r="O376" s="55">
        <f t="shared" si="191"/>
        <v>0</v>
      </c>
      <c r="P376" s="55">
        <f t="shared" si="191"/>
        <v>0</v>
      </c>
      <c r="Q376" s="55">
        <f t="shared" si="191"/>
        <v>0</v>
      </c>
    </row>
    <row r="377" spans="1:17" x14ac:dyDescent="0.2">
      <c r="A377" s="72">
        <v>31</v>
      </c>
      <c r="B377" s="59">
        <v>367</v>
      </c>
      <c r="C377" s="40">
        <f t="shared" si="190"/>
        <v>3.4332694957598457</v>
      </c>
      <c r="D377" s="40">
        <f t="shared" si="190"/>
        <v>1.8717327794185254</v>
      </c>
      <c r="E377" s="40">
        <f t="shared" si="190"/>
        <v>0.32981104388639787</v>
      </c>
      <c r="F377" s="40">
        <f t="shared" si="190"/>
        <v>0.74636293386083608</v>
      </c>
      <c r="G377" s="40">
        <f t="shared" si="191"/>
        <v>0.34817321475331586</v>
      </c>
      <c r="H377" s="40">
        <f t="shared" si="191"/>
        <v>5.4355139759513407E-2</v>
      </c>
      <c r="I377" s="104">
        <f t="shared" si="191"/>
        <v>0.36139678902735217</v>
      </c>
      <c r="J377" s="104">
        <f t="shared" si="191"/>
        <v>0.1970245030966869</v>
      </c>
      <c r="K377" s="104">
        <f t="shared" si="191"/>
        <v>3.471695198804188E-2</v>
      </c>
      <c r="L377" s="104">
        <f t="shared" si="191"/>
        <v>0.48220077187638283</v>
      </c>
      <c r="M377" s="104">
        <f t="shared" si="191"/>
        <v>0.26288381733406258</v>
      </c>
      <c r="N377" s="104">
        <f t="shared" si="191"/>
        <v>4.6321775826741275E-2</v>
      </c>
      <c r="O377" s="55">
        <f t="shared" si="191"/>
        <v>0.38224352251574223</v>
      </c>
      <c r="P377" s="55">
        <f t="shared" si="191"/>
        <v>0.21957685264482196</v>
      </c>
      <c r="Q377" s="55">
        <f t="shared" si="191"/>
        <v>4.6321775826741275E-2</v>
      </c>
    </row>
    <row r="378" spans="1:17" x14ac:dyDescent="0.2">
      <c r="A378" s="72">
        <v>32</v>
      </c>
      <c r="B378" s="59">
        <v>368</v>
      </c>
      <c r="C378" s="40">
        <f t="shared" si="190"/>
        <v>3.4332694957598457</v>
      </c>
      <c r="D378" s="40">
        <f t="shared" si="190"/>
        <v>1.8717327794185254</v>
      </c>
      <c r="E378" s="40">
        <f t="shared" si="190"/>
        <v>0.32981104388639787</v>
      </c>
      <c r="F378" s="40">
        <f t="shared" si="190"/>
        <v>0.74636293386083608</v>
      </c>
      <c r="G378" s="40">
        <f t="shared" si="191"/>
        <v>0.34817321475331586</v>
      </c>
      <c r="H378" s="40">
        <f t="shared" si="191"/>
        <v>5.4355139759513407E-2</v>
      </c>
      <c r="I378" s="104">
        <f t="shared" si="191"/>
        <v>0.36139678902735217</v>
      </c>
      <c r="J378" s="104">
        <f t="shared" si="191"/>
        <v>0.1970245030966869</v>
      </c>
      <c r="K378" s="104">
        <f t="shared" si="191"/>
        <v>3.471695198804188E-2</v>
      </c>
      <c r="L378" s="104">
        <f t="shared" si="191"/>
        <v>0.48220077187638283</v>
      </c>
      <c r="M378" s="104">
        <f t="shared" si="191"/>
        <v>0.26288381733406258</v>
      </c>
      <c r="N378" s="104">
        <f t="shared" si="191"/>
        <v>4.6321775826741275E-2</v>
      </c>
      <c r="O378" s="55">
        <f t="shared" si="191"/>
        <v>0.38224352251574223</v>
      </c>
      <c r="P378" s="55">
        <f t="shared" si="191"/>
        <v>0.21957685264482196</v>
      </c>
      <c r="Q378" s="55">
        <f t="shared" si="191"/>
        <v>4.6321775826741275E-2</v>
      </c>
    </row>
    <row r="379" spans="1:17" x14ac:dyDescent="0.2">
      <c r="A379" s="72">
        <v>33</v>
      </c>
      <c r="B379" s="59">
        <v>369</v>
      </c>
      <c r="C379" s="40">
        <f t="shared" si="190"/>
        <v>0</v>
      </c>
      <c r="D379" s="40">
        <f t="shared" si="190"/>
        <v>0</v>
      </c>
      <c r="E379" s="40">
        <f t="shared" si="190"/>
        <v>0</v>
      </c>
      <c r="F379" s="40">
        <f t="shared" si="190"/>
        <v>0</v>
      </c>
      <c r="G379" s="40">
        <f t="shared" ref="G379:Q394" si="192">G43</f>
        <v>0</v>
      </c>
      <c r="H379" s="40">
        <f t="shared" si="192"/>
        <v>0</v>
      </c>
      <c r="I379" s="104">
        <f t="shared" si="192"/>
        <v>0</v>
      </c>
      <c r="J379" s="104">
        <f t="shared" si="192"/>
        <v>0</v>
      </c>
      <c r="K379" s="104">
        <f t="shared" si="192"/>
        <v>0</v>
      </c>
      <c r="L379" s="104">
        <f t="shared" si="192"/>
        <v>0</v>
      </c>
      <c r="M379" s="104">
        <f t="shared" si="192"/>
        <v>0</v>
      </c>
      <c r="N379" s="104">
        <f t="shared" si="192"/>
        <v>0</v>
      </c>
      <c r="O379" s="55">
        <f t="shared" si="192"/>
        <v>0</v>
      </c>
      <c r="P379" s="55">
        <f t="shared" si="192"/>
        <v>0</v>
      </c>
      <c r="Q379" s="55">
        <f t="shared" si="192"/>
        <v>0</v>
      </c>
    </row>
    <row r="380" spans="1:17" x14ac:dyDescent="0.2">
      <c r="A380" s="72">
        <v>34</v>
      </c>
      <c r="B380" s="59">
        <v>370</v>
      </c>
      <c r="C380" s="40">
        <f t="shared" si="190"/>
        <v>0</v>
      </c>
      <c r="D380" s="40">
        <f t="shared" si="190"/>
        <v>0</v>
      </c>
      <c r="E380" s="40">
        <f t="shared" si="190"/>
        <v>0</v>
      </c>
      <c r="F380" s="40">
        <f t="shared" si="190"/>
        <v>0</v>
      </c>
      <c r="G380" s="40">
        <f t="shared" si="192"/>
        <v>0</v>
      </c>
      <c r="H380" s="40">
        <f t="shared" si="192"/>
        <v>0</v>
      </c>
      <c r="I380" s="104">
        <f t="shared" si="192"/>
        <v>0</v>
      </c>
      <c r="J380" s="104">
        <f t="shared" si="192"/>
        <v>0</v>
      </c>
      <c r="K380" s="104">
        <f t="shared" si="192"/>
        <v>0</v>
      </c>
      <c r="L380" s="104">
        <f t="shared" si="192"/>
        <v>0</v>
      </c>
      <c r="M380" s="104">
        <f t="shared" si="192"/>
        <v>0</v>
      </c>
      <c r="N380" s="104">
        <f t="shared" si="192"/>
        <v>0</v>
      </c>
      <c r="O380" s="55">
        <f t="shared" si="192"/>
        <v>0</v>
      </c>
      <c r="P380" s="55">
        <f t="shared" si="192"/>
        <v>0</v>
      </c>
      <c r="Q380" s="55">
        <f t="shared" si="192"/>
        <v>0</v>
      </c>
    </row>
    <row r="381" spans="1:17" x14ac:dyDescent="0.2">
      <c r="A381" s="72">
        <v>35</v>
      </c>
      <c r="B381" s="59">
        <v>371</v>
      </c>
      <c r="C381" s="40">
        <f t="shared" si="190"/>
        <v>0</v>
      </c>
      <c r="D381" s="40">
        <f t="shared" si="190"/>
        <v>0</v>
      </c>
      <c r="E381" s="40">
        <f t="shared" si="190"/>
        <v>0</v>
      </c>
      <c r="F381" s="40">
        <f t="shared" si="190"/>
        <v>0</v>
      </c>
      <c r="G381" s="40">
        <f t="shared" si="192"/>
        <v>0</v>
      </c>
      <c r="H381" s="40">
        <f t="shared" si="192"/>
        <v>0</v>
      </c>
      <c r="I381" s="104">
        <f t="shared" si="192"/>
        <v>0</v>
      </c>
      <c r="J381" s="104">
        <f t="shared" si="192"/>
        <v>0</v>
      </c>
      <c r="K381" s="104">
        <f t="shared" si="192"/>
        <v>0</v>
      </c>
      <c r="L381" s="104">
        <f t="shared" si="192"/>
        <v>0</v>
      </c>
      <c r="M381" s="104">
        <f t="shared" si="192"/>
        <v>0</v>
      </c>
      <c r="N381" s="104">
        <f t="shared" si="192"/>
        <v>0</v>
      </c>
      <c r="O381" s="55">
        <f t="shared" si="192"/>
        <v>0</v>
      </c>
      <c r="P381" s="55">
        <f t="shared" si="192"/>
        <v>0</v>
      </c>
      <c r="Q381" s="55">
        <f t="shared" si="192"/>
        <v>0</v>
      </c>
    </row>
    <row r="382" spans="1:17" x14ac:dyDescent="0.2">
      <c r="A382" s="72">
        <v>36</v>
      </c>
      <c r="B382" s="59">
        <v>372</v>
      </c>
      <c r="C382" s="40">
        <f t="shared" si="190"/>
        <v>0</v>
      </c>
      <c r="D382" s="40">
        <f t="shared" si="190"/>
        <v>0</v>
      </c>
      <c r="E382" s="40">
        <f t="shared" si="190"/>
        <v>0</v>
      </c>
      <c r="F382" s="40">
        <f t="shared" si="190"/>
        <v>0</v>
      </c>
      <c r="G382" s="40">
        <f t="shared" si="192"/>
        <v>0</v>
      </c>
      <c r="H382" s="40">
        <f t="shared" si="192"/>
        <v>0</v>
      </c>
      <c r="I382" s="104">
        <f t="shared" si="192"/>
        <v>0</v>
      </c>
      <c r="J382" s="104">
        <f t="shared" si="192"/>
        <v>0</v>
      </c>
      <c r="K382" s="104">
        <f t="shared" si="192"/>
        <v>0</v>
      </c>
      <c r="L382" s="104">
        <f t="shared" si="192"/>
        <v>0</v>
      </c>
      <c r="M382" s="104">
        <f t="shared" si="192"/>
        <v>0</v>
      </c>
      <c r="N382" s="104">
        <f t="shared" si="192"/>
        <v>0</v>
      </c>
      <c r="O382" s="55">
        <f t="shared" si="192"/>
        <v>0</v>
      </c>
      <c r="P382" s="55">
        <f t="shared" si="192"/>
        <v>0</v>
      </c>
      <c r="Q382" s="55">
        <f t="shared" si="192"/>
        <v>0</v>
      </c>
    </row>
    <row r="383" spans="1:17" x14ac:dyDescent="0.2">
      <c r="A383" s="72">
        <v>37</v>
      </c>
      <c r="B383" s="59">
        <v>373</v>
      </c>
      <c r="C383" s="40">
        <f t="shared" si="190"/>
        <v>0</v>
      </c>
      <c r="D383" s="40">
        <f t="shared" si="190"/>
        <v>0</v>
      </c>
      <c r="E383" s="40">
        <f t="shared" si="190"/>
        <v>0</v>
      </c>
      <c r="F383" s="40">
        <f t="shared" si="190"/>
        <v>0</v>
      </c>
      <c r="G383" s="40">
        <f t="shared" si="192"/>
        <v>0</v>
      </c>
      <c r="H383" s="40">
        <f t="shared" si="192"/>
        <v>0</v>
      </c>
      <c r="I383" s="104">
        <f t="shared" si="192"/>
        <v>0</v>
      </c>
      <c r="J383" s="104">
        <f t="shared" si="192"/>
        <v>0</v>
      </c>
      <c r="K383" s="104">
        <f t="shared" si="192"/>
        <v>0</v>
      </c>
      <c r="L383" s="104">
        <f t="shared" si="192"/>
        <v>0</v>
      </c>
      <c r="M383" s="104">
        <f t="shared" si="192"/>
        <v>0</v>
      </c>
      <c r="N383" s="104">
        <f t="shared" si="192"/>
        <v>0</v>
      </c>
      <c r="O383" s="55">
        <f t="shared" si="192"/>
        <v>0</v>
      </c>
      <c r="P383" s="55">
        <f t="shared" si="192"/>
        <v>0</v>
      </c>
      <c r="Q383" s="55">
        <f t="shared" si="192"/>
        <v>0</v>
      </c>
    </row>
    <row r="384" spans="1:17" x14ac:dyDescent="0.2">
      <c r="A384" s="72">
        <v>38</v>
      </c>
      <c r="B384" s="59">
        <v>374</v>
      </c>
      <c r="C384" s="40">
        <f t="shared" si="190"/>
        <v>0</v>
      </c>
      <c r="D384" s="40">
        <f t="shared" si="190"/>
        <v>0</v>
      </c>
      <c r="E384" s="40">
        <f t="shared" si="190"/>
        <v>0</v>
      </c>
      <c r="F384" s="40">
        <f t="shared" si="190"/>
        <v>0</v>
      </c>
      <c r="G384" s="40">
        <f t="shared" si="192"/>
        <v>0</v>
      </c>
      <c r="H384" s="40">
        <f t="shared" si="192"/>
        <v>0</v>
      </c>
      <c r="I384" s="104">
        <f t="shared" si="192"/>
        <v>0</v>
      </c>
      <c r="J384" s="104">
        <f t="shared" si="192"/>
        <v>0</v>
      </c>
      <c r="K384" s="104">
        <f t="shared" si="192"/>
        <v>0</v>
      </c>
      <c r="L384" s="104">
        <f t="shared" si="192"/>
        <v>0</v>
      </c>
      <c r="M384" s="104">
        <f t="shared" si="192"/>
        <v>0</v>
      </c>
      <c r="N384" s="104">
        <f t="shared" si="192"/>
        <v>0</v>
      </c>
      <c r="O384" s="55">
        <f t="shared" si="192"/>
        <v>0</v>
      </c>
      <c r="P384" s="55">
        <f t="shared" si="192"/>
        <v>0</v>
      </c>
      <c r="Q384" s="55">
        <f t="shared" si="192"/>
        <v>0</v>
      </c>
    </row>
    <row r="385" spans="1:17" x14ac:dyDescent="0.2">
      <c r="A385" s="72">
        <v>39</v>
      </c>
      <c r="B385" s="59">
        <v>375</v>
      </c>
      <c r="C385" s="40">
        <f t="shared" si="190"/>
        <v>0</v>
      </c>
      <c r="D385" s="40">
        <f t="shared" si="190"/>
        <v>0</v>
      </c>
      <c r="E385" s="40">
        <f t="shared" si="190"/>
        <v>0</v>
      </c>
      <c r="F385" s="40">
        <f t="shared" si="190"/>
        <v>0</v>
      </c>
      <c r="G385" s="40">
        <f t="shared" si="192"/>
        <v>0</v>
      </c>
      <c r="H385" s="40">
        <f t="shared" si="192"/>
        <v>0</v>
      </c>
      <c r="I385" s="104">
        <f t="shared" si="192"/>
        <v>0</v>
      </c>
      <c r="J385" s="104">
        <f t="shared" si="192"/>
        <v>0</v>
      </c>
      <c r="K385" s="104">
        <f t="shared" si="192"/>
        <v>0</v>
      </c>
      <c r="L385" s="104">
        <f t="shared" si="192"/>
        <v>0</v>
      </c>
      <c r="M385" s="104">
        <f t="shared" si="192"/>
        <v>0</v>
      </c>
      <c r="N385" s="104">
        <f t="shared" si="192"/>
        <v>0</v>
      </c>
      <c r="O385" s="55">
        <f t="shared" si="192"/>
        <v>0</v>
      </c>
      <c r="P385" s="55">
        <f t="shared" si="192"/>
        <v>0</v>
      </c>
      <c r="Q385" s="55">
        <f t="shared" si="192"/>
        <v>0</v>
      </c>
    </row>
    <row r="386" spans="1:17" x14ac:dyDescent="0.2">
      <c r="A386" s="72">
        <v>40</v>
      </c>
      <c r="B386" s="59">
        <v>376</v>
      </c>
      <c r="C386" s="40">
        <f t="shared" si="190"/>
        <v>3.4332694957598457</v>
      </c>
      <c r="D386" s="40">
        <f t="shared" si="190"/>
        <v>1.8717327794185254</v>
      </c>
      <c r="E386" s="40">
        <f t="shared" si="190"/>
        <v>0.32981104388639787</v>
      </c>
      <c r="F386" s="40">
        <f t="shared" si="190"/>
        <v>0.74636293386083608</v>
      </c>
      <c r="G386" s="40">
        <f t="shared" si="192"/>
        <v>0.34817321475331586</v>
      </c>
      <c r="H386" s="40">
        <f t="shared" si="192"/>
        <v>5.4355139759513407E-2</v>
      </c>
      <c r="I386" s="104">
        <f t="shared" si="192"/>
        <v>0.36139678902735217</v>
      </c>
      <c r="J386" s="104">
        <f t="shared" si="192"/>
        <v>0.1970245030966869</v>
      </c>
      <c r="K386" s="104">
        <f t="shared" si="192"/>
        <v>3.471695198804188E-2</v>
      </c>
      <c r="L386" s="104">
        <f t="shared" si="192"/>
        <v>0.48220077187638283</v>
      </c>
      <c r="M386" s="104">
        <f t="shared" si="192"/>
        <v>0.26288381733406258</v>
      </c>
      <c r="N386" s="104">
        <f t="shared" si="192"/>
        <v>4.6321775826741275E-2</v>
      </c>
      <c r="O386" s="55">
        <f t="shared" si="192"/>
        <v>0.38224352251574223</v>
      </c>
      <c r="P386" s="55">
        <f t="shared" si="192"/>
        <v>0.21957685264482196</v>
      </c>
      <c r="Q386" s="55">
        <f t="shared" si="192"/>
        <v>4.6321775826741275E-2</v>
      </c>
    </row>
    <row r="387" spans="1:17" x14ac:dyDescent="0.2">
      <c r="A387" s="72">
        <v>41</v>
      </c>
      <c r="B387" s="59">
        <v>377</v>
      </c>
      <c r="C387" s="40">
        <f t="shared" si="190"/>
        <v>3.4332694957598457</v>
      </c>
      <c r="D387" s="40">
        <f t="shared" si="190"/>
        <v>1.8717327794185254</v>
      </c>
      <c r="E387" s="40">
        <f t="shared" si="190"/>
        <v>0.32981104388639787</v>
      </c>
      <c r="F387" s="40">
        <f t="shared" si="190"/>
        <v>0.74636293386083608</v>
      </c>
      <c r="G387" s="40">
        <f t="shared" si="192"/>
        <v>0.34817321475331586</v>
      </c>
      <c r="H387" s="40">
        <f t="shared" si="192"/>
        <v>5.4355139759513407E-2</v>
      </c>
      <c r="I387" s="104">
        <f t="shared" si="192"/>
        <v>0.36139678902735217</v>
      </c>
      <c r="J387" s="104">
        <f t="shared" si="192"/>
        <v>0.1970245030966869</v>
      </c>
      <c r="K387" s="104">
        <f t="shared" si="192"/>
        <v>3.471695198804188E-2</v>
      </c>
      <c r="L387" s="104">
        <f t="shared" si="192"/>
        <v>0.48220077187638283</v>
      </c>
      <c r="M387" s="104">
        <f t="shared" si="192"/>
        <v>0.26288381733406258</v>
      </c>
      <c r="N387" s="104">
        <f t="shared" si="192"/>
        <v>4.6321775826741275E-2</v>
      </c>
      <c r="O387" s="55">
        <f t="shared" si="192"/>
        <v>0.38224352251574223</v>
      </c>
      <c r="P387" s="55">
        <f t="shared" si="192"/>
        <v>0.21957685264482196</v>
      </c>
      <c r="Q387" s="55">
        <f t="shared" si="192"/>
        <v>4.6321775826741275E-2</v>
      </c>
    </row>
    <row r="388" spans="1:17" x14ac:dyDescent="0.2">
      <c r="A388" s="72">
        <v>42</v>
      </c>
      <c r="B388" s="59">
        <v>378</v>
      </c>
      <c r="C388" s="40">
        <f t="shared" si="190"/>
        <v>3.4332694957598457</v>
      </c>
      <c r="D388" s="40">
        <f t="shared" si="190"/>
        <v>1.8717327794185254</v>
      </c>
      <c r="E388" s="40">
        <f t="shared" si="190"/>
        <v>0.32981104388639787</v>
      </c>
      <c r="F388" s="40">
        <f t="shared" si="190"/>
        <v>0.74636293386083608</v>
      </c>
      <c r="G388" s="40">
        <f t="shared" si="192"/>
        <v>0.34817321475331586</v>
      </c>
      <c r="H388" s="40">
        <f t="shared" si="192"/>
        <v>5.4355139759513407E-2</v>
      </c>
      <c r="I388" s="104">
        <f t="shared" si="192"/>
        <v>0.36139678902735217</v>
      </c>
      <c r="J388" s="104">
        <f t="shared" si="192"/>
        <v>0.1970245030966869</v>
      </c>
      <c r="K388" s="104">
        <f t="shared" si="192"/>
        <v>3.471695198804188E-2</v>
      </c>
      <c r="L388" s="104">
        <f t="shared" si="192"/>
        <v>0.48220077187638283</v>
      </c>
      <c r="M388" s="104">
        <f t="shared" si="192"/>
        <v>0.26288381733406258</v>
      </c>
      <c r="N388" s="104">
        <f t="shared" si="192"/>
        <v>4.6321775826741275E-2</v>
      </c>
      <c r="O388" s="55">
        <f t="shared" si="192"/>
        <v>0.38224352251574223</v>
      </c>
      <c r="P388" s="55">
        <f t="shared" si="192"/>
        <v>0.21957685264482196</v>
      </c>
      <c r="Q388" s="55">
        <f t="shared" si="192"/>
        <v>4.6321775826741275E-2</v>
      </c>
    </row>
    <row r="389" spans="1:17" x14ac:dyDescent="0.2">
      <c r="A389" s="72">
        <v>43</v>
      </c>
      <c r="B389" s="59">
        <v>379</v>
      </c>
      <c r="C389" s="40">
        <f t="shared" si="190"/>
        <v>3.4332694957598457</v>
      </c>
      <c r="D389" s="40">
        <f t="shared" si="190"/>
        <v>1.8717327794185254</v>
      </c>
      <c r="E389" s="40">
        <f t="shared" si="190"/>
        <v>0.32981104388639787</v>
      </c>
      <c r="F389" s="40">
        <f t="shared" si="190"/>
        <v>0.74636293386083608</v>
      </c>
      <c r="G389" s="40">
        <f t="shared" si="192"/>
        <v>0.34817321475331586</v>
      </c>
      <c r="H389" s="40">
        <f t="shared" si="192"/>
        <v>5.4355139759513407E-2</v>
      </c>
      <c r="I389" s="104">
        <f t="shared" si="192"/>
        <v>0.36139678902735217</v>
      </c>
      <c r="J389" s="104">
        <f t="shared" si="192"/>
        <v>0.1970245030966869</v>
      </c>
      <c r="K389" s="104">
        <f t="shared" si="192"/>
        <v>3.471695198804188E-2</v>
      </c>
      <c r="L389" s="104">
        <f t="shared" si="192"/>
        <v>0.48220077187638283</v>
      </c>
      <c r="M389" s="104">
        <f t="shared" si="192"/>
        <v>0.26288381733406258</v>
      </c>
      <c r="N389" s="104">
        <f t="shared" si="192"/>
        <v>4.6321775826741275E-2</v>
      </c>
      <c r="O389" s="55">
        <f t="shared" si="192"/>
        <v>0.38224352251574223</v>
      </c>
      <c r="P389" s="55">
        <f t="shared" si="192"/>
        <v>0.21957685264482196</v>
      </c>
      <c r="Q389" s="55">
        <f t="shared" si="192"/>
        <v>4.6321775826741275E-2</v>
      </c>
    </row>
    <row r="390" spans="1:17" x14ac:dyDescent="0.2">
      <c r="A390" s="72">
        <v>44</v>
      </c>
      <c r="B390" s="59">
        <v>380</v>
      </c>
      <c r="C390" s="40">
        <f t="shared" si="190"/>
        <v>3.4332694957598457</v>
      </c>
      <c r="D390" s="40">
        <f t="shared" si="190"/>
        <v>1.8717327794185254</v>
      </c>
      <c r="E390" s="40">
        <f t="shared" si="190"/>
        <v>0.32981104388639787</v>
      </c>
      <c r="F390" s="40">
        <f t="shared" si="190"/>
        <v>0.74636293386083608</v>
      </c>
      <c r="G390" s="40">
        <f t="shared" si="192"/>
        <v>0.34817321475331586</v>
      </c>
      <c r="H390" s="40">
        <f t="shared" si="192"/>
        <v>5.4355139759513407E-2</v>
      </c>
      <c r="I390" s="104">
        <f t="shared" si="192"/>
        <v>0.36139678902735217</v>
      </c>
      <c r="J390" s="104">
        <f t="shared" si="192"/>
        <v>0.1970245030966869</v>
      </c>
      <c r="K390" s="104">
        <f t="shared" si="192"/>
        <v>3.471695198804188E-2</v>
      </c>
      <c r="L390" s="104">
        <f t="shared" si="192"/>
        <v>0.48220077187638283</v>
      </c>
      <c r="M390" s="104">
        <f t="shared" si="192"/>
        <v>0.26288381733406258</v>
      </c>
      <c r="N390" s="104">
        <f t="shared" si="192"/>
        <v>4.6321775826741275E-2</v>
      </c>
      <c r="O390" s="55">
        <f t="shared" si="192"/>
        <v>0.38224352251574223</v>
      </c>
      <c r="P390" s="55">
        <f t="shared" si="192"/>
        <v>0.21957685264482196</v>
      </c>
      <c r="Q390" s="55">
        <f t="shared" si="192"/>
        <v>4.6321775826741275E-2</v>
      </c>
    </row>
    <row r="391" spans="1:17" x14ac:dyDescent="0.2">
      <c r="A391" s="72">
        <v>45</v>
      </c>
      <c r="B391" s="59">
        <v>381</v>
      </c>
      <c r="C391" s="40">
        <f t="shared" si="190"/>
        <v>3.4332694957598457</v>
      </c>
      <c r="D391" s="40">
        <f t="shared" si="190"/>
        <v>1.8717327794185254</v>
      </c>
      <c r="E391" s="40">
        <f t="shared" si="190"/>
        <v>0.32981104388639787</v>
      </c>
      <c r="F391" s="40">
        <f t="shared" si="190"/>
        <v>0.74636293386083608</v>
      </c>
      <c r="G391" s="40">
        <f t="shared" si="192"/>
        <v>0.34817321475331586</v>
      </c>
      <c r="H391" s="40">
        <f t="shared" si="192"/>
        <v>5.4355139759513407E-2</v>
      </c>
      <c r="I391" s="104">
        <f t="shared" si="192"/>
        <v>0.36139678902735217</v>
      </c>
      <c r="J391" s="104">
        <f t="shared" si="192"/>
        <v>0.1970245030966869</v>
      </c>
      <c r="K391" s="104">
        <f t="shared" si="192"/>
        <v>3.471695198804188E-2</v>
      </c>
      <c r="L391" s="104">
        <f t="shared" si="192"/>
        <v>0.48220077187638283</v>
      </c>
      <c r="M391" s="104">
        <f t="shared" si="192"/>
        <v>0.26288381733406258</v>
      </c>
      <c r="N391" s="104">
        <f t="shared" si="192"/>
        <v>4.6321775826741275E-2</v>
      </c>
      <c r="O391" s="55">
        <f t="shared" si="192"/>
        <v>0.38224352251574223</v>
      </c>
      <c r="P391" s="55">
        <f t="shared" si="192"/>
        <v>0.21957685264482196</v>
      </c>
      <c r="Q391" s="55">
        <f t="shared" si="192"/>
        <v>4.6321775826741275E-2</v>
      </c>
    </row>
    <row r="392" spans="1:17" x14ac:dyDescent="0.2">
      <c r="A392" s="72">
        <v>46</v>
      </c>
      <c r="B392" s="59">
        <v>382</v>
      </c>
      <c r="C392" s="40">
        <f t="shared" si="190"/>
        <v>3.4332694957598457</v>
      </c>
      <c r="D392" s="40">
        <f t="shared" si="190"/>
        <v>1.8717327794185254</v>
      </c>
      <c r="E392" s="40">
        <f t="shared" si="190"/>
        <v>0.32981104388639787</v>
      </c>
      <c r="F392" s="40">
        <f t="shared" si="190"/>
        <v>0.74636293386083608</v>
      </c>
      <c r="G392" s="40">
        <f t="shared" si="192"/>
        <v>0.34817321475331586</v>
      </c>
      <c r="H392" s="40">
        <f t="shared" si="192"/>
        <v>5.4355139759513407E-2</v>
      </c>
      <c r="I392" s="104">
        <f t="shared" si="192"/>
        <v>0.36139678902735217</v>
      </c>
      <c r="J392" s="104">
        <f t="shared" si="192"/>
        <v>0.1970245030966869</v>
      </c>
      <c r="K392" s="104">
        <f t="shared" si="192"/>
        <v>3.471695198804188E-2</v>
      </c>
      <c r="L392" s="104">
        <f t="shared" si="192"/>
        <v>0.48220077187638283</v>
      </c>
      <c r="M392" s="104">
        <f t="shared" si="192"/>
        <v>0.26288381733406258</v>
      </c>
      <c r="N392" s="104">
        <f t="shared" si="192"/>
        <v>4.6321775826741275E-2</v>
      </c>
      <c r="O392" s="55">
        <f t="shared" si="192"/>
        <v>0.38224352251574223</v>
      </c>
      <c r="P392" s="55">
        <f t="shared" si="192"/>
        <v>0.21957685264482196</v>
      </c>
      <c r="Q392" s="55">
        <f t="shared" si="192"/>
        <v>4.6321775826741275E-2</v>
      </c>
    </row>
    <row r="393" spans="1:17" x14ac:dyDescent="0.2">
      <c r="A393" s="72">
        <v>47</v>
      </c>
      <c r="B393" s="59">
        <v>383</v>
      </c>
      <c r="C393" s="40">
        <f t="shared" si="190"/>
        <v>0</v>
      </c>
      <c r="D393" s="40">
        <f t="shared" si="190"/>
        <v>0</v>
      </c>
      <c r="E393" s="40">
        <f t="shared" si="190"/>
        <v>0</v>
      </c>
      <c r="F393" s="40">
        <f t="shared" si="190"/>
        <v>0</v>
      </c>
      <c r="G393" s="40">
        <f t="shared" si="192"/>
        <v>0</v>
      </c>
      <c r="H393" s="40">
        <f t="shared" si="192"/>
        <v>0</v>
      </c>
      <c r="I393" s="104">
        <f t="shared" si="192"/>
        <v>0</v>
      </c>
      <c r="J393" s="104">
        <f t="shared" si="192"/>
        <v>0</v>
      </c>
      <c r="K393" s="104">
        <f t="shared" si="192"/>
        <v>0</v>
      </c>
      <c r="L393" s="104">
        <f t="shared" si="192"/>
        <v>0</v>
      </c>
      <c r="M393" s="104">
        <f t="shared" si="192"/>
        <v>0</v>
      </c>
      <c r="N393" s="104">
        <f t="shared" si="192"/>
        <v>0</v>
      </c>
      <c r="O393" s="55">
        <f t="shared" si="192"/>
        <v>0</v>
      </c>
      <c r="P393" s="55">
        <f t="shared" si="192"/>
        <v>0</v>
      </c>
      <c r="Q393" s="55">
        <f t="shared" si="192"/>
        <v>0</v>
      </c>
    </row>
    <row r="394" spans="1:17" x14ac:dyDescent="0.2">
      <c r="A394" s="72">
        <v>48</v>
      </c>
      <c r="B394" s="59">
        <v>384</v>
      </c>
      <c r="C394" s="40">
        <f t="shared" si="190"/>
        <v>0</v>
      </c>
      <c r="D394" s="40">
        <f t="shared" si="190"/>
        <v>0</v>
      </c>
      <c r="E394" s="40">
        <f t="shared" si="190"/>
        <v>0</v>
      </c>
      <c r="F394" s="40">
        <f t="shared" si="190"/>
        <v>0</v>
      </c>
      <c r="G394" s="40">
        <f t="shared" si="192"/>
        <v>0</v>
      </c>
      <c r="H394" s="40">
        <f t="shared" si="192"/>
        <v>0</v>
      </c>
      <c r="I394" s="104">
        <f t="shared" si="192"/>
        <v>0</v>
      </c>
      <c r="J394" s="104">
        <f t="shared" si="192"/>
        <v>0</v>
      </c>
      <c r="K394" s="104">
        <f t="shared" si="192"/>
        <v>0</v>
      </c>
      <c r="L394" s="104">
        <f t="shared" si="192"/>
        <v>0</v>
      </c>
      <c r="M394" s="104">
        <f t="shared" si="192"/>
        <v>0</v>
      </c>
      <c r="N394" s="104">
        <f t="shared" si="192"/>
        <v>0</v>
      </c>
      <c r="O394" s="55">
        <f t="shared" si="192"/>
        <v>0</v>
      </c>
      <c r="P394" s="55">
        <f t="shared" si="192"/>
        <v>0</v>
      </c>
      <c r="Q394" s="55">
        <f t="shared" si="192"/>
        <v>0</v>
      </c>
    </row>
    <row r="395" spans="1:17" x14ac:dyDescent="0.2">
      <c r="A395" s="72">
        <v>49</v>
      </c>
      <c r="B395" s="59">
        <v>385</v>
      </c>
      <c r="C395" s="40">
        <f t="shared" si="190"/>
        <v>0</v>
      </c>
      <c r="D395" s="40">
        <f t="shared" si="190"/>
        <v>0</v>
      </c>
      <c r="E395" s="40">
        <f t="shared" si="190"/>
        <v>0</v>
      </c>
      <c r="F395" s="40">
        <f t="shared" si="190"/>
        <v>0</v>
      </c>
      <c r="G395" s="40">
        <f t="shared" ref="G395:Q410" si="193">G59</f>
        <v>0</v>
      </c>
      <c r="H395" s="40">
        <f t="shared" si="193"/>
        <v>0</v>
      </c>
      <c r="I395" s="104">
        <f t="shared" si="193"/>
        <v>0</v>
      </c>
      <c r="J395" s="104">
        <f t="shared" si="193"/>
        <v>0</v>
      </c>
      <c r="K395" s="104">
        <f t="shared" si="193"/>
        <v>0</v>
      </c>
      <c r="L395" s="104">
        <f t="shared" si="193"/>
        <v>0</v>
      </c>
      <c r="M395" s="104">
        <f t="shared" si="193"/>
        <v>0</v>
      </c>
      <c r="N395" s="104">
        <f t="shared" si="193"/>
        <v>0</v>
      </c>
      <c r="O395" s="55">
        <f t="shared" si="193"/>
        <v>0</v>
      </c>
      <c r="P395" s="55">
        <f t="shared" si="193"/>
        <v>0</v>
      </c>
      <c r="Q395" s="55">
        <f t="shared" si="193"/>
        <v>0</v>
      </c>
    </row>
    <row r="396" spans="1:17" x14ac:dyDescent="0.2">
      <c r="A396" s="72">
        <v>50</v>
      </c>
      <c r="B396" s="59">
        <v>386</v>
      </c>
      <c r="C396" s="40">
        <f t="shared" si="190"/>
        <v>0</v>
      </c>
      <c r="D396" s="40">
        <f t="shared" si="190"/>
        <v>0</v>
      </c>
      <c r="E396" s="40">
        <f t="shared" si="190"/>
        <v>0</v>
      </c>
      <c r="F396" s="40">
        <f t="shared" si="190"/>
        <v>0</v>
      </c>
      <c r="G396" s="40">
        <f t="shared" si="193"/>
        <v>0</v>
      </c>
      <c r="H396" s="40">
        <f t="shared" si="193"/>
        <v>0</v>
      </c>
      <c r="I396" s="104">
        <f t="shared" si="193"/>
        <v>0</v>
      </c>
      <c r="J396" s="104">
        <f t="shared" si="193"/>
        <v>0</v>
      </c>
      <c r="K396" s="104">
        <f t="shared" si="193"/>
        <v>0</v>
      </c>
      <c r="L396" s="104">
        <f t="shared" si="193"/>
        <v>0</v>
      </c>
      <c r="M396" s="104">
        <f t="shared" si="193"/>
        <v>0</v>
      </c>
      <c r="N396" s="104">
        <f t="shared" si="193"/>
        <v>0</v>
      </c>
      <c r="O396" s="55">
        <f t="shared" si="193"/>
        <v>0</v>
      </c>
      <c r="P396" s="55">
        <f t="shared" si="193"/>
        <v>0</v>
      </c>
      <c r="Q396" s="55">
        <f t="shared" si="193"/>
        <v>0</v>
      </c>
    </row>
    <row r="397" spans="1:17" x14ac:dyDescent="0.2">
      <c r="A397" s="72">
        <v>51</v>
      </c>
      <c r="B397" s="59">
        <v>387</v>
      </c>
      <c r="C397" s="40">
        <f t="shared" si="190"/>
        <v>0</v>
      </c>
      <c r="D397" s="40">
        <f t="shared" si="190"/>
        <v>0</v>
      </c>
      <c r="E397" s="40">
        <f t="shared" si="190"/>
        <v>0</v>
      </c>
      <c r="F397" s="40">
        <f t="shared" si="190"/>
        <v>0</v>
      </c>
      <c r="G397" s="40">
        <f t="shared" si="193"/>
        <v>0</v>
      </c>
      <c r="H397" s="40">
        <f t="shared" si="193"/>
        <v>0</v>
      </c>
      <c r="I397" s="104">
        <f t="shared" si="193"/>
        <v>0</v>
      </c>
      <c r="J397" s="104">
        <f t="shared" si="193"/>
        <v>0</v>
      </c>
      <c r="K397" s="104">
        <f t="shared" si="193"/>
        <v>0</v>
      </c>
      <c r="L397" s="104">
        <f t="shared" si="193"/>
        <v>0</v>
      </c>
      <c r="M397" s="104">
        <f t="shared" si="193"/>
        <v>0</v>
      </c>
      <c r="N397" s="104">
        <f t="shared" si="193"/>
        <v>0</v>
      </c>
      <c r="O397" s="55">
        <f t="shared" si="193"/>
        <v>0</v>
      </c>
      <c r="P397" s="55">
        <f t="shared" si="193"/>
        <v>0</v>
      </c>
      <c r="Q397" s="55">
        <f t="shared" si="193"/>
        <v>0</v>
      </c>
    </row>
    <row r="398" spans="1:17" x14ac:dyDescent="0.2">
      <c r="A398" s="72">
        <v>52</v>
      </c>
      <c r="B398" s="59">
        <v>388</v>
      </c>
      <c r="C398" s="40">
        <f t="shared" si="190"/>
        <v>0</v>
      </c>
      <c r="D398" s="40">
        <f t="shared" si="190"/>
        <v>0</v>
      </c>
      <c r="E398" s="40">
        <f t="shared" si="190"/>
        <v>0</v>
      </c>
      <c r="F398" s="40">
        <f t="shared" si="190"/>
        <v>0</v>
      </c>
      <c r="G398" s="40">
        <f t="shared" si="193"/>
        <v>0</v>
      </c>
      <c r="H398" s="40">
        <f t="shared" si="193"/>
        <v>0</v>
      </c>
      <c r="I398" s="104">
        <f t="shared" si="193"/>
        <v>0</v>
      </c>
      <c r="J398" s="104">
        <f t="shared" si="193"/>
        <v>0</v>
      </c>
      <c r="K398" s="104">
        <f t="shared" si="193"/>
        <v>0</v>
      </c>
      <c r="L398" s="104">
        <f t="shared" si="193"/>
        <v>0</v>
      </c>
      <c r="M398" s="104">
        <f t="shared" si="193"/>
        <v>0</v>
      </c>
      <c r="N398" s="104">
        <f t="shared" si="193"/>
        <v>0</v>
      </c>
      <c r="O398" s="55">
        <f t="shared" si="193"/>
        <v>0</v>
      </c>
      <c r="P398" s="55">
        <f t="shared" si="193"/>
        <v>0</v>
      </c>
      <c r="Q398" s="55">
        <f t="shared" si="193"/>
        <v>0</v>
      </c>
    </row>
    <row r="399" spans="1:17" x14ac:dyDescent="0.2">
      <c r="A399" s="72">
        <v>53</v>
      </c>
      <c r="B399" s="59">
        <v>389</v>
      </c>
      <c r="C399" s="40">
        <f t="shared" si="190"/>
        <v>0</v>
      </c>
      <c r="D399" s="40">
        <f t="shared" si="190"/>
        <v>0</v>
      </c>
      <c r="E399" s="40">
        <f t="shared" si="190"/>
        <v>0</v>
      </c>
      <c r="F399" s="40">
        <f t="shared" si="190"/>
        <v>0</v>
      </c>
      <c r="G399" s="40">
        <f t="shared" si="193"/>
        <v>0</v>
      </c>
      <c r="H399" s="40">
        <f t="shared" si="193"/>
        <v>0</v>
      </c>
      <c r="I399" s="104">
        <f t="shared" si="193"/>
        <v>0</v>
      </c>
      <c r="J399" s="104">
        <f t="shared" si="193"/>
        <v>0</v>
      </c>
      <c r="K399" s="104">
        <f t="shared" si="193"/>
        <v>0</v>
      </c>
      <c r="L399" s="104">
        <f t="shared" si="193"/>
        <v>0</v>
      </c>
      <c r="M399" s="104">
        <f t="shared" si="193"/>
        <v>0</v>
      </c>
      <c r="N399" s="104">
        <f t="shared" si="193"/>
        <v>0</v>
      </c>
      <c r="O399" s="55">
        <f t="shared" si="193"/>
        <v>0</v>
      </c>
      <c r="P399" s="55">
        <f t="shared" si="193"/>
        <v>0</v>
      </c>
      <c r="Q399" s="55">
        <f t="shared" si="193"/>
        <v>0</v>
      </c>
    </row>
    <row r="400" spans="1:17" x14ac:dyDescent="0.2">
      <c r="A400" s="72">
        <v>54</v>
      </c>
      <c r="B400" s="59">
        <v>390</v>
      </c>
      <c r="C400" s="40">
        <f t="shared" si="190"/>
        <v>0</v>
      </c>
      <c r="D400" s="40">
        <f t="shared" si="190"/>
        <v>0</v>
      </c>
      <c r="E400" s="40">
        <f t="shared" si="190"/>
        <v>0</v>
      </c>
      <c r="F400" s="40">
        <f t="shared" si="190"/>
        <v>0</v>
      </c>
      <c r="G400" s="40">
        <f t="shared" si="193"/>
        <v>0</v>
      </c>
      <c r="H400" s="40">
        <f t="shared" si="193"/>
        <v>0</v>
      </c>
      <c r="I400" s="104">
        <f t="shared" si="193"/>
        <v>0</v>
      </c>
      <c r="J400" s="104">
        <f t="shared" si="193"/>
        <v>0</v>
      </c>
      <c r="K400" s="104">
        <f t="shared" si="193"/>
        <v>0</v>
      </c>
      <c r="L400" s="104">
        <f t="shared" si="193"/>
        <v>0</v>
      </c>
      <c r="M400" s="104">
        <f t="shared" si="193"/>
        <v>0</v>
      </c>
      <c r="N400" s="104">
        <f t="shared" si="193"/>
        <v>0</v>
      </c>
      <c r="O400" s="55">
        <f t="shared" si="193"/>
        <v>0</v>
      </c>
      <c r="P400" s="55">
        <f t="shared" si="193"/>
        <v>0</v>
      </c>
      <c r="Q400" s="55">
        <f t="shared" si="193"/>
        <v>0</v>
      </c>
    </row>
    <row r="401" spans="1:17" x14ac:dyDescent="0.2">
      <c r="A401" s="72">
        <v>55</v>
      </c>
      <c r="B401" s="59">
        <v>391</v>
      </c>
      <c r="C401" s="40">
        <f t="shared" si="190"/>
        <v>3.4332694957598457</v>
      </c>
      <c r="D401" s="40">
        <f t="shared" si="190"/>
        <v>1.8717327794185254</v>
      </c>
      <c r="E401" s="40">
        <f t="shared" si="190"/>
        <v>0.32981104388639787</v>
      </c>
      <c r="F401" s="40">
        <f t="shared" si="190"/>
        <v>0.74636293386083608</v>
      </c>
      <c r="G401" s="40">
        <f t="shared" si="193"/>
        <v>0.34817321475331586</v>
      </c>
      <c r="H401" s="40">
        <f t="shared" si="193"/>
        <v>5.4355139759513407E-2</v>
      </c>
      <c r="I401" s="104">
        <f t="shared" si="193"/>
        <v>0.36139678902735217</v>
      </c>
      <c r="J401" s="104">
        <f t="shared" si="193"/>
        <v>0.1970245030966869</v>
      </c>
      <c r="K401" s="104">
        <f t="shared" si="193"/>
        <v>3.471695198804188E-2</v>
      </c>
      <c r="L401" s="104">
        <f t="shared" si="193"/>
        <v>0.48220077187638283</v>
      </c>
      <c r="M401" s="104">
        <f t="shared" si="193"/>
        <v>0.26288381733406258</v>
      </c>
      <c r="N401" s="104">
        <f t="shared" si="193"/>
        <v>4.6321775826741275E-2</v>
      </c>
      <c r="O401" s="55">
        <f t="shared" si="193"/>
        <v>0.38224352251574223</v>
      </c>
      <c r="P401" s="55">
        <f t="shared" si="193"/>
        <v>0.21957685264482196</v>
      </c>
      <c r="Q401" s="55">
        <f t="shared" si="193"/>
        <v>4.6321775826741275E-2</v>
      </c>
    </row>
    <row r="402" spans="1:17" x14ac:dyDescent="0.2">
      <c r="A402" s="72">
        <v>56</v>
      </c>
      <c r="B402" s="59">
        <v>392</v>
      </c>
      <c r="C402" s="40">
        <f t="shared" si="190"/>
        <v>3.4332694957598457</v>
      </c>
      <c r="D402" s="40">
        <f t="shared" si="190"/>
        <v>1.8717327794185254</v>
      </c>
      <c r="E402" s="40">
        <f t="shared" si="190"/>
        <v>0.32981104388639787</v>
      </c>
      <c r="F402" s="40">
        <f t="shared" si="190"/>
        <v>0.74636293386083608</v>
      </c>
      <c r="G402" s="40">
        <f t="shared" si="193"/>
        <v>0.34817321475331586</v>
      </c>
      <c r="H402" s="40">
        <f t="shared" si="193"/>
        <v>5.4355139759513407E-2</v>
      </c>
      <c r="I402" s="104">
        <f t="shared" si="193"/>
        <v>0.36139678902735217</v>
      </c>
      <c r="J402" s="104">
        <f t="shared" si="193"/>
        <v>0.1970245030966869</v>
      </c>
      <c r="K402" s="104">
        <f t="shared" si="193"/>
        <v>3.471695198804188E-2</v>
      </c>
      <c r="L402" s="104">
        <f t="shared" si="193"/>
        <v>0.48220077187638283</v>
      </c>
      <c r="M402" s="104">
        <f t="shared" si="193"/>
        <v>0.26288381733406258</v>
      </c>
      <c r="N402" s="104">
        <f t="shared" si="193"/>
        <v>4.6321775826741275E-2</v>
      </c>
      <c r="O402" s="55">
        <f t="shared" si="193"/>
        <v>0.38224352251574223</v>
      </c>
      <c r="P402" s="55">
        <f t="shared" si="193"/>
        <v>0.21957685264482196</v>
      </c>
      <c r="Q402" s="55">
        <f t="shared" si="193"/>
        <v>4.6321775826741275E-2</v>
      </c>
    </row>
    <row r="403" spans="1:17" x14ac:dyDescent="0.2">
      <c r="A403" s="72">
        <v>57</v>
      </c>
      <c r="B403" s="59">
        <v>393</v>
      </c>
      <c r="C403" s="40">
        <f t="shared" si="190"/>
        <v>0</v>
      </c>
      <c r="D403" s="40">
        <f t="shared" si="190"/>
        <v>0</v>
      </c>
      <c r="E403" s="40">
        <f t="shared" si="190"/>
        <v>0</v>
      </c>
      <c r="F403" s="40">
        <f t="shared" si="190"/>
        <v>0</v>
      </c>
      <c r="G403" s="40">
        <f t="shared" si="193"/>
        <v>0</v>
      </c>
      <c r="H403" s="40">
        <f t="shared" si="193"/>
        <v>0</v>
      </c>
      <c r="I403" s="104">
        <f t="shared" si="193"/>
        <v>0</v>
      </c>
      <c r="J403" s="104">
        <f t="shared" si="193"/>
        <v>0</v>
      </c>
      <c r="K403" s="104">
        <f t="shared" si="193"/>
        <v>0</v>
      </c>
      <c r="L403" s="104">
        <f t="shared" si="193"/>
        <v>0</v>
      </c>
      <c r="M403" s="104">
        <f t="shared" si="193"/>
        <v>0</v>
      </c>
      <c r="N403" s="104">
        <f t="shared" si="193"/>
        <v>0</v>
      </c>
      <c r="O403" s="55">
        <f t="shared" si="193"/>
        <v>0</v>
      </c>
      <c r="P403" s="55">
        <f t="shared" si="193"/>
        <v>0</v>
      </c>
      <c r="Q403" s="55">
        <f t="shared" si="193"/>
        <v>0</v>
      </c>
    </row>
    <row r="404" spans="1:17" x14ac:dyDescent="0.2">
      <c r="A404" s="72">
        <v>58</v>
      </c>
      <c r="B404" s="59">
        <v>394</v>
      </c>
      <c r="C404" s="40">
        <f t="shared" si="190"/>
        <v>0</v>
      </c>
      <c r="D404" s="40">
        <f t="shared" si="190"/>
        <v>0</v>
      </c>
      <c r="E404" s="40">
        <f t="shared" si="190"/>
        <v>0</v>
      </c>
      <c r="F404" s="40">
        <f t="shared" si="190"/>
        <v>0</v>
      </c>
      <c r="G404" s="40">
        <f t="shared" si="193"/>
        <v>0</v>
      </c>
      <c r="H404" s="40">
        <f t="shared" si="193"/>
        <v>0</v>
      </c>
      <c r="I404" s="104">
        <f t="shared" si="193"/>
        <v>0</v>
      </c>
      <c r="J404" s="104">
        <f t="shared" si="193"/>
        <v>0</v>
      </c>
      <c r="K404" s="104">
        <f t="shared" si="193"/>
        <v>0</v>
      </c>
      <c r="L404" s="104">
        <f t="shared" si="193"/>
        <v>0</v>
      </c>
      <c r="M404" s="104">
        <f t="shared" si="193"/>
        <v>0</v>
      </c>
      <c r="N404" s="104">
        <f t="shared" si="193"/>
        <v>0</v>
      </c>
      <c r="O404" s="55">
        <f t="shared" si="193"/>
        <v>0</v>
      </c>
      <c r="P404" s="55">
        <f t="shared" si="193"/>
        <v>0</v>
      </c>
      <c r="Q404" s="55">
        <f t="shared" si="193"/>
        <v>0</v>
      </c>
    </row>
    <row r="405" spans="1:17" x14ac:dyDescent="0.2">
      <c r="A405" s="72">
        <v>59</v>
      </c>
      <c r="B405" s="59">
        <v>395</v>
      </c>
      <c r="C405" s="40">
        <f t="shared" si="190"/>
        <v>0</v>
      </c>
      <c r="D405" s="40">
        <f t="shared" si="190"/>
        <v>0</v>
      </c>
      <c r="E405" s="40">
        <f t="shared" si="190"/>
        <v>0</v>
      </c>
      <c r="F405" s="40">
        <f t="shared" si="190"/>
        <v>0</v>
      </c>
      <c r="G405" s="40">
        <f t="shared" si="193"/>
        <v>0</v>
      </c>
      <c r="H405" s="40">
        <f t="shared" si="193"/>
        <v>0</v>
      </c>
      <c r="I405" s="104">
        <f t="shared" si="193"/>
        <v>0</v>
      </c>
      <c r="J405" s="104">
        <f t="shared" si="193"/>
        <v>0</v>
      </c>
      <c r="K405" s="104">
        <f t="shared" si="193"/>
        <v>0</v>
      </c>
      <c r="L405" s="104">
        <f t="shared" si="193"/>
        <v>0</v>
      </c>
      <c r="M405" s="104">
        <f t="shared" si="193"/>
        <v>0</v>
      </c>
      <c r="N405" s="104">
        <f t="shared" si="193"/>
        <v>0</v>
      </c>
      <c r="O405" s="55">
        <f t="shared" si="193"/>
        <v>0</v>
      </c>
      <c r="P405" s="55">
        <f t="shared" si="193"/>
        <v>0</v>
      </c>
      <c r="Q405" s="55">
        <f t="shared" si="193"/>
        <v>0</v>
      </c>
    </row>
    <row r="406" spans="1:17" x14ac:dyDescent="0.2">
      <c r="A406" s="72">
        <v>60</v>
      </c>
      <c r="B406" s="59">
        <v>396</v>
      </c>
      <c r="C406" s="40">
        <f t="shared" si="190"/>
        <v>0</v>
      </c>
      <c r="D406" s="40">
        <f t="shared" si="190"/>
        <v>0</v>
      </c>
      <c r="E406" s="40">
        <f t="shared" si="190"/>
        <v>0</v>
      </c>
      <c r="F406" s="40">
        <f t="shared" si="190"/>
        <v>0</v>
      </c>
      <c r="G406" s="40">
        <f t="shared" si="193"/>
        <v>0</v>
      </c>
      <c r="H406" s="40">
        <f t="shared" si="193"/>
        <v>0</v>
      </c>
      <c r="I406" s="104">
        <f t="shared" si="193"/>
        <v>0</v>
      </c>
      <c r="J406" s="104">
        <f t="shared" si="193"/>
        <v>0</v>
      </c>
      <c r="K406" s="104">
        <f t="shared" si="193"/>
        <v>0</v>
      </c>
      <c r="L406" s="104">
        <f t="shared" si="193"/>
        <v>0</v>
      </c>
      <c r="M406" s="104">
        <f t="shared" si="193"/>
        <v>0</v>
      </c>
      <c r="N406" s="104">
        <f t="shared" si="193"/>
        <v>0</v>
      </c>
      <c r="O406" s="55">
        <f t="shared" si="193"/>
        <v>0</v>
      </c>
      <c r="P406" s="55">
        <f t="shared" si="193"/>
        <v>0</v>
      </c>
      <c r="Q406" s="55">
        <f t="shared" si="193"/>
        <v>0</v>
      </c>
    </row>
    <row r="407" spans="1:17" x14ac:dyDescent="0.2">
      <c r="A407" s="72">
        <v>61</v>
      </c>
      <c r="B407" s="59">
        <v>397</v>
      </c>
      <c r="C407" s="40">
        <f t="shared" si="190"/>
        <v>0</v>
      </c>
      <c r="D407" s="40">
        <f t="shared" si="190"/>
        <v>0</v>
      </c>
      <c r="E407" s="40">
        <f t="shared" si="190"/>
        <v>0</v>
      </c>
      <c r="F407" s="40">
        <f t="shared" si="190"/>
        <v>0</v>
      </c>
      <c r="G407" s="40">
        <f t="shared" si="193"/>
        <v>0</v>
      </c>
      <c r="H407" s="40">
        <f t="shared" si="193"/>
        <v>0</v>
      </c>
      <c r="I407" s="104">
        <f t="shared" si="193"/>
        <v>0</v>
      </c>
      <c r="J407" s="104">
        <f t="shared" si="193"/>
        <v>0</v>
      </c>
      <c r="K407" s="104">
        <f t="shared" si="193"/>
        <v>0</v>
      </c>
      <c r="L407" s="104">
        <f t="shared" si="193"/>
        <v>0</v>
      </c>
      <c r="M407" s="104">
        <f t="shared" si="193"/>
        <v>0</v>
      </c>
      <c r="N407" s="104">
        <f t="shared" si="193"/>
        <v>0</v>
      </c>
      <c r="O407" s="55">
        <f t="shared" si="193"/>
        <v>0</v>
      </c>
      <c r="P407" s="55">
        <f t="shared" si="193"/>
        <v>0</v>
      </c>
      <c r="Q407" s="55">
        <f t="shared" si="193"/>
        <v>0</v>
      </c>
    </row>
    <row r="408" spans="1:17" x14ac:dyDescent="0.2">
      <c r="A408" s="72">
        <v>62</v>
      </c>
      <c r="B408" s="59">
        <v>398</v>
      </c>
      <c r="C408" s="40">
        <f t="shared" si="190"/>
        <v>0</v>
      </c>
      <c r="D408" s="40">
        <f t="shared" si="190"/>
        <v>0</v>
      </c>
      <c r="E408" s="40">
        <f t="shared" si="190"/>
        <v>0</v>
      </c>
      <c r="F408" s="40">
        <f t="shared" si="190"/>
        <v>0</v>
      </c>
      <c r="G408" s="40">
        <f t="shared" si="193"/>
        <v>0</v>
      </c>
      <c r="H408" s="40">
        <f t="shared" si="193"/>
        <v>0</v>
      </c>
      <c r="I408" s="104">
        <f t="shared" si="193"/>
        <v>0</v>
      </c>
      <c r="J408" s="104">
        <f t="shared" si="193"/>
        <v>0</v>
      </c>
      <c r="K408" s="104">
        <f t="shared" si="193"/>
        <v>0</v>
      </c>
      <c r="L408" s="104">
        <f t="shared" si="193"/>
        <v>0</v>
      </c>
      <c r="M408" s="104">
        <f t="shared" si="193"/>
        <v>0</v>
      </c>
      <c r="N408" s="104">
        <f t="shared" si="193"/>
        <v>0</v>
      </c>
      <c r="O408" s="55">
        <f t="shared" si="193"/>
        <v>0</v>
      </c>
      <c r="P408" s="55">
        <f t="shared" si="193"/>
        <v>0</v>
      </c>
      <c r="Q408" s="55">
        <f t="shared" si="193"/>
        <v>0</v>
      </c>
    </row>
    <row r="409" spans="1:17" x14ac:dyDescent="0.2">
      <c r="A409" s="72">
        <v>63</v>
      </c>
      <c r="B409" s="59">
        <v>399</v>
      </c>
      <c r="C409" s="40">
        <f t="shared" si="190"/>
        <v>0</v>
      </c>
      <c r="D409" s="40">
        <f t="shared" si="190"/>
        <v>0</v>
      </c>
      <c r="E409" s="40">
        <f t="shared" si="190"/>
        <v>0</v>
      </c>
      <c r="F409" s="40">
        <f t="shared" si="190"/>
        <v>0</v>
      </c>
      <c r="G409" s="40">
        <f t="shared" si="193"/>
        <v>0</v>
      </c>
      <c r="H409" s="40">
        <f t="shared" si="193"/>
        <v>0</v>
      </c>
      <c r="I409" s="104">
        <f t="shared" si="193"/>
        <v>0</v>
      </c>
      <c r="J409" s="104">
        <f t="shared" si="193"/>
        <v>0</v>
      </c>
      <c r="K409" s="104">
        <f t="shared" si="193"/>
        <v>0</v>
      </c>
      <c r="L409" s="104">
        <f t="shared" si="193"/>
        <v>0</v>
      </c>
      <c r="M409" s="104">
        <f t="shared" si="193"/>
        <v>0</v>
      </c>
      <c r="N409" s="104">
        <f t="shared" si="193"/>
        <v>0</v>
      </c>
      <c r="O409" s="55">
        <f t="shared" si="193"/>
        <v>0</v>
      </c>
      <c r="P409" s="55">
        <f t="shared" si="193"/>
        <v>0</v>
      </c>
      <c r="Q409" s="55">
        <f t="shared" si="193"/>
        <v>0</v>
      </c>
    </row>
    <row r="410" spans="1:17" x14ac:dyDescent="0.2">
      <c r="A410" s="72">
        <v>64</v>
      </c>
      <c r="B410" s="59">
        <v>400</v>
      </c>
      <c r="C410" s="40">
        <f t="shared" si="190"/>
        <v>3.4332694957598457</v>
      </c>
      <c r="D410" s="40">
        <f t="shared" si="190"/>
        <v>1.8717327794185254</v>
      </c>
      <c r="E410" s="40">
        <f t="shared" si="190"/>
        <v>0.32981104388639787</v>
      </c>
      <c r="F410" s="40">
        <f t="shared" si="190"/>
        <v>0.74636293386083608</v>
      </c>
      <c r="G410" s="40">
        <f t="shared" si="193"/>
        <v>0.34817321475331586</v>
      </c>
      <c r="H410" s="40">
        <f t="shared" si="193"/>
        <v>5.4355139759513407E-2</v>
      </c>
      <c r="I410" s="104">
        <f t="shared" si="193"/>
        <v>0.36139678902735217</v>
      </c>
      <c r="J410" s="104">
        <f t="shared" si="193"/>
        <v>0.1970245030966869</v>
      </c>
      <c r="K410" s="104">
        <f t="shared" si="193"/>
        <v>3.471695198804188E-2</v>
      </c>
      <c r="L410" s="104">
        <f t="shared" si="193"/>
        <v>0.48220077187638283</v>
      </c>
      <c r="M410" s="104">
        <f t="shared" si="193"/>
        <v>0.26288381733406258</v>
      </c>
      <c r="N410" s="104">
        <f t="shared" si="193"/>
        <v>4.6321775826741275E-2</v>
      </c>
      <c r="O410" s="55">
        <f t="shared" si="193"/>
        <v>0.38224352251574223</v>
      </c>
      <c r="P410" s="55">
        <f t="shared" si="193"/>
        <v>0.21957685264482196</v>
      </c>
      <c r="Q410" s="55">
        <f t="shared" si="193"/>
        <v>4.6321775826741275E-2</v>
      </c>
    </row>
    <row r="411" spans="1:17" x14ac:dyDescent="0.2">
      <c r="A411" s="72">
        <v>65</v>
      </c>
      <c r="B411" s="59">
        <v>401</v>
      </c>
      <c r="C411" s="40">
        <f t="shared" si="190"/>
        <v>3.4332694957598457</v>
      </c>
      <c r="D411" s="40">
        <f t="shared" si="190"/>
        <v>1.8717327794185254</v>
      </c>
      <c r="E411" s="40">
        <f t="shared" si="190"/>
        <v>0.32981104388639787</v>
      </c>
      <c r="F411" s="40">
        <f t="shared" ref="F411:K474" si="194">F75</f>
        <v>0.74636293386083608</v>
      </c>
      <c r="G411" s="40">
        <f t="shared" si="194"/>
        <v>0.34817321475331586</v>
      </c>
      <c r="H411" s="40">
        <f t="shared" si="194"/>
        <v>5.4355139759513407E-2</v>
      </c>
      <c r="I411" s="104">
        <f t="shared" si="194"/>
        <v>0.36139678902735217</v>
      </c>
      <c r="J411" s="104">
        <f t="shared" si="194"/>
        <v>0.1970245030966869</v>
      </c>
      <c r="K411" s="104">
        <f t="shared" si="194"/>
        <v>3.471695198804188E-2</v>
      </c>
      <c r="L411" s="104">
        <f t="shared" ref="L411:Q411" si="195">L75</f>
        <v>0.48220077187638283</v>
      </c>
      <c r="M411" s="104">
        <f t="shared" si="195"/>
        <v>0.26288381733406258</v>
      </c>
      <c r="N411" s="104">
        <f t="shared" si="195"/>
        <v>4.6321775826741275E-2</v>
      </c>
      <c r="O411" s="55">
        <f t="shared" si="195"/>
        <v>0.38224352251574223</v>
      </c>
      <c r="P411" s="55">
        <f t="shared" si="195"/>
        <v>0.21957685264482196</v>
      </c>
      <c r="Q411" s="55">
        <f t="shared" si="195"/>
        <v>4.6321775826741275E-2</v>
      </c>
    </row>
    <row r="412" spans="1:17" x14ac:dyDescent="0.2">
      <c r="A412" s="72">
        <v>66</v>
      </c>
      <c r="B412" s="59">
        <v>402</v>
      </c>
      <c r="C412" s="40">
        <f t="shared" ref="C412:F475" si="196">C76</f>
        <v>3.4332694957598457</v>
      </c>
      <c r="D412" s="40">
        <f t="shared" si="196"/>
        <v>1.8717327794185254</v>
      </c>
      <c r="E412" s="40">
        <f t="shared" si="196"/>
        <v>0.32981104388639787</v>
      </c>
      <c r="F412" s="40">
        <f t="shared" si="194"/>
        <v>0.74636293386083608</v>
      </c>
      <c r="G412" s="40">
        <f t="shared" si="194"/>
        <v>0.34817321475331586</v>
      </c>
      <c r="H412" s="40">
        <f t="shared" si="194"/>
        <v>5.4355139759513407E-2</v>
      </c>
      <c r="I412" s="104">
        <f t="shared" si="194"/>
        <v>0.36139678902735217</v>
      </c>
      <c r="J412" s="104">
        <f t="shared" si="194"/>
        <v>0.1970245030966869</v>
      </c>
      <c r="K412" s="104">
        <f t="shared" si="194"/>
        <v>3.471695198804188E-2</v>
      </c>
      <c r="L412" s="104">
        <f t="shared" ref="L412:Q412" si="197">L76</f>
        <v>0.48220077187638283</v>
      </c>
      <c r="M412" s="104">
        <f t="shared" si="197"/>
        <v>0.26288381733406258</v>
      </c>
      <c r="N412" s="104">
        <f t="shared" si="197"/>
        <v>4.6321775826741275E-2</v>
      </c>
      <c r="O412" s="55">
        <f t="shared" si="197"/>
        <v>0.38224352251574223</v>
      </c>
      <c r="P412" s="55">
        <f t="shared" si="197"/>
        <v>0.21957685264482196</v>
      </c>
      <c r="Q412" s="55">
        <f t="shared" si="197"/>
        <v>4.6321775826741275E-2</v>
      </c>
    </row>
    <row r="413" spans="1:17" x14ac:dyDescent="0.2">
      <c r="A413" s="72">
        <v>67</v>
      </c>
      <c r="B413" s="59">
        <v>403</v>
      </c>
      <c r="C413" s="40">
        <f t="shared" si="196"/>
        <v>3.4332694957598457</v>
      </c>
      <c r="D413" s="40">
        <f t="shared" si="196"/>
        <v>1.8717327794185254</v>
      </c>
      <c r="E413" s="40">
        <f t="shared" si="196"/>
        <v>0.32981104388639787</v>
      </c>
      <c r="F413" s="40">
        <f t="shared" si="194"/>
        <v>0.74636293386083608</v>
      </c>
      <c r="G413" s="40">
        <f t="shared" si="194"/>
        <v>0.34817321475331586</v>
      </c>
      <c r="H413" s="40">
        <f t="shared" si="194"/>
        <v>5.4355139759513407E-2</v>
      </c>
      <c r="I413" s="104">
        <f t="shared" si="194"/>
        <v>0.36139678902735217</v>
      </c>
      <c r="J413" s="104">
        <f t="shared" si="194"/>
        <v>0.1970245030966869</v>
      </c>
      <c r="K413" s="104">
        <f t="shared" si="194"/>
        <v>3.471695198804188E-2</v>
      </c>
      <c r="L413" s="104">
        <f t="shared" ref="L413:Q413" si="198">L77</f>
        <v>0.48220077187638283</v>
      </c>
      <c r="M413" s="104">
        <f t="shared" si="198"/>
        <v>0.26288381733406258</v>
      </c>
      <c r="N413" s="104">
        <f t="shared" si="198"/>
        <v>4.6321775826741275E-2</v>
      </c>
      <c r="O413" s="55">
        <f t="shared" si="198"/>
        <v>0.38224352251574223</v>
      </c>
      <c r="P413" s="55">
        <f t="shared" si="198"/>
        <v>0.21957685264482196</v>
      </c>
      <c r="Q413" s="55">
        <f t="shared" si="198"/>
        <v>4.6321775826741275E-2</v>
      </c>
    </row>
    <row r="414" spans="1:17" x14ac:dyDescent="0.2">
      <c r="A414" s="72">
        <v>68</v>
      </c>
      <c r="B414" s="59">
        <v>404</v>
      </c>
      <c r="C414" s="40">
        <f t="shared" si="196"/>
        <v>3.4332694957598457</v>
      </c>
      <c r="D414" s="40">
        <f t="shared" si="196"/>
        <v>1.8717327794185254</v>
      </c>
      <c r="E414" s="40">
        <f t="shared" si="196"/>
        <v>0.32981104388639787</v>
      </c>
      <c r="F414" s="40">
        <f t="shared" si="194"/>
        <v>0.74636293386083608</v>
      </c>
      <c r="G414" s="40">
        <f t="shared" si="194"/>
        <v>0.34817321475331586</v>
      </c>
      <c r="H414" s="40">
        <f t="shared" si="194"/>
        <v>5.4355139759513407E-2</v>
      </c>
      <c r="I414" s="104">
        <f t="shared" si="194"/>
        <v>0.36139678902735217</v>
      </c>
      <c r="J414" s="104">
        <f t="shared" si="194"/>
        <v>0.1970245030966869</v>
      </c>
      <c r="K414" s="104">
        <f t="shared" si="194"/>
        <v>3.471695198804188E-2</v>
      </c>
      <c r="L414" s="104">
        <f t="shared" ref="L414:Q414" si="199">L78</f>
        <v>0.48220077187638283</v>
      </c>
      <c r="M414" s="104">
        <f t="shared" si="199"/>
        <v>0.26288381733406258</v>
      </c>
      <c r="N414" s="104">
        <f t="shared" si="199"/>
        <v>4.6321775826741275E-2</v>
      </c>
      <c r="O414" s="55">
        <f t="shared" si="199"/>
        <v>0.38224352251574223</v>
      </c>
      <c r="P414" s="55">
        <f t="shared" si="199"/>
        <v>0.21957685264482196</v>
      </c>
      <c r="Q414" s="55">
        <f t="shared" si="199"/>
        <v>4.6321775826741275E-2</v>
      </c>
    </row>
    <row r="415" spans="1:17" x14ac:dyDescent="0.2">
      <c r="A415" s="72">
        <v>69</v>
      </c>
      <c r="B415" s="59">
        <v>405</v>
      </c>
      <c r="C415" s="40">
        <f t="shared" si="196"/>
        <v>3.4332694957598457</v>
      </c>
      <c r="D415" s="40">
        <f t="shared" si="196"/>
        <v>1.8717327794185254</v>
      </c>
      <c r="E415" s="40">
        <f t="shared" si="196"/>
        <v>0.32981104388639787</v>
      </c>
      <c r="F415" s="40">
        <f t="shared" si="194"/>
        <v>0.74636293386083608</v>
      </c>
      <c r="G415" s="40">
        <f t="shared" si="194"/>
        <v>0.34817321475331586</v>
      </c>
      <c r="H415" s="40">
        <f t="shared" si="194"/>
        <v>5.4355139759513407E-2</v>
      </c>
      <c r="I415" s="104">
        <f t="shared" si="194"/>
        <v>0.36139678902735217</v>
      </c>
      <c r="J415" s="104">
        <f t="shared" si="194"/>
        <v>0.1970245030966869</v>
      </c>
      <c r="K415" s="104">
        <f t="shared" si="194"/>
        <v>3.471695198804188E-2</v>
      </c>
      <c r="L415" s="104">
        <f t="shared" ref="L415:Q415" si="200">L79</f>
        <v>0.48220077187638283</v>
      </c>
      <c r="M415" s="104">
        <f t="shared" si="200"/>
        <v>0.26288381733406258</v>
      </c>
      <c r="N415" s="104">
        <f t="shared" si="200"/>
        <v>4.6321775826741275E-2</v>
      </c>
      <c r="O415" s="55">
        <f t="shared" si="200"/>
        <v>0.38224352251574223</v>
      </c>
      <c r="P415" s="55">
        <f t="shared" si="200"/>
        <v>0.21957685264482196</v>
      </c>
      <c r="Q415" s="55">
        <f t="shared" si="200"/>
        <v>4.6321775826741275E-2</v>
      </c>
    </row>
    <row r="416" spans="1:17" x14ac:dyDescent="0.2">
      <c r="A416" s="72">
        <v>70</v>
      </c>
      <c r="B416" s="59">
        <v>406</v>
      </c>
      <c r="C416" s="40">
        <f t="shared" si="196"/>
        <v>3.4332694957598457</v>
      </c>
      <c r="D416" s="40">
        <f t="shared" si="196"/>
        <v>1.8717327794185254</v>
      </c>
      <c r="E416" s="40">
        <f t="shared" si="196"/>
        <v>0.32981104388639787</v>
      </c>
      <c r="F416" s="40">
        <f t="shared" si="194"/>
        <v>0.74636293386083608</v>
      </c>
      <c r="G416" s="40">
        <f t="shared" si="194"/>
        <v>0.34817321475331586</v>
      </c>
      <c r="H416" s="40">
        <f t="shared" si="194"/>
        <v>5.4355139759513407E-2</v>
      </c>
      <c r="I416" s="104">
        <f t="shared" si="194"/>
        <v>0.36139678902735217</v>
      </c>
      <c r="J416" s="104">
        <f t="shared" si="194"/>
        <v>0.1970245030966869</v>
      </c>
      <c r="K416" s="104">
        <f t="shared" si="194"/>
        <v>3.471695198804188E-2</v>
      </c>
      <c r="L416" s="104">
        <f t="shared" ref="L416:Q416" si="201">L80</f>
        <v>0.48220077187638283</v>
      </c>
      <c r="M416" s="104">
        <f t="shared" si="201"/>
        <v>0.26288381733406258</v>
      </c>
      <c r="N416" s="104">
        <f t="shared" si="201"/>
        <v>4.6321775826741275E-2</v>
      </c>
      <c r="O416" s="55">
        <f t="shared" si="201"/>
        <v>0.38224352251574223</v>
      </c>
      <c r="P416" s="55">
        <f t="shared" si="201"/>
        <v>0.21957685264482196</v>
      </c>
      <c r="Q416" s="55">
        <f t="shared" si="201"/>
        <v>4.6321775826741275E-2</v>
      </c>
    </row>
    <row r="417" spans="1:17" x14ac:dyDescent="0.2">
      <c r="A417" s="72">
        <v>71</v>
      </c>
      <c r="B417" s="59">
        <v>407</v>
      </c>
      <c r="C417" s="40">
        <f t="shared" si="196"/>
        <v>0</v>
      </c>
      <c r="D417" s="40">
        <f t="shared" si="196"/>
        <v>0</v>
      </c>
      <c r="E417" s="40">
        <f t="shared" si="196"/>
        <v>0</v>
      </c>
      <c r="F417" s="40">
        <f t="shared" si="194"/>
        <v>0</v>
      </c>
      <c r="G417" s="40">
        <f t="shared" si="194"/>
        <v>0</v>
      </c>
      <c r="H417" s="40">
        <f t="shared" si="194"/>
        <v>0</v>
      </c>
      <c r="I417" s="104">
        <f t="shared" si="194"/>
        <v>0</v>
      </c>
      <c r="J417" s="104">
        <f t="shared" si="194"/>
        <v>0</v>
      </c>
      <c r="K417" s="104">
        <f t="shared" si="194"/>
        <v>0</v>
      </c>
      <c r="L417" s="104">
        <f t="shared" ref="L417:Q417" si="202">L81</f>
        <v>0</v>
      </c>
      <c r="M417" s="104">
        <f t="shared" si="202"/>
        <v>0</v>
      </c>
      <c r="N417" s="104">
        <f t="shared" si="202"/>
        <v>0</v>
      </c>
      <c r="O417" s="55">
        <f t="shared" si="202"/>
        <v>0</v>
      </c>
      <c r="P417" s="55">
        <f t="shared" si="202"/>
        <v>0</v>
      </c>
      <c r="Q417" s="55">
        <f t="shared" si="202"/>
        <v>0</v>
      </c>
    </row>
    <row r="418" spans="1:17" x14ac:dyDescent="0.2">
      <c r="A418" s="72">
        <v>72</v>
      </c>
      <c r="B418" s="59">
        <v>408</v>
      </c>
      <c r="C418" s="40">
        <f t="shared" si="196"/>
        <v>0</v>
      </c>
      <c r="D418" s="40">
        <f t="shared" si="196"/>
        <v>0</v>
      </c>
      <c r="E418" s="40">
        <f t="shared" si="196"/>
        <v>0</v>
      </c>
      <c r="F418" s="40">
        <f t="shared" si="194"/>
        <v>0</v>
      </c>
      <c r="G418" s="40">
        <f t="shared" si="194"/>
        <v>0</v>
      </c>
      <c r="H418" s="40">
        <f t="shared" si="194"/>
        <v>0</v>
      </c>
      <c r="I418" s="104">
        <f t="shared" si="194"/>
        <v>0</v>
      </c>
      <c r="J418" s="104">
        <f t="shared" si="194"/>
        <v>0</v>
      </c>
      <c r="K418" s="104">
        <f t="shared" si="194"/>
        <v>0</v>
      </c>
      <c r="L418" s="104">
        <f t="shared" ref="L418:Q418" si="203">L82</f>
        <v>0</v>
      </c>
      <c r="M418" s="104">
        <f t="shared" si="203"/>
        <v>0</v>
      </c>
      <c r="N418" s="104">
        <f t="shared" si="203"/>
        <v>0</v>
      </c>
      <c r="O418" s="55">
        <f t="shared" si="203"/>
        <v>0</v>
      </c>
      <c r="P418" s="55">
        <f t="shared" si="203"/>
        <v>0</v>
      </c>
      <c r="Q418" s="55">
        <f t="shared" si="203"/>
        <v>0</v>
      </c>
    </row>
    <row r="419" spans="1:17" x14ac:dyDescent="0.2">
      <c r="A419" s="72">
        <v>73</v>
      </c>
      <c r="B419" s="59">
        <v>409</v>
      </c>
      <c r="C419" s="40">
        <f t="shared" si="196"/>
        <v>0</v>
      </c>
      <c r="D419" s="40">
        <f t="shared" si="196"/>
        <v>0</v>
      </c>
      <c r="E419" s="40">
        <f t="shared" si="196"/>
        <v>0</v>
      </c>
      <c r="F419" s="40">
        <f t="shared" si="194"/>
        <v>0</v>
      </c>
      <c r="G419" s="40">
        <f t="shared" si="194"/>
        <v>0</v>
      </c>
      <c r="H419" s="40">
        <f t="shared" si="194"/>
        <v>0</v>
      </c>
      <c r="I419" s="104">
        <f t="shared" si="194"/>
        <v>0</v>
      </c>
      <c r="J419" s="104">
        <f t="shared" si="194"/>
        <v>0</v>
      </c>
      <c r="K419" s="104">
        <f t="shared" si="194"/>
        <v>0</v>
      </c>
      <c r="L419" s="104">
        <f t="shared" ref="L419:Q419" si="204">L83</f>
        <v>0</v>
      </c>
      <c r="M419" s="104">
        <f t="shared" si="204"/>
        <v>0</v>
      </c>
      <c r="N419" s="104">
        <f t="shared" si="204"/>
        <v>0</v>
      </c>
      <c r="O419" s="55">
        <f t="shared" si="204"/>
        <v>0</v>
      </c>
      <c r="P419" s="55">
        <f t="shared" si="204"/>
        <v>0</v>
      </c>
      <c r="Q419" s="55">
        <f t="shared" si="204"/>
        <v>0</v>
      </c>
    </row>
    <row r="420" spans="1:17" x14ac:dyDescent="0.2">
      <c r="A420" s="72">
        <v>74</v>
      </c>
      <c r="B420" s="59">
        <v>410</v>
      </c>
      <c r="C420" s="40">
        <f t="shared" si="196"/>
        <v>0</v>
      </c>
      <c r="D420" s="40">
        <f t="shared" si="196"/>
        <v>0</v>
      </c>
      <c r="E420" s="40">
        <f t="shared" si="196"/>
        <v>0</v>
      </c>
      <c r="F420" s="40">
        <f t="shared" si="194"/>
        <v>0</v>
      </c>
      <c r="G420" s="40">
        <f t="shared" si="194"/>
        <v>0</v>
      </c>
      <c r="H420" s="40">
        <f t="shared" si="194"/>
        <v>0</v>
      </c>
      <c r="I420" s="104">
        <f t="shared" si="194"/>
        <v>0</v>
      </c>
      <c r="J420" s="104">
        <f t="shared" si="194"/>
        <v>0</v>
      </c>
      <c r="K420" s="104">
        <f t="shared" si="194"/>
        <v>0</v>
      </c>
      <c r="L420" s="104">
        <f t="shared" ref="L420:Q420" si="205">L84</f>
        <v>0</v>
      </c>
      <c r="M420" s="104">
        <f t="shared" si="205"/>
        <v>0</v>
      </c>
      <c r="N420" s="104">
        <f t="shared" si="205"/>
        <v>0</v>
      </c>
      <c r="O420" s="55">
        <f t="shared" si="205"/>
        <v>0</v>
      </c>
      <c r="P420" s="55">
        <f t="shared" si="205"/>
        <v>0</v>
      </c>
      <c r="Q420" s="55">
        <f t="shared" si="205"/>
        <v>0</v>
      </c>
    </row>
    <row r="421" spans="1:17" x14ac:dyDescent="0.2">
      <c r="A421" s="72">
        <v>75</v>
      </c>
      <c r="B421" s="59">
        <v>411</v>
      </c>
      <c r="C421" s="40">
        <f t="shared" si="196"/>
        <v>0</v>
      </c>
      <c r="D421" s="40">
        <f t="shared" si="196"/>
        <v>0</v>
      </c>
      <c r="E421" s="40">
        <f t="shared" si="196"/>
        <v>0</v>
      </c>
      <c r="F421" s="40">
        <f t="shared" si="194"/>
        <v>0</v>
      </c>
      <c r="G421" s="40">
        <f t="shared" si="194"/>
        <v>0</v>
      </c>
      <c r="H421" s="40">
        <f t="shared" si="194"/>
        <v>0</v>
      </c>
      <c r="I421" s="104">
        <f t="shared" si="194"/>
        <v>0</v>
      </c>
      <c r="J421" s="104">
        <f t="shared" si="194"/>
        <v>0</v>
      </c>
      <c r="K421" s="104">
        <f t="shared" si="194"/>
        <v>0</v>
      </c>
      <c r="L421" s="104">
        <f t="shared" ref="L421:Q421" si="206">L85</f>
        <v>0</v>
      </c>
      <c r="M421" s="104">
        <f t="shared" si="206"/>
        <v>0</v>
      </c>
      <c r="N421" s="104">
        <f t="shared" si="206"/>
        <v>0</v>
      </c>
      <c r="O421" s="55">
        <f t="shared" si="206"/>
        <v>0</v>
      </c>
      <c r="P421" s="55">
        <f t="shared" si="206"/>
        <v>0</v>
      </c>
      <c r="Q421" s="55">
        <f t="shared" si="206"/>
        <v>0</v>
      </c>
    </row>
    <row r="422" spans="1:17" x14ac:dyDescent="0.2">
      <c r="A422" s="72">
        <v>76</v>
      </c>
      <c r="B422" s="59">
        <v>412</v>
      </c>
      <c r="C422" s="40">
        <f t="shared" si="196"/>
        <v>0</v>
      </c>
      <c r="D422" s="40">
        <f t="shared" si="196"/>
        <v>0</v>
      </c>
      <c r="E422" s="40">
        <f t="shared" si="196"/>
        <v>0</v>
      </c>
      <c r="F422" s="40">
        <f t="shared" si="194"/>
        <v>0</v>
      </c>
      <c r="G422" s="40">
        <f t="shared" si="194"/>
        <v>0</v>
      </c>
      <c r="H422" s="40">
        <f t="shared" si="194"/>
        <v>0</v>
      </c>
      <c r="I422" s="104">
        <f t="shared" si="194"/>
        <v>0</v>
      </c>
      <c r="J422" s="104">
        <f t="shared" si="194"/>
        <v>0</v>
      </c>
      <c r="K422" s="104">
        <f t="shared" si="194"/>
        <v>0</v>
      </c>
      <c r="L422" s="104">
        <f t="shared" ref="L422:Q422" si="207">L86</f>
        <v>0</v>
      </c>
      <c r="M422" s="104">
        <f t="shared" si="207"/>
        <v>0</v>
      </c>
      <c r="N422" s="104">
        <f t="shared" si="207"/>
        <v>0</v>
      </c>
      <c r="O422" s="55">
        <f t="shared" si="207"/>
        <v>0</v>
      </c>
      <c r="P422" s="55">
        <f t="shared" si="207"/>
        <v>0</v>
      </c>
      <c r="Q422" s="55">
        <f t="shared" si="207"/>
        <v>0</v>
      </c>
    </row>
    <row r="423" spans="1:17" x14ac:dyDescent="0.2">
      <c r="A423" s="72">
        <v>77</v>
      </c>
      <c r="B423" s="59">
        <v>413</v>
      </c>
      <c r="C423" s="40">
        <f t="shared" si="196"/>
        <v>0</v>
      </c>
      <c r="D423" s="40">
        <f t="shared" si="196"/>
        <v>0</v>
      </c>
      <c r="E423" s="40">
        <f t="shared" si="196"/>
        <v>0</v>
      </c>
      <c r="F423" s="40">
        <f t="shared" si="194"/>
        <v>0</v>
      </c>
      <c r="G423" s="40">
        <f t="shared" si="194"/>
        <v>0</v>
      </c>
      <c r="H423" s="40">
        <f t="shared" si="194"/>
        <v>0</v>
      </c>
      <c r="I423" s="104">
        <f t="shared" si="194"/>
        <v>0</v>
      </c>
      <c r="J423" s="104">
        <f t="shared" si="194"/>
        <v>0</v>
      </c>
      <c r="K423" s="104">
        <f t="shared" si="194"/>
        <v>0</v>
      </c>
      <c r="L423" s="104">
        <f t="shared" ref="L423:Q423" si="208">L87</f>
        <v>0</v>
      </c>
      <c r="M423" s="104">
        <f t="shared" si="208"/>
        <v>0</v>
      </c>
      <c r="N423" s="104">
        <f t="shared" si="208"/>
        <v>0</v>
      </c>
      <c r="O423" s="55">
        <f t="shared" si="208"/>
        <v>0</v>
      </c>
      <c r="P423" s="55">
        <f t="shared" si="208"/>
        <v>0</v>
      </c>
      <c r="Q423" s="55">
        <f t="shared" si="208"/>
        <v>0</v>
      </c>
    </row>
    <row r="424" spans="1:17" x14ac:dyDescent="0.2">
      <c r="A424" s="72">
        <v>78</v>
      </c>
      <c r="B424" s="59">
        <v>414</v>
      </c>
      <c r="C424" s="40">
        <f t="shared" si="196"/>
        <v>0</v>
      </c>
      <c r="D424" s="40">
        <f t="shared" si="196"/>
        <v>0</v>
      </c>
      <c r="E424" s="40">
        <f t="shared" si="196"/>
        <v>0</v>
      </c>
      <c r="F424" s="40">
        <f t="shared" si="194"/>
        <v>0</v>
      </c>
      <c r="G424" s="40">
        <f t="shared" si="194"/>
        <v>0</v>
      </c>
      <c r="H424" s="40">
        <f t="shared" si="194"/>
        <v>0</v>
      </c>
      <c r="I424" s="104">
        <f t="shared" si="194"/>
        <v>0</v>
      </c>
      <c r="J424" s="104">
        <f t="shared" si="194"/>
        <v>0</v>
      </c>
      <c r="K424" s="104">
        <f t="shared" si="194"/>
        <v>0</v>
      </c>
      <c r="L424" s="104">
        <f t="shared" ref="L424:Q424" si="209">L88</f>
        <v>0</v>
      </c>
      <c r="M424" s="104">
        <f t="shared" si="209"/>
        <v>0</v>
      </c>
      <c r="N424" s="104">
        <f t="shared" si="209"/>
        <v>0</v>
      </c>
      <c r="O424" s="55">
        <f t="shared" si="209"/>
        <v>0</v>
      </c>
      <c r="P424" s="55">
        <f t="shared" si="209"/>
        <v>0</v>
      </c>
      <c r="Q424" s="55">
        <f t="shared" si="209"/>
        <v>0</v>
      </c>
    </row>
    <row r="425" spans="1:17" x14ac:dyDescent="0.2">
      <c r="A425" s="72">
        <v>79</v>
      </c>
      <c r="B425" s="59">
        <v>415</v>
      </c>
      <c r="C425" s="40">
        <f t="shared" si="196"/>
        <v>3.4332694957598457</v>
      </c>
      <c r="D425" s="40">
        <f t="shared" si="196"/>
        <v>1.8717327794185254</v>
      </c>
      <c r="E425" s="40">
        <f t="shared" si="196"/>
        <v>0.32981104388639787</v>
      </c>
      <c r="F425" s="40">
        <f t="shared" si="194"/>
        <v>0.74636293386083608</v>
      </c>
      <c r="G425" s="40">
        <f t="shared" si="194"/>
        <v>0.34817321475331586</v>
      </c>
      <c r="H425" s="40">
        <f t="shared" si="194"/>
        <v>5.4355139759513407E-2</v>
      </c>
      <c r="I425" s="104">
        <f t="shared" si="194"/>
        <v>0.36139678902735217</v>
      </c>
      <c r="J425" s="104">
        <f t="shared" si="194"/>
        <v>0.1970245030966869</v>
      </c>
      <c r="K425" s="104">
        <f t="shared" si="194"/>
        <v>3.471695198804188E-2</v>
      </c>
      <c r="L425" s="104">
        <f t="shared" ref="L425:Q425" si="210">L89</f>
        <v>0.48220077187638283</v>
      </c>
      <c r="M425" s="104">
        <f t="shared" si="210"/>
        <v>0.26288381733406258</v>
      </c>
      <c r="N425" s="104">
        <f t="shared" si="210"/>
        <v>4.6321775826741275E-2</v>
      </c>
      <c r="O425" s="55">
        <f t="shared" si="210"/>
        <v>0.38224352251574223</v>
      </c>
      <c r="P425" s="55">
        <f t="shared" si="210"/>
        <v>0.21957685264482196</v>
      </c>
      <c r="Q425" s="55">
        <f t="shared" si="210"/>
        <v>4.6321775826741275E-2</v>
      </c>
    </row>
    <row r="426" spans="1:17" x14ac:dyDescent="0.2">
      <c r="A426" s="72">
        <v>80</v>
      </c>
      <c r="B426" s="59">
        <v>416</v>
      </c>
      <c r="C426" s="40">
        <f t="shared" si="196"/>
        <v>3.4332694957598457</v>
      </c>
      <c r="D426" s="40">
        <f t="shared" si="196"/>
        <v>1.8717327794185254</v>
      </c>
      <c r="E426" s="40">
        <f t="shared" si="196"/>
        <v>0.32981104388639787</v>
      </c>
      <c r="F426" s="40">
        <f t="shared" si="194"/>
        <v>0.74636293386083608</v>
      </c>
      <c r="G426" s="40">
        <f t="shared" si="194"/>
        <v>0.34817321475331586</v>
      </c>
      <c r="H426" s="40">
        <f t="shared" si="194"/>
        <v>5.4355139759513407E-2</v>
      </c>
      <c r="I426" s="104">
        <f t="shared" si="194"/>
        <v>0.36139678902735217</v>
      </c>
      <c r="J426" s="104">
        <f t="shared" si="194"/>
        <v>0.1970245030966869</v>
      </c>
      <c r="K426" s="104">
        <f t="shared" si="194"/>
        <v>3.471695198804188E-2</v>
      </c>
      <c r="L426" s="104">
        <f t="shared" ref="L426:Q426" si="211">L90</f>
        <v>0.48220077187638283</v>
      </c>
      <c r="M426" s="104">
        <f t="shared" si="211"/>
        <v>0.26288381733406258</v>
      </c>
      <c r="N426" s="104">
        <f t="shared" si="211"/>
        <v>4.6321775826741275E-2</v>
      </c>
      <c r="O426" s="55">
        <f t="shared" si="211"/>
        <v>0.38224352251574223</v>
      </c>
      <c r="P426" s="55">
        <f t="shared" si="211"/>
        <v>0.21957685264482196</v>
      </c>
      <c r="Q426" s="55">
        <f t="shared" si="211"/>
        <v>4.6321775826741275E-2</v>
      </c>
    </row>
    <row r="427" spans="1:17" x14ac:dyDescent="0.2">
      <c r="A427" s="72">
        <v>81</v>
      </c>
      <c r="B427" s="59">
        <v>417</v>
      </c>
      <c r="C427" s="40">
        <f t="shared" si="196"/>
        <v>3.4332694957598457</v>
      </c>
      <c r="D427" s="40">
        <f t="shared" si="196"/>
        <v>1.8717327794185254</v>
      </c>
      <c r="E427" s="40">
        <f t="shared" si="196"/>
        <v>0.32981104388639787</v>
      </c>
      <c r="F427" s="40">
        <f t="shared" si="194"/>
        <v>0.74636293386083608</v>
      </c>
      <c r="G427" s="40">
        <f t="shared" si="194"/>
        <v>0.34817321475331586</v>
      </c>
      <c r="H427" s="40">
        <f t="shared" si="194"/>
        <v>5.4355139759513407E-2</v>
      </c>
      <c r="I427" s="104">
        <f t="shared" si="194"/>
        <v>0.36139678902735217</v>
      </c>
      <c r="J427" s="104">
        <f t="shared" si="194"/>
        <v>0.1970245030966869</v>
      </c>
      <c r="K427" s="104">
        <f t="shared" si="194"/>
        <v>3.471695198804188E-2</v>
      </c>
      <c r="L427" s="104">
        <f t="shared" ref="L427:Q427" si="212">L91</f>
        <v>0.48220077187638283</v>
      </c>
      <c r="M427" s="104">
        <f t="shared" si="212"/>
        <v>0.26288381733406258</v>
      </c>
      <c r="N427" s="104">
        <f t="shared" si="212"/>
        <v>4.6321775826741275E-2</v>
      </c>
      <c r="O427" s="55">
        <f t="shared" si="212"/>
        <v>0.38224352251574223</v>
      </c>
      <c r="P427" s="55">
        <f t="shared" si="212"/>
        <v>0.21957685264482196</v>
      </c>
      <c r="Q427" s="55">
        <f t="shared" si="212"/>
        <v>4.6321775826741275E-2</v>
      </c>
    </row>
    <row r="428" spans="1:17" x14ac:dyDescent="0.2">
      <c r="A428" s="72">
        <v>82</v>
      </c>
      <c r="B428" s="59">
        <v>418</v>
      </c>
      <c r="C428" s="40">
        <f t="shared" si="196"/>
        <v>3.4332694957598457</v>
      </c>
      <c r="D428" s="40">
        <f t="shared" si="196"/>
        <v>1.8717327794185254</v>
      </c>
      <c r="E428" s="40">
        <f t="shared" si="196"/>
        <v>0.32981104388639787</v>
      </c>
      <c r="F428" s="40">
        <f t="shared" si="194"/>
        <v>0.74636293386083608</v>
      </c>
      <c r="G428" s="40">
        <f t="shared" si="194"/>
        <v>0.34817321475331586</v>
      </c>
      <c r="H428" s="40">
        <f t="shared" si="194"/>
        <v>5.4355139759513407E-2</v>
      </c>
      <c r="I428" s="104">
        <f t="shared" si="194"/>
        <v>0.36139678902735217</v>
      </c>
      <c r="J428" s="104">
        <f t="shared" si="194"/>
        <v>0.1970245030966869</v>
      </c>
      <c r="K428" s="104">
        <f t="shared" si="194"/>
        <v>3.471695198804188E-2</v>
      </c>
      <c r="L428" s="104">
        <f t="shared" ref="L428:Q428" si="213">L92</f>
        <v>0.48220077187638283</v>
      </c>
      <c r="M428" s="104">
        <f t="shared" si="213"/>
        <v>0.26288381733406258</v>
      </c>
      <c r="N428" s="104">
        <f t="shared" si="213"/>
        <v>4.6321775826741275E-2</v>
      </c>
      <c r="O428" s="55">
        <f t="shared" si="213"/>
        <v>0.38224352251574223</v>
      </c>
      <c r="P428" s="55">
        <f t="shared" si="213"/>
        <v>0.21957685264482196</v>
      </c>
      <c r="Q428" s="55">
        <f t="shared" si="213"/>
        <v>4.6321775826741275E-2</v>
      </c>
    </row>
    <row r="429" spans="1:17" x14ac:dyDescent="0.2">
      <c r="A429" s="72">
        <v>83</v>
      </c>
      <c r="B429" s="59">
        <v>419</v>
      </c>
      <c r="C429" s="40">
        <f t="shared" si="196"/>
        <v>3.4332694957598457</v>
      </c>
      <c r="D429" s="40">
        <f t="shared" si="196"/>
        <v>1.8717327794185254</v>
      </c>
      <c r="E429" s="40">
        <f t="shared" si="196"/>
        <v>0.32981104388639787</v>
      </c>
      <c r="F429" s="40">
        <f t="shared" si="194"/>
        <v>0.74636293386083608</v>
      </c>
      <c r="G429" s="40">
        <f t="shared" si="194"/>
        <v>0.34817321475331586</v>
      </c>
      <c r="H429" s="40">
        <f t="shared" si="194"/>
        <v>5.4355139759513407E-2</v>
      </c>
      <c r="I429" s="104">
        <f t="shared" si="194"/>
        <v>0.36139678902735217</v>
      </c>
      <c r="J429" s="104">
        <f t="shared" si="194"/>
        <v>0.1970245030966869</v>
      </c>
      <c r="K429" s="104">
        <f t="shared" si="194"/>
        <v>3.471695198804188E-2</v>
      </c>
      <c r="L429" s="104">
        <f t="shared" ref="L429:Q429" si="214">L93</f>
        <v>0.48220077187638283</v>
      </c>
      <c r="M429" s="104">
        <f t="shared" si="214"/>
        <v>0.26288381733406258</v>
      </c>
      <c r="N429" s="104">
        <f t="shared" si="214"/>
        <v>4.6321775826741275E-2</v>
      </c>
      <c r="O429" s="55">
        <f t="shared" si="214"/>
        <v>0.38224352251574223</v>
      </c>
      <c r="P429" s="55">
        <f t="shared" si="214"/>
        <v>0.21957685264482196</v>
      </c>
      <c r="Q429" s="55">
        <f t="shared" si="214"/>
        <v>4.6321775826741275E-2</v>
      </c>
    </row>
    <row r="430" spans="1:17" x14ac:dyDescent="0.2">
      <c r="A430" s="72">
        <v>84</v>
      </c>
      <c r="B430" s="59">
        <v>420</v>
      </c>
      <c r="C430" s="40">
        <f t="shared" si="196"/>
        <v>3.4332694957598457</v>
      </c>
      <c r="D430" s="40">
        <f t="shared" si="196"/>
        <v>1.8717327794185254</v>
      </c>
      <c r="E430" s="40">
        <f t="shared" si="196"/>
        <v>0.32981104388639787</v>
      </c>
      <c r="F430" s="40">
        <f t="shared" si="194"/>
        <v>0.74636293386083608</v>
      </c>
      <c r="G430" s="40">
        <f t="shared" si="194"/>
        <v>0.34817321475331586</v>
      </c>
      <c r="H430" s="40">
        <f t="shared" si="194"/>
        <v>5.4355139759513407E-2</v>
      </c>
      <c r="I430" s="104">
        <f t="shared" si="194"/>
        <v>0.36139678902735217</v>
      </c>
      <c r="J430" s="104">
        <f t="shared" si="194"/>
        <v>0.1970245030966869</v>
      </c>
      <c r="K430" s="104">
        <f t="shared" si="194"/>
        <v>3.471695198804188E-2</v>
      </c>
      <c r="L430" s="104">
        <f t="shared" ref="L430:Q430" si="215">L94</f>
        <v>0.48220077187638283</v>
      </c>
      <c r="M430" s="104">
        <f t="shared" si="215"/>
        <v>0.26288381733406258</v>
      </c>
      <c r="N430" s="104">
        <f t="shared" si="215"/>
        <v>4.6321775826741275E-2</v>
      </c>
      <c r="O430" s="55">
        <f t="shared" si="215"/>
        <v>0.38224352251574223</v>
      </c>
      <c r="P430" s="55">
        <f t="shared" si="215"/>
        <v>0.21957685264482196</v>
      </c>
      <c r="Q430" s="55">
        <f t="shared" si="215"/>
        <v>4.6321775826741275E-2</v>
      </c>
    </row>
    <row r="431" spans="1:17" x14ac:dyDescent="0.2">
      <c r="A431" s="72">
        <v>85</v>
      </c>
      <c r="B431" s="59">
        <v>421</v>
      </c>
      <c r="C431" s="40">
        <f t="shared" si="196"/>
        <v>3.4332694957598457</v>
      </c>
      <c r="D431" s="40">
        <f t="shared" si="196"/>
        <v>1.8717327794185254</v>
      </c>
      <c r="E431" s="40">
        <f t="shared" si="196"/>
        <v>0.32981104388639787</v>
      </c>
      <c r="F431" s="40">
        <f t="shared" si="194"/>
        <v>0.74636293386083608</v>
      </c>
      <c r="G431" s="40">
        <f t="shared" si="194"/>
        <v>0.34817321475331586</v>
      </c>
      <c r="H431" s="40">
        <f t="shared" si="194"/>
        <v>5.4355139759513407E-2</v>
      </c>
      <c r="I431" s="104">
        <f t="shared" si="194"/>
        <v>0.36139678902735217</v>
      </c>
      <c r="J431" s="104">
        <f t="shared" si="194"/>
        <v>0.1970245030966869</v>
      </c>
      <c r="K431" s="104">
        <f t="shared" si="194"/>
        <v>3.471695198804188E-2</v>
      </c>
      <c r="L431" s="104">
        <f t="shared" ref="L431:Q431" si="216">L95</f>
        <v>0.48220077187638283</v>
      </c>
      <c r="M431" s="104">
        <f t="shared" si="216"/>
        <v>0.26288381733406258</v>
      </c>
      <c r="N431" s="104">
        <f t="shared" si="216"/>
        <v>4.6321775826741275E-2</v>
      </c>
      <c r="O431" s="55">
        <f t="shared" si="216"/>
        <v>0.38224352251574223</v>
      </c>
      <c r="P431" s="55">
        <f t="shared" si="216"/>
        <v>0.21957685264482196</v>
      </c>
      <c r="Q431" s="55">
        <f t="shared" si="216"/>
        <v>4.6321775826741275E-2</v>
      </c>
    </row>
    <row r="432" spans="1:17" x14ac:dyDescent="0.2">
      <c r="A432" s="72">
        <v>86</v>
      </c>
      <c r="B432" s="59">
        <v>422</v>
      </c>
      <c r="C432" s="40">
        <f t="shared" si="196"/>
        <v>3.4332694957598457</v>
      </c>
      <c r="D432" s="40">
        <f t="shared" si="196"/>
        <v>1.8717327794185254</v>
      </c>
      <c r="E432" s="40">
        <f t="shared" si="196"/>
        <v>0.32981104388639787</v>
      </c>
      <c r="F432" s="40">
        <f t="shared" si="194"/>
        <v>0.74636293386083608</v>
      </c>
      <c r="G432" s="40">
        <f t="shared" si="194"/>
        <v>0.34817321475331586</v>
      </c>
      <c r="H432" s="40">
        <f t="shared" si="194"/>
        <v>5.4355139759513407E-2</v>
      </c>
      <c r="I432" s="104">
        <f t="shared" ref="I432:Q451" si="217">I96</f>
        <v>0.36139678902735217</v>
      </c>
      <c r="J432" s="104">
        <f t="shared" si="217"/>
        <v>0.1970245030966869</v>
      </c>
      <c r="K432" s="104">
        <f t="shared" si="217"/>
        <v>3.471695198804188E-2</v>
      </c>
      <c r="L432" s="104">
        <f t="shared" si="217"/>
        <v>0.48220077187638283</v>
      </c>
      <c r="M432" s="104">
        <f t="shared" si="217"/>
        <v>0.26288381733406258</v>
      </c>
      <c r="N432" s="104">
        <f t="shared" si="217"/>
        <v>4.6321775826741275E-2</v>
      </c>
      <c r="O432" s="55">
        <f t="shared" si="217"/>
        <v>0.38224352251574223</v>
      </c>
      <c r="P432" s="55">
        <f t="shared" si="217"/>
        <v>0.21957685264482196</v>
      </c>
      <c r="Q432" s="55">
        <f t="shared" si="217"/>
        <v>4.6321775826741275E-2</v>
      </c>
    </row>
    <row r="433" spans="1:17" x14ac:dyDescent="0.2">
      <c r="A433" s="72">
        <v>87</v>
      </c>
      <c r="B433" s="59">
        <v>423</v>
      </c>
      <c r="C433" s="40">
        <f t="shared" si="196"/>
        <v>3.4332694957598457</v>
      </c>
      <c r="D433" s="40">
        <f t="shared" si="196"/>
        <v>1.8717327794185254</v>
      </c>
      <c r="E433" s="40">
        <f t="shared" si="196"/>
        <v>0.32981104388639787</v>
      </c>
      <c r="F433" s="40">
        <f t="shared" si="194"/>
        <v>0.74636293386083608</v>
      </c>
      <c r="G433" s="40">
        <f t="shared" si="194"/>
        <v>0.34817321475331586</v>
      </c>
      <c r="H433" s="40">
        <f t="shared" si="194"/>
        <v>5.4355139759513407E-2</v>
      </c>
      <c r="I433" s="104">
        <f t="shared" si="217"/>
        <v>0.36139678902735217</v>
      </c>
      <c r="J433" s="104">
        <f t="shared" si="217"/>
        <v>0.1970245030966869</v>
      </c>
      <c r="K433" s="104">
        <f t="shared" si="217"/>
        <v>3.471695198804188E-2</v>
      </c>
      <c r="L433" s="104">
        <f t="shared" si="217"/>
        <v>0.48220077187638283</v>
      </c>
      <c r="M433" s="104">
        <f t="shared" si="217"/>
        <v>0.26288381733406258</v>
      </c>
      <c r="N433" s="104">
        <f t="shared" si="217"/>
        <v>4.6321775826741275E-2</v>
      </c>
      <c r="O433" s="55">
        <f t="shared" si="217"/>
        <v>0.38224352251574223</v>
      </c>
      <c r="P433" s="55">
        <f t="shared" si="217"/>
        <v>0.21957685264482196</v>
      </c>
      <c r="Q433" s="55">
        <f t="shared" si="217"/>
        <v>4.6321775826741275E-2</v>
      </c>
    </row>
    <row r="434" spans="1:17" x14ac:dyDescent="0.2">
      <c r="A434" s="72">
        <v>88</v>
      </c>
      <c r="B434" s="59">
        <v>424</v>
      </c>
      <c r="C434" s="40">
        <f t="shared" si="196"/>
        <v>3.4332694957598457</v>
      </c>
      <c r="D434" s="40">
        <f t="shared" si="196"/>
        <v>1.8717327794185254</v>
      </c>
      <c r="E434" s="40">
        <f t="shared" si="196"/>
        <v>0.32981104388639787</v>
      </c>
      <c r="F434" s="40">
        <f t="shared" si="194"/>
        <v>0.74636293386083608</v>
      </c>
      <c r="G434" s="40">
        <f t="shared" si="194"/>
        <v>0.34817321475331586</v>
      </c>
      <c r="H434" s="40">
        <f t="shared" si="194"/>
        <v>5.4355139759513407E-2</v>
      </c>
      <c r="I434" s="104">
        <f t="shared" si="217"/>
        <v>0.36139678902735217</v>
      </c>
      <c r="J434" s="104">
        <f t="shared" si="217"/>
        <v>0.1970245030966869</v>
      </c>
      <c r="K434" s="104">
        <f t="shared" si="217"/>
        <v>3.471695198804188E-2</v>
      </c>
      <c r="L434" s="104">
        <f t="shared" si="217"/>
        <v>0.48220077187638283</v>
      </c>
      <c r="M434" s="104">
        <f t="shared" si="217"/>
        <v>0.26288381733406258</v>
      </c>
      <c r="N434" s="104">
        <f t="shared" si="217"/>
        <v>4.6321775826741275E-2</v>
      </c>
      <c r="O434" s="55">
        <f t="shared" si="217"/>
        <v>0.38224352251574223</v>
      </c>
      <c r="P434" s="55">
        <f t="shared" si="217"/>
        <v>0.21957685264482196</v>
      </c>
      <c r="Q434" s="55">
        <f t="shared" si="217"/>
        <v>4.6321775826741275E-2</v>
      </c>
    </row>
    <row r="435" spans="1:17" x14ac:dyDescent="0.2">
      <c r="A435" s="72">
        <v>89</v>
      </c>
      <c r="B435" s="59">
        <v>425</v>
      </c>
      <c r="C435" s="40">
        <f t="shared" si="196"/>
        <v>3.4332694957598457</v>
      </c>
      <c r="D435" s="40">
        <f t="shared" si="196"/>
        <v>1.8717327794185254</v>
      </c>
      <c r="E435" s="40">
        <f t="shared" si="196"/>
        <v>0.32981104388639787</v>
      </c>
      <c r="F435" s="40">
        <f t="shared" si="194"/>
        <v>0.74636293386083608</v>
      </c>
      <c r="G435" s="40">
        <f t="shared" si="194"/>
        <v>0.34817321475331586</v>
      </c>
      <c r="H435" s="40">
        <f t="shared" si="194"/>
        <v>5.4355139759513407E-2</v>
      </c>
      <c r="I435" s="104">
        <f t="shared" si="217"/>
        <v>0.36139678902735217</v>
      </c>
      <c r="J435" s="104">
        <f t="shared" si="217"/>
        <v>0.1970245030966869</v>
      </c>
      <c r="K435" s="104">
        <f t="shared" si="217"/>
        <v>3.471695198804188E-2</v>
      </c>
      <c r="L435" s="104">
        <f t="shared" si="217"/>
        <v>0.48220077187638283</v>
      </c>
      <c r="M435" s="104">
        <f t="shared" si="217"/>
        <v>0.26288381733406258</v>
      </c>
      <c r="N435" s="104">
        <f t="shared" si="217"/>
        <v>4.6321775826741275E-2</v>
      </c>
      <c r="O435" s="55">
        <f t="shared" si="217"/>
        <v>0.38224352251574223</v>
      </c>
      <c r="P435" s="55">
        <f t="shared" si="217"/>
        <v>0.21957685264482196</v>
      </c>
      <c r="Q435" s="55">
        <f t="shared" si="217"/>
        <v>4.6321775826741275E-2</v>
      </c>
    </row>
    <row r="436" spans="1:17" x14ac:dyDescent="0.2">
      <c r="A436" s="72">
        <v>90</v>
      </c>
      <c r="B436" s="59">
        <v>426</v>
      </c>
      <c r="C436" s="40">
        <f t="shared" si="196"/>
        <v>3.4332694957598457</v>
      </c>
      <c r="D436" s="40">
        <f t="shared" si="196"/>
        <v>1.8717327794185254</v>
      </c>
      <c r="E436" s="40">
        <f t="shared" si="196"/>
        <v>0.32981104388639787</v>
      </c>
      <c r="F436" s="40">
        <f t="shared" si="194"/>
        <v>0.74636293386083608</v>
      </c>
      <c r="G436" s="40">
        <f t="shared" si="194"/>
        <v>0.34817321475331586</v>
      </c>
      <c r="H436" s="40">
        <f t="shared" si="194"/>
        <v>5.4355139759513407E-2</v>
      </c>
      <c r="I436" s="104">
        <f t="shared" si="217"/>
        <v>0.36139678902735217</v>
      </c>
      <c r="J436" s="104">
        <f t="shared" si="217"/>
        <v>0.1970245030966869</v>
      </c>
      <c r="K436" s="104">
        <f t="shared" si="217"/>
        <v>3.471695198804188E-2</v>
      </c>
      <c r="L436" s="104">
        <f t="shared" si="217"/>
        <v>0.48220077187638283</v>
      </c>
      <c r="M436" s="104">
        <f t="shared" si="217"/>
        <v>0.26288381733406258</v>
      </c>
      <c r="N436" s="104">
        <f t="shared" si="217"/>
        <v>4.6321775826741275E-2</v>
      </c>
      <c r="O436" s="55">
        <f t="shared" si="217"/>
        <v>0.38224352251574223</v>
      </c>
      <c r="P436" s="55">
        <f t="shared" si="217"/>
        <v>0.21957685264482196</v>
      </c>
      <c r="Q436" s="55">
        <f t="shared" si="217"/>
        <v>4.6321775826741275E-2</v>
      </c>
    </row>
    <row r="437" spans="1:17" x14ac:dyDescent="0.2">
      <c r="A437" s="72">
        <v>91</v>
      </c>
      <c r="B437" s="59">
        <v>427</v>
      </c>
      <c r="C437" s="40">
        <f t="shared" si="196"/>
        <v>3.4332694957598457</v>
      </c>
      <c r="D437" s="40">
        <f t="shared" si="196"/>
        <v>1.8717327794185254</v>
      </c>
      <c r="E437" s="40">
        <f t="shared" si="196"/>
        <v>0.32981104388639787</v>
      </c>
      <c r="F437" s="40">
        <f t="shared" si="194"/>
        <v>0.74636293386083608</v>
      </c>
      <c r="G437" s="40">
        <f t="shared" si="194"/>
        <v>0.34817321475331586</v>
      </c>
      <c r="H437" s="40">
        <f t="shared" si="194"/>
        <v>5.4355139759513407E-2</v>
      </c>
      <c r="I437" s="104">
        <f t="shared" si="217"/>
        <v>0.36139678902735217</v>
      </c>
      <c r="J437" s="104">
        <f t="shared" si="217"/>
        <v>0.1970245030966869</v>
      </c>
      <c r="K437" s="104">
        <f t="shared" si="217"/>
        <v>3.471695198804188E-2</v>
      </c>
      <c r="L437" s="104">
        <f t="shared" si="217"/>
        <v>0.48220077187638283</v>
      </c>
      <c r="M437" s="104">
        <f t="shared" si="217"/>
        <v>0.26288381733406258</v>
      </c>
      <c r="N437" s="104">
        <f t="shared" si="217"/>
        <v>4.6321775826741275E-2</v>
      </c>
      <c r="O437" s="55">
        <f t="shared" si="217"/>
        <v>0.38224352251574223</v>
      </c>
      <c r="P437" s="55">
        <f t="shared" si="217"/>
        <v>0.21957685264482196</v>
      </c>
      <c r="Q437" s="55">
        <f t="shared" si="217"/>
        <v>4.6321775826741275E-2</v>
      </c>
    </row>
    <row r="438" spans="1:17" x14ac:dyDescent="0.2">
      <c r="A438" s="72">
        <v>92</v>
      </c>
      <c r="B438" s="59">
        <v>428</v>
      </c>
      <c r="C438" s="40">
        <f t="shared" si="196"/>
        <v>3.4332694957598457</v>
      </c>
      <c r="D438" s="40">
        <f t="shared" si="196"/>
        <v>1.8717327794185254</v>
      </c>
      <c r="E438" s="40">
        <f t="shared" si="196"/>
        <v>0.32981104388639787</v>
      </c>
      <c r="F438" s="40">
        <f t="shared" si="194"/>
        <v>0.74636293386083608</v>
      </c>
      <c r="G438" s="40">
        <f t="shared" si="194"/>
        <v>0.34817321475331586</v>
      </c>
      <c r="H438" s="40">
        <f t="shared" si="194"/>
        <v>5.4355139759513407E-2</v>
      </c>
      <c r="I438" s="104">
        <f t="shared" si="217"/>
        <v>0.36139678902735217</v>
      </c>
      <c r="J438" s="104">
        <f t="shared" si="217"/>
        <v>0.1970245030966869</v>
      </c>
      <c r="K438" s="104">
        <f t="shared" si="217"/>
        <v>3.471695198804188E-2</v>
      </c>
      <c r="L438" s="104">
        <f t="shared" si="217"/>
        <v>0.48220077187638283</v>
      </c>
      <c r="M438" s="104">
        <f t="shared" si="217"/>
        <v>0.26288381733406258</v>
      </c>
      <c r="N438" s="104">
        <f t="shared" si="217"/>
        <v>4.6321775826741275E-2</v>
      </c>
      <c r="O438" s="55">
        <f t="shared" si="217"/>
        <v>0.38224352251574223</v>
      </c>
      <c r="P438" s="55">
        <f t="shared" si="217"/>
        <v>0.21957685264482196</v>
      </c>
      <c r="Q438" s="55">
        <f t="shared" si="217"/>
        <v>4.6321775826741275E-2</v>
      </c>
    </row>
    <row r="439" spans="1:17" x14ac:dyDescent="0.2">
      <c r="A439" s="72">
        <v>93</v>
      </c>
      <c r="B439" s="59">
        <v>429</v>
      </c>
      <c r="C439" s="40">
        <f t="shared" si="196"/>
        <v>3.4332694957598457</v>
      </c>
      <c r="D439" s="40">
        <f t="shared" si="196"/>
        <v>1.8717327794185254</v>
      </c>
      <c r="E439" s="40">
        <f t="shared" si="196"/>
        <v>0.32981104388639787</v>
      </c>
      <c r="F439" s="40">
        <f t="shared" si="194"/>
        <v>0.74636293386083608</v>
      </c>
      <c r="G439" s="40">
        <f t="shared" si="194"/>
        <v>0.34817321475331586</v>
      </c>
      <c r="H439" s="40">
        <f t="shared" si="194"/>
        <v>5.4355139759513407E-2</v>
      </c>
      <c r="I439" s="104">
        <f t="shared" si="217"/>
        <v>0.36139678902735217</v>
      </c>
      <c r="J439" s="104">
        <f t="shared" si="217"/>
        <v>0.1970245030966869</v>
      </c>
      <c r="K439" s="104">
        <f t="shared" si="217"/>
        <v>3.471695198804188E-2</v>
      </c>
      <c r="L439" s="104">
        <f t="shared" si="217"/>
        <v>0.48220077187638283</v>
      </c>
      <c r="M439" s="104">
        <f t="shared" si="217"/>
        <v>0.26288381733406258</v>
      </c>
      <c r="N439" s="104">
        <f t="shared" si="217"/>
        <v>4.6321775826741275E-2</v>
      </c>
      <c r="O439" s="55">
        <f t="shared" si="217"/>
        <v>0.38224352251574223</v>
      </c>
      <c r="P439" s="55">
        <f t="shared" si="217"/>
        <v>0.21957685264482196</v>
      </c>
      <c r="Q439" s="55">
        <f t="shared" si="217"/>
        <v>4.6321775826741275E-2</v>
      </c>
    </row>
    <row r="440" spans="1:17" x14ac:dyDescent="0.2">
      <c r="A440" s="72">
        <v>94</v>
      </c>
      <c r="B440" s="59">
        <v>430</v>
      </c>
      <c r="C440" s="40">
        <f t="shared" si="196"/>
        <v>3.4332694957598457</v>
      </c>
      <c r="D440" s="40">
        <f t="shared" si="196"/>
        <v>1.8717327794185254</v>
      </c>
      <c r="E440" s="40">
        <f t="shared" si="196"/>
        <v>0.32981104388639787</v>
      </c>
      <c r="F440" s="40">
        <f t="shared" si="194"/>
        <v>0.74636293386083608</v>
      </c>
      <c r="G440" s="40">
        <f t="shared" si="194"/>
        <v>0.34817321475331586</v>
      </c>
      <c r="H440" s="40">
        <f t="shared" si="194"/>
        <v>5.4355139759513407E-2</v>
      </c>
      <c r="I440" s="104">
        <f t="shared" si="217"/>
        <v>0.36139678902735217</v>
      </c>
      <c r="J440" s="104">
        <f t="shared" si="217"/>
        <v>0.1970245030966869</v>
      </c>
      <c r="K440" s="104">
        <f t="shared" si="217"/>
        <v>3.471695198804188E-2</v>
      </c>
      <c r="L440" s="104">
        <f t="shared" si="217"/>
        <v>0.48220077187638283</v>
      </c>
      <c r="M440" s="104">
        <f t="shared" si="217"/>
        <v>0.26288381733406258</v>
      </c>
      <c r="N440" s="104">
        <f t="shared" si="217"/>
        <v>4.6321775826741275E-2</v>
      </c>
      <c r="O440" s="55">
        <f t="shared" si="217"/>
        <v>0.38224352251574223</v>
      </c>
      <c r="P440" s="55">
        <f t="shared" si="217"/>
        <v>0.21957685264482196</v>
      </c>
      <c r="Q440" s="55">
        <f t="shared" si="217"/>
        <v>4.6321775826741275E-2</v>
      </c>
    </row>
    <row r="441" spans="1:17" x14ac:dyDescent="0.2">
      <c r="A441" s="72">
        <v>95</v>
      </c>
      <c r="B441" s="59">
        <v>431</v>
      </c>
      <c r="C441" s="40">
        <f t="shared" si="196"/>
        <v>0</v>
      </c>
      <c r="D441" s="40">
        <f t="shared" si="196"/>
        <v>0</v>
      </c>
      <c r="E441" s="40">
        <f t="shared" si="196"/>
        <v>0</v>
      </c>
      <c r="F441" s="40">
        <f t="shared" si="194"/>
        <v>0</v>
      </c>
      <c r="G441" s="40">
        <f t="shared" si="194"/>
        <v>0</v>
      </c>
      <c r="H441" s="40">
        <f t="shared" si="194"/>
        <v>0</v>
      </c>
      <c r="I441" s="104">
        <f t="shared" si="217"/>
        <v>0</v>
      </c>
      <c r="J441" s="104">
        <f t="shared" si="217"/>
        <v>0</v>
      </c>
      <c r="K441" s="104">
        <f t="shared" si="217"/>
        <v>0</v>
      </c>
      <c r="L441" s="104">
        <f t="shared" si="217"/>
        <v>0</v>
      </c>
      <c r="M441" s="104">
        <f t="shared" si="217"/>
        <v>0</v>
      </c>
      <c r="N441" s="104">
        <f t="shared" si="217"/>
        <v>0</v>
      </c>
      <c r="O441" s="55">
        <f t="shared" si="217"/>
        <v>0</v>
      </c>
      <c r="P441" s="55">
        <f t="shared" si="217"/>
        <v>0</v>
      </c>
      <c r="Q441" s="55">
        <f t="shared" si="217"/>
        <v>0</v>
      </c>
    </row>
    <row r="442" spans="1:17" x14ac:dyDescent="0.2">
      <c r="A442" s="72">
        <v>96</v>
      </c>
      <c r="B442" s="59">
        <v>432</v>
      </c>
      <c r="C442" s="40">
        <f t="shared" si="196"/>
        <v>0</v>
      </c>
      <c r="D442" s="40">
        <f t="shared" si="196"/>
        <v>0</v>
      </c>
      <c r="E442" s="40">
        <f t="shared" si="196"/>
        <v>0</v>
      </c>
      <c r="F442" s="40">
        <f t="shared" si="194"/>
        <v>0</v>
      </c>
      <c r="G442" s="40">
        <f t="shared" si="194"/>
        <v>0</v>
      </c>
      <c r="H442" s="40">
        <f t="shared" si="194"/>
        <v>0</v>
      </c>
      <c r="I442" s="104">
        <f t="shared" si="217"/>
        <v>0</v>
      </c>
      <c r="J442" s="104">
        <f t="shared" si="217"/>
        <v>0</v>
      </c>
      <c r="K442" s="104">
        <f t="shared" si="217"/>
        <v>0</v>
      </c>
      <c r="L442" s="104">
        <f t="shared" si="217"/>
        <v>0</v>
      </c>
      <c r="M442" s="104">
        <f t="shared" si="217"/>
        <v>0</v>
      </c>
      <c r="N442" s="104">
        <f t="shared" si="217"/>
        <v>0</v>
      </c>
      <c r="O442" s="55">
        <f t="shared" si="217"/>
        <v>0</v>
      </c>
      <c r="P442" s="55">
        <f t="shared" si="217"/>
        <v>0</v>
      </c>
      <c r="Q442" s="55">
        <f t="shared" si="217"/>
        <v>0</v>
      </c>
    </row>
    <row r="443" spans="1:17" x14ac:dyDescent="0.2">
      <c r="A443" s="72">
        <v>97</v>
      </c>
      <c r="B443" s="59">
        <v>433</v>
      </c>
      <c r="C443" s="40">
        <f t="shared" si="196"/>
        <v>0</v>
      </c>
      <c r="D443" s="40">
        <f t="shared" si="196"/>
        <v>0</v>
      </c>
      <c r="E443" s="40">
        <f t="shared" si="196"/>
        <v>0</v>
      </c>
      <c r="F443" s="40">
        <f t="shared" si="194"/>
        <v>0</v>
      </c>
      <c r="G443" s="40">
        <f t="shared" si="194"/>
        <v>0</v>
      </c>
      <c r="H443" s="40">
        <f t="shared" si="194"/>
        <v>0</v>
      </c>
      <c r="I443" s="104">
        <f t="shared" si="217"/>
        <v>0</v>
      </c>
      <c r="J443" s="104">
        <f t="shared" si="217"/>
        <v>0</v>
      </c>
      <c r="K443" s="104">
        <f t="shared" si="217"/>
        <v>0</v>
      </c>
      <c r="L443" s="104">
        <f t="shared" si="217"/>
        <v>0</v>
      </c>
      <c r="M443" s="104">
        <f t="shared" si="217"/>
        <v>0</v>
      </c>
      <c r="N443" s="104">
        <f t="shared" si="217"/>
        <v>0</v>
      </c>
      <c r="O443" s="55">
        <f t="shared" si="217"/>
        <v>0</v>
      </c>
      <c r="P443" s="55">
        <f t="shared" si="217"/>
        <v>0</v>
      </c>
      <c r="Q443" s="55">
        <f t="shared" si="217"/>
        <v>0</v>
      </c>
    </row>
    <row r="444" spans="1:17" x14ac:dyDescent="0.2">
      <c r="A444" s="72">
        <v>98</v>
      </c>
      <c r="B444" s="59">
        <v>434</v>
      </c>
      <c r="C444" s="40">
        <f t="shared" si="196"/>
        <v>0</v>
      </c>
      <c r="D444" s="40">
        <f t="shared" si="196"/>
        <v>0</v>
      </c>
      <c r="E444" s="40">
        <f t="shared" si="196"/>
        <v>0</v>
      </c>
      <c r="F444" s="40">
        <f t="shared" si="194"/>
        <v>0</v>
      </c>
      <c r="G444" s="40">
        <f t="shared" si="194"/>
        <v>0</v>
      </c>
      <c r="H444" s="40">
        <f t="shared" si="194"/>
        <v>0</v>
      </c>
      <c r="I444" s="104">
        <f t="shared" si="217"/>
        <v>0</v>
      </c>
      <c r="J444" s="104">
        <f t="shared" si="217"/>
        <v>0</v>
      </c>
      <c r="K444" s="104">
        <f t="shared" si="217"/>
        <v>0</v>
      </c>
      <c r="L444" s="104">
        <f t="shared" si="217"/>
        <v>0</v>
      </c>
      <c r="M444" s="104">
        <f t="shared" si="217"/>
        <v>0</v>
      </c>
      <c r="N444" s="104">
        <f t="shared" si="217"/>
        <v>0</v>
      </c>
      <c r="O444" s="55">
        <f t="shared" si="217"/>
        <v>0</v>
      </c>
      <c r="P444" s="55">
        <f t="shared" si="217"/>
        <v>0</v>
      </c>
      <c r="Q444" s="55">
        <f t="shared" si="217"/>
        <v>0</v>
      </c>
    </row>
    <row r="445" spans="1:17" x14ac:dyDescent="0.2">
      <c r="A445" s="72">
        <v>99</v>
      </c>
      <c r="B445" s="59">
        <v>435</v>
      </c>
      <c r="C445" s="40">
        <f t="shared" si="196"/>
        <v>0</v>
      </c>
      <c r="D445" s="40">
        <f t="shared" si="196"/>
        <v>0</v>
      </c>
      <c r="E445" s="40">
        <f t="shared" si="196"/>
        <v>0</v>
      </c>
      <c r="F445" s="40">
        <f t="shared" si="194"/>
        <v>0</v>
      </c>
      <c r="G445" s="40">
        <f t="shared" si="194"/>
        <v>0</v>
      </c>
      <c r="H445" s="40">
        <f t="shared" si="194"/>
        <v>0</v>
      </c>
      <c r="I445" s="104">
        <f t="shared" si="217"/>
        <v>0</v>
      </c>
      <c r="J445" s="104">
        <f t="shared" si="217"/>
        <v>0</v>
      </c>
      <c r="K445" s="104">
        <f t="shared" si="217"/>
        <v>0</v>
      </c>
      <c r="L445" s="104">
        <f t="shared" si="217"/>
        <v>0</v>
      </c>
      <c r="M445" s="104">
        <f t="shared" si="217"/>
        <v>0</v>
      </c>
      <c r="N445" s="104">
        <f t="shared" si="217"/>
        <v>0</v>
      </c>
      <c r="O445" s="55">
        <f t="shared" si="217"/>
        <v>0</v>
      </c>
      <c r="P445" s="55">
        <f t="shared" si="217"/>
        <v>0</v>
      </c>
      <c r="Q445" s="55">
        <f t="shared" si="217"/>
        <v>0</v>
      </c>
    </row>
    <row r="446" spans="1:17" x14ac:dyDescent="0.2">
      <c r="A446" s="72">
        <v>100</v>
      </c>
      <c r="B446" s="59">
        <v>436</v>
      </c>
      <c r="C446" s="40">
        <f t="shared" si="196"/>
        <v>0</v>
      </c>
      <c r="D446" s="40">
        <f t="shared" si="196"/>
        <v>0</v>
      </c>
      <c r="E446" s="40">
        <f t="shared" si="196"/>
        <v>0</v>
      </c>
      <c r="F446" s="40">
        <f t="shared" si="194"/>
        <v>0</v>
      </c>
      <c r="G446" s="40">
        <f t="shared" si="194"/>
        <v>0</v>
      </c>
      <c r="H446" s="40">
        <f t="shared" si="194"/>
        <v>0</v>
      </c>
      <c r="I446" s="104">
        <f t="shared" si="217"/>
        <v>0</v>
      </c>
      <c r="J446" s="104">
        <f t="shared" si="217"/>
        <v>0</v>
      </c>
      <c r="K446" s="104">
        <f t="shared" si="217"/>
        <v>0</v>
      </c>
      <c r="L446" s="104">
        <f t="shared" si="217"/>
        <v>0</v>
      </c>
      <c r="M446" s="104">
        <f t="shared" si="217"/>
        <v>0</v>
      </c>
      <c r="N446" s="104">
        <f t="shared" si="217"/>
        <v>0</v>
      </c>
      <c r="O446" s="55">
        <f t="shared" si="217"/>
        <v>0</v>
      </c>
      <c r="P446" s="55">
        <f t="shared" si="217"/>
        <v>0</v>
      </c>
      <c r="Q446" s="55">
        <f t="shared" si="217"/>
        <v>0</v>
      </c>
    </row>
    <row r="447" spans="1:17" x14ac:dyDescent="0.2">
      <c r="A447" s="72">
        <v>101</v>
      </c>
      <c r="B447" s="59">
        <v>437</v>
      </c>
      <c r="C447" s="40">
        <f t="shared" si="196"/>
        <v>0</v>
      </c>
      <c r="D447" s="40">
        <f t="shared" si="196"/>
        <v>0</v>
      </c>
      <c r="E447" s="40">
        <f t="shared" si="196"/>
        <v>0</v>
      </c>
      <c r="F447" s="40">
        <f t="shared" si="194"/>
        <v>0</v>
      </c>
      <c r="G447" s="40">
        <f t="shared" si="194"/>
        <v>0</v>
      </c>
      <c r="H447" s="40">
        <f t="shared" si="194"/>
        <v>0</v>
      </c>
      <c r="I447" s="104">
        <f t="shared" si="217"/>
        <v>0</v>
      </c>
      <c r="J447" s="104">
        <f t="shared" si="217"/>
        <v>0</v>
      </c>
      <c r="K447" s="104">
        <f t="shared" si="217"/>
        <v>0</v>
      </c>
      <c r="L447" s="104">
        <f t="shared" si="217"/>
        <v>0</v>
      </c>
      <c r="M447" s="104">
        <f t="shared" si="217"/>
        <v>0</v>
      </c>
      <c r="N447" s="104">
        <f t="shared" si="217"/>
        <v>0</v>
      </c>
      <c r="O447" s="55">
        <f t="shared" si="217"/>
        <v>0</v>
      </c>
      <c r="P447" s="55">
        <f t="shared" si="217"/>
        <v>0</v>
      </c>
      <c r="Q447" s="55">
        <f t="shared" si="217"/>
        <v>0</v>
      </c>
    </row>
    <row r="448" spans="1:17" x14ac:dyDescent="0.2">
      <c r="A448" s="72">
        <v>102</v>
      </c>
      <c r="B448" s="59">
        <v>438</v>
      </c>
      <c r="C448" s="40">
        <f t="shared" si="196"/>
        <v>0</v>
      </c>
      <c r="D448" s="40">
        <f t="shared" si="196"/>
        <v>0</v>
      </c>
      <c r="E448" s="40">
        <f t="shared" si="196"/>
        <v>0</v>
      </c>
      <c r="F448" s="40">
        <f t="shared" si="194"/>
        <v>0</v>
      </c>
      <c r="G448" s="40">
        <f t="shared" si="194"/>
        <v>0</v>
      </c>
      <c r="H448" s="40">
        <f t="shared" si="194"/>
        <v>0</v>
      </c>
      <c r="I448" s="104">
        <f t="shared" si="217"/>
        <v>0</v>
      </c>
      <c r="J448" s="104">
        <f t="shared" si="217"/>
        <v>0</v>
      </c>
      <c r="K448" s="104">
        <f t="shared" si="217"/>
        <v>0</v>
      </c>
      <c r="L448" s="104">
        <f t="shared" si="217"/>
        <v>0</v>
      </c>
      <c r="M448" s="104">
        <f t="shared" si="217"/>
        <v>0</v>
      </c>
      <c r="N448" s="104">
        <f t="shared" si="217"/>
        <v>0</v>
      </c>
      <c r="O448" s="55">
        <f t="shared" si="217"/>
        <v>0</v>
      </c>
      <c r="P448" s="55">
        <f t="shared" si="217"/>
        <v>0</v>
      </c>
      <c r="Q448" s="55">
        <f t="shared" si="217"/>
        <v>0</v>
      </c>
    </row>
    <row r="449" spans="1:17" x14ac:dyDescent="0.2">
      <c r="A449" s="72">
        <v>103</v>
      </c>
      <c r="B449" s="59">
        <v>439</v>
      </c>
      <c r="C449" s="40">
        <f t="shared" si="196"/>
        <v>3.4332694957598457</v>
      </c>
      <c r="D449" s="40">
        <f t="shared" si="196"/>
        <v>1.8717327794185254</v>
      </c>
      <c r="E449" s="40">
        <f t="shared" si="196"/>
        <v>0.32981104388639787</v>
      </c>
      <c r="F449" s="40">
        <f t="shared" si="194"/>
        <v>0.74636293386083608</v>
      </c>
      <c r="G449" s="40">
        <f t="shared" si="194"/>
        <v>0.34817321475331586</v>
      </c>
      <c r="H449" s="40">
        <f t="shared" si="194"/>
        <v>5.4355139759513407E-2</v>
      </c>
      <c r="I449" s="104">
        <f t="shared" si="217"/>
        <v>0.36139678902735217</v>
      </c>
      <c r="J449" s="104">
        <f t="shared" si="217"/>
        <v>0.1970245030966869</v>
      </c>
      <c r="K449" s="104">
        <f t="shared" si="217"/>
        <v>3.471695198804188E-2</v>
      </c>
      <c r="L449" s="104">
        <f t="shared" si="217"/>
        <v>0.48220077187638283</v>
      </c>
      <c r="M449" s="104">
        <f t="shared" si="217"/>
        <v>0.26288381733406258</v>
      </c>
      <c r="N449" s="104">
        <f t="shared" si="217"/>
        <v>4.6321775826741275E-2</v>
      </c>
      <c r="O449" s="55">
        <f t="shared" si="217"/>
        <v>0.38224352251574223</v>
      </c>
      <c r="P449" s="55">
        <f t="shared" si="217"/>
        <v>0.21957685264482196</v>
      </c>
      <c r="Q449" s="55">
        <f t="shared" si="217"/>
        <v>4.6321775826741275E-2</v>
      </c>
    </row>
    <row r="450" spans="1:17" x14ac:dyDescent="0.2">
      <c r="A450" s="72">
        <v>104</v>
      </c>
      <c r="B450" s="59">
        <v>440</v>
      </c>
      <c r="C450" s="40">
        <f t="shared" si="196"/>
        <v>3.4332694957598457</v>
      </c>
      <c r="D450" s="40">
        <f t="shared" si="196"/>
        <v>1.8717327794185254</v>
      </c>
      <c r="E450" s="40">
        <f t="shared" si="196"/>
        <v>0.32981104388639787</v>
      </c>
      <c r="F450" s="40">
        <f t="shared" si="194"/>
        <v>0.74636293386083608</v>
      </c>
      <c r="G450" s="40">
        <f t="shared" si="194"/>
        <v>0.34817321475331586</v>
      </c>
      <c r="H450" s="40">
        <f t="shared" si="194"/>
        <v>5.4355139759513407E-2</v>
      </c>
      <c r="I450" s="104">
        <f t="shared" si="217"/>
        <v>0.36139678902735217</v>
      </c>
      <c r="J450" s="104">
        <f t="shared" si="217"/>
        <v>0.1970245030966869</v>
      </c>
      <c r="K450" s="104">
        <f t="shared" si="217"/>
        <v>3.471695198804188E-2</v>
      </c>
      <c r="L450" s="104">
        <f t="shared" si="217"/>
        <v>0.48220077187638283</v>
      </c>
      <c r="M450" s="104">
        <f t="shared" si="217"/>
        <v>0.26288381733406258</v>
      </c>
      <c r="N450" s="104">
        <f t="shared" si="217"/>
        <v>4.6321775826741275E-2</v>
      </c>
      <c r="O450" s="55">
        <f t="shared" si="217"/>
        <v>0.38224352251574223</v>
      </c>
      <c r="P450" s="55">
        <f t="shared" si="217"/>
        <v>0.21957685264482196</v>
      </c>
      <c r="Q450" s="55">
        <f t="shared" si="217"/>
        <v>4.6321775826741275E-2</v>
      </c>
    </row>
    <row r="451" spans="1:17" x14ac:dyDescent="0.2">
      <c r="A451" s="72">
        <v>105</v>
      </c>
      <c r="B451" s="59">
        <v>441</v>
      </c>
      <c r="C451" s="40">
        <f t="shared" si="196"/>
        <v>3.4332694957598457</v>
      </c>
      <c r="D451" s="40">
        <f t="shared" si="196"/>
        <v>1.8717327794185254</v>
      </c>
      <c r="E451" s="40">
        <f t="shared" si="196"/>
        <v>0.32981104388639787</v>
      </c>
      <c r="F451" s="40">
        <f t="shared" si="194"/>
        <v>0.74636293386083608</v>
      </c>
      <c r="G451" s="40">
        <f t="shared" si="194"/>
        <v>0.34817321475331586</v>
      </c>
      <c r="H451" s="40">
        <f t="shared" si="194"/>
        <v>5.4355139759513407E-2</v>
      </c>
      <c r="I451" s="104">
        <f t="shared" si="217"/>
        <v>0.36139678902735217</v>
      </c>
      <c r="J451" s="104">
        <f t="shared" si="217"/>
        <v>0.1970245030966869</v>
      </c>
      <c r="K451" s="104">
        <f t="shared" si="217"/>
        <v>3.471695198804188E-2</v>
      </c>
      <c r="L451" s="104">
        <f t="shared" si="217"/>
        <v>0.48220077187638283</v>
      </c>
      <c r="M451" s="104">
        <f t="shared" si="217"/>
        <v>0.26288381733406258</v>
      </c>
      <c r="N451" s="104">
        <f t="shared" si="217"/>
        <v>4.6321775826741275E-2</v>
      </c>
      <c r="O451" s="55">
        <f t="shared" si="217"/>
        <v>0.38224352251574223</v>
      </c>
      <c r="P451" s="55">
        <f t="shared" si="217"/>
        <v>0.21957685264482196</v>
      </c>
      <c r="Q451" s="55">
        <f t="shared" si="217"/>
        <v>4.6321775826741275E-2</v>
      </c>
    </row>
    <row r="452" spans="1:17" x14ac:dyDescent="0.2">
      <c r="A452" s="72">
        <v>106</v>
      </c>
      <c r="B452" s="59">
        <v>442</v>
      </c>
      <c r="C452" s="40">
        <f t="shared" si="196"/>
        <v>3.4332694957598457</v>
      </c>
      <c r="D452" s="40">
        <f t="shared" si="196"/>
        <v>1.8717327794185254</v>
      </c>
      <c r="E452" s="40">
        <f t="shared" si="196"/>
        <v>0.32981104388639787</v>
      </c>
      <c r="F452" s="40">
        <f t="shared" si="194"/>
        <v>0.74636293386083608</v>
      </c>
      <c r="G452" s="40">
        <f t="shared" si="194"/>
        <v>0.34817321475331586</v>
      </c>
      <c r="H452" s="40">
        <f t="shared" si="194"/>
        <v>5.4355139759513407E-2</v>
      </c>
      <c r="I452" s="104">
        <f t="shared" ref="I452:Q471" si="218">I116</f>
        <v>0.36139678902735217</v>
      </c>
      <c r="J452" s="104">
        <f t="shared" si="218"/>
        <v>0.1970245030966869</v>
      </c>
      <c r="K452" s="104">
        <f t="shared" si="218"/>
        <v>3.471695198804188E-2</v>
      </c>
      <c r="L452" s="104">
        <f t="shared" si="218"/>
        <v>0.48220077187638283</v>
      </c>
      <c r="M452" s="104">
        <f t="shared" si="218"/>
        <v>0.26288381733406258</v>
      </c>
      <c r="N452" s="104">
        <f t="shared" si="218"/>
        <v>4.6321775826741275E-2</v>
      </c>
      <c r="O452" s="55">
        <f t="shared" si="218"/>
        <v>0.38224352251574223</v>
      </c>
      <c r="P452" s="55">
        <f t="shared" si="218"/>
        <v>0.21957685264482196</v>
      </c>
      <c r="Q452" s="55">
        <f t="shared" si="218"/>
        <v>4.6321775826741275E-2</v>
      </c>
    </row>
    <row r="453" spans="1:17" x14ac:dyDescent="0.2">
      <c r="A453" s="72">
        <v>107</v>
      </c>
      <c r="B453" s="59">
        <v>443</v>
      </c>
      <c r="C453" s="40">
        <f t="shared" si="196"/>
        <v>3.4332694957598457</v>
      </c>
      <c r="D453" s="40">
        <f t="shared" si="196"/>
        <v>1.8717327794185254</v>
      </c>
      <c r="E453" s="40">
        <f t="shared" si="196"/>
        <v>0.32981104388639787</v>
      </c>
      <c r="F453" s="40">
        <f t="shared" si="194"/>
        <v>0.74636293386083608</v>
      </c>
      <c r="G453" s="40">
        <f t="shared" si="194"/>
        <v>0.34817321475331586</v>
      </c>
      <c r="H453" s="40">
        <f t="shared" si="194"/>
        <v>5.4355139759513407E-2</v>
      </c>
      <c r="I453" s="104">
        <f t="shared" si="218"/>
        <v>0.36139678902735217</v>
      </c>
      <c r="J453" s="104">
        <f t="shared" si="218"/>
        <v>0.1970245030966869</v>
      </c>
      <c r="K453" s="104">
        <f t="shared" si="218"/>
        <v>3.471695198804188E-2</v>
      </c>
      <c r="L453" s="104">
        <f t="shared" si="218"/>
        <v>0.48220077187638283</v>
      </c>
      <c r="M453" s="104">
        <f t="shared" si="218"/>
        <v>0.26288381733406258</v>
      </c>
      <c r="N453" s="104">
        <f t="shared" si="218"/>
        <v>4.6321775826741275E-2</v>
      </c>
      <c r="O453" s="55">
        <f t="shared" si="218"/>
        <v>0.38224352251574223</v>
      </c>
      <c r="P453" s="55">
        <f t="shared" si="218"/>
        <v>0.21957685264482196</v>
      </c>
      <c r="Q453" s="55">
        <f t="shared" si="218"/>
        <v>4.6321775826741275E-2</v>
      </c>
    </row>
    <row r="454" spans="1:17" x14ac:dyDescent="0.2">
      <c r="A454" s="72">
        <v>108</v>
      </c>
      <c r="B454" s="59">
        <v>444</v>
      </c>
      <c r="C454" s="40">
        <f t="shared" si="196"/>
        <v>3.4332694957598457</v>
      </c>
      <c r="D454" s="40">
        <f t="shared" si="196"/>
        <v>1.8717327794185254</v>
      </c>
      <c r="E454" s="40">
        <f t="shared" si="196"/>
        <v>0.32981104388639787</v>
      </c>
      <c r="F454" s="40">
        <f t="shared" si="194"/>
        <v>0.74636293386083608</v>
      </c>
      <c r="G454" s="40">
        <f t="shared" si="194"/>
        <v>0.34817321475331586</v>
      </c>
      <c r="H454" s="40">
        <f t="shared" si="194"/>
        <v>5.4355139759513407E-2</v>
      </c>
      <c r="I454" s="104">
        <f t="shared" si="218"/>
        <v>0.36139678902735217</v>
      </c>
      <c r="J454" s="104">
        <f t="shared" si="218"/>
        <v>0.1970245030966869</v>
      </c>
      <c r="K454" s="104">
        <f t="shared" si="218"/>
        <v>3.471695198804188E-2</v>
      </c>
      <c r="L454" s="104">
        <f t="shared" si="218"/>
        <v>0.48220077187638283</v>
      </c>
      <c r="M454" s="104">
        <f t="shared" si="218"/>
        <v>0.26288381733406258</v>
      </c>
      <c r="N454" s="104">
        <f t="shared" si="218"/>
        <v>4.6321775826741275E-2</v>
      </c>
      <c r="O454" s="55">
        <f t="shared" si="218"/>
        <v>0.38224352251574223</v>
      </c>
      <c r="P454" s="55">
        <f t="shared" si="218"/>
        <v>0.21957685264482196</v>
      </c>
      <c r="Q454" s="55">
        <f t="shared" si="218"/>
        <v>4.6321775826741275E-2</v>
      </c>
    </row>
    <row r="455" spans="1:17" x14ac:dyDescent="0.2">
      <c r="A455" s="72">
        <v>109</v>
      </c>
      <c r="B455" s="59">
        <v>445</v>
      </c>
      <c r="C455" s="40">
        <f t="shared" si="196"/>
        <v>3.4332694957598457</v>
      </c>
      <c r="D455" s="40">
        <f t="shared" si="196"/>
        <v>1.8717327794185254</v>
      </c>
      <c r="E455" s="40">
        <f t="shared" si="196"/>
        <v>0.32981104388639787</v>
      </c>
      <c r="F455" s="40">
        <f t="shared" si="194"/>
        <v>0.74636293386083608</v>
      </c>
      <c r="G455" s="40">
        <f t="shared" si="194"/>
        <v>0.34817321475331586</v>
      </c>
      <c r="H455" s="40">
        <f t="shared" si="194"/>
        <v>5.4355139759513407E-2</v>
      </c>
      <c r="I455" s="104">
        <f t="shared" si="218"/>
        <v>0.36139678902735217</v>
      </c>
      <c r="J455" s="104">
        <f t="shared" si="218"/>
        <v>0.1970245030966869</v>
      </c>
      <c r="K455" s="104">
        <f t="shared" si="218"/>
        <v>3.471695198804188E-2</v>
      </c>
      <c r="L455" s="104">
        <f t="shared" si="218"/>
        <v>0.48220077187638283</v>
      </c>
      <c r="M455" s="104">
        <f t="shared" si="218"/>
        <v>0.26288381733406258</v>
      </c>
      <c r="N455" s="104">
        <f t="shared" si="218"/>
        <v>4.6321775826741275E-2</v>
      </c>
      <c r="O455" s="55">
        <f t="shared" si="218"/>
        <v>0.38224352251574223</v>
      </c>
      <c r="P455" s="55">
        <f t="shared" si="218"/>
        <v>0.21957685264482196</v>
      </c>
      <c r="Q455" s="55">
        <f t="shared" si="218"/>
        <v>4.6321775826741275E-2</v>
      </c>
    </row>
    <row r="456" spans="1:17" x14ac:dyDescent="0.2">
      <c r="A456" s="72">
        <v>110</v>
      </c>
      <c r="B456" s="59">
        <v>446</v>
      </c>
      <c r="C456" s="40">
        <f t="shared" si="196"/>
        <v>3.4332694957598457</v>
      </c>
      <c r="D456" s="40">
        <f t="shared" si="196"/>
        <v>1.8717327794185254</v>
      </c>
      <c r="E456" s="40">
        <f t="shared" si="196"/>
        <v>0.32981104388639787</v>
      </c>
      <c r="F456" s="40">
        <f t="shared" si="194"/>
        <v>0.74636293386083608</v>
      </c>
      <c r="G456" s="40">
        <f t="shared" si="194"/>
        <v>0.34817321475331586</v>
      </c>
      <c r="H456" s="40">
        <f t="shared" si="194"/>
        <v>5.4355139759513407E-2</v>
      </c>
      <c r="I456" s="104">
        <f t="shared" si="218"/>
        <v>0.36139678902735217</v>
      </c>
      <c r="J456" s="104">
        <f t="shared" si="218"/>
        <v>0.1970245030966869</v>
      </c>
      <c r="K456" s="104">
        <f t="shared" si="218"/>
        <v>3.471695198804188E-2</v>
      </c>
      <c r="L456" s="104">
        <f t="shared" si="218"/>
        <v>0.48220077187638283</v>
      </c>
      <c r="M456" s="104">
        <f t="shared" si="218"/>
        <v>0.26288381733406258</v>
      </c>
      <c r="N456" s="104">
        <f t="shared" si="218"/>
        <v>4.6321775826741275E-2</v>
      </c>
      <c r="O456" s="55">
        <f t="shared" si="218"/>
        <v>0.38224352251574223</v>
      </c>
      <c r="P456" s="55">
        <f t="shared" si="218"/>
        <v>0.21957685264482196</v>
      </c>
      <c r="Q456" s="55">
        <f t="shared" si="218"/>
        <v>4.6321775826741275E-2</v>
      </c>
    </row>
    <row r="457" spans="1:17" x14ac:dyDescent="0.2">
      <c r="A457" s="72">
        <v>111</v>
      </c>
      <c r="B457" s="59">
        <v>447</v>
      </c>
      <c r="C457" s="40">
        <f t="shared" si="196"/>
        <v>3.4332694957598457</v>
      </c>
      <c r="D457" s="40">
        <f t="shared" si="196"/>
        <v>1.8717327794185254</v>
      </c>
      <c r="E457" s="40">
        <f t="shared" si="196"/>
        <v>0.32981104388639787</v>
      </c>
      <c r="F457" s="40">
        <f t="shared" si="194"/>
        <v>0.74636293386083608</v>
      </c>
      <c r="G457" s="40">
        <f t="shared" si="194"/>
        <v>0.34817321475331586</v>
      </c>
      <c r="H457" s="40">
        <f t="shared" si="194"/>
        <v>5.4355139759513407E-2</v>
      </c>
      <c r="I457" s="104">
        <f t="shared" si="218"/>
        <v>0.36139678902735217</v>
      </c>
      <c r="J457" s="104">
        <f t="shared" si="218"/>
        <v>0.1970245030966869</v>
      </c>
      <c r="K457" s="104">
        <f t="shared" si="218"/>
        <v>3.471695198804188E-2</v>
      </c>
      <c r="L457" s="104">
        <f t="shared" si="218"/>
        <v>0.48220077187638283</v>
      </c>
      <c r="M457" s="104">
        <f t="shared" si="218"/>
        <v>0.26288381733406258</v>
      </c>
      <c r="N457" s="104">
        <f t="shared" si="218"/>
        <v>4.6321775826741275E-2</v>
      </c>
      <c r="O457" s="55">
        <f t="shared" si="218"/>
        <v>0.38224352251574223</v>
      </c>
      <c r="P457" s="55">
        <f t="shared" si="218"/>
        <v>0.21957685264482196</v>
      </c>
      <c r="Q457" s="55">
        <f t="shared" si="218"/>
        <v>4.6321775826741275E-2</v>
      </c>
    </row>
    <row r="458" spans="1:17" x14ac:dyDescent="0.2">
      <c r="A458" s="72">
        <v>112</v>
      </c>
      <c r="B458" s="59">
        <v>448</v>
      </c>
      <c r="C458" s="40">
        <f t="shared" si="196"/>
        <v>3.4332694957598457</v>
      </c>
      <c r="D458" s="40">
        <f t="shared" si="196"/>
        <v>1.8717327794185254</v>
      </c>
      <c r="E458" s="40">
        <f t="shared" si="196"/>
        <v>0.32981104388639787</v>
      </c>
      <c r="F458" s="40">
        <f t="shared" si="194"/>
        <v>0.74636293386083608</v>
      </c>
      <c r="G458" s="40">
        <f t="shared" si="194"/>
        <v>0.34817321475331586</v>
      </c>
      <c r="H458" s="40">
        <f t="shared" si="194"/>
        <v>5.4355139759513407E-2</v>
      </c>
      <c r="I458" s="104">
        <f t="shared" si="218"/>
        <v>0.36139678902735217</v>
      </c>
      <c r="J458" s="104">
        <f t="shared" si="218"/>
        <v>0.1970245030966869</v>
      </c>
      <c r="K458" s="104">
        <f t="shared" si="218"/>
        <v>3.471695198804188E-2</v>
      </c>
      <c r="L458" s="104">
        <f t="shared" si="218"/>
        <v>0.48220077187638283</v>
      </c>
      <c r="M458" s="104">
        <f t="shared" si="218"/>
        <v>0.26288381733406258</v>
      </c>
      <c r="N458" s="104">
        <f t="shared" si="218"/>
        <v>4.6321775826741275E-2</v>
      </c>
      <c r="O458" s="55">
        <f t="shared" si="218"/>
        <v>0.38224352251574223</v>
      </c>
      <c r="P458" s="55">
        <f t="shared" si="218"/>
        <v>0.21957685264482196</v>
      </c>
      <c r="Q458" s="55">
        <f t="shared" si="218"/>
        <v>4.6321775826741275E-2</v>
      </c>
    </row>
    <row r="459" spans="1:17" x14ac:dyDescent="0.2">
      <c r="A459" s="72">
        <v>113</v>
      </c>
      <c r="B459" s="59">
        <v>449</v>
      </c>
      <c r="C459" s="40">
        <f t="shared" si="196"/>
        <v>3.4332694957598457</v>
      </c>
      <c r="D459" s="40">
        <f t="shared" si="196"/>
        <v>1.8717327794185254</v>
      </c>
      <c r="E459" s="40">
        <f t="shared" si="196"/>
        <v>0.32981104388639787</v>
      </c>
      <c r="F459" s="40">
        <f t="shared" si="194"/>
        <v>0.74636293386083608</v>
      </c>
      <c r="G459" s="40">
        <f t="shared" si="194"/>
        <v>0.34817321475331586</v>
      </c>
      <c r="H459" s="40">
        <f t="shared" si="194"/>
        <v>5.4355139759513407E-2</v>
      </c>
      <c r="I459" s="104">
        <f t="shared" si="218"/>
        <v>0.36139678902735217</v>
      </c>
      <c r="J459" s="104">
        <f t="shared" si="218"/>
        <v>0.1970245030966869</v>
      </c>
      <c r="K459" s="104">
        <f t="shared" si="218"/>
        <v>3.471695198804188E-2</v>
      </c>
      <c r="L459" s="104">
        <f t="shared" si="218"/>
        <v>0.48220077187638283</v>
      </c>
      <c r="M459" s="104">
        <f t="shared" si="218"/>
        <v>0.26288381733406258</v>
      </c>
      <c r="N459" s="104">
        <f t="shared" si="218"/>
        <v>4.6321775826741275E-2</v>
      </c>
      <c r="O459" s="55">
        <f t="shared" si="218"/>
        <v>0.38224352251574223</v>
      </c>
      <c r="P459" s="55">
        <f t="shared" si="218"/>
        <v>0.21957685264482196</v>
      </c>
      <c r="Q459" s="55">
        <f t="shared" si="218"/>
        <v>4.6321775826741275E-2</v>
      </c>
    </row>
    <row r="460" spans="1:17" x14ac:dyDescent="0.2">
      <c r="A460" s="72">
        <v>114</v>
      </c>
      <c r="B460" s="59">
        <v>450</v>
      </c>
      <c r="C460" s="40">
        <f t="shared" si="196"/>
        <v>3.4332694957598457</v>
      </c>
      <c r="D460" s="40">
        <f t="shared" si="196"/>
        <v>1.8717327794185254</v>
      </c>
      <c r="E460" s="40">
        <f t="shared" si="196"/>
        <v>0.32981104388639787</v>
      </c>
      <c r="F460" s="40">
        <f t="shared" si="194"/>
        <v>0.74636293386083608</v>
      </c>
      <c r="G460" s="40">
        <f t="shared" si="194"/>
        <v>0.34817321475331586</v>
      </c>
      <c r="H460" s="40">
        <f t="shared" si="194"/>
        <v>5.4355139759513407E-2</v>
      </c>
      <c r="I460" s="104">
        <f t="shared" si="218"/>
        <v>0.36139678902735217</v>
      </c>
      <c r="J460" s="104">
        <f t="shared" si="218"/>
        <v>0.1970245030966869</v>
      </c>
      <c r="K460" s="104">
        <f t="shared" si="218"/>
        <v>3.471695198804188E-2</v>
      </c>
      <c r="L460" s="104">
        <f t="shared" si="218"/>
        <v>0.48220077187638283</v>
      </c>
      <c r="M460" s="104">
        <f t="shared" si="218"/>
        <v>0.26288381733406258</v>
      </c>
      <c r="N460" s="104">
        <f t="shared" si="218"/>
        <v>4.6321775826741275E-2</v>
      </c>
      <c r="O460" s="55">
        <f t="shared" si="218"/>
        <v>0.38224352251574223</v>
      </c>
      <c r="P460" s="55">
        <f t="shared" si="218"/>
        <v>0.21957685264482196</v>
      </c>
      <c r="Q460" s="55">
        <f t="shared" si="218"/>
        <v>4.6321775826741275E-2</v>
      </c>
    </row>
    <row r="461" spans="1:17" x14ac:dyDescent="0.2">
      <c r="A461" s="72">
        <v>115</v>
      </c>
      <c r="B461" s="59">
        <v>451</v>
      </c>
      <c r="C461" s="40">
        <f t="shared" si="196"/>
        <v>3.4332694957598457</v>
      </c>
      <c r="D461" s="40">
        <f t="shared" si="196"/>
        <v>1.8717327794185254</v>
      </c>
      <c r="E461" s="40">
        <f t="shared" si="196"/>
        <v>0.32981104388639787</v>
      </c>
      <c r="F461" s="40">
        <f t="shared" si="194"/>
        <v>0.74636293386083608</v>
      </c>
      <c r="G461" s="40">
        <f t="shared" si="194"/>
        <v>0.34817321475331586</v>
      </c>
      <c r="H461" s="40">
        <f t="shared" si="194"/>
        <v>5.4355139759513407E-2</v>
      </c>
      <c r="I461" s="104">
        <f t="shared" si="218"/>
        <v>0.36139678902735217</v>
      </c>
      <c r="J461" s="104">
        <f t="shared" si="218"/>
        <v>0.1970245030966869</v>
      </c>
      <c r="K461" s="104">
        <f t="shared" si="218"/>
        <v>3.471695198804188E-2</v>
      </c>
      <c r="L461" s="104">
        <f t="shared" si="218"/>
        <v>0.48220077187638283</v>
      </c>
      <c r="M461" s="104">
        <f t="shared" si="218"/>
        <v>0.26288381733406258</v>
      </c>
      <c r="N461" s="104">
        <f t="shared" si="218"/>
        <v>4.6321775826741275E-2</v>
      </c>
      <c r="O461" s="55">
        <f t="shared" si="218"/>
        <v>0.38224352251574223</v>
      </c>
      <c r="P461" s="55">
        <f t="shared" si="218"/>
        <v>0.21957685264482196</v>
      </c>
      <c r="Q461" s="55">
        <f t="shared" si="218"/>
        <v>4.6321775826741275E-2</v>
      </c>
    </row>
    <row r="462" spans="1:17" x14ac:dyDescent="0.2">
      <c r="A462" s="72">
        <v>116</v>
      </c>
      <c r="B462" s="59">
        <v>452</v>
      </c>
      <c r="C462" s="40">
        <f t="shared" si="196"/>
        <v>3.4332694957598457</v>
      </c>
      <c r="D462" s="40">
        <f t="shared" si="196"/>
        <v>1.8717327794185254</v>
      </c>
      <c r="E462" s="40">
        <f t="shared" si="196"/>
        <v>0.32981104388639787</v>
      </c>
      <c r="F462" s="40">
        <f t="shared" si="194"/>
        <v>0.74636293386083608</v>
      </c>
      <c r="G462" s="40">
        <f t="shared" si="194"/>
        <v>0.34817321475331586</v>
      </c>
      <c r="H462" s="40">
        <f t="shared" si="194"/>
        <v>5.4355139759513407E-2</v>
      </c>
      <c r="I462" s="104">
        <f t="shared" si="218"/>
        <v>0.36139678902735217</v>
      </c>
      <c r="J462" s="104">
        <f t="shared" si="218"/>
        <v>0.1970245030966869</v>
      </c>
      <c r="K462" s="104">
        <f t="shared" si="218"/>
        <v>3.471695198804188E-2</v>
      </c>
      <c r="L462" s="104">
        <f t="shared" si="218"/>
        <v>0.48220077187638283</v>
      </c>
      <c r="M462" s="104">
        <f t="shared" si="218"/>
        <v>0.26288381733406258</v>
      </c>
      <c r="N462" s="104">
        <f t="shared" si="218"/>
        <v>4.6321775826741275E-2</v>
      </c>
      <c r="O462" s="55">
        <f t="shared" si="218"/>
        <v>0.38224352251574223</v>
      </c>
      <c r="P462" s="55">
        <f t="shared" si="218"/>
        <v>0.21957685264482196</v>
      </c>
      <c r="Q462" s="55">
        <f t="shared" si="218"/>
        <v>4.6321775826741275E-2</v>
      </c>
    </row>
    <row r="463" spans="1:17" x14ac:dyDescent="0.2">
      <c r="A463" s="72">
        <v>117</v>
      </c>
      <c r="B463" s="59">
        <v>453</v>
      </c>
      <c r="C463" s="40">
        <f t="shared" si="196"/>
        <v>3.4332694957598457</v>
      </c>
      <c r="D463" s="40">
        <f t="shared" si="196"/>
        <v>1.8717327794185254</v>
      </c>
      <c r="E463" s="40">
        <f t="shared" si="196"/>
        <v>0.32981104388639787</v>
      </c>
      <c r="F463" s="40">
        <f t="shared" si="194"/>
        <v>0.74636293386083608</v>
      </c>
      <c r="G463" s="40">
        <f t="shared" si="194"/>
        <v>0.34817321475331586</v>
      </c>
      <c r="H463" s="40">
        <f t="shared" si="194"/>
        <v>5.4355139759513407E-2</v>
      </c>
      <c r="I463" s="104">
        <f t="shared" si="218"/>
        <v>0.36139678902735217</v>
      </c>
      <c r="J463" s="104">
        <f t="shared" si="218"/>
        <v>0.1970245030966869</v>
      </c>
      <c r="K463" s="104">
        <f t="shared" si="218"/>
        <v>3.471695198804188E-2</v>
      </c>
      <c r="L463" s="104">
        <f t="shared" si="218"/>
        <v>0.48220077187638283</v>
      </c>
      <c r="M463" s="104">
        <f t="shared" si="218"/>
        <v>0.26288381733406258</v>
      </c>
      <c r="N463" s="104">
        <f t="shared" si="218"/>
        <v>4.6321775826741275E-2</v>
      </c>
      <c r="O463" s="55">
        <f t="shared" si="218"/>
        <v>0.38224352251574223</v>
      </c>
      <c r="P463" s="55">
        <f t="shared" si="218"/>
        <v>0.21957685264482196</v>
      </c>
      <c r="Q463" s="55">
        <f t="shared" si="218"/>
        <v>4.6321775826741275E-2</v>
      </c>
    </row>
    <row r="464" spans="1:17" x14ac:dyDescent="0.2">
      <c r="A464" s="72">
        <v>118</v>
      </c>
      <c r="B464" s="59">
        <v>454</v>
      </c>
      <c r="C464" s="40">
        <f t="shared" si="196"/>
        <v>3.4332694957598457</v>
      </c>
      <c r="D464" s="40">
        <f t="shared" si="196"/>
        <v>1.8717327794185254</v>
      </c>
      <c r="E464" s="40">
        <f t="shared" si="196"/>
        <v>0.32981104388639787</v>
      </c>
      <c r="F464" s="40">
        <f t="shared" si="194"/>
        <v>0.74636293386083608</v>
      </c>
      <c r="G464" s="40">
        <f t="shared" si="194"/>
        <v>0.34817321475331586</v>
      </c>
      <c r="H464" s="40">
        <f t="shared" si="194"/>
        <v>5.4355139759513407E-2</v>
      </c>
      <c r="I464" s="104">
        <f t="shared" si="218"/>
        <v>0.36139678902735217</v>
      </c>
      <c r="J464" s="104">
        <f t="shared" si="218"/>
        <v>0.1970245030966869</v>
      </c>
      <c r="K464" s="104">
        <f t="shared" si="218"/>
        <v>3.471695198804188E-2</v>
      </c>
      <c r="L464" s="104">
        <f t="shared" si="218"/>
        <v>0.48220077187638283</v>
      </c>
      <c r="M464" s="104">
        <f t="shared" si="218"/>
        <v>0.26288381733406258</v>
      </c>
      <c r="N464" s="104">
        <f t="shared" si="218"/>
        <v>4.6321775826741275E-2</v>
      </c>
      <c r="O464" s="55">
        <f t="shared" si="218"/>
        <v>0.38224352251574223</v>
      </c>
      <c r="P464" s="55">
        <f t="shared" si="218"/>
        <v>0.21957685264482196</v>
      </c>
      <c r="Q464" s="55">
        <f t="shared" si="218"/>
        <v>4.6321775826741275E-2</v>
      </c>
    </row>
    <row r="465" spans="1:17" x14ac:dyDescent="0.2">
      <c r="A465" s="72">
        <v>119</v>
      </c>
      <c r="B465" s="59">
        <v>455</v>
      </c>
      <c r="C465" s="40">
        <f t="shared" si="196"/>
        <v>0</v>
      </c>
      <c r="D465" s="40">
        <f t="shared" si="196"/>
        <v>0</v>
      </c>
      <c r="E465" s="40">
        <f t="shared" si="196"/>
        <v>0</v>
      </c>
      <c r="F465" s="40">
        <f t="shared" si="194"/>
        <v>0</v>
      </c>
      <c r="G465" s="40">
        <f t="shared" si="194"/>
        <v>0</v>
      </c>
      <c r="H465" s="40">
        <f t="shared" si="194"/>
        <v>0</v>
      </c>
      <c r="I465" s="104">
        <f t="shared" si="218"/>
        <v>0</v>
      </c>
      <c r="J465" s="104">
        <f t="shared" si="218"/>
        <v>0</v>
      </c>
      <c r="K465" s="104">
        <f t="shared" si="218"/>
        <v>0</v>
      </c>
      <c r="L465" s="104">
        <f t="shared" si="218"/>
        <v>0</v>
      </c>
      <c r="M465" s="104">
        <f t="shared" si="218"/>
        <v>0</v>
      </c>
      <c r="N465" s="104">
        <f t="shared" si="218"/>
        <v>0</v>
      </c>
      <c r="O465" s="55">
        <f t="shared" si="218"/>
        <v>0</v>
      </c>
      <c r="P465" s="55">
        <f t="shared" si="218"/>
        <v>0</v>
      </c>
      <c r="Q465" s="55">
        <f t="shared" si="218"/>
        <v>0</v>
      </c>
    </row>
    <row r="466" spans="1:17" x14ac:dyDescent="0.2">
      <c r="A466" s="72">
        <v>120</v>
      </c>
      <c r="B466" s="59">
        <v>456</v>
      </c>
      <c r="C466" s="40">
        <f t="shared" si="196"/>
        <v>0</v>
      </c>
      <c r="D466" s="40">
        <f t="shared" si="196"/>
        <v>0</v>
      </c>
      <c r="E466" s="40">
        <f t="shared" si="196"/>
        <v>0</v>
      </c>
      <c r="F466" s="40">
        <f t="shared" si="194"/>
        <v>0</v>
      </c>
      <c r="G466" s="40">
        <f t="shared" si="194"/>
        <v>0</v>
      </c>
      <c r="H466" s="40">
        <f t="shared" si="194"/>
        <v>0</v>
      </c>
      <c r="I466" s="104">
        <f t="shared" si="218"/>
        <v>0</v>
      </c>
      <c r="J466" s="104">
        <f t="shared" si="218"/>
        <v>0</v>
      </c>
      <c r="K466" s="104">
        <f t="shared" si="218"/>
        <v>0</v>
      </c>
      <c r="L466" s="104">
        <f t="shared" si="218"/>
        <v>0</v>
      </c>
      <c r="M466" s="104">
        <f t="shared" si="218"/>
        <v>0</v>
      </c>
      <c r="N466" s="104">
        <f t="shared" si="218"/>
        <v>0</v>
      </c>
      <c r="O466" s="55">
        <f t="shared" si="218"/>
        <v>0</v>
      </c>
      <c r="P466" s="55">
        <f t="shared" si="218"/>
        <v>0</v>
      </c>
      <c r="Q466" s="55">
        <f t="shared" si="218"/>
        <v>0</v>
      </c>
    </row>
    <row r="467" spans="1:17" x14ac:dyDescent="0.2">
      <c r="A467" s="72">
        <v>121</v>
      </c>
      <c r="B467" s="59">
        <v>457</v>
      </c>
      <c r="C467" s="40">
        <f t="shared" si="196"/>
        <v>0</v>
      </c>
      <c r="D467" s="40">
        <f t="shared" si="196"/>
        <v>0</v>
      </c>
      <c r="E467" s="40">
        <f t="shared" si="196"/>
        <v>0</v>
      </c>
      <c r="F467" s="40">
        <f t="shared" si="194"/>
        <v>0</v>
      </c>
      <c r="G467" s="40">
        <f t="shared" si="194"/>
        <v>0</v>
      </c>
      <c r="H467" s="40">
        <f t="shared" si="194"/>
        <v>0</v>
      </c>
      <c r="I467" s="104">
        <f t="shared" si="218"/>
        <v>0</v>
      </c>
      <c r="J467" s="104">
        <f t="shared" si="218"/>
        <v>0</v>
      </c>
      <c r="K467" s="104">
        <f t="shared" si="218"/>
        <v>0</v>
      </c>
      <c r="L467" s="104">
        <f t="shared" si="218"/>
        <v>0</v>
      </c>
      <c r="M467" s="104">
        <f t="shared" si="218"/>
        <v>0</v>
      </c>
      <c r="N467" s="104">
        <f t="shared" si="218"/>
        <v>0</v>
      </c>
      <c r="O467" s="55">
        <f t="shared" si="218"/>
        <v>0</v>
      </c>
      <c r="P467" s="55">
        <f t="shared" si="218"/>
        <v>0</v>
      </c>
      <c r="Q467" s="55">
        <f t="shared" si="218"/>
        <v>0</v>
      </c>
    </row>
    <row r="468" spans="1:17" x14ac:dyDescent="0.2">
      <c r="A468" s="72">
        <v>122</v>
      </c>
      <c r="B468" s="59">
        <v>458</v>
      </c>
      <c r="C468" s="40">
        <f t="shared" si="196"/>
        <v>0</v>
      </c>
      <c r="D468" s="40">
        <f t="shared" si="196"/>
        <v>0</v>
      </c>
      <c r="E468" s="40">
        <f t="shared" si="196"/>
        <v>0</v>
      </c>
      <c r="F468" s="40">
        <f t="shared" si="194"/>
        <v>0</v>
      </c>
      <c r="G468" s="40">
        <f t="shared" si="194"/>
        <v>0</v>
      </c>
      <c r="H468" s="40">
        <f t="shared" si="194"/>
        <v>0</v>
      </c>
      <c r="I468" s="104">
        <f t="shared" si="218"/>
        <v>0</v>
      </c>
      <c r="J468" s="104">
        <f t="shared" si="218"/>
        <v>0</v>
      </c>
      <c r="K468" s="104">
        <f t="shared" si="218"/>
        <v>0</v>
      </c>
      <c r="L468" s="104">
        <f t="shared" si="218"/>
        <v>0</v>
      </c>
      <c r="M468" s="104">
        <f t="shared" si="218"/>
        <v>0</v>
      </c>
      <c r="N468" s="104">
        <f t="shared" si="218"/>
        <v>0</v>
      </c>
      <c r="O468" s="55">
        <f t="shared" si="218"/>
        <v>0</v>
      </c>
      <c r="P468" s="55">
        <f t="shared" si="218"/>
        <v>0</v>
      </c>
      <c r="Q468" s="55">
        <f t="shared" si="218"/>
        <v>0</v>
      </c>
    </row>
    <row r="469" spans="1:17" x14ac:dyDescent="0.2">
      <c r="A469" s="72">
        <v>123</v>
      </c>
      <c r="B469" s="59">
        <v>459</v>
      </c>
      <c r="C469" s="40">
        <f t="shared" si="196"/>
        <v>0</v>
      </c>
      <c r="D469" s="40">
        <f t="shared" si="196"/>
        <v>0</v>
      </c>
      <c r="E469" s="40">
        <f t="shared" si="196"/>
        <v>0</v>
      </c>
      <c r="F469" s="40">
        <f t="shared" si="194"/>
        <v>0</v>
      </c>
      <c r="G469" s="40">
        <f t="shared" si="194"/>
        <v>0</v>
      </c>
      <c r="H469" s="40">
        <f t="shared" si="194"/>
        <v>0</v>
      </c>
      <c r="I469" s="104">
        <f t="shared" si="218"/>
        <v>0</v>
      </c>
      <c r="J469" s="104">
        <f t="shared" si="218"/>
        <v>0</v>
      </c>
      <c r="K469" s="104">
        <f t="shared" si="218"/>
        <v>0</v>
      </c>
      <c r="L469" s="104">
        <f t="shared" si="218"/>
        <v>0</v>
      </c>
      <c r="M469" s="104">
        <f t="shared" si="218"/>
        <v>0</v>
      </c>
      <c r="N469" s="104">
        <f t="shared" si="218"/>
        <v>0</v>
      </c>
      <c r="O469" s="55">
        <f t="shared" si="218"/>
        <v>0</v>
      </c>
      <c r="P469" s="55">
        <f t="shared" si="218"/>
        <v>0</v>
      </c>
      <c r="Q469" s="55">
        <f t="shared" si="218"/>
        <v>0</v>
      </c>
    </row>
    <row r="470" spans="1:17" x14ac:dyDescent="0.2">
      <c r="A470" s="72">
        <v>124</v>
      </c>
      <c r="B470" s="59">
        <v>460</v>
      </c>
      <c r="C470" s="40">
        <f t="shared" si="196"/>
        <v>0</v>
      </c>
      <c r="D470" s="40">
        <f t="shared" si="196"/>
        <v>0</v>
      </c>
      <c r="E470" s="40">
        <f t="shared" si="196"/>
        <v>0</v>
      </c>
      <c r="F470" s="40">
        <f t="shared" si="194"/>
        <v>0</v>
      </c>
      <c r="G470" s="40">
        <f t="shared" si="194"/>
        <v>0</v>
      </c>
      <c r="H470" s="40">
        <f t="shared" si="194"/>
        <v>0</v>
      </c>
      <c r="I470" s="104">
        <f t="shared" si="218"/>
        <v>0</v>
      </c>
      <c r="J470" s="104">
        <f t="shared" si="218"/>
        <v>0</v>
      </c>
      <c r="K470" s="104">
        <f t="shared" si="218"/>
        <v>0</v>
      </c>
      <c r="L470" s="104">
        <f t="shared" si="218"/>
        <v>0</v>
      </c>
      <c r="M470" s="104">
        <f t="shared" si="218"/>
        <v>0</v>
      </c>
      <c r="N470" s="104">
        <f t="shared" si="218"/>
        <v>0</v>
      </c>
      <c r="O470" s="55">
        <f t="shared" si="218"/>
        <v>0</v>
      </c>
      <c r="P470" s="55">
        <f t="shared" si="218"/>
        <v>0</v>
      </c>
      <c r="Q470" s="55">
        <f t="shared" si="218"/>
        <v>0</v>
      </c>
    </row>
    <row r="471" spans="1:17" x14ac:dyDescent="0.2">
      <c r="A471" s="72">
        <v>125</v>
      </c>
      <c r="B471" s="59">
        <v>461</v>
      </c>
      <c r="C471" s="40">
        <f t="shared" si="196"/>
        <v>0</v>
      </c>
      <c r="D471" s="40">
        <f t="shared" si="196"/>
        <v>0</v>
      </c>
      <c r="E471" s="40">
        <f t="shared" si="196"/>
        <v>0</v>
      </c>
      <c r="F471" s="40">
        <f t="shared" si="194"/>
        <v>0</v>
      </c>
      <c r="G471" s="40">
        <f t="shared" si="194"/>
        <v>0</v>
      </c>
      <c r="H471" s="40">
        <f t="shared" si="194"/>
        <v>0</v>
      </c>
      <c r="I471" s="104">
        <f t="shared" si="218"/>
        <v>0</v>
      </c>
      <c r="J471" s="104">
        <f t="shared" si="218"/>
        <v>0</v>
      </c>
      <c r="K471" s="104">
        <f t="shared" si="218"/>
        <v>0</v>
      </c>
      <c r="L471" s="104">
        <f t="shared" si="218"/>
        <v>0</v>
      </c>
      <c r="M471" s="104">
        <f t="shared" si="218"/>
        <v>0</v>
      </c>
      <c r="N471" s="104">
        <f t="shared" si="218"/>
        <v>0</v>
      </c>
      <c r="O471" s="55">
        <f t="shared" si="218"/>
        <v>0</v>
      </c>
      <c r="P471" s="55">
        <f t="shared" si="218"/>
        <v>0</v>
      </c>
      <c r="Q471" s="55">
        <f t="shared" si="218"/>
        <v>0</v>
      </c>
    </row>
    <row r="472" spans="1:17" x14ac:dyDescent="0.2">
      <c r="A472" s="72">
        <v>126</v>
      </c>
      <c r="B472" s="59">
        <v>462</v>
      </c>
      <c r="C472" s="40">
        <f t="shared" si="196"/>
        <v>0</v>
      </c>
      <c r="D472" s="40">
        <f t="shared" si="196"/>
        <v>0</v>
      </c>
      <c r="E472" s="40">
        <f t="shared" si="196"/>
        <v>0</v>
      </c>
      <c r="F472" s="40">
        <f t="shared" si="194"/>
        <v>0</v>
      </c>
      <c r="G472" s="40">
        <f t="shared" si="194"/>
        <v>0</v>
      </c>
      <c r="H472" s="40">
        <f t="shared" si="194"/>
        <v>0</v>
      </c>
      <c r="I472" s="104">
        <f t="shared" ref="I472:Q491" si="219">I136</f>
        <v>0</v>
      </c>
      <c r="J472" s="104">
        <f t="shared" si="219"/>
        <v>0</v>
      </c>
      <c r="K472" s="104">
        <f t="shared" si="219"/>
        <v>0</v>
      </c>
      <c r="L472" s="104">
        <f t="shared" si="219"/>
        <v>0</v>
      </c>
      <c r="M472" s="104">
        <f t="shared" si="219"/>
        <v>0</v>
      </c>
      <c r="N472" s="104">
        <f t="shared" si="219"/>
        <v>0</v>
      </c>
      <c r="O472" s="55">
        <f t="shared" si="219"/>
        <v>0</v>
      </c>
      <c r="P472" s="55">
        <f t="shared" si="219"/>
        <v>0</v>
      </c>
      <c r="Q472" s="55">
        <f t="shared" si="219"/>
        <v>0</v>
      </c>
    </row>
    <row r="473" spans="1:17" x14ac:dyDescent="0.2">
      <c r="A473" s="72">
        <v>127</v>
      </c>
      <c r="B473" s="59">
        <v>463</v>
      </c>
      <c r="C473" s="40">
        <f t="shared" si="196"/>
        <v>3.4332694957598457</v>
      </c>
      <c r="D473" s="40">
        <f t="shared" si="196"/>
        <v>1.8717327794185254</v>
      </c>
      <c r="E473" s="40">
        <f t="shared" si="196"/>
        <v>0.32981104388639787</v>
      </c>
      <c r="F473" s="40">
        <f t="shared" si="194"/>
        <v>0.74636293386083608</v>
      </c>
      <c r="G473" s="40">
        <f t="shared" si="194"/>
        <v>0.34817321475331586</v>
      </c>
      <c r="H473" s="40">
        <f t="shared" si="194"/>
        <v>5.4355139759513407E-2</v>
      </c>
      <c r="I473" s="104">
        <f t="shared" si="219"/>
        <v>0.36139678902735217</v>
      </c>
      <c r="J473" s="104">
        <f t="shared" si="219"/>
        <v>0.1970245030966869</v>
      </c>
      <c r="K473" s="104">
        <f t="shared" si="219"/>
        <v>3.471695198804188E-2</v>
      </c>
      <c r="L473" s="104">
        <f t="shared" si="219"/>
        <v>0.48220077187638283</v>
      </c>
      <c r="M473" s="104">
        <f t="shared" si="219"/>
        <v>0.26288381733406258</v>
      </c>
      <c r="N473" s="104">
        <f t="shared" si="219"/>
        <v>4.6321775826741275E-2</v>
      </c>
      <c r="O473" s="55">
        <f t="shared" si="219"/>
        <v>0.38224352251574223</v>
      </c>
      <c r="P473" s="55">
        <f t="shared" si="219"/>
        <v>0.21957685264482196</v>
      </c>
      <c r="Q473" s="55">
        <f t="shared" si="219"/>
        <v>4.6321775826741275E-2</v>
      </c>
    </row>
    <row r="474" spans="1:17" x14ac:dyDescent="0.2">
      <c r="A474" s="72">
        <v>128</v>
      </c>
      <c r="B474" s="59">
        <v>464</v>
      </c>
      <c r="C474" s="40">
        <f t="shared" si="196"/>
        <v>3.4332694957598457</v>
      </c>
      <c r="D474" s="40">
        <f t="shared" si="196"/>
        <v>1.8717327794185254</v>
      </c>
      <c r="E474" s="40">
        <f t="shared" si="196"/>
        <v>0.32981104388639787</v>
      </c>
      <c r="F474" s="40">
        <f t="shared" si="194"/>
        <v>0.74636293386083608</v>
      </c>
      <c r="G474" s="40">
        <f t="shared" si="194"/>
        <v>0.34817321475331586</v>
      </c>
      <c r="H474" s="40">
        <f t="shared" si="194"/>
        <v>5.4355139759513407E-2</v>
      </c>
      <c r="I474" s="104">
        <f t="shared" si="219"/>
        <v>0.36139678902735217</v>
      </c>
      <c r="J474" s="104">
        <f t="shared" si="219"/>
        <v>0.1970245030966869</v>
      </c>
      <c r="K474" s="104">
        <f t="shared" si="219"/>
        <v>3.471695198804188E-2</v>
      </c>
      <c r="L474" s="104">
        <f t="shared" si="219"/>
        <v>0.48220077187638283</v>
      </c>
      <c r="M474" s="104">
        <f t="shared" si="219"/>
        <v>0.26288381733406258</v>
      </c>
      <c r="N474" s="104">
        <f t="shared" si="219"/>
        <v>4.6321775826741275E-2</v>
      </c>
      <c r="O474" s="55">
        <f t="shared" si="219"/>
        <v>0.38224352251574223</v>
      </c>
      <c r="P474" s="55">
        <f t="shared" si="219"/>
        <v>0.21957685264482196</v>
      </c>
      <c r="Q474" s="55">
        <f t="shared" si="219"/>
        <v>4.6321775826741275E-2</v>
      </c>
    </row>
    <row r="475" spans="1:17" x14ac:dyDescent="0.2">
      <c r="A475" s="72">
        <v>129</v>
      </c>
      <c r="B475" s="59">
        <v>465</v>
      </c>
      <c r="C475" s="40">
        <f t="shared" si="196"/>
        <v>0</v>
      </c>
      <c r="D475" s="40">
        <f t="shared" si="196"/>
        <v>0</v>
      </c>
      <c r="E475" s="40">
        <f t="shared" si="196"/>
        <v>0</v>
      </c>
      <c r="F475" s="40">
        <f t="shared" si="196"/>
        <v>0</v>
      </c>
      <c r="G475" s="40">
        <f t="shared" ref="G475:H494" si="220">G139</f>
        <v>0</v>
      </c>
      <c r="H475" s="40">
        <f t="shared" si="220"/>
        <v>0</v>
      </c>
      <c r="I475" s="104">
        <f t="shared" si="219"/>
        <v>0</v>
      </c>
      <c r="J475" s="104">
        <f t="shared" si="219"/>
        <v>0</v>
      </c>
      <c r="K475" s="104">
        <f t="shared" si="219"/>
        <v>0</v>
      </c>
      <c r="L475" s="104">
        <f t="shared" si="219"/>
        <v>0</v>
      </c>
      <c r="M475" s="104">
        <f t="shared" si="219"/>
        <v>0</v>
      </c>
      <c r="N475" s="104">
        <f t="shared" si="219"/>
        <v>0</v>
      </c>
      <c r="O475" s="55">
        <f t="shared" si="219"/>
        <v>0</v>
      </c>
      <c r="P475" s="55">
        <f t="shared" si="219"/>
        <v>0</v>
      </c>
      <c r="Q475" s="55">
        <f t="shared" si="219"/>
        <v>0</v>
      </c>
    </row>
    <row r="476" spans="1:17" x14ac:dyDescent="0.2">
      <c r="A476" s="72">
        <v>130</v>
      </c>
      <c r="B476" s="59">
        <v>466</v>
      </c>
      <c r="C476" s="40">
        <f t="shared" ref="C476:F514" si="221">C140</f>
        <v>0</v>
      </c>
      <c r="D476" s="40">
        <f t="shared" si="221"/>
        <v>0</v>
      </c>
      <c r="E476" s="40">
        <f t="shared" si="221"/>
        <v>0</v>
      </c>
      <c r="F476" s="40">
        <f t="shared" si="221"/>
        <v>0</v>
      </c>
      <c r="G476" s="40">
        <f t="shared" si="220"/>
        <v>0</v>
      </c>
      <c r="H476" s="40">
        <f t="shared" si="220"/>
        <v>0</v>
      </c>
      <c r="I476" s="104">
        <f t="shared" si="219"/>
        <v>0</v>
      </c>
      <c r="J476" s="104">
        <f t="shared" si="219"/>
        <v>0</v>
      </c>
      <c r="K476" s="104">
        <f t="shared" si="219"/>
        <v>0</v>
      </c>
      <c r="L476" s="104">
        <f t="shared" si="219"/>
        <v>0</v>
      </c>
      <c r="M476" s="104">
        <f t="shared" si="219"/>
        <v>0</v>
      </c>
      <c r="N476" s="104">
        <f t="shared" si="219"/>
        <v>0</v>
      </c>
      <c r="O476" s="55">
        <f t="shared" si="219"/>
        <v>0</v>
      </c>
      <c r="P476" s="55">
        <f t="shared" si="219"/>
        <v>0</v>
      </c>
      <c r="Q476" s="55">
        <f t="shared" si="219"/>
        <v>0</v>
      </c>
    </row>
    <row r="477" spans="1:17" x14ac:dyDescent="0.2">
      <c r="A477" s="72">
        <v>131</v>
      </c>
      <c r="B477" s="59">
        <v>467</v>
      </c>
      <c r="C477" s="40">
        <f t="shared" si="221"/>
        <v>0</v>
      </c>
      <c r="D477" s="40">
        <f t="shared" si="221"/>
        <v>0</v>
      </c>
      <c r="E477" s="40">
        <f t="shared" si="221"/>
        <v>0</v>
      </c>
      <c r="F477" s="40">
        <f t="shared" si="221"/>
        <v>0</v>
      </c>
      <c r="G477" s="40">
        <f t="shared" si="220"/>
        <v>0</v>
      </c>
      <c r="H477" s="40">
        <f t="shared" si="220"/>
        <v>0</v>
      </c>
      <c r="I477" s="104">
        <f t="shared" si="219"/>
        <v>0</v>
      </c>
      <c r="J477" s="104">
        <f t="shared" si="219"/>
        <v>0</v>
      </c>
      <c r="K477" s="104">
        <f t="shared" si="219"/>
        <v>0</v>
      </c>
      <c r="L477" s="104">
        <f t="shared" si="219"/>
        <v>0</v>
      </c>
      <c r="M477" s="104">
        <f t="shared" si="219"/>
        <v>0</v>
      </c>
      <c r="N477" s="104">
        <f t="shared" si="219"/>
        <v>0</v>
      </c>
      <c r="O477" s="55">
        <f t="shared" si="219"/>
        <v>0</v>
      </c>
      <c r="P477" s="55">
        <f t="shared" si="219"/>
        <v>0</v>
      </c>
      <c r="Q477" s="55">
        <f t="shared" si="219"/>
        <v>0</v>
      </c>
    </row>
    <row r="478" spans="1:17" x14ac:dyDescent="0.2">
      <c r="A478" s="72">
        <v>132</v>
      </c>
      <c r="B478" s="59">
        <v>468</v>
      </c>
      <c r="C478" s="40">
        <f t="shared" si="221"/>
        <v>0</v>
      </c>
      <c r="D478" s="40">
        <f t="shared" si="221"/>
        <v>0</v>
      </c>
      <c r="E478" s="40">
        <f t="shared" si="221"/>
        <v>0</v>
      </c>
      <c r="F478" s="40">
        <f t="shared" si="221"/>
        <v>0</v>
      </c>
      <c r="G478" s="40">
        <f t="shared" si="220"/>
        <v>0</v>
      </c>
      <c r="H478" s="40">
        <f t="shared" si="220"/>
        <v>0</v>
      </c>
      <c r="I478" s="104">
        <f t="shared" si="219"/>
        <v>0</v>
      </c>
      <c r="J478" s="104">
        <f t="shared" si="219"/>
        <v>0</v>
      </c>
      <c r="K478" s="104">
        <f t="shared" si="219"/>
        <v>0</v>
      </c>
      <c r="L478" s="104">
        <f t="shared" si="219"/>
        <v>0</v>
      </c>
      <c r="M478" s="104">
        <f t="shared" si="219"/>
        <v>0</v>
      </c>
      <c r="N478" s="104">
        <f t="shared" si="219"/>
        <v>0</v>
      </c>
      <c r="O478" s="55">
        <f t="shared" si="219"/>
        <v>0</v>
      </c>
      <c r="P478" s="55">
        <f t="shared" si="219"/>
        <v>0</v>
      </c>
      <c r="Q478" s="55">
        <f t="shared" si="219"/>
        <v>0</v>
      </c>
    </row>
    <row r="479" spans="1:17" x14ac:dyDescent="0.2">
      <c r="A479" s="72">
        <v>133</v>
      </c>
      <c r="B479" s="59">
        <v>469</v>
      </c>
      <c r="C479" s="40">
        <f t="shared" si="221"/>
        <v>0</v>
      </c>
      <c r="D479" s="40">
        <f t="shared" si="221"/>
        <v>0</v>
      </c>
      <c r="E479" s="40">
        <f t="shared" si="221"/>
        <v>0</v>
      </c>
      <c r="F479" s="40">
        <f t="shared" si="221"/>
        <v>0</v>
      </c>
      <c r="G479" s="40">
        <f t="shared" si="220"/>
        <v>0</v>
      </c>
      <c r="H479" s="40">
        <f t="shared" si="220"/>
        <v>0</v>
      </c>
      <c r="I479" s="104">
        <f t="shared" si="219"/>
        <v>0</v>
      </c>
      <c r="J479" s="104">
        <f t="shared" si="219"/>
        <v>0</v>
      </c>
      <c r="K479" s="104">
        <f t="shared" si="219"/>
        <v>0</v>
      </c>
      <c r="L479" s="104">
        <f t="shared" si="219"/>
        <v>0</v>
      </c>
      <c r="M479" s="104">
        <f t="shared" si="219"/>
        <v>0</v>
      </c>
      <c r="N479" s="104">
        <f t="shared" si="219"/>
        <v>0</v>
      </c>
      <c r="O479" s="55">
        <f t="shared" si="219"/>
        <v>0</v>
      </c>
      <c r="P479" s="55">
        <f t="shared" si="219"/>
        <v>0</v>
      </c>
      <c r="Q479" s="55">
        <f t="shared" si="219"/>
        <v>0</v>
      </c>
    </row>
    <row r="480" spans="1:17" x14ac:dyDescent="0.2">
      <c r="A480" s="72">
        <v>134</v>
      </c>
      <c r="B480" s="59">
        <v>470</v>
      </c>
      <c r="C480" s="40">
        <f t="shared" si="221"/>
        <v>0</v>
      </c>
      <c r="D480" s="40">
        <f t="shared" si="221"/>
        <v>0</v>
      </c>
      <c r="E480" s="40">
        <f t="shared" si="221"/>
        <v>0</v>
      </c>
      <c r="F480" s="40">
        <f t="shared" si="221"/>
        <v>0</v>
      </c>
      <c r="G480" s="40">
        <f t="shared" si="220"/>
        <v>0</v>
      </c>
      <c r="H480" s="40">
        <f t="shared" si="220"/>
        <v>0</v>
      </c>
      <c r="I480" s="104">
        <f t="shared" si="219"/>
        <v>0</v>
      </c>
      <c r="J480" s="104">
        <f t="shared" si="219"/>
        <v>0</v>
      </c>
      <c r="K480" s="104">
        <f t="shared" si="219"/>
        <v>0</v>
      </c>
      <c r="L480" s="104">
        <f t="shared" si="219"/>
        <v>0</v>
      </c>
      <c r="M480" s="104">
        <f t="shared" si="219"/>
        <v>0</v>
      </c>
      <c r="N480" s="104">
        <f t="shared" si="219"/>
        <v>0</v>
      </c>
      <c r="O480" s="55">
        <f t="shared" si="219"/>
        <v>0</v>
      </c>
      <c r="P480" s="55">
        <f t="shared" si="219"/>
        <v>0</v>
      </c>
      <c r="Q480" s="55">
        <f t="shared" si="219"/>
        <v>0</v>
      </c>
    </row>
    <row r="481" spans="1:17" x14ac:dyDescent="0.2">
      <c r="A481" s="72">
        <v>135</v>
      </c>
      <c r="B481" s="59">
        <v>471</v>
      </c>
      <c r="C481" s="40">
        <f t="shared" si="221"/>
        <v>0</v>
      </c>
      <c r="D481" s="40">
        <f t="shared" si="221"/>
        <v>0</v>
      </c>
      <c r="E481" s="40">
        <f t="shared" si="221"/>
        <v>0</v>
      </c>
      <c r="F481" s="40">
        <f t="shared" si="221"/>
        <v>0</v>
      </c>
      <c r="G481" s="40">
        <f t="shared" si="220"/>
        <v>0</v>
      </c>
      <c r="H481" s="40">
        <f t="shared" si="220"/>
        <v>0</v>
      </c>
      <c r="I481" s="104">
        <f t="shared" si="219"/>
        <v>0</v>
      </c>
      <c r="J481" s="104">
        <f t="shared" si="219"/>
        <v>0</v>
      </c>
      <c r="K481" s="104">
        <f t="shared" si="219"/>
        <v>0</v>
      </c>
      <c r="L481" s="104">
        <f t="shared" si="219"/>
        <v>0</v>
      </c>
      <c r="M481" s="104">
        <f t="shared" si="219"/>
        <v>0</v>
      </c>
      <c r="N481" s="104">
        <f t="shared" si="219"/>
        <v>0</v>
      </c>
      <c r="O481" s="55">
        <f t="shared" si="219"/>
        <v>0</v>
      </c>
      <c r="P481" s="55">
        <f t="shared" si="219"/>
        <v>0</v>
      </c>
      <c r="Q481" s="55">
        <f t="shared" si="219"/>
        <v>0</v>
      </c>
    </row>
    <row r="482" spans="1:17" x14ac:dyDescent="0.2">
      <c r="A482" s="72">
        <v>136</v>
      </c>
      <c r="B482" s="59">
        <v>472</v>
      </c>
      <c r="C482" s="40">
        <f t="shared" si="221"/>
        <v>3.4332694957598457</v>
      </c>
      <c r="D482" s="40">
        <f t="shared" si="221"/>
        <v>1.8717327794185254</v>
      </c>
      <c r="E482" s="40">
        <f t="shared" si="221"/>
        <v>0.32981104388639787</v>
      </c>
      <c r="F482" s="40">
        <f t="shared" si="221"/>
        <v>0.74636293386083608</v>
      </c>
      <c r="G482" s="40">
        <f t="shared" si="220"/>
        <v>0.34817321475331586</v>
      </c>
      <c r="H482" s="40">
        <f t="shared" si="220"/>
        <v>5.4355139759513407E-2</v>
      </c>
      <c r="I482" s="104">
        <f t="shared" si="219"/>
        <v>0.36139678902735217</v>
      </c>
      <c r="J482" s="104">
        <f t="shared" si="219"/>
        <v>0.1970245030966869</v>
      </c>
      <c r="K482" s="104">
        <f t="shared" si="219"/>
        <v>3.471695198804188E-2</v>
      </c>
      <c r="L482" s="104">
        <f t="shared" si="219"/>
        <v>0.48220077187638283</v>
      </c>
      <c r="M482" s="104">
        <f t="shared" si="219"/>
        <v>0.26288381733406258</v>
      </c>
      <c r="N482" s="104">
        <f t="shared" si="219"/>
        <v>4.6321775826741275E-2</v>
      </c>
      <c r="O482" s="55">
        <f t="shared" si="219"/>
        <v>0.38224352251574223</v>
      </c>
      <c r="P482" s="55">
        <f t="shared" si="219"/>
        <v>0.21957685264482196</v>
      </c>
      <c r="Q482" s="55">
        <f t="shared" si="219"/>
        <v>4.6321775826741275E-2</v>
      </c>
    </row>
    <row r="483" spans="1:17" x14ac:dyDescent="0.2">
      <c r="A483" s="72">
        <v>137</v>
      </c>
      <c r="B483" s="59">
        <v>473</v>
      </c>
      <c r="C483" s="40">
        <f t="shared" si="221"/>
        <v>3.4332694957598457</v>
      </c>
      <c r="D483" s="40">
        <f t="shared" si="221"/>
        <v>1.8717327794185254</v>
      </c>
      <c r="E483" s="40">
        <f t="shared" si="221"/>
        <v>0.32981104388639787</v>
      </c>
      <c r="F483" s="40">
        <f t="shared" si="221"/>
        <v>0.74636293386083608</v>
      </c>
      <c r="G483" s="40">
        <f t="shared" si="220"/>
        <v>0.34817321475331586</v>
      </c>
      <c r="H483" s="40">
        <f t="shared" si="220"/>
        <v>5.4355139759513407E-2</v>
      </c>
      <c r="I483" s="104">
        <f t="shared" si="219"/>
        <v>0.36139678902735217</v>
      </c>
      <c r="J483" s="104">
        <f t="shared" si="219"/>
        <v>0.1970245030966869</v>
      </c>
      <c r="K483" s="104">
        <f t="shared" si="219"/>
        <v>3.471695198804188E-2</v>
      </c>
      <c r="L483" s="104">
        <f t="shared" si="219"/>
        <v>0.48220077187638283</v>
      </c>
      <c r="M483" s="104">
        <f t="shared" si="219"/>
        <v>0.26288381733406258</v>
      </c>
      <c r="N483" s="104">
        <f t="shared" si="219"/>
        <v>4.6321775826741275E-2</v>
      </c>
      <c r="O483" s="55">
        <f t="shared" si="219"/>
        <v>0.38224352251574223</v>
      </c>
      <c r="P483" s="55">
        <f t="shared" si="219"/>
        <v>0.21957685264482196</v>
      </c>
      <c r="Q483" s="55">
        <f t="shared" si="219"/>
        <v>4.6321775826741275E-2</v>
      </c>
    </row>
    <row r="484" spans="1:17" x14ac:dyDescent="0.2">
      <c r="A484" s="72">
        <v>138</v>
      </c>
      <c r="B484" s="59">
        <v>474</v>
      </c>
      <c r="C484" s="40">
        <f t="shared" si="221"/>
        <v>3.4332694957598457</v>
      </c>
      <c r="D484" s="40">
        <f t="shared" si="221"/>
        <v>1.8717327794185254</v>
      </c>
      <c r="E484" s="40">
        <f t="shared" si="221"/>
        <v>0.32981104388639787</v>
      </c>
      <c r="F484" s="40">
        <f t="shared" si="221"/>
        <v>0.74636293386083608</v>
      </c>
      <c r="G484" s="40">
        <f t="shared" si="220"/>
        <v>0.34817321475331586</v>
      </c>
      <c r="H484" s="40">
        <f t="shared" si="220"/>
        <v>5.4355139759513407E-2</v>
      </c>
      <c r="I484" s="104">
        <f t="shared" si="219"/>
        <v>0.36139678902735217</v>
      </c>
      <c r="J484" s="104">
        <f t="shared" si="219"/>
        <v>0.1970245030966869</v>
      </c>
      <c r="K484" s="104">
        <f t="shared" si="219"/>
        <v>3.471695198804188E-2</v>
      </c>
      <c r="L484" s="104">
        <f t="shared" si="219"/>
        <v>0.48220077187638283</v>
      </c>
      <c r="M484" s="104">
        <f t="shared" si="219"/>
        <v>0.26288381733406258</v>
      </c>
      <c r="N484" s="104">
        <f t="shared" si="219"/>
        <v>4.6321775826741275E-2</v>
      </c>
      <c r="O484" s="55">
        <f t="shared" si="219"/>
        <v>0.38224352251574223</v>
      </c>
      <c r="P484" s="55">
        <f t="shared" si="219"/>
        <v>0.21957685264482196</v>
      </c>
      <c r="Q484" s="55">
        <f t="shared" si="219"/>
        <v>4.6321775826741275E-2</v>
      </c>
    </row>
    <row r="485" spans="1:17" x14ac:dyDescent="0.2">
      <c r="A485" s="72">
        <v>139</v>
      </c>
      <c r="B485" s="59">
        <v>475</v>
      </c>
      <c r="C485" s="40">
        <f t="shared" si="221"/>
        <v>3.4332694957598457</v>
      </c>
      <c r="D485" s="40">
        <f t="shared" si="221"/>
        <v>1.8717327794185254</v>
      </c>
      <c r="E485" s="40">
        <f t="shared" si="221"/>
        <v>0.32981104388639787</v>
      </c>
      <c r="F485" s="40">
        <f t="shared" si="221"/>
        <v>0.74636293386083608</v>
      </c>
      <c r="G485" s="40">
        <f t="shared" si="220"/>
        <v>0.34817321475331586</v>
      </c>
      <c r="H485" s="40">
        <f t="shared" si="220"/>
        <v>5.4355139759513407E-2</v>
      </c>
      <c r="I485" s="104">
        <f t="shared" si="219"/>
        <v>0.36139678902735217</v>
      </c>
      <c r="J485" s="104">
        <f t="shared" si="219"/>
        <v>0.1970245030966869</v>
      </c>
      <c r="K485" s="104">
        <f t="shared" si="219"/>
        <v>3.471695198804188E-2</v>
      </c>
      <c r="L485" s="104">
        <f t="shared" si="219"/>
        <v>0.48220077187638283</v>
      </c>
      <c r="M485" s="104">
        <f t="shared" si="219"/>
        <v>0.26288381733406258</v>
      </c>
      <c r="N485" s="104">
        <f t="shared" si="219"/>
        <v>4.6321775826741275E-2</v>
      </c>
      <c r="O485" s="55">
        <f t="shared" si="219"/>
        <v>0.38224352251574223</v>
      </c>
      <c r="P485" s="55">
        <f t="shared" si="219"/>
        <v>0.21957685264482196</v>
      </c>
      <c r="Q485" s="55">
        <f t="shared" si="219"/>
        <v>4.6321775826741275E-2</v>
      </c>
    </row>
    <row r="486" spans="1:17" x14ac:dyDescent="0.2">
      <c r="A486" s="72">
        <v>140</v>
      </c>
      <c r="B486" s="59">
        <v>476</v>
      </c>
      <c r="C486" s="40">
        <f t="shared" si="221"/>
        <v>3.4332694957598457</v>
      </c>
      <c r="D486" s="40">
        <f t="shared" si="221"/>
        <v>1.8717327794185254</v>
      </c>
      <c r="E486" s="40">
        <f t="shared" si="221"/>
        <v>0.32981104388639787</v>
      </c>
      <c r="F486" s="40">
        <f t="shared" si="221"/>
        <v>0.74636293386083608</v>
      </c>
      <c r="G486" s="40">
        <f t="shared" si="220"/>
        <v>0.34817321475331586</v>
      </c>
      <c r="H486" s="40">
        <f t="shared" si="220"/>
        <v>5.4355139759513407E-2</v>
      </c>
      <c r="I486" s="104">
        <f t="shared" si="219"/>
        <v>0.36139678902735217</v>
      </c>
      <c r="J486" s="104">
        <f t="shared" si="219"/>
        <v>0.1970245030966869</v>
      </c>
      <c r="K486" s="104">
        <f t="shared" si="219"/>
        <v>3.471695198804188E-2</v>
      </c>
      <c r="L486" s="104">
        <f t="shared" si="219"/>
        <v>0.48220077187638283</v>
      </c>
      <c r="M486" s="104">
        <f t="shared" si="219"/>
        <v>0.26288381733406258</v>
      </c>
      <c r="N486" s="104">
        <f t="shared" si="219"/>
        <v>4.6321775826741275E-2</v>
      </c>
      <c r="O486" s="55">
        <f t="shared" si="219"/>
        <v>0.38224352251574223</v>
      </c>
      <c r="P486" s="55">
        <f t="shared" si="219"/>
        <v>0.21957685264482196</v>
      </c>
      <c r="Q486" s="55">
        <f t="shared" si="219"/>
        <v>4.6321775826741275E-2</v>
      </c>
    </row>
    <row r="487" spans="1:17" x14ac:dyDescent="0.2">
      <c r="A487" s="72">
        <v>141</v>
      </c>
      <c r="B487" s="59">
        <v>477</v>
      </c>
      <c r="C487" s="40">
        <f t="shared" si="221"/>
        <v>3.4332694957598457</v>
      </c>
      <c r="D487" s="40">
        <f t="shared" si="221"/>
        <v>1.8717327794185254</v>
      </c>
      <c r="E487" s="40">
        <f t="shared" si="221"/>
        <v>0.32981104388639787</v>
      </c>
      <c r="F487" s="40">
        <f t="shared" si="221"/>
        <v>0.74636293386083608</v>
      </c>
      <c r="G487" s="40">
        <f t="shared" si="220"/>
        <v>0.34817321475331586</v>
      </c>
      <c r="H487" s="40">
        <f t="shared" si="220"/>
        <v>5.4355139759513407E-2</v>
      </c>
      <c r="I487" s="104">
        <f t="shared" si="219"/>
        <v>0.36139678902735217</v>
      </c>
      <c r="J487" s="104">
        <f t="shared" si="219"/>
        <v>0.1970245030966869</v>
      </c>
      <c r="K487" s="104">
        <f t="shared" si="219"/>
        <v>3.471695198804188E-2</v>
      </c>
      <c r="L487" s="104">
        <f t="shared" si="219"/>
        <v>0.48220077187638283</v>
      </c>
      <c r="M487" s="104">
        <f t="shared" si="219"/>
        <v>0.26288381733406258</v>
      </c>
      <c r="N487" s="104">
        <f t="shared" si="219"/>
        <v>4.6321775826741275E-2</v>
      </c>
      <c r="O487" s="55">
        <f t="shared" si="219"/>
        <v>0.38224352251574223</v>
      </c>
      <c r="P487" s="55">
        <f t="shared" si="219"/>
        <v>0.21957685264482196</v>
      </c>
      <c r="Q487" s="55">
        <f t="shared" si="219"/>
        <v>4.6321775826741275E-2</v>
      </c>
    </row>
    <row r="488" spans="1:17" x14ac:dyDescent="0.2">
      <c r="A488" s="72">
        <v>142</v>
      </c>
      <c r="B488" s="59">
        <v>478</v>
      </c>
      <c r="C488" s="40">
        <f t="shared" si="221"/>
        <v>3.4332694957598457</v>
      </c>
      <c r="D488" s="40">
        <f t="shared" si="221"/>
        <v>1.8717327794185254</v>
      </c>
      <c r="E488" s="40">
        <f t="shared" si="221"/>
        <v>0.32981104388639787</v>
      </c>
      <c r="F488" s="40">
        <f t="shared" si="221"/>
        <v>0.74636293386083608</v>
      </c>
      <c r="G488" s="40">
        <f t="shared" si="220"/>
        <v>0.34817321475331586</v>
      </c>
      <c r="H488" s="40">
        <f t="shared" si="220"/>
        <v>5.4355139759513407E-2</v>
      </c>
      <c r="I488" s="104">
        <f t="shared" si="219"/>
        <v>0.36139678902735217</v>
      </c>
      <c r="J488" s="104">
        <f t="shared" si="219"/>
        <v>0.1970245030966869</v>
      </c>
      <c r="K488" s="104">
        <f t="shared" si="219"/>
        <v>3.471695198804188E-2</v>
      </c>
      <c r="L488" s="104">
        <f t="shared" si="219"/>
        <v>0.48220077187638283</v>
      </c>
      <c r="M488" s="104">
        <f t="shared" si="219"/>
        <v>0.26288381733406258</v>
      </c>
      <c r="N488" s="104">
        <f t="shared" si="219"/>
        <v>4.6321775826741275E-2</v>
      </c>
      <c r="O488" s="55">
        <f t="shared" si="219"/>
        <v>0.38224352251574223</v>
      </c>
      <c r="P488" s="55">
        <f t="shared" si="219"/>
        <v>0.21957685264482196</v>
      </c>
      <c r="Q488" s="55">
        <f t="shared" si="219"/>
        <v>4.6321775826741275E-2</v>
      </c>
    </row>
    <row r="489" spans="1:17" x14ac:dyDescent="0.2">
      <c r="A489" s="72">
        <v>143</v>
      </c>
      <c r="B489" s="59">
        <v>479</v>
      </c>
      <c r="C489" s="40">
        <f t="shared" si="221"/>
        <v>0</v>
      </c>
      <c r="D489" s="40">
        <f t="shared" si="221"/>
        <v>0</v>
      </c>
      <c r="E489" s="40">
        <f t="shared" si="221"/>
        <v>0</v>
      </c>
      <c r="F489" s="40">
        <f t="shared" si="221"/>
        <v>0</v>
      </c>
      <c r="G489" s="40">
        <f t="shared" si="220"/>
        <v>0</v>
      </c>
      <c r="H489" s="40">
        <f t="shared" si="220"/>
        <v>0</v>
      </c>
      <c r="I489" s="104">
        <f t="shared" si="219"/>
        <v>0</v>
      </c>
      <c r="J489" s="104">
        <f t="shared" si="219"/>
        <v>0</v>
      </c>
      <c r="K489" s="104">
        <f t="shared" si="219"/>
        <v>0</v>
      </c>
      <c r="L489" s="104">
        <f t="shared" si="219"/>
        <v>0</v>
      </c>
      <c r="M489" s="104">
        <f t="shared" si="219"/>
        <v>0</v>
      </c>
      <c r="N489" s="104">
        <f t="shared" si="219"/>
        <v>0</v>
      </c>
      <c r="O489" s="55">
        <f t="shared" si="219"/>
        <v>0</v>
      </c>
      <c r="P489" s="55">
        <f t="shared" si="219"/>
        <v>0</v>
      </c>
      <c r="Q489" s="55">
        <f t="shared" si="219"/>
        <v>0</v>
      </c>
    </row>
    <row r="490" spans="1:17" x14ac:dyDescent="0.2">
      <c r="A490" s="72">
        <v>144</v>
      </c>
      <c r="B490" s="59">
        <v>480</v>
      </c>
      <c r="C490" s="40">
        <f t="shared" si="221"/>
        <v>0</v>
      </c>
      <c r="D490" s="40">
        <f t="shared" si="221"/>
        <v>0</v>
      </c>
      <c r="E490" s="40">
        <f t="shared" si="221"/>
        <v>0</v>
      </c>
      <c r="F490" s="40">
        <f t="shared" si="221"/>
        <v>0</v>
      </c>
      <c r="G490" s="40">
        <f t="shared" si="220"/>
        <v>0</v>
      </c>
      <c r="H490" s="40">
        <f t="shared" si="220"/>
        <v>0</v>
      </c>
      <c r="I490" s="104">
        <f t="shared" si="219"/>
        <v>0</v>
      </c>
      <c r="J490" s="104">
        <f t="shared" si="219"/>
        <v>0</v>
      </c>
      <c r="K490" s="104">
        <f t="shared" si="219"/>
        <v>0</v>
      </c>
      <c r="L490" s="104">
        <f t="shared" si="219"/>
        <v>0</v>
      </c>
      <c r="M490" s="104">
        <f t="shared" si="219"/>
        <v>0</v>
      </c>
      <c r="N490" s="104">
        <f t="shared" si="219"/>
        <v>0</v>
      </c>
      <c r="O490" s="55">
        <f t="shared" si="219"/>
        <v>0</v>
      </c>
      <c r="P490" s="55">
        <f t="shared" si="219"/>
        <v>0</v>
      </c>
      <c r="Q490" s="55">
        <f t="shared" si="219"/>
        <v>0</v>
      </c>
    </row>
    <row r="491" spans="1:17" x14ac:dyDescent="0.2">
      <c r="A491" s="72">
        <v>145</v>
      </c>
      <c r="B491" s="59">
        <v>481</v>
      </c>
      <c r="C491" s="40">
        <f t="shared" si="221"/>
        <v>0</v>
      </c>
      <c r="D491" s="40">
        <f t="shared" si="221"/>
        <v>0</v>
      </c>
      <c r="E491" s="40">
        <f t="shared" si="221"/>
        <v>0</v>
      </c>
      <c r="F491" s="40">
        <f t="shared" si="221"/>
        <v>0</v>
      </c>
      <c r="G491" s="40">
        <f t="shared" si="220"/>
        <v>0</v>
      </c>
      <c r="H491" s="40">
        <f t="shared" si="220"/>
        <v>0</v>
      </c>
      <c r="I491" s="104">
        <f t="shared" si="219"/>
        <v>0</v>
      </c>
      <c r="J491" s="104">
        <f t="shared" si="219"/>
        <v>0</v>
      </c>
      <c r="K491" s="104">
        <f t="shared" si="219"/>
        <v>0</v>
      </c>
      <c r="L491" s="104">
        <f t="shared" si="219"/>
        <v>0</v>
      </c>
      <c r="M491" s="104">
        <f t="shared" si="219"/>
        <v>0</v>
      </c>
      <c r="N491" s="104">
        <f t="shared" si="219"/>
        <v>0</v>
      </c>
      <c r="O491" s="55">
        <f t="shared" si="219"/>
        <v>0</v>
      </c>
      <c r="P491" s="55">
        <f t="shared" si="219"/>
        <v>0</v>
      </c>
      <c r="Q491" s="55">
        <f t="shared" si="219"/>
        <v>0</v>
      </c>
    </row>
    <row r="492" spans="1:17" x14ac:dyDescent="0.2">
      <c r="A492" s="72">
        <v>146</v>
      </c>
      <c r="B492" s="59">
        <v>482</v>
      </c>
      <c r="C492" s="40">
        <f t="shared" si="221"/>
        <v>0</v>
      </c>
      <c r="D492" s="40">
        <f t="shared" si="221"/>
        <v>0</v>
      </c>
      <c r="E492" s="40">
        <f t="shared" si="221"/>
        <v>0</v>
      </c>
      <c r="F492" s="40">
        <f t="shared" si="221"/>
        <v>0</v>
      </c>
      <c r="G492" s="40">
        <f t="shared" si="220"/>
        <v>0</v>
      </c>
      <c r="H492" s="40">
        <f t="shared" si="220"/>
        <v>0</v>
      </c>
      <c r="I492" s="104">
        <f t="shared" ref="I492:Q511" si="222">I156</f>
        <v>0</v>
      </c>
      <c r="J492" s="104">
        <f t="shared" si="222"/>
        <v>0</v>
      </c>
      <c r="K492" s="104">
        <f t="shared" si="222"/>
        <v>0</v>
      </c>
      <c r="L492" s="104">
        <f t="shared" si="222"/>
        <v>0</v>
      </c>
      <c r="M492" s="104">
        <f t="shared" si="222"/>
        <v>0</v>
      </c>
      <c r="N492" s="104">
        <f t="shared" si="222"/>
        <v>0</v>
      </c>
      <c r="O492" s="55">
        <f t="shared" si="222"/>
        <v>0</v>
      </c>
      <c r="P492" s="55">
        <f t="shared" si="222"/>
        <v>0</v>
      </c>
      <c r="Q492" s="55">
        <f t="shared" si="222"/>
        <v>0</v>
      </c>
    </row>
    <row r="493" spans="1:17" x14ac:dyDescent="0.2">
      <c r="A493" s="72">
        <v>147</v>
      </c>
      <c r="B493" s="59">
        <v>483</v>
      </c>
      <c r="C493" s="40">
        <f t="shared" si="221"/>
        <v>0</v>
      </c>
      <c r="D493" s="40">
        <f t="shared" si="221"/>
        <v>0</v>
      </c>
      <c r="E493" s="40">
        <f t="shared" si="221"/>
        <v>0</v>
      </c>
      <c r="F493" s="40">
        <f t="shared" si="221"/>
        <v>0</v>
      </c>
      <c r="G493" s="40">
        <f t="shared" si="220"/>
        <v>0</v>
      </c>
      <c r="H493" s="40">
        <f t="shared" si="220"/>
        <v>0</v>
      </c>
      <c r="I493" s="104">
        <f t="shared" si="222"/>
        <v>0</v>
      </c>
      <c r="J493" s="104">
        <f t="shared" si="222"/>
        <v>0</v>
      </c>
      <c r="K493" s="104">
        <f t="shared" si="222"/>
        <v>0</v>
      </c>
      <c r="L493" s="104">
        <f t="shared" si="222"/>
        <v>0</v>
      </c>
      <c r="M493" s="104">
        <f t="shared" si="222"/>
        <v>0</v>
      </c>
      <c r="N493" s="104">
        <f t="shared" si="222"/>
        <v>0</v>
      </c>
      <c r="O493" s="55">
        <f t="shared" si="222"/>
        <v>0</v>
      </c>
      <c r="P493" s="55">
        <f t="shared" si="222"/>
        <v>0</v>
      </c>
      <c r="Q493" s="55">
        <f t="shared" si="222"/>
        <v>0</v>
      </c>
    </row>
    <row r="494" spans="1:17" x14ac:dyDescent="0.2">
      <c r="A494" s="72">
        <v>148</v>
      </c>
      <c r="B494" s="59">
        <v>484</v>
      </c>
      <c r="C494" s="40">
        <f t="shared" si="221"/>
        <v>0</v>
      </c>
      <c r="D494" s="40">
        <f t="shared" si="221"/>
        <v>0</v>
      </c>
      <c r="E494" s="40">
        <f t="shared" si="221"/>
        <v>0</v>
      </c>
      <c r="F494" s="40">
        <f t="shared" si="221"/>
        <v>0</v>
      </c>
      <c r="G494" s="40">
        <f t="shared" si="220"/>
        <v>0</v>
      </c>
      <c r="H494" s="40">
        <f t="shared" si="220"/>
        <v>0</v>
      </c>
      <c r="I494" s="104">
        <f t="shared" si="222"/>
        <v>0</v>
      </c>
      <c r="J494" s="104">
        <f t="shared" si="222"/>
        <v>0</v>
      </c>
      <c r="K494" s="104">
        <f t="shared" si="222"/>
        <v>0</v>
      </c>
      <c r="L494" s="104">
        <f t="shared" si="222"/>
        <v>0</v>
      </c>
      <c r="M494" s="104">
        <f t="shared" si="222"/>
        <v>0</v>
      </c>
      <c r="N494" s="104">
        <f t="shared" si="222"/>
        <v>0</v>
      </c>
      <c r="O494" s="55">
        <f t="shared" si="222"/>
        <v>0</v>
      </c>
      <c r="P494" s="55">
        <f t="shared" si="222"/>
        <v>0</v>
      </c>
      <c r="Q494" s="55">
        <f t="shared" si="222"/>
        <v>0</v>
      </c>
    </row>
    <row r="495" spans="1:17" x14ac:dyDescent="0.2">
      <c r="A495" s="72">
        <v>149</v>
      </c>
      <c r="B495" s="59">
        <v>485</v>
      </c>
      <c r="C495" s="40">
        <f t="shared" si="221"/>
        <v>0</v>
      </c>
      <c r="D495" s="40">
        <f t="shared" si="221"/>
        <v>0</v>
      </c>
      <c r="E495" s="40">
        <f t="shared" si="221"/>
        <v>0</v>
      </c>
      <c r="F495" s="40">
        <f t="shared" si="221"/>
        <v>0</v>
      </c>
      <c r="G495" s="40">
        <f t="shared" ref="G495:H514" si="223">G159</f>
        <v>0</v>
      </c>
      <c r="H495" s="40">
        <f t="shared" si="223"/>
        <v>0</v>
      </c>
      <c r="I495" s="104">
        <f t="shared" si="222"/>
        <v>0</v>
      </c>
      <c r="J495" s="104">
        <f t="shared" si="222"/>
        <v>0</v>
      </c>
      <c r="K495" s="104">
        <f t="shared" si="222"/>
        <v>0</v>
      </c>
      <c r="L495" s="104">
        <f t="shared" si="222"/>
        <v>0</v>
      </c>
      <c r="M495" s="104">
        <f t="shared" si="222"/>
        <v>0</v>
      </c>
      <c r="N495" s="104">
        <f t="shared" si="222"/>
        <v>0</v>
      </c>
      <c r="O495" s="55">
        <f t="shared" si="222"/>
        <v>0</v>
      </c>
      <c r="P495" s="55">
        <f t="shared" si="222"/>
        <v>0</v>
      </c>
      <c r="Q495" s="55">
        <f t="shared" si="222"/>
        <v>0</v>
      </c>
    </row>
    <row r="496" spans="1:17" x14ac:dyDescent="0.2">
      <c r="A496" s="72">
        <v>150</v>
      </c>
      <c r="B496" s="59">
        <v>486</v>
      </c>
      <c r="C496" s="40">
        <f t="shared" si="221"/>
        <v>0</v>
      </c>
      <c r="D496" s="40">
        <f t="shared" si="221"/>
        <v>0</v>
      </c>
      <c r="E496" s="40">
        <f t="shared" si="221"/>
        <v>0</v>
      </c>
      <c r="F496" s="40">
        <f t="shared" si="221"/>
        <v>0</v>
      </c>
      <c r="G496" s="40">
        <f t="shared" si="223"/>
        <v>0</v>
      </c>
      <c r="H496" s="40">
        <f t="shared" si="223"/>
        <v>0</v>
      </c>
      <c r="I496" s="104">
        <f t="shared" si="222"/>
        <v>0</v>
      </c>
      <c r="J496" s="104">
        <f t="shared" si="222"/>
        <v>0</v>
      </c>
      <c r="K496" s="104">
        <f t="shared" si="222"/>
        <v>0</v>
      </c>
      <c r="L496" s="104">
        <f t="shared" si="222"/>
        <v>0</v>
      </c>
      <c r="M496" s="104">
        <f t="shared" si="222"/>
        <v>0</v>
      </c>
      <c r="N496" s="104">
        <f t="shared" si="222"/>
        <v>0</v>
      </c>
      <c r="O496" s="55">
        <f t="shared" si="222"/>
        <v>0</v>
      </c>
      <c r="P496" s="55">
        <f t="shared" si="222"/>
        <v>0</v>
      </c>
      <c r="Q496" s="55">
        <f t="shared" si="222"/>
        <v>0</v>
      </c>
    </row>
    <row r="497" spans="1:17" x14ac:dyDescent="0.2">
      <c r="A497" s="72">
        <v>151</v>
      </c>
      <c r="B497" s="59">
        <v>487</v>
      </c>
      <c r="C497" s="40">
        <f t="shared" si="221"/>
        <v>3.4332694957598457</v>
      </c>
      <c r="D497" s="40">
        <f t="shared" si="221"/>
        <v>1.8717327794185254</v>
      </c>
      <c r="E497" s="40">
        <f t="shared" si="221"/>
        <v>0.32981104388639787</v>
      </c>
      <c r="F497" s="40">
        <f t="shared" si="221"/>
        <v>0.74636293386083608</v>
      </c>
      <c r="G497" s="40">
        <f t="shared" si="223"/>
        <v>0.34817321475331586</v>
      </c>
      <c r="H497" s="40">
        <f t="shared" si="223"/>
        <v>5.4355139759513407E-2</v>
      </c>
      <c r="I497" s="104">
        <f t="shared" si="222"/>
        <v>0.36139678902735217</v>
      </c>
      <c r="J497" s="104">
        <f t="shared" si="222"/>
        <v>0.1970245030966869</v>
      </c>
      <c r="K497" s="104">
        <f t="shared" si="222"/>
        <v>3.471695198804188E-2</v>
      </c>
      <c r="L497" s="104">
        <f t="shared" si="222"/>
        <v>0.48220077187638283</v>
      </c>
      <c r="M497" s="104">
        <f t="shared" si="222"/>
        <v>0.26288381733406258</v>
      </c>
      <c r="N497" s="104">
        <f t="shared" si="222"/>
        <v>4.6321775826741275E-2</v>
      </c>
      <c r="O497" s="55">
        <f t="shared" si="222"/>
        <v>0.38224352251574223</v>
      </c>
      <c r="P497" s="55">
        <f t="shared" si="222"/>
        <v>0.21957685264482196</v>
      </c>
      <c r="Q497" s="55">
        <f t="shared" si="222"/>
        <v>4.6321775826741275E-2</v>
      </c>
    </row>
    <row r="498" spans="1:17" x14ac:dyDescent="0.2">
      <c r="A498" s="72">
        <v>152</v>
      </c>
      <c r="B498" s="59">
        <v>488</v>
      </c>
      <c r="C498" s="40">
        <f t="shared" si="221"/>
        <v>3.4332694957598457</v>
      </c>
      <c r="D498" s="40">
        <f t="shared" si="221"/>
        <v>1.8717327794185254</v>
      </c>
      <c r="E498" s="40">
        <f t="shared" si="221"/>
        <v>0.32981104388639787</v>
      </c>
      <c r="F498" s="40">
        <f t="shared" si="221"/>
        <v>0.74636293386083608</v>
      </c>
      <c r="G498" s="40">
        <f t="shared" si="223"/>
        <v>0.34817321475331586</v>
      </c>
      <c r="H498" s="40">
        <f t="shared" si="223"/>
        <v>5.4355139759513407E-2</v>
      </c>
      <c r="I498" s="104">
        <f t="shared" si="222"/>
        <v>0.36139678902735217</v>
      </c>
      <c r="J498" s="104">
        <f t="shared" si="222"/>
        <v>0.1970245030966869</v>
      </c>
      <c r="K498" s="104">
        <f t="shared" si="222"/>
        <v>3.471695198804188E-2</v>
      </c>
      <c r="L498" s="104">
        <f t="shared" si="222"/>
        <v>0.48220077187638283</v>
      </c>
      <c r="M498" s="104">
        <f t="shared" si="222"/>
        <v>0.26288381733406258</v>
      </c>
      <c r="N498" s="104">
        <f t="shared" si="222"/>
        <v>4.6321775826741275E-2</v>
      </c>
      <c r="O498" s="55">
        <f t="shared" si="222"/>
        <v>0.38224352251574223</v>
      </c>
      <c r="P498" s="55">
        <f t="shared" si="222"/>
        <v>0.21957685264482196</v>
      </c>
      <c r="Q498" s="55">
        <f t="shared" si="222"/>
        <v>4.6321775826741275E-2</v>
      </c>
    </row>
    <row r="499" spans="1:17" x14ac:dyDescent="0.2">
      <c r="A499" s="72">
        <v>153</v>
      </c>
      <c r="B499" s="59">
        <v>489</v>
      </c>
      <c r="C499" s="40">
        <f t="shared" si="221"/>
        <v>0</v>
      </c>
      <c r="D499" s="40">
        <f t="shared" si="221"/>
        <v>0</v>
      </c>
      <c r="E499" s="40">
        <f t="shared" si="221"/>
        <v>0</v>
      </c>
      <c r="F499" s="40">
        <f t="shared" si="221"/>
        <v>0</v>
      </c>
      <c r="G499" s="40">
        <f t="shared" si="223"/>
        <v>0</v>
      </c>
      <c r="H499" s="40">
        <f t="shared" si="223"/>
        <v>0</v>
      </c>
      <c r="I499" s="104">
        <f t="shared" si="222"/>
        <v>0</v>
      </c>
      <c r="J499" s="104">
        <f t="shared" si="222"/>
        <v>0</v>
      </c>
      <c r="K499" s="104">
        <f t="shared" si="222"/>
        <v>0</v>
      </c>
      <c r="L499" s="104">
        <f t="shared" si="222"/>
        <v>0</v>
      </c>
      <c r="M499" s="104">
        <f t="shared" si="222"/>
        <v>0</v>
      </c>
      <c r="N499" s="104">
        <f t="shared" si="222"/>
        <v>0</v>
      </c>
      <c r="O499" s="55">
        <f t="shared" si="222"/>
        <v>0</v>
      </c>
      <c r="P499" s="55">
        <f t="shared" si="222"/>
        <v>0</v>
      </c>
      <c r="Q499" s="55">
        <f t="shared" si="222"/>
        <v>0</v>
      </c>
    </row>
    <row r="500" spans="1:17" x14ac:dyDescent="0.2">
      <c r="A500" s="72">
        <v>154</v>
      </c>
      <c r="B500" s="59">
        <v>490</v>
      </c>
      <c r="C500" s="40">
        <f t="shared" si="221"/>
        <v>0</v>
      </c>
      <c r="D500" s="40">
        <f t="shared" si="221"/>
        <v>0</v>
      </c>
      <c r="E500" s="40">
        <f t="shared" si="221"/>
        <v>0</v>
      </c>
      <c r="F500" s="40">
        <f t="shared" si="221"/>
        <v>0</v>
      </c>
      <c r="G500" s="40">
        <f t="shared" si="223"/>
        <v>0</v>
      </c>
      <c r="H500" s="40">
        <f t="shared" si="223"/>
        <v>0</v>
      </c>
      <c r="I500" s="104">
        <f t="shared" si="222"/>
        <v>0</v>
      </c>
      <c r="J500" s="104">
        <f t="shared" si="222"/>
        <v>0</v>
      </c>
      <c r="K500" s="104">
        <f t="shared" si="222"/>
        <v>0</v>
      </c>
      <c r="L500" s="104">
        <f t="shared" si="222"/>
        <v>0</v>
      </c>
      <c r="M500" s="104">
        <f t="shared" si="222"/>
        <v>0</v>
      </c>
      <c r="N500" s="104">
        <f t="shared" si="222"/>
        <v>0</v>
      </c>
      <c r="O500" s="55">
        <f t="shared" si="222"/>
        <v>0</v>
      </c>
      <c r="P500" s="55">
        <f t="shared" si="222"/>
        <v>0</v>
      </c>
      <c r="Q500" s="55">
        <f t="shared" si="222"/>
        <v>0</v>
      </c>
    </row>
    <row r="501" spans="1:17" x14ac:dyDescent="0.2">
      <c r="A501" s="72">
        <v>155</v>
      </c>
      <c r="B501" s="59">
        <v>491</v>
      </c>
      <c r="C501" s="40">
        <f t="shared" si="221"/>
        <v>0</v>
      </c>
      <c r="D501" s="40">
        <f t="shared" si="221"/>
        <v>0</v>
      </c>
      <c r="E501" s="40">
        <f t="shared" si="221"/>
        <v>0</v>
      </c>
      <c r="F501" s="40">
        <f t="shared" si="221"/>
        <v>0</v>
      </c>
      <c r="G501" s="40">
        <f t="shared" si="223"/>
        <v>0</v>
      </c>
      <c r="H501" s="40">
        <f t="shared" si="223"/>
        <v>0</v>
      </c>
      <c r="I501" s="104">
        <f t="shared" si="222"/>
        <v>0</v>
      </c>
      <c r="J501" s="104">
        <f t="shared" si="222"/>
        <v>0</v>
      </c>
      <c r="K501" s="104">
        <f t="shared" si="222"/>
        <v>0</v>
      </c>
      <c r="L501" s="104">
        <f t="shared" si="222"/>
        <v>0</v>
      </c>
      <c r="M501" s="104">
        <f t="shared" si="222"/>
        <v>0</v>
      </c>
      <c r="N501" s="104">
        <f t="shared" si="222"/>
        <v>0</v>
      </c>
      <c r="O501" s="55">
        <f t="shared" si="222"/>
        <v>0</v>
      </c>
      <c r="P501" s="55">
        <f t="shared" si="222"/>
        <v>0</v>
      </c>
      <c r="Q501" s="55">
        <f t="shared" si="222"/>
        <v>0</v>
      </c>
    </row>
    <row r="502" spans="1:17" x14ac:dyDescent="0.2">
      <c r="A502" s="72">
        <v>156</v>
      </c>
      <c r="B502" s="59">
        <v>492</v>
      </c>
      <c r="C502" s="40">
        <f t="shared" si="221"/>
        <v>0</v>
      </c>
      <c r="D502" s="40">
        <f t="shared" si="221"/>
        <v>0</v>
      </c>
      <c r="E502" s="40">
        <f t="shared" si="221"/>
        <v>0</v>
      </c>
      <c r="F502" s="40">
        <f t="shared" si="221"/>
        <v>0</v>
      </c>
      <c r="G502" s="40">
        <f t="shared" si="223"/>
        <v>0</v>
      </c>
      <c r="H502" s="40">
        <f t="shared" si="223"/>
        <v>0</v>
      </c>
      <c r="I502" s="104">
        <f t="shared" si="222"/>
        <v>0</v>
      </c>
      <c r="J502" s="104">
        <f t="shared" si="222"/>
        <v>0</v>
      </c>
      <c r="K502" s="104">
        <f t="shared" si="222"/>
        <v>0</v>
      </c>
      <c r="L502" s="104">
        <f t="shared" si="222"/>
        <v>0</v>
      </c>
      <c r="M502" s="104">
        <f t="shared" si="222"/>
        <v>0</v>
      </c>
      <c r="N502" s="104">
        <f t="shared" si="222"/>
        <v>0</v>
      </c>
      <c r="O502" s="55">
        <f t="shared" si="222"/>
        <v>0</v>
      </c>
      <c r="P502" s="55">
        <f t="shared" si="222"/>
        <v>0</v>
      </c>
      <c r="Q502" s="55">
        <f t="shared" si="222"/>
        <v>0</v>
      </c>
    </row>
    <row r="503" spans="1:17" x14ac:dyDescent="0.2">
      <c r="A503" s="72">
        <v>157</v>
      </c>
      <c r="B503" s="59">
        <v>493</v>
      </c>
      <c r="C503" s="40">
        <f t="shared" si="221"/>
        <v>0</v>
      </c>
      <c r="D503" s="40">
        <f t="shared" si="221"/>
        <v>0</v>
      </c>
      <c r="E503" s="40">
        <f t="shared" si="221"/>
        <v>0</v>
      </c>
      <c r="F503" s="40">
        <f t="shared" si="221"/>
        <v>0</v>
      </c>
      <c r="G503" s="40">
        <f t="shared" si="223"/>
        <v>0</v>
      </c>
      <c r="H503" s="40">
        <f t="shared" si="223"/>
        <v>0</v>
      </c>
      <c r="I503" s="104">
        <f t="shared" si="222"/>
        <v>0</v>
      </c>
      <c r="J503" s="104">
        <f t="shared" si="222"/>
        <v>0</v>
      </c>
      <c r="K503" s="104">
        <f t="shared" si="222"/>
        <v>0</v>
      </c>
      <c r="L503" s="104">
        <f t="shared" si="222"/>
        <v>0</v>
      </c>
      <c r="M503" s="104">
        <f t="shared" si="222"/>
        <v>0</v>
      </c>
      <c r="N503" s="104">
        <f t="shared" si="222"/>
        <v>0</v>
      </c>
      <c r="O503" s="55">
        <f t="shared" si="222"/>
        <v>0</v>
      </c>
      <c r="P503" s="55">
        <f t="shared" si="222"/>
        <v>0</v>
      </c>
      <c r="Q503" s="55">
        <f t="shared" si="222"/>
        <v>0</v>
      </c>
    </row>
    <row r="504" spans="1:17" x14ac:dyDescent="0.2">
      <c r="A504" s="72">
        <v>158</v>
      </c>
      <c r="B504" s="59">
        <v>494</v>
      </c>
      <c r="C504" s="40">
        <f t="shared" si="221"/>
        <v>0</v>
      </c>
      <c r="D504" s="40">
        <f t="shared" si="221"/>
        <v>0</v>
      </c>
      <c r="E504" s="40">
        <f t="shared" si="221"/>
        <v>0</v>
      </c>
      <c r="F504" s="40">
        <f t="shared" si="221"/>
        <v>0</v>
      </c>
      <c r="G504" s="40">
        <f t="shared" si="223"/>
        <v>0</v>
      </c>
      <c r="H504" s="40">
        <f t="shared" si="223"/>
        <v>0</v>
      </c>
      <c r="I504" s="104">
        <f t="shared" si="222"/>
        <v>0</v>
      </c>
      <c r="J504" s="104">
        <f t="shared" si="222"/>
        <v>0</v>
      </c>
      <c r="K504" s="104">
        <f t="shared" si="222"/>
        <v>0</v>
      </c>
      <c r="L504" s="104">
        <f t="shared" si="222"/>
        <v>0</v>
      </c>
      <c r="M504" s="104">
        <f t="shared" si="222"/>
        <v>0</v>
      </c>
      <c r="N504" s="104">
        <f t="shared" si="222"/>
        <v>0</v>
      </c>
      <c r="O504" s="55">
        <f t="shared" si="222"/>
        <v>0</v>
      </c>
      <c r="P504" s="55">
        <f t="shared" si="222"/>
        <v>0</v>
      </c>
      <c r="Q504" s="55">
        <f t="shared" si="222"/>
        <v>0</v>
      </c>
    </row>
    <row r="505" spans="1:17" x14ac:dyDescent="0.2">
      <c r="A505" s="72">
        <v>159</v>
      </c>
      <c r="B505" s="59">
        <v>495</v>
      </c>
      <c r="C505" s="40">
        <f t="shared" si="221"/>
        <v>0</v>
      </c>
      <c r="D505" s="40">
        <f t="shared" si="221"/>
        <v>0</v>
      </c>
      <c r="E505" s="40">
        <f t="shared" si="221"/>
        <v>0</v>
      </c>
      <c r="F505" s="40">
        <f t="shared" si="221"/>
        <v>0</v>
      </c>
      <c r="G505" s="40">
        <f t="shared" si="223"/>
        <v>0</v>
      </c>
      <c r="H505" s="40">
        <f t="shared" si="223"/>
        <v>0</v>
      </c>
      <c r="I505" s="104">
        <f t="shared" si="222"/>
        <v>0</v>
      </c>
      <c r="J505" s="104">
        <f t="shared" si="222"/>
        <v>0</v>
      </c>
      <c r="K505" s="104">
        <f t="shared" si="222"/>
        <v>0</v>
      </c>
      <c r="L505" s="104">
        <f t="shared" si="222"/>
        <v>0</v>
      </c>
      <c r="M505" s="104">
        <f t="shared" si="222"/>
        <v>0</v>
      </c>
      <c r="N505" s="104">
        <f t="shared" si="222"/>
        <v>0</v>
      </c>
      <c r="O505" s="55">
        <f t="shared" si="222"/>
        <v>0</v>
      </c>
      <c r="P505" s="55">
        <f t="shared" si="222"/>
        <v>0</v>
      </c>
      <c r="Q505" s="55">
        <f t="shared" si="222"/>
        <v>0</v>
      </c>
    </row>
    <row r="506" spans="1:17" x14ac:dyDescent="0.2">
      <c r="A506" s="72">
        <v>160</v>
      </c>
      <c r="B506" s="59">
        <v>496</v>
      </c>
      <c r="C506" s="40">
        <f t="shared" si="221"/>
        <v>3.4332694957598457</v>
      </c>
      <c r="D506" s="40">
        <f t="shared" si="221"/>
        <v>1.8717327794185254</v>
      </c>
      <c r="E506" s="40">
        <f t="shared" si="221"/>
        <v>0.32981104388639787</v>
      </c>
      <c r="F506" s="40">
        <f t="shared" si="221"/>
        <v>0.74636293386083608</v>
      </c>
      <c r="G506" s="40">
        <f t="shared" si="223"/>
        <v>0.34817321475331586</v>
      </c>
      <c r="H506" s="40">
        <f t="shared" si="223"/>
        <v>5.4355139759513407E-2</v>
      </c>
      <c r="I506" s="104">
        <f t="shared" si="222"/>
        <v>0.36139678902735217</v>
      </c>
      <c r="J506" s="104">
        <f t="shared" si="222"/>
        <v>0.1970245030966869</v>
      </c>
      <c r="K506" s="104">
        <f t="shared" si="222"/>
        <v>3.471695198804188E-2</v>
      </c>
      <c r="L506" s="104">
        <f t="shared" si="222"/>
        <v>0.48220077187638283</v>
      </c>
      <c r="M506" s="104">
        <f t="shared" si="222"/>
        <v>0.26288381733406258</v>
      </c>
      <c r="N506" s="104">
        <f t="shared" si="222"/>
        <v>4.6321775826741275E-2</v>
      </c>
      <c r="O506" s="55">
        <f t="shared" si="222"/>
        <v>0.38224352251574223</v>
      </c>
      <c r="P506" s="55">
        <f t="shared" si="222"/>
        <v>0.21957685264482196</v>
      </c>
      <c r="Q506" s="55">
        <f t="shared" si="222"/>
        <v>4.6321775826741275E-2</v>
      </c>
    </row>
    <row r="507" spans="1:17" x14ac:dyDescent="0.2">
      <c r="A507" s="72">
        <v>161</v>
      </c>
      <c r="B507" s="59">
        <v>497</v>
      </c>
      <c r="C507" s="40">
        <f t="shared" si="221"/>
        <v>3.4332694957598457</v>
      </c>
      <c r="D507" s="40">
        <f t="shared" si="221"/>
        <v>1.8717327794185254</v>
      </c>
      <c r="E507" s="40">
        <f t="shared" si="221"/>
        <v>0.32981104388639787</v>
      </c>
      <c r="F507" s="40">
        <f t="shared" si="221"/>
        <v>0.74636293386083608</v>
      </c>
      <c r="G507" s="40">
        <f t="shared" si="223"/>
        <v>0.34817321475331586</v>
      </c>
      <c r="H507" s="40">
        <f t="shared" si="223"/>
        <v>5.4355139759513407E-2</v>
      </c>
      <c r="I507" s="104">
        <f t="shared" si="222"/>
        <v>0.36139678902735217</v>
      </c>
      <c r="J507" s="104">
        <f t="shared" si="222"/>
        <v>0.1970245030966869</v>
      </c>
      <c r="K507" s="104">
        <f t="shared" si="222"/>
        <v>3.471695198804188E-2</v>
      </c>
      <c r="L507" s="104">
        <f t="shared" si="222"/>
        <v>0.48220077187638283</v>
      </c>
      <c r="M507" s="104">
        <f t="shared" si="222"/>
        <v>0.26288381733406258</v>
      </c>
      <c r="N507" s="104">
        <f t="shared" si="222"/>
        <v>4.6321775826741275E-2</v>
      </c>
      <c r="O507" s="55">
        <f t="shared" si="222"/>
        <v>0.38224352251574223</v>
      </c>
      <c r="P507" s="55">
        <f t="shared" si="222"/>
        <v>0.21957685264482196</v>
      </c>
      <c r="Q507" s="55">
        <f t="shared" si="222"/>
        <v>4.6321775826741275E-2</v>
      </c>
    </row>
    <row r="508" spans="1:17" x14ac:dyDescent="0.2">
      <c r="A508" s="72">
        <v>162</v>
      </c>
      <c r="B508" s="59">
        <v>498</v>
      </c>
      <c r="C508" s="40">
        <f t="shared" si="221"/>
        <v>3.4332694957598457</v>
      </c>
      <c r="D508" s="40">
        <f t="shared" si="221"/>
        <v>1.8717327794185254</v>
      </c>
      <c r="E508" s="40">
        <f t="shared" si="221"/>
        <v>0.32981104388639787</v>
      </c>
      <c r="F508" s="40">
        <f t="shared" si="221"/>
        <v>0.74636293386083608</v>
      </c>
      <c r="G508" s="40">
        <f t="shared" si="223"/>
        <v>0.34817321475331586</v>
      </c>
      <c r="H508" s="40">
        <f t="shared" si="223"/>
        <v>5.4355139759513407E-2</v>
      </c>
      <c r="I508" s="104">
        <f t="shared" si="222"/>
        <v>0.36139678902735217</v>
      </c>
      <c r="J508" s="104">
        <f t="shared" si="222"/>
        <v>0.1970245030966869</v>
      </c>
      <c r="K508" s="104">
        <f t="shared" si="222"/>
        <v>3.471695198804188E-2</v>
      </c>
      <c r="L508" s="104">
        <f t="shared" si="222"/>
        <v>0.48220077187638283</v>
      </c>
      <c r="M508" s="104">
        <f t="shared" si="222"/>
        <v>0.26288381733406258</v>
      </c>
      <c r="N508" s="104">
        <f t="shared" si="222"/>
        <v>4.6321775826741275E-2</v>
      </c>
      <c r="O508" s="55">
        <f t="shared" si="222"/>
        <v>0.38224352251574223</v>
      </c>
      <c r="P508" s="55">
        <f t="shared" si="222"/>
        <v>0.21957685264482196</v>
      </c>
      <c r="Q508" s="55">
        <f t="shared" si="222"/>
        <v>4.6321775826741275E-2</v>
      </c>
    </row>
    <row r="509" spans="1:17" x14ac:dyDescent="0.2">
      <c r="A509" s="72">
        <v>163</v>
      </c>
      <c r="B509" s="59">
        <v>499</v>
      </c>
      <c r="C509" s="40">
        <f t="shared" si="221"/>
        <v>3.4332694957598457</v>
      </c>
      <c r="D509" s="40">
        <f t="shared" si="221"/>
        <v>1.8717327794185254</v>
      </c>
      <c r="E509" s="40">
        <f t="shared" si="221"/>
        <v>0.32981104388639787</v>
      </c>
      <c r="F509" s="40">
        <f t="shared" si="221"/>
        <v>0.74636293386083608</v>
      </c>
      <c r="G509" s="40">
        <f t="shared" si="223"/>
        <v>0.34817321475331586</v>
      </c>
      <c r="H509" s="40">
        <f t="shared" si="223"/>
        <v>5.4355139759513407E-2</v>
      </c>
      <c r="I509" s="104">
        <f t="shared" si="222"/>
        <v>0.36139678902735217</v>
      </c>
      <c r="J509" s="104">
        <f t="shared" si="222"/>
        <v>0.1970245030966869</v>
      </c>
      <c r="K509" s="104">
        <f t="shared" si="222"/>
        <v>3.471695198804188E-2</v>
      </c>
      <c r="L509" s="104">
        <f t="shared" si="222"/>
        <v>0.48220077187638283</v>
      </c>
      <c r="M509" s="104">
        <f t="shared" si="222"/>
        <v>0.26288381733406258</v>
      </c>
      <c r="N509" s="104">
        <f t="shared" si="222"/>
        <v>4.6321775826741275E-2</v>
      </c>
      <c r="O509" s="55">
        <f t="shared" si="222"/>
        <v>0.38224352251574223</v>
      </c>
      <c r="P509" s="55">
        <f t="shared" si="222"/>
        <v>0.21957685264482196</v>
      </c>
      <c r="Q509" s="55">
        <f t="shared" si="222"/>
        <v>4.6321775826741275E-2</v>
      </c>
    </row>
    <row r="510" spans="1:17" x14ac:dyDescent="0.2">
      <c r="A510" s="72">
        <v>164</v>
      </c>
      <c r="B510" s="59">
        <v>500</v>
      </c>
      <c r="C510" s="40">
        <f t="shared" si="221"/>
        <v>3.4332694957598457</v>
      </c>
      <c r="D510" s="40">
        <f t="shared" si="221"/>
        <v>1.8717327794185254</v>
      </c>
      <c r="E510" s="40">
        <f t="shared" si="221"/>
        <v>0.32981104388639787</v>
      </c>
      <c r="F510" s="40">
        <f t="shared" si="221"/>
        <v>0.74636293386083608</v>
      </c>
      <c r="G510" s="40">
        <f t="shared" si="223"/>
        <v>0.34817321475331586</v>
      </c>
      <c r="H510" s="40">
        <f t="shared" si="223"/>
        <v>5.4355139759513407E-2</v>
      </c>
      <c r="I510" s="104">
        <f t="shared" si="222"/>
        <v>0.36139678902735217</v>
      </c>
      <c r="J510" s="104">
        <f t="shared" si="222"/>
        <v>0.1970245030966869</v>
      </c>
      <c r="K510" s="104">
        <f t="shared" si="222"/>
        <v>3.471695198804188E-2</v>
      </c>
      <c r="L510" s="104">
        <f t="shared" si="222"/>
        <v>0.48220077187638283</v>
      </c>
      <c r="M510" s="104">
        <f t="shared" si="222"/>
        <v>0.26288381733406258</v>
      </c>
      <c r="N510" s="104">
        <f t="shared" si="222"/>
        <v>4.6321775826741275E-2</v>
      </c>
      <c r="O510" s="55">
        <f t="shared" si="222"/>
        <v>0.38224352251574223</v>
      </c>
      <c r="P510" s="55">
        <f t="shared" si="222"/>
        <v>0.21957685264482196</v>
      </c>
      <c r="Q510" s="55">
        <f t="shared" si="222"/>
        <v>4.6321775826741275E-2</v>
      </c>
    </row>
    <row r="511" spans="1:17" x14ac:dyDescent="0.2">
      <c r="A511" s="72">
        <v>165</v>
      </c>
      <c r="B511" s="59">
        <v>501</v>
      </c>
      <c r="C511" s="40">
        <f t="shared" si="221"/>
        <v>3.4332694957598457</v>
      </c>
      <c r="D511" s="40">
        <f t="shared" si="221"/>
        <v>1.8717327794185254</v>
      </c>
      <c r="E511" s="40">
        <f t="shared" si="221"/>
        <v>0.32981104388639787</v>
      </c>
      <c r="F511" s="40">
        <f t="shared" si="221"/>
        <v>0.74636293386083608</v>
      </c>
      <c r="G511" s="40">
        <f t="shared" si="223"/>
        <v>0.34817321475331586</v>
      </c>
      <c r="H511" s="40">
        <f t="shared" si="223"/>
        <v>5.4355139759513407E-2</v>
      </c>
      <c r="I511" s="104">
        <f t="shared" si="222"/>
        <v>0.36139678902735217</v>
      </c>
      <c r="J511" s="104">
        <f t="shared" si="222"/>
        <v>0.1970245030966869</v>
      </c>
      <c r="K511" s="104">
        <f t="shared" si="222"/>
        <v>3.471695198804188E-2</v>
      </c>
      <c r="L511" s="104">
        <f t="shared" si="222"/>
        <v>0.48220077187638283</v>
      </c>
      <c r="M511" s="104">
        <f t="shared" si="222"/>
        <v>0.26288381733406258</v>
      </c>
      <c r="N511" s="104">
        <f t="shared" si="222"/>
        <v>4.6321775826741275E-2</v>
      </c>
      <c r="O511" s="55">
        <f t="shared" si="222"/>
        <v>0.38224352251574223</v>
      </c>
      <c r="P511" s="55">
        <f t="shared" si="222"/>
        <v>0.21957685264482196</v>
      </c>
      <c r="Q511" s="55">
        <f t="shared" si="222"/>
        <v>4.6321775826741275E-2</v>
      </c>
    </row>
    <row r="512" spans="1:17" x14ac:dyDescent="0.2">
      <c r="A512" s="72">
        <v>166</v>
      </c>
      <c r="B512" s="59">
        <v>502</v>
      </c>
      <c r="C512" s="40">
        <f t="shared" si="221"/>
        <v>3.4332694957598457</v>
      </c>
      <c r="D512" s="40">
        <f t="shared" si="221"/>
        <v>1.8717327794185254</v>
      </c>
      <c r="E512" s="40">
        <f t="shared" si="221"/>
        <v>0.32981104388639787</v>
      </c>
      <c r="F512" s="40">
        <f t="shared" si="221"/>
        <v>0.74636293386083608</v>
      </c>
      <c r="G512" s="40">
        <f t="shared" si="223"/>
        <v>0.34817321475331586</v>
      </c>
      <c r="H512" s="40">
        <f t="shared" si="223"/>
        <v>5.4355139759513407E-2</v>
      </c>
      <c r="I512" s="104">
        <f t="shared" ref="I512:Q514" si="224">I176</f>
        <v>0.36139678902735217</v>
      </c>
      <c r="J512" s="104">
        <f t="shared" si="224"/>
        <v>0.1970245030966869</v>
      </c>
      <c r="K512" s="104">
        <f t="shared" si="224"/>
        <v>3.471695198804188E-2</v>
      </c>
      <c r="L512" s="104">
        <f t="shared" si="224"/>
        <v>0.48220077187638283</v>
      </c>
      <c r="M512" s="104">
        <f t="shared" si="224"/>
        <v>0.26288381733406258</v>
      </c>
      <c r="N512" s="104">
        <f t="shared" si="224"/>
        <v>4.6321775826741275E-2</v>
      </c>
      <c r="O512" s="55">
        <f t="shared" si="224"/>
        <v>0.38224352251574223</v>
      </c>
      <c r="P512" s="55">
        <f t="shared" si="224"/>
        <v>0.21957685264482196</v>
      </c>
      <c r="Q512" s="55">
        <f t="shared" si="224"/>
        <v>4.6321775826741275E-2</v>
      </c>
    </row>
    <row r="513" spans="1:26" x14ac:dyDescent="0.2">
      <c r="A513" s="72">
        <v>167</v>
      </c>
      <c r="B513" s="59">
        <v>503</v>
      </c>
      <c r="C513" s="40">
        <f t="shared" si="221"/>
        <v>0</v>
      </c>
      <c r="D513" s="40">
        <f t="shared" si="221"/>
        <v>0</v>
      </c>
      <c r="E513" s="40">
        <f t="shared" si="221"/>
        <v>0</v>
      </c>
      <c r="F513" s="40">
        <f t="shared" si="221"/>
        <v>0</v>
      </c>
      <c r="G513" s="40">
        <f t="shared" si="223"/>
        <v>0</v>
      </c>
      <c r="H513" s="40">
        <f t="shared" si="223"/>
        <v>0</v>
      </c>
      <c r="I513" s="104">
        <f t="shared" si="224"/>
        <v>0</v>
      </c>
      <c r="J513" s="104">
        <f t="shared" si="224"/>
        <v>0</v>
      </c>
      <c r="K513" s="104">
        <f t="shared" si="224"/>
        <v>0</v>
      </c>
      <c r="L513" s="104">
        <f t="shared" si="224"/>
        <v>0</v>
      </c>
      <c r="M513" s="104">
        <f t="shared" si="224"/>
        <v>0</v>
      </c>
      <c r="N513" s="104">
        <f t="shared" si="224"/>
        <v>0</v>
      </c>
      <c r="O513" s="55">
        <f t="shared" si="224"/>
        <v>0</v>
      </c>
      <c r="P513" s="55">
        <f t="shared" si="224"/>
        <v>0</v>
      </c>
      <c r="Q513" s="55">
        <f t="shared" si="224"/>
        <v>0</v>
      </c>
    </row>
    <row r="514" spans="1:26" s="68" customFormat="1" x14ac:dyDescent="0.2">
      <c r="A514" s="114">
        <v>168</v>
      </c>
      <c r="B514" s="70">
        <v>504</v>
      </c>
      <c r="C514" s="100">
        <f t="shared" si="221"/>
        <v>0</v>
      </c>
      <c r="D514" s="100">
        <f t="shared" si="221"/>
        <v>0</v>
      </c>
      <c r="E514" s="100">
        <f t="shared" si="221"/>
        <v>0</v>
      </c>
      <c r="F514" s="100">
        <f t="shared" si="221"/>
        <v>0</v>
      </c>
      <c r="G514" s="100">
        <f t="shared" si="223"/>
        <v>0</v>
      </c>
      <c r="H514" s="100">
        <f t="shared" si="223"/>
        <v>0</v>
      </c>
      <c r="I514" s="129">
        <f t="shared" si="224"/>
        <v>0</v>
      </c>
      <c r="J514" s="129">
        <f t="shared" si="224"/>
        <v>0</v>
      </c>
      <c r="K514" s="129">
        <f t="shared" si="224"/>
        <v>0</v>
      </c>
      <c r="L514" s="104">
        <f t="shared" si="224"/>
        <v>0</v>
      </c>
      <c r="M514" s="104">
        <f t="shared" si="224"/>
        <v>0</v>
      </c>
      <c r="N514" s="104">
        <f t="shared" si="224"/>
        <v>0</v>
      </c>
      <c r="O514" s="55">
        <f t="shared" si="224"/>
        <v>0</v>
      </c>
      <c r="P514" s="55">
        <f t="shared" si="224"/>
        <v>0</v>
      </c>
      <c r="Q514" s="55">
        <f t="shared" si="224"/>
        <v>0</v>
      </c>
      <c r="Z514" s="152"/>
    </row>
    <row r="515" spans="1:26" x14ac:dyDescent="0.2">
      <c r="A515" s="72">
        <v>1</v>
      </c>
      <c r="B515" s="59">
        <v>505</v>
      </c>
      <c r="C515" s="40">
        <f>C11</f>
        <v>0</v>
      </c>
      <c r="D515" s="40">
        <f>D11</f>
        <v>0</v>
      </c>
      <c r="E515" s="40">
        <f>E11</f>
        <v>0</v>
      </c>
      <c r="F515" s="40">
        <f>F11</f>
        <v>0</v>
      </c>
      <c r="G515" s="40">
        <f t="shared" ref="G515:Q530" si="225">G11</f>
        <v>0</v>
      </c>
      <c r="H515" s="40">
        <f t="shared" si="225"/>
        <v>0</v>
      </c>
      <c r="I515" s="104">
        <f>I11</f>
        <v>0</v>
      </c>
      <c r="J515" s="104">
        <f>J11</f>
        <v>0</v>
      </c>
      <c r="K515" s="104">
        <f>K11</f>
        <v>0</v>
      </c>
      <c r="L515" s="104">
        <f t="shared" ref="L515:N515" si="226">L11</f>
        <v>0</v>
      </c>
      <c r="M515" s="104">
        <f t="shared" si="226"/>
        <v>0</v>
      </c>
      <c r="N515" s="104">
        <f t="shared" si="226"/>
        <v>0</v>
      </c>
      <c r="O515" s="55">
        <f>O11</f>
        <v>0</v>
      </c>
      <c r="P515" s="55">
        <f t="shared" ref="P515:Q515" si="227">P11</f>
        <v>0</v>
      </c>
      <c r="Q515" s="55">
        <f t="shared" si="227"/>
        <v>0</v>
      </c>
    </row>
    <row r="516" spans="1:26" x14ac:dyDescent="0.2">
      <c r="A516" s="72">
        <v>2</v>
      </c>
      <c r="B516" s="59">
        <v>506</v>
      </c>
      <c r="C516" s="40">
        <f t="shared" ref="C516:F579" si="228">C12</f>
        <v>0</v>
      </c>
      <c r="D516" s="40">
        <f t="shared" si="228"/>
        <v>0</v>
      </c>
      <c r="E516" s="40">
        <f t="shared" si="228"/>
        <v>0</v>
      </c>
      <c r="F516" s="40">
        <f t="shared" si="228"/>
        <v>0</v>
      </c>
      <c r="G516" s="40">
        <f t="shared" si="225"/>
        <v>0</v>
      </c>
      <c r="H516" s="40">
        <f t="shared" si="225"/>
        <v>0</v>
      </c>
      <c r="I516" s="104">
        <f t="shared" si="225"/>
        <v>0</v>
      </c>
      <c r="J516" s="104">
        <f t="shared" si="225"/>
        <v>0</v>
      </c>
      <c r="K516" s="104">
        <f t="shared" si="225"/>
        <v>0</v>
      </c>
      <c r="L516" s="104">
        <f t="shared" si="225"/>
        <v>0</v>
      </c>
      <c r="M516" s="104">
        <f t="shared" si="225"/>
        <v>0</v>
      </c>
      <c r="N516" s="104">
        <f t="shared" si="225"/>
        <v>0</v>
      </c>
      <c r="O516" s="55">
        <f t="shared" si="225"/>
        <v>0</v>
      </c>
      <c r="P516" s="55">
        <f t="shared" si="225"/>
        <v>0</v>
      </c>
      <c r="Q516" s="55">
        <f t="shared" si="225"/>
        <v>0</v>
      </c>
    </row>
    <row r="517" spans="1:26" x14ac:dyDescent="0.2">
      <c r="A517" s="72">
        <v>3</v>
      </c>
      <c r="B517" s="59">
        <v>507</v>
      </c>
      <c r="C517" s="40">
        <f t="shared" si="228"/>
        <v>0</v>
      </c>
      <c r="D517" s="40">
        <f t="shared" si="228"/>
        <v>0</v>
      </c>
      <c r="E517" s="40">
        <f t="shared" si="228"/>
        <v>0</v>
      </c>
      <c r="F517" s="40">
        <f t="shared" si="228"/>
        <v>0</v>
      </c>
      <c r="G517" s="40">
        <f t="shared" si="225"/>
        <v>0</v>
      </c>
      <c r="H517" s="40">
        <f t="shared" si="225"/>
        <v>0</v>
      </c>
      <c r="I517" s="104">
        <f t="shared" si="225"/>
        <v>0</v>
      </c>
      <c r="J517" s="104">
        <f t="shared" si="225"/>
        <v>0</v>
      </c>
      <c r="K517" s="104">
        <f t="shared" si="225"/>
        <v>0</v>
      </c>
      <c r="L517" s="104">
        <f t="shared" si="225"/>
        <v>0</v>
      </c>
      <c r="M517" s="104">
        <f t="shared" si="225"/>
        <v>0</v>
      </c>
      <c r="N517" s="104">
        <f t="shared" si="225"/>
        <v>0</v>
      </c>
      <c r="O517" s="55">
        <f t="shared" si="225"/>
        <v>0</v>
      </c>
      <c r="P517" s="55">
        <f t="shared" si="225"/>
        <v>0</v>
      </c>
      <c r="Q517" s="55">
        <f t="shared" si="225"/>
        <v>0</v>
      </c>
    </row>
    <row r="518" spans="1:26" x14ac:dyDescent="0.2">
      <c r="A518" s="72">
        <v>4</v>
      </c>
      <c r="B518" s="59">
        <v>508</v>
      </c>
      <c r="C518" s="40">
        <f t="shared" si="228"/>
        <v>0</v>
      </c>
      <c r="D518" s="40">
        <f t="shared" si="228"/>
        <v>0</v>
      </c>
      <c r="E518" s="40">
        <f t="shared" si="228"/>
        <v>0</v>
      </c>
      <c r="F518" s="40">
        <f t="shared" si="228"/>
        <v>0</v>
      </c>
      <c r="G518" s="40">
        <f t="shared" si="225"/>
        <v>0</v>
      </c>
      <c r="H518" s="40">
        <f t="shared" si="225"/>
        <v>0</v>
      </c>
      <c r="I518" s="104">
        <f t="shared" si="225"/>
        <v>0</v>
      </c>
      <c r="J518" s="104">
        <f t="shared" si="225"/>
        <v>0</v>
      </c>
      <c r="K518" s="104">
        <f t="shared" si="225"/>
        <v>0</v>
      </c>
      <c r="L518" s="104">
        <f t="shared" si="225"/>
        <v>0</v>
      </c>
      <c r="M518" s="104">
        <f t="shared" si="225"/>
        <v>0</v>
      </c>
      <c r="N518" s="104">
        <f t="shared" si="225"/>
        <v>0</v>
      </c>
      <c r="O518" s="55">
        <f t="shared" si="225"/>
        <v>0</v>
      </c>
      <c r="P518" s="55">
        <f t="shared" si="225"/>
        <v>0</v>
      </c>
      <c r="Q518" s="55">
        <f t="shared" si="225"/>
        <v>0</v>
      </c>
    </row>
    <row r="519" spans="1:26" x14ac:dyDescent="0.2">
      <c r="A519" s="72">
        <v>5</v>
      </c>
      <c r="B519" s="59">
        <v>509</v>
      </c>
      <c r="C519" s="40">
        <f t="shared" si="228"/>
        <v>0</v>
      </c>
      <c r="D519" s="40">
        <f t="shared" si="228"/>
        <v>0</v>
      </c>
      <c r="E519" s="40">
        <f t="shared" si="228"/>
        <v>0</v>
      </c>
      <c r="F519" s="40">
        <f t="shared" si="228"/>
        <v>0</v>
      </c>
      <c r="G519" s="40">
        <f t="shared" si="225"/>
        <v>0</v>
      </c>
      <c r="H519" s="40">
        <f t="shared" si="225"/>
        <v>0</v>
      </c>
      <c r="I519" s="104">
        <f t="shared" si="225"/>
        <v>0</v>
      </c>
      <c r="J519" s="104">
        <f t="shared" si="225"/>
        <v>0</v>
      </c>
      <c r="K519" s="104">
        <f t="shared" si="225"/>
        <v>0</v>
      </c>
      <c r="L519" s="104">
        <f t="shared" si="225"/>
        <v>0</v>
      </c>
      <c r="M519" s="104">
        <f t="shared" si="225"/>
        <v>0</v>
      </c>
      <c r="N519" s="104">
        <f t="shared" si="225"/>
        <v>0</v>
      </c>
      <c r="O519" s="55">
        <f t="shared" si="225"/>
        <v>0</v>
      </c>
      <c r="P519" s="55">
        <f t="shared" si="225"/>
        <v>0</v>
      </c>
      <c r="Q519" s="55">
        <f t="shared" si="225"/>
        <v>0</v>
      </c>
    </row>
    <row r="520" spans="1:26" x14ac:dyDescent="0.2">
      <c r="A520" s="72">
        <v>6</v>
      </c>
      <c r="B520" s="59">
        <v>510</v>
      </c>
      <c r="C520" s="40">
        <f t="shared" si="228"/>
        <v>0</v>
      </c>
      <c r="D520" s="40">
        <f t="shared" si="228"/>
        <v>0</v>
      </c>
      <c r="E520" s="40">
        <f t="shared" si="228"/>
        <v>0</v>
      </c>
      <c r="F520" s="40">
        <f t="shared" si="228"/>
        <v>0</v>
      </c>
      <c r="G520" s="40">
        <f t="shared" si="225"/>
        <v>0</v>
      </c>
      <c r="H520" s="40">
        <f t="shared" si="225"/>
        <v>0</v>
      </c>
      <c r="I520" s="104">
        <f t="shared" si="225"/>
        <v>0</v>
      </c>
      <c r="J520" s="104">
        <f t="shared" si="225"/>
        <v>0</v>
      </c>
      <c r="K520" s="104">
        <f t="shared" si="225"/>
        <v>0</v>
      </c>
      <c r="L520" s="104">
        <f t="shared" si="225"/>
        <v>0</v>
      </c>
      <c r="M520" s="104">
        <f t="shared" si="225"/>
        <v>0</v>
      </c>
      <c r="N520" s="104">
        <f t="shared" si="225"/>
        <v>0</v>
      </c>
      <c r="O520" s="55">
        <f t="shared" si="225"/>
        <v>0</v>
      </c>
      <c r="P520" s="55">
        <f t="shared" si="225"/>
        <v>0</v>
      </c>
      <c r="Q520" s="55">
        <f t="shared" si="225"/>
        <v>0</v>
      </c>
    </row>
    <row r="521" spans="1:26" x14ac:dyDescent="0.2">
      <c r="A521" s="72">
        <v>7</v>
      </c>
      <c r="B521" s="59">
        <v>511</v>
      </c>
      <c r="C521" s="40">
        <f t="shared" si="228"/>
        <v>3.4332694957598457</v>
      </c>
      <c r="D521" s="40">
        <f t="shared" si="228"/>
        <v>1.8717327794185254</v>
      </c>
      <c r="E521" s="40">
        <f t="shared" si="228"/>
        <v>0.32981104388639787</v>
      </c>
      <c r="F521" s="40">
        <f t="shared" si="228"/>
        <v>0.74636293386083608</v>
      </c>
      <c r="G521" s="40">
        <f t="shared" si="225"/>
        <v>0.34817321475331586</v>
      </c>
      <c r="H521" s="40">
        <f t="shared" si="225"/>
        <v>5.4355139759513407E-2</v>
      </c>
      <c r="I521" s="104">
        <f t="shared" si="225"/>
        <v>0.36139678902735217</v>
      </c>
      <c r="J521" s="104">
        <f t="shared" si="225"/>
        <v>0.1970245030966869</v>
      </c>
      <c r="K521" s="104">
        <f t="shared" si="225"/>
        <v>3.471695198804188E-2</v>
      </c>
      <c r="L521" s="104">
        <f t="shared" si="225"/>
        <v>0.48220077187638283</v>
      </c>
      <c r="M521" s="104">
        <f t="shared" si="225"/>
        <v>0.26288381733406258</v>
      </c>
      <c r="N521" s="104">
        <f t="shared" si="225"/>
        <v>4.6321775826741275E-2</v>
      </c>
      <c r="O521" s="55">
        <f t="shared" si="225"/>
        <v>0.38224352251574223</v>
      </c>
      <c r="P521" s="55">
        <f t="shared" si="225"/>
        <v>0.21957685264482196</v>
      </c>
      <c r="Q521" s="55">
        <f t="shared" si="225"/>
        <v>4.6321775826741275E-2</v>
      </c>
    </row>
    <row r="522" spans="1:26" x14ac:dyDescent="0.2">
      <c r="A522" s="72">
        <v>8</v>
      </c>
      <c r="B522" s="59">
        <v>512</v>
      </c>
      <c r="C522" s="40">
        <f t="shared" si="228"/>
        <v>3.4332694957598457</v>
      </c>
      <c r="D522" s="40">
        <f t="shared" si="228"/>
        <v>1.8717327794185254</v>
      </c>
      <c r="E522" s="40">
        <f t="shared" si="228"/>
        <v>0.32981104388639787</v>
      </c>
      <c r="F522" s="40">
        <f t="shared" si="228"/>
        <v>0.74636293386083608</v>
      </c>
      <c r="G522" s="40">
        <f t="shared" si="225"/>
        <v>0.34817321475331586</v>
      </c>
      <c r="H522" s="40">
        <f t="shared" si="225"/>
        <v>5.4355139759513407E-2</v>
      </c>
      <c r="I522" s="104">
        <f t="shared" si="225"/>
        <v>0.36139678902735217</v>
      </c>
      <c r="J522" s="104">
        <f t="shared" si="225"/>
        <v>0.1970245030966869</v>
      </c>
      <c r="K522" s="104">
        <f t="shared" si="225"/>
        <v>3.471695198804188E-2</v>
      </c>
      <c r="L522" s="104">
        <f t="shared" si="225"/>
        <v>0.48220077187638283</v>
      </c>
      <c r="M522" s="104">
        <f t="shared" si="225"/>
        <v>0.26288381733406258</v>
      </c>
      <c r="N522" s="104">
        <f t="shared" si="225"/>
        <v>4.6321775826741275E-2</v>
      </c>
      <c r="O522" s="55">
        <f t="shared" si="225"/>
        <v>0.38224352251574223</v>
      </c>
      <c r="P522" s="55">
        <f t="shared" si="225"/>
        <v>0.21957685264482196</v>
      </c>
      <c r="Q522" s="55">
        <f t="shared" si="225"/>
        <v>4.6321775826741275E-2</v>
      </c>
    </row>
    <row r="523" spans="1:26" x14ac:dyDescent="0.2">
      <c r="A523" s="72">
        <v>9</v>
      </c>
      <c r="B523" s="59">
        <v>513</v>
      </c>
      <c r="C523" s="40">
        <f t="shared" si="228"/>
        <v>0</v>
      </c>
      <c r="D523" s="40">
        <f t="shared" si="228"/>
        <v>0</v>
      </c>
      <c r="E523" s="40">
        <f t="shared" si="228"/>
        <v>0</v>
      </c>
      <c r="F523" s="40">
        <f t="shared" si="228"/>
        <v>0</v>
      </c>
      <c r="G523" s="40">
        <f t="shared" si="225"/>
        <v>0</v>
      </c>
      <c r="H523" s="40">
        <f t="shared" si="225"/>
        <v>0</v>
      </c>
      <c r="I523" s="104">
        <f t="shared" si="225"/>
        <v>0</v>
      </c>
      <c r="J523" s="104">
        <f t="shared" si="225"/>
        <v>0</v>
      </c>
      <c r="K523" s="104">
        <f t="shared" si="225"/>
        <v>0</v>
      </c>
      <c r="L523" s="104">
        <f t="shared" si="225"/>
        <v>0</v>
      </c>
      <c r="M523" s="104">
        <f t="shared" si="225"/>
        <v>0</v>
      </c>
      <c r="N523" s="104">
        <f t="shared" si="225"/>
        <v>0</v>
      </c>
      <c r="O523" s="55">
        <f t="shared" si="225"/>
        <v>0</v>
      </c>
      <c r="P523" s="55">
        <f t="shared" si="225"/>
        <v>0</v>
      </c>
      <c r="Q523" s="55">
        <f t="shared" si="225"/>
        <v>0</v>
      </c>
    </row>
    <row r="524" spans="1:26" x14ac:dyDescent="0.2">
      <c r="A524" s="72">
        <v>10</v>
      </c>
      <c r="B524" s="59">
        <v>514</v>
      </c>
      <c r="C524" s="40">
        <f t="shared" si="228"/>
        <v>0</v>
      </c>
      <c r="D524" s="40">
        <f t="shared" si="228"/>
        <v>0</v>
      </c>
      <c r="E524" s="40">
        <f t="shared" si="228"/>
        <v>0</v>
      </c>
      <c r="F524" s="40">
        <f t="shared" si="228"/>
        <v>0</v>
      </c>
      <c r="G524" s="40">
        <f t="shared" si="225"/>
        <v>0</v>
      </c>
      <c r="H524" s="40">
        <f t="shared" si="225"/>
        <v>0</v>
      </c>
      <c r="I524" s="104">
        <f t="shared" si="225"/>
        <v>0</v>
      </c>
      <c r="J524" s="104">
        <f t="shared" si="225"/>
        <v>0</v>
      </c>
      <c r="K524" s="104">
        <f t="shared" si="225"/>
        <v>0</v>
      </c>
      <c r="L524" s="104">
        <f t="shared" si="225"/>
        <v>0</v>
      </c>
      <c r="M524" s="104">
        <f t="shared" si="225"/>
        <v>0</v>
      </c>
      <c r="N524" s="104">
        <f t="shared" si="225"/>
        <v>0</v>
      </c>
      <c r="O524" s="55">
        <f t="shared" si="225"/>
        <v>0</v>
      </c>
      <c r="P524" s="55">
        <f t="shared" si="225"/>
        <v>0</v>
      </c>
      <c r="Q524" s="55">
        <f t="shared" si="225"/>
        <v>0</v>
      </c>
    </row>
    <row r="525" spans="1:26" x14ac:dyDescent="0.2">
      <c r="A525" s="72">
        <v>11</v>
      </c>
      <c r="B525" s="59">
        <v>515</v>
      </c>
      <c r="C525" s="40">
        <f t="shared" si="228"/>
        <v>0</v>
      </c>
      <c r="D525" s="40">
        <f t="shared" si="228"/>
        <v>0</v>
      </c>
      <c r="E525" s="40">
        <f t="shared" si="228"/>
        <v>0</v>
      </c>
      <c r="F525" s="40">
        <f t="shared" si="228"/>
        <v>0</v>
      </c>
      <c r="G525" s="40">
        <f t="shared" si="225"/>
        <v>0</v>
      </c>
      <c r="H525" s="40">
        <f t="shared" si="225"/>
        <v>0</v>
      </c>
      <c r="I525" s="104">
        <f t="shared" si="225"/>
        <v>0</v>
      </c>
      <c r="J525" s="104">
        <f t="shared" si="225"/>
        <v>0</v>
      </c>
      <c r="K525" s="104">
        <f t="shared" si="225"/>
        <v>0</v>
      </c>
      <c r="L525" s="104">
        <f t="shared" si="225"/>
        <v>0</v>
      </c>
      <c r="M525" s="104">
        <f t="shared" si="225"/>
        <v>0</v>
      </c>
      <c r="N525" s="104">
        <f t="shared" si="225"/>
        <v>0</v>
      </c>
      <c r="O525" s="55">
        <f t="shared" si="225"/>
        <v>0</v>
      </c>
      <c r="P525" s="55">
        <f t="shared" si="225"/>
        <v>0</v>
      </c>
      <c r="Q525" s="55">
        <f t="shared" si="225"/>
        <v>0</v>
      </c>
    </row>
    <row r="526" spans="1:26" x14ac:dyDescent="0.2">
      <c r="A526" s="72">
        <v>12</v>
      </c>
      <c r="B526" s="59">
        <v>516</v>
      </c>
      <c r="C526" s="40">
        <f t="shared" si="228"/>
        <v>0</v>
      </c>
      <c r="D526" s="40">
        <f t="shared" si="228"/>
        <v>0</v>
      </c>
      <c r="E526" s="40">
        <f t="shared" si="228"/>
        <v>0</v>
      </c>
      <c r="F526" s="40">
        <f t="shared" si="228"/>
        <v>0</v>
      </c>
      <c r="G526" s="40">
        <f t="shared" si="225"/>
        <v>0</v>
      </c>
      <c r="H526" s="40">
        <f t="shared" si="225"/>
        <v>0</v>
      </c>
      <c r="I526" s="104">
        <f t="shared" si="225"/>
        <v>0</v>
      </c>
      <c r="J526" s="104">
        <f t="shared" si="225"/>
        <v>0</v>
      </c>
      <c r="K526" s="104">
        <f t="shared" si="225"/>
        <v>0</v>
      </c>
      <c r="L526" s="104">
        <f t="shared" si="225"/>
        <v>0</v>
      </c>
      <c r="M526" s="104">
        <f t="shared" si="225"/>
        <v>0</v>
      </c>
      <c r="N526" s="104">
        <f t="shared" si="225"/>
        <v>0</v>
      </c>
      <c r="O526" s="55">
        <f t="shared" si="225"/>
        <v>0</v>
      </c>
      <c r="P526" s="55">
        <f t="shared" si="225"/>
        <v>0</v>
      </c>
      <c r="Q526" s="55">
        <f t="shared" si="225"/>
        <v>0</v>
      </c>
    </row>
    <row r="527" spans="1:26" x14ac:dyDescent="0.2">
      <c r="A527" s="72">
        <v>13</v>
      </c>
      <c r="B527" s="59">
        <v>517</v>
      </c>
      <c r="C527" s="40">
        <f t="shared" si="228"/>
        <v>0</v>
      </c>
      <c r="D527" s="40">
        <f t="shared" si="228"/>
        <v>0</v>
      </c>
      <c r="E527" s="40">
        <f t="shared" si="228"/>
        <v>0</v>
      </c>
      <c r="F527" s="40">
        <f t="shared" si="228"/>
        <v>0</v>
      </c>
      <c r="G527" s="40">
        <f t="shared" si="225"/>
        <v>0</v>
      </c>
      <c r="H527" s="40">
        <f t="shared" si="225"/>
        <v>0</v>
      </c>
      <c r="I527" s="104">
        <f t="shared" si="225"/>
        <v>0</v>
      </c>
      <c r="J527" s="104">
        <f t="shared" si="225"/>
        <v>0</v>
      </c>
      <c r="K527" s="104">
        <f t="shared" si="225"/>
        <v>0</v>
      </c>
      <c r="L527" s="104">
        <f t="shared" si="225"/>
        <v>0</v>
      </c>
      <c r="M527" s="104">
        <f t="shared" si="225"/>
        <v>0</v>
      </c>
      <c r="N527" s="104">
        <f t="shared" si="225"/>
        <v>0</v>
      </c>
      <c r="O527" s="55">
        <f t="shared" si="225"/>
        <v>0</v>
      </c>
      <c r="P527" s="55">
        <f t="shared" si="225"/>
        <v>0</v>
      </c>
      <c r="Q527" s="55">
        <f t="shared" si="225"/>
        <v>0</v>
      </c>
    </row>
    <row r="528" spans="1:26" x14ac:dyDescent="0.2">
      <c r="A528" s="72">
        <v>14</v>
      </c>
      <c r="B528" s="59">
        <v>518</v>
      </c>
      <c r="C528" s="40">
        <f t="shared" si="228"/>
        <v>0</v>
      </c>
      <c r="D528" s="40">
        <f t="shared" si="228"/>
        <v>0</v>
      </c>
      <c r="E528" s="40">
        <f t="shared" si="228"/>
        <v>0</v>
      </c>
      <c r="F528" s="40">
        <f t="shared" si="228"/>
        <v>0</v>
      </c>
      <c r="G528" s="40">
        <f t="shared" si="225"/>
        <v>0</v>
      </c>
      <c r="H528" s="40">
        <f t="shared" si="225"/>
        <v>0</v>
      </c>
      <c r="I528" s="104">
        <f t="shared" si="225"/>
        <v>0</v>
      </c>
      <c r="J528" s="104">
        <f t="shared" si="225"/>
        <v>0</v>
      </c>
      <c r="K528" s="104">
        <f t="shared" si="225"/>
        <v>0</v>
      </c>
      <c r="L528" s="104">
        <f t="shared" si="225"/>
        <v>0</v>
      </c>
      <c r="M528" s="104">
        <f t="shared" si="225"/>
        <v>0</v>
      </c>
      <c r="N528" s="104">
        <f t="shared" si="225"/>
        <v>0</v>
      </c>
      <c r="O528" s="55">
        <f t="shared" si="225"/>
        <v>0</v>
      </c>
      <c r="P528" s="55">
        <f t="shared" si="225"/>
        <v>0</v>
      </c>
      <c r="Q528" s="55">
        <f t="shared" si="225"/>
        <v>0</v>
      </c>
    </row>
    <row r="529" spans="1:17" x14ac:dyDescent="0.2">
      <c r="A529" s="72">
        <v>15</v>
      </c>
      <c r="B529" s="59">
        <v>519</v>
      </c>
      <c r="C529" s="40">
        <f t="shared" si="228"/>
        <v>0</v>
      </c>
      <c r="D529" s="40">
        <f t="shared" si="228"/>
        <v>0</v>
      </c>
      <c r="E529" s="40">
        <f t="shared" si="228"/>
        <v>0</v>
      </c>
      <c r="F529" s="40">
        <f t="shared" si="228"/>
        <v>0</v>
      </c>
      <c r="G529" s="40">
        <f t="shared" si="225"/>
        <v>0</v>
      </c>
      <c r="H529" s="40">
        <f t="shared" si="225"/>
        <v>0</v>
      </c>
      <c r="I529" s="104">
        <f t="shared" si="225"/>
        <v>0</v>
      </c>
      <c r="J529" s="104">
        <f t="shared" si="225"/>
        <v>0</v>
      </c>
      <c r="K529" s="104">
        <f t="shared" si="225"/>
        <v>0</v>
      </c>
      <c r="L529" s="104">
        <f t="shared" si="225"/>
        <v>0</v>
      </c>
      <c r="M529" s="104">
        <f t="shared" si="225"/>
        <v>0</v>
      </c>
      <c r="N529" s="104">
        <f t="shared" si="225"/>
        <v>0</v>
      </c>
      <c r="O529" s="55">
        <f t="shared" si="225"/>
        <v>0</v>
      </c>
      <c r="P529" s="55">
        <f t="shared" si="225"/>
        <v>0</v>
      </c>
      <c r="Q529" s="55">
        <f t="shared" si="225"/>
        <v>0</v>
      </c>
    </row>
    <row r="530" spans="1:17" x14ac:dyDescent="0.2">
      <c r="A530" s="72">
        <v>16</v>
      </c>
      <c r="B530" s="59">
        <v>520</v>
      </c>
      <c r="C530" s="40">
        <f t="shared" si="228"/>
        <v>3.4332694957598457</v>
      </c>
      <c r="D530" s="40">
        <f t="shared" si="228"/>
        <v>1.8717327794185254</v>
      </c>
      <c r="E530" s="40">
        <f t="shared" si="228"/>
        <v>0.32981104388639787</v>
      </c>
      <c r="F530" s="40">
        <f t="shared" si="228"/>
        <v>0.74636293386083608</v>
      </c>
      <c r="G530" s="40">
        <f t="shared" si="225"/>
        <v>0.34817321475331586</v>
      </c>
      <c r="H530" s="40">
        <f t="shared" si="225"/>
        <v>5.4355139759513407E-2</v>
      </c>
      <c r="I530" s="104">
        <f t="shared" si="225"/>
        <v>0.36139678902735217</v>
      </c>
      <c r="J530" s="104">
        <f t="shared" si="225"/>
        <v>0.1970245030966869</v>
      </c>
      <c r="K530" s="104">
        <f t="shared" si="225"/>
        <v>3.471695198804188E-2</v>
      </c>
      <c r="L530" s="104">
        <f t="shared" si="225"/>
        <v>0.48220077187638283</v>
      </c>
      <c r="M530" s="104">
        <f t="shared" si="225"/>
        <v>0.26288381733406258</v>
      </c>
      <c r="N530" s="104">
        <f t="shared" si="225"/>
        <v>4.6321775826741275E-2</v>
      </c>
      <c r="O530" s="55">
        <f t="shared" si="225"/>
        <v>0.38224352251574223</v>
      </c>
      <c r="P530" s="55">
        <f t="shared" si="225"/>
        <v>0.21957685264482196</v>
      </c>
      <c r="Q530" s="55">
        <f t="shared" si="225"/>
        <v>4.6321775826741275E-2</v>
      </c>
    </row>
    <row r="531" spans="1:17" x14ac:dyDescent="0.2">
      <c r="A531" s="72">
        <v>17</v>
      </c>
      <c r="B531" s="59">
        <v>521</v>
      </c>
      <c r="C531" s="40">
        <f t="shared" si="228"/>
        <v>3.4332694957598457</v>
      </c>
      <c r="D531" s="40">
        <f t="shared" si="228"/>
        <v>1.8717327794185254</v>
      </c>
      <c r="E531" s="40">
        <f t="shared" si="228"/>
        <v>0.32981104388639787</v>
      </c>
      <c r="F531" s="40">
        <f t="shared" si="228"/>
        <v>0.74636293386083608</v>
      </c>
      <c r="G531" s="40">
        <f t="shared" ref="G531:Q546" si="229">G27</f>
        <v>0.34817321475331586</v>
      </c>
      <c r="H531" s="40">
        <f t="shared" si="229"/>
        <v>5.4355139759513407E-2</v>
      </c>
      <c r="I531" s="104">
        <f t="shared" si="229"/>
        <v>0.36139678902735217</v>
      </c>
      <c r="J531" s="104">
        <f t="shared" si="229"/>
        <v>0.1970245030966869</v>
      </c>
      <c r="K531" s="104">
        <f t="shared" si="229"/>
        <v>3.471695198804188E-2</v>
      </c>
      <c r="L531" s="104">
        <f t="shared" si="229"/>
        <v>0.48220077187638283</v>
      </c>
      <c r="M531" s="104">
        <f t="shared" si="229"/>
        <v>0.26288381733406258</v>
      </c>
      <c r="N531" s="104">
        <f t="shared" si="229"/>
        <v>4.6321775826741275E-2</v>
      </c>
      <c r="O531" s="55">
        <f t="shared" si="229"/>
        <v>0.38224352251574223</v>
      </c>
      <c r="P531" s="55">
        <f t="shared" si="229"/>
        <v>0.21957685264482196</v>
      </c>
      <c r="Q531" s="55">
        <f t="shared" si="229"/>
        <v>4.6321775826741275E-2</v>
      </c>
    </row>
    <row r="532" spans="1:17" x14ac:dyDescent="0.2">
      <c r="A532" s="72">
        <v>18</v>
      </c>
      <c r="B532" s="59">
        <v>522</v>
      </c>
      <c r="C532" s="40">
        <f t="shared" si="228"/>
        <v>3.4332694957598457</v>
      </c>
      <c r="D532" s="40">
        <f t="shared" si="228"/>
        <v>1.8717327794185254</v>
      </c>
      <c r="E532" s="40">
        <f t="shared" si="228"/>
        <v>0.32981104388639787</v>
      </c>
      <c r="F532" s="40">
        <f t="shared" si="228"/>
        <v>0.74636293386083608</v>
      </c>
      <c r="G532" s="40">
        <f t="shared" si="229"/>
        <v>0.34817321475331586</v>
      </c>
      <c r="H532" s="40">
        <f t="shared" si="229"/>
        <v>5.4355139759513407E-2</v>
      </c>
      <c r="I532" s="104">
        <f t="shared" si="229"/>
        <v>0.36139678902735217</v>
      </c>
      <c r="J532" s="104">
        <f t="shared" si="229"/>
        <v>0.1970245030966869</v>
      </c>
      <c r="K532" s="104">
        <f t="shared" si="229"/>
        <v>3.471695198804188E-2</v>
      </c>
      <c r="L532" s="104">
        <f t="shared" si="229"/>
        <v>0.48220077187638283</v>
      </c>
      <c r="M532" s="104">
        <f t="shared" si="229"/>
        <v>0.26288381733406258</v>
      </c>
      <c r="N532" s="104">
        <f t="shared" si="229"/>
        <v>4.6321775826741275E-2</v>
      </c>
      <c r="O532" s="55">
        <f t="shared" si="229"/>
        <v>0.38224352251574223</v>
      </c>
      <c r="P532" s="55">
        <f t="shared" si="229"/>
        <v>0.21957685264482196</v>
      </c>
      <c r="Q532" s="55">
        <f t="shared" si="229"/>
        <v>4.6321775826741275E-2</v>
      </c>
    </row>
    <row r="533" spans="1:17" x14ac:dyDescent="0.2">
      <c r="A533" s="72">
        <v>19</v>
      </c>
      <c r="B533" s="59">
        <v>523</v>
      </c>
      <c r="C533" s="40">
        <f t="shared" si="228"/>
        <v>3.4332694957598457</v>
      </c>
      <c r="D533" s="40">
        <f t="shared" si="228"/>
        <v>1.8717327794185254</v>
      </c>
      <c r="E533" s="40">
        <f t="shared" si="228"/>
        <v>0.32981104388639787</v>
      </c>
      <c r="F533" s="40">
        <f t="shared" si="228"/>
        <v>0.74636293386083608</v>
      </c>
      <c r="G533" s="40">
        <f t="shared" si="229"/>
        <v>0.34817321475331586</v>
      </c>
      <c r="H533" s="40">
        <f t="shared" si="229"/>
        <v>5.4355139759513407E-2</v>
      </c>
      <c r="I533" s="104">
        <f t="shared" si="229"/>
        <v>0.36139678902735217</v>
      </c>
      <c r="J533" s="104">
        <f t="shared" si="229"/>
        <v>0.1970245030966869</v>
      </c>
      <c r="K533" s="104">
        <f t="shared" si="229"/>
        <v>3.471695198804188E-2</v>
      </c>
      <c r="L533" s="104">
        <f t="shared" si="229"/>
        <v>0.48220077187638283</v>
      </c>
      <c r="M533" s="104">
        <f t="shared" si="229"/>
        <v>0.26288381733406258</v>
      </c>
      <c r="N533" s="104">
        <f t="shared" si="229"/>
        <v>4.6321775826741275E-2</v>
      </c>
      <c r="O533" s="55">
        <f t="shared" si="229"/>
        <v>0.38224352251574223</v>
      </c>
      <c r="P533" s="55">
        <f t="shared" si="229"/>
        <v>0.21957685264482196</v>
      </c>
      <c r="Q533" s="55">
        <f t="shared" si="229"/>
        <v>4.6321775826741275E-2</v>
      </c>
    </row>
    <row r="534" spans="1:17" x14ac:dyDescent="0.2">
      <c r="A534" s="72">
        <v>20</v>
      </c>
      <c r="B534" s="59">
        <v>524</v>
      </c>
      <c r="C534" s="40">
        <f t="shared" si="228"/>
        <v>3.4332694957598457</v>
      </c>
      <c r="D534" s="40">
        <f t="shared" si="228"/>
        <v>1.8717327794185254</v>
      </c>
      <c r="E534" s="40">
        <f t="shared" si="228"/>
        <v>0.32981104388639787</v>
      </c>
      <c r="F534" s="40">
        <f t="shared" si="228"/>
        <v>0.74636293386083608</v>
      </c>
      <c r="G534" s="40">
        <f t="shared" si="229"/>
        <v>0.34817321475331586</v>
      </c>
      <c r="H534" s="40">
        <f t="shared" si="229"/>
        <v>5.4355139759513407E-2</v>
      </c>
      <c r="I534" s="104">
        <f t="shared" si="229"/>
        <v>0.36139678902735217</v>
      </c>
      <c r="J534" s="104">
        <f t="shared" si="229"/>
        <v>0.1970245030966869</v>
      </c>
      <c r="K534" s="104">
        <f t="shared" si="229"/>
        <v>3.471695198804188E-2</v>
      </c>
      <c r="L534" s="104">
        <f t="shared" si="229"/>
        <v>0.48220077187638283</v>
      </c>
      <c r="M534" s="104">
        <f t="shared" si="229"/>
        <v>0.26288381733406258</v>
      </c>
      <c r="N534" s="104">
        <f t="shared" si="229"/>
        <v>4.6321775826741275E-2</v>
      </c>
      <c r="O534" s="55">
        <f t="shared" si="229"/>
        <v>0.38224352251574223</v>
      </c>
      <c r="P534" s="55">
        <f t="shared" si="229"/>
        <v>0.21957685264482196</v>
      </c>
      <c r="Q534" s="55">
        <f t="shared" si="229"/>
        <v>4.6321775826741275E-2</v>
      </c>
    </row>
    <row r="535" spans="1:17" x14ac:dyDescent="0.2">
      <c r="A535" s="72">
        <v>21</v>
      </c>
      <c r="B535" s="59">
        <v>525</v>
      </c>
      <c r="C535" s="40">
        <f t="shared" si="228"/>
        <v>3.4332694957598457</v>
      </c>
      <c r="D535" s="40">
        <f t="shared" si="228"/>
        <v>1.8717327794185254</v>
      </c>
      <c r="E535" s="40">
        <f t="shared" si="228"/>
        <v>0.32981104388639787</v>
      </c>
      <c r="F535" s="40">
        <f t="shared" si="228"/>
        <v>0.74636293386083608</v>
      </c>
      <c r="G535" s="40">
        <f t="shared" si="229"/>
        <v>0.34817321475331586</v>
      </c>
      <c r="H535" s="40">
        <f t="shared" si="229"/>
        <v>5.4355139759513407E-2</v>
      </c>
      <c r="I535" s="104">
        <f t="shared" si="229"/>
        <v>0.36139678902735217</v>
      </c>
      <c r="J535" s="104">
        <f t="shared" si="229"/>
        <v>0.1970245030966869</v>
      </c>
      <c r="K535" s="104">
        <f t="shared" si="229"/>
        <v>3.471695198804188E-2</v>
      </c>
      <c r="L535" s="104">
        <f t="shared" si="229"/>
        <v>0.48220077187638283</v>
      </c>
      <c r="M535" s="104">
        <f t="shared" si="229"/>
        <v>0.26288381733406258</v>
      </c>
      <c r="N535" s="104">
        <f t="shared" si="229"/>
        <v>4.6321775826741275E-2</v>
      </c>
      <c r="O535" s="55">
        <f t="shared" si="229"/>
        <v>0.38224352251574223</v>
      </c>
      <c r="P535" s="55">
        <f t="shared" si="229"/>
        <v>0.21957685264482196</v>
      </c>
      <c r="Q535" s="55">
        <f t="shared" si="229"/>
        <v>4.6321775826741275E-2</v>
      </c>
    </row>
    <row r="536" spans="1:17" x14ac:dyDescent="0.2">
      <c r="A536" s="72">
        <v>22</v>
      </c>
      <c r="B536" s="59">
        <v>526</v>
      </c>
      <c r="C536" s="40">
        <f t="shared" si="228"/>
        <v>3.4332694957598457</v>
      </c>
      <c r="D536" s="40">
        <f t="shared" si="228"/>
        <v>1.8717327794185254</v>
      </c>
      <c r="E536" s="40">
        <f t="shared" si="228"/>
        <v>0.32981104388639787</v>
      </c>
      <c r="F536" s="40">
        <f t="shared" si="228"/>
        <v>0.74636293386083608</v>
      </c>
      <c r="G536" s="40">
        <f t="shared" si="229"/>
        <v>0.34817321475331586</v>
      </c>
      <c r="H536" s="40">
        <f t="shared" si="229"/>
        <v>5.4355139759513407E-2</v>
      </c>
      <c r="I536" s="104">
        <f t="shared" si="229"/>
        <v>0.36139678902735217</v>
      </c>
      <c r="J536" s="104">
        <f t="shared" si="229"/>
        <v>0.1970245030966869</v>
      </c>
      <c r="K536" s="104">
        <f t="shared" si="229"/>
        <v>3.471695198804188E-2</v>
      </c>
      <c r="L536" s="104">
        <f t="shared" si="229"/>
        <v>0.48220077187638283</v>
      </c>
      <c r="M536" s="104">
        <f t="shared" si="229"/>
        <v>0.26288381733406258</v>
      </c>
      <c r="N536" s="104">
        <f t="shared" si="229"/>
        <v>4.6321775826741275E-2</v>
      </c>
      <c r="O536" s="55">
        <f t="shared" si="229"/>
        <v>0.38224352251574223</v>
      </c>
      <c r="P536" s="55">
        <f t="shared" si="229"/>
        <v>0.21957685264482196</v>
      </c>
      <c r="Q536" s="55">
        <f t="shared" si="229"/>
        <v>4.6321775826741275E-2</v>
      </c>
    </row>
    <row r="537" spans="1:17" x14ac:dyDescent="0.2">
      <c r="A537" s="72">
        <v>23</v>
      </c>
      <c r="B537" s="59">
        <v>527</v>
      </c>
      <c r="C537" s="40">
        <f t="shared" si="228"/>
        <v>0</v>
      </c>
      <c r="D537" s="40">
        <f t="shared" si="228"/>
        <v>0</v>
      </c>
      <c r="E537" s="40">
        <f t="shared" si="228"/>
        <v>0</v>
      </c>
      <c r="F537" s="40">
        <f t="shared" si="228"/>
        <v>0</v>
      </c>
      <c r="G537" s="40">
        <f t="shared" si="229"/>
        <v>0</v>
      </c>
      <c r="H537" s="40">
        <f t="shared" si="229"/>
        <v>0</v>
      </c>
      <c r="I537" s="104">
        <f t="shared" si="229"/>
        <v>0</v>
      </c>
      <c r="J537" s="104">
        <f t="shared" si="229"/>
        <v>0</v>
      </c>
      <c r="K537" s="104">
        <f t="shared" si="229"/>
        <v>0</v>
      </c>
      <c r="L537" s="104">
        <f t="shared" si="229"/>
        <v>0</v>
      </c>
      <c r="M537" s="104">
        <f t="shared" si="229"/>
        <v>0</v>
      </c>
      <c r="N537" s="104">
        <f t="shared" si="229"/>
        <v>0</v>
      </c>
      <c r="O537" s="55">
        <f t="shared" si="229"/>
        <v>0</v>
      </c>
      <c r="P537" s="55">
        <f t="shared" si="229"/>
        <v>0</v>
      </c>
      <c r="Q537" s="55">
        <f t="shared" si="229"/>
        <v>0</v>
      </c>
    </row>
    <row r="538" spans="1:17" x14ac:dyDescent="0.2">
      <c r="A538" s="72">
        <v>24</v>
      </c>
      <c r="B538" s="59">
        <v>528</v>
      </c>
      <c r="C538" s="40">
        <f t="shared" si="228"/>
        <v>0</v>
      </c>
      <c r="D538" s="40">
        <f t="shared" si="228"/>
        <v>0</v>
      </c>
      <c r="E538" s="40">
        <f t="shared" si="228"/>
        <v>0</v>
      </c>
      <c r="F538" s="40">
        <f t="shared" si="228"/>
        <v>0</v>
      </c>
      <c r="G538" s="40">
        <f t="shared" si="229"/>
        <v>0</v>
      </c>
      <c r="H538" s="40">
        <f t="shared" si="229"/>
        <v>0</v>
      </c>
      <c r="I538" s="104">
        <f t="shared" si="229"/>
        <v>0</v>
      </c>
      <c r="J538" s="104">
        <f t="shared" si="229"/>
        <v>0</v>
      </c>
      <c r="K538" s="104">
        <f t="shared" si="229"/>
        <v>0</v>
      </c>
      <c r="L538" s="104">
        <f t="shared" si="229"/>
        <v>0</v>
      </c>
      <c r="M538" s="104">
        <f t="shared" si="229"/>
        <v>0</v>
      </c>
      <c r="N538" s="104">
        <f t="shared" si="229"/>
        <v>0</v>
      </c>
      <c r="O538" s="55">
        <f t="shared" si="229"/>
        <v>0</v>
      </c>
      <c r="P538" s="55">
        <f t="shared" si="229"/>
        <v>0</v>
      </c>
      <c r="Q538" s="55">
        <f t="shared" si="229"/>
        <v>0</v>
      </c>
    </row>
    <row r="539" spans="1:17" x14ac:dyDescent="0.2">
      <c r="A539" s="72">
        <v>25</v>
      </c>
      <c r="B539" s="59">
        <v>529</v>
      </c>
      <c r="C539" s="40">
        <f t="shared" si="228"/>
        <v>0</v>
      </c>
      <c r="D539" s="40">
        <f t="shared" si="228"/>
        <v>0</v>
      </c>
      <c r="E539" s="40">
        <f t="shared" si="228"/>
        <v>0</v>
      </c>
      <c r="F539" s="40">
        <f t="shared" si="228"/>
        <v>0</v>
      </c>
      <c r="G539" s="40">
        <f t="shared" si="229"/>
        <v>0</v>
      </c>
      <c r="H539" s="40">
        <f t="shared" si="229"/>
        <v>0</v>
      </c>
      <c r="I539" s="104">
        <f t="shared" si="229"/>
        <v>0</v>
      </c>
      <c r="J539" s="104">
        <f t="shared" si="229"/>
        <v>0</v>
      </c>
      <c r="K539" s="104">
        <f t="shared" si="229"/>
        <v>0</v>
      </c>
      <c r="L539" s="104">
        <f t="shared" si="229"/>
        <v>0</v>
      </c>
      <c r="M539" s="104">
        <f t="shared" si="229"/>
        <v>0</v>
      </c>
      <c r="N539" s="104">
        <f t="shared" si="229"/>
        <v>0</v>
      </c>
      <c r="O539" s="55">
        <f t="shared" si="229"/>
        <v>0</v>
      </c>
      <c r="P539" s="55">
        <f t="shared" si="229"/>
        <v>0</v>
      </c>
      <c r="Q539" s="55">
        <f t="shared" si="229"/>
        <v>0</v>
      </c>
    </row>
    <row r="540" spans="1:17" x14ac:dyDescent="0.2">
      <c r="A540" s="72">
        <v>26</v>
      </c>
      <c r="B540" s="59">
        <v>530</v>
      </c>
      <c r="C540" s="40">
        <f t="shared" si="228"/>
        <v>0</v>
      </c>
      <c r="D540" s="40">
        <f t="shared" si="228"/>
        <v>0</v>
      </c>
      <c r="E540" s="40">
        <f t="shared" si="228"/>
        <v>0</v>
      </c>
      <c r="F540" s="40">
        <f t="shared" si="228"/>
        <v>0</v>
      </c>
      <c r="G540" s="40">
        <f t="shared" si="229"/>
        <v>0</v>
      </c>
      <c r="H540" s="40">
        <f t="shared" si="229"/>
        <v>0</v>
      </c>
      <c r="I540" s="104">
        <f t="shared" si="229"/>
        <v>0</v>
      </c>
      <c r="J540" s="104">
        <f t="shared" si="229"/>
        <v>0</v>
      </c>
      <c r="K540" s="104">
        <f t="shared" si="229"/>
        <v>0</v>
      </c>
      <c r="L540" s="104">
        <f t="shared" si="229"/>
        <v>0</v>
      </c>
      <c r="M540" s="104">
        <f t="shared" si="229"/>
        <v>0</v>
      </c>
      <c r="N540" s="104">
        <f t="shared" si="229"/>
        <v>0</v>
      </c>
      <c r="O540" s="55">
        <f t="shared" si="229"/>
        <v>0</v>
      </c>
      <c r="P540" s="55">
        <f t="shared" si="229"/>
        <v>0</v>
      </c>
      <c r="Q540" s="55">
        <f t="shared" si="229"/>
        <v>0</v>
      </c>
    </row>
    <row r="541" spans="1:17" x14ac:dyDescent="0.2">
      <c r="A541" s="72">
        <v>27</v>
      </c>
      <c r="B541" s="59">
        <v>531</v>
      </c>
      <c r="C541" s="40">
        <f t="shared" si="228"/>
        <v>0</v>
      </c>
      <c r="D541" s="40">
        <f t="shared" si="228"/>
        <v>0</v>
      </c>
      <c r="E541" s="40">
        <f t="shared" si="228"/>
        <v>0</v>
      </c>
      <c r="F541" s="40">
        <f t="shared" si="228"/>
        <v>0</v>
      </c>
      <c r="G541" s="40">
        <f t="shared" si="229"/>
        <v>0</v>
      </c>
      <c r="H541" s="40">
        <f t="shared" si="229"/>
        <v>0</v>
      </c>
      <c r="I541" s="104">
        <f t="shared" si="229"/>
        <v>0</v>
      </c>
      <c r="J541" s="104">
        <f t="shared" si="229"/>
        <v>0</v>
      </c>
      <c r="K541" s="104">
        <f t="shared" si="229"/>
        <v>0</v>
      </c>
      <c r="L541" s="104">
        <f t="shared" si="229"/>
        <v>0</v>
      </c>
      <c r="M541" s="104">
        <f t="shared" si="229"/>
        <v>0</v>
      </c>
      <c r="N541" s="104">
        <f t="shared" si="229"/>
        <v>0</v>
      </c>
      <c r="O541" s="55">
        <f t="shared" si="229"/>
        <v>0</v>
      </c>
      <c r="P541" s="55">
        <f t="shared" si="229"/>
        <v>0</v>
      </c>
      <c r="Q541" s="55">
        <f t="shared" si="229"/>
        <v>0</v>
      </c>
    </row>
    <row r="542" spans="1:17" x14ac:dyDescent="0.2">
      <c r="A542" s="72">
        <v>28</v>
      </c>
      <c r="B542" s="59">
        <v>532</v>
      </c>
      <c r="C542" s="40">
        <f t="shared" si="228"/>
        <v>0</v>
      </c>
      <c r="D542" s="40">
        <f t="shared" si="228"/>
        <v>0</v>
      </c>
      <c r="E542" s="40">
        <f t="shared" si="228"/>
        <v>0</v>
      </c>
      <c r="F542" s="40">
        <f t="shared" si="228"/>
        <v>0</v>
      </c>
      <c r="G542" s="40">
        <f t="shared" si="229"/>
        <v>0</v>
      </c>
      <c r="H542" s="40">
        <f t="shared" si="229"/>
        <v>0</v>
      </c>
      <c r="I542" s="104">
        <f t="shared" si="229"/>
        <v>0</v>
      </c>
      <c r="J542" s="104">
        <f t="shared" si="229"/>
        <v>0</v>
      </c>
      <c r="K542" s="104">
        <f t="shared" si="229"/>
        <v>0</v>
      </c>
      <c r="L542" s="104">
        <f t="shared" si="229"/>
        <v>0</v>
      </c>
      <c r="M542" s="104">
        <f t="shared" si="229"/>
        <v>0</v>
      </c>
      <c r="N542" s="104">
        <f t="shared" si="229"/>
        <v>0</v>
      </c>
      <c r="O542" s="55">
        <f t="shared" si="229"/>
        <v>0</v>
      </c>
      <c r="P542" s="55">
        <f t="shared" si="229"/>
        <v>0</v>
      </c>
      <c r="Q542" s="55">
        <f t="shared" si="229"/>
        <v>0</v>
      </c>
    </row>
    <row r="543" spans="1:17" x14ac:dyDescent="0.2">
      <c r="A543" s="72">
        <v>29</v>
      </c>
      <c r="B543" s="59">
        <v>533</v>
      </c>
      <c r="C543" s="40">
        <f t="shared" si="228"/>
        <v>0</v>
      </c>
      <c r="D543" s="40">
        <f t="shared" si="228"/>
        <v>0</v>
      </c>
      <c r="E543" s="40">
        <f t="shared" si="228"/>
        <v>0</v>
      </c>
      <c r="F543" s="40">
        <f t="shared" si="228"/>
        <v>0</v>
      </c>
      <c r="G543" s="40">
        <f t="shared" si="229"/>
        <v>0</v>
      </c>
      <c r="H543" s="40">
        <f t="shared" si="229"/>
        <v>0</v>
      </c>
      <c r="I543" s="104">
        <f t="shared" si="229"/>
        <v>0</v>
      </c>
      <c r="J543" s="104">
        <f t="shared" si="229"/>
        <v>0</v>
      </c>
      <c r="K543" s="104">
        <f t="shared" si="229"/>
        <v>0</v>
      </c>
      <c r="L543" s="104">
        <f t="shared" si="229"/>
        <v>0</v>
      </c>
      <c r="M543" s="104">
        <f t="shared" si="229"/>
        <v>0</v>
      </c>
      <c r="N543" s="104">
        <f t="shared" si="229"/>
        <v>0</v>
      </c>
      <c r="O543" s="55">
        <f t="shared" si="229"/>
        <v>0</v>
      </c>
      <c r="P543" s="55">
        <f t="shared" si="229"/>
        <v>0</v>
      </c>
      <c r="Q543" s="55">
        <f t="shared" si="229"/>
        <v>0</v>
      </c>
    </row>
    <row r="544" spans="1:17" x14ac:dyDescent="0.2">
      <c r="A544" s="72">
        <v>30</v>
      </c>
      <c r="B544" s="59">
        <v>534</v>
      </c>
      <c r="C544" s="40">
        <f t="shared" si="228"/>
        <v>0</v>
      </c>
      <c r="D544" s="40">
        <f t="shared" si="228"/>
        <v>0</v>
      </c>
      <c r="E544" s="40">
        <f t="shared" si="228"/>
        <v>0</v>
      </c>
      <c r="F544" s="40">
        <f t="shared" si="228"/>
        <v>0</v>
      </c>
      <c r="G544" s="40">
        <f t="shared" si="229"/>
        <v>0</v>
      </c>
      <c r="H544" s="40">
        <f t="shared" si="229"/>
        <v>0</v>
      </c>
      <c r="I544" s="104">
        <f t="shared" si="229"/>
        <v>0</v>
      </c>
      <c r="J544" s="104">
        <f t="shared" si="229"/>
        <v>0</v>
      </c>
      <c r="K544" s="104">
        <f t="shared" si="229"/>
        <v>0</v>
      </c>
      <c r="L544" s="104">
        <f t="shared" si="229"/>
        <v>0</v>
      </c>
      <c r="M544" s="104">
        <f t="shared" si="229"/>
        <v>0</v>
      </c>
      <c r="N544" s="104">
        <f t="shared" si="229"/>
        <v>0</v>
      </c>
      <c r="O544" s="55">
        <f t="shared" si="229"/>
        <v>0</v>
      </c>
      <c r="P544" s="55">
        <f t="shared" si="229"/>
        <v>0</v>
      </c>
      <c r="Q544" s="55">
        <f t="shared" si="229"/>
        <v>0</v>
      </c>
    </row>
    <row r="545" spans="1:17" x14ac:dyDescent="0.2">
      <c r="A545" s="72">
        <v>31</v>
      </c>
      <c r="B545" s="59">
        <v>535</v>
      </c>
      <c r="C545" s="40">
        <f t="shared" si="228"/>
        <v>3.4332694957598457</v>
      </c>
      <c r="D545" s="40">
        <f t="shared" si="228"/>
        <v>1.8717327794185254</v>
      </c>
      <c r="E545" s="40">
        <f t="shared" si="228"/>
        <v>0.32981104388639787</v>
      </c>
      <c r="F545" s="40">
        <f t="shared" si="228"/>
        <v>0.74636293386083608</v>
      </c>
      <c r="G545" s="40">
        <f t="shared" si="229"/>
        <v>0.34817321475331586</v>
      </c>
      <c r="H545" s="40">
        <f t="shared" si="229"/>
        <v>5.4355139759513407E-2</v>
      </c>
      <c r="I545" s="104">
        <f t="shared" si="229"/>
        <v>0.36139678902735217</v>
      </c>
      <c r="J545" s="104">
        <f t="shared" si="229"/>
        <v>0.1970245030966869</v>
      </c>
      <c r="K545" s="104">
        <f t="shared" si="229"/>
        <v>3.471695198804188E-2</v>
      </c>
      <c r="L545" s="104">
        <f t="shared" si="229"/>
        <v>0.48220077187638283</v>
      </c>
      <c r="M545" s="104">
        <f t="shared" si="229"/>
        <v>0.26288381733406258</v>
      </c>
      <c r="N545" s="104">
        <f t="shared" si="229"/>
        <v>4.6321775826741275E-2</v>
      </c>
      <c r="O545" s="55">
        <f t="shared" si="229"/>
        <v>0.38224352251574223</v>
      </c>
      <c r="P545" s="55">
        <f t="shared" si="229"/>
        <v>0.21957685264482196</v>
      </c>
      <c r="Q545" s="55">
        <f t="shared" si="229"/>
        <v>4.6321775826741275E-2</v>
      </c>
    </row>
    <row r="546" spans="1:17" x14ac:dyDescent="0.2">
      <c r="A546" s="72">
        <v>32</v>
      </c>
      <c r="B546" s="59">
        <v>536</v>
      </c>
      <c r="C546" s="40">
        <f t="shared" si="228"/>
        <v>3.4332694957598457</v>
      </c>
      <c r="D546" s="40">
        <f t="shared" si="228"/>
        <v>1.8717327794185254</v>
      </c>
      <c r="E546" s="40">
        <f t="shared" si="228"/>
        <v>0.32981104388639787</v>
      </c>
      <c r="F546" s="40">
        <f t="shared" si="228"/>
        <v>0.74636293386083608</v>
      </c>
      <c r="G546" s="40">
        <f t="shared" si="229"/>
        <v>0.34817321475331586</v>
      </c>
      <c r="H546" s="40">
        <f t="shared" si="229"/>
        <v>5.4355139759513407E-2</v>
      </c>
      <c r="I546" s="104">
        <f t="shared" si="229"/>
        <v>0.36139678902735217</v>
      </c>
      <c r="J546" s="104">
        <f t="shared" si="229"/>
        <v>0.1970245030966869</v>
      </c>
      <c r="K546" s="104">
        <f t="shared" si="229"/>
        <v>3.471695198804188E-2</v>
      </c>
      <c r="L546" s="104">
        <f t="shared" si="229"/>
        <v>0.48220077187638283</v>
      </c>
      <c r="M546" s="104">
        <f t="shared" si="229"/>
        <v>0.26288381733406258</v>
      </c>
      <c r="N546" s="104">
        <f t="shared" si="229"/>
        <v>4.6321775826741275E-2</v>
      </c>
      <c r="O546" s="55">
        <f t="shared" si="229"/>
        <v>0.38224352251574223</v>
      </c>
      <c r="P546" s="55">
        <f t="shared" si="229"/>
        <v>0.21957685264482196</v>
      </c>
      <c r="Q546" s="55">
        <f t="shared" si="229"/>
        <v>4.6321775826741275E-2</v>
      </c>
    </row>
    <row r="547" spans="1:17" x14ac:dyDescent="0.2">
      <c r="A547" s="72">
        <v>33</v>
      </c>
      <c r="B547" s="59">
        <v>537</v>
      </c>
      <c r="C547" s="40">
        <f t="shared" si="228"/>
        <v>0</v>
      </c>
      <c r="D547" s="40">
        <f t="shared" si="228"/>
        <v>0</v>
      </c>
      <c r="E547" s="40">
        <f t="shared" si="228"/>
        <v>0</v>
      </c>
      <c r="F547" s="40">
        <f t="shared" si="228"/>
        <v>0</v>
      </c>
      <c r="G547" s="40">
        <f t="shared" ref="G547:Q562" si="230">G43</f>
        <v>0</v>
      </c>
      <c r="H547" s="40">
        <f t="shared" si="230"/>
        <v>0</v>
      </c>
      <c r="I547" s="104">
        <f t="shared" si="230"/>
        <v>0</v>
      </c>
      <c r="J547" s="104">
        <f t="shared" si="230"/>
        <v>0</v>
      </c>
      <c r="K547" s="104">
        <f t="shared" si="230"/>
        <v>0</v>
      </c>
      <c r="L547" s="104">
        <f t="shared" si="230"/>
        <v>0</v>
      </c>
      <c r="M547" s="104">
        <f t="shared" si="230"/>
        <v>0</v>
      </c>
      <c r="N547" s="104">
        <f t="shared" si="230"/>
        <v>0</v>
      </c>
      <c r="O547" s="55">
        <f t="shared" si="230"/>
        <v>0</v>
      </c>
      <c r="P547" s="55">
        <f t="shared" si="230"/>
        <v>0</v>
      </c>
      <c r="Q547" s="55">
        <f t="shared" si="230"/>
        <v>0</v>
      </c>
    </row>
    <row r="548" spans="1:17" x14ac:dyDescent="0.2">
      <c r="A548" s="72">
        <v>34</v>
      </c>
      <c r="B548" s="59">
        <v>538</v>
      </c>
      <c r="C548" s="40">
        <f t="shared" si="228"/>
        <v>0</v>
      </c>
      <c r="D548" s="40">
        <f t="shared" si="228"/>
        <v>0</v>
      </c>
      <c r="E548" s="40">
        <f t="shared" si="228"/>
        <v>0</v>
      </c>
      <c r="F548" s="40">
        <f t="shared" si="228"/>
        <v>0</v>
      </c>
      <c r="G548" s="40">
        <f t="shared" si="230"/>
        <v>0</v>
      </c>
      <c r="H548" s="40">
        <f t="shared" si="230"/>
        <v>0</v>
      </c>
      <c r="I548" s="104">
        <f t="shared" si="230"/>
        <v>0</v>
      </c>
      <c r="J548" s="104">
        <f t="shared" si="230"/>
        <v>0</v>
      </c>
      <c r="K548" s="104">
        <f t="shared" si="230"/>
        <v>0</v>
      </c>
      <c r="L548" s="104">
        <f t="shared" si="230"/>
        <v>0</v>
      </c>
      <c r="M548" s="104">
        <f t="shared" si="230"/>
        <v>0</v>
      </c>
      <c r="N548" s="104">
        <f t="shared" si="230"/>
        <v>0</v>
      </c>
      <c r="O548" s="55">
        <f t="shared" si="230"/>
        <v>0</v>
      </c>
      <c r="P548" s="55">
        <f t="shared" si="230"/>
        <v>0</v>
      </c>
      <c r="Q548" s="55">
        <f t="shared" si="230"/>
        <v>0</v>
      </c>
    </row>
    <row r="549" spans="1:17" x14ac:dyDescent="0.2">
      <c r="A549" s="72">
        <v>35</v>
      </c>
      <c r="B549" s="59">
        <v>539</v>
      </c>
      <c r="C549" s="40">
        <f t="shared" si="228"/>
        <v>0</v>
      </c>
      <c r="D549" s="40">
        <f t="shared" si="228"/>
        <v>0</v>
      </c>
      <c r="E549" s="40">
        <f t="shared" si="228"/>
        <v>0</v>
      </c>
      <c r="F549" s="40">
        <f t="shared" si="228"/>
        <v>0</v>
      </c>
      <c r="G549" s="40">
        <f t="shared" si="230"/>
        <v>0</v>
      </c>
      <c r="H549" s="40">
        <f t="shared" si="230"/>
        <v>0</v>
      </c>
      <c r="I549" s="104">
        <f t="shared" si="230"/>
        <v>0</v>
      </c>
      <c r="J549" s="104">
        <f t="shared" si="230"/>
        <v>0</v>
      </c>
      <c r="K549" s="104">
        <f t="shared" si="230"/>
        <v>0</v>
      </c>
      <c r="L549" s="104">
        <f t="shared" si="230"/>
        <v>0</v>
      </c>
      <c r="M549" s="104">
        <f t="shared" si="230"/>
        <v>0</v>
      </c>
      <c r="N549" s="104">
        <f t="shared" si="230"/>
        <v>0</v>
      </c>
      <c r="O549" s="55">
        <f t="shared" si="230"/>
        <v>0</v>
      </c>
      <c r="P549" s="55">
        <f t="shared" si="230"/>
        <v>0</v>
      </c>
      <c r="Q549" s="55">
        <f t="shared" si="230"/>
        <v>0</v>
      </c>
    </row>
    <row r="550" spans="1:17" x14ac:dyDescent="0.2">
      <c r="A550" s="72">
        <v>36</v>
      </c>
      <c r="B550" s="59">
        <v>540</v>
      </c>
      <c r="C550" s="40">
        <f t="shared" si="228"/>
        <v>0</v>
      </c>
      <c r="D550" s="40">
        <f t="shared" si="228"/>
        <v>0</v>
      </c>
      <c r="E550" s="40">
        <f t="shared" si="228"/>
        <v>0</v>
      </c>
      <c r="F550" s="40">
        <f t="shared" si="228"/>
        <v>0</v>
      </c>
      <c r="G550" s="40">
        <f t="shared" si="230"/>
        <v>0</v>
      </c>
      <c r="H550" s="40">
        <f t="shared" si="230"/>
        <v>0</v>
      </c>
      <c r="I550" s="104">
        <f t="shared" si="230"/>
        <v>0</v>
      </c>
      <c r="J550" s="104">
        <f t="shared" si="230"/>
        <v>0</v>
      </c>
      <c r="K550" s="104">
        <f t="shared" si="230"/>
        <v>0</v>
      </c>
      <c r="L550" s="104">
        <f t="shared" si="230"/>
        <v>0</v>
      </c>
      <c r="M550" s="104">
        <f t="shared" si="230"/>
        <v>0</v>
      </c>
      <c r="N550" s="104">
        <f t="shared" si="230"/>
        <v>0</v>
      </c>
      <c r="O550" s="55">
        <f t="shared" si="230"/>
        <v>0</v>
      </c>
      <c r="P550" s="55">
        <f t="shared" si="230"/>
        <v>0</v>
      </c>
      <c r="Q550" s="55">
        <f t="shared" si="230"/>
        <v>0</v>
      </c>
    </row>
    <row r="551" spans="1:17" x14ac:dyDescent="0.2">
      <c r="A551" s="72">
        <v>37</v>
      </c>
      <c r="B551" s="59">
        <v>541</v>
      </c>
      <c r="C551" s="40">
        <f t="shared" si="228"/>
        <v>0</v>
      </c>
      <c r="D551" s="40">
        <f t="shared" si="228"/>
        <v>0</v>
      </c>
      <c r="E551" s="40">
        <f t="shared" si="228"/>
        <v>0</v>
      </c>
      <c r="F551" s="40">
        <f t="shared" si="228"/>
        <v>0</v>
      </c>
      <c r="G551" s="40">
        <f t="shared" si="230"/>
        <v>0</v>
      </c>
      <c r="H551" s="40">
        <f t="shared" si="230"/>
        <v>0</v>
      </c>
      <c r="I551" s="104">
        <f t="shared" si="230"/>
        <v>0</v>
      </c>
      <c r="J551" s="104">
        <f t="shared" si="230"/>
        <v>0</v>
      </c>
      <c r="K551" s="104">
        <f t="shared" si="230"/>
        <v>0</v>
      </c>
      <c r="L551" s="104">
        <f t="shared" si="230"/>
        <v>0</v>
      </c>
      <c r="M551" s="104">
        <f t="shared" si="230"/>
        <v>0</v>
      </c>
      <c r="N551" s="104">
        <f t="shared" si="230"/>
        <v>0</v>
      </c>
      <c r="O551" s="55">
        <f t="shared" si="230"/>
        <v>0</v>
      </c>
      <c r="P551" s="55">
        <f t="shared" si="230"/>
        <v>0</v>
      </c>
      <c r="Q551" s="55">
        <f t="shared" si="230"/>
        <v>0</v>
      </c>
    </row>
    <row r="552" spans="1:17" x14ac:dyDescent="0.2">
      <c r="A552" s="72">
        <v>38</v>
      </c>
      <c r="B552" s="59">
        <v>542</v>
      </c>
      <c r="C552" s="40">
        <f t="shared" si="228"/>
        <v>0</v>
      </c>
      <c r="D552" s="40">
        <f t="shared" si="228"/>
        <v>0</v>
      </c>
      <c r="E552" s="40">
        <f t="shared" si="228"/>
        <v>0</v>
      </c>
      <c r="F552" s="40">
        <f t="shared" si="228"/>
        <v>0</v>
      </c>
      <c r="G552" s="40">
        <f t="shared" si="230"/>
        <v>0</v>
      </c>
      <c r="H552" s="40">
        <f t="shared" si="230"/>
        <v>0</v>
      </c>
      <c r="I552" s="104">
        <f t="shared" si="230"/>
        <v>0</v>
      </c>
      <c r="J552" s="104">
        <f t="shared" si="230"/>
        <v>0</v>
      </c>
      <c r="K552" s="104">
        <f t="shared" si="230"/>
        <v>0</v>
      </c>
      <c r="L552" s="104">
        <f t="shared" si="230"/>
        <v>0</v>
      </c>
      <c r="M552" s="104">
        <f t="shared" si="230"/>
        <v>0</v>
      </c>
      <c r="N552" s="104">
        <f t="shared" si="230"/>
        <v>0</v>
      </c>
      <c r="O552" s="55">
        <f t="shared" si="230"/>
        <v>0</v>
      </c>
      <c r="P552" s="55">
        <f t="shared" si="230"/>
        <v>0</v>
      </c>
      <c r="Q552" s="55">
        <f t="shared" si="230"/>
        <v>0</v>
      </c>
    </row>
    <row r="553" spans="1:17" x14ac:dyDescent="0.2">
      <c r="A553" s="72">
        <v>39</v>
      </c>
      <c r="B553" s="59">
        <v>543</v>
      </c>
      <c r="C553" s="40">
        <f t="shared" si="228"/>
        <v>0</v>
      </c>
      <c r="D553" s="40">
        <f t="shared" si="228"/>
        <v>0</v>
      </c>
      <c r="E553" s="40">
        <f t="shared" si="228"/>
        <v>0</v>
      </c>
      <c r="F553" s="40">
        <f t="shared" si="228"/>
        <v>0</v>
      </c>
      <c r="G553" s="40">
        <f t="shared" si="230"/>
        <v>0</v>
      </c>
      <c r="H553" s="40">
        <f t="shared" si="230"/>
        <v>0</v>
      </c>
      <c r="I553" s="104">
        <f t="shared" si="230"/>
        <v>0</v>
      </c>
      <c r="J553" s="104">
        <f t="shared" si="230"/>
        <v>0</v>
      </c>
      <c r="K553" s="104">
        <f t="shared" si="230"/>
        <v>0</v>
      </c>
      <c r="L553" s="104">
        <f t="shared" si="230"/>
        <v>0</v>
      </c>
      <c r="M553" s="104">
        <f t="shared" si="230"/>
        <v>0</v>
      </c>
      <c r="N553" s="104">
        <f t="shared" si="230"/>
        <v>0</v>
      </c>
      <c r="O553" s="55">
        <f t="shared" si="230"/>
        <v>0</v>
      </c>
      <c r="P553" s="55">
        <f t="shared" si="230"/>
        <v>0</v>
      </c>
      <c r="Q553" s="55">
        <f t="shared" si="230"/>
        <v>0</v>
      </c>
    </row>
    <row r="554" spans="1:17" x14ac:dyDescent="0.2">
      <c r="A554" s="72">
        <v>40</v>
      </c>
      <c r="B554" s="59">
        <v>544</v>
      </c>
      <c r="C554" s="40">
        <f t="shared" si="228"/>
        <v>3.4332694957598457</v>
      </c>
      <c r="D554" s="40">
        <f t="shared" si="228"/>
        <v>1.8717327794185254</v>
      </c>
      <c r="E554" s="40">
        <f t="shared" si="228"/>
        <v>0.32981104388639787</v>
      </c>
      <c r="F554" s="40">
        <f t="shared" si="228"/>
        <v>0.74636293386083608</v>
      </c>
      <c r="G554" s="40">
        <f t="shared" si="230"/>
        <v>0.34817321475331586</v>
      </c>
      <c r="H554" s="40">
        <f t="shared" si="230"/>
        <v>5.4355139759513407E-2</v>
      </c>
      <c r="I554" s="104">
        <f t="shared" si="230"/>
        <v>0.36139678902735217</v>
      </c>
      <c r="J554" s="104">
        <f t="shared" si="230"/>
        <v>0.1970245030966869</v>
      </c>
      <c r="K554" s="104">
        <f t="shared" si="230"/>
        <v>3.471695198804188E-2</v>
      </c>
      <c r="L554" s="104">
        <f t="shared" si="230"/>
        <v>0.48220077187638283</v>
      </c>
      <c r="M554" s="104">
        <f t="shared" si="230"/>
        <v>0.26288381733406258</v>
      </c>
      <c r="N554" s="104">
        <f t="shared" si="230"/>
        <v>4.6321775826741275E-2</v>
      </c>
      <c r="O554" s="55">
        <f t="shared" si="230"/>
        <v>0.38224352251574223</v>
      </c>
      <c r="P554" s="55">
        <f t="shared" si="230"/>
        <v>0.21957685264482196</v>
      </c>
      <c r="Q554" s="55">
        <f t="shared" si="230"/>
        <v>4.6321775826741275E-2</v>
      </c>
    </row>
    <row r="555" spans="1:17" x14ac:dyDescent="0.2">
      <c r="A555" s="72">
        <v>41</v>
      </c>
      <c r="B555" s="59">
        <v>545</v>
      </c>
      <c r="C555" s="40">
        <f t="shared" si="228"/>
        <v>3.4332694957598457</v>
      </c>
      <c r="D555" s="40">
        <f t="shared" si="228"/>
        <v>1.8717327794185254</v>
      </c>
      <c r="E555" s="40">
        <f t="shared" si="228"/>
        <v>0.32981104388639787</v>
      </c>
      <c r="F555" s="40">
        <f t="shared" si="228"/>
        <v>0.74636293386083608</v>
      </c>
      <c r="G555" s="40">
        <f t="shared" si="230"/>
        <v>0.34817321475331586</v>
      </c>
      <c r="H555" s="40">
        <f t="shared" si="230"/>
        <v>5.4355139759513407E-2</v>
      </c>
      <c r="I555" s="104">
        <f t="shared" si="230"/>
        <v>0.36139678902735217</v>
      </c>
      <c r="J555" s="104">
        <f t="shared" si="230"/>
        <v>0.1970245030966869</v>
      </c>
      <c r="K555" s="104">
        <f t="shared" si="230"/>
        <v>3.471695198804188E-2</v>
      </c>
      <c r="L555" s="104">
        <f t="shared" si="230"/>
        <v>0.48220077187638283</v>
      </c>
      <c r="M555" s="104">
        <f t="shared" si="230"/>
        <v>0.26288381733406258</v>
      </c>
      <c r="N555" s="104">
        <f t="shared" si="230"/>
        <v>4.6321775826741275E-2</v>
      </c>
      <c r="O555" s="55">
        <f t="shared" si="230"/>
        <v>0.38224352251574223</v>
      </c>
      <c r="P555" s="55">
        <f t="shared" si="230"/>
        <v>0.21957685264482196</v>
      </c>
      <c r="Q555" s="55">
        <f t="shared" si="230"/>
        <v>4.6321775826741275E-2</v>
      </c>
    </row>
    <row r="556" spans="1:17" x14ac:dyDescent="0.2">
      <c r="A556" s="72">
        <v>42</v>
      </c>
      <c r="B556" s="59">
        <v>546</v>
      </c>
      <c r="C556" s="40">
        <f t="shared" si="228"/>
        <v>3.4332694957598457</v>
      </c>
      <c r="D556" s="40">
        <f t="shared" si="228"/>
        <v>1.8717327794185254</v>
      </c>
      <c r="E556" s="40">
        <f t="shared" si="228"/>
        <v>0.32981104388639787</v>
      </c>
      <c r="F556" s="40">
        <f t="shared" si="228"/>
        <v>0.74636293386083608</v>
      </c>
      <c r="G556" s="40">
        <f t="shared" si="230"/>
        <v>0.34817321475331586</v>
      </c>
      <c r="H556" s="40">
        <f t="shared" si="230"/>
        <v>5.4355139759513407E-2</v>
      </c>
      <c r="I556" s="104">
        <f t="shared" si="230"/>
        <v>0.36139678902735217</v>
      </c>
      <c r="J556" s="104">
        <f t="shared" si="230"/>
        <v>0.1970245030966869</v>
      </c>
      <c r="K556" s="104">
        <f t="shared" si="230"/>
        <v>3.471695198804188E-2</v>
      </c>
      <c r="L556" s="104">
        <f t="shared" si="230"/>
        <v>0.48220077187638283</v>
      </c>
      <c r="M556" s="104">
        <f t="shared" si="230"/>
        <v>0.26288381733406258</v>
      </c>
      <c r="N556" s="104">
        <f t="shared" si="230"/>
        <v>4.6321775826741275E-2</v>
      </c>
      <c r="O556" s="55">
        <f t="shared" si="230"/>
        <v>0.38224352251574223</v>
      </c>
      <c r="P556" s="55">
        <f t="shared" si="230"/>
        <v>0.21957685264482196</v>
      </c>
      <c r="Q556" s="55">
        <f t="shared" si="230"/>
        <v>4.6321775826741275E-2</v>
      </c>
    </row>
    <row r="557" spans="1:17" x14ac:dyDescent="0.2">
      <c r="A557" s="72">
        <v>43</v>
      </c>
      <c r="B557" s="59">
        <v>547</v>
      </c>
      <c r="C557" s="40">
        <f t="shared" si="228"/>
        <v>3.4332694957598457</v>
      </c>
      <c r="D557" s="40">
        <f t="shared" si="228"/>
        <v>1.8717327794185254</v>
      </c>
      <c r="E557" s="40">
        <f t="shared" si="228"/>
        <v>0.32981104388639787</v>
      </c>
      <c r="F557" s="40">
        <f t="shared" si="228"/>
        <v>0.74636293386083608</v>
      </c>
      <c r="G557" s="40">
        <f t="shared" si="230"/>
        <v>0.34817321475331586</v>
      </c>
      <c r="H557" s="40">
        <f t="shared" si="230"/>
        <v>5.4355139759513407E-2</v>
      </c>
      <c r="I557" s="104">
        <f t="shared" si="230"/>
        <v>0.36139678902735217</v>
      </c>
      <c r="J557" s="104">
        <f t="shared" si="230"/>
        <v>0.1970245030966869</v>
      </c>
      <c r="K557" s="104">
        <f t="shared" si="230"/>
        <v>3.471695198804188E-2</v>
      </c>
      <c r="L557" s="104">
        <f t="shared" si="230"/>
        <v>0.48220077187638283</v>
      </c>
      <c r="M557" s="104">
        <f t="shared" si="230"/>
        <v>0.26288381733406258</v>
      </c>
      <c r="N557" s="104">
        <f t="shared" si="230"/>
        <v>4.6321775826741275E-2</v>
      </c>
      <c r="O557" s="55">
        <f t="shared" si="230"/>
        <v>0.38224352251574223</v>
      </c>
      <c r="P557" s="55">
        <f t="shared" si="230"/>
        <v>0.21957685264482196</v>
      </c>
      <c r="Q557" s="55">
        <f t="shared" si="230"/>
        <v>4.6321775826741275E-2</v>
      </c>
    </row>
    <row r="558" spans="1:17" x14ac:dyDescent="0.2">
      <c r="A558" s="72">
        <v>44</v>
      </c>
      <c r="B558" s="59">
        <v>548</v>
      </c>
      <c r="C558" s="40">
        <f t="shared" si="228"/>
        <v>3.4332694957598457</v>
      </c>
      <c r="D558" s="40">
        <f t="shared" si="228"/>
        <v>1.8717327794185254</v>
      </c>
      <c r="E558" s="40">
        <f t="shared" si="228"/>
        <v>0.32981104388639787</v>
      </c>
      <c r="F558" s="40">
        <f t="shared" si="228"/>
        <v>0.74636293386083608</v>
      </c>
      <c r="G558" s="40">
        <f t="shared" si="230"/>
        <v>0.34817321475331586</v>
      </c>
      <c r="H558" s="40">
        <f t="shared" si="230"/>
        <v>5.4355139759513407E-2</v>
      </c>
      <c r="I558" s="104">
        <f t="shared" si="230"/>
        <v>0.36139678902735217</v>
      </c>
      <c r="J558" s="104">
        <f t="shared" si="230"/>
        <v>0.1970245030966869</v>
      </c>
      <c r="K558" s="104">
        <f t="shared" si="230"/>
        <v>3.471695198804188E-2</v>
      </c>
      <c r="L558" s="104">
        <f t="shared" si="230"/>
        <v>0.48220077187638283</v>
      </c>
      <c r="M558" s="104">
        <f t="shared" si="230"/>
        <v>0.26288381733406258</v>
      </c>
      <c r="N558" s="104">
        <f t="shared" si="230"/>
        <v>4.6321775826741275E-2</v>
      </c>
      <c r="O558" s="55">
        <f t="shared" si="230"/>
        <v>0.38224352251574223</v>
      </c>
      <c r="P558" s="55">
        <f t="shared" si="230"/>
        <v>0.21957685264482196</v>
      </c>
      <c r="Q558" s="55">
        <f t="shared" si="230"/>
        <v>4.6321775826741275E-2</v>
      </c>
    </row>
    <row r="559" spans="1:17" x14ac:dyDescent="0.2">
      <c r="A559" s="72">
        <v>45</v>
      </c>
      <c r="B559" s="59">
        <v>549</v>
      </c>
      <c r="C559" s="40">
        <f t="shared" si="228"/>
        <v>3.4332694957598457</v>
      </c>
      <c r="D559" s="40">
        <f t="shared" si="228"/>
        <v>1.8717327794185254</v>
      </c>
      <c r="E559" s="40">
        <f t="shared" si="228"/>
        <v>0.32981104388639787</v>
      </c>
      <c r="F559" s="40">
        <f t="shared" si="228"/>
        <v>0.74636293386083608</v>
      </c>
      <c r="G559" s="40">
        <f t="shared" si="230"/>
        <v>0.34817321475331586</v>
      </c>
      <c r="H559" s="40">
        <f t="shared" si="230"/>
        <v>5.4355139759513407E-2</v>
      </c>
      <c r="I559" s="104">
        <f t="shared" si="230"/>
        <v>0.36139678902735217</v>
      </c>
      <c r="J559" s="104">
        <f t="shared" si="230"/>
        <v>0.1970245030966869</v>
      </c>
      <c r="K559" s="104">
        <f t="shared" si="230"/>
        <v>3.471695198804188E-2</v>
      </c>
      <c r="L559" s="104">
        <f t="shared" si="230"/>
        <v>0.48220077187638283</v>
      </c>
      <c r="M559" s="104">
        <f t="shared" si="230"/>
        <v>0.26288381733406258</v>
      </c>
      <c r="N559" s="104">
        <f t="shared" si="230"/>
        <v>4.6321775826741275E-2</v>
      </c>
      <c r="O559" s="55">
        <f t="shared" si="230"/>
        <v>0.38224352251574223</v>
      </c>
      <c r="P559" s="55">
        <f t="shared" si="230"/>
        <v>0.21957685264482196</v>
      </c>
      <c r="Q559" s="55">
        <f t="shared" si="230"/>
        <v>4.6321775826741275E-2</v>
      </c>
    </row>
    <row r="560" spans="1:17" x14ac:dyDescent="0.2">
      <c r="A560" s="72">
        <v>46</v>
      </c>
      <c r="B560" s="59">
        <v>550</v>
      </c>
      <c r="C560" s="40">
        <f t="shared" si="228"/>
        <v>3.4332694957598457</v>
      </c>
      <c r="D560" s="40">
        <f t="shared" si="228"/>
        <v>1.8717327794185254</v>
      </c>
      <c r="E560" s="40">
        <f t="shared" si="228"/>
        <v>0.32981104388639787</v>
      </c>
      <c r="F560" s="40">
        <f t="shared" si="228"/>
        <v>0.74636293386083608</v>
      </c>
      <c r="G560" s="40">
        <f t="shared" si="230"/>
        <v>0.34817321475331586</v>
      </c>
      <c r="H560" s="40">
        <f t="shared" si="230"/>
        <v>5.4355139759513407E-2</v>
      </c>
      <c r="I560" s="104">
        <f t="shared" si="230"/>
        <v>0.36139678902735217</v>
      </c>
      <c r="J560" s="104">
        <f t="shared" si="230"/>
        <v>0.1970245030966869</v>
      </c>
      <c r="K560" s="104">
        <f t="shared" si="230"/>
        <v>3.471695198804188E-2</v>
      </c>
      <c r="L560" s="104">
        <f t="shared" si="230"/>
        <v>0.48220077187638283</v>
      </c>
      <c r="M560" s="104">
        <f t="shared" si="230"/>
        <v>0.26288381733406258</v>
      </c>
      <c r="N560" s="104">
        <f t="shared" si="230"/>
        <v>4.6321775826741275E-2</v>
      </c>
      <c r="O560" s="55">
        <f t="shared" si="230"/>
        <v>0.38224352251574223</v>
      </c>
      <c r="P560" s="55">
        <f t="shared" si="230"/>
        <v>0.21957685264482196</v>
      </c>
      <c r="Q560" s="55">
        <f t="shared" si="230"/>
        <v>4.6321775826741275E-2</v>
      </c>
    </row>
    <row r="561" spans="1:17" x14ac:dyDescent="0.2">
      <c r="A561" s="72">
        <v>47</v>
      </c>
      <c r="B561" s="59">
        <v>551</v>
      </c>
      <c r="C561" s="40">
        <f t="shared" si="228"/>
        <v>0</v>
      </c>
      <c r="D561" s="40">
        <f t="shared" si="228"/>
        <v>0</v>
      </c>
      <c r="E561" s="40">
        <f t="shared" si="228"/>
        <v>0</v>
      </c>
      <c r="F561" s="40">
        <f t="shared" si="228"/>
        <v>0</v>
      </c>
      <c r="G561" s="40">
        <f t="shared" si="230"/>
        <v>0</v>
      </c>
      <c r="H561" s="40">
        <f t="shared" si="230"/>
        <v>0</v>
      </c>
      <c r="I561" s="104">
        <f t="shared" si="230"/>
        <v>0</v>
      </c>
      <c r="J561" s="104">
        <f t="shared" si="230"/>
        <v>0</v>
      </c>
      <c r="K561" s="104">
        <f t="shared" si="230"/>
        <v>0</v>
      </c>
      <c r="L561" s="104">
        <f t="shared" si="230"/>
        <v>0</v>
      </c>
      <c r="M561" s="104">
        <f t="shared" si="230"/>
        <v>0</v>
      </c>
      <c r="N561" s="104">
        <f t="shared" si="230"/>
        <v>0</v>
      </c>
      <c r="O561" s="55">
        <f t="shared" si="230"/>
        <v>0</v>
      </c>
      <c r="P561" s="55">
        <f t="shared" si="230"/>
        <v>0</v>
      </c>
      <c r="Q561" s="55">
        <f t="shared" si="230"/>
        <v>0</v>
      </c>
    </row>
    <row r="562" spans="1:17" x14ac:dyDescent="0.2">
      <c r="A562" s="72">
        <v>48</v>
      </c>
      <c r="B562" s="59">
        <v>552</v>
      </c>
      <c r="C562" s="40">
        <f t="shared" si="228"/>
        <v>0</v>
      </c>
      <c r="D562" s="40">
        <f t="shared" si="228"/>
        <v>0</v>
      </c>
      <c r="E562" s="40">
        <f t="shared" si="228"/>
        <v>0</v>
      </c>
      <c r="F562" s="40">
        <f t="shared" si="228"/>
        <v>0</v>
      </c>
      <c r="G562" s="40">
        <f t="shared" si="230"/>
        <v>0</v>
      </c>
      <c r="H562" s="40">
        <f t="shared" si="230"/>
        <v>0</v>
      </c>
      <c r="I562" s="104">
        <f t="shared" si="230"/>
        <v>0</v>
      </c>
      <c r="J562" s="104">
        <f t="shared" si="230"/>
        <v>0</v>
      </c>
      <c r="K562" s="104">
        <f t="shared" si="230"/>
        <v>0</v>
      </c>
      <c r="L562" s="104">
        <f t="shared" si="230"/>
        <v>0</v>
      </c>
      <c r="M562" s="104">
        <f t="shared" si="230"/>
        <v>0</v>
      </c>
      <c r="N562" s="104">
        <f t="shared" si="230"/>
        <v>0</v>
      </c>
      <c r="O562" s="55">
        <f t="shared" si="230"/>
        <v>0</v>
      </c>
      <c r="P562" s="55">
        <f t="shared" si="230"/>
        <v>0</v>
      </c>
      <c r="Q562" s="55">
        <f t="shared" si="230"/>
        <v>0</v>
      </c>
    </row>
    <row r="563" spans="1:17" x14ac:dyDescent="0.2">
      <c r="A563" s="72">
        <v>49</v>
      </c>
      <c r="B563" s="59">
        <v>553</v>
      </c>
      <c r="C563" s="40">
        <f t="shared" si="228"/>
        <v>0</v>
      </c>
      <c r="D563" s="40">
        <f t="shared" si="228"/>
        <v>0</v>
      </c>
      <c r="E563" s="40">
        <f t="shared" si="228"/>
        <v>0</v>
      </c>
      <c r="F563" s="40">
        <f t="shared" si="228"/>
        <v>0</v>
      </c>
      <c r="G563" s="40">
        <f t="shared" ref="G563:Q578" si="231">G59</f>
        <v>0</v>
      </c>
      <c r="H563" s="40">
        <f t="shared" si="231"/>
        <v>0</v>
      </c>
      <c r="I563" s="104">
        <f t="shared" si="231"/>
        <v>0</v>
      </c>
      <c r="J563" s="104">
        <f t="shared" si="231"/>
        <v>0</v>
      </c>
      <c r="K563" s="104">
        <f t="shared" si="231"/>
        <v>0</v>
      </c>
      <c r="L563" s="104">
        <f t="shared" si="231"/>
        <v>0</v>
      </c>
      <c r="M563" s="104">
        <f t="shared" si="231"/>
        <v>0</v>
      </c>
      <c r="N563" s="104">
        <f t="shared" si="231"/>
        <v>0</v>
      </c>
      <c r="O563" s="55">
        <f t="shared" si="231"/>
        <v>0</v>
      </c>
      <c r="P563" s="55">
        <f t="shared" si="231"/>
        <v>0</v>
      </c>
      <c r="Q563" s="55">
        <f t="shared" si="231"/>
        <v>0</v>
      </c>
    </row>
    <row r="564" spans="1:17" x14ac:dyDescent="0.2">
      <c r="A564" s="72">
        <v>50</v>
      </c>
      <c r="B564" s="59">
        <v>554</v>
      </c>
      <c r="C564" s="40">
        <f t="shared" si="228"/>
        <v>0</v>
      </c>
      <c r="D564" s="40">
        <f t="shared" si="228"/>
        <v>0</v>
      </c>
      <c r="E564" s="40">
        <f t="shared" si="228"/>
        <v>0</v>
      </c>
      <c r="F564" s="40">
        <f t="shared" si="228"/>
        <v>0</v>
      </c>
      <c r="G564" s="40">
        <f t="shared" si="231"/>
        <v>0</v>
      </c>
      <c r="H564" s="40">
        <f t="shared" si="231"/>
        <v>0</v>
      </c>
      <c r="I564" s="104">
        <f t="shared" si="231"/>
        <v>0</v>
      </c>
      <c r="J564" s="104">
        <f t="shared" si="231"/>
        <v>0</v>
      </c>
      <c r="K564" s="104">
        <f t="shared" si="231"/>
        <v>0</v>
      </c>
      <c r="L564" s="104">
        <f t="shared" si="231"/>
        <v>0</v>
      </c>
      <c r="M564" s="104">
        <f t="shared" si="231"/>
        <v>0</v>
      </c>
      <c r="N564" s="104">
        <f t="shared" si="231"/>
        <v>0</v>
      </c>
      <c r="O564" s="55">
        <f t="shared" si="231"/>
        <v>0</v>
      </c>
      <c r="P564" s="55">
        <f t="shared" si="231"/>
        <v>0</v>
      </c>
      <c r="Q564" s="55">
        <f t="shared" si="231"/>
        <v>0</v>
      </c>
    </row>
    <row r="565" spans="1:17" x14ac:dyDescent="0.2">
      <c r="A565" s="72">
        <v>51</v>
      </c>
      <c r="B565" s="59">
        <v>555</v>
      </c>
      <c r="C565" s="40">
        <f t="shared" si="228"/>
        <v>0</v>
      </c>
      <c r="D565" s="40">
        <f t="shared" si="228"/>
        <v>0</v>
      </c>
      <c r="E565" s="40">
        <f t="shared" si="228"/>
        <v>0</v>
      </c>
      <c r="F565" s="40">
        <f t="shared" si="228"/>
        <v>0</v>
      </c>
      <c r="G565" s="40">
        <f t="shared" si="231"/>
        <v>0</v>
      </c>
      <c r="H565" s="40">
        <f t="shared" si="231"/>
        <v>0</v>
      </c>
      <c r="I565" s="104">
        <f t="shared" si="231"/>
        <v>0</v>
      </c>
      <c r="J565" s="104">
        <f t="shared" si="231"/>
        <v>0</v>
      </c>
      <c r="K565" s="104">
        <f t="shared" si="231"/>
        <v>0</v>
      </c>
      <c r="L565" s="104">
        <f t="shared" si="231"/>
        <v>0</v>
      </c>
      <c r="M565" s="104">
        <f t="shared" si="231"/>
        <v>0</v>
      </c>
      <c r="N565" s="104">
        <f t="shared" si="231"/>
        <v>0</v>
      </c>
      <c r="O565" s="55">
        <f t="shared" si="231"/>
        <v>0</v>
      </c>
      <c r="P565" s="55">
        <f t="shared" si="231"/>
        <v>0</v>
      </c>
      <c r="Q565" s="55">
        <f t="shared" si="231"/>
        <v>0</v>
      </c>
    </row>
    <row r="566" spans="1:17" x14ac:dyDescent="0.2">
      <c r="A566" s="72">
        <v>52</v>
      </c>
      <c r="B566" s="59">
        <v>556</v>
      </c>
      <c r="C566" s="40">
        <f t="shared" si="228"/>
        <v>0</v>
      </c>
      <c r="D566" s="40">
        <f t="shared" si="228"/>
        <v>0</v>
      </c>
      <c r="E566" s="40">
        <f t="shared" si="228"/>
        <v>0</v>
      </c>
      <c r="F566" s="40">
        <f t="shared" si="228"/>
        <v>0</v>
      </c>
      <c r="G566" s="40">
        <f t="shared" si="231"/>
        <v>0</v>
      </c>
      <c r="H566" s="40">
        <f t="shared" si="231"/>
        <v>0</v>
      </c>
      <c r="I566" s="104">
        <f t="shared" si="231"/>
        <v>0</v>
      </c>
      <c r="J566" s="104">
        <f t="shared" si="231"/>
        <v>0</v>
      </c>
      <c r="K566" s="104">
        <f t="shared" si="231"/>
        <v>0</v>
      </c>
      <c r="L566" s="104">
        <f t="shared" si="231"/>
        <v>0</v>
      </c>
      <c r="M566" s="104">
        <f t="shared" si="231"/>
        <v>0</v>
      </c>
      <c r="N566" s="104">
        <f t="shared" si="231"/>
        <v>0</v>
      </c>
      <c r="O566" s="55">
        <f t="shared" si="231"/>
        <v>0</v>
      </c>
      <c r="P566" s="55">
        <f t="shared" si="231"/>
        <v>0</v>
      </c>
      <c r="Q566" s="55">
        <f t="shared" si="231"/>
        <v>0</v>
      </c>
    </row>
    <row r="567" spans="1:17" x14ac:dyDescent="0.2">
      <c r="A567" s="72">
        <v>53</v>
      </c>
      <c r="B567" s="59">
        <v>557</v>
      </c>
      <c r="C567" s="40">
        <f t="shared" si="228"/>
        <v>0</v>
      </c>
      <c r="D567" s="40">
        <f t="shared" si="228"/>
        <v>0</v>
      </c>
      <c r="E567" s="40">
        <f t="shared" si="228"/>
        <v>0</v>
      </c>
      <c r="F567" s="40">
        <f t="shared" si="228"/>
        <v>0</v>
      </c>
      <c r="G567" s="40">
        <f t="shared" si="231"/>
        <v>0</v>
      </c>
      <c r="H567" s="40">
        <f t="shared" si="231"/>
        <v>0</v>
      </c>
      <c r="I567" s="104">
        <f t="shared" si="231"/>
        <v>0</v>
      </c>
      <c r="J567" s="104">
        <f t="shared" si="231"/>
        <v>0</v>
      </c>
      <c r="K567" s="104">
        <f t="shared" si="231"/>
        <v>0</v>
      </c>
      <c r="L567" s="104">
        <f t="shared" si="231"/>
        <v>0</v>
      </c>
      <c r="M567" s="104">
        <f t="shared" si="231"/>
        <v>0</v>
      </c>
      <c r="N567" s="104">
        <f t="shared" si="231"/>
        <v>0</v>
      </c>
      <c r="O567" s="55">
        <f t="shared" si="231"/>
        <v>0</v>
      </c>
      <c r="P567" s="55">
        <f t="shared" si="231"/>
        <v>0</v>
      </c>
      <c r="Q567" s="55">
        <f t="shared" si="231"/>
        <v>0</v>
      </c>
    </row>
    <row r="568" spans="1:17" x14ac:dyDescent="0.2">
      <c r="A568" s="72">
        <v>54</v>
      </c>
      <c r="B568" s="59">
        <v>558</v>
      </c>
      <c r="C568" s="40">
        <f t="shared" si="228"/>
        <v>0</v>
      </c>
      <c r="D568" s="40">
        <f t="shared" si="228"/>
        <v>0</v>
      </c>
      <c r="E568" s="40">
        <f t="shared" si="228"/>
        <v>0</v>
      </c>
      <c r="F568" s="40">
        <f t="shared" si="228"/>
        <v>0</v>
      </c>
      <c r="G568" s="40">
        <f t="shared" si="231"/>
        <v>0</v>
      </c>
      <c r="H568" s="40">
        <f t="shared" si="231"/>
        <v>0</v>
      </c>
      <c r="I568" s="104">
        <f t="shared" si="231"/>
        <v>0</v>
      </c>
      <c r="J568" s="104">
        <f t="shared" si="231"/>
        <v>0</v>
      </c>
      <c r="K568" s="104">
        <f t="shared" si="231"/>
        <v>0</v>
      </c>
      <c r="L568" s="104">
        <f t="shared" si="231"/>
        <v>0</v>
      </c>
      <c r="M568" s="104">
        <f t="shared" si="231"/>
        <v>0</v>
      </c>
      <c r="N568" s="104">
        <f t="shared" si="231"/>
        <v>0</v>
      </c>
      <c r="O568" s="55">
        <f t="shared" si="231"/>
        <v>0</v>
      </c>
      <c r="P568" s="55">
        <f t="shared" si="231"/>
        <v>0</v>
      </c>
      <c r="Q568" s="55">
        <f t="shared" si="231"/>
        <v>0</v>
      </c>
    </row>
    <row r="569" spans="1:17" x14ac:dyDescent="0.2">
      <c r="A569" s="72">
        <v>55</v>
      </c>
      <c r="B569" s="59">
        <v>559</v>
      </c>
      <c r="C569" s="40">
        <f t="shared" si="228"/>
        <v>3.4332694957598457</v>
      </c>
      <c r="D569" s="40">
        <f t="shared" si="228"/>
        <v>1.8717327794185254</v>
      </c>
      <c r="E569" s="40">
        <f t="shared" si="228"/>
        <v>0.32981104388639787</v>
      </c>
      <c r="F569" s="40">
        <f t="shared" si="228"/>
        <v>0.74636293386083608</v>
      </c>
      <c r="G569" s="40">
        <f t="shared" si="231"/>
        <v>0.34817321475331586</v>
      </c>
      <c r="H569" s="40">
        <f t="shared" si="231"/>
        <v>5.4355139759513407E-2</v>
      </c>
      <c r="I569" s="104">
        <f t="shared" si="231"/>
        <v>0.36139678902735217</v>
      </c>
      <c r="J569" s="104">
        <f t="shared" si="231"/>
        <v>0.1970245030966869</v>
      </c>
      <c r="K569" s="104">
        <f t="shared" si="231"/>
        <v>3.471695198804188E-2</v>
      </c>
      <c r="L569" s="104">
        <f t="shared" si="231"/>
        <v>0.48220077187638283</v>
      </c>
      <c r="M569" s="104">
        <f t="shared" si="231"/>
        <v>0.26288381733406258</v>
      </c>
      <c r="N569" s="104">
        <f t="shared" si="231"/>
        <v>4.6321775826741275E-2</v>
      </c>
      <c r="O569" s="55">
        <f t="shared" si="231"/>
        <v>0.38224352251574223</v>
      </c>
      <c r="P569" s="55">
        <f t="shared" si="231"/>
        <v>0.21957685264482196</v>
      </c>
      <c r="Q569" s="55">
        <f t="shared" si="231"/>
        <v>4.6321775826741275E-2</v>
      </c>
    </row>
    <row r="570" spans="1:17" x14ac:dyDescent="0.2">
      <c r="A570" s="72">
        <v>56</v>
      </c>
      <c r="B570" s="59">
        <v>560</v>
      </c>
      <c r="C570" s="40">
        <f t="shared" si="228"/>
        <v>3.4332694957598457</v>
      </c>
      <c r="D570" s="40">
        <f t="shared" si="228"/>
        <v>1.8717327794185254</v>
      </c>
      <c r="E570" s="40">
        <f t="shared" si="228"/>
        <v>0.32981104388639787</v>
      </c>
      <c r="F570" s="40">
        <f t="shared" si="228"/>
        <v>0.74636293386083608</v>
      </c>
      <c r="G570" s="40">
        <f t="shared" si="231"/>
        <v>0.34817321475331586</v>
      </c>
      <c r="H570" s="40">
        <f t="shared" si="231"/>
        <v>5.4355139759513407E-2</v>
      </c>
      <c r="I570" s="104">
        <f t="shared" si="231"/>
        <v>0.36139678902735217</v>
      </c>
      <c r="J570" s="104">
        <f t="shared" si="231"/>
        <v>0.1970245030966869</v>
      </c>
      <c r="K570" s="104">
        <f t="shared" si="231"/>
        <v>3.471695198804188E-2</v>
      </c>
      <c r="L570" s="104">
        <f t="shared" si="231"/>
        <v>0.48220077187638283</v>
      </c>
      <c r="M570" s="104">
        <f t="shared" si="231"/>
        <v>0.26288381733406258</v>
      </c>
      <c r="N570" s="104">
        <f t="shared" si="231"/>
        <v>4.6321775826741275E-2</v>
      </c>
      <c r="O570" s="55">
        <f t="shared" si="231"/>
        <v>0.38224352251574223</v>
      </c>
      <c r="P570" s="55">
        <f t="shared" si="231"/>
        <v>0.21957685264482196</v>
      </c>
      <c r="Q570" s="55">
        <f t="shared" si="231"/>
        <v>4.6321775826741275E-2</v>
      </c>
    </row>
    <row r="571" spans="1:17" x14ac:dyDescent="0.2">
      <c r="A571" s="72">
        <v>57</v>
      </c>
      <c r="B571" s="59">
        <v>561</v>
      </c>
      <c r="C571" s="40">
        <f t="shared" si="228"/>
        <v>0</v>
      </c>
      <c r="D571" s="40">
        <f t="shared" si="228"/>
        <v>0</v>
      </c>
      <c r="E571" s="40">
        <f t="shared" si="228"/>
        <v>0</v>
      </c>
      <c r="F571" s="40">
        <f t="shared" si="228"/>
        <v>0</v>
      </c>
      <c r="G571" s="40">
        <f t="shared" si="231"/>
        <v>0</v>
      </c>
      <c r="H571" s="40">
        <f t="shared" si="231"/>
        <v>0</v>
      </c>
      <c r="I571" s="104">
        <f t="shared" si="231"/>
        <v>0</v>
      </c>
      <c r="J571" s="104">
        <f t="shared" si="231"/>
        <v>0</v>
      </c>
      <c r="K571" s="104">
        <f t="shared" si="231"/>
        <v>0</v>
      </c>
      <c r="L571" s="104">
        <f t="shared" si="231"/>
        <v>0</v>
      </c>
      <c r="M571" s="104">
        <f t="shared" si="231"/>
        <v>0</v>
      </c>
      <c r="N571" s="104">
        <f t="shared" si="231"/>
        <v>0</v>
      </c>
      <c r="O571" s="55">
        <f t="shared" si="231"/>
        <v>0</v>
      </c>
      <c r="P571" s="55">
        <f t="shared" si="231"/>
        <v>0</v>
      </c>
      <c r="Q571" s="55">
        <f t="shared" si="231"/>
        <v>0</v>
      </c>
    </row>
    <row r="572" spans="1:17" x14ac:dyDescent="0.2">
      <c r="A572" s="72">
        <v>58</v>
      </c>
      <c r="B572" s="59">
        <v>562</v>
      </c>
      <c r="C572" s="40">
        <f t="shared" si="228"/>
        <v>0</v>
      </c>
      <c r="D572" s="40">
        <f t="shared" si="228"/>
        <v>0</v>
      </c>
      <c r="E572" s="40">
        <f t="shared" si="228"/>
        <v>0</v>
      </c>
      <c r="F572" s="40">
        <f t="shared" si="228"/>
        <v>0</v>
      </c>
      <c r="G572" s="40">
        <f t="shared" si="231"/>
        <v>0</v>
      </c>
      <c r="H572" s="40">
        <f t="shared" si="231"/>
        <v>0</v>
      </c>
      <c r="I572" s="104">
        <f t="shared" si="231"/>
        <v>0</v>
      </c>
      <c r="J572" s="104">
        <f t="shared" si="231"/>
        <v>0</v>
      </c>
      <c r="K572" s="104">
        <f t="shared" si="231"/>
        <v>0</v>
      </c>
      <c r="L572" s="104">
        <f t="shared" si="231"/>
        <v>0</v>
      </c>
      <c r="M572" s="104">
        <f t="shared" si="231"/>
        <v>0</v>
      </c>
      <c r="N572" s="104">
        <f t="shared" si="231"/>
        <v>0</v>
      </c>
      <c r="O572" s="55">
        <f t="shared" si="231"/>
        <v>0</v>
      </c>
      <c r="P572" s="55">
        <f t="shared" si="231"/>
        <v>0</v>
      </c>
      <c r="Q572" s="55">
        <f t="shared" si="231"/>
        <v>0</v>
      </c>
    </row>
    <row r="573" spans="1:17" x14ac:dyDescent="0.2">
      <c r="A573" s="72">
        <v>59</v>
      </c>
      <c r="B573" s="59">
        <v>563</v>
      </c>
      <c r="C573" s="40">
        <f t="shared" si="228"/>
        <v>0</v>
      </c>
      <c r="D573" s="40">
        <f t="shared" si="228"/>
        <v>0</v>
      </c>
      <c r="E573" s="40">
        <f t="shared" si="228"/>
        <v>0</v>
      </c>
      <c r="F573" s="40">
        <f t="shared" si="228"/>
        <v>0</v>
      </c>
      <c r="G573" s="40">
        <f t="shared" si="231"/>
        <v>0</v>
      </c>
      <c r="H573" s="40">
        <f t="shared" si="231"/>
        <v>0</v>
      </c>
      <c r="I573" s="104">
        <f t="shared" si="231"/>
        <v>0</v>
      </c>
      <c r="J573" s="104">
        <f t="shared" si="231"/>
        <v>0</v>
      </c>
      <c r="K573" s="104">
        <f t="shared" si="231"/>
        <v>0</v>
      </c>
      <c r="L573" s="104">
        <f t="shared" si="231"/>
        <v>0</v>
      </c>
      <c r="M573" s="104">
        <f t="shared" si="231"/>
        <v>0</v>
      </c>
      <c r="N573" s="104">
        <f t="shared" si="231"/>
        <v>0</v>
      </c>
      <c r="O573" s="55">
        <f t="shared" si="231"/>
        <v>0</v>
      </c>
      <c r="P573" s="55">
        <f t="shared" si="231"/>
        <v>0</v>
      </c>
      <c r="Q573" s="55">
        <f t="shared" si="231"/>
        <v>0</v>
      </c>
    </row>
    <row r="574" spans="1:17" x14ac:dyDescent="0.2">
      <c r="A574" s="72">
        <v>60</v>
      </c>
      <c r="B574" s="59">
        <v>564</v>
      </c>
      <c r="C574" s="40">
        <f t="shared" si="228"/>
        <v>0</v>
      </c>
      <c r="D574" s="40">
        <f t="shared" si="228"/>
        <v>0</v>
      </c>
      <c r="E574" s="40">
        <f t="shared" si="228"/>
        <v>0</v>
      </c>
      <c r="F574" s="40">
        <f t="shared" si="228"/>
        <v>0</v>
      </c>
      <c r="G574" s="40">
        <f t="shared" si="231"/>
        <v>0</v>
      </c>
      <c r="H574" s="40">
        <f t="shared" si="231"/>
        <v>0</v>
      </c>
      <c r="I574" s="104">
        <f t="shared" si="231"/>
        <v>0</v>
      </c>
      <c r="J574" s="104">
        <f t="shared" si="231"/>
        <v>0</v>
      </c>
      <c r="K574" s="104">
        <f t="shared" si="231"/>
        <v>0</v>
      </c>
      <c r="L574" s="104">
        <f t="shared" si="231"/>
        <v>0</v>
      </c>
      <c r="M574" s="104">
        <f t="shared" si="231"/>
        <v>0</v>
      </c>
      <c r="N574" s="104">
        <f t="shared" si="231"/>
        <v>0</v>
      </c>
      <c r="O574" s="55">
        <f t="shared" si="231"/>
        <v>0</v>
      </c>
      <c r="P574" s="55">
        <f t="shared" si="231"/>
        <v>0</v>
      </c>
      <c r="Q574" s="55">
        <f t="shared" si="231"/>
        <v>0</v>
      </c>
    </row>
    <row r="575" spans="1:17" x14ac:dyDescent="0.2">
      <c r="A575" s="72">
        <v>61</v>
      </c>
      <c r="B575" s="59">
        <v>565</v>
      </c>
      <c r="C575" s="40">
        <f t="shared" si="228"/>
        <v>0</v>
      </c>
      <c r="D575" s="40">
        <f t="shared" si="228"/>
        <v>0</v>
      </c>
      <c r="E575" s="40">
        <f t="shared" si="228"/>
        <v>0</v>
      </c>
      <c r="F575" s="40">
        <f t="shared" si="228"/>
        <v>0</v>
      </c>
      <c r="G575" s="40">
        <f t="shared" si="231"/>
        <v>0</v>
      </c>
      <c r="H575" s="40">
        <f t="shared" si="231"/>
        <v>0</v>
      </c>
      <c r="I575" s="104">
        <f t="shared" si="231"/>
        <v>0</v>
      </c>
      <c r="J575" s="104">
        <f t="shared" si="231"/>
        <v>0</v>
      </c>
      <c r="K575" s="104">
        <f t="shared" si="231"/>
        <v>0</v>
      </c>
      <c r="L575" s="104">
        <f t="shared" si="231"/>
        <v>0</v>
      </c>
      <c r="M575" s="104">
        <f t="shared" si="231"/>
        <v>0</v>
      </c>
      <c r="N575" s="104">
        <f t="shared" si="231"/>
        <v>0</v>
      </c>
      <c r="O575" s="55">
        <f t="shared" si="231"/>
        <v>0</v>
      </c>
      <c r="P575" s="55">
        <f t="shared" si="231"/>
        <v>0</v>
      </c>
      <c r="Q575" s="55">
        <f t="shared" si="231"/>
        <v>0</v>
      </c>
    </row>
    <row r="576" spans="1:17" x14ac:dyDescent="0.2">
      <c r="A576" s="72">
        <v>62</v>
      </c>
      <c r="B576" s="59">
        <v>566</v>
      </c>
      <c r="C576" s="40">
        <f t="shared" si="228"/>
        <v>0</v>
      </c>
      <c r="D576" s="40">
        <f t="shared" si="228"/>
        <v>0</v>
      </c>
      <c r="E576" s="40">
        <f t="shared" si="228"/>
        <v>0</v>
      </c>
      <c r="F576" s="40">
        <f t="shared" si="228"/>
        <v>0</v>
      </c>
      <c r="G576" s="40">
        <f t="shared" si="231"/>
        <v>0</v>
      </c>
      <c r="H576" s="40">
        <f t="shared" si="231"/>
        <v>0</v>
      </c>
      <c r="I576" s="104">
        <f t="shared" si="231"/>
        <v>0</v>
      </c>
      <c r="J576" s="104">
        <f t="shared" si="231"/>
        <v>0</v>
      </c>
      <c r="K576" s="104">
        <f t="shared" si="231"/>
        <v>0</v>
      </c>
      <c r="L576" s="104">
        <f t="shared" si="231"/>
        <v>0</v>
      </c>
      <c r="M576" s="104">
        <f t="shared" si="231"/>
        <v>0</v>
      </c>
      <c r="N576" s="104">
        <f t="shared" si="231"/>
        <v>0</v>
      </c>
      <c r="O576" s="55">
        <f t="shared" si="231"/>
        <v>0</v>
      </c>
      <c r="P576" s="55">
        <f t="shared" si="231"/>
        <v>0</v>
      </c>
      <c r="Q576" s="55">
        <f t="shared" si="231"/>
        <v>0</v>
      </c>
    </row>
    <row r="577" spans="1:17" x14ac:dyDescent="0.2">
      <c r="A577" s="72">
        <v>63</v>
      </c>
      <c r="B577" s="59">
        <v>567</v>
      </c>
      <c r="C577" s="40">
        <f t="shared" si="228"/>
        <v>0</v>
      </c>
      <c r="D577" s="40">
        <f t="shared" si="228"/>
        <v>0</v>
      </c>
      <c r="E577" s="40">
        <f t="shared" si="228"/>
        <v>0</v>
      </c>
      <c r="F577" s="40">
        <f t="shared" si="228"/>
        <v>0</v>
      </c>
      <c r="G577" s="40">
        <f t="shared" si="231"/>
        <v>0</v>
      </c>
      <c r="H577" s="40">
        <f t="shared" si="231"/>
        <v>0</v>
      </c>
      <c r="I577" s="104">
        <f t="shared" si="231"/>
        <v>0</v>
      </c>
      <c r="J577" s="104">
        <f t="shared" si="231"/>
        <v>0</v>
      </c>
      <c r="K577" s="104">
        <f t="shared" si="231"/>
        <v>0</v>
      </c>
      <c r="L577" s="104">
        <f t="shared" si="231"/>
        <v>0</v>
      </c>
      <c r="M577" s="104">
        <f t="shared" si="231"/>
        <v>0</v>
      </c>
      <c r="N577" s="104">
        <f t="shared" si="231"/>
        <v>0</v>
      </c>
      <c r="O577" s="55">
        <f t="shared" si="231"/>
        <v>0</v>
      </c>
      <c r="P577" s="55">
        <f t="shared" si="231"/>
        <v>0</v>
      </c>
      <c r="Q577" s="55">
        <f t="shared" si="231"/>
        <v>0</v>
      </c>
    </row>
    <row r="578" spans="1:17" x14ac:dyDescent="0.2">
      <c r="A578" s="72">
        <v>64</v>
      </c>
      <c r="B578" s="59">
        <v>568</v>
      </c>
      <c r="C578" s="40">
        <f t="shared" si="228"/>
        <v>3.4332694957598457</v>
      </c>
      <c r="D578" s="40">
        <f t="shared" si="228"/>
        <v>1.8717327794185254</v>
      </c>
      <c r="E578" s="40">
        <f t="shared" si="228"/>
        <v>0.32981104388639787</v>
      </c>
      <c r="F578" s="40">
        <f t="shared" si="228"/>
        <v>0.74636293386083608</v>
      </c>
      <c r="G578" s="40">
        <f t="shared" si="231"/>
        <v>0.34817321475331586</v>
      </c>
      <c r="H578" s="40">
        <f t="shared" si="231"/>
        <v>5.4355139759513407E-2</v>
      </c>
      <c r="I578" s="104">
        <f t="shared" si="231"/>
        <v>0.36139678902735217</v>
      </c>
      <c r="J578" s="104">
        <f t="shared" si="231"/>
        <v>0.1970245030966869</v>
      </c>
      <c r="K578" s="104">
        <f t="shared" si="231"/>
        <v>3.471695198804188E-2</v>
      </c>
      <c r="L578" s="104">
        <f t="shared" si="231"/>
        <v>0.48220077187638283</v>
      </c>
      <c r="M578" s="104">
        <f t="shared" si="231"/>
        <v>0.26288381733406258</v>
      </c>
      <c r="N578" s="104">
        <f t="shared" si="231"/>
        <v>4.6321775826741275E-2</v>
      </c>
      <c r="O578" s="55">
        <f t="shared" si="231"/>
        <v>0.38224352251574223</v>
      </c>
      <c r="P578" s="55">
        <f t="shared" si="231"/>
        <v>0.21957685264482196</v>
      </c>
      <c r="Q578" s="55">
        <f t="shared" si="231"/>
        <v>4.6321775826741275E-2</v>
      </c>
    </row>
    <row r="579" spans="1:17" x14ac:dyDescent="0.2">
      <c r="A579" s="72">
        <v>65</v>
      </c>
      <c r="B579" s="59">
        <v>569</v>
      </c>
      <c r="C579" s="40">
        <f t="shared" si="228"/>
        <v>3.4332694957598457</v>
      </c>
      <c r="D579" s="40">
        <f t="shared" si="228"/>
        <v>1.8717327794185254</v>
      </c>
      <c r="E579" s="40">
        <f t="shared" si="228"/>
        <v>0.32981104388639787</v>
      </c>
      <c r="F579" s="40">
        <f t="shared" ref="F579:K642" si="232">F75</f>
        <v>0.74636293386083608</v>
      </c>
      <c r="G579" s="40">
        <f t="shared" si="232"/>
        <v>0.34817321475331586</v>
      </c>
      <c r="H579" s="40">
        <f t="shared" si="232"/>
        <v>5.4355139759513407E-2</v>
      </c>
      <c r="I579" s="104">
        <f t="shared" si="232"/>
        <v>0.36139678902735217</v>
      </c>
      <c r="J579" s="104">
        <f t="shared" si="232"/>
        <v>0.1970245030966869</v>
      </c>
      <c r="K579" s="104">
        <f t="shared" si="232"/>
        <v>3.471695198804188E-2</v>
      </c>
      <c r="L579" s="104">
        <f t="shared" ref="L579:Q579" si="233">L75</f>
        <v>0.48220077187638283</v>
      </c>
      <c r="M579" s="104">
        <f t="shared" si="233"/>
        <v>0.26288381733406258</v>
      </c>
      <c r="N579" s="104">
        <f t="shared" si="233"/>
        <v>4.6321775826741275E-2</v>
      </c>
      <c r="O579" s="55">
        <f t="shared" si="233"/>
        <v>0.38224352251574223</v>
      </c>
      <c r="P579" s="55">
        <f t="shared" si="233"/>
        <v>0.21957685264482196</v>
      </c>
      <c r="Q579" s="55">
        <f t="shared" si="233"/>
        <v>4.6321775826741275E-2</v>
      </c>
    </row>
    <row r="580" spans="1:17" x14ac:dyDescent="0.2">
      <c r="A580" s="72">
        <v>66</v>
      </c>
      <c r="B580" s="59">
        <v>570</v>
      </c>
      <c r="C580" s="40">
        <f t="shared" ref="C580:F643" si="234">C76</f>
        <v>3.4332694957598457</v>
      </c>
      <c r="D580" s="40">
        <f t="shared" si="234"/>
        <v>1.8717327794185254</v>
      </c>
      <c r="E580" s="40">
        <f t="shared" si="234"/>
        <v>0.32981104388639787</v>
      </c>
      <c r="F580" s="40">
        <f t="shared" si="232"/>
        <v>0.74636293386083608</v>
      </c>
      <c r="G580" s="40">
        <f t="shared" si="232"/>
        <v>0.34817321475331586</v>
      </c>
      <c r="H580" s="40">
        <f t="shared" si="232"/>
        <v>5.4355139759513407E-2</v>
      </c>
      <c r="I580" s="104">
        <f t="shared" si="232"/>
        <v>0.36139678902735217</v>
      </c>
      <c r="J580" s="104">
        <f t="shared" si="232"/>
        <v>0.1970245030966869</v>
      </c>
      <c r="K580" s="104">
        <f t="shared" si="232"/>
        <v>3.471695198804188E-2</v>
      </c>
      <c r="L580" s="104">
        <f t="shared" ref="L580:Q580" si="235">L76</f>
        <v>0.48220077187638283</v>
      </c>
      <c r="M580" s="104">
        <f t="shared" si="235"/>
        <v>0.26288381733406258</v>
      </c>
      <c r="N580" s="104">
        <f t="shared" si="235"/>
        <v>4.6321775826741275E-2</v>
      </c>
      <c r="O580" s="55">
        <f t="shared" si="235"/>
        <v>0.38224352251574223</v>
      </c>
      <c r="P580" s="55">
        <f t="shared" si="235"/>
        <v>0.21957685264482196</v>
      </c>
      <c r="Q580" s="55">
        <f t="shared" si="235"/>
        <v>4.6321775826741275E-2</v>
      </c>
    </row>
    <row r="581" spans="1:17" x14ac:dyDescent="0.2">
      <c r="A581" s="72">
        <v>67</v>
      </c>
      <c r="B581" s="59">
        <v>571</v>
      </c>
      <c r="C581" s="40">
        <f t="shared" si="234"/>
        <v>3.4332694957598457</v>
      </c>
      <c r="D581" s="40">
        <f t="shared" si="234"/>
        <v>1.8717327794185254</v>
      </c>
      <c r="E581" s="40">
        <f t="shared" si="234"/>
        <v>0.32981104388639787</v>
      </c>
      <c r="F581" s="40">
        <f t="shared" si="232"/>
        <v>0.74636293386083608</v>
      </c>
      <c r="G581" s="40">
        <f t="shared" si="232"/>
        <v>0.34817321475331586</v>
      </c>
      <c r="H581" s="40">
        <f t="shared" si="232"/>
        <v>5.4355139759513407E-2</v>
      </c>
      <c r="I581" s="104">
        <f t="shared" si="232"/>
        <v>0.36139678902735217</v>
      </c>
      <c r="J581" s="104">
        <f t="shared" si="232"/>
        <v>0.1970245030966869</v>
      </c>
      <c r="K581" s="104">
        <f t="shared" si="232"/>
        <v>3.471695198804188E-2</v>
      </c>
      <c r="L581" s="104">
        <f t="shared" ref="L581:Q581" si="236">L77</f>
        <v>0.48220077187638283</v>
      </c>
      <c r="M581" s="104">
        <f t="shared" si="236"/>
        <v>0.26288381733406258</v>
      </c>
      <c r="N581" s="104">
        <f t="shared" si="236"/>
        <v>4.6321775826741275E-2</v>
      </c>
      <c r="O581" s="55">
        <f t="shared" si="236"/>
        <v>0.38224352251574223</v>
      </c>
      <c r="P581" s="55">
        <f t="shared" si="236"/>
        <v>0.21957685264482196</v>
      </c>
      <c r="Q581" s="55">
        <f t="shared" si="236"/>
        <v>4.6321775826741275E-2</v>
      </c>
    </row>
    <row r="582" spans="1:17" x14ac:dyDescent="0.2">
      <c r="A582" s="72">
        <v>68</v>
      </c>
      <c r="B582" s="59">
        <v>572</v>
      </c>
      <c r="C582" s="40">
        <f t="shared" si="234"/>
        <v>3.4332694957598457</v>
      </c>
      <c r="D582" s="40">
        <f t="shared" si="234"/>
        <v>1.8717327794185254</v>
      </c>
      <c r="E582" s="40">
        <f t="shared" si="234"/>
        <v>0.32981104388639787</v>
      </c>
      <c r="F582" s="40">
        <f t="shared" si="232"/>
        <v>0.74636293386083608</v>
      </c>
      <c r="G582" s="40">
        <f t="shared" si="232"/>
        <v>0.34817321475331586</v>
      </c>
      <c r="H582" s="40">
        <f t="shared" si="232"/>
        <v>5.4355139759513407E-2</v>
      </c>
      <c r="I582" s="104">
        <f t="shared" si="232"/>
        <v>0.36139678902735217</v>
      </c>
      <c r="J582" s="104">
        <f t="shared" si="232"/>
        <v>0.1970245030966869</v>
      </c>
      <c r="K582" s="104">
        <f t="shared" si="232"/>
        <v>3.471695198804188E-2</v>
      </c>
      <c r="L582" s="104">
        <f t="shared" ref="L582:Q582" si="237">L78</f>
        <v>0.48220077187638283</v>
      </c>
      <c r="M582" s="104">
        <f t="shared" si="237"/>
        <v>0.26288381733406258</v>
      </c>
      <c r="N582" s="104">
        <f t="shared" si="237"/>
        <v>4.6321775826741275E-2</v>
      </c>
      <c r="O582" s="55">
        <f t="shared" si="237"/>
        <v>0.38224352251574223</v>
      </c>
      <c r="P582" s="55">
        <f t="shared" si="237"/>
        <v>0.21957685264482196</v>
      </c>
      <c r="Q582" s="55">
        <f t="shared" si="237"/>
        <v>4.6321775826741275E-2</v>
      </c>
    </row>
    <row r="583" spans="1:17" x14ac:dyDescent="0.2">
      <c r="A583" s="72">
        <v>69</v>
      </c>
      <c r="B583" s="59">
        <v>573</v>
      </c>
      <c r="C583" s="40">
        <f t="shared" si="234"/>
        <v>3.4332694957598457</v>
      </c>
      <c r="D583" s="40">
        <f t="shared" si="234"/>
        <v>1.8717327794185254</v>
      </c>
      <c r="E583" s="40">
        <f t="shared" si="234"/>
        <v>0.32981104388639787</v>
      </c>
      <c r="F583" s="40">
        <f t="shared" si="232"/>
        <v>0.74636293386083608</v>
      </c>
      <c r="G583" s="40">
        <f t="shared" si="232"/>
        <v>0.34817321475331586</v>
      </c>
      <c r="H583" s="40">
        <f t="shared" si="232"/>
        <v>5.4355139759513407E-2</v>
      </c>
      <c r="I583" s="104">
        <f t="shared" si="232"/>
        <v>0.36139678902735217</v>
      </c>
      <c r="J583" s="104">
        <f t="shared" si="232"/>
        <v>0.1970245030966869</v>
      </c>
      <c r="K583" s="104">
        <f t="shared" si="232"/>
        <v>3.471695198804188E-2</v>
      </c>
      <c r="L583" s="104">
        <f t="shared" ref="L583:Q583" si="238">L79</f>
        <v>0.48220077187638283</v>
      </c>
      <c r="M583" s="104">
        <f t="shared" si="238"/>
        <v>0.26288381733406258</v>
      </c>
      <c r="N583" s="104">
        <f t="shared" si="238"/>
        <v>4.6321775826741275E-2</v>
      </c>
      <c r="O583" s="55">
        <f t="shared" si="238"/>
        <v>0.38224352251574223</v>
      </c>
      <c r="P583" s="55">
        <f t="shared" si="238"/>
        <v>0.21957685264482196</v>
      </c>
      <c r="Q583" s="55">
        <f t="shared" si="238"/>
        <v>4.6321775826741275E-2</v>
      </c>
    </row>
    <row r="584" spans="1:17" x14ac:dyDescent="0.2">
      <c r="A584" s="72">
        <v>70</v>
      </c>
      <c r="B584" s="59">
        <v>574</v>
      </c>
      <c r="C584" s="40">
        <f t="shared" si="234"/>
        <v>3.4332694957598457</v>
      </c>
      <c r="D584" s="40">
        <f t="shared" si="234"/>
        <v>1.8717327794185254</v>
      </c>
      <c r="E584" s="40">
        <f t="shared" si="234"/>
        <v>0.32981104388639787</v>
      </c>
      <c r="F584" s="40">
        <f t="shared" si="232"/>
        <v>0.74636293386083608</v>
      </c>
      <c r="G584" s="40">
        <f t="shared" si="232"/>
        <v>0.34817321475331586</v>
      </c>
      <c r="H584" s="40">
        <f t="shared" si="232"/>
        <v>5.4355139759513407E-2</v>
      </c>
      <c r="I584" s="104">
        <f t="shared" si="232"/>
        <v>0.36139678902735217</v>
      </c>
      <c r="J584" s="104">
        <f t="shared" si="232"/>
        <v>0.1970245030966869</v>
      </c>
      <c r="K584" s="104">
        <f t="shared" si="232"/>
        <v>3.471695198804188E-2</v>
      </c>
      <c r="L584" s="104">
        <f t="shared" ref="L584:Q584" si="239">L80</f>
        <v>0.48220077187638283</v>
      </c>
      <c r="M584" s="104">
        <f t="shared" si="239"/>
        <v>0.26288381733406258</v>
      </c>
      <c r="N584" s="104">
        <f t="shared" si="239"/>
        <v>4.6321775826741275E-2</v>
      </c>
      <c r="O584" s="55">
        <f t="shared" si="239"/>
        <v>0.38224352251574223</v>
      </c>
      <c r="P584" s="55">
        <f t="shared" si="239"/>
        <v>0.21957685264482196</v>
      </c>
      <c r="Q584" s="55">
        <f t="shared" si="239"/>
        <v>4.6321775826741275E-2</v>
      </c>
    </row>
    <row r="585" spans="1:17" x14ac:dyDescent="0.2">
      <c r="A585" s="72">
        <v>71</v>
      </c>
      <c r="B585" s="59">
        <v>575</v>
      </c>
      <c r="C585" s="40">
        <f t="shared" si="234"/>
        <v>0</v>
      </c>
      <c r="D585" s="40">
        <f t="shared" si="234"/>
        <v>0</v>
      </c>
      <c r="E585" s="40">
        <f t="shared" si="234"/>
        <v>0</v>
      </c>
      <c r="F585" s="40">
        <f t="shared" si="232"/>
        <v>0</v>
      </c>
      <c r="G585" s="40">
        <f t="shared" si="232"/>
        <v>0</v>
      </c>
      <c r="H585" s="40">
        <f t="shared" si="232"/>
        <v>0</v>
      </c>
      <c r="I585" s="104">
        <f t="shared" si="232"/>
        <v>0</v>
      </c>
      <c r="J585" s="104">
        <f t="shared" si="232"/>
        <v>0</v>
      </c>
      <c r="K585" s="104">
        <f t="shared" si="232"/>
        <v>0</v>
      </c>
      <c r="L585" s="104">
        <f t="shared" ref="L585:Q585" si="240">L81</f>
        <v>0</v>
      </c>
      <c r="M585" s="104">
        <f t="shared" si="240"/>
        <v>0</v>
      </c>
      <c r="N585" s="104">
        <f t="shared" si="240"/>
        <v>0</v>
      </c>
      <c r="O585" s="55">
        <f t="shared" si="240"/>
        <v>0</v>
      </c>
      <c r="P585" s="55">
        <f t="shared" si="240"/>
        <v>0</v>
      </c>
      <c r="Q585" s="55">
        <f t="shared" si="240"/>
        <v>0</v>
      </c>
    </row>
    <row r="586" spans="1:17" x14ac:dyDescent="0.2">
      <c r="A586" s="72">
        <v>72</v>
      </c>
      <c r="B586" s="59">
        <v>576</v>
      </c>
      <c r="C586" s="40">
        <f t="shared" si="234"/>
        <v>0</v>
      </c>
      <c r="D586" s="40">
        <f t="shared" si="234"/>
        <v>0</v>
      </c>
      <c r="E586" s="40">
        <f t="shared" si="234"/>
        <v>0</v>
      </c>
      <c r="F586" s="40">
        <f t="shared" si="232"/>
        <v>0</v>
      </c>
      <c r="G586" s="40">
        <f t="shared" si="232"/>
        <v>0</v>
      </c>
      <c r="H586" s="40">
        <f t="shared" si="232"/>
        <v>0</v>
      </c>
      <c r="I586" s="104">
        <f t="shared" si="232"/>
        <v>0</v>
      </c>
      <c r="J586" s="104">
        <f t="shared" si="232"/>
        <v>0</v>
      </c>
      <c r="K586" s="104">
        <f t="shared" si="232"/>
        <v>0</v>
      </c>
      <c r="L586" s="104">
        <f t="shared" ref="L586:Q586" si="241">L82</f>
        <v>0</v>
      </c>
      <c r="M586" s="104">
        <f t="shared" si="241"/>
        <v>0</v>
      </c>
      <c r="N586" s="104">
        <f t="shared" si="241"/>
        <v>0</v>
      </c>
      <c r="O586" s="55">
        <f t="shared" si="241"/>
        <v>0</v>
      </c>
      <c r="P586" s="55">
        <f t="shared" si="241"/>
        <v>0</v>
      </c>
      <c r="Q586" s="55">
        <f t="shared" si="241"/>
        <v>0</v>
      </c>
    </row>
    <row r="587" spans="1:17" x14ac:dyDescent="0.2">
      <c r="A587" s="72">
        <v>73</v>
      </c>
      <c r="B587" s="59">
        <v>577</v>
      </c>
      <c r="C587" s="40">
        <f t="shared" si="234"/>
        <v>0</v>
      </c>
      <c r="D587" s="40">
        <f t="shared" si="234"/>
        <v>0</v>
      </c>
      <c r="E587" s="40">
        <f t="shared" si="234"/>
        <v>0</v>
      </c>
      <c r="F587" s="40">
        <f t="shared" si="232"/>
        <v>0</v>
      </c>
      <c r="G587" s="40">
        <f t="shared" si="232"/>
        <v>0</v>
      </c>
      <c r="H587" s="40">
        <f t="shared" si="232"/>
        <v>0</v>
      </c>
      <c r="I587" s="104">
        <f t="shared" si="232"/>
        <v>0</v>
      </c>
      <c r="J587" s="104">
        <f t="shared" si="232"/>
        <v>0</v>
      </c>
      <c r="K587" s="104">
        <f t="shared" si="232"/>
        <v>0</v>
      </c>
      <c r="L587" s="104">
        <f t="shared" ref="L587:Q587" si="242">L83</f>
        <v>0</v>
      </c>
      <c r="M587" s="104">
        <f t="shared" si="242"/>
        <v>0</v>
      </c>
      <c r="N587" s="104">
        <f t="shared" si="242"/>
        <v>0</v>
      </c>
      <c r="O587" s="55">
        <f t="shared" si="242"/>
        <v>0</v>
      </c>
      <c r="P587" s="55">
        <f t="shared" si="242"/>
        <v>0</v>
      </c>
      <c r="Q587" s="55">
        <f t="shared" si="242"/>
        <v>0</v>
      </c>
    </row>
    <row r="588" spans="1:17" x14ac:dyDescent="0.2">
      <c r="A588" s="72">
        <v>74</v>
      </c>
      <c r="B588" s="59">
        <v>578</v>
      </c>
      <c r="C588" s="40">
        <f t="shared" si="234"/>
        <v>0</v>
      </c>
      <c r="D588" s="40">
        <f t="shared" si="234"/>
        <v>0</v>
      </c>
      <c r="E588" s="40">
        <f t="shared" si="234"/>
        <v>0</v>
      </c>
      <c r="F588" s="40">
        <f t="shared" si="232"/>
        <v>0</v>
      </c>
      <c r="G588" s="40">
        <f t="shared" si="232"/>
        <v>0</v>
      </c>
      <c r="H588" s="40">
        <f t="shared" si="232"/>
        <v>0</v>
      </c>
      <c r="I588" s="104">
        <f t="shared" si="232"/>
        <v>0</v>
      </c>
      <c r="J588" s="104">
        <f t="shared" si="232"/>
        <v>0</v>
      </c>
      <c r="K588" s="104">
        <f t="shared" si="232"/>
        <v>0</v>
      </c>
      <c r="L588" s="104">
        <f t="shared" ref="L588:Q588" si="243">L84</f>
        <v>0</v>
      </c>
      <c r="M588" s="104">
        <f t="shared" si="243"/>
        <v>0</v>
      </c>
      <c r="N588" s="104">
        <f t="shared" si="243"/>
        <v>0</v>
      </c>
      <c r="O588" s="55">
        <f t="shared" si="243"/>
        <v>0</v>
      </c>
      <c r="P588" s="55">
        <f t="shared" si="243"/>
        <v>0</v>
      </c>
      <c r="Q588" s="55">
        <f t="shared" si="243"/>
        <v>0</v>
      </c>
    </row>
    <row r="589" spans="1:17" x14ac:dyDescent="0.2">
      <c r="A589" s="72">
        <v>75</v>
      </c>
      <c r="B589" s="59">
        <v>579</v>
      </c>
      <c r="C589" s="40">
        <f t="shared" si="234"/>
        <v>0</v>
      </c>
      <c r="D589" s="40">
        <f t="shared" si="234"/>
        <v>0</v>
      </c>
      <c r="E589" s="40">
        <f t="shared" si="234"/>
        <v>0</v>
      </c>
      <c r="F589" s="40">
        <f t="shared" si="232"/>
        <v>0</v>
      </c>
      <c r="G589" s="40">
        <f t="shared" si="232"/>
        <v>0</v>
      </c>
      <c r="H589" s="40">
        <f t="shared" si="232"/>
        <v>0</v>
      </c>
      <c r="I589" s="104">
        <f t="shared" si="232"/>
        <v>0</v>
      </c>
      <c r="J589" s="104">
        <f t="shared" si="232"/>
        <v>0</v>
      </c>
      <c r="K589" s="104">
        <f t="shared" si="232"/>
        <v>0</v>
      </c>
      <c r="L589" s="104">
        <f t="shared" ref="L589:Q589" si="244">L85</f>
        <v>0</v>
      </c>
      <c r="M589" s="104">
        <f t="shared" si="244"/>
        <v>0</v>
      </c>
      <c r="N589" s="104">
        <f t="shared" si="244"/>
        <v>0</v>
      </c>
      <c r="O589" s="55">
        <f t="shared" si="244"/>
        <v>0</v>
      </c>
      <c r="P589" s="55">
        <f t="shared" si="244"/>
        <v>0</v>
      </c>
      <c r="Q589" s="55">
        <f t="shared" si="244"/>
        <v>0</v>
      </c>
    </row>
    <row r="590" spans="1:17" x14ac:dyDescent="0.2">
      <c r="A590" s="72">
        <v>76</v>
      </c>
      <c r="B590" s="59">
        <v>580</v>
      </c>
      <c r="C590" s="40">
        <f t="shared" si="234"/>
        <v>0</v>
      </c>
      <c r="D590" s="40">
        <f t="shared" si="234"/>
        <v>0</v>
      </c>
      <c r="E590" s="40">
        <f t="shared" si="234"/>
        <v>0</v>
      </c>
      <c r="F590" s="40">
        <f t="shared" si="232"/>
        <v>0</v>
      </c>
      <c r="G590" s="40">
        <f t="shared" si="232"/>
        <v>0</v>
      </c>
      <c r="H590" s="40">
        <f t="shared" si="232"/>
        <v>0</v>
      </c>
      <c r="I590" s="104">
        <f t="shared" si="232"/>
        <v>0</v>
      </c>
      <c r="J590" s="104">
        <f t="shared" si="232"/>
        <v>0</v>
      </c>
      <c r="K590" s="104">
        <f t="shared" si="232"/>
        <v>0</v>
      </c>
      <c r="L590" s="104">
        <f t="shared" ref="L590:Q590" si="245">L86</f>
        <v>0</v>
      </c>
      <c r="M590" s="104">
        <f t="shared" si="245"/>
        <v>0</v>
      </c>
      <c r="N590" s="104">
        <f t="shared" si="245"/>
        <v>0</v>
      </c>
      <c r="O590" s="55">
        <f t="shared" si="245"/>
        <v>0</v>
      </c>
      <c r="P590" s="55">
        <f t="shared" si="245"/>
        <v>0</v>
      </c>
      <c r="Q590" s="55">
        <f t="shared" si="245"/>
        <v>0</v>
      </c>
    </row>
    <row r="591" spans="1:17" x14ac:dyDescent="0.2">
      <c r="A591" s="72">
        <v>77</v>
      </c>
      <c r="B591" s="59">
        <v>581</v>
      </c>
      <c r="C591" s="40">
        <f t="shared" si="234"/>
        <v>0</v>
      </c>
      <c r="D591" s="40">
        <f t="shared" si="234"/>
        <v>0</v>
      </c>
      <c r="E591" s="40">
        <f t="shared" si="234"/>
        <v>0</v>
      </c>
      <c r="F591" s="40">
        <f t="shared" si="232"/>
        <v>0</v>
      </c>
      <c r="G591" s="40">
        <f t="shared" si="232"/>
        <v>0</v>
      </c>
      <c r="H591" s="40">
        <f t="shared" si="232"/>
        <v>0</v>
      </c>
      <c r="I591" s="104">
        <f t="shared" si="232"/>
        <v>0</v>
      </c>
      <c r="J591" s="104">
        <f t="shared" si="232"/>
        <v>0</v>
      </c>
      <c r="K591" s="104">
        <f t="shared" si="232"/>
        <v>0</v>
      </c>
      <c r="L591" s="104">
        <f t="shared" ref="L591:Q591" si="246">L87</f>
        <v>0</v>
      </c>
      <c r="M591" s="104">
        <f t="shared" si="246"/>
        <v>0</v>
      </c>
      <c r="N591" s="104">
        <f t="shared" si="246"/>
        <v>0</v>
      </c>
      <c r="O591" s="55">
        <f t="shared" si="246"/>
        <v>0</v>
      </c>
      <c r="P591" s="55">
        <f t="shared" si="246"/>
        <v>0</v>
      </c>
      <c r="Q591" s="55">
        <f t="shared" si="246"/>
        <v>0</v>
      </c>
    </row>
    <row r="592" spans="1:17" x14ac:dyDescent="0.2">
      <c r="A592" s="72">
        <v>78</v>
      </c>
      <c r="B592" s="59">
        <v>582</v>
      </c>
      <c r="C592" s="40">
        <f t="shared" si="234"/>
        <v>0</v>
      </c>
      <c r="D592" s="40">
        <f t="shared" si="234"/>
        <v>0</v>
      </c>
      <c r="E592" s="40">
        <f t="shared" si="234"/>
        <v>0</v>
      </c>
      <c r="F592" s="40">
        <f t="shared" si="232"/>
        <v>0</v>
      </c>
      <c r="G592" s="40">
        <f t="shared" si="232"/>
        <v>0</v>
      </c>
      <c r="H592" s="40">
        <f t="shared" si="232"/>
        <v>0</v>
      </c>
      <c r="I592" s="104">
        <f t="shared" si="232"/>
        <v>0</v>
      </c>
      <c r="J592" s="104">
        <f t="shared" si="232"/>
        <v>0</v>
      </c>
      <c r="K592" s="104">
        <f t="shared" si="232"/>
        <v>0</v>
      </c>
      <c r="L592" s="104">
        <f t="shared" ref="L592:Q592" si="247">L88</f>
        <v>0</v>
      </c>
      <c r="M592" s="104">
        <f t="shared" si="247"/>
        <v>0</v>
      </c>
      <c r="N592" s="104">
        <f t="shared" si="247"/>
        <v>0</v>
      </c>
      <c r="O592" s="55">
        <f t="shared" si="247"/>
        <v>0</v>
      </c>
      <c r="P592" s="55">
        <f t="shared" si="247"/>
        <v>0</v>
      </c>
      <c r="Q592" s="55">
        <f t="shared" si="247"/>
        <v>0</v>
      </c>
    </row>
    <row r="593" spans="1:17" x14ac:dyDescent="0.2">
      <c r="A593" s="72">
        <v>79</v>
      </c>
      <c r="B593" s="59">
        <v>583</v>
      </c>
      <c r="C593" s="40">
        <f t="shared" si="234"/>
        <v>3.4332694957598457</v>
      </c>
      <c r="D593" s="40">
        <f t="shared" si="234"/>
        <v>1.8717327794185254</v>
      </c>
      <c r="E593" s="40">
        <f t="shared" si="234"/>
        <v>0.32981104388639787</v>
      </c>
      <c r="F593" s="40">
        <f t="shared" si="232"/>
        <v>0.74636293386083608</v>
      </c>
      <c r="G593" s="40">
        <f t="shared" si="232"/>
        <v>0.34817321475331586</v>
      </c>
      <c r="H593" s="40">
        <f t="shared" si="232"/>
        <v>5.4355139759513407E-2</v>
      </c>
      <c r="I593" s="104">
        <f t="shared" si="232"/>
        <v>0.36139678902735217</v>
      </c>
      <c r="J593" s="104">
        <f t="shared" si="232"/>
        <v>0.1970245030966869</v>
      </c>
      <c r="K593" s="104">
        <f t="shared" si="232"/>
        <v>3.471695198804188E-2</v>
      </c>
      <c r="L593" s="104">
        <f t="shared" ref="L593:Q593" si="248">L89</f>
        <v>0.48220077187638283</v>
      </c>
      <c r="M593" s="104">
        <f t="shared" si="248"/>
        <v>0.26288381733406258</v>
      </c>
      <c r="N593" s="104">
        <f t="shared" si="248"/>
        <v>4.6321775826741275E-2</v>
      </c>
      <c r="O593" s="55">
        <f t="shared" si="248"/>
        <v>0.38224352251574223</v>
      </c>
      <c r="P593" s="55">
        <f t="shared" si="248"/>
        <v>0.21957685264482196</v>
      </c>
      <c r="Q593" s="55">
        <f t="shared" si="248"/>
        <v>4.6321775826741275E-2</v>
      </c>
    </row>
    <row r="594" spans="1:17" x14ac:dyDescent="0.2">
      <c r="A594" s="72">
        <v>80</v>
      </c>
      <c r="B594" s="59">
        <v>584</v>
      </c>
      <c r="C594" s="40">
        <f t="shared" si="234"/>
        <v>3.4332694957598457</v>
      </c>
      <c r="D594" s="40">
        <f t="shared" si="234"/>
        <v>1.8717327794185254</v>
      </c>
      <c r="E594" s="40">
        <f t="shared" si="234"/>
        <v>0.32981104388639787</v>
      </c>
      <c r="F594" s="40">
        <f t="shared" si="232"/>
        <v>0.74636293386083608</v>
      </c>
      <c r="G594" s="40">
        <f t="shared" si="232"/>
        <v>0.34817321475331586</v>
      </c>
      <c r="H594" s="40">
        <f t="shared" si="232"/>
        <v>5.4355139759513407E-2</v>
      </c>
      <c r="I594" s="104">
        <f t="shared" si="232"/>
        <v>0.36139678902735217</v>
      </c>
      <c r="J594" s="104">
        <f t="shared" si="232"/>
        <v>0.1970245030966869</v>
      </c>
      <c r="K594" s="104">
        <f t="shared" si="232"/>
        <v>3.471695198804188E-2</v>
      </c>
      <c r="L594" s="104">
        <f t="shared" ref="L594:Q594" si="249">L90</f>
        <v>0.48220077187638283</v>
      </c>
      <c r="M594" s="104">
        <f t="shared" si="249"/>
        <v>0.26288381733406258</v>
      </c>
      <c r="N594" s="104">
        <f t="shared" si="249"/>
        <v>4.6321775826741275E-2</v>
      </c>
      <c r="O594" s="55">
        <f t="shared" si="249"/>
        <v>0.38224352251574223</v>
      </c>
      <c r="P594" s="55">
        <f t="shared" si="249"/>
        <v>0.21957685264482196</v>
      </c>
      <c r="Q594" s="55">
        <f t="shared" si="249"/>
        <v>4.6321775826741275E-2</v>
      </c>
    </row>
    <row r="595" spans="1:17" x14ac:dyDescent="0.2">
      <c r="A595" s="72">
        <v>81</v>
      </c>
      <c r="B595" s="59">
        <v>585</v>
      </c>
      <c r="C595" s="40">
        <f t="shared" si="234"/>
        <v>3.4332694957598457</v>
      </c>
      <c r="D595" s="40">
        <f t="shared" si="234"/>
        <v>1.8717327794185254</v>
      </c>
      <c r="E595" s="40">
        <f t="shared" si="234"/>
        <v>0.32981104388639787</v>
      </c>
      <c r="F595" s="40">
        <f t="shared" si="232"/>
        <v>0.74636293386083608</v>
      </c>
      <c r="G595" s="40">
        <f t="shared" si="232"/>
        <v>0.34817321475331586</v>
      </c>
      <c r="H595" s="40">
        <f t="shared" si="232"/>
        <v>5.4355139759513407E-2</v>
      </c>
      <c r="I595" s="104">
        <f t="shared" si="232"/>
        <v>0.36139678902735217</v>
      </c>
      <c r="J595" s="104">
        <f t="shared" si="232"/>
        <v>0.1970245030966869</v>
      </c>
      <c r="K595" s="104">
        <f t="shared" si="232"/>
        <v>3.471695198804188E-2</v>
      </c>
      <c r="L595" s="104">
        <f t="shared" ref="L595:Q595" si="250">L91</f>
        <v>0.48220077187638283</v>
      </c>
      <c r="M595" s="104">
        <f t="shared" si="250"/>
        <v>0.26288381733406258</v>
      </c>
      <c r="N595" s="104">
        <f t="shared" si="250"/>
        <v>4.6321775826741275E-2</v>
      </c>
      <c r="O595" s="55">
        <f t="shared" si="250"/>
        <v>0.38224352251574223</v>
      </c>
      <c r="P595" s="55">
        <f t="shared" si="250"/>
        <v>0.21957685264482196</v>
      </c>
      <c r="Q595" s="55">
        <f t="shared" si="250"/>
        <v>4.6321775826741275E-2</v>
      </c>
    </row>
    <row r="596" spans="1:17" x14ac:dyDescent="0.2">
      <c r="A596" s="72">
        <v>82</v>
      </c>
      <c r="B596" s="59">
        <v>586</v>
      </c>
      <c r="C596" s="40">
        <f t="shared" si="234"/>
        <v>3.4332694957598457</v>
      </c>
      <c r="D596" s="40">
        <f t="shared" si="234"/>
        <v>1.8717327794185254</v>
      </c>
      <c r="E596" s="40">
        <f t="shared" si="234"/>
        <v>0.32981104388639787</v>
      </c>
      <c r="F596" s="40">
        <f t="shared" si="232"/>
        <v>0.74636293386083608</v>
      </c>
      <c r="G596" s="40">
        <f t="shared" si="232"/>
        <v>0.34817321475331586</v>
      </c>
      <c r="H596" s="40">
        <f t="shared" si="232"/>
        <v>5.4355139759513407E-2</v>
      </c>
      <c r="I596" s="104">
        <f t="shared" si="232"/>
        <v>0.36139678902735217</v>
      </c>
      <c r="J596" s="104">
        <f t="shared" si="232"/>
        <v>0.1970245030966869</v>
      </c>
      <c r="K596" s="104">
        <f t="shared" si="232"/>
        <v>3.471695198804188E-2</v>
      </c>
      <c r="L596" s="104">
        <f t="shared" ref="L596:Q596" si="251">L92</f>
        <v>0.48220077187638283</v>
      </c>
      <c r="M596" s="104">
        <f t="shared" si="251"/>
        <v>0.26288381733406258</v>
      </c>
      <c r="N596" s="104">
        <f t="shared" si="251"/>
        <v>4.6321775826741275E-2</v>
      </c>
      <c r="O596" s="55">
        <f t="shared" si="251"/>
        <v>0.38224352251574223</v>
      </c>
      <c r="P596" s="55">
        <f t="shared" si="251"/>
        <v>0.21957685264482196</v>
      </c>
      <c r="Q596" s="55">
        <f t="shared" si="251"/>
        <v>4.6321775826741275E-2</v>
      </c>
    </row>
    <row r="597" spans="1:17" x14ac:dyDescent="0.2">
      <c r="A597" s="72">
        <v>83</v>
      </c>
      <c r="B597" s="59">
        <v>587</v>
      </c>
      <c r="C597" s="40">
        <f t="shared" si="234"/>
        <v>3.4332694957598457</v>
      </c>
      <c r="D597" s="40">
        <f t="shared" si="234"/>
        <v>1.8717327794185254</v>
      </c>
      <c r="E597" s="40">
        <f t="shared" si="234"/>
        <v>0.32981104388639787</v>
      </c>
      <c r="F597" s="40">
        <f t="shared" si="232"/>
        <v>0.74636293386083608</v>
      </c>
      <c r="G597" s="40">
        <f t="shared" si="232"/>
        <v>0.34817321475331586</v>
      </c>
      <c r="H597" s="40">
        <f t="shared" si="232"/>
        <v>5.4355139759513407E-2</v>
      </c>
      <c r="I597" s="104">
        <f t="shared" si="232"/>
        <v>0.36139678902735217</v>
      </c>
      <c r="J597" s="104">
        <f t="shared" si="232"/>
        <v>0.1970245030966869</v>
      </c>
      <c r="K597" s="104">
        <f t="shared" si="232"/>
        <v>3.471695198804188E-2</v>
      </c>
      <c r="L597" s="104">
        <f t="shared" ref="L597:Q597" si="252">L93</f>
        <v>0.48220077187638283</v>
      </c>
      <c r="M597" s="104">
        <f t="shared" si="252"/>
        <v>0.26288381733406258</v>
      </c>
      <c r="N597" s="104">
        <f t="shared" si="252"/>
        <v>4.6321775826741275E-2</v>
      </c>
      <c r="O597" s="55">
        <f t="shared" si="252"/>
        <v>0.38224352251574223</v>
      </c>
      <c r="P597" s="55">
        <f t="shared" si="252"/>
        <v>0.21957685264482196</v>
      </c>
      <c r="Q597" s="55">
        <f t="shared" si="252"/>
        <v>4.6321775826741275E-2</v>
      </c>
    </row>
    <row r="598" spans="1:17" x14ac:dyDescent="0.2">
      <c r="A598" s="72">
        <v>84</v>
      </c>
      <c r="B598" s="59">
        <v>588</v>
      </c>
      <c r="C598" s="40">
        <f t="shared" si="234"/>
        <v>3.4332694957598457</v>
      </c>
      <c r="D598" s="40">
        <f t="shared" si="234"/>
        <v>1.8717327794185254</v>
      </c>
      <c r="E598" s="40">
        <f t="shared" si="234"/>
        <v>0.32981104388639787</v>
      </c>
      <c r="F598" s="40">
        <f t="shared" si="232"/>
        <v>0.74636293386083608</v>
      </c>
      <c r="G598" s="40">
        <f t="shared" si="232"/>
        <v>0.34817321475331586</v>
      </c>
      <c r="H598" s="40">
        <f t="shared" si="232"/>
        <v>5.4355139759513407E-2</v>
      </c>
      <c r="I598" s="104">
        <f t="shared" si="232"/>
        <v>0.36139678902735217</v>
      </c>
      <c r="J598" s="104">
        <f t="shared" si="232"/>
        <v>0.1970245030966869</v>
      </c>
      <c r="K598" s="104">
        <f t="shared" si="232"/>
        <v>3.471695198804188E-2</v>
      </c>
      <c r="L598" s="104">
        <f t="shared" ref="L598:Q598" si="253">L94</f>
        <v>0.48220077187638283</v>
      </c>
      <c r="M598" s="104">
        <f t="shared" si="253"/>
        <v>0.26288381733406258</v>
      </c>
      <c r="N598" s="104">
        <f t="shared" si="253"/>
        <v>4.6321775826741275E-2</v>
      </c>
      <c r="O598" s="55">
        <f t="shared" si="253"/>
        <v>0.38224352251574223</v>
      </c>
      <c r="P598" s="55">
        <f t="shared" si="253"/>
        <v>0.21957685264482196</v>
      </c>
      <c r="Q598" s="55">
        <f t="shared" si="253"/>
        <v>4.6321775826741275E-2</v>
      </c>
    </row>
    <row r="599" spans="1:17" x14ac:dyDescent="0.2">
      <c r="A599" s="72">
        <v>85</v>
      </c>
      <c r="B599" s="59">
        <v>589</v>
      </c>
      <c r="C599" s="40">
        <f t="shared" si="234"/>
        <v>3.4332694957598457</v>
      </c>
      <c r="D599" s="40">
        <f t="shared" si="234"/>
        <v>1.8717327794185254</v>
      </c>
      <c r="E599" s="40">
        <f t="shared" si="234"/>
        <v>0.32981104388639787</v>
      </c>
      <c r="F599" s="40">
        <f t="shared" si="232"/>
        <v>0.74636293386083608</v>
      </c>
      <c r="G599" s="40">
        <f t="shared" si="232"/>
        <v>0.34817321475331586</v>
      </c>
      <c r="H599" s="40">
        <f t="shared" si="232"/>
        <v>5.4355139759513407E-2</v>
      </c>
      <c r="I599" s="104">
        <f t="shared" si="232"/>
        <v>0.36139678902735217</v>
      </c>
      <c r="J599" s="104">
        <f t="shared" si="232"/>
        <v>0.1970245030966869</v>
      </c>
      <c r="K599" s="104">
        <f t="shared" si="232"/>
        <v>3.471695198804188E-2</v>
      </c>
      <c r="L599" s="104">
        <f t="shared" ref="L599:Q599" si="254">L95</f>
        <v>0.48220077187638283</v>
      </c>
      <c r="M599" s="104">
        <f t="shared" si="254"/>
        <v>0.26288381733406258</v>
      </c>
      <c r="N599" s="104">
        <f t="shared" si="254"/>
        <v>4.6321775826741275E-2</v>
      </c>
      <c r="O599" s="55">
        <f t="shared" si="254"/>
        <v>0.38224352251574223</v>
      </c>
      <c r="P599" s="55">
        <f t="shared" si="254"/>
        <v>0.21957685264482196</v>
      </c>
      <c r="Q599" s="55">
        <f t="shared" si="254"/>
        <v>4.6321775826741275E-2</v>
      </c>
    </row>
    <row r="600" spans="1:17" x14ac:dyDescent="0.2">
      <c r="A600" s="72">
        <v>86</v>
      </c>
      <c r="B600" s="59">
        <v>590</v>
      </c>
      <c r="C600" s="40">
        <f t="shared" si="234"/>
        <v>3.4332694957598457</v>
      </c>
      <c r="D600" s="40">
        <f t="shared" si="234"/>
        <v>1.8717327794185254</v>
      </c>
      <c r="E600" s="40">
        <f t="shared" si="234"/>
        <v>0.32981104388639787</v>
      </c>
      <c r="F600" s="40">
        <f t="shared" si="232"/>
        <v>0.74636293386083608</v>
      </c>
      <c r="G600" s="40">
        <f t="shared" si="232"/>
        <v>0.34817321475331586</v>
      </c>
      <c r="H600" s="40">
        <f t="shared" si="232"/>
        <v>5.4355139759513407E-2</v>
      </c>
      <c r="I600" s="104">
        <f t="shared" ref="I600:Q619" si="255">I96</f>
        <v>0.36139678902735217</v>
      </c>
      <c r="J600" s="104">
        <f t="shared" si="255"/>
        <v>0.1970245030966869</v>
      </c>
      <c r="K600" s="104">
        <f t="shared" si="255"/>
        <v>3.471695198804188E-2</v>
      </c>
      <c r="L600" s="104">
        <f t="shared" si="255"/>
        <v>0.48220077187638283</v>
      </c>
      <c r="M600" s="104">
        <f t="shared" si="255"/>
        <v>0.26288381733406258</v>
      </c>
      <c r="N600" s="104">
        <f t="shared" si="255"/>
        <v>4.6321775826741275E-2</v>
      </c>
      <c r="O600" s="55">
        <f t="shared" si="255"/>
        <v>0.38224352251574223</v>
      </c>
      <c r="P600" s="55">
        <f t="shared" si="255"/>
        <v>0.21957685264482196</v>
      </c>
      <c r="Q600" s="55">
        <f t="shared" si="255"/>
        <v>4.6321775826741275E-2</v>
      </c>
    </row>
    <row r="601" spans="1:17" x14ac:dyDescent="0.2">
      <c r="A601" s="72">
        <v>87</v>
      </c>
      <c r="B601" s="59">
        <v>591</v>
      </c>
      <c r="C601" s="40">
        <f t="shared" si="234"/>
        <v>3.4332694957598457</v>
      </c>
      <c r="D601" s="40">
        <f t="shared" si="234"/>
        <v>1.8717327794185254</v>
      </c>
      <c r="E601" s="40">
        <f t="shared" si="234"/>
        <v>0.32981104388639787</v>
      </c>
      <c r="F601" s="40">
        <f t="shared" si="232"/>
        <v>0.74636293386083608</v>
      </c>
      <c r="G601" s="40">
        <f t="shared" si="232"/>
        <v>0.34817321475331586</v>
      </c>
      <c r="H601" s="40">
        <f t="shared" si="232"/>
        <v>5.4355139759513407E-2</v>
      </c>
      <c r="I601" s="104">
        <f t="shared" si="255"/>
        <v>0.36139678902735217</v>
      </c>
      <c r="J601" s="104">
        <f t="shared" si="255"/>
        <v>0.1970245030966869</v>
      </c>
      <c r="K601" s="104">
        <f t="shared" si="255"/>
        <v>3.471695198804188E-2</v>
      </c>
      <c r="L601" s="104">
        <f t="shared" si="255"/>
        <v>0.48220077187638283</v>
      </c>
      <c r="M601" s="104">
        <f t="shared" si="255"/>
        <v>0.26288381733406258</v>
      </c>
      <c r="N601" s="104">
        <f t="shared" si="255"/>
        <v>4.6321775826741275E-2</v>
      </c>
      <c r="O601" s="55">
        <f t="shared" si="255"/>
        <v>0.38224352251574223</v>
      </c>
      <c r="P601" s="55">
        <f t="shared" si="255"/>
        <v>0.21957685264482196</v>
      </c>
      <c r="Q601" s="55">
        <f t="shared" si="255"/>
        <v>4.6321775826741275E-2</v>
      </c>
    </row>
    <row r="602" spans="1:17" x14ac:dyDescent="0.2">
      <c r="A602" s="72">
        <v>88</v>
      </c>
      <c r="B602" s="59">
        <v>592</v>
      </c>
      <c r="C602" s="40">
        <f t="shared" si="234"/>
        <v>3.4332694957598457</v>
      </c>
      <c r="D602" s="40">
        <f t="shared" si="234"/>
        <v>1.8717327794185254</v>
      </c>
      <c r="E602" s="40">
        <f t="shared" si="234"/>
        <v>0.32981104388639787</v>
      </c>
      <c r="F602" s="40">
        <f t="shared" si="232"/>
        <v>0.74636293386083608</v>
      </c>
      <c r="G602" s="40">
        <f t="shared" si="232"/>
        <v>0.34817321475331586</v>
      </c>
      <c r="H602" s="40">
        <f t="shared" si="232"/>
        <v>5.4355139759513407E-2</v>
      </c>
      <c r="I602" s="104">
        <f t="shared" si="255"/>
        <v>0.36139678902735217</v>
      </c>
      <c r="J602" s="104">
        <f t="shared" si="255"/>
        <v>0.1970245030966869</v>
      </c>
      <c r="K602" s="104">
        <f t="shared" si="255"/>
        <v>3.471695198804188E-2</v>
      </c>
      <c r="L602" s="104">
        <f t="shared" si="255"/>
        <v>0.48220077187638283</v>
      </c>
      <c r="M602" s="104">
        <f t="shared" si="255"/>
        <v>0.26288381733406258</v>
      </c>
      <c r="N602" s="104">
        <f t="shared" si="255"/>
        <v>4.6321775826741275E-2</v>
      </c>
      <c r="O602" s="55">
        <f t="shared" si="255"/>
        <v>0.38224352251574223</v>
      </c>
      <c r="P602" s="55">
        <f t="shared" si="255"/>
        <v>0.21957685264482196</v>
      </c>
      <c r="Q602" s="55">
        <f t="shared" si="255"/>
        <v>4.6321775826741275E-2</v>
      </c>
    </row>
    <row r="603" spans="1:17" x14ac:dyDescent="0.2">
      <c r="A603" s="72">
        <v>89</v>
      </c>
      <c r="B603" s="59">
        <v>593</v>
      </c>
      <c r="C603" s="40">
        <f t="shared" si="234"/>
        <v>3.4332694957598457</v>
      </c>
      <c r="D603" s="40">
        <f t="shared" si="234"/>
        <v>1.8717327794185254</v>
      </c>
      <c r="E603" s="40">
        <f t="shared" si="234"/>
        <v>0.32981104388639787</v>
      </c>
      <c r="F603" s="40">
        <f t="shared" si="232"/>
        <v>0.74636293386083608</v>
      </c>
      <c r="G603" s="40">
        <f t="shared" si="232"/>
        <v>0.34817321475331586</v>
      </c>
      <c r="H603" s="40">
        <f t="shared" si="232"/>
        <v>5.4355139759513407E-2</v>
      </c>
      <c r="I603" s="104">
        <f t="shared" si="255"/>
        <v>0.36139678902735217</v>
      </c>
      <c r="J603" s="104">
        <f t="shared" si="255"/>
        <v>0.1970245030966869</v>
      </c>
      <c r="K603" s="104">
        <f t="shared" si="255"/>
        <v>3.471695198804188E-2</v>
      </c>
      <c r="L603" s="104">
        <f t="shared" si="255"/>
        <v>0.48220077187638283</v>
      </c>
      <c r="M603" s="104">
        <f t="shared" si="255"/>
        <v>0.26288381733406258</v>
      </c>
      <c r="N603" s="104">
        <f t="shared" si="255"/>
        <v>4.6321775826741275E-2</v>
      </c>
      <c r="O603" s="55">
        <f t="shared" si="255"/>
        <v>0.38224352251574223</v>
      </c>
      <c r="P603" s="55">
        <f t="shared" si="255"/>
        <v>0.21957685264482196</v>
      </c>
      <c r="Q603" s="55">
        <f t="shared" si="255"/>
        <v>4.6321775826741275E-2</v>
      </c>
    </row>
    <row r="604" spans="1:17" x14ac:dyDescent="0.2">
      <c r="A604" s="72">
        <v>90</v>
      </c>
      <c r="B604" s="59">
        <v>594</v>
      </c>
      <c r="C604" s="40">
        <f t="shared" si="234"/>
        <v>3.4332694957598457</v>
      </c>
      <c r="D604" s="40">
        <f t="shared" si="234"/>
        <v>1.8717327794185254</v>
      </c>
      <c r="E604" s="40">
        <f t="shared" si="234"/>
        <v>0.32981104388639787</v>
      </c>
      <c r="F604" s="40">
        <f t="shared" si="232"/>
        <v>0.74636293386083608</v>
      </c>
      <c r="G604" s="40">
        <f t="shared" si="232"/>
        <v>0.34817321475331586</v>
      </c>
      <c r="H604" s="40">
        <f t="shared" si="232"/>
        <v>5.4355139759513407E-2</v>
      </c>
      <c r="I604" s="104">
        <f t="shared" si="255"/>
        <v>0.36139678902735217</v>
      </c>
      <c r="J604" s="104">
        <f t="shared" si="255"/>
        <v>0.1970245030966869</v>
      </c>
      <c r="K604" s="104">
        <f t="shared" si="255"/>
        <v>3.471695198804188E-2</v>
      </c>
      <c r="L604" s="104">
        <f t="shared" si="255"/>
        <v>0.48220077187638283</v>
      </c>
      <c r="M604" s="104">
        <f t="shared" si="255"/>
        <v>0.26288381733406258</v>
      </c>
      <c r="N604" s="104">
        <f t="shared" si="255"/>
        <v>4.6321775826741275E-2</v>
      </c>
      <c r="O604" s="55">
        <f t="shared" si="255"/>
        <v>0.38224352251574223</v>
      </c>
      <c r="P604" s="55">
        <f t="shared" si="255"/>
        <v>0.21957685264482196</v>
      </c>
      <c r="Q604" s="55">
        <f t="shared" si="255"/>
        <v>4.6321775826741275E-2</v>
      </c>
    </row>
    <row r="605" spans="1:17" x14ac:dyDescent="0.2">
      <c r="A605" s="72">
        <v>91</v>
      </c>
      <c r="B605" s="59">
        <v>595</v>
      </c>
      <c r="C605" s="40">
        <f t="shared" si="234"/>
        <v>3.4332694957598457</v>
      </c>
      <c r="D605" s="40">
        <f t="shared" si="234"/>
        <v>1.8717327794185254</v>
      </c>
      <c r="E605" s="40">
        <f t="shared" si="234"/>
        <v>0.32981104388639787</v>
      </c>
      <c r="F605" s="40">
        <f t="shared" si="232"/>
        <v>0.74636293386083608</v>
      </c>
      <c r="G605" s="40">
        <f t="shared" si="232"/>
        <v>0.34817321475331586</v>
      </c>
      <c r="H605" s="40">
        <f t="shared" si="232"/>
        <v>5.4355139759513407E-2</v>
      </c>
      <c r="I605" s="104">
        <f t="shared" si="255"/>
        <v>0.36139678902735217</v>
      </c>
      <c r="J605" s="104">
        <f t="shared" si="255"/>
        <v>0.1970245030966869</v>
      </c>
      <c r="K605" s="104">
        <f t="shared" si="255"/>
        <v>3.471695198804188E-2</v>
      </c>
      <c r="L605" s="104">
        <f t="shared" si="255"/>
        <v>0.48220077187638283</v>
      </c>
      <c r="M605" s="104">
        <f t="shared" si="255"/>
        <v>0.26288381733406258</v>
      </c>
      <c r="N605" s="104">
        <f t="shared" si="255"/>
        <v>4.6321775826741275E-2</v>
      </c>
      <c r="O605" s="55">
        <f t="shared" si="255"/>
        <v>0.38224352251574223</v>
      </c>
      <c r="P605" s="55">
        <f t="shared" si="255"/>
        <v>0.21957685264482196</v>
      </c>
      <c r="Q605" s="55">
        <f t="shared" si="255"/>
        <v>4.6321775826741275E-2</v>
      </c>
    </row>
    <row r="606" spans="1:17" x14ac:dyDescent="0.2">
      <c r="A606" s="72">
        <v>92</v>
      </c>
      <c r="B606" s="59">
        <v>596</v>
      </c>
      <c r="C606" s="40">
        <f t="shared" si="234"/>
        <v>3.4332694957598457</v>
      </c>
      <c r="D606" s="40">
        <f t="shared" si="234"/>
        <v>1.8717327794185254</v>
      </c>
      <c r="E606" s="40">
        <f t="shared" si="234"/>
        <v>0.32981104388639787</v>
      </c>
      <c r="F606" s="40">
        <f t="shared" si="232"/>
        <v>0.74636293386083608</v>
      </c>
      <c r="G606" s="40">
        <f t="shared" si="232"/>
        <v>0.34817321475331586</v>
      </c>
      <c r="H606" s="40">
        <f t="shared" si="232"/>
        <v>5.4355139759513407E-2</v>
      </c>
      <c r="I606" s="104">
        <f t="shared" si="255"/>
        <v>0.36139678902735217</v>
      </c>
      <c r="J606" s="104">
        <f t="shared" si="255"/>
        <v>0.1970245030966869</v>
      </c>
      <c r="K606" s="104">
        <f t="shared" si="255"/>
        <v>3.471695198804188E-2</v>
      </c>
      <c r="L606" s="104">
        <f t="shared" si="255"/>
        <v>0.48220077187638283</v>
      </c>
      <c r="M606" s="104">
        <f t="shared" si="255"/>
        <v>0.26288381733406258</v>
      </c>
      <c r="N606" s="104">
        <f t="shared" si="255"/>
        <v>4.6321775826741275E-2</v>
      </c>
      <c r="O606" s="55">
        <f t="shared" si="255"/>
        <v>0.38224352251574223</v>
      </c>
      <c r="P606" s="55">
        <f t="shared" si="255"/>
        <v>0.21957685264482196</v>
      </c>
      <c r="Q606" s="55">
        <f t="shared" si="255"/>
        <v>4.6321775826741275E-2</v>
      </c>
    </row>
    <row r="607" spans="1:17" x14ac:dyDescent="0.2">
      <c r="A607" s="72">
        <v>93</v>
      </c>
      <c r="B607" s="59">
        <v>597</v>
      </c>
      <c r="C607" s="40">
        <f t="shared" si="234"/>
        <v>3.4332694957598457</v>
      </c>
      <c r="D607" s="40">
        <f t="shared" si="234"/>
        <v>1.8717327794185254</v>
      </c>
      <c r="E607" s="40">
        <f t="shared" si="234"/>
        <v>0.32981104388639787</v>
      </c>
      <c r="F607" s="40">
        <f t="shared" si="232"/>
        <v>0.74636293386083608</v>
      </c>
      <c r="G607" s="40">
        <f t="shared" si="232"/>
        <v>0.34817321475331586</v>
      </c>
      <c r="H607" s="40">
        <f t="shared" si="232"/>
        <v>5.4355139759513407E-2</v>
      </c>
      <c r="I607" s="104">
        <f t="shared" si="255"/>
        <v>0.36139678902735217</v>
      </c>
      <c r="J607" s="104">
        <f t="shared" si="255"/>
        <v>0.1970245030966869</v>
      </c>
      <c r="K607" s="104">
        <f t="shared" si="255"/>
        <v>3.471695198804188E-2</v>
      </c>
      <c r="L607" s="104">
        <f t="shared" si="255"/>
        <v>0.48220077187638283</v>
      </c>
      <c r="M607" s="104">
        <f t="shared" si="255"/>
        <v>0.26288381733406258</v>
      </c>
      <c r="N607" s="104">
        <f t="shared" si="255"/>
        <v>4.6321775826741275E-2</v>
      </c>
      <c r="O607" s="55">
        <f t="shared" si="255"/>
        <v>0.38224352251574223</v>
      </c>
      <c r="P607" s="55">
        <f t="shared" si="255"/>
        <v>0.21957685264482196</v>
      </c>
      <c r="Q607" s="55">
        <f t="shared" si="255"/>
        <v>4.6321775826741275E-2</v>
      </c>
    </row>
    <row r="608" spans="1:17" x14ac:dyDescent="0.2">
      <c r="A608" s="72">
        <v>94</v>
      </c>
      <c r="B608" s="59">
        <v>598</v>
      </c>
      <c r="C608" s="40">
        <f t="shared" si="234"/>
        <v>3.4332694957598457</v>
      </c>
      <c r="D608" s="40">
        <f t="shared" si="234"/>
        <v>1.8717327794185254</v>
      </c>
      <c r="E608" s="40">
        <f t="shared" si="234"/>
        <v>0.32981104388639787</v>
      </c>
      <c r="F608" s="40">
        <f t="shared" si="232"/>
        <v>0.74636293386083608</v>
      </c>
      <c r="G608" s="40">
        <f t="shared" si="232"/>
        <v>0.34817321475331586</v>
      </c>
      <c r="H608" s="40">
        <f t="shared" si="232"/>
        <v>5.4355139759513407E-2</v>
      </c>
      <c r="I608" s="104">
        <f t="shared" si="255"/>
        <v>0.36139678902735217</v>
      </c>
      <c r="J608" s="104">
        <f t="shared" si="255"/>
        <v>0.1970245030966869</v>
      </c>
      <c r="K608" s="104">
        <f t="shared" si="255"/>
        <v>3.471695198804188E-2</v>
      </c>
      <c r="L608" s="104">
        <f t="shared" si="255"/>
        <v>0.48220077187638283</v>
      </c>
      <c r="M608" s="104">
        <f t="shared" si="255"/>
        <v>0.26288381733406258</v>
      </c>
      <c r="N608" s="104">
        <f t="shared" si="255"/>
        <v>4.6321775826741275E-2</v>
      </c>
      <c r="O608" s="55">
        <f t="shared" si="255"/>
        <v>0.38224352251574223</v>
      </c>
      <c r="P608" s="55">
        <f t="shared" si="255"/>
        <v>0.21957685264482196</v>
      </c>
      <c r="Q608" s="55">
        <f t="shared" si="255"/>
        <v>4.6321775826741275E-2</v>
      </c>
    </row>
    <row r="609" spans="1:17" x14ac:dyDescent="0.2">
      <c r="A609" s="72">
        <v>95</v>
      </c>
      <c r="B609" s="59">
        <v>599</v>
      </c>
      <c r="C609" s="40">
        <f t="shared" si="234"/>
        <v>0</v>
      </c>
      <c r="D609" s="40">
        <f t="shared" si="234"/>
        <v>0</v>
      </c>
      <c r="E609" s="40">
        <f t="shared" si="234"/>
        <v>0</v>
      </c>
      <c r="F609" s="40">
        <f t="shared" si="232"/>
        <v>0</v>
      </c>
      <c r="G609" s="40">
        <f t="shared" si="232"/>
        <v>0</v>
      </c>
      <c r="H609" s="40">
        <f t="shared" si="232"/>
        <v>0</v>
      </c>
      <c r="I609" s="104">
        <f t="shared" si="255"/>
        <v>0</v>
      </c>
      <c r="J609" s="104">
        <f t="shared" si="255"/>
        <v>0</v>
      </c>
      <c r="K609" s="104">
        <f t="shared" si="255"/>
        <v>0</v>
      </c>
      <c r="L609" s="104">
        <f t="shared" si="255"/>
        <v>0</v>
      </c>
      <c r="M609" s="104">
        <f t="shared" si="255"/>
        <v>0</v>
      </c>
      <c r="N609" s="104">
        <f t="shared" si="255"/>
        <v>0</v>
      </c>
      <c r="O609" s="55">
        <f t="shared" si="255"/>
        <v>0</v>
      </c>
      <c r="P609" s="55">
        <f t="shared" si="255"/>
        <v>0</v>
      </c>
      <c r="Q609" s="55">
        <f t="shared" si="255"/>
        <v>0</v>
      </c>
    </row>
    <row r="610" spans="1:17" x14ac:dyDescent="0.2">
      <c r="A610" s="72">
        <v>96</v>
      </c>
      <c r="B610" s="59">
        <v>600</v>
      </c>
      <c r="C610" s="40">
        <f t="shared" si="234"/>
        <v>0</v>
      </c>
      <c r="D610" s="40">
        <f t="shared" si="234"/>
        <v>0</v>
      </c>
      <c r="E610" s="40">
        <f t="shared" si="234"/>
        <v>0</v>
      </c>
      <c r="F610" s="40">
        <f t="shared" si="232"/>
        <v>0</v>
      </c>
      <c r="G610" s="40">
        <f t="shared" si="232"/>
        <v>0</v>
      </c>
      <c r="H610" s="40">
        <f t="shared" si="232"/>
        <v>0</v>
      </c>
      <c r="I610" s="104">
        <f t="shared" si="255"/>
        <v>0</v>
      </c>
      <c r="J610" s="104">
        <f t="shared" si="255"/>
        <v>0</v>
      </c>
      <c r="K610" s="104">
        <f t="shared" si="255"/>
        <v>0</v>
      </c>
      <c r="L610" s="104">
        <f t="shared" si="255"/>
        <v>0</v>
      </c>
      <c r="M610" s="104">
        <f t="shared" si="255"/>
        <v>0</v>
      </c>
      <c r="N610" s="104">
        <f t="shared" si="255"/>
        <v>0</v>
      </c>
      <c r="O610" s="55">
        <f t="shared" si="255"/>
        <v>0</v>
      </c>
      <c r="P610" s="55">
        <f t="shared" si="255"/>
        <v>0</v>
      </c>
      <c r="Q610" s="55">
        <f t="shared" si="255"/>
        <v>0</v>
      </c>
    </row>
    <row r="611" spans="1:17" x14ac:dyDescent="0.2">
      <c r="A611" s="72">
        <v>97</v>
      </c>
      <c r="B611" s="59">
        <v>601</v>
      </c>
      <c r="C611" s="40">
        <f t="shared" si="234"/>
        <v>0</v>
      </c>
      <c r="D611" s="40">
        <f t="shared" si="234"/>
        <v>0</v>
      </c>
      <c r="E611" s="40">
        <f t="shared" si="234"/>
        <v>0</v>
      </c>
      <c r="F611" s="40">
        <f t="shared" si="232"/>
        <v>0</v>
      </c>
      <c r="G611" s="40">
        <f t="shared" si="232"/>
        <v>0</v>
      </c>
      <c r="H611" s="40">
        <f t="shared" si="232"/>
        <v>0</v>
      </c>
      <c r="I611" s="104">
        <f t="shared" si="255"/>
        <v>0</v>
      </c>
      <c r="J611" s="104">
        <f t="shared" si="255"/>
        <v>0</v>
      </c>
      <c r="K611" s="104">
        <f t="shared" si="255"/>
        <v>0</v>
      </c>
      <c r="L611" s="104">
        <f t="shared" si="255"/>
        <v>0</v>
      </c>
      <c r="M611" s="104">
        <f t="shared" si="255"/>
        <v>0</v>
      </c>
      <c r="N611" s="104">
        <f t="shared" si="255"/>
        <v>0</v>
      </c>
      <c r="O611" s="55">
        <f t="shared" si="255"/>
        <v>0</v>
      </c>
      <c r="P611" s="55">
        <f t="shared" si="255"/>
        <v>0</v>
      </c>
      <c r="Q611" s="55">
        <f t="shared" si="255"/>
        <v>0</v>
      </c>
    </row>
    <row r="612" spans="1:17" x14ac:dyDescent="0.2">
      <c r="A612" s="72">
        <v>98</v>
      </c>
      <c r="B612" s="59">
        <v>602</v>
      </c>
      <c r="C612" s="40">
        <f t="shared" si="234"/>
        <v>0</v>
      </c>
      <c r="D612" s="40">
        <f t="shared" si="234"/>
        <v>0</v>
      </c>
      <c r="E612" s="40">
        <f t="shared" si="234"/>
        <v>0</v>
      </c>
      <c r="F612" s="40">
        <f t="shared" si="232"/>
        <v>0</v>
      </c>
      <c r="G612" s="40">
        <f t="shared" si="232"/>
        <v>0</v>
      </c>
      <c r="H612" s="40">
        <f t="shared" si="232"/>
        <v>0</v>
      </c>
      <c r="I612" s="104">
        <f t="shared" si="255"/>
        <v>0</v>
      </c>
      <c r="J612" s="104">
        <f t="shared" si="255"/>
        <v>0</v>
      </c>
      <c r="K612" s="104">
        <f t="shared" si="255"/>
        <v>0</v>
      </c>
      <c r="L612" s="104">
        <f t="shared" si="255"/>
        <v>0</v>
      </c>
      <c r="M612" s="104">
        <f t="shared" si="255"/>
        <v>0</v>
      </c>
      <c r="N612" s="104">
        <f t="shared" si="255"/>
        <v>0</v>
      </c>
      <c r="O612" s="55">
        <f t="shared" si="255"/>
        <v>0</v>
      </c>
      <c r="P612" s="55">
        <f t="shared" si="255"/>
        <v>0</v>
      </c>
      <c r="Q612" s="55">
        <f t="shared" si="255"/>
        <v>0</v>
      </c>
    </row>
    <row r="613" spans="1:17" x14ac:dyDescent="0.2">
      <c r="A613" s="72">
        <v>99</v>
      </c>
      <c r="B613" s="59">
        <v>603</v>
      </c>
      <c r="C613" s="40">
        <f t="shared" si="234"/>
        <v>0</v>
      </c>
      <c r="D613" s="40">
        <f t="shared" si="234"/>
        <v>0</v>
      </c>
      <c r="E613" s="40">
        <f t="shared" si="234"/>
        <v>0</v>
      </c>
      <c r="F613" s="40">
        <f t="shared" si="232"/>
        <v>0</v>
      </c>
      <c r="G613" s="40">
        <f t="shared" si="232"/>
        <v>0</v>
      </c>
      <c r="H613" s="40">
        <f t="shared" si="232"/>
        <v>0</v>
      </c>
      <c r="I613" s="104">
        <f t="shared" si="255"/>
        <v>0</v>
      </c>
      <c r="J613" s="104">
        <f t="shared" si="255"/>
        <v>0</v>
      </c>
      <c r="K613" s="104">
        <f t="shared" si="255"/>
        <v>0</v>
      </c>
      <c r="L613" s="104">
        <f t="shared" si="255"/>
        <v>0</v>
      </c>
      <c r="M613" s="104">
        <f t="shared" si="255"/>
        <v>0</v>
      </c>
      <c r="N613" s="104">
        <f t="shared" si="255"/>
        <v>0</v>
      </c>
      <c r="O613" s="55">
        <f t="shared" si="255"/>
        <v>0</v>
      </c>
      <c r="P613" s="55">
        <f t="shared" si="255"/>
        <v>0</v>
      </c>
      <c r="Q613" s="55">
        <f t="shared" si="255"/>
        <v>0</v>
      </c>
    </row>
    <row r="614" spans="1:17" x14ac:dyDescent="0.2">
      <c r="A614" s="72">
        <v>100</v>
      </c>
      <c r="B614" s="59">
        <v>604</v>
      </c>
      <c r="C614" s="40">
        <f t="shared" si="234"/>
        <v>0</v>
      </c>
      <c r="D614" s="40">
        <f t="shared" si="234"/>
        <v>0</v>
      </c>
      <c r="E614" s="40">
        <f t="shared" si="234"/>
        <v>0</v>
      </c>
      <c r="F614" s="40">
        <f t="shared" si="232"/>
        <v>0</v>
      </c>
      <c r="G614" s="40">
        <f t="shared" si="232"/>
        <v>0</v>
      </c>
      <c r="H614" s="40">
        <f t="shared" si="232"/>
        <v>0</v>
      </c>
      <c r="I614" s="104">
        <f t="shared" si="255"/>
        <v>0</v>
      </c>
      <c r="J614" s="104">
        <f t="shared" si="255"/>
        <v>0</v>
      </c>
      <c r="K614" s="104">
        <f t="shared" si="255"/>
        <v>0</v>
      </c>
      <c r="L614" s="104">
        <f t="shared" si="255"/>
        <v>0</v>
      </c>
      <c r="M614" s="104">
        <f t="shared" si="255"/>
        <v>0</v>
      </c>
      <c r="N614" s="104">
        <f t="shared" si="255"/>
        <v>0</v>
      </c>
      <c r="O614" s="55">
        <f t="shared" si="255"/>
        <v>0</v>
      </c>
      <c r="P614" s="55">
        <f t="shared" si="255"/>
        <v>0</v>
      </c>
      <c r="Q614" s="55">
        <f t="shared" si="255"/>
        <v>0</v>
      </c>
    </row>
    <row r="615" spans="1:17" x14ac:dyDescent="0.2">
      <c r="A615" s="72">
        <v>101</v>
      </c>
      <c r="B615" s="59">
        <v>605</v>
      </c>
      <c r="C615" s="40">
        <f t="shared" si="234"/>
        <v>0</v>
      </c>
      <c r="D615" s="40">
        <f t="shared" si="234"/>
        <v>0</v>
      </c>
      <c r="E615" s="40">
        <f t="shared" si="234"/>
        <v>0</v>
      </c>
      <c r="F615" s="40">
        <f t="shared" si="232"/>
        <v>0</v>
      </c>
      <c r="G615" s="40">
        <f t="shared" si="232"/>
        <v>0</v>
      </c>
      <c r="H615" s="40">
        <f t="shared" si="232"/>
        <v>0</v>
      </c>
      <c r="I615" s="104">
        <f t="shared" si="255"/>
        <v>0</v>
      </c>
      <c r="J615" s="104">
        <f t="shared" si="255"/>
        <v>0</v>
      </c>
      <c r="K615" s="104">
        <f t="shared" si="255"/>
        <v>0</v>
      </c>
      <c r="L615" s="104">
        <f t="shared" si="255"/>
        <v>0</v>
      </c>
      <c r="M615" s="104">
        <f t="shared" si="255"/>
        <v>0</v>
      </c>
      <c r="N615" s="104">
        <f t="shared" si="255"/>
        <v>0</v>
      </c>
      <c r="O615" s="55">
        <f t="shared" si="255"/>
        <v>0</v>
      </c>
      <c r="P615" s="55">
        <f t="shared" si="255"/>
        <v>0</v>
      </c>
      <c r="Q615" s="55">
        <f t="shared" si="255"/>
        <v>0</v>
      </c>
    </row>
    <row r="616" spans="1:17" x14ac:dyDescent="0.2">
      <c r="A616" s="72">
        <v>102</v>
      </c>
      <c r="B616" s="59">
        <v>606</v>
      </c>
      <c r="C616" s="40">
        <f t="shared" si="234"/>
        <v>0</v>
      </c>
      <c r="D616" s="40">
        <f t="shared" si="234"/>
        <v>0</v>
      </c>
      <c r="E616" s="40">
        <f t="shared" si="234"/>
        <v>0</v>
      </c>
      <c r="F616" s="40">
        <f t="shared" si="232"/>
        <v>0</v>
      </c>
      <c r="G616" s="40">
        <f t="shared" si="232"/>
        <v>0</v>
      </c>
      <c r="H616" s="40">
        <f t="shared" si="232"/>
        <v>0</v>
      </c>
      <c r="I616" s="104">
        <f t="shared" si="255"/>
        <v>0</v>
      </c>
      <c r="J616" s="104">
        <f t="shared" si="255"/>
        <v>0</v>
      </c>
      <c r="K616" s="104">
        <f t="shared" si="255"/>
        <v>0</v>
      </c>
      <c r="L616" s="104">
        <f t="shared" si="255"/>
        <v>0</v>
      </c>
      <c r="M616" s="104">
        <f t="shared" si="255"/>
        <v>0</v>
      </c>
      <c r="N616" s="104">
        <f t="shared" si="255"/>
        <v>0</v>
      </c>
      <c r="O616" s="55">
        <f t="shared" si="255"/>
        <v>0</v>
      </c>
      <c r="P616" s="55">
        <f t="shared" si="255"/>
        <v>0</v>
      </c>
      <c r="Q616" s="55">
        <f t="shared" si="255"/>
        <v>0</v>
      </c>
    </row>
    <row r="617" spans="1:17" x14ac:dyDescent="0.2">
      <c r="A617" s="72">
        <v>103</v>
      </c>
      <c r="B617" s="59">
        <v>607</v>
      </c>
      <c r="C617" s="40">
        <f t="shared" si="234"/>
        <v>3.4332694957598457</v>
      </c>
      <c r="D617" s="40">
        <f t="shared" si="234"/>
        <v>1.8717327794185254</v>
      </c>
      <c r="E617" s="40">
        <f t="shared" si="234"/>
        <v>0.32981104388639787</v>
      </c>
      <c r="F617" s="40">
        <f t="shared" si="232"/>
        <v>0.74636293386083608</v>
      </c>
      <c r="G617" s="40">
        <f t="shared" si="232"/>
        <v>0.34817321475331586</v>
      </c>
      <c r="H617" s="40">
        <f t="shared" si="232"/>
        <v>5.4355139759513407E-2</v>
      </c>
      <c r="I617" s="104">
        <f t="shared" si="255"/>
        <v>0.36139678902735217</v>
      </c>
      <c r="J617" s="104">
        <f t="shared" si="255"/>
        <v>0.1970245030966869</v>
      </c>
      <c r="K617" s="104">
        <f t="shared" si="255"/>
        <v>3.471695198804188E-2</v>
      </c>
      <c r="L617" s="104">
        <f t="shared" si="255"/>
        <v>0.48220077187638283</v>
      </c>
      <c r="M617" s="104">
        <f t="shared" si="255"/>
        <v>0.26288381733406258</v>
      </c>
      <c r="N617" s="104">
        <f t="shared" si="255"/>
        <v>4.6321775826741275E-2</v>
      </c>
      <c r="O617" s="55">
        <f t="shared" si="255"/>
        <v>0.38224352251574223</v>
      </c>
      <c r="P617" s="55">
        <f t="shared" si="255"/>
        <v>0.21957685264482196</v>
      </c>
      <c r="Q617" s="55">
        <f t="shared" si="255"/>
        <v>4.6321775826741275E-2</v>
      </c>
    </row>
    <row r="618" spans="1:17" x14ac:dyDescent="0.2">
      <c r="A618" s="72">
        <v>104</v>
      </c>
      <c r="B618" s="59">
        <v>608</v>
      </c>
      <c r="C618" s="40">
        <f t="shared" si="234"/>
        <v>3.4332694957598457</v>
      </c>
      <c r="D618" s="40">
        <f t="shared" si="234"/>
        <v>1.8717327794185254</v>
      </c>
      <c r="E618" s="40">
        <f t="shared" si="234"/>
        <v>0.32981104388639787</v>
      </c>
      <c r="F618" s="40">
        <f t="shared" si="232"/>
        <v>0.74636293386083608</v>
      </c>
      <c r="G618" s="40">
        <f t="shared" si="232"/>
        <v>0.34817321475331586</v>
      </c>
      <c r="H618" s="40">
        <f t="shared" si="232"/>
        <v>5.4355139759513407E-2</v>
      </c>
      <c r="I618" s="104">
        <f t="shared" si="255"/>
        <v>0.36139678902735217</v>
      </c>
      <c r="J618" s="104">
        <f t="shared" si="255"/>
        <v>0.1970245030966869</v>
      </c>
      <c r="K618" s="104">
        <f t="shared" si="255"/>
        <v>3.471695198804188E-2</v>
      </c>
      <c r="L618" s="104">
        <f t="shared" si="255"/>
        <v>0.48220077187638283</v>
      </c>
      <c r="M618" s="104">
        <f t="shared" si="255"/>
        <v>0.26288381733406258</v>
      </c>
      <c r="N618" s="104">
        <f t="shared" si="255"/>
        <v>4.6321775826741275E-2</v>
      </c>
      <c r="O618" s="55">
        <f t="shared" si="255"/>
        <v>0.38224352251574223</v>
      </c>
      <c r="P618" s="55">
        <f t="shared" si="255"/>
        <v>0.21957685264482196</v>
      </c>
      <c r="Q618" s="55">
        <f t="shared" si="255"/>
        <v>4.6321775826741275E-2</v>
      </c>
    </row>
    <row r="619" spans="1:17" x14ac:dyDescent="0.2">
      <c r="A619" s="72">
        <v>105</v>
      </c>
      <c r="B619" s="59">
        <v>609</v>
      </c>
      <c r="C619" s="40">
        <f t="shared" si="234"/>
        <v>3.4332694957598457</v>
      </c>
      <c r="D619" s="40">
        <f t="shared" si="234"/>
        <v>1.8717327794185254</v>
      </c>
      <c r="E619" s="40">
        <f t="shared" si="234"/>
        <v>0.32981104388639787</v>
      </c>
      <c r="F619" s="40">
        <f t="shared" si="232"/>
        <v>0.74636293386083608</v>
      </c>
      <c r="G619" s="40">
        <f t="shared" si="232"/>
        <v>0.34817321475331586</v>
      </c>
      <c r="H619" s="40">
        <f t="shared" si="232"/>
        <v>5.4355139759513407E-2</v>
      </c>
      <c r="I619" s="104">
        <f t="shared" si="255"/>
        <v>0.36139678902735217</v>
      </c>
      <c r="J619" s="104">
        <f t="shared" si="255"/>
        <v>0.1970245030966869</v>
      </c>
      <c r="K619" s="104">
        <f t="shared" si="255"/>
        <v>3.471695198804188E-2</v>
      </c>
      <c r="L619" s="104">
        <f t="shared" si="255"/>
        <v>0.48220077187638283</v>
      </c>
      <c r="M619" s="104">
        <f t="shared" si="255"/>
        <v>0.26288381733406258</v>
      </c>
      <c r="N619" s="104">
        <f t="shared" si="255"/>
        <v>4.6321775826741275E-2</v>
      </c>
      <c r="O619" s="55">
        <f t="shared" si="255"/>
        <v>0.38224352251574223</v>
      </c>
      <c r="P619" s="55">
        <f t="shared" si="255"/>
        <v>0.21957685264482196</v>
      </c>
      <c r="Q619" s="55">
        <f t="shared" si="255"/>
        <v>4.6321775826741275E-2</v>
      </c>
    </row>
    <row r="620" spans="1:17" x14ac:dyDescent="0.2">
      <c r="A620" s="72">
        <v>106</v>
      </c>
      <c r="B620" s="59">
        <v>610</v>
      </c>
      <c r="C620" s="40">
        <f t="shared" si="234"/>
        <v>3.4332694957598457</v>
      </c>
      <c r="D620" s="40">
        <f t="shared" si="234"/>
        <v>1.8717327794185254</v>
      </c>
      <c r="E620" s="40">
        <f t="shared" si="234"/>
        <v>0.32981104388639787</v>
      </c>
      <c r="F620" s="40">
        <f t="shared" si="232"/>
        <v>0.74636293386083608</v>
      </c>
      <c r="G620" s="40">
        <f t="shared" si="232"/>
        <v>0.34817321475331586</v>
      </c>
      <c r="H620" s="40">
        <f t="shared" si="232"/>
        <v>5.4355139759513407E-2</v>
      </c>
      <c r="I620" s="104">
        <f t="shared" ref="I620:Q639" si="256">I116</f>
        <v>0.36139678902735217</v>
      </c>
      <c r="J620" s="104">
        <f t="shared" si="256"/>
        <v>0.1970245030966869</v>
      </c>
      <c r="K620" s="104">
        <f t="shared" si="256"/>
        <v>3.471695198804188E-2</v>
      </c>
      <c r="L620" s="104">
        <f t="shared" si="256"/>
        <v>0.48220077187638283</v>
      </c>
      <c r="M620" s="104">
        <f t="shared" si="256"/>
        <v>0.26288381733406258</v>
      </c>
      <c r="N620" s="104">
        <f t="shared" si="256"/>
        <v>4.6321775826741275E-2</v>
      </c>
      <c r="O620" s="55">
        <f t="shared" si="256"/>
        <v>0.38224352251574223</v>
      </c>
      <c r="P620" s="55">
        <f t="shared" si="256"/>
        <v>0.21957685264482196</v>
      </c>
      <c r="Q620" s="55">
        <f t="shared" si="256"/>
        <v>4.6321775826741275E-2</v>
      </c>
    </row>
    <row r="621" spans="1:17" x14ac:dyDescent="0.2">
      <c r="A621" s="72">
        <v>107</v>
      </c>
      <c r="B621" s="59">
        <v>611</v>
      </c>
      <c r="C621" s="40">
        <f t="shared" si="234"/>
        <v>3.4332694957598457</v>
      </c>
      <c r="D621" s="40">
        <f t="shared" si="234"/>
        <v>1.8717327794185254</v>
      </c>
      <c r="E621" s="40">
        <f t="shared" si="234"/>
        <v>0.32981104388639787</v>
      </c>
      <c r="F621" s="40">
        <f t="shared" si="232"/>
        <v>0.74636293386083608</v>
      </c>
      <c r="G621" s="40">
        <f t="shared" si="232"/>
        <v>0.34817321475331586</v>
      </c>
      <c r="H621" s="40">
        <f t="shared" si="232"/>
        <v>5.4355139759513407E-2</v>
      </c>
      <c r="I621" s="104">
        <f t="shared" si="256"/>
        <v>0.36139678902735217</v>
      </c>
      <c r="J621" s="104">
        <f t="shared" si="256"/>
        <v>0.1970245030966869</v>
      </c>
      <c r="K621" s="104">
        <f t="shared" si="256"/>
        <v>3.471695198804188E-2</v>
      </c>
      <c r="L621" s="104">
        <f t="shared" si="256"/>
        <v>0.48220077187638283</v>
      </c>
      <c r="M621" s="104">
        <f t="shared" si="256"/>
        <v>0.26288381733406258</v>
      </c>
      <c r="N621" s="104">
        <f t="shared" si="256"/>
        <v>4.6321775826741275E-2</v>
      </c>
      <c r="O621" s="55">
        <f t="shared" si="256"/>
        <v>0.38224352251574223</v>
      </c>
      <c r="P621" s="55">
        <f t="shared" si="256"/>
        <v>0.21957685264482196</v>
      </c>
      <c r="Q621" s="55">
        <f t="shared" si="256"/>
        <v>4.6321775826741275E-2</v>
      </c>
    </row>
    <row r="622" spans="1:17" x14ac:dyDescent="0.2">
      <c r="A622" s="72">
        <v>108</v>
      </c>
      <c r="B622" s="59">
        <v>612</v>
      </c>
      <c r="C622" s="40">
        <f t="shared" si="234"/>
        <v>3.4332694957598457</v>
      </c>
      <c r="D622" s="40">
        <f t="shared" si="234"/>
        <v>1.8717327794185254</v>
      </c>
      <c r="E622" s="40">
        <f t="shared" si="234"/>
        <v>0.32981104388639787</v>
      </c>
      <c r="F622" s="40">
        <f t="shared" si="232"/>
        <v>0.74636293386083608</v>
      </c>
      <c r="G622" s="40">
        <f t="shared" si="232"/>
        <v>0.34817321475331586</v>
      </c>
      <c r="H622" s="40">
        <f t="shared" si="232"/>
        <v>5.4355139759513407E-2</v>
      </c>
      <c r="I622" s="104">
        <f t="shared" si="256"/>
        <v>0.36139678902735217</v>
      </c>
      <c r="J622" s="104">
        <f t="shared" si="256"/>
        <v>0.1970245030966869</v>
      </c>
      <c r="K622" s="104">
        <f t="shared" si="256"/>
        <v>3.471695198804188E-2</v>
      </c>
      <c r="L622" s="104">
        <f t="shared" si="256"/>
        <v>0.48220077187638283</v>
      </c>
      <c r="M622" s="104">
        <f t="shared" si="256"/>
        <v>0.26288381733406258</v>
      </c>
      <c r="N622" s="104">
        <f t="shared" si="256"/>
        <v>4.6321775826741275E-2</v>
      </c>
      <c r="O622" s="55">
        <f t="shared" si="256"/>
        <v>0.38224352251574223</v>
      </c>
      <c r="P622" s="55">
        <f t="shared" si="256"/>
        <v>0.21957685264482196</v>
      </c>
      <c r="Q622" s="55">
        <f t="shared" si="256"/>
        <v>4.6321775826741275E-2</v>
      </c>
    </row>
    <row r="623" spans="1:17" x14ac:dyDescent="0.2">
      <c r="A623" s="72">
        <v>109</v>
      </c>
      <c r="B623" s="59">
        <v>613</v>
      </c>
      <c r="C623" s="40">
        <f t="shared" si="234"/>
        <v>3.4332694957598457</v>
      </c>
      <c r="D623" s="40">
        <f t="shared" si="234"/>
        <v>1.8717327794185254</v>
      </c>
      <c r="E623" s="40">
        <f t="shared" si="234"/>
        <v>0.32981104388639787</v>
      </c>
      <c r="F623" s="40">
        <f t="shared" si="232"/>
        <v>0.74636293386083608</v>
      </c>
      <c r="G623" s="40">
        <f t="shared" si="232"/>
        <v>0.34817321475331586</v>
      </c>
      <c r="H623" s="40">
        <f t="shared" si="232"/>
        <v>5.4355139759513407E-2</v>
      </c>
      <c r="I623" s="104">
        <f t="shared" si="256"/>
        <v>0.36139678902735217</v>
      </c>
      <c r="J623" s="104">
        <f t="shared" si="256"/>
        <v>0.1970245030966869</v>
      </c>
      <c r="K623" s="104">
        <f t="shared" si="256"/>
        <v>3.471695198804188E-2</v>
      </c>
      <c r="L623" s="104">
        <f t="shared" si="256"/>
        <v>0.48220077187638283</v>
      </c>
      <c r="M623" s="104">
        <f t="shared" si="256"/>
        <v>0.26288381733406258</v>
      </c>
      <c r="N623" s="104">
        <f t="shared" si="256"/>
        <v>4.6321775826741275E-2</v>
      </c>
      <c r="O623" s="55">
        <f t="shared" si="256"/>
        <v>0.38224352251574223</v>
      </c>
      <c r="P623" s="55">
        <f t="shared" si="256"/>
        <v>0.21957685264482196</v>
      </c>
      <c r="Q623" s="55">
        <f t="shared" si="256"/>
        <v>4.6321775826741275E-2</v>
      </c>
    </row>
    <row r="624" spans="1:17" x14ac:dyDescent="0.2">
      <c r="A624" s="72">
        <v>110</v>
      </c>
      <c r="B624" s="59">
        <v>614</v>
      </c>
      <c r="C624" s="40">
        <f t="shared" si="234"/>
        <v>3.4332694957598457</v>
      </c>
      <c r="D624" s="40">
        <f t="shared" si="234"/>
        <v>1.8717327794185254</v>
      </c>
      <c r="E624" s="40">
        <f t="shared" si="234"/>
        <v>0.32981104388639787</v>
      </c>
      <c r="F624" s="40">
        <f t="shared" si="232"/>
        <v>0.74636293386083608</v>
      </c>
      <c r="G624" s="40">
        <f t="shared" si="232"/>
        <v>0.34817321475331586</v>
      </c>
      <c r="H624" s="40">
        <f t="shared" si="232"/>
        <v>5.4355139759513407E-2</v>
      </c>
      <c r="I624" s="104">
        <f t="shared" si="256"/>
        <v>0.36139678902735217</v>
      </c>
      <c r="J624" s="104">
        <f t="shared" si="256"/>
        <v>0.1970245030966869</v>
      </c>
      <c r="K624" s="104">
        <f t="shared" si="256"/>
        <v>3.471695198804188E-2</v>
      </c>
      <c r="L624" s="104">
        <f t="shared" si="256"/>
        <v>0.48220077187638283</v>
      </c>
      <c r="M624" s="104">
        <f t="shared" si="256"/>
        <v>0.26288381733406258</v>
      </c>
      <c r="N624" s="104">
        <f t="shared" si="256"/>
        <v>4.6321775826741275E-2</v>
      </c>
      <c r="O624" s="55">
        <f t="shared" si="256"/>
        <v>0.38224352251574223</v>
      </c>
      <c r="P624" s="55">
        <f t="shared" si="256"/>
        <v>0.21957685264482196</v>
      </c>
      <c r="Q624" s="55">
        <f t="shared" si="256"/>
        <v>4.6321775826741275E-2</v>
      </c>
    </row>
    <row r="625" spans="1:17" x14ac:dyDescent="0.2">
      <c r="A625" s="72">
        <v>111</v>
      </c>
      <c r="B625" s="59">
        <v>615</v>
      </c>
      <c r="C625" s="40">
        <f t="shared" si="234"/>
        <v>3.4332694957598457</v>
      </c>
      <c r="D625" s="40">
        <f t="shared" si="234"/>
        <v>1.8717327794185254</v>
      </c>
      <c r="E625" s="40">
        <f t="shared" si="234"/>
        <v>0.32981104388639787</v>
      </c>
      <c r="F625" s="40">
        <f t="shared" si="232"/>
        <v>0.74636293386083608</v>
      </c>
      <c r="G625" s="40">
        <f t="shared" si="232"/>
        <v>0.34817321475331586</v>
      </c>
      <c r="H625" s="40">
        <f t="shared" si="232"/>
        <v>5.4355139759513407E-2</v>
      </c>
      <c r="I625" s="104">
        <f t="shared" si="256"/>
        <v>0.36139678902735217</v>
      </c>
      <c r="J625" s="104">
        <f t="shared" si="256"/>
        <v>0.1970245030966869</v>
      </c>
      <c r="K625" s="104">
        <f t="shared" si="256"/>
        <v>3.471695198804188E-2</v>
      </c>
      <c r="L625" s="104">
        <f t="shared" si="256"/>
        <v>0.48220077187638283</v>
      </c>
      <c r="M625" s="104">
        <f t="shared" si="256"/>
        <v>0.26288381733406258</v>
      </c>
      <c r="N625" s="104">
        <f t="shared" si="256"/>
        <v>4.6321775826741275E-2</v>
      </c>
      <c r="O625" s="55">
        <f t="shared" si="256"/>
        <v>0.38224352251574223</v>
      </c>
      <c r="P625" s="55">
        <f t="shared" si="256"/>
        <v>0.21957685264482196</v>
      </c>
      <c r="Q625" s="55">
        <f t="shared" si="256"/>
        <v>4.6321775826741275E-2</v>
      </c>
    </row>
    <row r="626" spans="1:17" x14ac:dyDescent="0.2">
      <c r="A626" s="72">
        <v>112</v>
      </c>
      <c r="B626" s="59">
        <v>616</v>
      </c>
      <c r="C626" s="40">
        <f t="shared" si="234"/>
        <v>3.4332694957598457</v>
      </c>
      <c r="D626" s="40">
        <f t="shared" si="234"/>
        <v>1.8717327794185254</v>
      </c>
      <c r="E626" s="40">
        <f t="shared" si="234"/>
        <v>0.32981104388639787</v>
      </c>
      <c r="F626" s="40">
        <f t="shared" si="232"/>
        <v>0.74636293386083608</v>
      </c>
      <c r="G626" s="40">
        <f t="shared" si="232"/>
        <v>0.34817321475331586</v>
      </c>
      <c r="H626" s="40">
        <f t="shared" si="232"/>
        <v>5.4355139759513407E-2</v>
      </c>
      <c r="I626" s="104">
        <f t="shared" si="256"/>
        <v>0.36139678902735217</v>
      </c>
      <c r="J626" s="104">
        <f t="shared" si="256"/>
        <v>0.1970245030966869</v>
      </c>
      <c r="K626" s="104">
        <f t="shared" si="256"/>
        <v>3.471695198804188E-2</v>
      </c>
      <c r="L626" s="104">
        <f t="shared" si="256"/>
        <v>0.48220077187638283</v>
      </c>
      <c r="M626" s="104">
        <f t="shared" si="256"/>
        <v>0.26288381733406258</v>
      </c>
      <c r="N626" s="104">
        <f t="shared" si="256"/>
        <v>4.6321775826741275E-2</v>
      </c>
      <c r="O626" s="55">
        <f t="shared" si="256"/>
        <v>0.38224352251574223</v>
      </c>
      <c r="P626" s="55">
        <f t="shared" si="256"/>
        <v>0.21957685264482196</v>
      </c>
      <c r="Q626" s="55">
        <f t="shared" si="256"/>
        <v>4.6321775826741275E-2</v>
      </c>
    </row>
    <row r="627" spans="1:17" x14ac:dyDescent="0.2">
      <c r="A627" s="72">
        <v>113</v>
      </c>
      <c r="B627" s="59">
        <v>617</v>
      </c>
      <c r="C627" s="40">
        <f t="shared" si="234"/>
        <v>3.4332694957598457</v>
      </c>
      <c r="D627" s="40">
        <f t="shared" si="234"/>
        <v>1.8717327794185254</v>
      </c>
      <c r="E627" s="40">
        <f t="shared" si="234"/>
        <v>0.32981104388639787</v>
      </c>
      <c r="F627" s="40">
        <f t="shared" si="232"/>
        <v>0.74636293386083608</v>
      </c>
      <c r="G627" s="40">
        <f t="shared" si="232"/>
        <v>0.34817321475331586</v>
      </c>
      <c r="H627" s="40">
        <f t="shared" si="232"/>
        <v>5.4355139759513407E-2</v>
      </c>
      <c r="I627" s="104">
        <f t="shared" si="256"/>
        <v>0.36139678902735217</v>
      </c>
      <c r="J627" s="104">
        <f t="shared" si="256"/>
        <v>0.1970245030966869</v>
      </c>
      <c r="K627" s="104">
        <f t="shared" si="256"/>
        <v>3.471695198804188E-2</v>
      </c>
      <c r="L627" s="104">
        <f t="shared" si="256"/>
        <v>0.48220077187638283</v>
      </c>
      <c r="M627" s="104">
        <f t="shared" si="256"/>
        <v>0.26288381733406258</v>
      </c>
      <c r="N627" s="104">
        <f t="shared" si="256"/>
        <v>4.6321775826741275E-2</v>
      </c>
      <c r="O627" s="55">
        <f t="shared" si="256"/>
        <v>0.38224352251574223</v>
      </c>
      <c r="P627" s="55">
        <f t="shared" si="256"/>
        <v>0.21957685264482196</v>
      </c>
      <c r="Q627" s="55">
        <f t="shared" si="256"/>
        <v>4.6321775826741275E-2</v>
      </c>
    </row>
    <row r="628" spans="1:17" x14ac:dyDescent="0.2">
      <c r="A628" s="72">
        <v>114</v>
      </c>
      <c r="B628" s="59">
        <v>618</v>
      </c>
      <c r="C628" s="40">
        <f t="shared" si="234"/>
        <v>3.4332694957598457</v>
      </c>
      <c r="D628" s="40">
        <f t="shared" si="234"/>
        <v>1.8717327794185254</v>
      </c>
      <c r="E628" s="40">
        <f t="shared" si="234"/>
        <v>0.32981104388639787</v>
      </c>
      <c r="F628" s="40">
        <f t="shared" si="232"/>
        <v>0.74636293386083608</v>
      </c>
      <c r="G628" s="40">
        <f t="shared" si="232"/>
        <v>0.34817321475331586</v>
      </c>
      <c r="H628" s="40">
        <f t="shared" si="232"/>
        <v>5.4355139759513407E-2</v>
      </c>
      <c r="I628" s="104">
        <f t="shared" si="256"/>
        <v>0.36139678902735217</v>
      </c>
      <c r="J628" s="104">
        <f t="shared" si="256"/>
        <v>0.1970245030966869</v>
      </c>
      <c r="K628" s="104">
        <f t="shared" si="256"/>
        <v>3.471695198804188E-2</v>
      </c>
      <c r="L628" s="104">
        <f t="shared" si="256"/>
        <v>0.48220077187638283</v>
      </c>
      <c r="M628" s="104">
        <f t="shared" si="256"/>
        <v>0.26288381733406258</v>
      </c>
      <c r="N628" s="104">
        <f t="shared" si="256"/>
        <v>4.6321775826741275E-2</v>
      </c>
      <c r="O628" s="55">
        <f t="shared" si="256"/>
        <v>0.38224352251574223</v>
      </c>
      <c r="P628" s="55">
        <f t="shared" si="256"/>
        <v>0.21957685264482196</v>
      </c>
      <c r="Q628" s="55">
        <f t="shared" si="256"/>
        <v>4.6321775826741275E-2</v>
      </c>
    </row>
    <row r="629" spans="1:17" x14ac:dyDescent="0.2">
      <c r="A629" s="72">
        <v>115</v>
      </c>
      <c r="B629" s="59">
        <v>619</v>
      </c>
      <c r="C629" s="40">
        <f t="shared" si="234"/>
        <v>3.4332694957598457</v>
      </c>
      <c r="D629" s="40">
        <f t="shared" si="234"/>
        <v>1.8717327794185254</v>
      </c>
      <c r="E629" s="40">
        <f t="shared" si="234"/>
        <v>0.32981104388639787</v>
      </c>
      <c r="F629" s="40">
        <f t="shared" si="232"/>
        <v>0.74636293386083608</v>
      </c>
      <c r="G629" s="40">
        <f t="shared" si="232"/>
        <v>0.34817321475331586</v>
      </c>
      <c r="H629" s="40">
        <f t="shared" si="232"/>
        <v>5.4355139759513407E-2</v>
      </c>
      <c r="I629" s="104">
        <f t="shared" si="256"/>
        <v>0.36139678902735217</v>
      </c>
      <c r="J629" s="104">
        <f t="shared" si="256"/>
        <v>0.1970245030966869</v>
      </c>
      <c r="K629" s="104">
        <f t="shared" si="256"/>
        <v>3.471695198804188E-2</v>
      </c>
      <c r="L629" s="104">
        <f t="shared" si="256"/>
        <v>0.48220077187638283</v>
      </c>
      <c r="M629" s="104">
        <f t="shared" si="256"/>
        <v>0.26288381733406258</v>
      </c>
      <c r="N629" s="104">
        <f t="shared" si="256"/>
        <v>4.6321775826741275E-2</v>
      </c>
      <c r="O629" s="55">
        <f t="shared" si="256"/>
        <v>0.38224352251574223</v>
      </c>
      <c r="P629" s="55">
        <f t="shared" si="256"/>
        <v>0.21957685264482196</v>
      </c>
      <c r="Q629" s="55">
        <f t="shared" si="256"/>
        <v>4.6321775826741275E-2</v>
      </c>
    </row>
    <row r="630" spans="1:17" x14ac:dyDescent="0.2">
      <c r="A630" s="72">
        <v>116</v>
      </c>
      <c r="B630" s="59">
        <v>620</v>
      </c>
      <c r="C630" s="40">
        <f t="shared" si="234"/>
        <v>3.4332694957598457</v>
      </c>
      <c r="D630" s="40">
        <f t="shared" si="234"/>
        <v>1.8717327794185254</v>
      </c>
      <c r="E630" s="40">
        <f t="shared" si="234"/>
        <v>0.32981104388639787</v>
      </c>
      <c r="F630" s="40">
        <f t="shared" si="232"/>
        <v>0.74636293386083608</v>
      </c>
      <c r="G630" s="40">
        <f t="shared" si="232"/>
        <v>0.34817321475331586</v>
      </c>
      <c r="H630" s="40">
        <f t="shared" si="232"/>
        <v>5.4355139759513407E-2</v>
      </c>
      <c r="I630" s="104">
        <f t="shared" si="256"/>
        <v>0.36139678902735217</v>
      </c>
      <c r="J630" s="104">
        <f t="shared" si="256"/>
        <v>0.1970245030966869</v>
      </c>
      <c r="K630" s="104">
        <f t="shared" si="256"/>
        <v>3.471695198804188E-2</v>
      </c>
      <c r="L630" s="104">
        <f t="shared" si="256"/>
        <v>0.48220077187638283</v>
      </c>
      <c r="M630" s="104">
        <f t="shared" si="256"/>
        <v>0.26288381733406258</v>
      </c>
      <c r="N630" s="104">
        <f t="shared" si="256"/>
        <v>4.6321775826741275E-2</v>
      </c>
      <c r="O630" s="55">
        <f t="shared" si="256"/>
        <v>0.38224352251574223</v>
      </c>
      <c r="P630" s="55">
        <f t="shared" si="256"/>
        <v>0.21957685264482196</v>
      </c>
      <c r="Q630" s="55">
        <f t="shared" si="256"/>
        <v>4.6321775826741275E-2</v>
      </c>
    </row>
    <row r="631" spans="1:17" x14ac:dyDescent="0.2">
      <c r="A631" s="72">
        <v>117</v>
      </c>
      <c r="B631" s="59">
        <v>621</v>
      </c>
      <c r="C631" s="40">
        <f t="shared" si="234"/>
        <v>3.4332694957598457</v>
      </c>
      <c r="D631" s="40">
        <f t="shared" si="234"/>
        <v>1.8717327794185254</v>
      </c>
      <c r="E631" s="40">
        <f t="shared" si="234"/>
        <v>0.32981104388639787</v>
      </c>
      <c r="F631" s="40">
        <f t="shared" si="232"/>
        <v>0.74636293386083608</v>
      </c>
      <c r="G631" s="40">
        <f t="shared" si="232"/>
        <v>0.34817321475331586</v>
      </c>
      <c r="H631" s="40">
        <f t="shared" si="232"/>
        <v>5.4355139759513407E-2</v>
      </c>
      <c r="I631" s="104">
        <f t="shared" si="256"/>
        <v>0.36139678902735217</v>
      </c>
      <c r="J631" s="104">
        <f t="shared" si="256"/>
        <v>0.1970245030966869</v>
      </c>
      <c r="K631" s="104">
        <f t="shared" si="256"/>
        <v>3.471695198804188E-2</v>
      </c>
      <c r="L631" s="104">
        <f t="shared" si="256"/>
        <v>0.48220077187638283</v>
      </c>
      <c r="M631" s="104">
        <f t="shared" si="256"/>
        <v>0.26288381733406258</v>
      </c>
      <c r="N631" s="104">
        <f t="shared" si="256"/>
        <v>4.6321775826741275E-2</v>
      </c>
      <c r="O631" s="55">
        <f t="shared" si="256"/>
        <v>0.38224352251574223</v>
      </c>
      <c r="P631" s="55">
        <f t="shared" si="256"/>
        <v>0.21957685264482196</v>
      </c>
      <c r="Q631" s="55">
        <f t="shared" si="256"/>
        <v>4.6321775826741275E-2</v>
      </c>
    </row>
    <row r="632" spans="1:17" x14ac:dyDescent="0.2">
      <c r="A632" s="72">
        <v>118</v>
      </c>
      <c r="B632" s="59">
        <v>622</v>
      </c>
      <c r="C632" s="40">
        <f t="shared" si="234"/>
        <v>3.4332694957598457</v>
      </c>
      <c r="D632" s="40">
        <f t="shared" si="234"/>
        <v>1.8717327794185254</v>
      </c>
      <c r="E632" s="40">
        <f t="shared" si="234"/>
        <v>0.32981104388639787</v>
      </c>
      <c r="F632" s="40">
        <f t="shared" si="232"/>
        <v>0.74636293386083608</v>
      </c>
      <c r="G632" s="40">
        <f t="shared" si="232"/>
        <v>0.34817321475331586</v>
      </c>
      <c r="H632" s="40">
        <f t="shared" si="232"/>
        <v>5.4355139759513407E-2</v>
      </c>
      <c r="I632" s="104">
        <f t="shared" si="256"/>
        <v>0.36139678902735217</v>
      </c>
      <c r="J632" s="104">
        <f t="shared" si="256"/>
        <v>0.1970245030966869</v>
      </c>
      <c r="K632" s="104">
        <f t="shared" si="256"/>
        <v>3.471695198804188E-2</v>
      </c>
      <c r="L632" s="104">
        <f t="shared" si="256"/>
        <v>0.48220077187638283</v>
      </c>
      <c r="M632" s="104">
        <f t="shared" si="256"/>
        <v>0.26288381733406258</v>
      </c>
      <c r="N632" s="104">
        <f t="shared" si="256"/>
        <v>4.6321775826741275E-2</v>
      </c>
      <c r="O632" s="55">
        <f t="shared" si="256"/>
        <v>0.38224352251574223</v>
      </c>
      <c r="P632" s="55">
        <f t="shared" si="256"/>
        <v>0.21957685264482196</v>
      </c>
      <c r="Q632" s="55">
        <f t="shared" si="256"/>
        <v>4.6321775826741275E-2</v>
      </c>
    </row>
    <row r="633" spans="1:17" x14ac:dyDescent="0.2">
      <c r="A633" s="72">
        <v>119</v>
      </c>
      <c r="B633" s="59">
        <v>623</v>
      </c>
      <c r="C633" s="40">
        <f t="shared" si="234"/>
        <v>0</v>
      </c>
      <c r="D633" s="40">
        <f t="shared" si="234"/>
        <v>0</v>
      </c>
      <c r="E633" s="40">
        <f t="shared" si="234"/>
        <v>0</v>
      </c>
      <c r="F633" s="40">
        <f t="shared" si="232"/>
        <v>0</v>
      </c>
      <c r="G633" s="40">
        <f t="shared" si="232"/>
        <v>0</v>
      </c>
      <c r="H633" s="40">
        <f t="shared" si="232"/>
        <v>0</v>
      </c>
      <c r="I633" s="104">
        <f t="shared" si="256"/>
        <v>0</v>
      </c>
      <c r="J633" s="104">
        <f t="shared" si="256"/>
        <v>0</v>
      </c>
      <c r="K633" s="104">
        <f t="shared" si="256"/>
        <v>0</v>
      </c>
      <c r="L633" s="104">
        <f t="shared" si="256"/>
        <v>0</v>
      </c>
      <c r="M633" s="104">
        <f t="shared" si="256"/>
        <v>0</v>
      </c>
      <c r="N633" s="104">
        <f t="shared" si="256"/>
        <v>0</v>
      </c>
      <c r="O633" s="55">
        <f t="shared" si="256"/>
        <v>0</v>
      </c>
      <c r="P633" s="55">
        <f t="shared" si="256"/>
        <v>0</v>
      </c>
      <c r="Q633" s="55">
        <f t="shared" si="256"/>
        <v>0</v>
      </c>
    </row>
    <row r="634" spans="1:17" x14ac:dyDescent="0.2">
      <c r="A634" s="72">
        <v>120</v>
      </c>
      <c r="B634" s="59">
        <v>624</v>
      </c>
      <c r="C634" s="40">
        <f t="shared" si="234"/>
        <v>0</v>
      </c>
      <c r="D634" s="40">
        <f t="shared" si="234"/>
        <v>0</v>
      </c>
      <c r="E634" s="40">
        <f t="shared" si="234"/>
        <v>0</v>
      </c>
      <c r="F634" s="40">
        <f t="shared" si="232"/>
        <v>0</v>
      </c>
      <c r="G634" s="40">
        <f t="shared" si="232"/>
        <v>0</v>
      </c>
      <c r="H634" s="40">
        <f t="shared" si="232"/>
        <v>0</v>
      </c>
      <c r="I634" s="104">
        <f t="shared" si="256"/>
        <v>0</v>
      </c>
      <c r="J634" s="104">
        <f t="shared" si="256"/>
        <v>0</v>
      </c>
      <c r="K634" s="104">
        <f t="shared" si="256"/>
        <v>0</v>
      </c>
      <c r="L634" s="104">
        <f t="shared" si="256"/>
        <v>0</v>
      </c>
      <c r="M634" s="104">
        <f t="shared" si="256"/>
        <v>0</v>
      </c>
      <c r="N634" s="104">
        <f t="shared" si="256"/>
        <v>0</v>
      </c>
      <c r="O634" s="55">
        <f t="shared" si="256"/>
        <v>0</v>
      </c>
      <c r="P634" s="55">
        <f t="shared" si="256"/>
        <v>0</v>
      </c>
      <c r="Q634" s="55">
        <f t="shared" si="256"/>
        <v>0</v>
      </c>
    </row>
    <row r="635" spans="1:17" x14ac:dyDescent="0.2">
      <c r="A635" s="72">
        <v>121</v>
      </c>
      <c r="B635" s="59">
        <v>625</v>
      </c>
      <c r="C635" s="40">
        <f t="shared" si="234"/>
        <v>0</v>
      </c>
      <c r="D635" s="40">
        <f t="shared" si="234"/>
        <v>0</v>
      </c>
      <c r="E635" s="40">
        <f t="shared" si="234"/>
        <v>0</v>
      </c>
      <c r="F635" s="40">
        <f t="shared" si="232"/>
        <v>0</v>
      </c>
      <c r="G635" s="40">
        <f t="shared" si="232"/>
        <v>0</v>
      </c>
      <c r="H635" s="40">
        <f t="shared" si="232"/>
        <v>0</v>
      </c>
      <c r="I635" s="104">
        <f t="shared" si="256"/>
        <v>0</v>
      </c>
      <c r="J635" s="104">
        <f t="shared" si="256"/>
        <v>0</v>
      </c>
      <c r="K635" s="104">
        <f t="shared" si="256"/>
        <v>0</v>
      </c>
      <c r="L635" s="104">
        <f t="shared" si="256"/>
        <v>0</v>
      </c>
      <c r="M635" s="104">
        <f t="shared" si="256"/>
        <v>0</v>
      </c>
      <c r="N635" s="104">
        <f t="shared" si="256"/>
        <v>0</v>
      </c>
      <c r="O635" s="55">
        <f t="shared" si="256"/>
        <v>0</v>
      </c>
      <c r="P635" s="55">
        <f t="shared" si="256"/>
        <v>0</v>
      </c>
      <c r="Q635" s="55">
        <f t="shared" si="256"/>
        <v>0</v>
      </c>
    </row>
    <row r="636" spans="1:17" x14ac:dyDescent="0.2">
      <c r="A636" s="72">
        <v>122</v>
      </c>
      <c r="B636" s="59">
        <v>626</v>
      </c>
      <c r="C636" s="40">
        <f t="shared" si="234"/>
        <v>0</v>
      </c>
      <c r="D636" s="40">
        <f t="shared" si="234"/>
        <v>0</v>
      </c>
      <c r="E636" s="40">
        <f t="shared" si="234"/>
        <v>0</v>
      </c>
      <c r="F636" s="40">
        <f t="shared" si="232"/>
        <v>0</v>
      </c>
      <c r="G636" s="40">
        <f t="shared" si="232"/>
        <v>0</v>
      </c>
      <c r="H636" s="40">
        <f t="shared" si="232"/>
        <v>0</v>
      </c>
      <c r="I636" s="104">
        <f t="shared" si="256"/>
        <v>0</v>
      </c>
      <c r="J636" s="104">
        <f t="shared" si="256"/>
        <v>0</v>
      </c>
      <c r="K636" s="104">
        <f t="shared" si="256"/>
        <v>0</v>
      </c>
      <c r="L636" s="104">
        <f t="shared" si="256"/>
        <v>0</v>
      </c>
      <c r="M636" s="104">
        <f t="shared" si="256"/>
        <v>0</v>
      </c>
      <c r="N636" s="104">
        <f t="shared" si="256"/>
        <v>0</v>
      </c>
      <c r="O636" s="55">
        <f t="shared" si="256"/>
        <v>0</v>
      </c>
      <c r="P636" s="55">
        <f t="shared" si="256"/>
        <v>0</v>
      </c>
      <c r="Q636" s="55">
        <f t="shared" si="256"/>
        <v>0</v>
      </c>
    </row>
    <row r="637" spans="1:17" x14ac:dyDescent="0.2">
      <c r="A637" s="72">
        <v>123</v>
      </c>
      <c r="B637" s="59">
        <v>627</v>
      </c>
      <c r="C637" s="40">
        <f t="shared" si="234"/>
        <v>0</v>
      </c>
      <c r="D637" s="40">
        <f t="shared" si="234"/>
        <v>0</v>
      </c>
      <c r="E637" s="40">
        <f t="shared" si="234"/>
        <v>0</v>
      </c>
      <c r="F637" s="40">
        <f t="shared" si="232"/>
        <v>0</v>
      </c>
      <c r="G637" s="40">
        <f t="shared" si="232"/>
        <v>0</v>
      </c>
      <c r="H637" s="40">
        <f t="shared" si="232"/>
        <v>0</v>
      </c>
      <c r="I637" s="104">
        <f t="shared" si="256"/>
        <v>0</v>
      </c>
      <c r="J637" s="104">
        <f t="shared" si="256"/>
        <v>0</v>
      </c>
      <c r="K637" s="104">
        <f t="shared" si="256"/>
        <v>0</v>
      </c>
      <c r="L637" s="104">
        <f t="shared" si="256"/>
        <v>0</v>
      </c>
      <c r="M637" s="104">
        <f t="shared" si="256"/>
        <v>0</v>
      </c>
      <c r="N637" s="104">
        <f t="shared" si="256"/>
        <v>0</v>
      </c>
      <c r="O637" s="55">
        <f t="shared" si="256"/>
        <v>0</v>
      </c>
      <c r="P637" s="55">
        <f t="shared" si="256"/>
        <v>0</v>
      </c>
      <c r="Q637" s="55">
        <f t="shared" si="256"/>
        <v>0</v>
      </c>
    </row>
    <row r="638" spans="1:17" x14ac:dyDescent="0.2">
      <c r="A638" s="72">
        <v>124</v>
      </c>
      <c r="B638" s="59">
        <v>628</v>
      </c>
      <c r="C638" s="40">
        <f t="shared" si="234"/>
        <v>0</v>
      </c>
      <c r="D638" s="40">
        <f t="shared" si="234"/>
        <v>0</v>
      </c>
      <c r="E638" s="40">
        <f t="shared" si="234"/>
        <v>0</v>
      </c>
      <c r="F638" s="40">
        <f t="shared" si="232"/>
        <v>0</v>
      </c>
      <c r="G638" s="40">
        <f t="shared" si="232"/>
        <v>0</v>
      </c>
      <c r="H638" s="40">
        <f t="shared" si="232"/>
        <v>0</v>
      </c>
      <c r="I638" s="104">
        <f t="shared" si="256"/>
        <v>0</v>
      </c>
      <c r="J638" s="104">
        <f t="shared" si="256"/>
        <v>0</v>
      </c>
      <c r="K638" s="104">
        <f t="shared" si="256"/>
        <v>0</v>
      </c>
      <c r="L638" s="104">
        <f t="shared" si="256"/>
        <v>0</v>
      </c>
      <c r="M638" s="104">
        <f t="shared" si="256"/>
        <v>0</v>
      </c>
      <c r="N638" s="104">
        <f t="shared" si="256"/>
        <v>0</v>
      </c>
      <c r="O638" s="55">
        <f t="shared" si="256"/>
        <v>0</v>
      </c>
      <c r="P638" s="55">
        <f t="shared" si="256"/>
        <v>0</v>
      </c>
      <c r="Q638" s="55">
        <f t="shared" si="256"/>
        <v>0</v>
      </c>
    </row>
    <row r="639" spans="1:17" x14ac:dyDescent="0.2">
      <c r="A639" s="72">
        <v>125</v>
      </c>
      <c r="B639" s="59">
        <v>629</v>
      </c>
      <c r="C639" s="40">
        <f t="shared" si="234"/>
        <v>0</v>
      </c>
      <c r="D639" s="40">
        <f t="shared" si="234"/>
        <v>0</v>
      </c>
      <c r="E639" s="40">
        <f t="shared" si="234"/>
        <v>0</v>
      </c>
      <c r="F639" s="40">
        <f t="shared" si="232"/>
        <v>0</v>
      </c>
      <c r="G639" s="40">
        <f t="shared" si="232"/>
        <v>0</v>
      </c>
      <c r="H639" s="40">
        <f t="shared" si="232"/>
        <v>0</v>
      </c>
      <c r="I639" s="104">
        <f t="shared" si="256"/>
        <v>0</v>
      </c>
      <c r="J639" s="104">
        <f t="shared" si="256"/>
        <v>0</v>
      </c>
      <c r="K639" s="104">
        <f t="shared" si="256"/>
        <v>0</v>
      </c>
      <c r="L639" s="104">
        <f t="shared" si="256"/>
        <v>0</v>
      </c>
      <c r="M639" s="104">
        <f t="shared" si="256"/>
        <v>0</v>
      </c>
      <c r="N639" s="104">
        <f t="shared" si="256"/>
        <v>0</v>
      </c>
      <c r="O639" s="55">
        <f t="shared" si="256"/>
        <v>0</v>
      </c>
      <c r="P639" s="55">
        <f t="shared" si="256"/>
        <v>0</v>
      </c>
      <c r="Q639" s="55">
        <f t="shared" si="256"/>
        <v>0</v>
      </c>
    </row>
    <row r="640" spans="1:17" x14ac:dyDescent="0.2">
      <c r="A640" s="72">
        <v>126</v>
      </c>
      <c r="B640" s="59">
        <v>630</v>
      </c>
      <c r="C640" s="40">
        <f t="shared" si="234"/>
        <v>0</v>
      </c>
      <c r="D640" s="40">
        <f t="shared" si="234"/>
        <v>0</v>
      </c>
      <c r="E640" s="40">
        <f t="shared" si="234"/>
        <v>0</v>
      </c>
      <c r="F640" s="40">
        <f t="shared" si="232"/>
        <v>0</v>
      </c>
      <c r="G640" s="40">
        <f t="shared" si="232"/>
        <v>0</v>
      </c>
      <c r="H640" s="40">
        <f t="shared" si="232"/>
        <v>0</v>
      </c>
      <c r="I640" s="104">
        <f t="shared" ref="I640:Q659" si="257">I136</f>
        <v>0</v>
      </c>
      <c r="J640" s="104">
        <f t="shared" si="257"/>
        <v>0</v>
      </c>
      <c r="K640" s="104">
        <f t="shared" si="257"/>
        <v>0</v>
      </c>
      <c r="L640" s="104">
        <f t="shared" si="257"/>
        <v>0</v>
      </c>
      <c r="M640" s="104">
        <f t="shared" si="257"/>
        <v>0</v>
      </c>
      <c r="N640" s="104">
        <f t="shared" si="257"/>
        <v>0</v>
      </c>
      <c r="O640" s="55">
        <f t="shared" si="257"/>
        <v>0</v>
      </c>
      <c r="P640" s="55">
        <f t="shared" si="257"/>
        <v>0</v>
      </c>
      <c r="Q640" s="55">
        <f t="shared" si="257"/>
        <v>0</v>
      </c>
    </row>
    <row r="641" spans="1:17" x14ac:dyDescent="0.2">
      <c r="A641" s="72">
        <v>127</v>
      </c>
      <c r="B641" s="59">
        <v>631</v>
      </c>
      <c r="C641" s="40">
        <f t="shared" si="234"/>
        <v>3.4332694957598457</v>
      </c>
      <c r="D641" s="40">
        <f t="shared" si="234"/>
        <v>1.8717327794185254</v>
      </c>
      <c r="E641" s="40">
        <f t="shared" si="234"/>
        <v>0.32981104388639787</v>
      </c>
      <c r="F641" s="40">
        <f t="shared" si="232"/>
        <v>0.74636293386083608</v>
      </c>
      <c r="G641" s="40">
        <f t="shared" si="232"/>
        <v>0.34817321475331586</v>
      </c>
      <c r="H641" s="40">
        <f t="shared" si="232"/>
        <v>5.4355139759513407E-2</v>
      </c>
      <c r="I641" s="104">
        <f t="shared" si="257"/>
        <v>0.36139678902735217</v>
      </c>
      <c r="J641" s="104">
        <f t="shared" si="257"/>
        <v>0.1970245030966869</v>
      </c>
      <c r="K641" s="104">
        <f t="shared" si="257"/>
        <v>3.471695198804188E-2</v>
      </c>
      <c r="L641" s="104">
        <f t="shared" si="257"/>
        <v>0.48220077187638283</v>
      </c>
      <c r="M641" s="104">
        <f t="shared" si="257"/>
        <v>0.26288381733406258</v>
      </c>
      <c r="N641" s="104">
        <f t="shared" si="257"/>
        <v>4.6321775826741275E-2</v>
      </c>
      <c r="O641" s="55">
        <f t="shared" si="257"/>
        <v>0.38224352251574223</v>
      </c>
      <c r="P641" s="55">
        <f t="shared" si="257"/>
        <v>0.21957685264482196</v>
      </c>
      <c r="Q641" s="55">
        <f t="shared" si="257"/>
        <v>4.6321775826741275E-2</v>
      </c>
    </row>
    <row r="642" spans="1:17" x14ac:dyDescent="0.2">
      <c r="A642" s="72">
        <v>128</v>
      </c>
      <c r="B642" s="59">
        <v>632</v>
      </c>
      <c r="C642" s="40">
        <f t="shared" si="234"/>
        <v>3.4332694957598457</v>
      </c>
      <c r="D642" s="40">
        <f t="shared" si="234"/>
        <v>1.8717327794185254</v>
      </c>
      <c r="E642" s="40">
        <f t="shared" si="234"/>
        <v>0.32981104388639787</v>
      </c>
      <c r="F642" s="40">
        <f t="shared" si="232"/>
        <v>0.74636293386083608</v>
      </c>
      <c r="G642" s="40">
        <f t="shared" si="232"/>
        <v>0.34817321475331586</v>
      </c>
      <c r="H642" s="40">
        <f t="shared" si="232"/>
        <v>5.4355139759513407E-2</v>
      </c>
      <c r="I642" s="104">
        <f t="shared" si="257"/>
        <v>0.36139678902735217</v>
      </c>
      <c r="J642" s="104">
        <f t="shared" si="257"/>
        <v>0.1970245030966869</v>
      </c>
      <c r="K642" s="104">
        <f t="shared" si="257"/>
        <v>3.471695198804188E-2</v>
      </c>
      <c r="L642" s="104">
        <f t="shared" si="257"/>
        <v>0.48220077187638283</v>
      </c>
      <c r="M642" s="104">
        <f t="shared" si="257"/>
        <v>0.26288381733406258</v>
      </c>
      <c r="N642" s="104">
        <f t="shared" si="257"/>
        <v>4.6321775826741275E-2</v>
      </c>
      <c r="O642" s="55">
        <f t="shared" si="257"/>
        <v>0.38224352251574223</v>
      </c>
      <c r="P642" s="55">
        <f t="shared" si="257"/>
        <v>0.21957685264482196</v>
      </c>
      <c r="Q642" s="55">
        <f t="shared" si="257"/>
        <v>4.6321775826741275E-2</v>
      </c>
    </row>
    <row r="643" spans="1:17" x14ac:dyDescent="0.2">
      <c r="A643" s="72">
        <v>129</v>
      </c>
      <c r="B643" s="59">
        <v>633</v>
      </c>
      <c r="C643" s="40">
        <f t="shared" si="234"/>
        <v>0</v>
      </c>
      <c r="D643" s="40">
        <f t="shared" si="234"/>
        <v>0</v>
      </c>
      <c r="E643" s="40">
        <f t="shared" si="234"/>
        <v>0</v>
      </c>
      <c r="F643" s="40">
        <f t="shared" si="234"/>
        <v>0</v>
      </c>
      <c r="G643" s="40">
        <f t="shared" ref="G643:H662" si="258">G139</f>
        <v>0</v>
      </c>
      <c r="H643" s="40">
        <f t="shared" si="258"/>
        <v>0</v>
      </c>
      <c r="I643" s="104">
        <f t="shared" si="257"/>
        <v>0</v>
      </c>
      <c r="J643" s="104">
        <f t="shared" si="257"/>
        <v>0</v>
      </c>
      <c r="K643" s="104">
        <f t="shared" si="257"/>
        <v>0</v>
      </c>
      <c r="L643" s="104">
        <f t="shared" si="257"/>
        <v>0</v>
      </c>
      <c r="M643" s="104">
        <f t="shared" si="257"/>
        <v>0</v>
      </c>
      <c r="N643" s="104">
        <f t="shared" si="257"/>
        <v>0</v>
      </c>
      <c r="O643" s="55">
        <f t="shared" si="257"/>
        <v>0</v>
      </c>
      <c r="P643" s="55">
        <f t="shared" si="257"/>
        <v>0</v>
      </c>
      <c r="Q643" s="55">
        <f t="shared" si="257"/>
        <v>0</v>
      </c>
    </row>
    <row r="644" spans="1:17" x14ac:dyDescent="0.2">
      <c r="A644" s="72">
        <v>130</v>
      </c>
      <c r="B644" s="59">
        <v>634</v>
      </c>
      <c r="C644" s="40">
        <f t="shared" ref="C644:F682" si="259">C140</f>
        <v>0</v>
      </c>
      <c r="D644" s="40">
        <f t="shared" si="259"/>
        <v>0</v>
      </c>
      <c r="E644" s="40">
        <f t="shared" si="259"/>
        <v>0</v>
      </c>
      <c r="F644" s="40">
        <f t="shared" si="259"/>
        <v>0</v>
      </c>
      <c r="G644" s="40">
        <f t="shared" si="258"/>
        <v>0</v>
      </c>
      <c r="H644" s="40">
        <f t="shared" si="258"/>
        <v>0</v>
      </c>
      <c r="I644" s="104">
        <f t="shared" si="257"/>
        <v>0</v>
      </c>
      <c r="J644" s="104">
        <f t="shared" si="257"/>
        <v>0</v>
      </c>
      <c r="K644" s="104">
        <f t="shared" si="257"/>
        <v>0</v>
      </c>
      <c r="L644" s="104">
        <f t="shared" si="257"/>
        <v>0</v>
      </c>
      <c r="M644" s="104">
        <f t="shared" si="257"/>
        <v>0</v>
      </c>
      <c r="N644" s="104">
        <f t="shared" si="257"/>
        <v>0</v>
      </c>
      <c r="O644" s="55">
        <f t="shared" si="257"/>
        <v>0</v>
      </c>
      <c r="P644" s="55">
        <f t="shared" si="257"/>
        <v>0</v>
      </c>
      <c r="Q644" s="55">
        <f t="shared" si="257"/>
        <v>0</v>
      </c>
    </row>
    <row r="645" spans="1:17" x14ac:dyDescent="0.2">
      <c r="A645" s="72">
        <v>131</v>
      </c>
      <c r="B645" s="59">
        <v>635</v>
      </c>
      <c r="C645" s="40">
        <f t="shared" si="259"/>
        <v>0</v>
      </c>
      <c r="D645" s="40">
        <f t="shared" si="259"/>
        <v>0</v>
      </c>
      <c r="E645" s="40">
        <f t="shared" si="259"/>
        <v>0</v>
      </c>
      <c r="F645" s="40">
        <f t="shared" si="259"/>
        <v>0</v>
      </c>
      <c r="G645" s="40">
        <f t="shared" si="258"/>
        <v>0</v>
      </c>
      <c r="H645" s="40">
        <f t="shared" si="258"/>
        <v>0</v>
      </c>
      <c r="I645" s="104">
        <f t="shared" si="257"/>
        <v>0</v>
      </c>
      <c r="J645" s="104">
        <f t="shared" si="257"/>
        <v>0</v>
      </c>
      <c r="K645" s="104">
        <f t="shared" si="257"/>
        <v>0</v>
      </c>
      <c r="L645" s="104">
        <f t="shared" si="257"/>
        <v>0</v>
      </c>
      <c r="M645" s="104">
        <f t="shared" si="257"/>
        <v>0</v>
      </c>
      <c r="N645" s="104">
        <f t="shared" si="257"/>
        <v>0</v>
      </c>
      <c r="O645" s="55">
        <f t="shared" si="257"/>
        <v>0</v>
      </c>
      <c r="P645" s="55">
        <f t="shared" si="257"/>
        <v>0</v>
      </c>
      <c r="Q645" s="55">
        <f t="shared" si="257"/>
        <v>0</v>
      </c>
    </row>
    <row r="646" spans="1:17" x14ac:dyDescent="0.2">
      <c r="A646" s="72">
        <v>132</v>
      </c>
      <c r="B646" s="59">
        <v>636</v>
      </c>
      <c r="C646" s="40">
        <f t="shared" si="259"/>
        <v>0</v>
      </c>
      <c r="D646" s="40">
        <f t="shared" si="259"/>
        <v>0</v>
      </c>
      <c r="E646" s="40">
        <f t="shared" si="259"/>
        <v>0</v>
      </c>
      <c r="F646" s="40">
        <f t="shared" si="259"/>
        <v>0</v>
      </c>
      <c r="G646" s="40">
        <f t="shared" si="258"/>
        <v>0</v>
      </c>
      <c r="H646" s="40">
        <f t="shared" si="258"/>
        <v>0</v>
      </c>
      <c r="I646" s="104">
        <f t="shared" si="257"/>
        <v>0</v>
      </c>
      <c r="J646" s="104">
        <f t="shared" si="257"/>
        <v>0</v>
      </c>
      <c r="K646" s="104">
        <f t="shared" si="257"/>
        <v>0</v>
      </c>
      <c r="L646" s="104">
        <f t="shared" si="257"/>
        <v>0</v>
      </c>
      <c r="M646" s="104">
        <f t="shared" si="257"/>
        <v>0</v>
      </c>
      <c r="N646" s="104">
        <f t="shared" si="257"/>
        <v>0</v>
      </c>
      <c r="O646" s="55">
        <f t="shared" si="257"/>
        <v>0</v>
      </c>
      <c r="P646" s="55">
        <f t="shared" si="257"/>
        <v>0</v>
      </c>
      <c r="Q646" s="55">
        <f t="shared" si="257"/>
        <v>0</v>
      </c>
    </row>
    <row r="647" spans="1:17" x14ac:dyDescent="0.2">
      <c r="A647" s="72">
        <v>133</v>
      </c>
      <c r="B647" s="59">
        <v>637</v>
      </c>
      <c r="C647" s="40">
        <f t="shared" si="259"/>
        <v>0</v>
      </c>
      <c r="D647" s="40">
        <f t="shared" si="259"/>
        <v>0</v>
      </c>
      <c r="E647" s="40">
        <f t="shared" si="259"/>
        <v>0</v>
      </c>
      <c r="F647" s="40">
        <f t="shared" si="259"/>
        <v>0</v>
      </c>
      <c r="G647" s="40">
        <f t="shared" si="258"/>
        <v>0</v>
      </c>
      <c r="H647" s="40">
        <f t="shared" si="258"/>
        <v>0</v>
      </c>
      <c r="I647" s="104">
        <f t="shared" si="257"/>
        <v>0</v>
      </c>
      <c r="J647" s="104">
        <f t="shared" si="257"/>
        <v>0</v>
      </c>
      <c r="K647" s="104">
        <f t="shared" si="257"/>
        <v>0</v>
      </c>
      <c r="L647" s="104">
        <f t="shared" si="257"/>
        <v>0</v>
      </c>
      <c r="M647" s="104">
        <f t="shared" si="257"/>
        <v>0</v>
      </c>
      <c r="N647" s="104">
        <f t="shared" si="257"/>
        <v>0</v>
      </c>
      <c r="O647" s="55">
        <f t="shared" si="257"/>
        <v>0</v>
      </c>
      <c r="P647" s="55">
        <f t="shared" si="257"/>
        <v>0</v>
      </c>
      <c r="Q647" s="55">
        <f t="shared" si="257"/>
        <v>0</v>
      </c>
    </row>
    <row r="648" spans="1:17" x14ac:dyDescent="0.2">
      <c r="A648" s="72">
        <v>134</v>
      </c>
      <c r="B648" s="59">
        <v>638</v>
      </c>
      <c r="C648" s="40">
        <f t="shared" si="259"/>
        <v>0</v>
      </c>
      <c r="D648" s="40">
        <f t="shared" si="259"/>
        <v>0</v>
      </c>
      <c r="E648" s="40">
        <f t="shared" si="259"/>
        <v>0</v>
      </c>
      <c r="F648" s="40">
        <f t="shared" si="259"/>
        <v>0</v>
      </c>
      <c r="G648" s="40">
        <f t="shared" si="258"/>
        <v>0</v>
      </c>
      <c r="H648" s="40">
        <f t="shared" si="258"/>
        <v>0</v>
      </c>
      <c r="I648" s="104">
        <f t="shared" si="257"/>
        <v>0</v>
      </c>
      <c r="J648" s="104">
        <f t="shared" si="257"/>
        <v>0</v>
      </c>
      <c r="K648" s="104">
        <f t="shared" si="257"/>
        <v>0</v>
      </c>
      <c r="L648" s="104">
        <f t="shared" si="257"/>
        <v>0</v>
      </c>
      <c r="M648" s="104">
        <f t="shared" si="257"/>
        <v>0</v>
      </c>
      <c r="N648" s="104">
        <f t="shared" si="257"/>
        <v>0</v>
      </c>
      <c r="O648" s="55">
        <f t="shared" si="257"/>
        <v>0</v>
      </c>
      <c r="P648" s="55">
        <f t="shared" si="257"/>
        <v>0</v>
      </c>
      <c r="Q648" s="55">
        <f t="shared" si="257"/>
        <v>0</v>
      </c>
    </row>
    <row r="649" spans="1:17" x14ac:dyDescent="0.2">
      <c r="A649" s="72">
        <v>135</v>
      </c>
      <c r="B649" s="59">
        <v>639</v>
      </c>
      <c r="C649" s="40">
        <f t="shared" si="259"/>
        <v>0</v>
      </c>
      <c r="D649" s="40">
        <f t="shared" si="259"/>
        <v>0</v>
      </c>
      <c r="E649" s="40">
        <f t="shared" si="259"/>
        <v>0</v>
      </c>
      <c r="F649" s="40">
        <f t="shared" si="259"/>
        <v>0</v>
      </c>
      <c r="G649" s="40">
        <f t="shared" si="258"/>
        <v>0</v>
      </c>
      <c r="H649" s="40">
        <f t="shared" si="258"/>
        <v>0</v>
      </c>
      <c r="I649" s="104">
        <f t="shared" si="257"/>
        <v>0</v>
      </c>
      <c r="J649" s="104">
        <f t="shared" si="257"/>
        <v>0</v>
      </c>
      <c r="K649" s="104">
        <f t="shared" si="257"/>
        <v>0</v>
      </c>
      <c r="L649" s="104">
        <f t="shared" si="257"/>
        <v>0</v>
      </c>
      <c r="M649" s="104">
        <f t="shared" si="257"/>
        <v>0</v>
      </c>
      <c r="N649" s="104">
        <f t="shared" si="257"/>
        <v>0</v>
      </c>
      <c r="O649" s="55">
        <f t="shared" si="257"/>
        <v>0</v>
      </c>
      <c r="P649" s="55">
        <f t="shared" si="257"/>
        <v>0</v>
      </c>
      <c r="Q649" s="55">
        <f t="shared" si="257"/>
        <v>0</v>
      </c>
    </row>
    <row r="650" spans="1:17" x14ac:dyDescent="0.2">
      <c r="A650" s="72">
        <v>136</v>
      </c>
      <c r="B650" s="59">
        <v>640</v>
      </c>
      <c r="C650" s="40">
        <f t="shared" si="259"/>
        <v>3.4332694957598457</v>
      </c>
      <c r="D650" s="40">
        <f t="shared" si="259"/>
        <v>1.8717327794185254</v>
      </c>
      <c r="E650" s="40">
        <f t="shared" si="259"/>
        <v>0.32981104388639787</v>
      </c>
      <c r="F650" s="40">
        <f t="shared" si="259"/>
        <v>0.74636293386083608</v>
      </c>
      <c r="G650" s="40">
        <f t="shared" si="258"/>
        <v>0.34817321475331586</v>
      </c>
      <c r="H650" s="40">
        <f t="shared" si="258"/>
        <v>5.4355139759513407E-2</v>
      </c>
      <c r="I650" s="104">
        <f t="shared" si="257"/>
        <v>0.36139678902735217</v>
      </c>
      <c r="J650" s="104">
        <f t="shared" si="257"/>
        <v>0.1970245030966869</v>
      </c>
      <c r="K650" s="104">
        <f t="shared" si="257"/>
        <v>3.471695198804188E-2</v>
      </c>
      <c r="L650" s="104">
        <f t="shared" si="257"/>
        <v>0.48220077187638283</v>
      </c>
      <c r="M650" s="104">
        <f t="shared" si="257"/>
        <v>0.26288381733406258</v>
      </c>
      <c r="N650" s="104">
        <f t="shared" si="257"/>
        <v>4.6321775826741275E-2</v>
      </c>
      <c r="O650" s="55">
        <f t="shared" si="257"/>
        <v>0.38224352251574223</v>
      </c>
      <c r="P650" s="55">
        <f t="shared" si="257"/>
        <v>0.21957685264482196</v>
      </c>
      <c r="Q650" s="55">
        <f t="shared" si="257"/>
        <v>4.6321775826741275E-2</v>
      </c>
    </row>
    <row r="651" spans="1:17" x14ac:dyDescent="0.2">
      <c r="A651" s="72">
        <v>137</v>
      </c>
      <c r="B651" s="59">
        <v>641</v>
      </c>
      <c r="C651" s="40">
        <f t="shared" si="259"/>
        <v>3.4332694957598457</v>
      </c>
      <c r="D651" s="40">
        <f t="shared" si="259"/>
        <v>1.8717327794185254</v>
      </c>
      <c r="E651" s="40">
        <f t="shared" si="259"/>
        <v>0.32981104388639787</v>
      </c>
      <c r="F651" s="40">
        <f t="shared" si="259"/>
        <v>0.74636293386083608</v>
      </c>
      <c r="G651" s="40">
        <f t="shared" si="258"/>
        <v>0.34817321475331586</v>
      </c>
      <c r="H651" s="40">
        <f t="shared" si="258"/>
        <v>5.4355139759513407E-2</v>
      </c>
      <c r="I651" s="104">
        <f t="shared" si="257"/>
        <v>0.36139678902735217</v>
      </c>
      <c r="J651" s="104">
        <f t="shared" si="257"/>
        <v>0.1970245030966869</v>
      </c>
      <c r="K651" s="104">
        <f t="shared" si="257"/>
        <v>3.471695198804188E-2</v>
      </c>
      <c r="L651" s="104">
        <f t="shared" si="257"/>
        <v>0.48220077187638283</v>
      </c>
      <c r="M651" s="104">
        <f t="shared" si="257"/>
        <v>0.26288381733406258</v>
      </c>
      <c r="N651" s="104">
        <f t="shared" si="257"/>
        <v>4.6321775826741275E-2</v>
      </c>
      <c r="O651" s="55">
        <f t="shared" si="257"/>
        <v>0.38224352251574223</v>
      </c>
      <c r="P651" s="55">
        <f t="shared" si="257"/>
        <v>0.21957685264482196</v>
      </c>
      <c r="Q651" s="55">
        <f t="shared" si="257"/>
        <v>4.6321775826741275E-2</v>
      </c>
    </row>
    <row r="652" spans="1:17" x14ac:dyDescent="0.2">
      <c r="A652" s="72">
        <v>138</v>
      </c>
      <c r="B652" s="59">
        <v>642</v>
      </c>
      <c r="C652" s="40">
        <f t="shared" si="259"/>
        <v>3.4332694957598457</v>
      </c>
      <c r="D652" s="40">
        <f t="shared" si="259"/>
        <v>1.8717327794185254</v>
      </c>
      <c r="E652" s="40">
        <f t="shared" si="259"/>
        <v>0.32981104388639787</v>
      </c>
      <c r="F652" s="40">
        <f t="shared" si="259"/>
        <v>0.74636293386083608</v>
      </c>
      <c r="G652" s="40">
        <f t="shared" si="258"/>
        <v>0.34817321475331586</v>
      </c>
      <c r="H652" s="40">
        <f t="shared" si="258"/>
        <v>5.4355139759513407E-2</v>
      </c>
      <c r="I652" s="104">
        <f t="shared" si="257"/>
        <v>0.36139678902735217</v>
      </c>
      <c r="J652" s="104">
        <f t="shared" si="257"/>
        <v>0.1970245030966869</v>
      </c>
      <c r="K652" s="104">
        <f t="shared" si="257"/>
        <v>3.471695198804188E-2</v>
      </c>
      <c r="L652" s="104">
        <f t="shared" si="257"/>
        <v>0.48220077187638283</v>
      </c>
      <c r="M652" s="104">
        <f t="shared" si="257"/>
        <v>0.26288381733406258</v>
      </c>
      <c r="N652" s="104">
        <f t="shared" si="257"/>
        <v>4.6321775826741275E-2</v>
      </c>
      <c r="O652" s="55">
        <f t="shared" si="257"/>
        <v>0.38224352251574223</v>
      </c>
      <c r="P652" s="55">
        <f t="shared" si="257"/>
        <v>0.21957685264482196</v>
      </c>
      <c r="Q652" s="55">
        <f t="shared" si="257"/>
        <v>4.6321775826741275E-2</v>
      </c>
    </row>
    <row r="653" spans="1:17" x14ac:dyDescent="0.2">
      <c r="A653" s="72">
        <v>139</v>
      </c>
      <c r="B653" s="59">
        <v>643</v>
      </c>
      <c r="C653" s="40">
        <f t="shared" si="259"/>
        <v>3.4332694957598457</v>
      </c>
      <c r="D653" s="40">
        <f t="shared" si="259"/>
        <v>1.8717327794185254</v>
      </c>
      <c r="E653" s="40">
        <f t="shared" si="259"/>
        <v>0.32981104388639787</v>
      </c>
      <c r="F653" s="40">
        <f t="shared" si="259"/>
        <v>0.74636293386083608</v>
      </c>
      <c r="G653" s="40">
        <f t="shared" si="258"/>
        <v>0.34817321475331586</v>
      </c>
      <c r="H653" s="40">
        <f t="shared" si="258"/>
        <v>5.4355139759513407E-2</v>
      </c>
      <c r="I653" s="104">
        <f t="shared" si="257"/>
        <v>0.36139678902735217</v>
      </c>
      <c r="J653" s="104">
        <f t="shared" si="257"/>
        <v>0.1970245030966869</v>
      </c>
      <c r="K653" s="104">
        <f t="shared" si="257"/>
        <v>3.471695198804188E-2</v>
      </c>
      <c r="L653" s="104">
        <f t="shared" si="257"/>
        <v>0.48220077187638283</v>
      </c>
      <c r="M653" s="104">
        <f t="shared" si="257"/>
        <v>0.26288381733406258</v>
      </c>
      <c r="N653" s="104">
        <f t="shared" si="257"/>
        <v>4.6321775826741275E-2</v>
      </c>
      <c r="O653" s="55">
        <f t="shared" si="257"/>
        <v>0.38224352251574223</v>
      </c>
      <c r="P653" s="55">
        <f t="shared" si="257"/>
        <v>0.21957685264482196</v>
      </c>
      <c r="Q653" s="55">
        <f t="shared" si="257"/>
        <v>4.6321775826741275E-2</v>
      </c>
    </row>
    <row r="654" spans="1:17" x14ac:dyDescent="0.2">
      <c r="A654" s="72">
        <v>140</v>
      </c>
      <c r="B654" s="59">
        <v>644</v>
      </c>
      <c r="C654" s="40">
        <f t="shared" si="259"/>
        <v>3.4332694957598457</v>
      </c>
      <c r="D654" s="40">
        <f t="shared" si="259"/>
        <v>1.8717327794185254</v>
      </c>
      <c r="E654" s="40">
        <f t="shared" si="259"/>
        <v>0.32981104388639787</v>
      </c>
      <c r="F654" s="40">
        <f t="shared" si="259"/>
        <v>0.74636293386083608</v>
      </c>
      <c r="G654" s="40">
        <f t="shared" si="258"/>
        <v>0.34817321475331586</v>
      </c>
      <c r="H654" s="40">
        <f t="shared" si="258"/>
        <v>5.4355139759513407E-2</v>
      </c>
      <c r="I654" s="104">
        <f t="shared" si="257"/>
        <v>0.36139678902735217</v>
      </c>
      <c r="J654" s="104">
        <f t="shared" si="257"/>
        <v>0.1970245030966869</v>
      </c>
      <c r="K654" s="104">
        <f t="shared" si="257"/>
        <v>3.471695198804188E-2</v>
      </c>
      <c r="L654" s="104">
        <f t="shared" si="257"/>
        <v>0.48220077187638283</v>
      </c>
      <c r="M654" s="104">
        <f t="shared" si="257"/>
        <v>0.26288381733406258</v>
      </c>
      <c r="N654" s="104">
        <f t="shared" si="257"/>
        <v>4.6321775826741275E-2</v>
      </c>
      <c r="O654" s="55">
        <f t="shared" si="257"/>
        <v>0.38224352251574223</v>
      </c>
      <c r="P654" s="55">
        <f t="shared" si="257"/>
        <v>0.21957685264482196</v>
      </c>
      <c r="Q654" s="55">
        <f t="shared" si="257"/>
        <v>4.6321775826741275E-2</v>
      </c>
    </row>
    <row r="655" spans="1:17" x14ac:dyDescent="0.2">
      <c r="A655" s="72">
        <v>141</v>
      </c>
      <c r="B655" s="59">
        <v>645</v>
      </c>
      <c r="C655" s="40">
        <f t="shared" si="259"/>
        <v>3.4332694957598457</v>
      </c>
      <c r="D655" s="40">
        <f t="shared" si="259"/>
        <v>1.8717327794185254</v>
      </c>
      <c r="E655" s="40">
        <f t="shared" si="259"/>
        <v>0.32981104388639787</v>
      </c>
      <c r="F655" s="40">
        <f t="shared" si="259"/>
        <v>0.74636293386083608</v>
      </c>
      <c r="G655" s="40">
        <f t="shared" si="258"/>
        <v>0.34817321475331586</v>
      </c>
      <c r="H655" s="40">
        <f t="shared" si="258"/>
        <v>5.4355139759513407E-2</v>
      </c>
      <c r="I655" s="104">
        <f t="shared" si="257"/>
        <v>0.36139678902735217</v>
      </c>
      <c r="J655" s="104">
        <f t="shared" si="257"/>
        <v>0.1970245030966869</v>
      </c>
      <c r="K655" s="104">
        <f t="shared" si="257"/>
        <v>3.471695198804188E-2</v>
      </c>
      <c r="L655" s="104">
        <f t="shared" si="257"/>
        <v>0.48220077187638283</v>
      </c>
      <c r="M655" s="104">
        <f t="shared" si="257"/>
        <v>0.26288381733406258</v>
      </c>
      <c r="N655" s="104">
        <f t="shared" si="257"/>
        <v>4.6321775826741275E-2</v>
      </c>
      <c r="O655" s="55">
        <f t="shared" si="257"/>
        <v>0.38224352251574223</v>
      </c>
      <c r="P655" s="55">
        <f t="shared" si="257"/>
        <v>0.21957685264482196</v>
      </c>
      <c r="Q655" s="55">
        <f t="shared" si="257"/>
        <v>4.6321775826741275E-2</v>
      </c>
    </row>
    <row r="656" spans="1:17" x14ac:dyDescent="0.2">
      <c r="A656" s="72">
        <v>142</v>
      </c>
      <c r="B656" s="59">
        <v>646</v>
      </c>
      <c r="C656" s="40">
        <f t="shared" si="259"/>
        <v>3.4332694957598457</v>
      </c>
      <c r="D656" s="40">
        <f t="shared" si="259"/>
        <v>1.8717327794185254</v>
      </c>
      <c r="E656" s="40">
        <f t="shared" si="259"/>
        <v>0.32981104388639787</v>
      </c>
      <c r="F656" s="40">
        <f t="shared" si="259"/>
        <v>0.74636293386083608</v>
      </c>
      <c r="G656" s="40">
        <f t="shared" si="258"/>
        <v>0.34817321475331586</v>
      </c>
      <c r="H656" s="40">
        <f t="shared" si="258"/>
        <v>5.4355139759513407E-2</v>
      </c>
      <c r="I656" s="104">
        <f t="shared" si="257"/>
        <v>0.36139678902735217</v>
      </c>
      <c r="J656" s="104">
        <f t="shared" si="257"/>
        <v>0.1970245030966869</v>
      </c>
      <c r="K656" s="104">
        <f t="shared" si="257"/>
        <v>3.471695198804188E-2</v>
      </c>
      <c r="L656" s="104">
        <f t="shared" si="257"/>
        <v>0.48220077187638283</v>
      </c>
      <c r="M656" s="104">
        <f t="shared" si="257"/>
        <v>0.26288381733406258</v>
      </c>
      <c r="N656" s="104">
        <f t="shared" si="257"/>
        <v>4.6321775826741275E-2</v>
      </c>
      <c r="O656" s="55">
        <f t="shared" si="257"/>
        <v>0.38224352251574223</v>
      </c>
      <c r="P656" s="55">
        <f t="shared" si="257"/>
        <v>0.21957685264482196</v>
      </c>
      <c r="Q656" s="55">
        <f t="shared" si="257"/>
        <v>4.6321775826741275E-2</v>
      </c>
    </row>
    <row r="657" spans="1:17" x14ac:dyDescent="0.2">
      <c r="A657" s="72">
        <v>143</v>
      </c>
      <c r="B657" s="59">
        <v>647</v>
      </c>
      <c r="C657" s="40">
        <f t="shared" si="259"/>
        <v>0</v>
      </c>
      <c r="D657" s="40">
        <f t="shared" si="259"/>
        <v>0</v>
      </c>
      <c r="E657" s="40">
        <f t="shared" si="259"/>
        <v>0</v>
      </c>
      <c r="F657" s="40">
        <f t="shared" si="259"/>
        <v>0</v>
      </c>
      <c r="G657" s="40">
        <f t="shared" si="258"/>
        <v>0</v>
      </c>
      <c r="H657" s="40">
        <f t="shared" si="258"/>
        <v>0</v>
      </c>
      <c r="I657" s="104">
        <f t="shared" si="257"/>
        <v>0</v>
      </c>
      <c r="J657" s="104">
        <f t="shared" si="257"/>
        <v>0</v>
      </c>
      <c r="K657" s="104">
        <f t="shared" si="257"/>
        <v>0</v>
      </c>
      <c r="L657" s="104">
        <f t="shared" si="257"/>
        <v>0</v>
      </c>
      <c r="M657" s="104">
        <f t="shared" si="257"/>
        <v>0</v>
      </c>
      <c r="N657" s="104">
        <f t="shared" si="257"/>
        <v>0</v>
      </c>
      <c r="O657" s="55">
        <f t="shared" si="257"/>
        <v>0</v>
      </c>
      <c r="P657" s="55">
        <f t="shared" si="257"/>
        <v>0</v>
      </c>
      <c r="Q657" s="55">
        <f t="shared" si="257"/>
        <v>0</v>
      </c>
    </row>
    <row r="658" spans="1:17" x14ac:dyDescent="0.2">
      <c r="A658" s="72">
        <v>144</v>
      </c>
      <c r="B658" s="59">
        <v>648</v>
      </c>
      <c r="C658" s="40">
        <f t="shared" si="259"/>
        <v>0</v>
      </c>
      <c r="D658" s="40">
        <f t="shared" si="259"/>
        <v>0</v>
      </c>
      <c r="E658" s="40">
        <f t="shared" si="259"/>
        <v>0</v>
      </c>
      <c r="F658" s="40">
        <f t="shared" si="259"/>
        <v>0</v>
      </c>
      <c r="G658" s="40">
        <f t="shared" si="258"/>
        <v>0</v>
      </c>
      <c r="H658" s="40">
        <f t="shared" si="258"/>
        <v>0</v>
      </c>
      <c r="I658" s="104">
        <f t="shared" si="257"/>
        <v>0</v>
      </c>
      <c r="J658" s="104">
        <f t="shared" si="257"/>
        <v>0</v>
      </c>
      <c r="K658" s="104">
        <f t="shared" si="257"/>
        <v>0</v>
      </c>
      <c r="L658" s="104">
        <f t="shared" si="257"/>
        <v>0</v>
      </c>
      <c r="M658" s="104">
        <f t="shared" si="257"/>
        <v>0</v>
      </c>
      <c r="N658" s="104">
        <f t="shared" si="257"/>
        <v>0</v>
      </c>
      <c r="O658" s="55">
        <f t="shared" si="257"/>
        <v>0</v>
      </c>
      <c r="P658" s="55">
        <f t="shared" si="257"/>
        <v>0</v>
      </c>
      <c r="Q658" s="55">
        <f t="shared" si="257"/>
        <v>0</v>
      </c>
    </row>
    <row r="659" spans="1:17" x14ac:dyDescent="0.2">
      <c r="A659" s="72">
        <v>145</v>
      </c>
      <c r="B659" s="59">
        <v>649</v>
      </c>
      <c r="C659" s="40">
        <f t="shared" si="259"/>
        <v>0</v>
      </c>
      <c r="D659" s="40">
        <f t="shared" si="259"/>
        <v>0</v>
      </c>
      <c r="E659" s="40">
        <f t="shared" si="259"/>
        <v>0</v>
      </c>
      <c r="F659" s="40">
        <f t="shared" si="259"/>
        <v>0</v>
      </c>
      <c r="G659" s="40">
        <f t="shared" si="258"/>
        <v>0</v>
      </c>
      <c r="H659" s="40">
        <f t="shared" si="258"/>
        <v>0</v>
      </c>
      <c r="I659" s="104">
        <f t="shared" si="257"/>
        <v>0</v>
      </c>
      <c r="J659" s="104">
        <f t="shared" si="257"/>
        <v>0</v>
      </c>
      <c r="K659" s="104">
        <f t="shared" si="257"/>
        <v>0</v>
      </c>
      <c r="L659" s="104">
        <f t="shared" si="257"/>
        <v>0</v>
      </c>
      <c r="M659" s="104">
        <f t="shared" si="257"/>
        <v>0</v>
      </c>
      <c r="N659" s="104">
        <f t="shared" si="257"/>
        <v>0</v>
      </c>
      <c r="O659" s="55">
        <f t="shared" si="257"/>
        <v>0</v>
      </c>
      <c r="P659" s="55">
        <f t="shared" si="257"/>
        <v>0</v>
      </c>
      <c r="Q659" s="55">
        <f t="shared" si="257"/>
        <v>0</v>
      </c>
    </row>
    <row r="660" spans="1:17" x14ac:dyDescent="0.2">
      <c r="A660" s="72">
        <v>146</v>
      </c>
      <c r="B660" s="59">
        <v>650</v>
      </c>
      <c r="C660" s="40">
        <f t="shared" si="259"/>
        <v>0</v>
      </c>
      <c r="D660" s="40">
        <f t="shared" si="259"/>
        <v>0</v>
      </c>
      <c r="E660" s="40">
        <f t="shared" si="259"/>
        <v>0</v>
      </c>
      <c r="F660" s="40">
        <f t="shared" si="259"/>
        <v>0</v>
      </c>
      <c r="G660" s="40">
        <f t="shared" si="258"/>
        <v>0</v>
      </c>
      <c r="H660" s="40">
        <f t="shared" si="258"/>
        <v>0</v>
      </c>
      <c r="I660" s="104">
        <f t="shared" ref="I660:Q679" si="260">I156</f>
        <v>0</v>
      </c>
      <c r="J660" s="104">
        <f t="shared" si="260"/>
        <v>0</v>
      </c>
      <c r="K660" s="104">
        <f t="shared" si="260"/>
        <v>0</v>
      </c>
      <c r="L660" s="104">
        <f t="shared" si="260"/>
        <v>0</v>
      </c>
      <c r="M660" s="104">
        <f t="shared" si="260"/>
        <v>0</v>
      </c>
      <c r="N660" s="104">
        <f t="shared" si="260"/>
        <v>0</v>
      </c>
      <c r="O660" s="55">
        <f t="shared" si="260"/>
        <v>0</v>
      </c>
      <c r="P660" s="55">
        <f t="shared" si="260"/>
        <v>0</v>
      </c>
      <c r="Q660" s="55">
        <f t="shared" si="260"/>
        <v>0</v>
      </c>
    </row>
    <row r="661" spans="1:17" x14ac:dyDescent="0.2">
      <c r="A661" s="72">
        <v>147</v>
      </c>
      <c r="B661" s="59">
        <v>651</v>
      </c>
      <c r="C661" s="40">
        <f t="shared" si="259"/>
        <v>0</v>
      </c>
      <c r="D661" s="40">
        <f t="shared" si="259"/>
        <v>0</v>
      </c>
      <c r="E661" s="40">
        <f t="shared" si="259"/>
        <v>0</v>
      </c>
      <c r="F661" s="40">
        <f t="shared" si="259"/>
        <v>0</v>
      </c>
      <c r="G661" s="40">
        <f t="shared" si="258"/>
        <v>0</v>
      </c>
      <c r="H661" s="40">
        <f t="shared" si="258"/>
        <v>0</v>
      </c>
      <c r="I661" s="104">
        <f t="shared" si="260"/>
        <v>0</v>
      </c>
      <c r="J661" s="104">
        <f t="shared" si="260"/>
        <v>0</v>
      </c>
      <c r="K661" s="104">
        <f t="shared" si="260"/>
        <v>0</v>
      </c>
      <c r="L661" s="104">
        <f t="shared" si="260"/>
        <v>0</v>
      </c>
      <c r="M661" s="104">
        <f t="shared" si="260"/>
        <v>0</v>
      </c>
      <c r="N661" s="104">
        <f t="shared" si="260"/>
        <v>0</v>
      </c>
      <c r="O661" s="55">
        <f t="shared" si="260"/>
        <v>0</v>
      </c>
      <c r="P661" s="55">
        <f t="shared" si="260"/>
        <v>0</v>
      </c>
      <c r="Q661" s="55">
        <f t="shared" si="260"/>
        <v>0</v>
      </c>
    </row>
    <row r="662" spans="1:17" x14ac:dyDescent="0.2">
      <c r="A662" s="72">
        <v>148</v>
      </c>
      <c r="B662" s="59">
        <v>652</v>
      </c>
      <c r="C662" s="40">
        <f t="shared" si="259"/>
        <v>0</v>
      </c>
      <c r="D662" s="40">
        <f t="shared" si="259"/>
        <v>0</v>
      </c>
      <c r="E662" s="40">
        <f t="shared" si="259"/>
        <v>0</v>
      </c>
      <c r="F662" s="40">
        <f t="shared" si="259"/>
        <v>0</v>
      </c>
      <c r="G662" s="40">
        <f t="shared" si="258"/>
        <v>0</v>
      </c>
      <c r="H662" s="40">
        <f t="shared" si="258"/>
        <v>0</v>
      </c>
      <c r="I662" s="104">
        <f t="shared" si="260"/>
        <v>0</v>
      </c>
      <c r="J662" s="104">
        <f t="shared" si="260"/>
        <v>0</v>
      </c>
      <c r="K662" s="104">
        <f t="shared" si="260"/>
        <v>0</v>
      </c>
      <c r="L662" s="104">
        <f t="shared" si="260"/>
        <v>0</v>
      </c>
      <c r="M662" s="104">
        <f t="shared" si="260"/>
        <v>0</v>
      </c>
      <c r="N662" s="104">
        <f t="shared" si="260"/>
        <v>0</v>
      </c>
      <c r="O662" s="55">
        <f t="shared" si="260"/>
        <v>0</v>
      </c>
      <c r="P662" s="55">
        <f t="shared" si="260"/>
        <v>0</v>
      </c>
      <c r="Q662" s="55">
        <f t="shared" si="260"/>
        <v>0</v>
      </c>
    </row>
    <row r="663" spans="1:17" x14ac:dyDescent="0.2">
      <c r="A663" s="72">
        <v>149</v>
      </c>
      <c r="B663" s="59">
        <v>653</v>
      </c>
      <c r="C663" s="40">
        <f t="shared" si="259"/>
        <v>0</v>
      </c>
      <c r="D663" s="40">
        <f t="shared" si="259"/>
        <v>0</v>
      </c>
      <c r="E663" s="40">
        <f t="shared" si="259"/>
        <v>0</v>
      </c>
      <c r="F663" s="40">
        <f t="shared" si="259"/>
        <v>0</v>
      </c>
      <c r="G663" s="40">
        <f t="shared" ref="G663:H682" si="261">G159</f>
        <v>0</v>
      </c>
      <c r="H663" s="40">
        <f t="shared" si="261"/>
        <v>0</v>
      </c>
      <c r="I663" s="104">
        <f t="shared" si="260"/>
        <v>0</v>
      </c>
      <c r="J663" s="104">
        <f t="shared" si="260"/>
        <v>0</v>
      </c>
      <c r="K663" s="104">
        <f t="shared" si="260"/>
        <v>0</v>
      </c>
      <c r="L663" s="104">
        <f t="shared" si="260"/>
        <v>0</v>
      </c>
      <c r="M663" s="104">
        <f t="shared" si="260"/>
        <v>0</v>
      </c>
      <c r="N663" s="104">
        <f t="shared" si="260"/>
        <v>0</v>
      </c>
      <c r="O663" s="55">
        <f t="shared" si="260"/>
        <v>0</v>
      </c>
      <c r="P663" s="55">
        <f t="shared" si="260"/>
        <v>0</v>
      </c>
      <c r="Q663" s="55">
        <f t="shared" si="260"/>
        <v>0</v>
      </c>
    </row>
    <row r="664" spans="1:17" x14ac:dyDescent="0.2">
      <c r="A664" s="72">
        <v>150</v>
      </c>
      <c r="B664" s="59">
        <v>654</v>
      </c>
      <c r="C664" s="40">
        <f t="shared" si="259"/>
        <v>0</v>
      </c>
      <c r="D664" s="40">
        <f t="shared" si="259"/>
        <v>0</v>
      </c>
      <c r="E664" s="40">
        <f t="shared" si="259"/>
        <v>0</v>
      </c>
      <c r="F664" s="40">
        <f t="shared" si="259"/>
        <v>0</v>
      </c>
      <c r="G664" s="40">
        <f t="shared" si="261"/>
        <v>0</v>
      </c>
      <c r="H664" s="40">
        <f t="shared" si="261"/>
        <v>0</v>
      </c>
      <c r="I664" s="104">
        <f t="shared" si="260"/>
        <v>0</v>
      </c>
      <c r="J664" s="104">
        <f t="shared" si="260"/>
        <v>0</v>
      </c>
      <c r="K664" s="104">
        <f t="shared" si="260"/>
        <v>0</v>
      </c>
      <c r="L664" s="104">
        <f t="shared" si="260"/>
        <v>0</v>
      </c>
      <c r="M664" s="104">
        <f t="shared" si="260"/>
        <v>0</v>
      </c>
      <c r="N664" s="104">
        <f t="shared" si="260"/>
        <v>0</v>
      </c>
      <c r="O664" s="55">
        <f t="shared" si="260"/>
        <v>0</v>
      </c>
      <c r="P664" s="55">
        <f t="shared" si="260"/>
        <v>0</v>
      </c>
      <c r="Q664" s="55">
        <f t="shared" si="260"/>
        <v>0</v>
      </c>
    </row>
    <row r="665" spans="1:17" x14ac:dyDescent="0.2">
      <c r="A665" s="72">
        <v>151</v>
      </c>
      <c r="B665" s="59">
        <v>655</v>
      </c>
      <c r="C665" s="40">
        <f t="shared" si="259"/>
        <v>3.4332694957598457</v>
      </c>
      <c r="D665" s="40">
        <f t="shared" si="259"/>
        <v>1.8717327794185254</v>
      </c>
      <c r="E665" s="40">
        <f t="shared" si="259"/>
        <v>0.32981104388639787</v>
      </c>
      <c r="F665" s="40">
        <f t="shared" si="259"/>
        <v>0.74636293386083608</v>
      </c>
      <c r="G665" s="40">
        <f t="shared" si="261"/>
        <v>0.34817321475331586</v>
      </c>
      <c r="H665" s="40">
        <f t="shared" si="261"/>
        <v>5.4355139759513407E-2</v>
      </c>
      <c r="I665" s="104">
        <f t="shared" si="260"/>
        <v>0.36139678902735217</v>
      </c>
      <c r="J665" s="104">
        <f t="shared" si="260"/>
        <v>0.1970245030966869</v>
      </c>
      <c r="K665" s="104">
        <f t="shared" si="260"/>
        <v>3.471695198804188E-2</v>
      </c>
      <c r="L665" s="104">
        <f t="shared" si="260"/>
        <v>0.48220077187638283</v>
      </c>
      <c r="M665" s="104">
        <f t="shared" si="260"/>
        <v>0.26288381733406258</v>
      </c>
      <c r="N665" s="104">
        <f t="shared" si="260"/>
        <v>4.6321775826741275E-2</v>
      </c>
      <c r="O665" s="55">
        <f t="shared" si="260"/>
        <v>0.38224352251574223</v>
      </c>
      <c r="P665" s="55">
        <f t="shared" si="260"/>
        <v>0.21957685264482196</v>
      </c>
      <c r="Q665" s="55">
        <f t="shared" si="260"/>
        <v>4.6321775826741275E-2</v>
      </c>
    </row>
    <row r="666" spans="1:17" x14ac:dyDescent="0.2">
      <c r="A666" s="72">
        <v>152</v>
      </c>
      <c r="B666" s="59">
        <v>656</v>
      </c>
      <c r="C666" s="40">
        <f t="shared" si="259"/>
        <v>3.4332694957598457</v>
      </c>
      <c r="D666" s="40">
        <f t="shared" si="259"/>
        <v>1.8717327794185254</v>
      </c>
      <c r="E666" s="40">
        <f t="shared" si="259"/>
        <v>0.32981104388639787</v>
      </c>
      <c r="F666" s="40">
        <f t="shared" si="259"/>
        <v>0.74636293386083608</v>
      </c>
      <c r="G666" s="40">
        <f t="shared" si="261"/>
        <v>0.34817321475331586</v>
      </c>
      <c r="H666" s="40">
        <f t="shared" si="261"/>
        <v>5.4355139759513407E-2</v>
      </c>
      <c r="I666" s="104">
        <f t="shared" si="260"/>
        <v>0.36139678902735217</v>
      </c>
      <c r="J666" s="104">
        <f t="shared" si="260"/>
        <v>0.1970245030966869</v>
      </c>
      <c r="K666" s="104">
        <f t="shared" si="260"/>
        <v>3.471695198804188E-2</v>
      </c>
      <c r="L666" s="104">
        <f t="shared" si="260"/>
        <v>0.48220077187638283</v>
      </c>
      <c r="M666" s="104">
        <f t="shared" si="260"/>
        <v>0.26288381733406258</v>
      </c>
      <c r="N666" s="104">
        <f t="shared" si="260"/>
        <v>4.6321775826741275E-2</v>
      </c>
      <c r="O666" s="55">
        <f t="shared" si="260"/>
        <v>0.38224352251574223</v>
      </c>
      <c r="P666" s="55">
        <f t="shared" si="260"/>
        <v>0.21957685264482196</v>
      </c>
      <c r="Q666" s="55">
        <f t="shared" si="260"/>
        <v>4.6321775826741275E-2</v>
      </c>
    </row>
    <row r="667" spans="1:17" x14ac:dyDescent="0.2">
      <c r="A667" s="72">
        <v>153</v>
      </c>
      <c r="B667" s="59">
        <v>657</v>
      </c>
      <c r="C667" s="40">
        <f t="shared" si="259"/>
        <v>0</v>
      </c>
      <c r="D667" s="40">
        <f t="shared" si="259"/>
        <v>0</v>
      </c>
      <c r="E667" s="40">
        <f t="shared" si="259"/>
        <v>0</v>
      </c>
      <c r="F667" s="40">
        <f t="shared" si="259"/>
        <v>0</v>
      </c>
      <c r="G667" s="40">
        <f t="shared" si="261"/>
        <v>0</v>
      </c>
      <c r="H667" s="40">
        <f t="shared" si="261"/>
        <v>0</v>
      </c>
      <c r="I667" s="104">
        <f t="shared" si="260"/>
        <v>0</v>
      </c>
      <c r="J667" s="104">
        <f t="shared" si="260"/>
        <v>0</v>
      </c>
      <c r="K667" s="104">
        <f t="shared" si="260"/>
        <v>0</v>
      </c>
      <c r="L667" s="104">
        <f t="shared" si="260"/>
        <v>0</v>
      </c>
      <c r="M667" s="104">
        <f t="shared" si="260"/>
        <v>0</v>
      </c>
      <c r="N667" s="104">
        <f t="shared" si="260"/>
        <v>0</v>
      </c>
      <c r="O667" s="55">
        <f t="shared" si="260"/>
        <v>0</v>
      </c>
      <c r="P667" s="55">
        <f t="shared" si="260"/>
        <v>0</v>
      </c>
      <c r="Q667" s="55">
        <f t="shared" si="260"/>
        <v>0</v>
      </c>
    </row>
    <row r="668" spans="1:17" x14ac:dyDescent="0.2">
      <c r="A668" s="72">
        <v>154</v>
      </c>
      <c r="B668" s="59">
        <v>658</v>
      </c>
      <c r="C668" s="40">
        <f t="shared" si="259"/>
        <v>0</v>
      </c>
      <c r="D668" s="40">
        <f t="shared" si="259"/>
        <v>0</v>
      </c>
      <c r="E668" s="40">
        <f t="shared" si="259"/>
        <v>0</v>
      </c>
      <c r="F668" s="40">
        <f t="shared" si="259"/>
        <v>0</v>
      </c>
      <c r="G668" s="40">
        <f t="shared" si="261"/>
        <v>0</v>
      </c>
      <c r="H668" s="40">
        <f t="shared" si="261"/>
        <v>0</v>
      </c>
      <c r="I668" s="104">
        <f t="shared" si="260"/>
        <v>0</v>
      </c>
      <c r="J668" s="104">
        <f t="shared" si="260"/>
        <v>0</v>
      </c>
      <c r="K668" s="104">
        <f t="shared" si="260"/>
        <v>0</v>
      </c>
      <c r="L668" s="104">
        <f t="shared" si="260"/>
        <v>0</v>
      </c>
      <c r="M668" s="104">
        <f t="shared" si="260"/>
        <v>0</v>
      </c>
      <c r="N668" s="104">
        <f t="shared" si="260"/>
        <v>0</v>
      </c>
      <c r="O668" s="55">
        <f t="shared" si="260"/>
        <v>0</v>
      </c>
      <c r="P668" s="55">
        <f t="shared" si="260"/>
        <v>0</v>
      </c>
      <c r="Q668" s="55">
        <f t="shared" si="260"/>
        <v>0</v>
      </c>
    </row>
    <row r="669" spans="1:17" x14ac:dyDescent="0.2">
      <c r="A669" s="72">
        <v>155</v>
      </c>
      <c r="B669" s="59">
        <v>659</v>
      </c>
      <c r="C669" s="40">
        <f t="shared" si="259"/>
        <v>0</v>
      </c>
      <c r="D669" s="40">
        <f t="shared" si="259"/>
        <v>0</v>
      </c>
      <c r="E669" s="40">
        <f t="shared" si="259"/>
        <v>0</v>
      </c>
      <c r="F669" s="40">
        <f t="shared" si="259"/>
        <v>0</v>
      </c>
      <c r="G669" s="40">
        <f t="shared" si="261"/>
        <v>0</v>
      </c>
      <c r="H669" s="40">
        <f t="shared" si="261"/>
        <v>0</v>
      </c>
      <c r="I669" s="104">
        <f t="shared" si="260"/>
        <v>0</v>
      </c>
      <c r="J669" s="104">
        <f t="shared" si="260"/>
        <v>0</v>
      </c>
      <c r="K669" s="104">
        <f t="shared" si="260"/>
        <v>0</v>
      </c>
      <c r="L669" s="104">
        <f t="shared" si="260"/>
        <v>0</v>
      </c>
      <c r="M669" s="104">
        <f t="shared" si="260"/>
        <v>0</v>
      </c>
      <c r="N669" s="104">
        <f t="shared" si="260"/>
        <v>0</v>
      </c>
      <c r="O669" s="55">
        <f t="shared" si="260"/>
        <v>0</v>
      </c>
      <c r="P669" s="55">
        <f t="shared" si="260"/>
        <v>0</v>
      </c>
      <c r="Q669" s="55">
        <f t="shared" si="260"/>
        <v>0</v>
      </c>
    </row>
    <row r="670" spans="1:17" x14ac:dyDescent="0.2">
      <c r="A670" s="72">
        <v>156</v>
      </c>
      <c r="B670" s="59">
        <v>660</v>
      </c>
      <c r="C670" s="40">
        <f t="shared" si="259"/>
        <v>0</v>
      </c>
      <c r="D670" s="40">
        <f t="shared" si="259"/>
        <v>0</v>
      </c>
      <c r="E670" s="40">
        <f t="shared" si="259"/>
        <v>0</v>
      </c>
      <c r="F670" s="40">
        <f t="shared" si="259"/>
        <v>0</v>
      </c>
      <c r="G670" s="40">
        <f t="shared" si="261"/>
        <v>0</v>
      </c>
      <c r="H670" s="40">
        <f t="shared" si="261"/>
        <v>0</v>
      </c>
      <c r="I670" s="104">
        <f t="shared" si="260"/>
        <v>0</v>
      </c>
      <c r="J670" s="104">
        <f t="shared" si="260"/>
        <v>0</v>
      </c>
      <c r="K670" s="104">
        <f t="shared" si="260"/>
        <v>0</v>
      </c>
      <c r="L670" s="104">
        <f t="shared" si="260"/>
        <v>0</v>
      </c>
      <c r="M670" s="104">
        <f t="shared" si="260"/>
        <v>0</v>
      </c>
      <c r="N670" s="104">
        <f t="shared" si="260"/>
        <v>0</v>
      </c>
      <c r="O670" s="55">
        <f t="shared" si="260"/>
        <v>0</v>
      </c>
      <c r="P670" s="55">
        <f t="shared" si="260"/>
        <v>0</v>
      </c>
      <c r="Q670" s="55">
        <f t="shared" si="260"/>
        <v>0</v>
      </c>
    </row>
    <row r="671" spans="1:17" x14ac:dyDescent="0.2">
      <c r="A671" s="72">
        <v>157</v>
      </c>
      <c r="B671" s="59">
        <v>661</v>
      </c>
      <c r="C671" s="40">
        <f t="shared" si="259"/>
        <v>0</v>
      </c>
      <c r="D671" s="40">
        <f t="shared" si="259"/>
        <v>0</v>
      </c>
      <c r="E671" s="40">
        <f t="shared" si="259"/>
        <v>0</v>
      </c>
      <c r="F671" s="40">
        <f t="shared" si="259"/>
        <v>0</v>
      </c>
      <c r="G671" s="40">
        <f t="shared" si="261"/>
        <v>0</v>
      </c>
      <c r="H671" s="40">
        <f t="shared" si="261"/>
        <v>0</v>
      </c>
      <c r="I671" s="104">
        <f t="shared" si="260"/>
        <v>0</v>
      </c>
      <c r="J671" s="104">
        <f t="shared" si="260"/>
        <v>0</v>
      </c>
      <c r="K671" s="104">
        <f t="shared" si="260"/>
        <v>0</v>
      </c>
      <c r="L671" s="104">
        <f t="shared" si="260"/>
        <v>0</v>
      </c>
      <c r="M671" s="104">
        <f t="shared" si="260"/>
        <v>0</v>
      </c>
      <c r="N671" s="104">
        <f t="shared" si="260"/>
        <v>0</v>
      </c>
      <c r="O671" s="55">
        <f t="shared" si="260"/>
        <v>0</v>
      </c>
      <c r="P671" s="55">
        <f t="shared" si="260"/>
        <v>0</v>
      </c>
      <c r="Q671" s="55">
        <f t="shared" si="260"/>
        <v>0</v>
      </c>
    </row>
    <row r="672" spans="1:17" x14ac:dyDescent="0.2">
      <c r="A672" s="72">
        <v>158</v>
      </c>
      <c r="B672" s="59">
        <v>662</v>
      </c>
      <c r="C672" s="40">
        <f t="shared" si="259"/>
        <v>0</v>
      </c>
      <c r="D672" s="40">
        <f t="shared" si="259"/>
        <v>0</v>
      </c>
      <c r="E672" s="40">
        <f t="shared" si="259"/>
        <v>0</v>
      </c>
      <c r="F672" s="40">
        <f t="shared" si="259"/>
        <v>0</v>
      </c>
      <c r="G672" s="40">
        <f t="shared" si="261"/>
        <v>0</v>
      </c>
      <c r="H672" s="40">
        <f t="shared" si="261"/>
        <v>0</v>
      </c>
      <c r="I672" s="104">
        <f t="shared" si="260"/>
        <v>0</v>
      </c>
      <c r="J672" s="104">
        <f t="shared" si="260"/>
        <v>0</v>
      </c>
      <c r="K672" s="104">
        <f t="shared" si="260"/>
        <v>0</v>
      </c>
      <c r="L672" s="104">
        <f t="shared" si="260"/>
        <v>0</v>
      </c>
      <c r="M672" s="104">
        <f t="shared" si="260"/>
        <v>0</v>
      </c>
      <c r="N672" s="104">
        <f t="shared" si="260"/>
        <v>0</v>
      </c>
      <c r="O672" s="55">
        <f t="shared" si="260"/>
        <v>0</v>
      </c>
      <c r="P672" s="55">
        <f t="shared" si="260"/>
        <v>0</v>
      </c>
      <c r="Q672" s="55">
        <f t="shared" si="260"/>
        <v>0</v>
      </c>
    </row>
    <row r="673" spans="1:17" x14ac:dyDescent="0.2">
      <c r="A673" s="72">
        <v>159</v>
      </c>
      <c r="B673" s="59">
        <v>663</v>
      </c>
      <c r="C673" s="40">
        <f t="shared" si="259"/>
        <v>0</v>
      </c>
      <c r="D673" s="40">
        <f t="shared" si="259"/>
        <v>0</v>
      </c>
      <c r="E673" s="40">
        <f t="shared" si="259"/>
        <v>0</v>
      </c>
      <c r="F673" s="40">
        <f t="shared" si="259"/>
        <v>0</v>
      </c>
      <c r="G673" s="40">
        <f t="shared" si="261"/>
        <v>0</v>
      </c>
      <c r="H673" s="40">
        <f t="shared" si="261"/>
        <v>0</v>
      </c>
      <c r="I673" s="104">
        <f t="shared" si="260"/>
        <v>0</v>
      </c>
      <c r="J673" s="104">
        <f t="shared" si="260"/>
        <v>0</v>
      </c>
      <c r="K673" s="104">
        <f t="shared" si="260"/>
        <v>0</v>
      </c>
      <c r="L673" s="104">
        <f t="shared" si="260"/>
        <v>0</v>
      </c>
      <c r="M673" s="104">
        <f t="shared" si="260"/>
        <v>0</v>
      </c>
      <c r="N673" s="104">
        <f t="shared" si="260"/>
        <v>0</v>
      </c>
      <c r="O673" s="55">
        <f t="shared" si="260"/>
        <v>0</v>
      </c>
      <c r="P673" s="55">
        <f t="shared" si="260"/>
        <v>0</v>
      </c>
      <c r="Q673" s="55">
        <f t="shared" si="260"/>
        <v>0</v>
      </c>
    </row>
    <row r="674" spans="1:17" x14ac:dyDescent="0.2">
      <c r="A674" s="72">
        <v>160</v>
      </c>
      <c r="B674" s="59">
        <v>664</v>
      </c>
      <c r="C674" s="40">
        <f t="shared" si="259"/>
        <v>3.4332694957598457</v>
      </c>
      <c r="D674" s="40">
        <f t="shared" si="259"/>
        <v>1.8717327794185254</v>
      </c>
      <c r="E674" s="40">
        <f t="shared" si="259"/>
        <v>0.32981104388639787</v>
      </c>
      <c r="F674" s="40">
        <f t="shared" si="259"/>
        <v>0.74636293386083608</v>
      </c>
      <c r="G674" s="40">
        <f t="shared" si="261"/>
        <v>0.34817321475331586</v>
      </c>
      <c r="H674" s="40">
        <f t="shared" si="261"/>
        <v>5.4355139759513407E-2</v>
      </c>
      <c r="I674" s="104">
        <f t="shared" si="260"/>
        <v>0.36139678902735217</v>
      </c>
      <c r="J674" s="104">
        <f t="shared" si="260"/>
        <v>0.1970245030966869</v>
      </c>
      <c r="K674" s="104">
        <f t="shared" si="260"/>
        <v>3.471695198804188E-2</v>
      </c>
      <c r="L674" s="104">
        <f t="shared" si="260"/>
        <v>0.48220077187638283</v>
      </c>
      <c r="M674" s="104">
        <f t="shared" si="260"/>
        <v>0.26288381733406258</v>
      </c>
      <c r="N674" s="104">
        <f t="shared" si="260"/>
        <v>4.6321775826741275E-2</v>
      </c>
      <c r="O674" s="55">
        <f t="shared" si="260"/>
        <v>0.38224352251574223</v>
      </c>
      <c r="P674" s="55">
        <f t="shared" si="260"/>
        <v>0.21957685264482196</v>
      </c>
      <c r="Q674" s="55">
        <f t="shared" si="260"/>
        <v>4.6321775826741275E-2</v>
      </c>
    </row>
    <row r="675" spans="1:17" x14ac:dyDescent="0.2">
      <c r="A675" s="72">
        <v>161</v>
      </c>
      <c r="B675" s="59">
        <v>665</v>
      </c>
      <c r="C675" s="40">
        <f t="shared" si="259"/>
        <v>3.4332694957598457</v>
      </c>
      <c r="D675" s="40">
        <f t="shared" si="259"/>
        <v>1.8717327794185254</v>
      </c>
      <c r="E675" s="40">
        <f t="shared" si="259"/>
        <v>0.32981104388639787</v>
      </c>
      <c r="F675" s="40">
        <f t="shared" si="259"/>
        <v>0.74636293386083608</v>
      </c>
      <c r="G675" s="40">
        <f t="shared" si="261"/>
        <v>0.34817321475331586</v>
      </c>
      <c r="H675" s="40">
        <f t="shared" si="261"/>
        <v>5.4355139759513407E-2</v>
      </c>
      <c r="I675" s="104">
        <f t="shared" si="260"/>
        <v>0.36139678902735217</v>
      </c>
      <c r="J675" s="104">
        <f t="shared" si="260"/>
        <v>0.1970245030966869</v>
      </c>
      <c r="K675" s="104">
        <f t="shared" si="260"/>
        <v>3.471695198804188E-2</v>
      </c>
      <c r="L675" s="104">
        <f t="shared" si="260"/>
        <v>0.48220077187638283</v>
      </c>
      <c r="M675" s="104">
        <f t="shared" si="260"/>
        <v>0.26288381733406258</v>
      </c>
      <c r="N675" s="104">
        <f t="shared" si="260"/>
        <v>4.6321775826741275E-2</v>
      </c>
      <c r="O675" s="55">
        <f t="shared" si="260"/>
        <v>0.38224352251574223</v>
      </c>
      <c r="P675" s="55">
        <f t="shared" si="260"/>
        <v>0.21957685264482196</v>
      </c>
      <c r="Q675" s="55">
        <f t="shared" si="260"/>
        <v>4.6321775826741275E-2</v>
      </c>
    </row>
    <row r="676" spans="1:17" x14ac:dyDescent="0.2">
      <c r="A676" s="72">
        <v>162</v>
      </c>
      <c r="B676" s="59">
        <v>666</v>
      </c>
      <c r="C676" s="40">
        <f t="shared" si="259"/>
        <v>3.4332694957598457</v>
      </c>
      <c r="D676" s="40">
        <f t="shared" si="259"/>
        <v>1.8717327794185254</v>
      </c>
      <c r="E676" s="40">
        <f t="shared" si="259"/>
        <v>0.32981104388639787</v>
      </c>
      <c r="F676" s="40">
        <f t="shared" si="259"/>
        <v>0.74636293386083608</v>
      </c>
      <c r="G676" s="40">
        <f t="shared" si="261"/>
        <v>0.34817321475331586</v>
      </c>
      <c r="H676" s="40">
        <f t="shared" si="261"/>
        <v>5.4355139759513407E-2</v>
      </c>
      <c r="I676" s="104">
        <f t="shared" si="260"/>
        <v>0.36139678902735217</v>
      </c>
      <c r="J676" s="104">
        <f t="shared" si="260"/>
        <v>0.1970245030966869</v>
      </c>
      <c r="K676" s="104">
        <f t="shared" si="260"/>
        <v>3.471695198804188E-2</v>
      </c>
      <c r="L676" s="104">
        <f t="shared" si="260"/>
        <v>0.48220077187638283</v>
      </c>
      <c r="M676" s="104">
        <f t="shared" si="260"/>
        <v>0.26288381733406258</v>
      </c>
      <c r="N676" s="104">
        <f t="shared" si="260"/>
        <v>4.6321775826741275E-2</v>
      </c>
      <c r="O676" s="55">
        <f t="shared" si="260"/>
        <v>0.38224352251574223</v>
      </c>
      <c r="P676" s="55">
        <f t="shared" si="260"/>
        <v>0.21957685264482196</v>
      </c>
      <c r="Q676" s="55">
        <f t="shared" si="260"/>
        <v>4.6321775826741275E-2</v>
      </c>
    </row>
    <row r="677" spans="1:17" x14ac:dyDescent="0.2">
      <c r="A677" s="72">
        <v>163</v>
      </c>
      <c r="B677" s="59">
        <v>667</v>
      </c>
      <c r="C677" s="40">
        <f t="shared" si="259"/>
        <v>3.4332694957598457</v>
      </c>
      <c r="D677" s="40">
        <f t="shared" si="259"/>
        <v>1.8717327794185254</v>
      </c>
      <c r="E677" s="40">
        <f t="shared" si="259"/>
        <v>0.32981104388639787</v>
      </c>
      <c r="F677" s="40">
        <f t="shared" si="259"/>
        <v>0.74636293386083608</v>
      </c>
      <c r="G677" s="40">
        <f t="shared" si="261"/>
        <v>0.34817321475331586</v>
      </c>
      <c r="H677" s="40">
        <f t="shared" si="261"/>
        <v>5.4355139759513407E-2</v>
      </c>
      <c r="I677" s="104">
        <f t="shared" si="260"/>
        <v>0.36139678902735217</v>
      </c>
      <c r="J677" s="104">
        <f t="shared" si="260"/>
        <v>0.1970245030966869</v>
      </c>
      <c r="K677" s="104">
        <f t="shared" si="260"/>
        <v>3.471695198804188E-2</v>
      </c>
      <c r="L677" s="104">
        <f t="shared" si="260"/>
        <v>0.48220077187638283</v>
      </c>
      <c r="M677" s="104">
        <f t="shared" si="260"/>
        <v>0.26288381733406258</v>
      </c>
      <c r="N677" s="104">
        <f t="shared" si="260"/>
        <v>4.6321775826741275E-2</v>
      </c>
      <c r="O677" s="55">
        <f t="shared" si="260"/>
        <v>0.38224352251574223</v>
      </c>
      <c r="P677" s="55">
        <f t="shared" si="260"/>
        <v>0.21957685264482196</v>
      </c>
      <c r="Q677" s="55">
        <f t="shared" si="260"/>
        <v>4.6321775826741275E-2</v>
      </c>
    </row>
    <row r="678" spans="1:17" x14ac:dyDescent="0.2">
      <c r="A678" s="72">
        <v>164</v>
      </c>
      <c r="B678" s="59">
        <v>668</v>
      </c>
      <c r="C678" s="40">
        <f t="shared" si="259"/>
        <v>3.4332694957598457</v>
      </c>
      <c r="D678" s="40">
        <f t="shared" si="259"/>
        <v>1.8717327794185254</v>
      </c>
      <c r="E678" s="40">
        <f t="shared" si="259"/>
        <v>0.32981104388639787</v>
      </c>
      <c r="F678" s="40">
        <f t="shared" si="259"/>
        <v>0.74636293386083608</v>
      </c>
      <c r="G678" s="40">
        <f t="shared" si="261"/>
        <v>0.34817321475331586</v>
      </c>
      <c r="H678" s="40">
        <f t="shared" si="261"/>
        <v>5.4355139759513407E-2</v>
      </c>
      <c r="I678" s="104">
        <f t="shared" si="260"/>
        <v>0.36139678902735217</v>
      </c>
      <c r="J678" s="104">
        <f t="shared" si="260"/>
        <v>0.1970245030966869</v>
      </c>
      <c r="K678" s="104">
        <f t="shared" si="260"/>
        <v>3.471695198804188E-2</v>
      </c>
      <c r="L678" s="104">
        <f t="shared" si="260"/>
        <v>0.48220077187638283</v>
      </c>
      <c r="M678" s="104">
        <f t="shared" si="260"/>
        <v>0.26288381733406258</v>
      </c>
      <c r="N678" s="104">
        <f t="shared" si="260"/>
        <v>4.6321775826741275E-2</v>
      </c>
      <c r="O678" s="55">
        <f t="shared" si="260"/>
        <v>0.38224352251574223</v>
      </c>
      <c r="P678" s="55">
        <f t="shared" si="260"/>
        <v>0.21957685264482196</v>
      </c>
      <c r="Q678" s="55">
        <f t="shared" si="260"/>
        <v>4.6321775826741275E-2</v>
      </c>
    </row>
    <row r="679" spans="1:17" x14ac:dyDescent="0.2">
      <c r="A679" s="72">
        <v>165</v>
      </c>
      <c r="B679" s="59">
        <v>669</v>
      </c>
      <c r="C679" s="40">
        <f t="shared" si="259"/>
        <v>3.4332694957598457</v>
      </c>
      <c r="D679" s="40">
        <f t="shared" si="259"/>
        <v>1.8717327794185254</v>
      </c>
      <c r="E679" s="40">
        <f t="shared" si="259"/>
        <v>0.32981104388639787</v>
      </c>
      <c r="F679" s="40">
        <f t="shared" si="259"/>
        <v>0.74636293386083608</v>
      </c>
      <c r="G679" s="40">
        <f t="shared" si="261"/>
        <v>0.34817321475331586</v>
      </c>
      <c r="H679" s="40">
        <f t="shared" si="261"/>
        <v>5.4355139759513407E-2</v>
      </c>
      <c r="I679" s="104">
        <f t="shared" si="260"/>
        <v>0.36139678902735217</v>
      </c>
      <c r="J679" s="104">
        <f t="shared" si="260"/>
        <v>0.1970245030966869</v>
      </c>
      <c r="K679" s="104">
        <f t="shared" si="260"/>
        <v>3.471695198804188E-2</v>
      </c>
      <c r="L679" s="104">
        <f t="shared" si="260"/>
        <v>0.48220077187638283</v>
      </c>
      <c r="M679" s="104">
        <f t="shared" si="260"/>
        <v>0.26288381733406258</v>
      </c>
      <c r="N679" s="104">
        <f t="shared" si="260"/>
        <v>4.6321775826741275E-2</v>
      </c>
      <c r="O679" s="55">
        <f t="shared" si="260"/>
        <v>0.38224352251574223</v>
      </c>
      <c r="P679" s="55">
        <f t="shared" si="260"/>
        <v>0.21957685264482196</v>
      </c>
      <c r="Q679" s="55">
        <f t="shared" si="260"/>
        <v>4.6321775826741275E-2</v>
      </c>
    </row>
    <row r="680" spans="1:17" x14ac:dyDescent="0.2">
      <c r="A680" s="72">
        <v>166</v>
      </c>
      <c r="B680" s="59">
        <v>670</v>
      </c>
      <c r="C680" s="40">
        <f t="shared" si="259"/>
        <v>3.4332694957598457</v>
      </c>
      <c r="D680" s="40">
        <f t="shared" si="259"/>
        <v>1.8717327794185254</v>
      </c>
      <c r="E680" s="40">
        <f t="shared" si="259"/>
        <v>0.32981104388639787</v>
      </c>
      <c r="F680" s="40">
        <f t="shared" si="259"/>
        <v>0.74636293386083608</v>
      </c>
      <c r="G680" s="40">
        <f t="shared" si="261"/>
        <v>0.34817321475331586</v>
      </c>
      <c r="H680" s="40">
        <f t="shared" si="261"/>
        <v>5.4355139759513407E-2</v>
      </c>
      <c r="I680" s="104">
        <f t="shared" ref="I680:Q682" si="262">I176</f>
        <v>0.36139678902735217</v>
      </c>
      <c r="J680" s="104">
        <f t="shared" si="262"/>
        <v>0.1970245030966869</v>
      </c>
      <c r="K680" s="104">
        <f t="shared" si="262"/>
        <v>3.471695198804188E-2</v>
      </c>
      <c r="L680" s="104">
        <f t="shared" si="262"/>
        <v>0.48220077187638283</v>
      </c>
      <c r="M680" s="104">
        <f t="shared" si="262"/>
        <v>0.26288381733406258</v>
      </c>
      <c r="N680" s="104">
        <f t="shared" si="262"/>
        <v>4.6321775826741275E-2</v>
      </c>
      <c r="O680" s="55">
        <f t="shared" si="262"/>
        <v>0.38224352251574223</v>
      </c>
      <c r="P680" s="55">
        <f t="shared" si="262"/>
        <v>0.21957685264482196</v>
      </c>
      <c r="Q680" s="55">
        <f t="shared" si="262"/>
        <v>4.6321775826741275E-2</v>
      </c>
    </row>
    <row r="681" spans="1:17" x14ac:dyDescent="0.2">
      <c r="A681" s="72">
        <v>167</v>
      </c>
      <c r="B681" s="59">
        <v>671</v>
      </c>
      <c r="C681" s="40">
        <f t="shared" si="259"/>
        <v>0</v>
      </c>
      <c r="D681" s="40">
        <f t="shared" si="259"/>
        <v>0</v>
      </c>
      <c r="E681" s="40">
        <f t="shared" si="259"/>
        <v>0</v>
      </c>
      <c r="F681" s="40">
        <f t="shared" si="259"/>
        <v>0</v>
      </c>
      <c r="G681" s="40">
        <f t="shared" si="261"/>
        <v>0</v>
      </c>
      <c r="H681" s="40">
        <f t="shared" si="261"/>
        <v>0</v>
      </c>
      <c r="I681" s="104">
        <f t="shared" si="262"/>
        <v>0</v>
      </c>
      <c r="J681" s="104">
        <f t="shared" si="262"/>
        <v>0</v>
      </c>
      <c r="K681" s="104">
        <f t="shared" si="262"/>
        <v>0</v>
      </c>
      <c r="L681" s="104">
        <f t="shared" si="262"/>
        <v>0</v>
      </c>
      <c r="M681" s="104">
        <f t="shared" si="262"/>
        <v>0</v>
      </c>
      <c r="N681" s="104">
        <f t="shared" si="262"/>
        <v>0</v>
      </c>
      <c r="O681" s="55">
        <f t="shared" si="262"/>
        <v>0</v>
      </c>
      <c r="P681" s="55">
        <f t="shared" si="262"/>
        <v>0</v>
      </c>
      <c r="Q681" s="55">
        <f t="shared" si="262"/>
        <v>0</v>
      </c>
    </row>
    <row r="682" spans="1:17" x14ac:dyDescent="0.2">
      <c r="A682" s="72">
        <v>168</v>
      </c>
      <c r="B682" s="59">
        <v>672</v>
      </c>
      <c r="C682" s="40">
        <f t="shared" si="259"/>
        <v>0</v>
      </c>
      <c r="D682" s="40">
        <f t="shared" si="259"/>
        <v>0</v>
      </c>
      <c r="E682" s="40">
        <f t="shared" si="259"/>
        <v>0</v>
      </c>
      <c r="F682" s="40">
        <f t="shared" si="259"/>
        <v>0</v>
      </c>
      <c r="G682" s="40">
        <f t="shared" si="261"/>
        <v>0</v>
      </c>
      <c r="H682" s="40">
        <f t="shared" si="261"/>
        <v>0</v>
      </c>
      <c r="I682" s="104">
        <f t="shared" si="262"/>
        <v>0</v>
      </c>
      <c r="J682" s="104">
        <f t="shared" si="262"/>
        <v>0</v>
      </c>
      <c r="K682" s="104">
        <f t="shared" si="262"/>
        <v>0</v>
      </c>
      <c r="L682" s="104">
        <f t="shared" si="262"/>
        <v>0</v>
      </c>
      <c r="M682" s="104">
        <f t="shared" si="262"/>
        <v>0</v>
      </c>
      <c r="N682" s="104">
        <f t="shared" si="262"/>
        <v>0</v>
      </c>
      <c r="O682" s="55">
        <f t="shared" si="262"/>
        <v>0</v>
      </c>
      <c r="P682" s="55">
        <f t="shared" si="262"/>
        <v>0</v>
      </c>
      <c r="Q682" s="55">
        <f t="shared" si="262"/>
        <v>0</v>
      </c>
    </row>
    <row r="683" spans="1:17" x14ac:dyDescent="0.2">
      <c r="B683" s="36"/>
      <c r="D683" s="40"/>
      <c r="E683" s="40"/>
      <c r="G683" s="40"/>
      <c r="H683" s="40"/>
      <c r="I683" s="130"/>
      <c r="J683" s="130"/>
      <c r="K683" s="130"/>
      <c r="L683" s="130"/>
      <c r="M683" s="130"/>
      <c r="N683" s="130"/>
      <c r="O683" s="132"/>
      <c r="P683" s="132"/>
      <c r="Q683" s="132"/>
    </row>
    <row r="684" spans="1:17" x14ac:dyDescent="0.2">
      <c r="B684" s="36"/>
      <c r="D684" s="40"/>
      <c r="E684" s="40"/>
      <c r="G684" s="40"/>
      <c r="H684" s="40"/>
      <c r="I684" s="130"/>
      <c r="J684" s="130"/>
      <c r="K684" s="130"/>
      <c r="L684" s="130"/>
      <c r="M684" s="130"/>
      <c r="N684" s="130"/>
      <c r="O684" s="40"/>
      <c r="P684" s="40"/>
      <c r="Q684" s="40"/>
    </row>
    <row r="685" spans="1:17" x14ac:dyDescent="0.2">
      <c r="C685" s="69"/>
      <c r="D685" s="69"/>
      <c r="E685" s="69"/>
      <c r="F685" s="69"/>
      <c r="G685" s="69"/>
      <c r="H685" s="69"/>
      <c r="I685" s="131"/>
      <c r="J685" s="131"/>
      <c r="K685" s="131"/>
      <c r="L685" s="131"/>
      <c r="M685" s="131"/>
      <c r="N685" s="131"/>
      <c r="O685" s="131"/>
      <c r="P685" s="131"/>
      <c r="Q685" s="131"/>
    </row>
  </sheetData>
  <mergeCells count="9">
    <mergeCell ref="AA8:AC8"/>
    <mergeCell ref="C6:E6"/>
    <mergeCell ref="F6:H6"/>
    <mergeCell ref="V8:X8"/>
    <mergeCell ref="S8:U8"/>
    <mergeCell ref="I7:K7"/>
    <mergeCell ref="L7:N7"/>
    <mergeCell ref="I6:Q6"/>
    <mergeCell ref="O7:Q7"/>
  </mergeCells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CC525-8EB1-3A4D-8C89-616E3CB0BCEC}">
  <dimension ref="C4:Q14"/>
  <sheetViews>
    <sheetView topLeftCell="B1" zoomScale="150" zoomScaleNormal="150" workbookViewId="0">
      <selection activeCell="C7" sqref="C7"/>
    </sheetView>
  </sheetViews>
  <sheetFormatPr baseColWidth="10" defaultRowHeight="16" x14ac:dyDescent="0.2"/>
  <cols>
    <col min="7" max="7" width="12.83203125" customWidth="1"/>
    <col min="10" max="10" width="12" customWidth="1"/>
  </cols>
  <sheetData>
    <row r="4" spans="3:17" ht="17" thickBot="1" x14ac:dyDescent="0.25"/>
    <row r="5" spans="3:17" ht="62" customHeight="1" thickTop="1" thickBot="1" x14ac:dyDescent="0.25">
      <c r="F5" s="147" t="s">
        <v>107</v>
      </c>
      <c r="G5" s="145" t="s">
        <v>99</v>
      </c>
      <c r="H5" s="149" t="s">
        <v>108</v>
      </c>
      <c r="I5" s="84" t="s">
        <v>109</v>
      </c>
      <c r="J5" s="85" t="s">
        <v>110</v>
      </c>
      <c r="K5" s="77"/>
      <c r="P5" t="s">
        <v>105</v>
      </c>
      <c r="Q5" t="s">
        <v>106</v>
      </c>
    </row>
    <row r="6" spans="3:17" ht="18" thickTop="1" thickBot="1" x14ac:dyDescent="0.25">
      <c r="C6">
        <f>J10</f>
        <v>178853</v>
      </c>
      <c r="F6" s="148"/>
      <c r="G6" s="146"/>
      <c r="H6" s="150"/>
      <c r="I6" s="86" t="s">
        <v>88</v>
      </c>
      <c r="J6" s="86" t="s">
        <v>88</v>
      </c>
      <c r="M6" s="76"/>
      <c r="N6" t="e" cm="1">
        <f t="array" ref="N6">LINEST(Q6:Q11, P6:P11^{1,2,3})</f>
        <v>#VALUE!</v>
      </c>
      <c r="P6" s="75">
        <v>2400</v>
      </c>
      <c r="Q6" s="78">
        <v>3418</v>
      </c>
    </row>
    <row r="7" spans="3:17" ht="21" thickTop="1" thickBot="1" x14ac:dyDescent="0.3">
      <c r="C7">
        <v>86432</v>
      </c>
      <c r="F7" s="83">
        <v>1</v>
      </c>
      <c r="G7" s="83">
        <v>2400</v>
      </c>
      <c r="H7" s="83">
        <v>3418</v>
      </c>
      <c r="I7" s="83">
        <v>53567</v>
      </c>
      <c r="J7" s="83">
        <f t="shared" ref="J7:J14" si="0">H7+I7</f>
        <v>56985</v>
      </c>
      <c r="L7" s="79"/>
      <c r="P7" s="74">
        <v>2600</v>
      </c>
      <c r="Q7" s="78">
        <v>1797</v>
      </c>
    </row>
    <row r="8" spans="3:17" ht="21" thickTop="1" thickBot="1" x14ac:dyDescent="0.3">
      <c r="D8">
        <f>C6-C7</f>
        <v>92421</v>
      </c>
      <c r="F8" s="83">
        <v>2</v>
      </c>
      <c r="G8" s="83">
        <v>2500</v>
      </c>
      <c r="H8" s="83">
        <v>2810</v>
      </c>
      <c r="I8" s="83">
        <v>83622</v>
      </c>
      <c r="J8" s="83">
        <f t="shared" si="0"/>
        <v>86432</v>
      </c>
      <c r="L8" s="79"/>
      <c r="P8" s="74"/>
      <c r="Q8" s="78"/>
    </row>
    <row r="9" spans="3:17" ht="21" thickTop="1" thickBot="1" x14ac:dyDescent="0.3">
      <c r="D9">
        <f>D8/HomeHeatDemand!F3</f>
        <v>349.60049852045904</v>
      </c>
      <c r="F9" s="83">
        <v>3</v>
      </c>
      <c r="G9" s="83">
        <v>2600</v>
      </c>
      <c r="H9" s="83">
        <v>1797</v>
      </c>
      <c r="I9" s="83">
        <v>125880</v>
      </c>
      <c r="J9" s="83">
        <f t="shared" si="0"/>
        <v>127677</v>
      </c>
      <c r="L9" s="79"/>
      <c r="P9" s="74">
        <v>2800</v>
      </c>
      <c r="Q9" s="78">
        <v>2151</v>
      </c>
    </row>
    <row r="10" spans="3:17" ht="21" thickTop="1" thickBot="1" x14ac:dyDescent="0.3">
      <c r="F10" s="83">
        <v>4</v>
      </c>
      <c r="G10" s="83">
        <v>2700</v>
      </c>
      <c r="H10" s="83">
        <v>1534</v>
      </c>
      <c r="I10" s="83">
        <v>177319</v>
      </c>
      <c r="J10" s="83">
        <f t="shared" si="0"/>
        <v>178853</v>
      </c>
      <c r="L10" s="79"/>
      <c r="P10" s="74"/>
      <c r="Q10" s="78"/>
    </row>
    <row r="11" spans="3:17" ht="21" thickTop="1" thickBot="1" x14ac:dyDescent="0.3">
      <c r="F11" s="83">
        <v>5</v>
      </c>
      <c r="G11" s="83">
        <v>2800</v>
      </c>
      <c r="H11" s="83">
        <v>2151</v>
      </c>
      <c r="I11" s="83">
        <v>170435</v>
      </c>
      <c r="J11" s="83">
        <f t="shared" si="0"/>
        <v>172586</v>
      </c>
      <c r="L11" s="79"/>
      <c r="P11" s="74">
        <v>3000</v>
      </c>
      <c r="Q11" s="78">
        <v>1834</v>
      </c>
    </row>
    <row r="12" spans="3:17" ht="21" thickTop="1" thickBot="1" x14ac:dyDescent="0.3">
      <c r="D12" s="82"/>
      <c r="F12" s="83">
        <v>6</v>
      </c>
      <c r="G12" s="83">
        <v>2900</v>
      </c>
      <c r="H12" s="83">
        <v>2142</v>
      </c>
      <c r="I12" s="83">
        <v>212463</v>
      </c>
      <c r="J12" s="83">
        <f t="shared" si="0"/>
        <v>214605</v>
      </c>
      <c r="L12" s="79"/>
      <c r="P12" s="80"/>
      <c r="Q12" s="81"/>
    </row>
    <row r="13" spans="3:17" ht="21" thickTop="1" thickBot="1" x14ac:dyDescent="0.3">
      <c r="F13" s="83">
        <v>7</v>
      </c>
      <c r="G13" s="83">
        <v>3000</v>
      </c>
      <c r="H13" s="83">
        <v>1834</v>
      </c>
      <c r="I13" s="83">
        <v>275662</v>
      </c>
      <c r="J13" s="83">
        <f t="shared" si="0"/>
        <v>277496</v>
      </c>
      <c r="L13" s="79"/>
    </row>
    <row r="14" spans="3:17" ht="20" thickTop="1" x14ac:dyDescent="0.25">
      <c r="G14">
        <v>3200</v>
      </c>
      <c r="H14">
        <v>1518</v>
      </c>
      <c r="I14">
        <v>337814</v>
      </c>
      <c r="J14">
        <f t="shared" si="0"/>
        <v>339332</v>
      </c>
      <c r="L14" s="79"/>
    </row>
  </sheetData>
  <mergeCells count="3">
    <mergeCell ref="G5:G6"/>
    <mergeCell ref="F5:F6"/>
    <mergeCell ref="H5:H6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529A5-DCCD-674C-B060-529EFD6AECB2}">
  <dimension ref="A2:K37"/>
  <sheetViews>
    <sheetView zoomScale="150" zoomScaleNormal="150" workbookViewId="0">
      <selection activeCell="E32" sqref="E32"/>
    </sheetView>
  </sheetViews>
  <sheetFormatPr baseColWidth="10" defaultRowHeight="16" x14ac:dyDescent="0.2"/>
  <cols>
    <col min="1" max="1" width="22.6640625" style="89" customWidth="1"/>
    <col min="2" max="2" width="19.33203125" style="89" customWidth="1"/>
    <col min="3" max="3" width="10.83203125" style="89"/>
    <col min="4" max="4" width="12.5" style="89" bestFit="1" customWidth="1"/>
    <col min="5" max="6" width="11.1640625" style="89" bestFit="1" customWidth="1"/>
    <col min="7" max="7" width="15.83203125" style="89" customWidth="1"/>
    <col min="8" max="8" width="17" style="89" customWidth="1"/>
    <col min="9" max="10" width="10.83203125" style="89"/>
    <col min="11" max="11" width="11.1640625" style="89" bestFit="1" customWidth="1"/>
    <col min="12" max="16384" width="10.83203125" style="89"/>
  </cols>
  <sheetData>
    <row r="2" spans="3:11" x14ac:dyDescent="0.2">
      <c r="D2" s="89" t="s">
        <v>115</v>
      </c>
    </row>
    <row r="3" spans="3:11" x14ac:dyDescent="0.2">
      <c r="F3" s="89" t="s">
        <v>113</v>
      </c>
      <c r="G3" s="89" t="s">
        <v>114</v>
      </c>
    </row>
    <row r="4" spans="3:11" x14ac:dyDescent="0.2">
      <c r="C4" s="89" t="s">
        <v>111</v>
      </c>
      <c r="D4" s="89">
        <v>252665</v>
      </c>
      <c r="F4" s="89">
        <v>1534</v>
      </c>
      <c r="G4" s="89">
        <v>117318</v>
      </c>
    </row>
    <row r="5" spans="3:11" x14ac:dyDescent="0.2">
      <c r="C5" s="89" t="s">
        <v>112</v>
      </c>
      <c r="D5" s="89">
        <v>253140</v>
      </c>
      <c r="F5" s="89">
        <v>6623</v>
      </c>
      <c r="G5" s="89">
        <v>637381</v>
      </c>
    </row>
    <row r="6" spans="3:11" x14ac:dyDescent="0.2">
      <c r="D6" s="89">
        <f>D4-D5</f>
        <v>-475</v>
      </c>
      <c r="F6" s="89">
        <f>F4-F5</f>
        <v>-5089</v>
      </c>
      <c r="G6" s="89">
        <f>G4-G5</f>
        <v>-520063</v>
      </c>
    </row>
    <row r="10" spans="3:11" x14ac:dyDescent="0.2">
      <c r="D10" s="89" t="s">
        <v>116</v>
      </c>
      <c r="E10" s="89" t="s">
        <v>117</v>
      </c>
      <c r="G10" s="89" t="s">
        <v>120</v>
      </c>
      <c r="H10" s="89" t="s">
        <v>121</v>
      </c>
      <c r="J10" s="89" t="s">
        <v>122</v>
      </c>
      <c r="K10" s="89" t="s">
        <v>123</v>
      </c>
    </row>
    <row r="11" spans="3:11" x14ac:dyDescent="0.2">
      <c r="C11" s="89" t="s">
        <v>13</v>
      </c>
      <c r="D11" s="89">
        <v>2733703</v>
      </c>
      <c r="E11" s="89">
        <f>-2326383</f>
        <v>-2326383</v>
      </c>
      <c r="I11" s="89" t="s">
        <v>113</v>
      </c>
      <c r="J11" s="89">
        <v>0</v>
      </c>
      <c r="K11" s="89">
        <f>-1599423</f>
        <v>-1599423</v>
      </c>
    </row>
    <row r="12" spans="3:11" x14ac:dyDescent="0.2">
      <c r="C12" s="89" t="s">
        <v>118</v>
      </c>
      <c r="D12" s="89">
        <v>828277</v>
      </c>
      <c r="E12" s="89">
        <f>-2197463</f>
        <v>-2197463</v>
      </c>
      <c r="I12" s="89" t="s">
        <v>114</v>
      </c>
      <c r="J12" s="89">
        <v>1282797</v>
      </c>
      <c r="K12" s="89">
        <f>-21874</f>
        <v>-21874</v>
      </c>
    </row>
    <row r="13" spans="3:11" x14ac:dyDescent="0.2">
      <c r="C13" s="89" t="s">
        <v>119</v>
      </c>
      <c r="D13" s="89">
        <v>1905426</v>
      </c>
      <c r="E13" s="89">
        <f>-128920</f>
        <v>-128920</v>
      </c>
      <c r="G13" s="89">
        <f>D13+E13+J11+K11</f>
        <v>177083</v>
      </c>
      <c r="H13" s="89">
        <f>D12+E12+J12+K12</f>
        <v>-108263</v>
      </c>
    </row>
    <row r="14" spans="3:11" x14ac:dyDescent="0.2">
      <c r="D14" s="89" t="b">
        <f>IF(D12+D13 =D11, TRUE, FALSE)</f>
        <v>1</v>
      </c>
      <c r="E14" s="89" t="b">
        <f>IF(E12+E13 =E11, TRUE, FALSE)</f>
        <v>1</v>
      </c>
    </row>
    <row r="16" spans="3:11" x14ac:dyDescent="0.2">
      <c r="D16" s="89" t="s">
        <v>124</v>
      </c>
      <c r="E16" s="89" t="s">
        <v>125</v>
      </c>
    </row>
    <row r="17" spans="1:11" s="67" customFormat="1" x14ac:dyDescent="0.2">
      <c r="D17" s="67" t="s">
        <v>116</v>
      </c>
      <c r="E17" s="67" t="s">
        <v>117</v>
      </c>
      <c r="G17" s="67" t="s">
        <v>120</v>
      </c>
      <c r="H17" s="67" t="s">
        <v>121</v>
      </c>
      <c r="J17" s="67" t="s">
        <v>122</v>
      </c>
      <c r="K17" s="67" t="s">
        <v>123</v>
      </c>
    </row>
    <row r="18" spans="1:11" x14ac:dyDescent="0.2">
      <c r="C18" s="89" t="s">
        <v>119</v>
      </c>
      <c r="D18" s="89">
        <v>254176</v>
      </c>
      <c r="E18" s="89">
        <f>-316900</f>
        <v>-316900</v>
      </c>
      <c r="G18" s="89">
        <f>D18+E18+J18+K18</f>
        <v>-3943</v>
      </c>
      <c r="H18" s="89">
        <f>D19+E19+J19+K19</f>
        <v>-37450</v>
      </c>
      <c r="I18" s="89" t="s">
        <v>113</v>
      </c>
      <c r="J18" s="89">
        <v>92015</v>
      </c>
      <c r="K18" s="89">
        <f>-33234</f>
        <v>-33234</v>
      </c>
    </row>
    <row r="19" spans="1:11" x14ac:dyDescent="0.2">
      <c r="C19" s="89" t="s">
        <v>118</v>
      </c>
      <c r="D19" s="89">
        <v>2479528</v>
      </c>
      <c r="E19" s="89">
        <f>-2009483</f>
        <v>-2009483</v>
      </c>
      <c r="I19" s="89" t="s">
        <v>114</v>
      </c>
      <c r="J19" s="89">
        <v>139523</v>
      </c>
      <c r="K19" s="89">
        <f>-647018</f>
        <v>-647018</v>
      </c>
    </row>
    <row r="20" spans="1:11" x14ac:dyDescent="0.2">
      <c r="C20" s="89" t="s">
        <v>13</v>
      </c>
      <c r="D20" s="89">
        <v>2733704</v>
      </c>
      <c r="E20" s="89">
        <f>-2326383</f>
        <v>-2326383</v>
      </c>
    </row>
    <row r="21" spans="1:11" x14ac:dyDescent="0.2">
      <c r="D21" s="89" t="b">
        <f>IF(D19+D18 =D20, TRUE, FALSE)</f>
        <v>1</v>
      </c>
      <c r="E21" s="89" t="b">
        <f>IF(E19+E18 =E20, TRUE, FALSE)</f>
        <v>1</v>
      </c>
    </row>
    <row r="23" spans="1:11" x14ac:dyDescent="0.2">
      <c r="G23" s="89" t="s">
        <v>128</v>
      </c>
    </row>
    <row r="24" spans="1:11" x14ac:dyDescent="0.2">
      <c r="G24" s="89" t="s">
        <v>126</v>
      </c>
    </row>
    <row r="26" spans="1:11" x14ac:dyDescent="0.2">
      <c r="C26" s="89">
        <f>'Four-Weekly Heat &amp; Power Demand'!C9*'Four-Weekly Heat &amp; Power Demand'!T6</f>
        <v>2537872.8112656907</v>
      </c>
      <c r="D26" s="89">
        <f>'Four-Weekly Heat &amp; Power Demand'!F9*'Four-Weekly Heat &amp; Power Demand'!T6</f>
        <v>551711.48070993065</v>
      </c>
      <c r="E26" s="89">
        <f>C26-D26</f>
        <v>1986161.3305557601</v>
      </c>
      <c r="G26" s="89" t="s">
        <v>127</v>
      </c>
    </row>
    <row r="28" spans="1:11" x14ac:dyDescent="0.2">
      <c r="A28" s="64" t="s">
        <v>161</v>
      </c>
    </row>
    <row r="30" spans="1:11" x14ac:dyDescent="0.2">
      <c r="A30" s="89" t="s">
        <v>169</v>
      </c>
      <c r="B30" s="121" t="s">
        <v>163</v>
      </c>
      <c r="C30" s="89" t="s">
        <v>76</v>
      </c>
      <c r="D30" s="89" t="s">
        <v>78</v>
      </c>
      <c r="E30" s="89" t="s">
        <v>77</v>
      </c>
    </row>
    <row r="31" spans="1:11" ht="18" x14ac:dyDescent="0.25">
      <c r="A31" s="122" t="s">
        <v>164</v>
      </c>
      <c r="B31" s="121" t="s">
        <v>162</v>
      </c>
      <c r="C31" s="89">
        <v>1878877</v>
      </c>
      <c r="D31" s="89">
        <v>734135</v>
      </c>
      <c r="E31" s="125">
        <v>0</v>
      </c>
    </row>
    <row r="32" spans="1:11" ht="18" x14ac:dyDescent="0.25">
      <c r="A32" s="122" t="s">
        <v>165</v>
      </c>
      <c r="B32" s="121" t="s">
        <v>162</v>
      </c>
      <c r="C32" s="89">
        <v>391852</v>
      </c>
      <c r="D32" s="89">
        <v>382305</v>
      </c>
      <c r="E32" s="89">
        <v>218134</v>
      </c>
    </row>
    <row r="33" spans="1:5" ht="25" customHeight="1" x14ac:dyDescent="0.2">
      <c r="A33" s="122" t="s">
        <v>168</v>
      </c>
      <c r="B33" s="121" t="s">
        <v>162</v>
      </c>
      <c r="C33" s="89">
        <f>SUM(C31:C32)</f>
        <v>2270729</v>
      </c>
      <c r="D33" s="89">
        <f t="shared" ref="D33:E33" si="0">SUM(D31:D32)</f>
        <v>1116440</v>
      </c>
      <c r="E33" s="89">
        <f t="shared" si="0"/>
        <v>218134</v>
      </c>
    </row>
    <row r="34" spans="1:5" ht="36" x14ac:dyDescent="0.2">
      <c r="A34" s="124" t="s">
        <v>79</v>
      </c>
      <c r="B34" s="121"/>
      <c r="C34" s="123" t="s">
        <v>171</v>
      </c>
      <c r="D34" s="126" t="s">
        <v>173</v>
      </c>
      <c r="E34" s="123" t="s">
        <v>172</v>
      </c>
    </row>
    <row r="35" spans="1:5" x14ac:dyDescent="0.2">
      <c r="A35" s="89" t="s">
        <v>170</v>
      </c>
    </row>
    <row r="36" spans="1:5" ht="18" x14ac:dyDescent="0.25">
      <c r="A36" s="122" t="s">
        <v>166</v>
      </c>
      <c r="C36" s="116">
        <f>C31/C33</f>
        <v>0.82743339253605341</v>
      </c>
      <c r="D36" s="116">
        <f t="shared" ref="D36:E36" si="1">D31/D33</f>
        <v>0.65756780480814014</v>
      </c>
      <c r="E36" s="116">
        <f t="shared" si="1"/>
        <v>0</v>
      </c>
    </row>
    <row r="37" spans="1:5" ht="18" x14ac:dyDescent="0.25">
      <c r="A37" s="122" t="s">
        <v>167</v>
      </c>
      <c r="C37" s="116">
        <f>C32/C33</f>
        <v>0.17256660746394661</v>
      </c>
      <c r="D37" s="116">
        <f t="shared" ref="D37:E37" si="2">D32/D33</f>
        <v>0.34243219519185986</v>
      </c>
      <c r="E37" s="116">
        <f t="shared" si="2"/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E03C3-BCAC-C347-98E1-4C72690DED83}">
  <dimension ref="A1:G673"/>
  <sheetViews>
    <sheetView workbookViewId="0">
      <selection activeCell="L6" sqref="L6"/>
    </sheetView>
  </sheetViews>
  <sheetFormatPr baseColWidth="10" defaultRowHeight="16" x14ac:dyDescent="0.2"/>
  <sheetData>
    <row r="1" spans="1:7" s="36" customFormat="1" x14ac:dyDescent="0.2">
      <c r="A1" s="36" t="s">
        <v>59</v>
      </c>
      <c r="B1" s="36" t="str">
        <f>'Four-Weekly Heat &amp; Power Demand'!C3</f>
        <v>HHDW</v>
      </c>
      <c r="C1" s="36" t="str">
        <f>'Four-Weekly Heat &amp; Power Demand'!D3</f>
        <v>HHDS_A</v>
      </c>
      <c r="D1" s="36" t="str">
        <f>'Four-Weekly Heat &amp; Power Demand'!E3</f>
        <v>HHDS</v>
      </c>
      <c r="E1" s="36" t="str">
        <f>'Four-Weekly Heat &amp; Power Demand'!O3</f>
        <v>HPPW</v>
      </c>
      <c r="F1" s="36" t="str">
        <f>'Four-Weekly Heat &amp; Power Demand'!P3</f>
        <v>HPPS_A</v>
      </c>
      <c r="G1" s="36" t="str">
        <f>'Four-Weekly Heat &amp; Power Demand'!Q3</f>
        <v>HPPS</v>
      </c>
    </row>
    <row r="2" spans="1:7" x14ac:dyDescent="0.2">
      <c r="A2">
        <v>1</v>
      </c>
      <c r="B2">
        <f>'Four-Weekly Heat &amp; Power Demand'!C11</f>
        <v>0</v>
      </c>
      <c r="C2">
        <f>'Four-Weekly Heat &amp; Power Demand'!D11</f>
        <v>0</v>
      </c>
      <c r="D2">
        <f>'Four-Weekly Heat &amp; Power Demand'!E11</f>
        <v>0</v>
      </c>
      <c r="E2" s="55">
        <f>'Four-Weekly Heat &amp; Power Demand'!O11</f>
        <v>0</v>
      </c>
      <c r="F2" s="55">
        <f>'Four-Weekly Heat &amp; Power Demand'!P11</f>
        <v>0</v>
      </c>
      <c r="G2" s="55">
        <f>'Four-Weekly Heat &amp; Power Demand'!Q11</f>
        <v>0</v>
      </c>
    </row>
    <row r="3" spans="1:7" x14ac:dyDescent="0.2">
      <c r="A3">
        <v>2</v>
      </c>
      <c r="B3">
        <f>'Four-Weekly Heat &amp; Power Demand'!C12</f>
        <v>0</v>
      </c>
      <c r="C3">
        <f>'Four-Weekly Heat &amp; Power Demand'!D12</f>
        <v>0</v>
      </c>
      <c r="D3">
        <f>'Four-Weekly Heat &amp; Power Demand'!E12</f>
        <v>0</v>
      </c>
      <c r="E3" s="55">
        <f>'Four-Weekly Heat &amp; Power Demand'!O12</f>
        <v>0</v>
      </c>
      <c r="F3" s="55">
        <f>'Four-Weekly Heat &amp; Power Demand'!P12</f>
        <v>0</v>
      </c>
      <c r="G3" s="55">
        <f>'Four-Weekly Heat &amp; Power Demand'!Q12</f>
        <v>0</v>
      </c>
    </row>
    <row r="4" spans="1:7" x14ac:dyDescent="0.2">
      <c r="A4">
        <v>3</v>
      </c>
      <c r="B4">
        <f>'Four-Weekly Heat &amp; Power Demand'!C13</f>
        <v>0</v>
      </c>
      <c r="C4">
        <f>'Four-Weekly Heat &amp; Power Demand'!D13</f>
        <v>0</v>
      </c>
      <c r="D4">
        <f>'Four-Weekly Heat &amp; Power Demand'!E13</f>
        <v>0</v>
      </c>
      <c r="E4" s="55">
        <f>'Four-Weekly Heat &amp; Power Demand'!O13</f>
        <v>0</v>
      </c>
      <c r="F4" s="55">
        <f>'Four-Weekly Heat &amp; Power Demand'!P13</f>
        <v>0</v>
      </c>
      <c r="G4" s="55">
        <f>'Four-Weekly Heat &amp; Power Demand'!Q13</f>
        <v>0</v>
      </c>
    </row>
    <row r="5" spans="1:7" x14ac:dyDescent="0.2">
      <c r="A5">
        <v>4</v>
      </c>
      <c r="B5">
        <f>'Four-Weekly Heat &amp; Power Demand'!C14</f>
        <v>0</v>
      </c>
      <c r="C5">
        <f>'Four-Weekly Heat &amp; Power Demand'!D14</f>
        <v>0</v>
      </c>
      <c r="D5">
        <f>'Four-Weekly Heat &amp; Power Demand'!E14</f>
        <v>0</v>
      </c>
      <c r="E5" s="55">
        <f>'Four-Weekly Heat &amp; Power Demand'!O14</f>
        <v>0</v>
      </c>
      <c r="F5" s="55">
        <f>'Four-Weekly Heat &amp; Power Demand'!P14</f>
        <v>0</v>
      </c>
      <c r="G5" s="55">
        <f>'Four-Weekly Heat &amp; Power Demand'!Q14</f>
        <v>0</v>
      </c>
    </row>
    <row r="6" spans="1:7" x14ac:dyDescent="0.2">
      <c r="A6">
        <v>5</v>
      </c>
      <c r="B6">
        <f>'Four-Weekly Heat &amp; Power Demand'!C15</f>
        <v>0</v>
      </c>
      <c r="C6">
        <f>'Four-Weekly Heat &amp; Power Demand'!D15</f>
        <v>0</v>
      </c>
      <c r="D6">
        <f>'Four-Weekly Heat &amp; Power Demand'!E15</f>
        <v>0</v>
      </c>
      <c r="E6" s="55">
        <f>'Four-Weekly Heat &amp; Power Demand'!O15</f>
        <v>0</v>
      </c>
      <c r="F6" s="55">
        <f>'Four-Weekly Heat &amp; Power Demand'!P15</f>
        <v>0</v>
      </c>
      <c r="G6" s="55">
        <f>'Four-Weekly Heat &amp; Power Demand'!Q15</f>
        <v>0</v>
      </c>
    </row>
    <row r="7" spans="1:7" x14ac:dyDescent="0.2">
      <c r="A7">
        <v>6</v>
      </c>
      <c r="B7">
        <f>'Four-Weekly Heat &amp; Power Demand'!C16</f>
        <v>0</v>
      </c>
      <c r="C7">
        <f>'Four-Weekly Heat &amp; Power Demand'!D16</f>
        <v>0</v>
      </c>
      <c r="D7">
        <f>'Four-Weekly Heat &amp; Power Demand'!E16</f>
        <v>0</v>
      </c>
      <c r="E7" s="55">
        <f>'Four-Weekly Heat &amp; Power Demand'!O16</f>
        <v>0</v>
      </c>
      <c r="F7" s="55">
        <f>'Four-Weekly Heat &amp; Power Demand'!P16</f>
        <v>0</v>
      </c>
      <c r="G7" s="55">
        <f>'Four-Weekly Heat &amp; Power Demand'!Q16</f>
        <v>0</v>
      </c>
    </row>
    <row r="8" spans="1:7" x14ac:dyDescent="0.2">
      <c r="A8">
        <v>7</v>
      </c>
      <c r="B8">
        <f>'Four-Weekly Heat &amp; Power Demand'!C17</f>
        <v>3.4332694957598457</v>
      </c>
      <c r="C8">
        <f>'Four-Weekly Heat &amp; Power Demand'!D17</f>
        <v>1.8717327794185254</v>
      </c>
      <c r="D8">
        <f>'Four-Weekly Heat &amp; Power Demand'!E17</f>
        <v>0.32981104388639787</v>
      </c>
      <c r="E8" s="55">
        <f>'Four-Weekly Heat &amp; Power Demand'!O17</f>
        <v>0.38224352251574223</v>
      </c>
      <c r="F8" s="55">
        <f>'Four-Weekly Heat &amp; Power Demand'!P17</f>
        <v>0.21957685264482196</v>
      </c>
      <c r="G8" s="55">
        <f>'Four-Weekly Heat &amp; Power Demand'!Q17</f>
        <v>4.6321775826741275E-2</v>
      </c>
    </row>
    <row r="9" spans="1:7" x14ac:dyDescent="0.2">
      <c r="A9">
        <v>8</v>
      </c>
      <c r="B9">
        <f>'Four-Weekly Heat &amp; Power Demand'!C18</f>
        <v>3.4332694957598457</v>
      </c>
      <c r="C9">
        <f>'Four-Weekly Heat &amp; Power Demand'!D18</f>
        <v>1.8717327794185254</v>
      </c>
      <c r="D9">
        <f>'Four-Weekly Heat &amp; Power Demand'!E18</f>
        <v>0.32981104388639787</v>
      </c>
      <c r="E9" s="55">
        <f>'Four-Weekly Heat &amp; Power Demand'!O18</f>
        <v>0.38224352251574223</v>
      </c>
      <c r="F9" s="55">
        <f>'Four-Weekly Heat &amp; Power Demand'!P18</f>
        <v>0.21957685264482196</v>
      </c>
      <c r="G9" s="55">
        <f>'Four-Weekly Heat &amp; Power Demand'!Q18</f>
        <v>4.6321775826741275E-2</v>
      </c>
    </row>
    <row r="10" spans="1:7" x14ac:dyDescent="0.2">
      <c r="A10">
        <v>9</v>
      </c>
      <c r="B10">
        <f>'Four-Weekly Heat &amp; Power Demand'!C19</f>
        <v>0</v>
      </c>
      <c r="C10">
        <f>'Four-Weekly Heat &amp; Power Demand'!D19</f>
        <v>0</v>
      </c>
      <c r="D10">
        <f>'Four-Weekly Heat &amp; Power Demand'!E19</f>
        <v>0</v>
      </c>
      <c r="E10" s="55">
        <f>'Four-Weekly Heat &amp; Power Demand'!O19</f>
        <v>0</v>
      </c>
      <c r="F10" s="55">
        <f>'Four-Weekly Heat &amp; Power Demand'!P19</f>
        <v>0</v>
      </c>
      <c r="G10" s="55">
        <f>'Four-Weekly Heat &amp; Power Demand'!Q19</f>
        <v>0</v>
      </c>
    </row>
    <row r="11" spans="1:7" x14ac:dyDescent="0.2">
      <c r="A11">
        <v>10</v>
      </c>
      <c r="B11">
        <f>'Four-Weekly Heat &amp; Power Demand'!C20</f>
        <v>0</v>
      </c>
      <c r="C11">
        <f>'Four-Weekly Heat &amp; Power Demand'!D20</f>
        <v>0</v>
      </c>
      <c r="D11">
        <f>'Four-Weekly Heat &amp; Power Demand'!E20</f>
        <v>0</v>
      </c>
      <c r="E11" s="55">
        <f>'Four-Weekly Heat &amp; Power Demand'!O20</f>
        <v>0</v>
      </c>
      <c r="F11" s="55">
        <f>'Four-Weekly Heat &amp; Power Demand'!P20</f>
        <v>0</v>
      </c>
      <c r="G11" s="55">
        <f>'Four-Weekly Heat &amp; Power Demand'!Q20</f>
        <v>0</v>
      </c>
    </row>
    <row r="12" spans="1:7" x14ac:dyDescent="0.2">
      <c r="A12">
        <v>11</v>
      </c>
      <c r="B12">
        <f>'Four-Weekly Heat &amp; Power Demand'!C21</f>
        <v>0</v>
      </c>
      <c r="C12">
        <f>'Four-Weekly Heat &amp; Power Demand'!D21</f>
        <v>0</v>
      </c>
      <c r="D12">
        <f>'Four-Weekly Heat &amp; Power Demand'!E21</f>
        <v>0</v>
      </c>
      <c r="E12" s="55">
        <f>'Four-Weekly Heat &amp; Power Demand'!O21</f>
        <v>0</v>
      </c>
      <c r="F12" s="55">
        <f>'Four-Weekly Heat &amp; Power Demand'!P21</f>
        <v>0</v>
      </c>
      <c r="G12" s="55">
        <f>'Four-Weekly Heat &amp; Power Demand'!Q21</f>
        <v>0</v>
      </c>
    </row>
    <row r="13" spans="1:7" x14ac:dyDescent="0.2">
      <c r="A13">
        <v>12</v>
      </c>
      <c r="B13">
        <f>'Four-Weekly Heat &amp; Power Demand'!C22</f>
        <v>0</v>
      </c>
      <c r="C13">
        <f>'Four-Weekly Heat &amp; Power Demand'!D22</f>
        <v>0</v>
      </c>
      <c r="D13">
        <f>'Four-Weekly Heat &amp; Power Demand'!E22</f>
        <v>0</v>
      </c>
      <c r="E13" s="55">
        <f>'Four-Weekly Heat &amp; Power Demand'!O22</f>
        <v>0</v>
      </c>
      <c r="F13" s="55">
        <f>'Four-Weekly Heat &amp; Power Demand'!P22</f>
        <v>0</v>
      </c>
      <c r="G13" s="55">
        <f>'Four-Weekly Heat &amp; Power Demand'!Q22</f>
        <v>0</v>
      </c>
    </row>
    <row r="14" spans="1:7" x14ac:dyDescent="0.2">
      <c r="A14">
        <v>13</v>
      </c>
      <c r="B14">
        <f>'Four-Weekly Heat &amp; Power Demand'!C23</f>
        <v>0</v>
      </c>
      <c r="C14">
        <f>'Four-Weekly Heat &amp; Power Demand'!D23</f>
        <v>0</v>
      </c>
      <c r="D14">
        <f>'Four-Weekly Heat &amp; Power Demand'!E23</f>
        <v>0</v>
      </c>
      <c r="E14" s="55">
        <f>'Four-Weekly Heat &amp; Power Demand'!O23</f>
        <v>0</v>
      </c>
      <c r="F14" s="55">
        <f>'Four-Weekly Heat &amp; Power Demand'!P23</f>
        <v>0</v>
      </c>
      <c r="G14" s="55">
        <f>'Four-Weekly Heat &amp; Power Demand'!Q23</f>
        <v>0</v>
      </c>
    </row>
    <row r="15" spans="1:7" x14ac:dyDescent="0.2">
      <c r="A15">
        <v>14</v>
      </c>
      <c r="B15">
        <f>'Four-Weekly Heat &amp; Power Demand'!C24</f>
        <v>0</v>
      </c>
      <c r="C15">
        <f>'Four-Weekly Heat &amp; Power Demand'!D24</f>
        <v>0</v>
      </c>
      <c r="D15">
        <f>'Four-Weekly Heat &amp; Power Demand'!E24</f>
        <v>0</v>
      </c>
      <c r="E15" s="55">
        <f>'Four-Weekly Heat &amp; Power Demand'!O24</f>
        <v>0</v>
      </c>
      <c r="F15" s="55">
        <f>'Four-Weekly Heat &amp; Power Demand'!P24</f>
        <v>0</v>
      </c>
      <c r="G15" s="55">
        <f>'Four-Weekly Heat &amp; Power Demand'!Q24</f>
        <v>0</v>
      </c>
    </row>
    <row r="16" spans="1:7" x14ac:dyDescent="0.2">
      <c r="A16">
        <v>15</v>
      </c>
      <c r="B16">
        <f>'Four-Weekly Heat &amp; Power Demand'!C25</f>
        <v>0</v>
      </c>
      <c r="C16">
        <f>'Four-Weekly Heat &amp; Power Demand'!D25</f>
        <v>0</v>
      </c>
      <c r="D16">
        <f>'Four-Weekly Heat &amp; Power Demand'!E25</f>
        <v>0</v>
      </c>
      <c r="E16" s="55">
        <f>'Four-Weekly Heat &amp; Power Demand'!O25</f>
        <v>0</v>
      </c>
      <c r="F16" s="55">
        <f>'Four-Weekly Heat &amp; Power Demand'!P25</f>
        <v>0</v>
      </c>
      <c r="G16" s="55">
        <f>'Four-Weekly Heat &amp; Power Demand'!Q25</f>
        <v>0</v>
      </c>
    </row>
    <row r="17" spans="1:7" x14ac:dyDescent="0.2">
      <c r="A17">
        <v>16</v>
      </c>
      <c r="B17">
        <f>'Four-Weekly Heat &amp; Power Demand'!C26</f>
        <v>3.4332694957598457</v>
      </c>
      <c r="C17">
        <f>'Four-Weekly Heat &amp; Power Demand'!D26</f>
        <v>1.8717327794185254</v>
      </c>
      <c r="D17">
        <f>'Four-Weekly Heat &amp; Power Demand'!E26</f>
        <v>0.32981104388639787</v>
      </c>
      <c r="E17" s="55">
        <f>'Four-Weekly Heat &amp; Power Demand'!O26</f>
        <v>0.38224352251574223</v>
      </c>
      <c r="F17" s="55">
        <f>'Four-Weekly Heat &amp; Power Demand'!P26</f>
        <v>0.21957685264482196</v>
      </c>
      <c r="G17" s="55">
        <f>'Four-Weekly Heat &amp; Power Demand'!Q26</f>
        <v>4.6321775826741275E-2</v>
      </c>
    </row>
    <row r="18" spans="1:7" x14ac:dyDescent="0.2">
      <c r="A18">
        <v>17</v>
      </c>
      <c r="B18">
        <f>'Four-Weekly Heat &amp; Power Demand'!C27</f>
        <v>3.4332694957598457</v>
      </c>
      <c r="C18">
        <f>'Four-Weekly Heat &amp; Power Demand'!D27</f>
        <v>1.8717327794185254</v>
      </c>
      <c r="D18">
        <f>'Four-Weekly Heat &amp; Power Demand'!E27</f>
        <v>0.32981104388639787</v>
      </c>
      <c r="E18" s="55">
        <f>'Four-Weekly Heat &amp; Power Demand'!O27</f>
        <v>0.38224352251574223</v>
      </c>
      <c r="F18" s="55">
        <f>'Four-Weekly Heat &amp; Power Demand'!P27</f>
        <v>0.21957685264482196</v>
      </c>
      <c r="G18" s="55">
        <f>'Four-Weekly Heat &amp; Power Demand'!Q27</f>
        <v>4.6321775826741275E-2</v>
      </c>
    </row>
    <row r="19" spans="1:7" x14ac:dyDescent="0.2">
      <c r="A19">
        <v>18</v>
      </c>
      <c r="B19">
        <f>'Four-Weekly Heat &amp; Power Demand'!C28</f>
        <v>3.4332694957598457</v>
      </c>
      <c r="C19">
        <f>'Four-Weekly Heat &amp; Power Demand'!D28</f>
        <v>1.8717327794185254</v>
      </c>
      <c r="D19">
        <f>'Four-Weekly Heat &amp; Power Demand'!E28</f>
        <v>0.32981104388639787</v>
      </c>
      <c r="E19" s="55">
        <f>'Four-Weekly Heat &amp; Power Demand'!O28</f>
        <v>0.38224352251574223</v>
      </c>
      <c r="F19" s="55">
        <f>'Four-Weekly Heat &amp; Power Demand'!P28</f>
        <v>0.21957685264482196</v>
      </c>
      <c r="G19" s="55">
        <f>'Four-Weekly Heat &amp; Power Demand'!Q28</f>
        <v>4.6321775826741275E-2</v>
      </c>
    </row>
    <row r="20" spans="1:7" x14ac:dyDescent="0.2">
      <c r="A20">
        <v>19</v>
      </c>
      <c r="B20">
        <f>'Four-Weekly Heat &amp; Power Demand'!C29</f>
        <v>3.4332694957598457</v>
      </c>
      <c r="C20">
        <f>'Four-Weekly Heat &amp; Power Demand'!D29</f>
        <v>1.8717327794185254</v>
      </c>
      <c r="D20">
        <f>'Four-Weekly Heat &amp; Power Demand'!E29</f>
        <v>0.32981104388639787</v>
      </c>
      <c r="E20" s="55">
        <f>'Four-Weekly Heat &amp; Power Demand'!O29</f>
        <v>0.38224352251574223</v>
      </c>
      <c r="F20" s="55">
        <f>'Four-Weekly Heat &amp; Power Demand'!P29</f>
        <v>0.21957685264482196</v>
      </c>
      <c r="G20" s="55">
        <f>'Four-Weekly Heat &amp; Power Demand'!Q29</f>
        <v>4.6321775826741275E-2</v>
      </c>
    </row>
    <row r="21" spans="1:7" x14ac:dyDescent="0.2">
      <c r="A21">
        <v>20</v>
      </c>
      <c r="B21">
        <f>'Four-Weekly Heat &amp; Power Demand'!C30</f>
        <v>3.4332694957598457</v>
      </c>
      <c r="C21">
        <f>'Four-Weekly Heat &amp; Power Demand'!D30</f>
        <v>1.8717327794185254</v>
      </c>
      <c r="D21">
        <f>'Four-Weekly Heat &amp; Power Demand'!E30</f>
        <v>0.32981104388639787</v>
      </c>
      <c r="E21" s="55">
        <f>'Four-Weekly Heat &amp; Power Demand'!O30</f>
        <v>0.38224352251574223</v>
      </c>
      <c r="F21" s="55">
        <f>'Four-Weekly Heat &amp; Power Demand'!P30</f>
        <v>0.21957685264482196</v>
      </c>
      <c r="G21" s="55">
        <f>'Four-Weekly Heat &amp; Power Demand'!Q30</f>
        <v>4.6321775826741275E-2</v>
      </c>
    </row>
    <row r="22" spans="1:7" x14ac:dyDescent="0.2">
      <c r="A22">
        <v>21</v>
      </c>
      <c r="B22">
        <f>'Four-Weekly Heat &amp; Power Demand'!C31</f>
        <v>3.4332694957598457</v>
      </c>
      <c r="C22">
        <f>'Four-Weekly Heat &amp; Power Demand'!D31</f>
        <v>1.8717327794185254</v>
      </c>
      <c r="D22">
        <f>'Four-Weekly Heat &amp; Power Demand'!E31</f>
        <v>0.32981104388639787</v>
      </c>
      <c r="E22" s="55">
        <f>'Four-Weekly Heat &amp; Power Demand'!O31</f>
        <v>0.38224352251574223</v>
      </c>
      <c r="F22" s="55">
        <f>'Four-Weekly Heat &amp; Power Demand'!P31</f>
        <v>0.21957685264482196</v>
      </c>
      <c r="G22" s="55">
        <f>'Four-Weekly Heat &amp; Power Demand'!Q31</f>
        <v>4.6321775826741275E-2</v>
      </c>
    </row>
    <row r="23" spans="1:7" x14ac:dyDescent="0.2">
      <c r="A23">
        <v>22</v>
      </c>
      <c r="B23">
        <f>'Four-Weekly Heat &amp; Power Demand'!C32</f>
        <v>3.4332694957598457</v>
      </c>
      <c r="C23">
        <f>'Four-Weekly Heat &amp; Power Demand'!D32</f>
        <v>1.8717327794185254</v>
      </c>
      <c r="D23">
        <f>'Four-Weekly Heat &amp; Power Demand'!E32</f>
        <v>0.32981104388639787</v>
      </c>
      <c r="E23" s="55">
        <f>'Four-Weekly Heat &amp; Power Demand'!O32</f>
        <v>0.38224352251574223</v>
      </c>
      <c r="F23" s="55">
        <f>'Four-Weekly Heat &amp; Power Demand'!P32</f>
        <v>0.21957685264482196</v>
      </c>
      <c r="G23" s="55">
        <f>'Four-Weekly Heat &amp; Power Demand'!Q32</f>
        <v>4.6321775826741275E-2</v>
      </c>
    </row>
    <row r="24" spans="1:7" x14ac:dyDescent="0.2">
      <c r="A24">
        <v>23</v>
      </c>
      <c r="B24">
        <f>'Four-Weekly Heat &amp; Power Demand'!C33</f>
        <v>0</v>
      </c>
      <c r="C24">
        <f>'Four-Weekly Heat &amp; Power Demand'!D33</f>
        <v>0</v>
      </c>
      <c r="D24">
        <f>'Four-Weekly Heat &amp; Power Demand'!E33</f>
        <v>0</v>
      </c>
      <c r="E24" s="55">
        <f>'Four-Weekly Heat &amp; Power Demand'!O33</f>
        <v>0</v>
      </c>
      <c r="F24" s="55">
        <f>'Four-Weekly Heat &amp; Power Demand'!P33</f>
        <v>0</v>
      </c>
      <c r="G24" s="55">
        <f>'Four-Weekly Heat &amp; Power Demand'!Q33</f>
        <v>0</v>
      </c>
    </row>
    <row r="25" spans="1:7" x14ac:dyDescent="0.2">
      <c r="A25">
        <v>24</v>
      </c>
      <c r="B25">
        <f>'Four-Weekly Heat &amp; Power Demand'!C34</f>
        <v>0</v>
      </c>
      <c r="C25">
        <f>'Four-Weekly Heat &amp; Power Demand'!D34</f>
        <v>0</v>
      </c>
      <c r="D25">
        <f>'Four-Weekly Heat &amp; Power Demand'!E34</f>
        <v>0</v>
      </c>
      <c r="E25" s="55">
        <f>'Four-Weekly Heat &amp; Power Demand'!O34</f>
        <v>0</v>
      </c>
      <c r="F25" s="55">
        <f>'Four-Weekly Heat &amp; Power Demand'!P34</f>
        <v>0</v>
      </c>
      <c r="G25" s="55">
        <f>'Four-Weekly Heat &amp; Power Demand'!Q34</f>
        <v>0</v>
      </c>
    </row>
    <row r="26" spans="1:7" x14ac:dyDescent="0.2">
      <c r="A26">
        <v>25</v>
      </c>
      <c r="B26">
        <f>'Four-Weekly Heat &amp; Power Demand'!C35</f>
        <v>0</v>
      </c>
      <c r="C26">
        <f>'Four-Weekly Heat &amp; Power Demand'!D35</f>
        <v>0</v>
      </c>
      <c r="D26">
        <f>'Four-Weekly Heat &amp; Power Demand'!E35</f>
        <v>0</v>
      </c>
      <c r="E26" s="55">
        <f>'Four-Weekly Heat &amp; Power Demand'!O35</f>
        <v>0</v>
      </c>
      <c r="F26" s="55">
        <f>'Four-Weekly Heat &amp; Power Demand'!P35</f>
        <v>0</v>
      </c>
      <c r="G26" s="55">
        <f>'Four-Weekly Heat &amp; Power Demand'!Q35</f>
        <v>0</v>
      </c>
    </row>
    <row r="27" spans="1:7" x14ac:dyDescent="0.2">
      <c r="A27">
        <v>26</v>
      </c>
      <c r="B27">
        <f>'Four-Weekly Heat &amp; Power Demand'!C36</f>
        <v>0</v>
      </c>
      <c r="C27">
        <f>'Four-Weekly Heat &amp; Power Demand'!D36</f>
        <v>0</v>
      </c>
      <c r="D27">
        <f>'Four-Weekly Heat &amp; Power Demand'!E36</f>
        <v>0</v>
      </c>
      <c r="E27" s="55">
        <f>'Four-Weekly Heat &amp; Power Demand'!O36</f>
        <v>0</v>
      </c>
      <c r="F27" s="55">
        <f>'Four-Weekly Heat &amp; Power Demand'!P36</f>
        <v>0</v>
      </c>
      <c r="G27" s="55">
        <f>'Four-Weekly Heat &amp; Power Demand'!Q36</f>
        <v>0</v>
      </c>
    </row>
    <row r="28" spans="1:7" x14ac:dyDescent="0.2">
      <c r="A28">
        <v>27</v>
      </c>
      <c r="B28">
        <f>'Four-Weekly Heat &amp; Power Demand'!C37</f>
        <v>0</v>
      </c>
      <c r="C28">
        <f>'Four-Weekly Heat &amp; Power Demand'!D37</f>
        <v>0</v>
      </c>
      <c r="D28">
        <f>'Four-Weekly Heat &amp; Power Demand'!E37</f>
        <v>0</v>
      </c>
      <c r="E28" s="55">
        <f>'Four-Weekly Heat &amp; Power Demand'!O37</f>
        <v>0</v>
      </c>
      <c r="F28" s="55">
        <f>'Four-Weekly Heat &amp; Power Demand'!P37</f>
        <v>0</v>
      </c>
      <c r="G28" s="55">
        <f>'Four-Weekly Heat &amp; Power Demand'!Q37</f>
        <v>0</v>
      </c>
    </row>
    <row r="29" spans="1:7" x14ac:dyDescent="0.2">
      <c r="A29">
        <v>28</v>
      </c>
      <c r="B29">
        <f>'Four-Weekly Heat &amp; Power Demand'!C38</f>
        <v>0</v>
      </c>
      <c r="C29">
        <f>'Four-Weekly Heat &amp; Power Demand'!D38</f>
        <v>0</v>
      </c>
      <c r="D29">
        <f>'Four-Weekly Heat &amp; Power Demand'!E38</f>
        <v>0</v>
      </c>
      <c r="E29" s="55">
        <f>'Four-Weekly Heat &amp; Power Demand'!O38</f>
        <v>0</v>
      </c>
      <c r="F29" s="55">
        <f>'Four-Weekly Heat &amp; Power Demand'!P38</f>
        <v>0</v>
      </c>
      <c r="G29" s="55">
        <f>'Four-Weekly Heat &amp; Power Demand'!Q38</f>
        <v>0</v>
      </c>
    </row>
    <row r="30" spans="1:7" x14ac:dyDescent="0.2">
      <c r="A30">
        <v>29</v>
      </c>
      <c r="B30">
        <f>'Four-Weekly Heat &amp; Power Demand'!C39</f>
        <v>0</v>
      </c>
      <c r="C30">
        <f>'Four-Weekly Heat &amp; Power Demand'!D39</f>
        <v>0</v>
      </c>
      <c r="D30">
        <f>'Four-Weekly Heat &amp; Power Demand'!E39</f>
        <v>0</v>
      </c>
      <c r="E30" s="55">
        <f>'Four-Weekly Heat &amp; Power Demand'!O39</f>
        <v>0</v>
      </c>
      <c r="F30" s="55">
        <f>'Four-Weekly Heat &amp; Power Demand'!P39</f>
        <v>0</v>
      </c>
      <c r="G30" s="55">
        <f>'Four-Weekly Heat &amp; Power Demand'!Q39</f>
        <v>0</v>
      </c>
    </row>
    <row r="31" spans="1:7" x14ac:dyDescent="0.2">
      <c r="A31">
        <v>30</v>
      </c>
      <c r="B31">
        <f>'Four-Weekly Heat &amp; Power Demand'!C40</f>
        <v>0</v>
      </c>
      <c r="C31">
        <f>'Four-Weekly Heat &amp; Power Demand'!D40</f>
        <v>0</v>
      </c>
      <c r="D31">
        <f>'Four-Weekly Heat &amp; Power Demand'!E40</f>
        <v>0</v>
      </c>
      <c r="E31" s="55">
        <f>'Four-Weekly Heat &amp; Power Demand'!O40</f>
        <v>0</v>
      </c>
      <c r="F31" s="55">
        <f>'Four-Weekly Heat &amp; Power Demand'!P40</f>
        <v>0</v>
      </c>
      <c r="G31" s="55">
        <f>'Four-Weekly Heat &amp; Power Demand'!Q40</f>
        <v>0</v>
      </c>
    </row>
    <row r="32" spans="1:7" x14ac:dyDescent="0.2">
      <c r="A32">
        <v>31</v>
      </c>
      <c r="B32">
        <f>'Four-Weekly Heat &amp; Power Demand'!C41</f>
        <v>3.4332694957598457</v>
      </c>
      <c r="C32">
        <f>'Four-Weekly Heat &amp; Power Demand'!D41</f>
        <v>1.8717327794185254</v>
      </c>
      <c r="D32">
        <f>'Four-Weekly Heat &amp; Power Demand'!E41</f>
        <v>0.32981104388639787</v>
      </c>
      <c r="E32" s="55">
        <f>'Four-Weekly Heat &amp; Power Demand'!O41</f>
        <v>0.38224352251574223</v>
      </c>
      <c r="F32" s="55">
        <f>'Four-Weekly Heat &amp; Power Demand'!P41</f>
        <v>0.21957685264482196</v>
      </c>
      <c r="G32" s="55">
        <f>'Four-Weekly Heat &amp; Power Demand'!Q41</f>
        <v>4.6321775826741275E-2</v>
      </c>
    </row>
    <row r="33" spans="1:7" x14ac:dyDescent="0.2">
      <c r="A33">
        <v>32</v>
      </c>
      <c r="B33">
        <f>'Four-Weekly Heat &amp; Power Demand'!C42</f>
        <v>3.4332694957598457</v>
      </c>
      <c r="C33">
        <f>'Four-Weekly Heat &amp; Power Demand'!D42</f>
        <v>1.8717327794185254</v>
      </c>
      <c r="D33">
        <f>'Four-Weekly Heat &amp; Power Demand'!E42</f>
        <v>0.32981104388639787</v>
      </c>
      <c r="E33" s="55">
        <f>'Four-Weekly Heat &amp; Power Demand'!O42</f>
        <v>0.38224352251574223</v>
      </c>
      <c r="F33" s="55">
        <f>'Four-Weekly Heat &amp; Power Demand'!P42</f>
        <v>0.21957685264482196</v>
      </c>
      <c r="G33" s="55">
        <f>'Four-Weekly Heat &amp; Power Demand'!Q42</f>
        <v>4.6321775826741275E-2</v>
      </c>
    </row>
    <row r="34" spans="1:7" x14ac:dyDescent="0.2">
      <c r="A34">
        <v>33</v>
      </c>
      <c r="B34">
        <f>'Four-Weekly Heat &amp; Power Demand'!C43</f>
        <v>0</v>
      </c>
      <c r="C34">
        <f>'Four-Weekly Heat &amp; Power Demand'!D43</f>
        <v>0</v>
      </c>
      <c r="D34">
        <f>'Four-Weekly Heat &amp; Power Demand'!E43</f>
        <v>0</v>
      </c>
      <c r="E34" s="55">
        <f>'Four-Weekly Heat &amp; Power Demand'!O43</f>
        <v>0</v>
      </c>
      <c r="F34" s="55">
        <f>'Four-Weekly Heat &amp; Power Demand'!P43</f>
        <v>0</v>
      </c>
      <c r="G34" s="55">
        <f>'Four-Weekly Heat &amp; Power Demand'!Q43</f>
        <v>0</v>
      </c>
    </row>
    <row r="35" spans="1:7" x14ac:dyDescent="0.2">
      <c r="A35">
        <v>34</v>
      </c>
      <c r="B35">
        <f>'Four-Weekly Heat &amp; Power Demand'!C44</f>
        <v>0</v>
      </c>
      <c r="C35">
        <f>'Four-Weekly Heat &amp; Power Demand'!D44</f>
        <v>0</v>
      </c>
      <c r="D35">
        <f>'Four-Weekly Heat &amp; Power Demand'!E44</f>
        <v>0</v>
      </c>
      <c r="E35" s="55">
        <f>'Four-Weekly Heat &amp; Power Demand'!O44</f>
        <v>0</v>
      </c>
      <c r="F35" s="55">
        <f>'Four-Weekly Heat &amp; Power Demand'!P44</f>
        <v>0</v>
      </c>
      <c r="G35" s="55">
        <f>'Four-Weekly Heat &amp; Power Demand'!Q44</f>
        <v>0</v>
      </c>
    </row>
    <row r="36" spans="1:7" x14ac:dyDescent="0.2">
      <c r="A36">
        <v>35</v>
      </c>
      <c r="B36">
        <f>'Four-Weekly Heat &amp; Power Demand'!C45</f>
        <v>0</v>
      </c>
      <c r="C36">
        <f>'Four-Weekly Heat &amp; Power Demand'!D45</f>
        <v>0</v>
      </c>
      <c r="D36">
        <f>'Four-Weekly Heat &amp; Power Demand'!E45</f>
        <v>0</v>
      </c>
      <c r="E36" s="55">
        <f>'Four-Weekly Heat &amp; Power Demand'!O45</f>
        <v>0</v>
      </c>
      <c r="F36" s="55">
        <f>'Four-Weekly Heat &amp; Power Demand'!P45</f>
        <v>0</v>
      </c>
      <c r="G36" s="55">
        <f>'Four-Weekly Heat &amp; Power Demand'!Q45</f>
        <v>0</v>
      </c>
    </row>
    <row r="37" spans="1:7" x14ac:dyDescent="0.2">
      <c r="A37">
        <v>36</v>
      </c>
      <c r="B37">
        <f>'Four-Weekly Heat &amp; Power Demand'!C46</f>
        <v>0</v>
      </c>
      <c r="C37">
        <f>'Four-Weekly Heat &amp; Power Demand'!D46</f>
        <v>0</v>
      </c>
      <c r="D37">
        <f>'Four-Weekly Heat &amp; Power Demand'!E46</f>
        <v>0</v>
      </c>
      <c r="E37" s="55">
        <f>'Four-Weekly Heat &amp; Power Demand'!O46</f>
        <v>0</v>
      </c>
      <c r="F37" s="55">
        <f>'Four-Weekly Heat &amp; Power Demand'!P46</f>
        <v>0</v>
      </c>
      <c r="G37" s="55">
        <f>'Four-Weekly Heat &amp; Power Demand'!Q46</f>
        <v>0</v>
      </c>
    </row>
    <row r="38" spans="1:7" x14ac:dyDescent="0.2">
      <c r="A38">
        <v>37</v>
      </c>
      <c r="B38">
        <f>'Four-Weekly Heat &amp; Power Demand'!C47</f>
        <v>0</v>
      </c>
      <c r="C38">
        <f>'Four-Weekly Heat &amp; Power Demand'!D47</f>
        <v>0</v>
      </c>
      <c r="D38">
        <f>'Four-Weekly Heat &amp; Power Demand'!E47</f>
        <v>0</v>
      </c>
      <c r="E38" s="55">
        <f>'Four-Weekly Heat &amp; Power Demand'!O47</f>
        <v>0</v>
      </c>
      <c r="F38" s="55">
        <f>'Four-Weekly Heat &amp; Power Demand'!P47</f>
        <v>0</v>
      </c>
      <c r="G38" s="55">
        <f>'Four-Weekly Heat &amp; Power Demand'!Q47</f>
        <v>0</v>
      </c>
    </row>
    <row r="39" spans="1:7" x14ac:dyDescent="0.2">
      <c r="A39">
        <v>38</v>
      </c>
      <c r="B39">
        <f>'Four-Weekly Heat &amp; Power Demand'!C48</f>
        <v>0</v>
      </c>
      <c r="C39">
        <f>'Four-Weekly Heat &amp; Power Demand'!D48</f>
        <v>0</v>
      </c>
      <c r="D39">
        <f>'Four-Weekly Heat &amp; Power Demand'!E48</f>
        <v>0</v>
      </c>
      <c r="E39" s="55">
        <f>'Four-Weekly Heat &amp; Power Demand'!O48</f>
        <v>0</v>
      </c>
      <c r="F39" s="55">
        <f>'Four-Weekly Heat &amp; Power Demand'!P48</f>
        <v>0</v>
      </c>
      <c r="G39" s="55">
        <f>'Four-Weekly Heat &amp; Power Demand'!Q48</f>
        <v>0</v>
      </c>
    </row>
    <row r="40" spans="1:7" x14ac:dyDescent="0.2">
      <c r="A40">
        <v>39</v>
      </c>
      <c r="B40">
        <f>'Four-Weekly Heat &amp; Power Demand'!C49</f>
        <v>0</v>
      </c>
      <c r="C40">
        <f>'Four-Weekly Heat &amp; Power Demand'!D49</f>
        <v>0</v>
      </c>
      <c r="D40">
        <f>'Four-Weekly Heat &amp; Power Demand'!E49</f>
        <v>0</v>
      </c>
      <c r="E40" s="55">
        <f>'Four-Weekly Heat &amp; Power Demand'!O49</f>
        <v>0</v>
      </c>
      <c r="F40" s="55">
        <f>'Four-Weekly Heat &amp; Power Demand'!P49</f>
        <v>0</v>
      </c>
      <c r="G40" s="55">
        <f>'Four-Weekly Heat &amp; Power Demand'!Q49</f>
        <v>0</v>
      </c>
    </row>
    <row r="41" spans="1:7" x14ac:dyDescent="0.2">
      <c r="A41">
        <v>40</v>
      </c>
      <c r="B41">
        <f>'Four-Weekly Heat &amp; Power Demand'!C50</f>
        <v>3.4332694957598457</v>
      </c>
      <c r="C41">
        <f>'Four-Weekly Heat &amp; Power Demand'!D50</f>
        <v>1.8717327794185254</v>
      </c>
      <c r="D41">
        <f>'Four-Weekly Heat &amp; Power Demand'!E50</f>
        <v>0.32981104388639787</v>
      </c>
      <c r="E41" s="55">
        <f>'Four-Weekly Heat &amp; Power Demand'!O50</f>
        <v>0.38224352251574223</v>
      </c>
      <c r="F41" s="55">
        <f>'Four-Weekly Heat &amp; Power Demand'!P50</f>
        <v>0.21957685264482196</v>
      </c>
      <c r="G41" s="55">
        <f>'Four-Weekly Heat &amp; Power Demand'!Q50</f>
        <v>4.6321775826741275E-2</v>
      </c>
    </row>
    <row r="42" spans="1:7" x14ac:dyDescent="0.2">
      <c r="A42">
        <v>41</v>
      </c>
      <c r="B42">
        <f>'Four-Weekly Heat &amp; Power Demand'!C51</f>
        <v>3.4332694957598457</v>
      </c>
      <c r="C42">
        <f>'Four-Weekly Heat &amp; Power Demand'!D51</f>
        <v>1.8717327794185254</v>
      </c>
      <c r="D42">
        <f>'Four-Weekly Heat &amp; Power Demand'!E51</f>
        <v>0.32981104388639787</v>
      </c>
      <c r="E42" s="55">
        <f>'Four-Weekly Heat &amp; Power Demand'!O51</f>
        <v>0.38224352251574223</v>
      </c>
      <c r="F42" s="55">
        <f>'Four-Weekly Heat &amp; Power Demand'!P51</f>
        <v>0.21957685264482196</v>
      </c>
      <c r="G42" s="55">
        <f>'Four-Weekly Heat &amp; Power Demand'!Q51</f>
        <v>4.6321775826741275E-2</v>
      </c>
    </row>
    <row r="43" spans="1:7" x14ac:dyDescent="0.2">
      <c r="A43">
        <v>42</v>
      </c>
      <c r="B43">
        <f>'Four-Weekly Heat &amp; Power Demand'!C52</f>
        <v>3.4332694957598457</v>
      </c>
      <c r="C43">
        <f>'Four-Weekly Heat &amp; Power Demand'!D52</f>
        <v>1.8717327794185254</v>
      </c>
      <c r="D43">
        <f>'Four-Weekly Heat &amp; Power Demand'!E52</f>
        <v>0.32981104388639787</v>
      </c>
      <c r="E43" s="55">
        <f>'Four-Weekly Heat &amp; Power Demand'!O52</f>
        <v>0.38224352251574223</v>
      </c>
      <c r="F43" s="55">
        <f>'Four-Weekly Heat &amp; Power Demand'!P52</f>
        <v>0.21957685264482196</v>
      </c>
      <c r="G43" s="55">
        <f>'Four-Weekly Heat &amp; Power Demand'!Q52</f>
        <v>4.6321775826741275E-2</v>
      </c>
    </row>
    <row r="44" spans="1:7" x14ac:dyDescent="0.2">
      <c r="A44">
        <v>43</v>
      </c>
      <c r="B44">
        <f>'Four-Weekly Heat &amp; Power Demand'!C53</f>
        <v>3.4332694957598457</v>
      </c>
      <c r="C44">
        <f>'Four-Weekly Heat &amp; Power Demand'!D53</f>
        <v>1.8717327794185254</v>
      </c>
      <c r="D44">
        <f>'Four-Weekly Heat &amp; Power Demand'!E53</f>
        <v>0.32981104388639787</v>
      </c>
      <c r="E44" s="55">
        <f>'Four-Weekly Heat &amp; Power Demand'!O53</f>
        <v>0.38224352251574223</v>
      </c>
      <c r="F44" s="55">
        <f>'Four-Weekly Heat &amp; Power Demand'!P53</f>
        <v>0.21957685264482196</v>
      </c>
      <c r="G44" s="55">
        <f>'Four-Weekly Heat &amp; Power Demand'!Q53</f>
        <v>4.6321775826741275E-2</v>
      </c>
    </row>
    <row r="45" spans="1:7" x14ac:dyDescent="0.2">
      <c r="A45">
        <v>44</v>
      </c>
      <c r="B45">
        <f>'Four-Weekly Heat &amp; Power Demand'!C54</f>
        <v>3.4332694957598457</v>
      </c>
      <c r="C45">
        <f>'Four-Weekly Heat &amp; Power Demand'!D54</f>
        <v>1.8717327794185254</v>
      </c>
      <c r="D45">
        <f>'Four-Weekly Heat &amp; Power Demand'!E54</f>
        <v>0.32981104388639787</v>
      </c>
      <c r="E45" s="55">
        <f>'Four-Weekly Heat &amp; Power Demand'!O54</f>
        <v>0.38224352251574223</v>
      </c>
      <c r="F45" s="55">
        <f>'Four-Weekly Heat &amp; Power Demand'!P54</f>
        <v>0.21957685264482196</v>
      </c>
      <c r="G45" s="55">
        <f>'Four-Weekly Heat &amp; Power Demand'!Q54</f>
        <v>4.6321775826741275E-2</v>
      </c>
    </row>
    <row r="46" spans="1:7" x14ac:dyDescent="0.2">
      <c r="A46">
        <v>45</v>
      </c>
      <c r="B46">
        <f>'Four-Weekly Heat &amp; Power Demand'!C55</f>
        <v>3.4332694957598457</v>
      </c>
      <c r="C46">
        <f>'Four-Weekly Heat &amp; Power Demand'!D55</f>
        <v>1.8717327794185254</v>
      </c>
      <c r="D46">
        <f>'Four-Weekly Heat &amp; Power Demand'!E55</f>
        <v>0.32981104388639787</v>
      </c>
      <c r="E46" s="55">
        <f>'Four-Weekly Heat &amp; Power Demand'!O55</f>
        <v>0.38224352251574223</v>
      </c>
      <c r="F46" s="55">
        <f>'Four-Weekly Heat &amp; Power Demand'!P55</f>
        <v>0.21957685264482196</v>
      </c>
      <c r="G46" s="55">
        <f>'Four-Weekly Heat &amp; Power Demand'!Q55</f>
        <v>4.6321775826741275E-2</v>
      </c>
    </row>
    <row r="47" spans="1:7" x14ac:dyDescent="0.2">
      <c r="A47">
        <v>46</v>
      </c>
      <c r="B47">
        <f>'Four-Weekly Heat &amp; Power Demand'!C56</f>
        <v>3.4332694957598457</v>
      </c>
      <c r="C47">
        <f>'Four-Weekly Heat &amp; Power Demand'!D56</f>
        <v>1.8717327794185254</v>
      </c>
      <c r="D47">
        <f>'Four-Weekly Heat &amp; Power Demand'!E56</f>
        <v>0.32981104388639787</v>
      </c>
      <c r="E47" s="55">
        <f>'Four-Weekly Heat &amp; Power Demand'!O56</f>
        <v>0.38224352251574223</v>
      </c>
      <c r="F47" s="55">
        <f>'Four-Weekly Heat &amp; Power Demand'!P56</f>
        <v>0.21957685264482196</v>
      </c>
      <c r="G47" s="55">
        <f>'Four-Weekly Heat &amp; Power Demand'!Q56</f>
        <v>4.6321775826741275E-2</v>
      </c>
    </row>
    <row r="48" spans="1:7" x14ac:dyDescent="0.2">
      <c r="A48">
        <v>47</v>
      </c>
      <c r="B48">
        <f>'Four-Weekly Heat &amp; Power Demand'!C57</f>
        <v>0</v>
      </c>
      <c r="C48">
        <f>'Four-Weekly Heat &amp; Power Demand'!D57</f>
        <v>0</v>
      </c>
      <c r="D48">
        <f>'Four-Weekly Heat &amp; Power Demand'!E57</f>
        <v>0</v>
      </c>
      <c r="E48" s="55">
        <f>'Four-Weekly Heat &amp; Power Demand'!O57</f>
        <v>0</v>
      </c>
      <c r="F48" s="55">
        <f>'Four-Weekly Heat &amp; Power Demand'!P57</f>
        <v>0</v>
      </c>
      <c r="G48" s="55">
        <f>'Four-Weekly Heat &amp; Power Demand'!Q57</f>
        <v>0</v>
      </c>
    </row>
    <row r="49" spans="1:7" x14ac:dyDescent="0.2">
      <c r="A49">
        <v>48</v>
      </c>
      <c r="B49">
        <f>'Four-Weekly Heat &amp; Power Demand'!C58</f>
        <v>0</v>
      </c>
      <c r="C49">
        <f>'Four-Weekly Heat &amp; Power Demand'!D58</f>
        <v>0</v>
      </c>
      <c r="D49">
        <f>'Four-Weekly Heat &amp; Power Demand'!E58</f>
        <v>0</v>
      </c>
      <c r="E49" s="55">
        <f>'Four-Weekly Heat &amp; Power Demand'!O58</f>
        <v>0</v>
      </c>
      <c r="F49" s="55">
        <f>'Four-Weekly Heat &amp; Power Demand'!P58</f>
        <v>0</v>
      </c>
      <c r="G49" s="55">
        <f>'Four-Weekly Heat &amp; Power Demand'!Q58</f>
        <v>0</v>
      </c>
    </row>
    <row r="50" spans="1:7" x14ac:dyDescent="0.2">
      <c r="A50">
        <v>49</v>
      </c>
      <c r="B50">
        <f>'Four-Weekly Heat &amp; Power Demand'!C59</f>
        <v>0</v>
      </c>
      <c r="C50">
        <f>'Four-Weekly Heat &amp; Power Demand'!D59</f>
        <v>0</v>
      </c>
      <c r="D50">
        <f>'Four-Weekly Heat &amp; Power Demand'!E59</f>
        <v>0</v>
      </c>
      <c r="E50" s="55">
        <f>'Four-Weekly Heat &amp; Power Demand'!O59</f>
        <v>0</v>
      </c>
      <c r="F50" s="55">
        <f>'Four-Weekly Heat &amp; Power Demand'!P59</f>
        <v>0</v>
      </c>
      <c r="G50" s="55">
        <f>'Four-Weekly Heat &amp; Power Demand'!Q59</f>
        <v>0</v>
      </c>
    </row>
    <row r="51" spans="1:7" x14ac:dyDescent="0.2">
      <c r="A51">
        <v>50</v>
      </c>
      <c r="B51">
        <f>'Four-Weekly Heat &amp; Power Demand'!C60</f>
        <v>0</v>
      </c>
      <c r="C51">
        <f>'Four-Weekly Heat &amp; Power Demand'!D60</f>
        <v>0</v>
      </c>
      <c r="D51">
        <f>'Four-Weekly Heat &amp; Power Demand'!E60</f>
        <v>0</v>
      </c>
      <c r="E51" s="55">
        <f>'Four-Weekly Heat &amp; Power Demand'!O60</f>
        <v>0</v>
      </c>
      <c r="F51" s="55">
        <f>'Four-Weekly Heat &amp; Power Demand'!P60</f>
        <v>0</v>
      </c>
      <c r="G51" s="55">
        <f>'Four-Weekly Heat &amp; Power Demand'!Q60</f>
        <v>0</v>
      </c>
    </row>
    <row r="52" spans="1:7" x14ac:dyDescent="0.2">
      <c r="A52">
        <v>51</v>
      </c>
      <c r="B52">
        <f>'Four-Weekly Heat &amp; Power Demand'!C61</f>
        <v>0</v>
      </c>
      <c r="C52">
        <f>'Four-Weekly Heat &amp; Power Demand'!D61</f>
        <v>0</v>
      </c>
      <c r="D52">
        <f>'Four-Weekly Heat &amp; Power Demand'!E61</f>
        <v>0</v>
      </c>
      <c r="E52" s="55">
        <f>'Four-Weekly Heat &amp; Power Demand'!O61</f>
        <v>0</v>
      </c>
      <c r="F52" s="55">
        <f>'Four-Weekly Heat &amp; Power Demand'!P61</f>
        <v>0</v>
      </c>
      <c r="G52" s="55">
        <f>'Four-Weekly Heat &amp; Power Demand'!Q61</f>
        <v>0</v>
      </c>
    </row>
    <row r="53" spans="1:7" x14ac:dyDescent="0.2">
      <c r="A53">
        <v>52</v>
      </c>
      <c r="B53">
        <f>'Four-Weekly Heat &amp; Power Demand'!C62</f>
        <v>0</v>
      </c>
      <c r="C53">
        <f>'Four-Weekly Heat &amp; Power Demand'!D62</f>
        <v>0</v>
      </c>
      <c r="D53">
        <f>'Four-Weekly Heat &amp; Power Demand'!E62</f>
        <v>0</v>
      </c>
      <c r="E53" s="55">
        <f>'Four-Weekly Heat &amp; Power Demand'!O62</f>
        <v>0</v>
      </c>
      <c r="F53" s="55">
        <f>'Four-Weekly Heat &amp; Power Demand'!P62</f>
        <v>0</v>
      </c>
      <c r="G53" s="55">
        <f>'Four-Weekly Heat &amp; Power Demand'!Q62</f>
        <v>0</v>
      </c>
    </row>
    <row r="54" spans="1:7" x14ac:dyDescent="0.2">
      <c r="A54">
        <v>53</v>
      </c>
      <c r="B54">
        <f>'Four-Weekly Heat &amp; Power Demand'!C63</f>
        <v>0</v>
      </c>
      <c r="C54">
        <f>'Four-Weekly Heat &amp; Power Demand'!D63</f>
        <v>0</v>
      </c>
      <c r="D54">
        <f>'Four-Weekly Heat &amp; Power Demand'!E63</f>
        <v>0</v>
      </c>
      <c r="E54" s="55">
        <f>'Four-Weekly Heat &amp; Power Demand'!O63</f>
        <v>0</v>
      </c>
      <c r="F54" s="55">
        <f>'Four-Weekly Heat &amp; Power Demand'!P63</f>
        <v>0</v>
      </c>
      <c r="G54" s="55">
        <f>'Four-Weekly Heat &amp; Power Demand'!Q63</f>
        <v>0</v>
      </c>
    </row>
    <row r="55" spans="1:7" x14ac:dyDescent="0.2">
      <c r="A55">
        <v>54</v>
      </c>
      <c r="B55">
        <f>'Four-Weekly Heat &amp; Power Demand'!C64</f>
        <v>0</v>
      </c>
      <c r="C55">
        <f>'Four-Weekly Heat &amp; Power Demand'!D64</f>
        <v>0</v>
      </c>
      <c r="D55">
        <f>'Four-Weekly Heat &amp; Power Demand'!E64</f>
        <v>0</v>
      </c>
      <c r="E55" s="55">
        <f>'Four-Weekly Heat &amp; Power Demand'!O64</f>
        <v>0</v>
      </c>
      <c r="F55" s="55">
        <f>'Four-Weekly Heat &amp; Power Demand'!P64</f>
        <v>0</v>
      </c>
      <c r="G55" s="55">
        <f>'Four-Weekly Heat &amp; Power Demand'!Q64</f>
        <v>0</v>
      </c>
    </row>
    <row r="56" spans="1:7" x14ac:dyDescent="0.2">
      <c r="A56">
        <v>55</v>
      </c>
      <c r="B56">
        <f>'Four-Weekly Heat &amp; Power Demand'!C65</f>
        <v>3.4332694957598457</v>
      </c>
      <c r="C56">
        <f>'Four-Weekly Heat &amp; Power Demand'!D65</f>
        <v>1.8717327794185254</v>
      </c>
      <c r="D56">
        <f>'Four-Weekly Heat &amp; Power Demand'!E65</f>
        <v>0.32981104388639787</v>
      </c>
      <c r="E56" s="55">
        <f>'Four-Weekly Heat &amp; Power Demand'!O65</f>
        <v>0.38224352251574223</v>
      </c>
      <c r="F56" s="55">
        <f>'Four-Weekly Heat &amp; Power Demand'!P65</f>
        <v>0.21957685264482196</v>
      </c>
      <c r="G56" s="55">
        <f>'Four-Weekly Heat &amp; Power Demand'!Q65</f>
        <v>4.6321775826741275E-2</v>
      </c>
    </row>
    <row r="57" spans="1:7" x14ac:dyDescent="0.2">
      <c r="A57">
        <v>56</v>
      </c>
      <c r="B57">
        <f>'Four-Weekly Heat &amp; Power Demand'!C66</f>
        <v>3.4332694957598457</v>
      </c>
      <c r="C57">
        <f>'Four-Weekly Heat &amp; Power Demand'!D66</f>
        <v>1.8717327794185254</v>
      </c>
      <c r="D57">
        <f>'Four-Weekly Heat &amp; Power Demand'!E66</f>
        <v>0.32981104388639787</v>
      </c>
      <c r="E57" s="55">
        <f>'Four-Weekly Heat &amp; Power Demand'!O66</f>
        <v>0.38224352251574223</v>
      </c>
      <c r="F57" s="55">
        <f>'Four-Weekly Heat &amp; Power Demand'!P66</f>
        <v>0.21957685264482196</v>
      </c>
      <c r="G57" s="55">
        <f>'Four-Weekly Heat &amp; Power Demand'!Q66</f>
        <v>4.6321775826741275E-2</v>
      </c>
    </row>
    <row r="58" spans="1:7" x14ac:dyDescent="0.2">
      <c r="A58">
        <v>57</v>
      </c>
      <c r="B58">
        <f>'Four-Weekly Heat &amp; Power Demand'!C67</f>
        <v>0</v>
      </c>
      <c r="C58">
        <f>'Four-Weekly Heat &amp; Power Demand'!D67</f>
        <v>0</v>
      </c>
      <c r="D58">
        <f>'Four-Weekly Heat &amp; Power Demand'!E67</f>
        <v>0</v>
      </c>
      <c r="E58" s="55">
        <f>'Four-Weekly Heat &amp; Power Demand'!O67</f>
        <v>0</v>
      </c>
      <c r="F58" s="55">
        <f>'Four-Weekly Heat &amp; Power Demand'!P67</f>
        <v>0</v>
      </c>
      <c r="G58" s="55">
        <f>'Four-Weekly Heat &amp; Power Demand'!Q67</f>
        <v>0</v>
      </c>
    </row>
    <row r="59" spans="1:7" x14ac:dyDescent="0.2">
      <c r="A59">
        <v>58</v>
      </c>
      <c r="B59">
        <f>'Four-Weekly Heat &amp; Power Demand'!C68</f>
        <v>0</v>
      </c>
      <c r="C59">
        <f>'Four-Weekly Heat &amp; Power Demand'!D68</f>
        <v>0</v>
      </c>
      <c r="D59">
        <f>'Four-Weekly Heat &amp; Power Demand'!E68</f>
        <v>0</v>
      </c>
      <c r="E59" s="55">
        <f>'Four-Weekly Heat &amp; Power Demand'!O68</f>
        <v>0</v>
      </c>
      <c r="F59" s="55">
        <f>'Four-Weekly Heat &amp; Power Demand'!P68</f>
        <v>0</v>
      </c>
      <c r="G59" s="55">
        <f>'Four-Weekly Heat &amp; Power Demand'!Q68</f>
        <v>0</v>
      </c>
    </row>
    <row r="60" spans="1:7" x14ac:dyDescent="0.2">
      <c r="A60">
        <v>59</v>
      </c>
      <c r="B60">
        <f>'Four-Weekly Heat &amp; Power Demand'!C69</f>
        <v>0</v>
      </c>
      <c r="C60">
        <f>'Four-Weekly Heat &amp; Power Demand'!D69</f>
        <v>0</v>
      </c>
      <c r="D60">
        <f>'Four-Weekly Heat &amp; Power Demand'!E69</f>
        <v>0</v>
      </c>
      <c r="E60" s="55">
        <f>'Four-Weekly Heat &amp; Power Demand'!O69</f>
        <v>0</v>
      </c>
      <c r="F60" s="55">
        <f>'Four-Weekly Heat &amp; Power Demand'!P69</f>
        <v>0</v>
      </c>
      <c r="G60" s="55">
        <f>'Four-Weekly Heat &amp; Power Demand'!Q69</f>
        <v>0</v>
      </c>
    </row>
    <row r="61" spans="1:7" x14ac:dyDescent="0.2">
      <c r="A61">
        <v>60</v>
      </c>
      <c r="B61">
        <f>'Four-Weekly Heat &amp; Power Demand'!C70</f>
        <v>0</v>
      </c>
      <c r="C61">
        <f>'Four-Weekly Heat &amp; Power Demand'!D70</f>
        <v>0</v>
      </c>
      <c r="D61">
        <f>'Four-Weekly Heat &amp; Power Demand'!E70</f>
        <v>0</v>
      </c>
      <c r="E61" s="55">
        <f>'Four-Weekly Heat &amp; Power Demand'!O70</f>
        <v>0</v>
      </c>
      <c r="F61" s="55">
        <f>'Four-Weekly Heat &amp; Power Demand'!P70</f>
        <v>0</v>
      </c>
      <c r="G61" s="55">
        <f>'Four-Weekly Heat &amp; Power Demand'!Q70</f>
        <v>0</v>
      </c>
    </row>
    <row r="62" spans="1:7" x14ac:dyDescent="0.2">
      <c r="A62">
        <v>61</v>
      </c>
      <c r="B62">
        <f>'Four-Weekly Heat &amp; Power Demand'!C71</f>
        <v>0</v>
      </c>
      <c r="C62">
        <f>'Four-Weekly Heat &amp; Power Demand'!D71</f>
        <v>0</v>
      </c>
      <c r="D62">
        <f>'Four-Weekly Heat &amp; Power Demand'!E71</f>
        <v>0</v>
      </c>
      <c r="E62" s="55">
        <f>'Four-Weekly Heat &amp; Power Demand'!O71</f>
        <v>0</v>
      </c>
      <c r="F62" s="55">
        <f>'Four-Weekly Heat &amp; Power Demand'!P71</f>
        <v>0</v>
      </c>
      <c r="G62" s="55">
        <f>'Four-Weekly Heat &amp; Power Demand'!Q71</f>
        <v>0</v>
      </c>
    </row>
    <row r="63" spans="1:7" x14ac:dyDescent="0.2">
      <c r="A63">
        <v>62</v>
      </c>
      <c r="B63">
        <f>'Four-Weekly Heat &amp; Power Demand'!C72</f>
        <v>0</v>
      </c>
      <c r="C63">
        <f>'Four-Weekly Heat &amp; Power Demand'!D72</f>
        <v>0</v>
      </c>
      <c r="D63">
        <f>'Four-Weekly Heat &amp; Power Demand'!E72</f>
        <v>0</v>
      </c>
      <c r="E63" s="55">
        <f>'Four-Weekly Heat &amp; Power Demand'!O72</f>
        <v>0</v>
      </c>
      <c r="F63" s="55">
        <f>'Four-Weekly Heat &amp; Power Demand'!P72</f>
        <v>0</v>
      </c>
      <c r="G63" s="55">
        <f>'Four-Weekly Heat &amp; Power Demand'!Q72</f>
        <v>0</v>
      </c>
    </row>
    <row r="64" spans="1:7" x14ac:dyDescent="0.2">
      <c r="A64">
        <v>63</v>
      </c>
      <c r="B64">
        <f>'Four-Weekly Heat &amp; Power Demand'!C73</f>
        <v>0</v>
      </c>
      <c r="C64">
        <f>'Four-Weekly Heat &amp; Power Demand'!D73</f>
        <v>0</v>
      </c>
      <c r="D64">
        <f>'Four-Weekly Heat &amp; Power Demand'!E73</f>
        <v>0</v>
      </c>
      <c r="E64" s="55">
        <f>'Four-Weekly Heat &amp; Power Demand'!O73</f>
        <v>0</v>
      </c>
      <c r="F64" s="55">
        <f>'Four-Weekly Heat &amp; Power Demand'!P73</f>
        <v>0</v>
      </c>
      <c r="G64" s="55">
        <f>'Four-Weekly Heat &amp; Power Demand'!Q73</f>
        <v>0</v>
      </c>
    </row>
    <row r="65" spans="1:7" x14ac:dyDescent="0.2">
      <c r="A65">
        <v>64</v>
      </c>
      <c r="B65">
        <f>'Four-Weekly Heat &amp; Power Demand'!C74</f>
        <v>3.4332694957598457</v>
      </c>
      <c r="C65">
        <f>'Four-Weekly Heat &amp; Power Demand'!D74</f>
        <v>1.8717327794185254</v>
      </c>
      <c r="D65">
        <f>'Four-Weekly Heat &amp; Power Demand'!E74</f>
        <v>0.32981104388639787</v>
      </c>
      <c r="E65" s="55">
        <f>'Four-Weekly Heat &amp; Power Demand'!O74</f>
        <v>0.38224352251574223</v>
      </c>
      <c r="F65" s="55">
        <f>'Four-Weekly Heat &amp; Power Demand'!P74</f>
        <v>0.21957685264482196</v>
      </c>
      <c r="G65" s="55">
        <f>'Four-Weekly Heat &amp; Power Demand'!Q74</f>
        <v>4.6321775826741275E-2</v>
      </c>
    </row>
    <row r="66" spans="1:7" x14ac:dyDescent="0.2">
      <c r="A66">
        <v>65</v>
      </c>
      <c r="B66">
        <f>'Four-Weekly Heat &amp; Power Demand'!C75</f>
        <v>3.4332694957598457</v>
      </c>
      <c r="C66">
        <f>'Four-Weekly Heat &amp; Power Demand'!D75</f>
        <v>1.8717327794185254</v>
      </c>
      <c r="D66">
        <f>'Four-Weekly Heat &amp; Power Demand'!E75</f>
        <v>0.32981104388639787</v>
      </c>
      <c r="E66" s="55">
        <f>'Four-Weekly Heat &amp; Power Demand'!O75</f>
        <v>0.38224352251574223</v>
      </c>
      <c r="F66" s="55">
        <f>'Four-Weekly Heat &amp; Power Demand'!P75</f>
        <v>0.21957685264482196</v>
      </c>
      <c r="G66" s="55">
        <f>'Four-Weekly Heat &amp; Power Demand'!Q75</f>
        <v>4.6321775826741275E-2</v>
      </c>
    </row>
    <row r="67" spans="1:7" x14ac:dyDescent="0.2">
      <c r="A67">
        <v>66</v>
      </c>
      <c r="B67">
        <f>'Four-Weekly Heat &amp; Power Demand'!C76</f>
        <v>3.4332694957598457</v>
      </c>
      <c r="C67">
        <f>'Four-Weekly Heat &amp; Power Demand'!D76</f>
        <v>1.8717327794185254</v>
      </c>
      <c r="D67">
        <f>'Four-Weekly Heat &amp; Power Demand'!E76</f>
        <v>0.32981104388639787</v>
      </c>
      <c r="E67" s="55">
        <f>'Four-Weekly Heat &amp; Power Demand'!O76</f>
        <v>0.38224352251574223</v>
      </c>
      <c r="F67" s="55">
        <f>'Four-Weekly Heat &amp; Power Demand'!P76</f>
        <v>0.21957685264482196</v>
      </c>
      <c r="G67" s="55">
        <f>'Four-Weekly Heat &amp; Power Demand'!Q76</f>
        <v>4.6321775826741275E-2</v>
      </c>
    </row>
    <row r="68" spans="1:7" x14ac:dyDescent="0.2">
      <c r="A68">
        <v>67</v>
      </c>
      <c r="B68">
        <f>'Four-Weekly Heat &amp; Power Demand'!C77</f>
        <v>3.4332694957598457</v>
      </c>
      <c r="C68">
        <f>'Four-Weekly Heat &amp; Power Demand'!D77</f>
        <v>1.8717327794185254</v>
      </c>
      <c r="D68">
        <f>'Four-Weekly Heat &amp; Power Demand'!E77</f>
        <v>0.32981104388639787</v>
      </c>
      <c r="E68" s="55">
        <f>'Four-Weekly Heat &amp; Power Demand'!O77</f>
        <v>0.38224352251574223</v>
      </c>
      <c r="F68" s="55">
        <f>'Four-Weekly Heat &amp; Power Demand'!P77</f>
        <v>0.21957685264482196</v>
      </c>
      <c r="G68" s="55">
        <f>'Four-Weekly Heat &amp; Power Demand'!Q77</f>
        <v>4.6321775826741275E-2</v>
      </c>
    </row>
    <row r="69" spans="1:7" x14ac:dyDescent="0.2">
      <c r="A69">
        <v>68</v>
      </c>
      <c r="B69">
        <f>'Four-Weekly Heat &amp; Power Demand'!C78</f>
        <v>3.4332694957598457</v>
      </c>
      <c r="C69">
        <f>'Four-Weekly Heat &amp; Power Demand'!D78</f>
        <v>1.8717327794185254</v>
      </c>
      <c r="D69">
        <f>'Four-Weekly Heat &amp; Power Demand'!E78</f>
        <v>0.32981104388639787</v>
      </c>
      <c r="E69" s="55">
        <f>'Four-Weekly Heat &amp; Power Demand'!O78</f>
        <v>0.38224352251574223</v>
      </c>
      <c r="F69" s="55">
        <f>'Four-Weekly Heat &amp; Power Demand'!P78</f>
        <v>0.21957685264482196</v>
      </c>
      <c r="G69" s="55">
        <f>'Four-Weekly Heat &amp; Power Demand'!Q78</f>
        <v>4.6321775826741275E-2</v>
      </c>
    </row>
    <row r="70" spans="1:7" x14ac:dyDescent="0.2">
      <c r="A70">
        <v>69</v>
      </c>
      <c r="B70">
        <f>'Four-Weekly Heat &amp; Power Demand'!C79</f>
        <v>3.4332694957598457</v>
      </c>
      <c r="C70">
        <f>'Four-Weekly Heat &amp; Power Demand'!D79</f>
        <v>1.8717327794185254</v>
      </c>
      <c r="D70">
        <f>'Four-Weekly Heat &amp; Power Demand'!E79</f>
        <v>0.32981104388639787</v>
      </c>
      <c r="E70" s="55">
        <f>'Four-Weekly Heat &amp; Power Demand'!O79</f>
        <v>0.38224352251574223</v>
      </c>
      <c r="F70" s="55">
        <f>'Four-Weekly Heat &amp; Power Demand'!P79</f>
        <v>0.21957685264482196</v>
      </c>
      <c r="G70" s="55">
        <f>'Four-Weekly Heat &amp; Power Demand'!Q79</f>
        <v>4.6321775826741275E-2</v>
      </c>
    </row>
    <row r="71" spans="1:7" x14ac:dyDescent="0.2">
      <c r="A71">
        <v>70</v>
      </c>
      <c r="B71">
        <f>'Four-Weekly Heat &amp; Power Demand'!C80</f>
        <v>3.4332694957598457</v>
      </c>
      <c r="C71">
        <f>'Four-Weekly Heat &amp; Power Demand'!D80</f>
        <v>1.8717327794185254</v>
      </c>
      <c r="D71">
        <f>'Four-Weekly Heat &amp; Power Demand'!E80</f>
        <v>0.32981104388639787</v>
      </c>
      <c r="E71" s="55">
        <f>'Four-Weekly Heat &amp; Power Demand'!O80</f>
        <v>0.38224352251574223</v>
      </c>
      <c r="F71" s="55">
        <f>'Four-Weekly Heat &amp; Power Demand'!P80</f>
        <v>0.21957685264482196</v>
      </c>
      <c r="G71" s="55">
        <f>'Four-Weekly Heat &amp; Power Demand'!Q80</f>
        <v>4.6321775826741275E-2</v>
      </c>
    </row>
    <row r="72" spans="1:7" x14ac:dyDescent="0.2">
      <c r="A72">
        <v>71</v>
      </c>
      <c r="B72">
        <f>'Four-Weekly Heat &amp; Power Demand'!C81</f>
        <v>0</v>
      </c>
      <c r="C72">
        <f>'Four-Weekly Heat &amp; Power Demand'!D81</f>
        <v>0</v>
      </c>
      <c r="D72">
        <f>'Four-Weekly Heat &amp; Power Demand'!E81</f>
        <v>0</v>
      </c>
      <c r="E72" s="55">
        <f>'Four-Weekly Heat &amp; Power Demand'!O81</f>
        <v>0</v>
      </c>
      <c r="F72" s="55">
        <f>'Four-Weekly Heat &amp; Power Demand'!P81</f>
        <v>0</v>
      </c>
      <c r="G72" s="55">
        <f>'Four-Weekly Heat &amp; Power Demand'!Q81</f>
        <v>0</v>
      </c>
    </row>
    <row r="73" spans="1:7" x14ac:dyDescent="0.2">
      <c r="A73">
        <v>72</v>
      </c>
      <c r="B73">
        <f>'Four-Weekly Heat &amp; Power Demand'!C82</f>
        <v>0</v>
      </c>
      <c r="C73">
        <f>'Four-Weekly Heat &amp; Power Demand'!D82</f>
        <v>0</v>
      </c>
      <c r="D73">
        <f>'Four-Weekly Heat &amp; Power Demand'!E82</f>
        <v>0</v>
      </c>
      <c r="E73" s="55">
        <f>'Four-Weekly Heat &amp; Power Demand'!O82</f>
        <v>0</v>
      </c>
      <c r="F73" s="55">
        <f>'Four-Weekly Heat &amp; Power Demand'!P82</f>
        <v>0</v>
      </c>
      <c r="G73" s="55">
        <f>'Four-Weekly Heat &amp; Power Demand'!Q82</f>
        <v>0</v>
      </c>
    </row>
    <row r="74" spans="1:7" x14ac:dyDescent="0.2">
      <c r="A74">
        <v>73</v>
      </c>
      <c r="B74">
        <f>'Four-Weekly Heat &amp; Power Demand'!C83</f>
        <v>0</v>
      </c>
      <c r="C74">
        <f>'Four-Weekly Heat &amp; Power Demand'!D83</f>
        <v>0</v>
      </c>
      <c r="D74">
        <f>'Four-Weekly Heat &amp; Power Demand'!E83</f>
        <v>0</v>
      </c>
      <c r="E74" s="55">
        <f>'Four-Weekly Heat &amp; Power Demand'!O83</f>
        <v>0</v>
      </c>
      <c r="F74" s="55">
        <f>'Four-Weekly Heat &amp; Power Demand'!P83</f>
        <v>0</v>
      </c>
      <c r="G74" s="55">
        <f>'Four-Weekly Heat &amp; Power Demand'!Q83</f>
        <v>0</v>
      </c>
    </row>
    <row r="75" spans="1:7" x14ac:dyDescent="0.2">
      <c r="A75">
        <v>74</v>
      </c>
      <c r="B75">
        <f>'Four-Weekly Heat &amp; Power Demand'!C84</f>
        <v>0</v>
      </c>
      <c r="C75">
        <f>'Four-Weekly Heat &amp; Power Demand'!D84</f>
        <v>0</v>
      </c>
      <c r="D75">
        <f>'Four-Weekly Heat &amp; Power Demand'!E84</f>
        <v>0</v>
      </c>
      <c r="E75" s="55">
        <f>'Four-Weekly Heat &amp; Power Demand'!O84</f>
        <v>0</v>
      </c>
      <c r="F75" s="55">
        <f>'Four-Weekly Heat &amp; Power Demand'!P84</f>
        <v>0</v>
      </c>
      <c r="G75" s="55">
        <f>'Four-Weekly Heat &amp; Power Demand'!Q84</f>
        <v>0</v>
      </c>
    </row>
    <row r="76" spans="1:7" x14ac:dyDescent="0.2">
      <c r="A76">
        <v>75</v>
      </c>
      <c r="B76">
        <f>'Four-Weekly Heat &amp; Power Demand'!C85</f>
        <v>0</v>
      </c>
      <c r="C76">
        <f>'Four-Weekly Heat &amp; Power Demand'!D85</f>
        <v>0</v>
      </c>
      <c r="D76">
        <f>'Four-Weekly Heat &amp; Power Demand'!E85</f>
        <v>0</v>
      </c>
      <c r="E76" s="55">
        <f>'Four-Weekly Heat &amp; Power Demand'!O85</f>
        <v>0</v>
      </c>
      <c r="F76" s="55">
        <f>'Four-Weekly Heat &amp; Power Demand'!P85</f>
        <v>0</v>
      </c>
      <c r="G76" s="55">
        <f>'Four-Weekly Heat &amp; Power Demand'!Q85</f>
        <v>0</v>
      </c>
    </row>
    <row r="77" spans="1:7" x14ac:dyDescent="0.2">
      <c r="A77">
        <v>76</v>
      </c>
      <c r="B77">
        <f>'Four-Weekly Heat &amp; Power Demand'!C86</f>
        <v>0</v>
      </c>
      <c r="C77">
        <f>'Four-Weekly Heat &amp; Power Demand'!D86</f>
        <v>0</v>
      </c>
      <c r="D77">
        <f>'Four-Weekly Heat &amp; Power Demand'!E86</f>
        <v>0</v>
      </c>
      <c r="E77" s="55">
        <f>'Four-Weekly Heat &amp; Power Demand'!O86</f>
        <v>0</v>
      </c>
      <c r="F77" s="55">
        <f>'Four-Weekly Heat &amp; Power Demand'!P86</f>
        <v>0</v>
      </c>
      <c r="G77" s="55">
        <f>'Four-Weekly Heat &amp; Power Demand'!Q86</f>
        <v>0</v>
      </c>
    </row>
    <row r="78" spans="1:7" x14ac:dyDescent="0.2">
      <c r="A78">
        <v>77</v>
      </c>
      <c r="B78">
        <f>'Four-Weekly Heat &amp; Power Demand'!C87</f>
        <v>0</v>
      </c>
      <c r="C78">
        <f>'Four-Weekly Heat &amp; Power Demand'!D87</f>
        <v>0</v>
      </c>
      <c r="D78">
        <f>'Four-Weekly Heat &amp; Power Demand'!E87</f>
        <v>0</v>
      </c>
      <c r="E78" s="55">
        <f>'Four-Weekly Heat &amp; Power Demand'!O87</f>
        <v>0</v>
      </c>
      <c r="F78" s="55">
        <f>'Four-Weekly Heat &amp; Power Demand'!P87</f>
        <v>0</v>
      </c>
      <c r="G78" s="55">
        <f>'Four-Weekly Heat &amp; Power Demand'!Q87</f>
        <v>0</v>
      </c>
    </row>
    <row r="79" spans="1:7" x14ac:dyDescent="0.2">
      <c r="A79">
        <v>78</v>
      </c>
      <c r="B79">
        <f>'Four-Weekly Heat &amp; Power Demand'!C88</f>
        <v>0</v>
      </c>
      <c r="C79">
        <f>'Four-Weekly Heat &amp; Power Demand'!D88</f>
        <v>0</v>
      </c>
      <c r="D79">
        <f>'Four-Weekly Heat &amp; Power Demand'!E88</f>
        <v>0</v>
      </c>
      <c r="E79" s="55">
        <f>'Four-Weekly Heat &amp; Power Demand'!O88</f>
        <v>0</v>
      </c>
      <c r="F79" s="55">
        <f>'Four-Weekly Heat &amp; Power Demand'!P88</f>
        <v>0</v>
      </c>
      <c r="G79" s="55">
        <f>'Four-Weekly Heat &amp; Power Demand'!Q88</f>
        <v>0</v>
      </c>
    </row>
    <row r="80" spans="1:7" x14ac:dyDescent="0.2">
      <c r="A80">
        <v>79</v>
      </c>
      <c r="B80">
        <f>'Four-Weekly Heat &amp; Power Demand'!C89</f>
        <v>3.4332694957598457</v>
      </c>
      <c r="C80">
        <f>'Four-Weekly Heat &amp; Power Demand'!D89</f>
        <v>1.8717327794185254</v>
      </c>
      <c r="D80">
        <f>'Four-Weekly Heat &amp; Power Demand'!E89</f>
        <v>0.32981104388639787</v>
      </c>
      <c r="E80" s="55">
        <f>'Four-Weekly Heat &amp; Power Demand'!O89</f>
        <v>0.38224352251574223</v>
      </c>
      <c r="F80" s="55">
        <f>'Four-Weekly Heat &amp; Power Demand'!P89</f>
        <v>0.21957685264482196</v>
      </c>
      <c r="G80" s="55">
        <f>'Four-Weekly Heat &amp; Power Demand'!Q89</f>
        <v>4.6321775826741275E-2</v>
      </c>
    </row>
    <row r="81" spans="1:7" x14ac:dyDescent="0.2">
      <c r="A81">
        <v>80</v>
      </c>
      <c r="B81">
        <f>'Four-Weekly Heat &amp; Power Demand'!C90</f>
        <v>3.4332694957598457</v>
      </c>
      <c r="C81">
        <f>'Four-Weekly Heat &amp; Power Demand'!D90</f>
        <v>1.8717327794185254</v>
      </c>
      <c r="D81">
        <f>'Four-Weekly Heat &amp; Power Demand'!E90</f>
        <v>0.32981104388639787</v>
      </c>
      <c r="E81" s="55">
        <f>'Four-Weekly Heat &amp; Power Demand'!O90</f>
        <v>0.38224352251574223</v>
      </c>
      <c r="F81" s="55">
        <f>'Four-Weekly Heat &amp; Power Demand'!P90</f>
        <v>0.21957685264482196</v>
      </c>
      <c r="G81" s="55">
        <f>'Four-Weekly Heat &amp; Power Demand'!Q90</f>
        <v>4.6321775826741275E-2</v>
      </c>
    </row>
    <row r="82" spans="1:7" x14ac:dyDescent="0.2">
      <c r="A82">
        <v>81</v>
      </c>
      <c r="B82">
        <f>'Four-Weekly Heat &amp; Power Demand'!C91</f>
        <v>3.4332694957598457</v>
      </c>
      <c r="C82">
        <f>'Four-Weekly Heat &amp; Power Demand'!D91</f>
        <v>1.8717327794185254</v>
      </c>
      <c r="D82">
        <f>'Four-Weekly Heat &amp; Power Demand'!E91</f>
        <v>0.32981104388639787</v>
      </c>
      <c r="E82" s="55">
        <f>'Four-Weekly Heat &amp; Power Demand'!O91</f>
        <v>0.38224352251574223</v>
      </c>
      <c r="F82" s="55">
        <f>'Four-Weekly Heat &amp; Power Demand'!P91</f>
        <v>0.21957685264482196</v>
      </c>
      <c r="G82" s="55">
        <f>'Four-Weekly Heat &amp; Power Demand'!Q91</f>
        <v>4.6321775826741275E-2</v>
      </c>
    </row>
    <row r="83" spans="1:7" x14ac:dyDescent="0.2">
      <c r="A83">
        <v>82</v>
      </c>
      <c r="B83">
        <f>'Four-Weekly Heat &amp; Power Demand'!C92</f>
        <v>3.4332694957598457</v>
      </c>
      <c r="C83">
        <f>'Four-Weekly Heat &amp; Power Demand'!D92</f>
        <v>1.8717327794185254</v>
      </c>
      <c r="D83">
        <f>'Four-Weekly Heat &amp; Power Demand'!E92</f>
        <v>0.32981104388639787</v>
      </c>
      <c r="E83" s="55">
        <f>'Four-Weekly Heat &amp; Power Demand'!O92</f>
        <v>0.38224352251574223</v>
      </c>
      <c r="F83" s="55">
        <f>'Four-Weekly Heat &amp; Power Demand'!P92</f>
        <v>0.21957685264482196</v>
      </c>
      <c r="G83" s="55">
        <f>'Four-Weekly Heat &amp; Power Demand'!Q92</f>
        <v>4.6321775826741275E-2</v>
      </c>
    </row>
    <row r="84" spans="1:7" x14ac:dyDescent="0.2">
      <c r="A84">
        <v>83</v>
      </c>
      <c r="B84">
        <f>'Four-Weekly Heat &amp; Power Demand'!C93</f>
        <v>3.4332694957598457</v>
      </c>
      <c r="C84">
        <f>'Four-Weekly Heat &amp; Power Demand'!D93</f>
        <v>1.8717327794185254</v>
      </c>
      <c r="D84">
        <f>'Four-Weekly Heat &amp; Power Demand'!E93</f>
        <v>0.32981104388639787</v>
      </c>
      <c r="E84" s="55">
        <f>'Four-Weekly Heat &amp; Power Demand'!O93</f>
        <v>0.38224352251574223</v>
      </c>
      <c r="F84" s="55">
        <f>'Four-Weekly Heat &amp; Power Demand'!P93</f>
        <v>0.21957685264482196</v>
      </c>
      <c r="G84" s="55">
        <f>'Four-Weekly Heat &amp; Power Demand'!Q93</f>
        <v>4.6321775826741275E-2</v>
      </c>
    </row>
    <row r="85" spans="1:7" x14ac:dyDescent="0.2">
      <c r="A85">
        <v>84</v>
      </c>
      <c r="B85">
        <f>'Four-Weekly Heat &amp; Power Demand'!C94</f>
        <v>3.4332694957598457</v>
      </c>
      <c r="C85">
        <f>'Four-Weekly Heat &amp; Power Demand'!D94</f>
        <v>1.8717327794185254</v>
      </c>
      <c r="D85">
        <f>'Four-Weekly Heat &amp; Power Demand'!E94</f>
        <v>0.32981104388639787</v>
      </c>
      <c r="E85" s="55">
        <f>'Four-Weekly Heat &amp; Power Demand'!O94</f>
        <v>0.38224352251574223</v>
      </c>
      <c r="F85" s="55">
        <f>'Four-Weekly Heat &amp; Power Demand'!P94</f>
        <v>0.21957685264482196</v>
      </c>
      <c r="G85" s="55">
        <f>'Four-Weekly Heat &amp; Power Demand'!Q94</f>
        <v>4.6321775826741275E-2</v>
      </c>
    </row>
    <row r="86" spans="1:7" x14ac:dyDescent="0.2">
      <c r="A86">
        <v>85</v>
      </c>
      <c r="B86">
        <f>'Four-Weekly Heat &amp; Power Demand'!C95</f>
        <v>3.4332694957598457</v>
      </c>
      <c r="C86">
        <f>'Four-Weekly Heat &amp; Power Demand'!D95</f>
        <v>1.8717327794185254</v>
      </c>
      <c r="D86">
        <f>'Four-Weekly Heat &amp; Power Demand'!E95</f>
        <v>0.32981104388639787</v>
      </c>
      <c r="E86" s="55">
        <f>'Four-Weekly Heat &amp; Power Demand'!O95</f>
        <v>0.38224352251574223</v>
      </c>
      <c r="F86" s="55">
        <f>'Four-Weekly Heat &amp; Power Demand'!P95</f>
        <v>0.21957685264482196</v>
      </c>
      <c r="G86" s="55">
        <f>'Four-Weekly Heat &amp; Power Demand'!Q95</f>
        <v>4.6321775826741275E-2</v>
      </c>
    </row>
    <row r="87" spans="1:7" x14ac:dyDescent="0.2">
      <c r="A87">
        <v>86</v>
      </c>
      <c r="B87">
        <f>'Four-Weekly Heat &amp; Power Demand'!C96</f>
        <v>3.4332694957598457</v>
      </c>
      <c r="C87">
        <f>'Four-Weekly Heat &amp; Power Demand'!D96</f>
        <v>1.8717327794185254</v>
      </c>
      <c r="D87">
        <f>'Four-Weekly Heat &amp; Power Demand'!E96</f>
        <v>0.32981104388639787</v>
      </c>
      <c r="E87" s="55">
        <f>'Four-Weekly Heat &amp; Power Demand'!O96</f>
        <v>0.38224352251574223</v>
      </c>
      <c r="F87" s="55">
        <f>'Four-Weekly Heat &amp; Power Demand'!P96</f>
        <v>0.21957685264482196</v>
      </c>
      <c r="G87" s="55">
        <f>'Four-Weekly Heat &amp; Power Demand'!Q96</f>
        <v>4.6321775826741275E-2</v>
      </c>
    </row>
    <row r="88" spans="1:7" x14ac:dyDescent="0.2">
      <c r="A88">
        <v>87</v>
      </c>
      <c r="B88">
        <f>'Four-Weekly Heat &amp; Power Demand'!C97</f>
        <v>3.4332694957598457</v>
      </c>
      <c r="C88">
        <f>'Four-Weekly Heat &amp; Power Demand'!D97</f>
        <v>1.8717327794185254</v>
      </c>
      <c r="D88">
        <f>'Four-Weekly Heat &amp; Power Demand'!E97</f>
        <v>0.32981104388639787</v>
      </c>
      <c r="E88" s="55">
        <f>'Four-Weekly Heat &amp; Power Demand'!O97</f>
        <v>0.38224352251574223</v>
      </c>
      <c r="F88" s="55">
        <f>'Four-Weekly Heat &amp; Power Demand'!P97</f>
        <v>0.21957685264482196</v>
      </c>
      <c r="G88" s="55">
        <f>'Four-Weekly Heat &amp; Power Demand'!Q97</f>
        <v>4.6321775826741275E-2</v>
      </c>
    </row>
    <row r="89" spans="1:7" x14ac:dyDescent="0.2">
      <c r="A89">
        <v>88</v>
      </c>
      <c r="B89">
        <f>'Four-Weekly Heat &amp; Power Demand'!C98</f>
        <v>3.4332694957598457</v>
      </c>
      <c r="C89">
        <f>'Four-Weekly Heat &amp; Power Demand'!D98</f>
        <v>1.8717327794185254</v>
      </c>
      <c r="D89">
        <f>'Four-Weekly Heat &amp; Power Demand'!E98</f>
        <v>0.32981104388639787</v>
      </c>
      <c r="E89" s="55">
        <f>'Four-Weekly Heat &amp; Power Demand'!O98</f>
        <v>0.38224352251574223</v>
      </c>
      <c r="F89" s="55">
        <f>'Four-Weekly Heat &amp; Power Demand'!P98</f>
        <v>0.21957685264482196</v>
      </c>
      <c r="G89" s="55">
        <f>'Four-Weekly Heat &amp; Power Demand'!Q98</f>
        <v>4.6321775826741275E-2</v>
      </c>
    </row>
    <row r="90" spans="1:7" x14ac:dyDescent="0.2">
      <c r="A90">
        <v>89</v>
      </c>
      <c r="B90">
        <f>'Four-Weekly Heat &amp; Power Demand'!C99</f>
        <v>3.4332694957598457</v>
      </c>
      <c r="C90">
        <f>'Four-Weekly Heat &amp; Power Demand'!D99</f>
        <v>1.8717327794185254</v>
      </c>
      <c r="D90">
        <f>'Four-Weekly Heat &amp; Power Demand'!E99</f>
        <v>0.32981104388639787</v>
      </c>
      <c r="E90" s="55">
        <f>'Four-Weekly Heat &amp; Power Demand'!O99</f>
        <v>0.38224352251574223</v>
      </c>
      <c r="F90" s="55">
        <f>'Four-Weekly Heat &amp; Power Demand'!P99</f>
        <v>0.21957685264482196</v>
      </c>
      <c r="G90" s="55">
        <f>'Four-Weekly Heat &amp; Power Demand'!Q99</f>
        <v>4.6321775826741275E-2</v>
      </c>
    </row>
    <row r="91" spans="1:7" x14ac:dyDescent="0.2">
      <c r="A91">
        <v>90</v>
      </c>
      <c r="B91">
        <f>'Four-Weekly Heat &amp; Power Demand'!C100</f>
        <v>3.4332694957598457</v>
      </c>
      <c r="C91">
        <f>'Four-Weekly Heat &amp; Power Demand'!D100</f>
        <v>1.8717327794185254</v>
      </c>
      <c r="D91">
        <f>'Four-Weekly Heat &amp; Power Demand'!E100</f>
        <v>0.32981104388639787</v>
      </c>
      <c r="E91" s="55">
        <f>'Four-Weekly Heat &amp; Power Demand'!O100</f>
        <v>0.38224352251574223</v>
      </c>
      <c r="F91" s="55">
        <f>'Four-Weekly Heat &amp; Power Demand'!P100</f>
        <v>0.21957685264482196</v>
      </c>
      <c r="G91" s="55">
        <f>'Four-Weekly Heat &amp; Power Demand'!Q100</f>
        <v>4.6321775826741275E-2</v>
      </c>
    </row>
    <row r="92" spans="1:7" x14ac:dyDescent="0.2">
      <c r="A92">
        <v>91</v>
      </c>
      <c r="B92">
        <f>'Four-Weekly Heat &amp; Power Demand'!C101</f>
        <v>3.4332694957598457</v>
      </c>
      <c r="C92">
        <f>'Four-Weekly Heat &amp; Power Demand'!D101</f>
        <v>1.8717327794185254</v>
      </c>
      <c r="D92">
        <f>'Four-Weekly Heat &amp; Power Demand'!E101</f>
        <v>0.32981104388639787</v>
      </c>
      <c r="E92" s="55">
        <f>'Four-Weekly Heat &amp; Power Demand'!O101</f>
        <v>0.38224352251574223</v>
      </c>
      <c r="F92" s="55">
        <f>'Four-Weekly Heat &amp; Power Demand'!P101</f>
        <v>0.21957685264482196</v>
      </c>
      <c r="G92" s="55">
        <f>'Four-Weekly Heat &amp; Power Demand'!Q101</f>
        <v>4.6321775826741275E-2</v>
      </c>
    </row>
    <row r="93" spans="1:7" x14ac:dyDescent="0.2">
      <c r="A93">
        <v>92</v>
      </c>
      <c r="B93">
        <f>'Four-Weekly Heat &amp; Power Demand'!C102</f>
        <v>3.4332694957598457</v>
      </c>
      <c r="C93">
        <f>'Four-Weekly Heat &amp; Power Demand'!D102</f>
        <v>1.8717327794185254</v>
      </c>
      <c r="D93">
        <f>'Four-Weekly Heat &amp; Power Demand'!E102</f>
        <v>0.32981104388639787</v>
      </c>
      <c r="E93" s="55">
        <f>'Four-Weekly Heat &amp; Power Demand'!O102</f>
        <v>0.38224352251574223</v>
      </c>
      <c r="F93" s="55">
        <f>'Four-Weekly Heat &amp; Power Demand'!P102</f>
        <v>0.21957685264482196</v>
      </c>
      <c r="G93" s="55">
        <f>'Four-Weekly Heat &amp; Power Demand'!Q102</f>
        <v>4.6321775826741275E-2</v>
      </c>
    </row>
    <row r="94" spans="1:7" x14ac:dyDescent="0.2">
      <c r="A94">
        <v>93</v>
      </c>
      <c r="B94">
        <f>'Four-Weekly Heat &amp; Power Demand'!C103</f>
        <v>3.4332694957598457</v>
      </c>
      <c r="C94">
        <f>'Four-Weekly Heat &amp; Power Demand'!D103</f>
        <v>1.8717327794185254</v>
      </c>
      <c r="D94">
        <f>'Four-Weekly Heat &amp; Power Demand'!E103</f>
        <v>0.32981104388639787</v>
      </c>
      <c r="E94" s="55">
        <f>'Four-Weekly Heat &amp; Power Demand'!O103</f>
        <v>0.38224352251574223</v>
      </c>
      <c r="F94" s="55">
        <f>'Four-Weekly Heat &amp; Power Demand'!P103</f>
        <v>0.21957685264482196</v>
      </c>
      <c r="G94" s="55">
        <f>'Four-Weekly Heat &amp; Power Demand'!Q103</f>
        <v>4.6321775826741275E-2</v>
      </c>
    </row>
    <row r="95" spans="1:7" x14ac:dyDescent="0.2">
      <c r="A95">
        <v>94</v>
      </c>
      <c r="B95">
        <f>'Four-Weekly Heat &amp; Power Demand'!C104</f>
        <v>3.4332694957598457</v>
      </c>
      <c r="C95">
        <f>'Four-Weekly Heat &amp; Power Demand'!D104</f>
        <v>1.8717327794185254</v>
      </c>
      <c r="D95">
        <f>'Four-Weekly Heat &amp; Power Demand'!E104</f>
        <v>0.32981104388639787</v>
      </c>
      <c r="E95" s="55">
        <f>'Four-Weekly Heat &amp; Power Demand'!O104</f>
        <v>0.38224352251574223</v>
      </c>
      <c r="F95" s="55">
        <f>'Four-Weekly Heat &amp; Power Demand'!P104</f>
        <v>0.21957685264482196</v>
      </c>
      <c r="G95" s="55">
        <f>'Four-Weekly Heat &amp; Power Demand'!Q104</f>
        <v>4.6321775826741275E-2</v>
      </c>
    </row>
    <row r="96" spans="1:7" x14ac:dyDescent="0.2">
      <c r="A96">
        <v>95</v>
      </c>
      <c r="B96">
        <f>'Four-Weekly Heat &amp; Power Demand'!C105</f>
        <v>0</v>
      </c>
      <c r="C96">
        <f>'Four-Weekly Heat &amp; Power Demand'!D105</f>
        <v>0</v>
      </c>
      <c r="D96">
        <f>'Four-Weekly Heat &amp; Power Demand'!E105</f>
        <v>0</v>
      </c>
      <c r="E96" s="55">
        <f>'Four-Weekly Heat &amp; Power Demand'!O105</f>
        <v>0</v>
      </c>
      <c r="F96" s="55">
        <f>'Four-Weekly Heat &amp; Power Demand'!P105</f>
        <v>0</v>
      </c>
      <c r="G96" s="55">
        <f>'Four-Weekly Heat &amp; Power Demand'!Q105</f>
        <v>0</v>
      </c>
    </row>
    <row r="97" spans="1:7" x14ac:dyDescent="0.2">
      <c r="A97">
        <v>96</v>
      </c>
      <c r="B97">
        <f>'Four-Weekly Heat &amp; Power Demand'!C106</f>
        <v>0</v>
      </c>
      <c r="C97">
        <f>'Four-Weekly Heat &amp; Power Demand'!D106</f>
        <v>0</v>
      </c>
      <c r="D97">
        <f>'Four-Weekly Heat &amp; Power Demand'!E106</f>
        <v>0</v>
      </c>
      <c r="E97" s="55">
        <f>'Four-Weekly Heat &amp; Power Demand'!O106</f>
        <v>0</v>
      </c>
      <c r="F97" s="55">
        <f>'Four-Weekly Heat &amp; Power Demand'!P106</f>
        <v>0</v>
      </c>
      <c r="G97" s="55">
        <f>'Four-Weekly Heat &amp; Power Demand'!Q106</f>
        <v>0</v>
      </c>
    </row>
    <row r="98" spans="1:7" x14ac:dyDescent="0.2">
      <c r="A98">
        <v>97</v>
      </c>
      <c r="B98">
        <f>'Four-Weekly Heat &amp; Power Demand'!C107</f>
        <v>0</v>
      </c>
      <c r="C98">
        <f>'Four-Weekly Heat &amp; Power Demand'!D107</f>
        <v>0</v>
      </c>
      <c r="D98">
        <f>'Four-Weekly Heat &amp; Power Demand'!E107</f>
        <v>0</v>
      </c>
      <c r="E98" s="55">
        <f>'Four-Weekly Heat &amp; Power Demand'!O107</f>
        <v>0</v>
      </c>
      <c r="F98" s="55">
        <f>'Four-Weekly Heat &amp; Power Demand'!P107</f>
        <v>0</v>
      </c>
      <c r="G98" s="55">
        <f>'Four-Weekly Heat &amp; Power Demand'!Q107</f>
        <v>0</v>
      </c>
    </row>
    <row r="99" spans="1:7" x14ac:dyDescent="0.2">
      <c r="A99">
        <v>98</v>
      </c>
      <c r="B99">
        <f>'Four-Weekly Heat &amp; Power Demand'!C108</f>
        <v>0</v>
      </c>
      <c r="C99">
        <f>'Four-Weekly Heat &amp; Power Demand'!D108</f>
        <v>0</v>
      </c>
      <c r="D99">
        <f>'Four-Weekly Heat &amp; Power Demand'!E108</f>
        <v>0</v>
      </c>
      <c r="E99" s="55">
        <f>'Four-Weekly Heat &amp; Power Demand'!O108</f>
        <v>0</v>
      </c>
      <c r="F99" s="55">
        <f>'Four-Weekly Heat &amp; Power Demand'!P108</f>
        <v>0</v>
      </c>
      <c r="G99" s="55">
        <f>'Four-Weekly Heat &amp; Power Demand'!Q108</f>
        <v>0</v>
      </c>
    </row>
    <row r="100" spans="1:7" x14ac:dyDescent="0.2">
      <c r="A100">
        <v>99</v>
      </c>
      <c r="B100">
        <f>'Four-Weekly Heat &amp; Power Demand'!C109</f>
        <v>0</v>
      </c>
      <c r="C100">
        <f>'Four-Weekly Heat &amp; Power Demand'!D109</f>
        <v>0</v>
      </c>
      <c r="D100">
        <f>'Four-Weekly Heat &amp; Power Demand'!E109</f>
        <v>0</v>
      </c>
      <c r="E100" s="55">
        <f>'Four-Weekly Heat &amp; Power Demand'!O109</f>
        <v>0</v>
      </c>
      <c r="F100" s="55">
        <f>'Four-Weekly Heat &amp; Power Demand'!P109</f>
        <v>0</v>
      </c>
      <c r="G100" s="55">
        <f>'Four-Weekly Heat &amp; Power Demand'!Q109</f>
        <v>0</v>
      </c>
    </row>
    <row r="101" spans="1:7" x14ac:dyDescent="0.2">
      <c r="A101">
        <v>100</v>
      </c>
      <c r="B101">
        <f>'Four-Weekly Heat &amp; Power Demand'!C110</f>
        <v>0</v>
      </c>
      <c r="C101">
        <f>'Four-Weekly Heat &amp; Power Demand'!D110</f>
        <v>0</v>
      </c>
      <c r="D101">
        <f>'Four-Weekly Heat &amp; Power Demand'!E110</f>
        <v>0</v>
      </c>
      <c r="E101" s="55">
        <f>'Four-Weekly Heat &amp; Power Demand'!O110</f>
        <v>0</v>
      </c>
      <c r="F101" s="55">
        <f>'Four-Weekly Heat &amp; Power Demand'!P110</f>
        <v>0</v>
      </c>
      <c r="G101" s="55">
        <f>'Four-Weekly Heat &amp; Power Demand'!Q110</f>
        <v>0</v>
      </c>
    </row>
    <row r="102" spans="1:7" x14ac:dyDescent="0.2">
      <c r="A102">
        <v>101</v>
      </c>
      <c r="B102">
        <f>'Four-Weekly Heat &amp; Power Demand'!C111</f>
        <v>0</v>
      </c>
      <c r="C102">
        <f>'Four-Weekly Heat &amp; Power Demand'!D111</f>
        <v>0</v>
      </c>
      <c r="D102">
        <f>'Four-Weekly Heat &amp; Power Demand'!E111</f>
        <v>0</v>
      </c>
      <c r="E102" s="55">
        <f>'Four-Weekly Heat &amp; Power Demand'!O111</f>
        <v>0</v>
      </c>
      <c r="F102" s="55">
        <f>'Four-Weekly Heat &amp; Power Demand'!P111</f>
        <v>0</v>
      </c>
      <c r="G102" s="55">
        <f>'Four-Weekly Heat &amp; Power Demand'!Q111</f>
        <v>0</v>
      </c>
    </row>
    <row r="103" spans="1:7" x14ac:dyDescent="0.2">
      <c r="A103">
        <v>102</v>
      </c>
      <c r="B103">
        <f>'Four-Weekly Heat &amp; Power Demand'!C112</f>
        <v>0</v>
      </c>
      <c r="C103">
        <f>'Four-Weekly Heat &amp; Power Demand'!D112</f>
        <v>0</v>
      </c>
      <c r="D103">
        <f>'Four-Weekly Heat &amp; Power Demand'!E112</f>
        <v>0</v>
      </c>
      <c r="E103" s="55">
        <f>'Four-Weekly Heat &amp; Power Demand'!O112</f>
        <v>0</v>
      </c>
      <c r="F103" s="55">
        <f>'Four-Weekly Heat &amp; Power Demand'!P112</f>
        <v>0</v>
      </c>
      <c r="G103" s="55">
        <f>'Four-Weekly Heat &amp; Power Demand'!Q112</f>
        <v>0</v>
      </c>
    </row>
    <row r="104" spans="1:7" x14ac:dyDescent="0.2">
      <c r="A104">
        <v>103</v>
      </c>
      <c r="B104">
        <f>'Four-Weekly Heat &amp; Power Demand'!C113</f>
        <v>3.4332694957598457</v>
      </c>
      <c r="C104">
        <f>'Four-Weekly Heat &amp; Power Demand'!D113</f>
        <v>1.8717327794185254</v>
      </c>
      <c r="D104">
        <f>'Four-Weekly Heat &amp; Power Demand'!E113</f>
        <v>0.32981104388639787</v>
      </c>
      <c r="E104" s="55">
        <f>'Four-Weekly Heat &amp; Power Demand'!O113</f>
        <v>0.38224352251574223</v>
      </c>
      <c r="F104" s="55">
        <f>'Four-Weekly Heat &amp; Power Demand'!P113</f>
        <v>0.21957685264482196</v>
      </c>
      <c r="G104" s="55">
        <f>'Four-Weekly Heat &amp; Power Demand'!Q113</f>
        <v>4.6321775826741275E-2</v>
      </c>
    </row>
    <row r="105" spans="1:7" x14ac:dyDescent="0.2">
      <c r="A105">
        <v>104</v>
      </c>
      <c r="B105">
        <f>'Four-Weekly Heat &amp; Power Demand'!C114</f>
        <v>3.4332694957598457</v>
      </c>
      <c r="C105">
        <f>'Four-Weekly Heat &amp; Power Demand'!D114</f>
        <v>1.8717327794185254</v>
      </c>
      <c r="D105">
        <f>'Four-Weekly Heat &amp; Power Demand'!E114</f>
        <v>0.32981104388639787</v>
      </c>
      <c r="E105" s="55">
        <f>'Four-Weekly Heat &amp; Power Demand'!O114</f>
        <v>0.38224352251574223</v>
      </c>
      <c r="F105" s="55">
        <f>'Four-Weekly Heat &amp; Power Demand'!P114</f>
        <v>0.21957685264482196</v>
      </c>
      <c r="G105" s="55">
        <f>'Four-Weekly Heat &amp; Power Demand'!Q114</f>
        <v>4.6321775826741275E-2</v>
      </c>
    </row>
    <row r="106" spans="1:7" x14ac:dyDescent="0.2">
      <c r="A106">
        <v>105</v>
      </c>
      <c r="B106">
        <f>'Four-Weekly Heat &amp; Power Demand'!C115</f>
        <v>3.4332694957598457</v>
      </c>
      <c r="C106">
        <f>'Four-Weekly Heat &amp; Power Demand'!D115</f>
        <v>1.8717327794185254</v>
      </c>
      <c r="D106">
        <f>'Four-Weekly Heat &amp; Power Demand'!E115</f>
        <v>0.32981104388639787</v>
      </c>
      <c r="E106" s="55">
        <f>'Four-Weekly Heat &amp; Power Demand'!O115</f>
        <v>0.38224352251574223</v>
      </c>
      <c r="F106" s="55">
        <f>'Four-Weekly Heat &amp; Power Demand'!P115</f>
        <v>0.21957685264482196</v>
      </c>
      <c r="G106" s="55">
        <f>'Four-Weekly Heat &amp; Power Demand'!Q115</f>
        <v>4.6321775826741275E-2</v>
      </c>
    </row>
    <row r="107" spans="1:7" x14ac:dyDescent="0.2">
      <c r="A107">
        <v>106</v>
      </c>
      <c r="B107">
        <f>'Four-Weekly Heat &amp; Power Demand'!C116</f>
        <v>3.4332694957598457</v>
      </c>
      <c r="C107">
        <f>'Four-Weekly Heat &amp; Power Demand'!D116</f>
        <v>1.8717327794185254</v>
      </c>
      <c r="D107">
        <f>'Four-Weekly Heat &amp; Power Demand'!E116</f>
        <v>0.32981104388639787</v>
      </c>
      <c r="E107" s="55">
        <f>'Four-Weekly Heat &amp; Power Demand'!O116</f>
        <v>0.38224352251574223</v>
      </c>
      <c r="F107" s="55">
        <f>'Four-Weekly Heat &amp; Power Demand'!P116</f>
        <v>0.21957685264482196</v>
      </c>
      <c r="G107" s="55">
        <f>'Four-Weekly Heat &amp; Power Demand'!Q116</f>
        <v>4.6321775826741275E-2</v>
      </c>
    </row>
    <row r="108" spans="1:7" x14ac:dyDescent="0.2">
      <c r="A108">
        <v>107</v>
      </c>
      <c r="B108">
        <f>'Four-Weekly Heat &amp; Power Demand'!C117</f>
        <v>3.4332694957598457</v>
      </c>
      <c r="C108">
        <f>'Four-Weekly Heat &amp; Power Demand'!D117</f>
        <v>1.8717327794185254</v>
      </c>
      <c r="D108">
        <f>'Four-Weekly Heat &amp; Power Demand'!E117</f>
        <v>0.32981104388639787</v>
      </c>
      <c r="E108" s="55">
        <f>'Four-Weekly Heat &amp; Power Demand'!O117</f>
        <v>0.38224352251574223</v>
      </c>
      <c r="F108" s="55">
        <f>'Four-Weekly Heat &amp; Power Demand'!P117</f>
        <v>0.21957685264482196</v>
      </c>
      <c r="G108" s="55">
        <f>'Four-Weekly Heat &amp; Power Demand'!Q117</f>
        <v>4.6321775826741275E-2</v>
      </c>
    </row>
    <row r="109" spans="1:7" x14ac:dyDescent="0.2">
      <c r="A109">
        <v>108</v>
      </c>
      <c r="B109">
        <f>'Four-Weekly Heat &amp; Power Demand'!C118</f>
        <v>3.4332694957598457</v>
      </c>
      <c r="C109">
        <f>'Four-Weekly Heat &amp; Power Demand'!D118</f>
        <v>1.8717327794185254</v>
      </c>
      <c r="D109">
        <f>'Four-Weekly Heat &amp; Power Demand'!E118</f>
        <v>0.32981104388639787</v>
      </c>
      <c r="E109" s="55">
        <f>'Four-Weekly Heat &amp; Power Demand'!O118</f>
        <v>0.38224352251574223</v>
      </c>
      <c r="F109" s="55">
        <f>'Four-Weekly Heat &amp; Power Demand'!P118</f>
        <v>0.21957685264482196</v>
      </c>
      <c r="G109" s="55">
        <f>'Four-Weekly Heat &amp; Power Demand'!Q118</f>
        <v>4.6321775826741275E-2</v>
      </c>
    </row>
    <row r="110" spans="1:7" x14ac:dyDescent="0.2">
      <c r="A110">
        <v>109</v>
      </c>
      <c r="B110">
        <f>'Four-Weekly Heat &amp; Power Demand'!C119</f>
        <v>3.4332694957598457</v>
      </c>
      <c r="C110">
        <f>'Four-Weekly Heat &amp; Power Demand'!D119</f>
        <v>1.8717327794185254</v>
      </c>
      <c r="D110">
        <f>'Four-Weekly Heat &amp; Power Demand'!E119</f>
        <v>0.32981104388639787</v>
      </c>
      <c r="E110" s="55">
        <f>'Four-Weekly Heat &amp; Power Demand'!O119</f>
        <v>0.38224352251574223</v>
      </c>
      <c r="F110" s="55">
        <f>'Four-Weekly Heat &amp; Power Demand'!P119</f>
        <v>0.21957685264482196</v>
      </c>
      <c r="G110" s="55">
        <f>'Four-Weekly Heat &amp; Power Demand'!Q119</f>
        <v>4.6321775826741275E-2</v>
      </c>
    </row>
    <row r="111" spans="1:7" x14ac:dyDescent="0.2">
      <c r="A111">
        <v>110</v>
      </c>
      <c r="B111">
        <f>'Four-Weekly Heat &amp; Power Demand'!C120</f>
        <v>3.4332694957598457</v>
      </c>
      <c r="C111">
        <f>'Four-Weekly Heat &amp; Power Demand'!D120</f>
        <v>1.8717327794185254</v>
      </c>
      <c r="D111">
        <f>'Four-Weekly Heat &amp; Power Demand'!E120</f>
        <v>0.32981104388639787</v>
      </c>
      <c r="E111" s="55">
        <f>'Four-Weekly Heat &amp; Power Demand'!O120</f>
        <v>0.38224352251574223</v>
      </c>
      <c r="F111" s="55">
        <f>'Four-Weekly Heat &amp; Power Demand'!P120</f>
        <v>0.21957685264482196</v>
      </c>
      <c r="G111" s="55">
        <f>'Four-Weekly Heat &amp; Power Demand'!Q120</f>
        <v>4.6321775826741275E-2</v>
      </c>
    </row>
    <row r="112" spans="1:7" x14ac:dyDescent="0.2">
      <c r="A112">
        <v>111</v>
      </c>
      <c r="B112">
        <f>'Four-Weekly Heat &amp; Power Demand'!C121</f>
        <v>3.4332694957598457</v>
      </c>
      <c r="C112">
        <f>'Four-Weekly Heat &amp; Power Demand'!D121</f>
        <v>1.8717327794185254</v>
      </c>
      <c r="D112">
        <f>'Four-Weekly Heat &amp; Power Demand'!E121</f>
        <v>0.32981104388639787</v>
      </c>
      <c r="E112" s="55">
        <f>'Four-Weekly Heat &amp; Power Demand'!O121</f>
        <v>0.38224352251574223</v>
      </c>
      <c r="F112" s="55">
        <f>'Four-Weekly Heat &amp; Power Demand'!P121</f>
        <v>0.21957685264482196</v>
      </c>
      <c r="G112" s="55">
        <f>'Four-Weekly Heat &amp; Power Demand'!Q121</f>
        <v>4.6321775826741275E-2</v>
      </c>
    </row>
    <row r="113" spans="1:7" x14ac:dyDescent="0.2">
      <c r="A113">
        <v>112</v>
      </c>
      <c r="B113">
        <f>'Four-Weekly Heat &amp; Power Demand'!C122</f>
        <v>3.4332694957598457</v>
      </c>
      <c r="C113">
        <f>'Four-Weekly Heat &amp; Power Demand'!D122</f>
        <v>1.8717327794185254</v>
      </c>
      <c r="D113">
        <f>'Four-Weekly Heat &amp; Power Demand'!E122</f>
        <v>0.32981104388639787</v>
      </c>
      <c r="E113" s="55">
        <f>'Four-Weekly Heat &amp; Power Demand'!O122</f>
        <v>0.38224352251574223</v>
      </c>
      <c r="F113" s="55">
        <f>'Four-Weekly Heat &amp; Power Demand'!P122</f>
        <v>0.21957685264482196</v>
      </c>
      <c r="G113" s="55">
        <f>'Four-Weekly Heat &amp; Power Demand'!Q122</f>
        <v>4.6321775826741275E-2</v>
      </c>
    </row>
    <row r="114" spans="1:7" x14ac:dyDescent="0.2">
      <c r="A114">
        <v>113</v>
      </c>
      <c r="B114">
        <f>'Four-Weekly Heat &amp; Power Demand'!C123</f>
        <v>3.4332694957598457</v>
      </c>
      <c r="C114">
        <f>'Four-Weekly Heat &amp; Power Demand'!D123</f>
        <v>1.8717327794185254</v>
      </c>
      <c r="D114">
        <f>'Four-Weekly Heat &amp; Power Demand'!E123</f>
        <v>0.32981104388639787</v>
      </c>
      <c r="E114" s="55">
        <f>'Four-Weekly Heat &amp; Power Demand'!O123</f>
        <v>0.38224352251574223</v>
      </c>
      <c r="F114" s="55">
        <f>'Four-Weekly Heat &amp; Power Demand'!P123</f>
        <v>0.21957685264482196</v>
      </c>
      <c r="G114" s="55">
        <f>'Four-Weekly Heat &amp; Power Demand'!Q123</f>
        <v>4.6321775826741275E-2</v>
      </c>
    </row>
    <row r="115" spans="1:7" x14ac:dyDescent="0.2">
      <c r="A115">
        <v>114</v>
      </c>
      <c r="B115">
        <f>'Four-Weekly Heat &amp; Power Demand'!C124</f>
        <v>3.4332694957598457</v>
      </c>
      <c r="C115">
        <f>'Four-Weekly Heat &amp; Power Demand'!D124</f>
        <v>1.8717327794185254</v>
      </c>
      <c r="D115">
        <f>'Four-Weekly Heat &amp; Power Demand'!E124</f>
        <v>0.32981104388639787</v>
      </c>
      <c r="E115" s="55">
        <f>'Four-Weekly Heat &amp; Power Demand'!O124</f>
        <v>0.38224352251574223</v>
      </c>
      <c r="F115" s="55">
        <f>'Four-Weekly Heat &amp; Power Demand'!P124</f>
        <v>0.21957685264482196</v>
      </c>
      <c r="G115" s="55">
        <f>'Four-Weekly Heat &amp; Power Demand'!Q124</f>
        <v>4.6321775826741275E-2</v>
      </c>
    </row>
    <row r="116" spans="1:7" x14ac:dyDescent="0.2">
      <c r="A116">
        <v>115</v>
      </c>
      <c r="B116">
        <f>'Four-Weekly Heat &amp; Power Demand'!C125</f>
        <v>3.4332694957598457</v>
      </c>
      <c r="C116">
        <f>'Four-Weekly Heat &amp; Power Demand'!D125</f>
        <v>1.8717327794185254</v>
      </c>
      <c r="D116">
        <f>'Four-Weekly Heat &amp; Power Demand'!E125</f>
        <v>0.32981104388639787</v>
      </c>
      <c r="E116" s="55">
        <f>'Four-Weekly Heat &amp; Power Demand'!O125</f>
        <v>0.38224352251574223</v>
      </c>
      <c r="F116" s="55">
        <f>'Four-Weekly Heat &amp; Power Demand'!P125</f>
        <v>0.21957685264482196</v>
      </c>
      <c r="G116" s="55">
        <f>'Four-Weekly Heat &amp; Power Demand'!Q125</f>
        <v>4.6321775826741275E-2</v>
      </c>
    </row>
    <row r="117" spans="1:7" x14ac:dyDescent="0.2">
      <c r="A117">
        <v>116</v>
      </c>
      <c r="B117">
        <f>'Four-Weekly Heat &amp; Power Demand'!C126</f>
        <v>3.4332694957598457</v>
      </c>
      <c r="C117">
        <f>'Four-Weekly Heat &amp; Power Demand'!D126</f>
        <v>1.8717327794185254</v>
      </c>
      <c r="D117">
        <f>'Four-Weekly Heat &amp; Power Demand'!E126</f>
        <v>0.32981104388639787</v>
      </c>
      <c r="E117" s="55">
        <f>'Four-Weekly Heat &amp; Power Demand'!O126</f>
        <v>0.38224352251574223</v>
      </c>
      <c r="F117" s="55">
        <f>'Four-Weekly Heat &amp; Power Demand'!P126</f>
        <v>0.21957685264482196</v>
      </c>
      <c r="G117" s="55">
        <f>'Four-Weekly Heat &amp; Power Demand'!Q126</f>
        <v>4.6321775826741275E-2</v>
      </c>
    </row>
    <row r="118" spans="1:7" x14ac:dyDescent="0.2">
      <c r="A118">
        <v>117</v>
      </c>
      <c r="B118">
        <f>'Four-Weekly Heat &amp; Power Demand'!C127</f>
        <v>3.4332694957598457</v>
      </c>
      <c r="C118">
        <f>'Four-Weekly Heat &amp; Power Demand'!D127</f>
        <v>1.8717327794185254</v>
      </c>
      <c r="D118">
        <f>'Four-Weekly Heat &amp; Power Demand'!E127</f>
        <v>0.32981104388639787</v>
      </c>
      <c r="E118" s="55">
        <f>'Four-Weekly Heat &amp; Power Demand'!O127</f>
        <v>0.38224352251574223</v>
      </c>
      <c r="F118" s="55">
        <f>'Four-Weekly Heat &amp; Power Demand'!P127</f>
        <v>0.21957685264482196</v>
      </c>
      <c r="G118" s="55">
        <f>'Four-Weekly Heat &amp; Power Demand'!Q127</f>
        <v>4.6321775826741275E-2</v>
      </c>
    </row>
    <row r="119" spans="1:7" x14ac:dyDescent="0.2">
      <c r="A119">
        <v>118</v>
      </c>
      <c r="B119">
        <f>'Four-Weekly Heat &amp; Power Demand'!C128</f>
        <v>3.4332694957598457</v>
      </c>
      <c r="C119">
        <f>'Four-Weekly Heat &amp; Power Demand'!D128</f>
        <v>1.8717327794185254</v>
      </c>
      <c r="D119">
        <f>'Four-Weekly Heat &amp; Power Demand'!E128</f>
        <v>0.32981104388639787</v>
      </c>
      <c r="E119" s="55">
        <f>'Four-Weekly Heat &amp; Power Demand'!O128</f>
        <v>0.38224352251574223</v>
      </c>
      <c r="F119" s="55">
        <f>'Four-Weekly Heat &amp; Power Demand'!P128</f>
        <v>0.21957685264482196</v>
      </c>
      <c r="G119" s="55">
        <f>'Four-Weekly Heat &amp; Power Demand'!Q128</f>
        <v>4.6321775826741275E-2</v>
      </c>
    </row>
    <row r="120" spans="1:7" x14ac:dyDescent="0.2">
      <c r="A120">
        <v>119</v>
      </c>
      <c r="B120">
        <f>'Four-Weekly Heat &amp; Power Demand'!C129</f>
        <v>0</v>
      </c>
      <c r="C120">
        <f>'Four-Weekly Heat &amp; Power Demand'!D129</f>
        <v>0</v>
      </c>
      <c r="D120">
        <f>'Four-Weekly Heat &amp; Power Demand'!E129</f>
        <v>0</v>
      </c>
      <c r="E120" s="55">
        <f>'Four-Weekly Heat &amp; Power Demand'!O129</f>
        <v>0</v>
      </c>
      <c r="F120" s="55">
        <f>'Four-Weekly Heat &amp; Power Demand'!P129</f>
        <v>0</v>
      </c>
      <c r="G120" s="55">
        <f>'Four-Weekly Heat &amp; Power Demand'!Q129</f>
        <v>0</v>
      </c>
    </row>
    <row r="121" spans="1:7" x14ac:dyDescent="0.2">
      <c r="A121">
        <v>120</v>
      </c>
      <c r="B121">
        <f>'Four-Weekly Heat &amp; Power Demand'!C130</f>
        <v>0</v>
      </c>
      <c r="C121">
        <f>'Four-Weekly Heat &amp; Power Demand'!D130</f>
        <v>0</v>
      </c>
      <c r="D121">
        <f>'Four-Weekly Heat &amp; Power Demand'!E130</f>
        <v>0</v>
      </c>
      <c r="E121" s="55">
        <f>'Four-Weekly Heat &amp; Power Demand'!O130</f>
        <v>0</v>
      </c>
      <c r="F121" s="55">
        <f>'Four-Weekly Heat &amp; Power Demand'!P130</f>
        <v>0</v>
      </c>
      <c r="G121" s="55">
        <f>'Four-Weekly Heat &amp; Power Demand'!Q130</f>
        <v>0</v>
      </c>
    </row>
    <row r="122" spans="1:7" x14ac:dyDescent="0.2">
      <c r="A122">
        <v>121</v>
      </c>
      <c r="B122">
        <f>'Four-Weekly Heat &amp; Power Demand'!C131</f>
        <v>0</v>
      </c>
      <c r="C122">
        <f>'Four-Weekly Heat &amp; Power Demand'!D131</f>
        <v>0</v>
      </c>
      <c r="D122">
        <f>'Four-Weekly Heat &amp; Power Demand'!E131</f>
        <v>0</v>
      </c>
      <c r="E122" s="55">
        <f>'Four-Weekly Heat &amp; Power Demand'!O131</f>
        <v>0</v>
      </c>
      <c r="F122" s="55">
        <f>'Four-Weekly Heat &amp; Power Demand'!P131</f>
        <v>0</v>
      </c>
      <c r="G122" s="55">
        <f>'Four-Weekly Heat &amp; Power Demand'!Q131</f>
        <v>0</v>
      </c>
    </row>
    <row r="123" spans="1:7" x14ac:dyDescent="0.2">
      <c r="A123">
        <v>122</v>
      </c>
      <c r="B123">
        <f>'Four-Weekly Heat &amp; Power Demand'!C132</f>
        <v>0</v>
      </c>
      <c r="C123">
        <f>'Four-Weekly Heat &amp; Power Demand'!D132</f>
        <v>0</v>
      </c>
      <c r="D123">
        <f>'Four-Weekly Heat &amp; Power Demand'!E132</f>
        <v>0</v>
      </c>
      <c r="E123" s="55">
        <f>'Four-Weekly Heat &amp; Power Demand'!O132</f>
        <v>0</v>
      </c>
      <c r="F123" s="55">
        <f>'Four-Weekly Heat &amp; Power Demand'!P132</f>
        <v>0</v>
      </c>
      <c r="G123" s="55">
        <f>'Four-Weekly Heat &amp; Power Demand'!Q132</f>
        <v>0</v>
      </c>
    </row>
    <row r="124" spans="1:7" x14ac:dyDescent="0.2">
      <c r="A124">
        <v>123</v>
      </c>
      <c r="B124">
        <f>'Four-Weekly Heat &amp; Power Demand'!C133</f>
        <v>0</v>
      </c>
      <c r="C124">
        <f>'Four-Weekly Heat &amp; Power Demand'!D133</f>
        <v>0</v>
      </c>
      <c r="D124">
        <f>'Four-Weekly Heat &amp; Power Demand'!E133</f>
        <v>0</v>
      </c>
      <c r="E124" s="55">
        <f>'Four-Weekly Heat &amp; Power Demand'!O133</f>
        <v>0</v>
      </c>
      <c r="F124" s="55">
        <f>'Four-Weekly Heat &amp; Power Demand'!P133</f>
        <v>0</v>
      </c>
      <c r="G124" s="55">
        <f>'Four-Weekly Heat &amp; Power Demand'!Q133</f>
        <v>0</v>
      </c>
    </row>
    <row r="125" spans="1:7" x14ac:dyDescent="0.2">
      <c r="A125">
        <v>124</v>
      </c>
      <c r="B125">
        <f>'Four-Weekly Heat &amp; Power Demand'!C134</f>
        <v>0</v>
      </c>
      <c r="C125">
        <f>'Four-Weekly Heat &amp; Power Demand'!D134</f>
        <v>0</v>
      </c>
      <c r="D125">
        <f>'Four-Weekly Heat &amp; Power Demand'!E134</f>
        <v>0</v>
      </c>
      <c r="E125" s="55">
        <f>'Four-Weekly Heat &amp; Power Demand'!O134</f>
        <v>0</v>
      </c>
      <c r="F125" s="55">
        <f>'Four-Weekly Heat &amp; Power Demand'!P134</f>
        <v>0</v>
      </c>
      <c r="G125" s="55">
        <f>'Four-Weekly Heat &amp; Power Demand'!Q134</f>
        <v>0</v>
      </c>
    </row>
    <row r="126" spans="1:7" x14ac:dyDescent="0.2">
      <c r="A126">
        <v>125</v>
      </c>
      <c r="B126">
        <f>'Four-Weekly Heat &amp; Power Demand'!C135</f>
        <v>0</v>
      </c>
      <c r="C126">
        <f>'Four-Weekly Heat &amp; Power Demand'!D135</f>
        <v>0</v>
      </c>
      <c r="D126">
        <f>'Four-Weekly Heat &amp; Power Demand'!E135</f>
        <v>0</v>
      </c>
      <c r="E126" s="55">
        <f>'Four-Weekly Heat &amp; Power Demand'!O135</f>
        <v>0</v>
      </c>
      <c r="F126" s="55">
        <f>'Four-Weekly Heat &amp; Power Demand'!P135</f>
        <v>0</v>
      </c>
      <c r="G126" s="55">
        <f>'Four-Weekly Heat &amp; Power Demand'!Q135</f>
        <v>0</v>
      </c>
    </row>
    <row r="127" spans="1:7" x14ac:dyDescent="0.2">
      <c r="A127">
        <v>126</v>
      </c>
      <c r="B127">
        <f>'Four-Weekly Heat &amp; Power Demand'!C136</f>
        <v>0</v>
      </c>
      <c r="C127">
        <f>'Four-Weekly Heat &amp; Power Demand'!D136</f>
        <v>0</v>
      </c>
      <c r="D127">
        <f>'Four-Weekly Heat &amp; Power Demand'!E136</f>
        <v>0</v>
      </c>
      <c r="E127" s="55">
        <f>'Four-Weekly Heat &amp; Power Demand'!O136</f>
        <v>0</v>
      </c>
      <c r="F127" s="55">
        <f>'Four-Weekly Heat &amp; Power Demand'!P136</f>
        <v>0</v>
      </c>
      <c r="G127" s="55">
        <f>'Four-Weekly Heat &amp; Power Demand'!Q136</f>
        <v>0</v>
      </c>
    </row>
    <row r="128" spans="1:7" x14ac:dyDescent="0.2">
      <c r="A128">
        <v>127</v>
      </c>
      <c r="B128">
        <f>'Four-Weekly Heat &amp; Power Demand'!C137</f>
        <v>3.4332694957598457</v>
      </c>
      <c r="C128">
        <f>'Four-Weekly Heat &amp; Power Demand'!D137</f>
        <v>1.8717327794185254</v>
      </c>
      <c r="D128">
        <f>'Four-Weekly Heat &amp; Power Demand'!E137</f>
        <v>0.32981104388639787</v>
      </c>
      <c r="E128" s="55">
        <f>'Four-Weekly Heat &amp; Power Demand'!O137</f>
        <v>0.38224352251574223</v>
      </c>
      <c r="F128" s="55">
        <f>'Four-Weekly Heat &amp; Power Demand'!P137</f>
        <v>0.21957685264482196</v>
      </c>
      <c r="G128" s="55">
        <f>'Four-Weekly Heat &amp; Power Demand'!Q137</f>
        <v>4.6321775826741275E-2</v>
      </c>
    </row>
    <row r="129" spans="1:7" x14ac:dyDescent="0.2">
      <c r="A129">
        <v>128</v>
      </c>
      <c r="B129">
        <f>'Four-Weekly Heat &amp; Power Demand'!C138</f>
        <v>3.4332694957598457</v>
      </c>
      <c r="C129">
        <f>'Four-Weekly Heat &amp; Power Demand'!D138</f>
        <v>1.8717327794185254</v>
      </c>
      <c r="D129">
        <f>'Four-Weekly Heat &amp; Power Demand'!E138</f>
        <v>0.32981104388639787</v>
      </c>
      <c r="E129" s="55">
        <f>'Four-Weekly Heat &amp; Power Demand'!O138</f>
        <v>0.38224352251574223</v>
      </c>
      <c r="F129" s="55">
        <f>'Four-Weekly Heat &amp; Power Demand'!P138</f>
        <v>0.21957685264482196</v>
      </c>
      <c r="G129" s="55">
        <f>'Four-Weekly Heat &amp; Power Demand'!Q138</f>
        <v>4.6321775826741275E-2</v>
      </c>
    </row>
    <row r="130" spans="1:7" x14ac:dyDescent="0.2">
      <c r="A130">
        <v>129</v>
      </c>
      <c r="B130">
        <f>'Four-Weekly Heat &amp; Power Demand'!C139</f>
        <v>0</v>
      </c>
      <c r="C130">
        <f>'Four-Weekly Heat &amp; Power Demand'!D139</f>
        <v>0</v>
      </c>
      <c r="D130">
        <f>'Four-Weekly Heat &amp; Power Demand'!E139</f>
        <v>0</v>
      </c>
      <c r="E130" s="55">
        <f>'Four-Weekly Heat &amp; Power Demand'!O139</f>
        <v>0</v>
      </c>
      <c r="F130" s="55">
        <f>'Four-Weekly Heat &amp; Power Demand'!P139</f>
        <v>0</v>
      </c>
      <c r="G130" s="55">
        <f>'Four-Weekly Heat &amp; Power Demand'!Q139</f>
        <v>0</v>
      </c>
    </row>
    <row r="131" spans="1:7" x14ac:dyDescent="0.2">
      <c r="A131">
        <v>130</v>
      </c>
      <c r="B131">
        <f>'Four-Weekly Heat &amp; Power Demand'!C140</f>
        <v>0</v>
      </c>
      <c r="C131">
        <f>'Four-Weekly Heat &amp; Power Demand'!D140</f>
        <v>0</v>
      </c>
      <c r="D131">
        <f>'Four-Weekly Heat &amp; Power Demand'!E140</f>
        <v>0</v>
      </c>
      <c r="E131" s="55">
        <f>'Four-Weekly Heat &amp; Power Demand'!O140</f>
        <v>0</v>
      </c>
      <c r="F131" s="55">
        <f>'Four-Weekly Heat &amp; Power Demand'!P140</f>
        <v>0</v>
      </c>
      <c r="G131" s="55">
        <f>'Four-Weekly Heat &amp; Power Demand'!Q140</f>
        <v>0</v>
      </c>
    </row>
    <row r="132" spans="1:7" x14ac:dyDescent="0.2">
      <c r="A132">
        <v>131</v>
      </c>
      <c r="B132">
        <f>'Four-Weekly Heat &amp; Power Demand'!C141</f>
        <v>0</v>
      </c>
      <c r="C132">
        <f>'Four-Weekly Heat &amp; Power Demand'!D141</f>
        <v>0</v>
      </c>
      <c r="D132">
        <f>'Four-Weekly Heat &amp; Power Demand'!E141</f>
        <v>0</v>
      </c>
      <c r="E132" s="55">
        <f>'Four-Weekly Heat &amp; Power Demand'!O141</f>
        <v>0</v>
      </c>
      <c r="F132" s="55">
        <f>'Four-Weekly Heat &amp; Power Demand'!P141</f>
        <v>0</v>
      </c>
      <c r="G132" s="55">
        <f>'Four-Weekly Heat &amp; Power Demand'!Q141</f>
        <v>0</v>
      </c>
    </row>
    <row r="133" spans="1:7" x14ac:dyDescent="0.2">
      <c r="A133">
        <v>132</v>
      </c>
      <c r="B133">
        <f>'Four-Weekly Heat &amp; Power Demand'!C142</f>
        <v>0</v>
      </c>
      <c r="C133">
        <f>'Four-Weekly Heat &amp; Power Demand'!D142</f>
        <v>0</v>
      </c>
      <c r="D133">
        <f>'Four-Weekly Heat &amp; Power Demand'!E142</f>
        <v>0</v>
      </c>
      <c r="E133" s="55">
        <f>'Four-Weekly Heat &amp; Power Demand'!O142</f>
        <v>0</v>
      </c>
      <c r="F133" s="55">
        <f>'Four-Weekly Heat &amp; Power Demand'!P142</f>
        <v>0</v>
      </c>
      <c r="G133" s="55">
        <f>'Four-Weekly Heat &amp; Power Demand'!Q142</f>
        <v>0</v>
      </c>
    </row>
    <row r="134" spans="1:7" x14ac:dyDescent="0.2">
      <c r="A134">
        <v>133</v>
      </c>
      <c r="B134">
        <f>'Four-Weekly Heat &amp; Power Demand'!C143</f>
        <v>0</v>
      </c>
      <c r="C134">
        <f>'Four-Weekly Heat &amp; Power Demand'!D143</f>
        <v>0</v>
      </c>
      <c r="D134">
        <f>'Four-Weekly Heat &amp; Power Demand'!E143</f>
        <v>0</v>
      </c>
      <c r="E134" s="55">
        <f>'Four-Weekly Heat &amp; Power Demand'!O143</f>
        <v>0</v>
      </c>
      <c r="F134" s="55">
        <f>'Four-Weekly Heat &amp; Power Demand'!P143</f>
        <v>0</v>
      </c>
      <c r="G134" s="55">
        <f>'Four-Weekly Heat &amp; Power Demand'!Q143</f>
        <v>0</v>
      </c>
    </row>
    <row r="135" spans="1:7" x14ac:dyDescent="0.2">
      <c r="A135">
        <v>134</v>
      </c>
      <c r="B135">
        <f>'Four-Weekly Heat &amp; Power Demand'!C144</f>
        <v>0</v>
      </c>
      <c r="C135">
        <f>'Four-Weekly Heat &amp; Power Demand'!D144</f>
        <v>0</v>
      </c>
      <c r="D135">
        <f>'Four-Weekly Heat &amp; Power Demand'!E144</f>
        <v>0</v>
      </c>
      <c r="E135" s="55">
        <f>'Four-Weekly Heat &amp; Power Demand'!O144</f>
        <v>0</v>
      </c>
      <c r="F135" s="55">
        <f>'Four-Weekly Heat &amp; Power Demand'!P144</f>
        <v>0</v>
      </c>
      <c r="G135" s="55">
        <f>'Four-Weekly Heat &amp; Power Demand'!Q144</f>
        <v>0</v>
      </c>
    </row>
    <row r="136" spans="1:7" x14ac:dyDescent="0.2">
      <c r="A136">
        <v>135</v>
      </c>
      <c r="B136">
        <f>'Four-Weekly Heat &amp; Power Demand'!C145</f>
        <v>0</v>
      </c>
      <c r="C136">
        <f>'Four-Weekly Heat &amp; Power Demand'!D145</f>
        <v>0</v>
      </c>
      <c r="D136">
        <f>'Four-Weekly Heat &amp; Power Demand'!E145</f>
        <v>0</v>
      </c>
      <c r="E136" s="55">
        <f>'Four-Weekly Heat &amp; Power Demand'!O145</f>
        <v>0</v>
      </c>
      <c r="F136" s="55">
        <f>'Four-Weekly Heat &amp; Power Demand'!P145</f>
        <v>0</v>
      </c>
      <c r="G136" s="55">
        <f>'Four-Weekly Heat &amp; Power Demand'!Q145</f>
        <v>0</v>
      </c>
    </row>
    <row r="137" spans="1:7" x14ac:dyDescent="0.2">
      <c r="A137">
        <v>136</v>
      </c>
      <c r="B137">
        <f>'Four-Weekly Heat &amp; Power Demand'!C146</f>
        <v>3.4332694957598457</v>
      </c>
      <c r="C137">
        <f>'Four-Weekly Heat &amp; Power Demand'!D146</f>
        <v>1.8717327794185254</v>
      </c>
      <c r="D137">
        <f>'Four-Weekly Heat &amp; Power Demand'!E146</f>
        <v>0.32981104388639787</v>
      </c>
      <c r="E137" s="55">
        <f>'Four-Weekly Heat &amp; Power Demand'!O146</f>
        <v>0.38224352251574223</v>
      </c>
      <c r="F137" s="55">
        <f>'Four-Weekly Heat &amp; Power Demand'!P146</f>
        <v>0.21957685264482196</v>
      </c>
      <c r="G137" s="55">
        <f>'Four-Weekly Heat &amp; Power Demand'!Q146</f>
        <v>4.6321775826741275E-2</v>
      </c>
    </row>
    <row r="138" spans="1:7" x14ac:dyDescent="0.2">
      <c r="A138">
        <v>137</v>
      </c>
      <c r="B138">
        <f>'Four-Weekly Heat &amp; Power Demand'!C147</f>
        <v>3.4332694957598457</v>
      </c>
      <c r="C138">
        <f>'Four-Weekly Heat &amp; Power Demand'!D147</f>
        <v>1.8717327794185254</v>
      </c>
      <c r="D138">
        <f>'Four-Weekly Heat &amp; Power Demand'!E147</f>
        <v>0.32981104388639787</v>
      </c>
      <c r="E138" s="55">
        <f>'Four-Weekly Heat &amp; Power Demand'!O147</f>
        <v>0.38224352251574223</v>
      </c>
      <c r="F138" s="55">
        <f>'Four-Weekly Heat &amp; Power Demand'!P147</f>
        <v>0.21957685264482196</v>
      </c>
      <c r="G138" s="55">
        <f>'Four-Weekly Heat &amp; Power Demand'!Q147</f>
        <v>4.6321775826741275E-2</v>
      </c>
    </row>
    <row r="139" spans="1:7" x14ac:dyDescent="0.2">
      <c r="A139">
        <v>138</v>
      </c>
      <c r="B139">
        <f>'Four-Weekly Heat &amp; Power Demand'!C148</f>
        <v>3.4332694957598457</v>
      </c>
      <c r="C139">
        <f>'Four-Weekly Heat &amp; Power Demand'!D148</f>
        <v>1.8717327794185254</v>
      </c>
      <c r="D139">
        <f>'Four-Weekly Heat &amp; Power Demand'!E148</f>
        <v>0.32981104388639787</v>
      </c>
      <c r="E139" s="55">
        <f>'Four-Weekly Heat &amp; Power Demand'!O148</f>
        <v>0.38224352251574223</v>
      </c>
      <c r="F139" s="55">
        <f>'Four-Weekly Heat &amp; Power Demand'!P148</f>
        <v>0.21957685264482196</v>
      </c>
      <c r="G139" s="55">
        <f>'Four-Weekly Heat &amp; Power Demand'!Q148</f>
        <v>4.6321775826741275E-2</v>
      </c>
    </row>
    <row r="140" spans="1:7" x14ac:dyDescent="0.2">
      <c r="A140">
        <v>139</v>
      </c>
      <c r="B140">
        <f>'Four-Weekly Heat &amp; Power Demand'!C149</f>
        <v>3.4332694957598457</v>
      </c>
      <c r="C140">
        <f>'Four-Weekly Heat &amp; Power Demand'!D149</f>
        <v>1.8717327794185254</v>
      </c>
      <c r="D140">
        <f>'Four-Weekly Heat &amp; Power Demand'!E149</f>
        <v>0.32981104388639787</v>
      </c>
      <c r="E140" s="55">
        <f>'Four-Weekly Heat &amp; Power Demand'!O149</f>
        <v>0.38224352251574223</v>
      </c>
      <c r="F140" s="55">
        <f>'Four-Weekly Heat &amp; Power Demand'!P149</f>
        <v>0.21957685264482196</v>
      </c>
      <c r="G140" s="55">
        <f>'Four-Weekly Heat &amp; Power Demand'!Q149</f>
        <v>4.6321775826741275E-2</v>
      </c>
    </row>
    <row r="141" spans="1:7" x14ac:dyDescent="0.2">
      <c r="A141">
        <v>140</v>
      </c>
      <c r="B141">
        <f>'Four-Weekly Heat &amp; Power Demand'!C150</f>
        <v>3.4332694957598457</v>
      </c>
      <c r="C141">
        <f>'Four-Weekly Heat &amp; Power Demand'!D150</f>
        <v>1.8717327794185254</v>
      </c>
      <c r="D141">
        <f>'Four-Weekly Heat &amp; Power Demand'!E150</f>
        <v>0.32981104388639787</v>
      </c>
      <c r="E141" s="55">
        <f>'Four-Weekly Heat &amp; Power Demand'!O150</f>
        <v>0.38224352251574223</v>
      </c>
      <c r="F141" s="55">
        <f>'Four-Weekly Heat &amp; Power Demand'!P150</f>
        <v>0.21957685264482196</v>
      </c>
      <c r="G141" s="55">
        <f>'Four-Weekly Heat &amp; Power Demand'!Q150</f>
        <v>4.6321775826741275E-2</v>
      </c>
    </row>
    <row r="142" spans="1:7" x14ac:dyDescent="0.2">
      <c r="A142">
        <v>141</v>
      </c>
      <c r="B142">
        <f>'Four-Weekly Heat &amp; Power Demand'!C151</f>
        <v>3.4332694957598457</v>
      </c>
      <c r="C142">
        <f>'Four-Weekly Heat &amp; Power Demand'!D151</f>
        <v>1.8717327794185254</v>
      </c>
      <c r="D142">
        <f>'Four-Weekly Heat &amp; Power Demand'!E151</f>
        <v>0.32981104388639787</v>
      </c>
      <c r="E142" s="55">
        <f>'Four-Weekly Heat &amp; Power Demand'!O151</f>
        <v>0.38224352251574223</v>
      </c>
      <c r="F142" s="55">
        <f>'Four-Weekly Heat &amp; Power Demand'!P151</f>
        <v>0.21957685264482196</v>
      </c>
      <c r="G142" s="55">
        <f>'Four-Weekly Heat &amp; Power Demand'!Q151</f>
        <v>4.6321775826741275E-2</v>
      </c>
    </row>
    <row r="143" spans="1:7" x14ac:dyDescent="0.2">
      <c r="A143">
        <v>142</v>
      </c>
      <c r="B143">
        <f>'Four-Weekly Heat &amp; Power Demand'!C152</f>
        <v>3.4332694957598457</v>
      </c>
      <c r="C143">
        <f>'Four-Weekly Heat &amp; Power Demand'!D152</f>
        <v>1.8717327794185254</v>
      </c>
      <c r="D143">
        <f>'Four-Weekly Heat &amp; Power Demand'!E152</f>
        <v>0.32981104388639787</v>
      </c>
      <c r="E143" s="55">
        <f>'Four-Weekly Heat &amp; Power Demand'!O152</f>
        <v>0.38224352251574223</v>
      </c>
      <c r="F143" s="55">
        <f>'Four-Weekly Heat &amp; Power Demand'!P152</f>
        <v>0.21957685264482196</v>
      </c>
      <c r="G143" s="55">
        <f>'Four-Weekly Heat &amp; Power Demand'!Q152</f>
        <v>4.6321775826741275E-2</v>
      </c>
    </row>
    <row r="144" spans="1:7" x14ac:dyDescent="0.2">
      <c r="A144">
        <v>143</v>
      </c>
      <c r="B144">
        <f>'Four-Weekly Heat &amp; Power Demand'!C153</f>
        <v>0</v>
      </c>
      <c r="C144">
        <f>'Four-Weekly Heat &amp; Power Demand'!D153</f>
        <v>0</v>
      </c>
      <c r="D144">
        <f>'Four-Weekly Heat &amp; Power Demand'!E153</f>
        <v>0</v>
      </c>
      <c r="E144" s="55">
        <f>'Four-Weekly Heat &amp; Power Demand'!O153</f>
        <v>0</v>
      </c>
      <c r="F144" s="55">
        <f>'Four-Weekly Heat &amp; Power Demand'!P153</f>
        <v>0</v>
      </c>
      <c r="G144" s="55">
        <f>'Four-Weekly Heat &amp; Power Demand'!Q153</f>
        <v>0</v>
      </c>
    </row>
    <row r="145" spans="1:7" x14ac:dyDescent="0.2">
      <c r="A145">
        <v>144</v>
      </c>
      <c r="B145">
        <f>'Four-Weekly Heat &amp; Power Demand'!C154</f>
        <v>0</v>
      </c>
      <c r="C145">
        <f>'Four-Weekly Heat &amp; Power Demand'!D154</f>
        <v>0</v>
      </c>
      <c r="D145">
        <f>'Four-Weekly Heat &amp; Power Demand'!E154</f>
        <v>0</v>
      </c>
      <c r="E145" s="55">
        <f>'Four-Weekly Heat &amp; Power Demand'!O154</f>
        <v>0</v>
      </c>
      <c r="F145" s="55">
        <f>'Four-Weekly Heat &amp; Power Demand'!P154</f>
        <v>0</v>
      </c>
      <c r="G145" s="55">
        <f>'Four-Weekly Heat &amp; Power Demand'!Q154</f>
        <v>0</v>
      </c>
    </row>
    <row r="146" spans="1:7" x14ac:dyDescent="0.2">
      <c r="A146">
        <v>145</v>
      </c>
      <c r="B146">
        <f>'Four-Weekly Heat &amp; Power Demand'!C155</f>
        <v>0</v>
      </c>
      <c r="C146">
        <f>'Four-Weekly Heat &amp; Power Demand'!D155</f>
        <v>0</v>
      </c>
      <c r="D146">
        <f>'Four-Weekly Heat &amp; Power Demand'!E155</f>
        <v>0</v>
      </c>
      <c r="E146" s="55">
        <f>'Four-Weekly Heat &amp; Power Demand'!O155</f>
        <v>0</v>
      </c>
      <c r="F146" s="55">
        <f>'Four-Weekly Heat &amp; Power Demand'!P155</f>
        <v>0</v>
      </c>
      <c r="G146" s="55">
        <f>'Four-Weekly Heat &amp; Power Demand'!Q155</f>
        <v>0</v>
      </c>
    </row>
    <row r="147" spans="1:7" x14ac:dyDescent="0.2">
      <c r="A147">
        <v>146</v>
      </c>
      <c r="B147">
        <f>'Four-Weekly Heat &amp; Power Demand'!C156</f>
        <v>0</v>
      </c>
      <c r="C147">
        <f>'Four-Weekly Heat &amp; Power Demand'!D156</f>
        <v>0</v>
      </c>
      <c r="D147">
        <f>'Four-Weekly Heat &amp; Power Demand'!E156</f>
        <v>0</v>
      </c>
      <c r="E147" s="55">
        <f>'Four-Weekly Heat &amp; Power Demand'!O156</f>
        <v>0</v>
      </c>
      <c r="F147" s="55">
        <f>'Four-Weekly Heat &amp; Power Demand'!P156</f>
        <v>0</v>
      </c>
      <c r="G147" s="55">
        <f>'Four-Weekly Heat &amp; Power Demand'!Q156</f>
        <v>0</v>
      </c>
    </row>
    <row r="148" spans="1:7" x14ac:dyDescent="0.2">
      <c r="A148">
        <v>147</v>
      </c>
      <c r="B148">
        <f>'Four-Weekly Heat &amp; Power Demand'!C157</f>
        <v>0</v>
      </c>
      <c r="C148">
        <f>'Four-Weekly Heat &amp; Power Demand'!D157</f>
        <v>0</v>
      </c>
      <c r="D148">
        <f>'Four-Weekly Heat &amp; Power Demand'!E157</f>
        <v>0</v>
      </c>
      <c r="E148" s="55">
        <f>'Four-Weekly Heat &amp; Power Demand'!O157</f>
        <v>0</v>
      </c>
      <c r="F148" s="55">
        <f>'Four-Weekly Heat &amp; Power Demand'!P157</f>
        <v>0</v>
      </c>
      <c r="G148" s="55">
        <f>'Four-Weekly Heat &amp; Power Demand'!Q157</f>
        <v>0</v>
      </c>
    </row>
    <row r="149" spans="1:7" x14ac:dyDescent="0.2">
      <c r="A149">
        <v>148</v>
      </c>
      <c r="B149">
        <f>'Four-Weekly Heat &amp; Power Demand'!C158</f>
        <v>0</v>
      </c>
      <c r="C149">
        <f>'Four-Weekly Heat &amp; Power Demand'!D158</f>
        <v>0</v>
      </c>
      <c r="D149">
        <f>'Four-Weekly Heat &amp; Power Demand'!E158</f>
        <v>0</v>
      </c>
      <c r="E149" s="55">
        <f>'Four-Weekly Heat &amp; Power Demand'!O158</f>
        <v>0</v>
      </c>
      <c r="F149" s="55">
        <f>'Four-Weekly Heat &amp; Power Demand'!P158</f>
        <v>0</v>
      </c>
      <c r="G149" s="55">
        <f>'Four-Weekly Heat &amp; Power Demand'!Q158</f>
        <v>0</v>
      </c>
    </row>
    <row r="150" spans="1:7" x14ac:dyDescent="0.2">
      <c r="A150">
        <v>149</v>
      </c>
      <c r="B150">
        <f>'Four-Weekly Heat &amp; Power Demand'!C159</f>
        <v>0</v>
      </c>
      <c r="C150">
        <f>'Four-Weekly Heat &amp; Power Demand'!D159</f>
        <v>0</v>
      </c>
      <c r="D150">
        <f>'Four-Weekly Heat &amp; Power Demand'!E159</f>
        <v>0</v>
      </c>
      <c r="E150" s="55">
        <f>'Four-Weekly Heat &amp; Power Demand'!O159</f>
        <v>0</v>
      </c>
      <c r="F150" s="55">
        <f>'Four-Weekly Heat &amp; Power Demand'!P159</f>
        <v>0</v>
      </c>
      <c r="G150" s="55">
        <f>'Four-Weekly Heat &amp; Power Demand'!Q159</f>
        <v>0</v>
      </c>
    </row>
    <row r="151" spans="1:7" x14ac:dyDescent="0.2">
      <c r="A151">
        <v>150</v>
      </c>
      <c r="B151">
        <f>'Four-Weekly Heat &amp; Power Demand'!C160</f>
        <v>0</v>
      </c>
      <c r="C151">
        <f>'Four-Weekly Heat &amp; Power Demand'!D160</f>
        <v>0</v>
      </c>
      <c r="D151">
        <f>'Four-Weekly Heat &amp; Power Demand'!E160</f>
        <v>0</v>
      </c>
      <c r="E151" s="55">
        <f>'Four-Weekly Heat &amp; Power Demand'!O160</f>
        <v>0</v>
      </c>
      <c r="F151" s="55">
        <f>'Four-Weekly Heat &amp; Power Demand'!P160</f>
        <v>0</v>
      </c>
      <c r="G151" s="55">
        <f>'Four-Weekly Heat &amp; Power Demand'!Q160</f>
        <v>0</v>
      </c>
    </row>
    <row r="152" spans="1:7" x14ac:dyDescent="0.2">
      <c r="A152">
        <v>151</v>
      </c>
      <c r="B152">
        <f>'Four-Weekly Heat &amp; Power Demand'!C161</f>
        <v>3.4332694957598457</v>
      </c>
      <c r="C152">
        <f>'Four-Weekly Heat &amp; Power Demand'!D161</f>
        <v>1.8717327794185254</v>
      </c>
      <c r="D152">
        <f>'Four-Weekly Heat &amp; Power Demand'!E161</f>
        <v>0.32981104388639787</v>
      </c>
      <c r="E152" s="55">
        <f>'Four-Weekly Heat &amp; Power Demand'!O161</f>
        <v>0.38224352251574223</v>
      </c>
      <c r="F152" s="55">
        <f>'Four-Weekly Heat &amp; Power Demand'!P161</f>
        <v>0.21957685264482196</v>
      </c>
      <c r="G152" s="55">
        <f>'Four-Weekly Heat &amp; Power Demand'!Q161</f>
        <v>4.6321775826741275E-2</v>
      </c>
    </row>
    <row r="153" spans="1:7" x14ac:dyDescent="0.2">
      <c r="A153">
        <v>152</v>
      </c>
      <c r="B153">
        <f>'Four-Weekly Heat &amp; Power Demand'!C162</f>
        <v>3.4332694957598457</v>
      </c>
      <c r="C153">
        <f>'Four-Weekly Heat &amp; Power Demand'!D162</f>
        <v>1.8717327794185254</v>
      </c>
      <c r="D153">
        <f>'Four-Weekly Heat &amp; Power Demand'!E162</f>
        <v>0.32981104388639787</v>
      </c>
      <c r="E153" s="55">
        <f>'Four-Weekly Heat &amp; Power Demand'!O162</f>
        <v>0.38224352251574223</v>
      </c>
      <c r="F153" s="55">
        <f>'Four-Weekly Heat &amp; Power Demand'!P162</f>
        <v>0.21957685264482196</v>
      </c>
      <c r="G153" s="55">
        <f>'Four-Weekly Heat &amp; Power Demand'!Q162</f>
        <v>4.6321775826741275E-2</v>
      </c>
    </row>
    <row r="154" spans="1:7" x14ac:dyDescent="0.2">
      <c r="A154">
        <v>153</v>
      </c>
      <c r="B154">
        <f>'Four-Weekly Heat &amp; Power Demand'!C163</f>
        <v>0</v>
      </c>
      <c r="C154">
        <f>'Four-Weekly Heat &amp; Power Demand'!D163</f>
        <v>0</v>
      </c>
      <c r="D154">
        <f>'Four-Weekly Heat &amp; Power Demand'!E163</f>
        <v>0</v>
      </c>
      <c r="E154" s="55">
        <f>'Four-Weekly Heat &amp; Power Demand'!O163</f>
        <v>0</v>
      </c>
      <c r="F154" s="55">
        <f>'Four-Weekly Heat &amp; Power Demand'!P163</f>
        <v>0</v>
      </c>
      <c r="G154" s="55">
        <f>'Four-Weekly Heat &amp; Power Demand'!Q163</f>
        <v>0</v>
      </c>
    </row>
    <row r="155" spans="1:7" x14ac:dyDescent="0.2">
      <c r="A155">
        <v>154</v>
      </c>
      <c r="B155">
        <f>'Four-Weekly Heat &amp; Power Demand'!C164</f>
        <v>0</v>
      </c>
      <c r="C155">
        <f>'Four-Weekly Heat &amp; Power Demand'!D164</f>
        <v>0</v>
      </c>
      <c r="D155">
        <f>'Four-Weekly Heat &amp; Power Demand'!E164</f>
        <v>0</v>
      </c>
      <c r="E155" s="55">
        <f>'Four-Weekly Heat &amp; Power Demand'!O164</f>
        <v>0</v>
      </c>
      <c r="F155" s="55">
        <f>'Four-Weekly Heat &amp; Power Demand'!P164</f>
        <v>0</v>
      </c>
      <c r="G155" s="55">
        <f>'Four-Weekly Heat &amp; Power Demand'!Q164</f>
        <v>0</v>
      </c>
    </row>
    <row r="156" spans="1:7" x14ac:dyDescent="0.2">
      <c r="A156">
        <v>155</v>
      </c>
      <c r="B156">
        <f>'Four-Weekly Heat &amp; Power Demand'!C165</f>
        <v>0</v>
      </c>
      <c r="C156">
        <f>'Four-Weekly Heat &amp; Power Demand'!D165</f>
        <v>0</v>
      </c>
      <c r="D156">
        <f>'Four-Weekly Heat &amp; Power Demand'!E165</f>
        <v>0</v>
      </c>
      <c r="E156" s="55">
        <f>'Four-Weekly Heat &amp; Power Demand'!O165</f>
        <v>0</v>
      </c>
      <c r="F156" s="55">
        <f>'Four-Weekly Heat &amp; Power Demand'!P165</f>
        <v>0</v>
      </c>
      <c r="G156" s="55">
        <f>'Four-Weekly Heat &amp; Power Demand'!Q165</f>
        <v>0</v>
      </c>
    </row>
    <row r="157" spans="1:7" x14ac:dyDescent="0.2">
      <c r="A157">
        <v>156</v>
      </c>
      <c r="B157">
        <f>'Four-Weekly Heat &amp; Power Demand'!C166</f>
        <v>0</v>
      </c>
      <c r="C157">
        <f>'Four-Weekly Heat &amp; Power Demand'!D166</f>
        <v>0</v>
      </c>
      <c r="D157">
        <f>'Four-Weekly Heat &amp; Power Demand'!E166</f>
        <v>0</v>
      </c>
      <c r="E157" s="55">
        <f>'Four-Weekly Heat &amp; Power Demand'!O166</f>
        <v>0</v>
      </c>
      <c r="F157" s="55">
        <f>'Four-Weekly Heat &amp; Power Demand'!P166</f>
        <v>0</v>
      </c>
      <c r="G157" s="55">
        <f>'Four-Weekly Heat &amp; Power Demand'!Q166</f>
        <v>0</v>
      </c>
    </row>
    <row r="158" spans="1:7" x14ac:dyDescent="0.2">
      <c r="A158">
        <v>157</v>
      </c>
      <c r="B158">
        <f>'Four-Weekly Heat &amp; Power Demand'!C167</f>
        <v>0</v>
      </c>
      <c r="C158">
        <f>'Four-Weekly Heat &amp; Power Demand'!D167</f>
        <v>0</v>
      </c>
      <c r="D158">
        <f>'Four-Weekly Heat &amp; Power Demand'!E167</f>
        <v>0</v>
      </c>
      <c r="E158" s="55">
        <f>'Four-Weekly Heat &amp; Power Demand'!O167</f>
        <v>0</v>
      </c>
      <c r="F158" s="55">
        <f>'Four-Weekly Heat &amp; Power Demand'!P167</f>
        <v>0</v>
      </c>
      <c r="G158" s="55">
        <f>'Four-Weekly Heat &amp; Power Demand'!Q167</f>
        <v>0</v>
      </c>
    </row>
    <row r="159" spans="1:7" x14ac:dyDescent="0.2">
      <c r="A159">
        <v>158</v>
      </c>
      <c r="B159">
        <f>'Four-Weekly Heat &amp; Power Demand'!C168</f>
        <v>0</v>
      </c>
      <c r="C159">
        <f>'Four-Weekly Heat &amp; Power Demand'!D168</f>
        <v>0</v>
      </c>
      <c r="D159">
        <f>'Four-Weekly Heat &amp; Power Demand'!E168</f>
        <v>0</v>
      </c>
      <c r="E159" s="55">
        <f>'Four-Weekly Heat &amp; Power Demand'!O168</f>
        <v>0</v>
      </c>
      <c r="F159" s="55">
        <f>'Four-Weekly Heat &amp; Power Demand'!P168</f>
        <v>0</v>
      </c>
      <c r="G159" s="55">
        <f>'Four-Weekly Heat &amp; Power Demand'!Q168</f>
        <v>0</v>
      </c>
    </row>
    <row r="160" spans="1:7" x14ac:dyDescent="0.2">
      <c r="A160">
        <v>159</v>
      </c>
      <c r="B160">
        <f>'Four-Weekly Heat &amp; Power Demand'!C169</f>
        <v>0</v>
      </c>
      <c r="C160">
        <f>'Four-Weekly Heat &amp; Power Demand'!D169</f>
        <v>0</v>
      </c>
      <c r="D160">
        <f>'Four-Weekly Heat &amp; Power Demand'!E169</f>
        <v>0</v>
      </c>
      <c r="E160" s="55">
        <f>'Four-Weekly Heat &amp; Power Demand'!O169</f>
        <v>0</v>
      </c>
      <c r="F160" s="55">
        <f>'Four-Weekly Heat &amp; Power Demand'!P169</f>
        <v>0</v>
      </c>
      <c r="G160" s="55">
        <f>'Four-Weekly Heat &amp; Power Demand'!Q169</f>
        <v>0</v>
      </c>
    </row>
    <row r="161" spans="1:7" x14ac:dyDescent="0.2">
      <c r="A161">
        <v>160</v>
      </c>
      <c r="B161">
        <f>'Four-Weekly Heat &amp; Power Demand'!C170</f>
        <v>3.4332694957598457</v>
      </c>
      <c r="C161">
        <f>'Four-Weekly Heat &amp; Power Demand'!D170</f>
        <v>1.8717327794185254</v>
      </c>
      <c r="D161">
        <f>'Four-Weekly Heat &amp; Power Demand'!E170</f>
        <v>0.32981104388639787</v>
      </c>
      <c r="E161" s="55">
        <f>'Four-Weekly Heat &amp; Power Demand'!O170</f>
        <v>0.38224352251574223</v>
      </c>
      <c r="F161" s="55">
        <f>'Four-Weekly Heat &amp; Power Demand'!P170</f>
        <v>0.21957685264482196</v>
      </c>
      <c r="G161" s="55">
        <f>'Four-Weekly Heat &amp; Power Demand'!Q170</f>
        <v>4.6321775826741275E-2</v>
      </c>
    </row>
    <row r="162" spans="1:7" x14ac:dyDescent="0.2">
      <c r="A162">
        <v>161</v>
      </c>
      <c r="B162">
        <f>'Four-Weekly Heat &amp; Power Demand'!C171</f>
        <v>3.4332694957598457</v>
      </c>
      <c r="C162">
        <f>'Four-Weekly Heat &amp; Power Demand'!D171</f>
        <v>1.8717327794185254</v>
      </c>
      <c r="D162">
        <f>'Four-Weekly Heat &amp; Power Demand'!E171</f>
        <v>0.32981104388639787</v>
      </c>
      <c r="E162" s="55">
        <f>'Four-Weekly Heat &amp; Power Demand'!O171</f>
        <v>0.38224352251574223</v>
      </c>
      <c r="F162" s="55">
        <f>'Four-Weekly Heat &amp; Power Demand'!P171</f>
        <v>0.21957685264482196</v>
      </c>
      <c r="G162" s="55">
        <f>'Four-Weekly Heat &amp; Power Demand'!Q171</f>
        <v>4.6321775826741275E-2</v>
      </c>
    </row>
    <row r="163" spans="1:7" x14ac:dyDescent="0.2">
      <c r="A163">
        <v>162</v>
      </c>
      <c r="B163">
        <f>'Four-Weekly Heat &amp; Power Demand'!C172</f>
        <v>3.4332694957598457</v>
      </c>
      <c r="C163">
        <f>'Four-Weekly Heat &amp; Power Demand'!D172</f>
        <v>1.8717327794185254</v>
      </c>
      <c r="D163">
        <f>'Four-Weekly Heat &amp; Power Demand'!E172</f>
        <v>0.32981104388639787</v>
      </c>
      <c r="E163" s="55">
        <f>'Four-Weekly Heat &amp; Power Demand'!O172</f>
        <v>0.38224352251574223</v>
      </c>
      <c r="F163" s="55">
        <f>'Four-Weekly Heat &amp; Power Demand'!P172</f>
        <v>0.21957685264482196</v>
      </c>
      <c r="G163" s="55">
        <f>'Four-Weekly Heat &amp; Power Demand'!Q172</f>
        <v>4.6321775826741275E-2</v>
      </c>
    </row>
    <row r="164" spans="1:7" x14ac:dyDescent="0.2">
      <c r="A164">
        <v>163</v>
      </c>
      <c r="B164">
        <f>'Four-Weekly Heat &amp; Power Demand'!C173</f>
        <v>3.4332694957598457</v>
      </c>
      <c r="C164">
        <f>'Four-Weekly Heat &amp; Power Demand'!D173</f>
        <v>1.8717327794185254</v>
      </c>
      <c r="D164">
        <f>'Four-Weekly Heat &amp; Power Demand'!E173</f>
        <v>0.32981104388639787</v>
      </c>
      <c r="E164" s="55">
        <f>'Four-Weekly Heat &amp; Power Demand'!O173</f>
        <v>0.38224352251574223</v>
      </c>
      <c r="F164" s="55">
        <f>'Four-Weekly Heat &amp; Power Demand'!P173</f>
        <v>0.21957685264482196</v>
      </c>
      <c r="G164" s="55">
        <f>'Four-Weekly Heat &amp; Power Demand'!Q173</f>
        <v>4.6321775826741275E-2</v>
      </c>
    </row>
    <row r="165" spans="1:7" x14ac:dyDescent="0.2">
      <c r="A165">
        <v>164</v>
      </c>
      <c r="B165">
        <f>'Four-Weekly Heat &amp; Power Demand'!C174</f>
        <v>3.4332694957598457</v>
      </c>
      <c r="C165">
        <f>'Four-Weekly Heat &amp; Power Demand'!D174</f>
        <v>1.8717327794185254</v>
      </c>
      <c r="D165">
        <f>'Four-Weekly Heat &amp; Power Demand'!E174</f>
        <v>0.32981104388639787</v>
      </c>
      <c r="E165" s="55">
        <f>'Four-Weekly Heat &amp; Power Demand'!O174</f>
        <v>0.38224352251574223</v>
      </c>
      <c r="F165" s="55">
        <f>'Four-Weekly Heat &amp; Power Demand'!P174</f>
        <v>0.21957685264482196</v>
      </c>
      <c r="G165" s="55">
        <f>'Four-Weekly Heat &amp; Power Demand'!Q174</f>
        <v>4.6321775826741275E-2</v>
      </c>
    </row>
    <row r="166" spans="1:7" x14ac:dyDescent="0.2">
      <c r="A166">
        <v>165</v>
      </c>
      <c r="B166">
        <f>'Four-Weekly Heat &amp; Power Demand'!C175</f>
        <v>3.4332694957598457</v>
      </c>
      <c r="C166">
        <f>'Four-Weekly Heat &amp; Power Demand'!D175</f>
        <v>1.8717327794185254</v>
      </c>
      <c r="D166">
        <f>'Four-Weekly Heat &amp; Power Demand'!E175</f>
        <v>0.32981104388639787</v>
      </c>
      <c r="E166" s="55">
        <f>'Four-Weekly Heat &amp; Power Demand'!O175</f>
        <v>0.38224352251574223</v>
      </c>
      <c r="F166" s="55">
        <f>'Four-Weekly Heat &amp; Power Demand'!P175</f>
        <v>0.21957685264482196</v>
      </c>
      <c r="G166" s="55">
        <f>'Four-Weekly Heat &amp; Power Demand'!Q175</f>
        <v>4.6321775826741275E-2</v>
      </c>
    </row>
    <row r="167" spans="1:7" x14ac:dyDescent="0.2">
      <c r="A167">
        <v>166</v>
      </c>
      <c r="B167">
        <f>'Four-Weekly Heat &amp; Power Demand'!C176</f>
        <v>3.4332694957598457</v>
      </c>
      <c r="C167">
        <f>'Four-Weekly Heat &amp; Power Demand'!D176</f>
        <v>1.8717327794185254</v>
      </c>
      <c r="D167">
        <f>'Four-Weekly Heat &amp; Power Demand'!E176</f>
        <v>0.32981104388639787</v>
      </c>
      <c r="E167" s="55">
        <f>'Four-Weekly Heat &amp; Power Demand'!O176</f>
        <v>0.38224352251574223</v>
      </c>
      <c r="F167" s="55">
        <f>'Four-Weekly Heat &amp; Power Demand'!P176</f>
        <v>0.21957685264482196</v>
      </c>
      <c r="G167" s="55">
        <f>'Four-Weekly Heat &amp; Power Demand'!Q176</f>
        <v>4.6321775826741275E-2</v>
      </c>
    </row>
    <row r="168" spans="1:7" x14ac:dyDescent="0.2">
      <c r="A168">
        <v>167</v>
      </c>
      <c r="B168">
        <f>'Four-Weekly Heat &amp; Power Demand'!C177</f>
        <v>0</v>
      </c>
      <c r="C168">
        <f>'Four-Weekly Heat &amp; Power Demand'!D177</f>
        <v>0</v>
      </c>
      <c r="D168">
        <f>'Four-Weekly Heat &amp; Power Demand'!E177</f>
        <v>0</v>
      </c>
      <c r="E168" s="55">
        <f>'Four-Weekly Heat &amp; Power Demand'!O177</f>
        <v>0</v>
      </c>
      <c r="F168" s="55">
        <f>'Four-Weekly Heat &amp; Power Demand'!P177</f>
        <v>0</v>
      </c>
      <c r="G168" s="55">
        <f>'Four-Weekly Heat &amp; Power Demand'!Q177</f>
        <v>0</v>
      </c>
    </row>
    <row r="169" spans="1:7" x14ac:dyDescent="0.2">
      <c r="A169">
        <v>168</v>
      </c>
      <c r="B169">
        <f>'Four-Weekly Heat &amp; Power Demand'!C178</f>
        <v>0</v>
      </c>
      <c r="C169">
        <f>'Four-Weekly Heat &amp; Power Demand'!D178</f>
        <v>0</v>
      </c>
      <c r="D169">
        <f>'Four-Weekly Heat &amp; Power Demand'!E178</f>
        <v>0</v>
      </c>
      <c r="E169" s="55">
        <f>'Four-Weekly Heat &amp; Power Demand'!O178</f>
        <v>0</v>
      </c>
      <c r="F169" s="55">
        <f>'Four-Weekly Heat &amp; Power Demand'!P178</f>
        <v>0</v>
      </c>
      <c r="G169" s="55">
        <f>'Four-Weekly Heat &amp; Power Demand'!Q178</f>
        <v>0</v>
      </c>
    </row>
    <row r="170" spans="1:7" x14ac:dyDescent="0.2">
      <c r="A170">
        <v>169</v>
      </c>
      <c r="B170">
        <f>'Four-Weekly Heat &amp; Power Demand'!C179</f>
        <v>0</v>
      </c>
      <c r="C170">
        <f>'Four-Weekly Heat &amp; Power Demand'!D179</f>
        <v>0</v>
      </c>
      <c r="D170">
        <f>'Four-Weekly Heat &amp; Power Demand'!E179</f>
        <v>0</v>
      </c>
      <c r="E170" s="55">
        <f>'Four-Weekly Heat &amp; Power Demand'!O179</f>
        <v>0</v>
      </c>
      <c r="F170" s="55">
        <f>'Four-Weekly Heat &amp; Power Demand'!P179</f>
        <v>0</v>
      </c>
      <c r="G170" s="55">
        <f>'Four-Weekly Heat &amp; Power Demand'!Q179</f>
        <v>0</v>
      </c>
    </row>
    <row r="171" spans="1:7" x14ac:dyDescent="0.2">
      <c r="A171">
        <v>170</v>
      </c>
      <c r="B171">
        <f>'Four-Weekly Heat &amp; Power Demand'!C180</f>
        <v>0</v>
      </c>
      <c r="C171">
        <f>'Four-Weekly Heat &amp; Power Demand'!D180</f>
        <v>0</v>
      </c>
      <c r="D171">
        <f>'Four-Weekly Heat &amp; Power Demand'!E180</f>
        <v>0</v>
      </c>
      <c r="E171" s="55">
        <f>'Four-Weekly Heat &amp; Power Demand'!O180</f>
        <v>0</v>
      </c>
      <c r="F171" s="55">
        <f>'Four-Weekly Heat &amp; Power Demand'!P180</f>
        <v>0</v>
      </c>
      <c r="G171" s="55">
        <f>'Four-Weekly Heat &amp; Power Demand'!Q180</f>
        <v>0</v>
      </c>
    </row>
    <row r="172" spans="1:7" x14ac:dyDescent="0.2">
      <c r="A172">
        <v>171</v>
      </c>
      <c r="B172">
        <f>'Four-Weekly Heat &amp; Power Demand'!C181</f>
        <v>0</v>
      </c>
      <c r="C172">
        <f>'Four-Weekly Heat &amp; Power Demand'!D181</f>
        <v>0</v>
      </c>
      <c r="D172">
        <f>'Four-Weekly Heat &amp; Power Demand'!E181</f>
        <v>0</v>
      </c>
      <c r="E172" s="55">
        <f>'Four-Weekly Heat &amp; Power Demand'!O181</f>
        <v>0</v>
      </c>
      <c r="F172" s="55">
        <f>'Four-Weekly Heat &amp; Power Demand'!P181</f>
        <v>0</v>
      </c>
      <c r="G172" s="55">
        <f>'Four-Weekly Heat &amp; Power Demand'!Q181</f>
        <v>0</v>
      </c>
    </row>
    <row r="173" spans="1:7" x14ac:dyDescent="0.2">
      <c r="A173">
        <v>172</v>
      </c>
      <c r="B173">
        <f>'Four-Weekly Heat &amp; Power Demand'!C182</f>
        <v>0</v>
      </c>
      <c r="C173">
        <f>'Four-Weekly Heat &amp; Power Demand'!D182</f>
        <v>0</v>
      </c>
      <c r="D173">
        <f>'Four-Weekly Heat &amp; Power Demand'!E182</f>
        <v>0</v>
      </c>
      <c r="E173" s="55">
        <f>'Four-Weekly Heat &amp; Power Demand'!O182</f>
        <v>0</v>
      </c>
      <c r="F173" s="55">
        <f>'Four-Weekly Heat &amp; Power Demand'!P182</f>
        <v>0</v>
      </c>
      <c r="G173" s="55">
        <f>'Four-Weekly Heat &amp; Power Demand'!Q182</f>
        <v>0</v>
      </c>
    </row>
    <row r="174" spans="1:7" x14ac:dyDescent="0.2">
      <c r="A174">
        <v>173</v>
      </c>
      <c r="B174">
        <f>'Four-Weekly Heat &amp; Power Demand'!C183</f>
        <v>0</v>
      </c>
      <c r="C174">
        <f>'Four-Weekly Heat &amp; Power Demand'!D183</f>
        <v>0</v>
      </c>
      <c r="D174">
        <f>'Four-Weekly Heat &amp; Power Demand'!E183</f>
        <v>0</v>
      </c>
      <c r="E174" s="55">
        <f>'Four-Weekly Heat &amp; Power Demand'!O183</f>
        <v>0</v>
      </c>
      <c r="F174" s="55">
        <f>'Four-Weekly Heat &amp; Power Demand'!P183</f>
        <v>0</v>
      </c>
      <c r="G174" s="55">
        <f>'Four-Weekly Heat &amp; Power Demand'!Q183</f>
        <v>0</v>
      </c>
    </row>
    <row r="175" spans="1:7" x14ac:dyDescent="0.2">
      <c r="A175">
        <v>174</v>
      </c>
      <c r="B175">
        <f>'Four-Weekly Heat &amp; Power Demand'!C184</f>
        <v>0</v>
      </c>
      <c r="C175">
        <f>'Four-Weekly Heat &amp; Power Demand'!D184</f>
        <v>0</v>
      </c>
      <c r="D175">
        <f>'Four-Weekly Heat &amp; Power Demand'!E184</f>
        <v>0</v>
      </c>
      <c r="E175" s="55">
        <f>'Four-Weekly Heat &amp; Power Demand'!O184</f>
        <v>0</v>
      </c>
      <c r="F175" s="55">
        <f>'Four-Weekly Heat &amp; Power Demand'!P184</f>
        <v>0</v>
      </c>
      <c r="G175" s="55">
        <f>'Four-Weekly Heat &amp; Power Demand'!Q184</f>
        <v>0</v>
      </c>
    </row>
    <row r="176" spans="1:7" x14ac:dyDescent="0.2">
      <c r="A176">
        <v>175</v>
      </c>
      <c r="B176">
        <f>'Four-Weekly Heat &amp; Power Demand'!C185</f>
        <v>3.4332694957598457</v>
      </c>
      <c r="C176">
        <f>'Four-Weekly Heat &amp; Power Demand'!D185</f>
        <v>1.8717327794185254</v>
      </c>
      <c r="D176">
        <f>'Four-Weekly Heat &amp; Power Demand'!E185</f>
        <v>0.32981104388639787</v>
      </c>
      <c r="E176" s="55">
        <f>'Four-Weekly Heat &amp; Power Demand'!O185</f>
        <v>0.38224352251574223</v>
      </c>
      <c r="F176" s="55">
        <f>'Four-Weekly Heat &amp; Power Demand'!P185</f>
        <v>0.21957685264482196</v>
      </c>
      <c r="G176" s="55">
        <f>'Four-Weekly Heat &amp; Power Demand'!Q185</f>
        <v>4.6321775826741275E-2</v>
      </c>
    </row>
    <row r="177" spans="1:7" x14ac:dyDescent="0.2">
      <c r="A177">
        <v>176</v>
      </c>
      <c r="B177">
        <f>'Four-Weekly Heat &amp; Power Demand'!C186</f>
        <v>3.4332694957598457</v>
      </c>
      <c r="C177">
        <f>'Four-Weekly Heat &amp; Power Demand'!D186</f>
        <v>1.8717327794185254</v>
      </c>
      <c r="D177">
        <f>'Four-Weekly Heat &amp; Power Demand'!E186</f>
        <v>0.32981104388639787</v>
      </c>
      <c r="E177" s="55">
        <f>'Four-Weekly Heat &amp; Power Demand'!O186</f>
        <v>0.38224352251574223</v>
      </c>
      <c r="F177" s="55">
        <f>'Four-Weekly Heat &amp; Power Demand'!P186</f>
        <v>0.21957685264482196</v>
      </c>
      <c r="G177" s="55">
        <f>'Four-Weekly Heat &amp; Power Demand'!Q186</f>
        <v>4.6321775826741275E-2</v>
      </c>
    </row>
    <row r="178" spans="1:7" x14ac:dyDescent="0.2">
      <c r="A178">
        <v>177</v>
      </c>
      <c r="B178">
        <f>'Four-Weekly Heat &amp; Power Demand'!C187</f>
        <v>0</v>
      </c>
      <c r="C178">
        <f>'Four-Weekly Heat &amp; Power Demand'!D187</f>
        <v>0</v>
      </c>
      <c r="D178">
        <f>'Four-Weekly Heat &amp; Power Demand'!E187</f>
        <v>0</v>
      </c>
      <c r="E178" s="55">
        <f>'Four-Weekly Heat &amp; Power Demand'!O187</f>
        <v>0</v>
      </c>
      <c r="F178" s="55">
        <f>'Four-Weekly Heat &amp; Power Demand'!P187</f>
        <v>0</v>
      </c>
      <c r="G178" s="55">
        <f>'Four-Weekly Heat &amp; Power Demand'!Q187</f>
        <v>0</v>
      </c>
    </row>
    <row r="179" spans="1:7" x14ac:dyDescent="0.2">
      <c r="A179">
        <v>178</v>
      </c>
      <c r="B179">
        <f>'Four-Weekly Heat &amp; Power Demand'!C188</f>
        <v>0</v>
      </c>
      <c r="C179">
        <f>'Four-Weekly Heat &amp; Power Demand'!D188</f>
        <v>0</v>
      </c>
      <c r="D179">
        <f>'Four-Weekly Heat &amp; Power Demand'!E188</f>
        <v>0</v>
      </c>
      <c r="E179" s="55">
        <f>'Four-Weekly Heat &amp; Power Demand'!O188</f>
        <v>0</v>
      </c>
      <c r="F179" s="55">
        <f>'Four-Weekly Heat &amp; Power Demand'!P188</f>
        <v>0</v>
      </c>
      <c r="G179" s="55">
        <f>'Four-Weekly Heat &amp; Power Demand'!Q188</f>
        <v>0</v>
      </c>
    </row>
    <row r="180" spans="1:7" x14ac:dyDescent="0.2">
      <c r="A180">
        <v>179</v>
      </c>
      <c r="B180">
        <f>'Four-Weekly Heat &amp; Power Demand'!C189</f>
        <v>0</v>
      </c>
      <c r="C180">
        <f>'Four-Weekly Heat &amp; Power Demand'!D189</f>
        <v>0</v>
      </c>
      <c r="D180">
        <f>'Four-Weekly Heat &amp; Power Demand'!E189</f>
        <v>0</v>
      </c>
      <c r="E180" s="55">
        <f>'Four-Weekly Heat &amp; Power Demand'!O189</f>
        <v>0</v>
      </c>
      <c r="F180" s="55">
        <f>'Four-Weekly Heat &amp; Power Demand'!P189</f>
        <v>0</v>
      </c>
      <c r="G180" s="55">
        <f>'Four-Weekly Heat &amp; Power Demand'!Q189</f>
        <v>0</v>
      </c>
    </row>
    <row r="181" spans="1:7" x14ac:dyDescent="0.2">
      <c r="A181">
        <v>180</v>
      </c>
      <c r="B181">
        <f>'Four-Weekly Heat &amp; Power Demand'!C190</f>
        <v>0</v>
      </c>
      <c r="C181">
        <f>'Four-Weekly Heat &amp; Power Demand'!D190</f>
        <v>0</v>
      </c>
      <c r="D181">
        <f>'Four-Weekly Heat &amp; Power Demand'!E190</f>
        <v>0</v>
      </c>
      <c r="E181" s="55">
        <f>'Four-Weekly Heat &amp; Power Demand'!O190</f>
        <v>0</v>
      </c>
      <c r="F181" s="55">
        <f>'Four-Weekly Heat &amp; Power Demand'!P190</f>
        <v>0</v>
      </c>
      <c r="G181" s="55">
        <f>'Four-Weekly Heat &amp; Power Demand'!Q190</f>
        <v>0</v>
      </c>
    </row>
    <row r="182" spans="1:7" x14ac:dyDescent="0.2">
      <c r="A182">
        <v>181</v>
      </c>
      <c r="B182">
        <f>'Four-Weekly Heat &amp; Power Demand'!C191</f>
        <v>0</v>
      </c>
      <c r="C182">
        <f>'Four-Weekly Heat &amp; Power Demand'!D191</f>
        <v>0</v>
      </c>
      <c r="D182">
        <f>'Four-Weekly Heat &amp; Power Demand'!E191</f>
        <v>0</v>
      </c>
      <c r="E182" s="55">
        <f>'Four-Weekly Heat &amp; Power Demand'!O191</f>
        <v>0</v>
      </c>
      <c r="F182" s="55">
        <f>'Four-Weekly Heat &amp; Power Demand'!P191</f>
        <v>0</v>
      </c>
      <c r="G182" s="55">
        <f>'Four-Weekly Heat &amp; Power Demand'!Q191</f>
        <v>0</v>
      </c>
    </row>
    <row r="183" spans="1:7" x14ac:dyDescent="0.2">
      <c r="A183">
        <v>182</v>
      </c>
      <c r="B183">
        <f>'Four-Weekly Heat &amp; Power Demand'!C192</f>
        <v>0</v>
      </c>
      <c r="C183">
        <f>'Four-Weekly Heat &amp; Power Demand'!D192</f>
        <v>0</v>
      </c>
      <c r="D183">
        <f>'Four-Weekly Heat &amp; Power Demand'!E192</f>
        <v>0</v>
      </c>
      <c r="E183" s="55">
        <f>'Four-Weekly Heat &amp; Power Demand'!O192</f>
        <v>0</v>
      </c>
      <c r="F183" s="55">
        <f>'Four-Weekly Heat &amp; Power Demand'!P192</f>
        <v>0</v>
      </c>
      <c r="G183" s="55">
        <f>'Four-Weekly Heat &amp; Power Demand'!Q192</f>
        <v>0</v>
      </c>
    </row>
    <row r="184" spans="1:7" x14ac:dyDescent="0.2">
      <c r="A184">
        <v>183</v>
      </c>
      <c r="B184">
        <f>'Four-Weekly Heat &amp; Power Demand'!C193</f>
        <v>0</v>
      </c>
      <c r="C184">
        <f>'Four-Weekly Heat &amp; Power Demand'!D193</f>
        <v>0</v>
      </c>
      <c r="D184">
        <f>'Four-Weekly Heat &amp; Power Demand'!E193</f>
        <v>0</v>
      </c>
      <c r="E184" s="55">
        <f>'Four-Weekly Heat &amp; Power Demand'!O193</f>
        <v>0</v>
      </c>
      <c r="F184" s="55">
        <f>'Four-Weekly Heat &amp; Power Demand'!P193</f>
        <v>0</v>
      </c>
      <c r="G184" s="55">
        <f>'Four-Weekly Heat &amp; Power Demand'!Q193</f>
        <v>0</v>
      </c>
    </row>
    <row r="185" spans="1:7" x14ac:dyDescent="0.2">
      <c r="A185">
        <v>184</v>
      </c>
      <c r="B185">
        <f>'Four-Weekly Heat &amp; Power Demand'!C194</f>
        <v>3.4332694957598457</v>
      </c>
      <c r="C185">
        <f>'Four-Weekly Heat &amp; Power Demand'!D194</f>
        <v>1.8717327794185254</v>
      </c>
      <c r="D185">
        <f>'Four-Weekly Heat &amp; Power Demand'!E194</f>
        <v>0.32981104388639787</v>
      </c>
      <c r="E185" s="55">
        <f>'Four-Weekly Heat &amp; Power Demand'!O194</f>
        <v>0.38224352251574223</v>
      </c>
      <c r="F185" s="55">
        <f>'Four-Weekly Heat &amp; Power Demand'!P194</f>
        <v>0.21957685264482196</v>
      </c>
      <c r="G185" s="55">
        <f>'Four-Weekly Heat &amp; Power Demand'!Q194</f>
        <v>4.6321775826741275E-2</v>
      </c>
    </row>
    <row r="186" spans="1:7" x14ac:dyDescent="0.2">
      <c r="A186">
        <v>185</v>
      </c>
      <c r="B186">
        <f>'Four-Weekly Heat &amp; Power Demand'!C195</f>
        <v>3.4332694957598457</v>
      </c>
      <c r="C186">
        <f>'Four-Weekly Heat &amp; Power Demand'!D195</f>
        <v>1.8717327794185254</v>
      </c>
      <c r="D186">
        <f>'Four-Weekly Heat &amp; Power Demand'!E195</f>
        <v>0.32981104388639787</v>
      </c>
      <c r="E186" s="55">
        <f>'Four-Weekly Heat &amp; Power Demand'!O195</f>
        <v>0.38224352251574223</v>
      </c>
      <c r="F186" s="55">
        <f>'Four-Weekly Heat &amp; Power Demand'!P195</f>
        <v>0.21957685264482196</v>
      </c>
      <c r="G186" s="55">
        <f>'Four-Weekly Heat &amp; Power Demand'!Q195</f>
        <v>4.6321775826741275E-2</v>
      </c>
    </row>
    <row r="187" spans="1:7" x14ac:dyDescent="0.2">
      <c r="A187">
        <v>186</v>
      </c>
      <c r="B187">
        <f>'Four-Weekly Heat &amp; Power Demand'!C196</f>
        <v>3.4332694957598457</v>
      </c>
      <c r="C187">
        <f>'Four-Weekly Heat &amp; Power Demand'!D196</f>
        <v>1.8717327794185254</v>
      </c>
      <c r="D187">
        <f>'Four-Weekly Heat &amp; Power Demand'!E196</f>
        <v>0.32981104388639787</v>
      </c>
      <c r="E187" s="55">
        <f>'Four-Weekly Heat &amp; Power Demand'!O196</f>
        <v>0.38224352251574223</v>
      </c>
      <c r="F187" s="55">
        <f>'Four-Weekly Heat &amp; Power Demand'!P196</f>
        <v>0.21957685264482196</v>
      </c>
      <c r="G187" s="55">
        <f>'Four-Weekly Heat &amp; Power Demand'!Q196</f>
        <v>4.6321775826741275E-2</v>
      </c>
    </row>
    <row r="188" spans="1:7" x14ac:dyDescent="0.2">
      <c r="A188">
        <v>187</v>
      </c>
      <c r="B188">
        <f>'Four-Weekly Heat &amp; Power Demand'!C197</f>
        <v>3.4332694957598457</v>
      </c>
      <c r="C188">
        <f>'Four-Weekly Heat &amp; Power Demand'!D197</f>
        <v>1.8717327794185254</v>
      </c>
      <c r="D188">
        <f>'Four-Weekly Heat &amp; Power Demand'!E197</f>
        <v>0.32981104388639787</v>
      </c>
      <c r="E188" s="55">
        <f>'Four-Weekly Heat &amp; Power Demand'!O197</f>
        <v>0.38224352251574223</v>
      </c>
      <c r="F188" s="55">
        <f>'Four-Weekly Heat &amp; Power Demand'!P197</f>
        <v>0.21957685264482196</v>
      </c>
      <c r="G188" s="55">
        <f>'Four-Weekly Heat &amp; Power Demand'!Q197</f>
        <v>4.6321775826741275E-2</v>
      </c>
    </row>
    <row r="189" spans="1:7" x14ac:dyDescent="0.2">
      <c r="A189">
        <v>188</v>
      </c>
      <c r="B189">
        <f>'Four-Weekly Heat &amp; Power Demand'!C198</f>
        <v>3.4332694957598457</v>
      </c>
      <c r="C189">
        <f>'Four-Weekly Heat &amp; Power Demand'!D198</f>
        <v>1.8717327794185254</v>
      </c>
      <c r="D189">
        <f>'Four-Weekly Heat &amp; Power Demand'!E198</f>
        <v>0.32981104388639787</v>
      </c>
      <c r="E189" s="55">
        <f>'Four-Weekly Heat &amp; Power Demand'!O198</f>
        <v>0.38224352251574223</v>
      </c>
      <c r="F189" s="55">
        <f>'Four-Weekly Heat &amp; Power Demand'!P198</f>
        <v>0.21957685264482196</v>
      </c>
      <c r="G189" s="55">
        <f>'Four-Weekly Heat &amp; Power Demand'!Q198</f>
        <v>4.6321775826741275E-2</v>
      </c>
    </row>
    <row r="190" spans="1:7" x14ac:dyDescent="0.2">
      <c r="A190">
        <v>189</v>
      </c>
      <c r="B190">
        <f>'Four-Weekly Heat &amp; Power Demand'!C199</f>
        <v>3.4332694957598457</v>
      </c>
      <c r="C190">
        <f>'Four-Weekly Heat &amp; Power Demand'!D199</f>
        <v>1.8717327794185254</v>
      </c>
      <c r="D190">
        <f>'Four-Weekly Heat &amp; Power Demand'!E199</f>
        <v>0.32981104388639787</v>
      </c>
      <c r="E190" s="55">
        <f>'Four-Weekly Heat &amp; Power Demand'!O199</f>
        <v>0.38224352251574223</v>
      </c>
      <c r="F190" s="55">
        <f>'Four-Weekly Heat &amp; Power Demand'!P199</f>
        <v>0.21957685264482196</v>
      </c>
      <c r="G190" s="55">
        <f>'Four-Weekly Heat &amp; Power Demand'!Q199</f>
        <v>4.6321775826741275E-2</v>
      </c>
    </row>
    <row r="191" spans="1:7" x14ac:dyDescent="0.2">
      <c r="A191">
        <v>190</v>
      </c>
      <c r="B191">
        <f>'Four-Weekly Heat &amp; Power Demand'!C200</f>
        <v>3.4332694957598457</v>
      </c>
      <c r="C191">
        <f>'Four-Weekly Heat &amp; Power Demand'!D200</f>
        <v>1.8717327794185254</v>
      </c>
      <c r="D191">
        <f>'Four-Weekly Heat &amp; Power Demand'!E200</f>
        <v>0.32981104388639787</v>
      </c>
      <c r="E191" s="55">
        <f>'Four-Weekly Heat &amp; Power Demand'!O200</f>
        <v>0.38224352251574223</v>
      </c>
      <c r="F191" s="55">
        <f>'Four-Weekly Heat &amp; Power Demand'!P200</f>
        <v>0.21957685264482196</v>
      </c>
      <c r="G191" s="55">
        <f>'Four-Weekly Heat &amp; Power Demand'!Q200</f>
        <v>4.6321775826741275E-2</v>
      </c>
    </row>
    <row r="192" spans="1:7" x14ac:dyDescent="0.2">
      <c r="A192">
        <v>191</v>
      </c>
      <c r="B192">
        <f>'Four-Weekly Heat &amp; Power Demand'!C201</f>
        <v>0</v>
      </c>
      <c r="C192">
        <f>'Four-Weekly Heat &amp; Power Demand'!D201</f>
        <v>0</v>
      </c>
      <c r="D192">
        <f>'Four-Weekly Heat &amp; Power Demand'!E201</f>
        <v>0</v>
      </c>
      <c r="E192" s="55">
        <f>'Four-Weekly Heat &amp; Power Demand'!O201</f>
        <v>0</v>
      </c>
      <c r="F192" s="55">
        <f>'Four-Weekly Heat &amp; Power Demand'!P201</f>
        <v>0</v>
      </c>
      <c r="G192" s="55">
        <f>'Four-Weekly Heat &amp; Power Demand'!Q201</f>
        <v>0</v>
      </c>
    </row>
    <row r="193" spans="1:7" x14ac:dyDescent="0.2">
      <c r="A193">
        <v>192</v>
      </c>
      <c r="B193">
        <f>'Four-Weekly Heat &amp; Power Demand'!C202</f>
        <v>0</v>
      </c>
      <c r="C193">
        <f>'Four-Weekly Heat &amp; Power Demand'!D202</f>
        <v>0</v>
      </c>
      <c r="D193">
        <f>'Four-Weekly Heat &amp; Power Demand'!E202</f>
        <v>0</v>
      </c>
      <c r="E193" s="55">
        <f>'Four-Weekly Heat &amp; Power Demand'!O202</f>
        <v>0</v>
      </c>
      <c r="F193" s="55">
        <f>'Four-Weekly Heat &amp; Power Demand'!P202</f>
        <v>0</v>
      </c>
      <c r="G193" s="55">
        <f>'Four-Weekly Heat &amp; Power Demand'!Q202</f>
        <v>0</v>
      </c>
    </row>
    <row r="194" spans="1:7" x14ac:dyDescent="0.2">
      <c r="A194">
        <v>193</v>
      </c>
      <c r="B194">
        <f>'Four-Weekly Heat &amp; Power Demand'!C203</f>
        <v>0</v>
      </c>
      <c r="C194">
        <f>'Four-Weekly Heat &amp; Power Demand'!D203</f>
        <v>0</v>
      </c>
      <c r="D194">
        <f>'Four-Weekly Heat &amp; Power Demand'!E203</f>
        <v>0</v>
      </c>
      <c r="E194" s="55">
        <f>'Four-Weekly Heat &amp; Power Demand'!O203</f>
        <v>0</v>
      </c>
      <c r="F194" s="55">
        <f>'Four-Weekly Heat &amp; Power Demand'!P203</f>
        <v>0</v>
      </c>
      <c r="G194" s="55">
        <f>'Four-Weekly Heat &amp; Power Demand'!Q203</f>
        <v>0</v>
      </c>
    </row>
    <row r="195" spans="1:7" x14ac:dyDescent="0.2">
      <c r="A195">
        <v>194</v>
      </c>
      <c r="B195">
        <f>'Four-Weekly Heat &amp; Power Demand'!C204</f>
        <v>0</v>
      </c>
      <c r="C195">
        <f>'Four-Weekly Heat &amp; Power Demand'!D204</f>
        <v>0</v>
      </c>
      <c r="D195">
        <f>'Four-Weekly Heat &amp; Power Demand'!E204</f>
        <v>0</v>
      </c>
      <c r="E195" s="55">
        <f>'Four-Weekly Heat &amp; Power Demand'!O204</f>
        <v>0</v>
      </c>
      <c r="F195" s="55">
        <f>'Four-Weekly Heat &amp; Power Demand'!P204</f>
        <v>0</v>
      </c>
      <c r="G195" s="55">
        <f>'Four-Weekly Heat &amp; Power Demand'!Q204</f>
        <v>0</v>
      </c>
    </row>
    <row r="196" spans="1:7" x14ac:dyDescent="0.2">
      <c r="A196">
        <v>195</v>
      </c>
      <c r="B196">
        <f>'Four-Weekly Heat &amp; Power Demand'!C205</f>
        <v>0</v>
      </c>
      <c r="C196">
        <f>'Four-Weekly Heat &amp; Power Demand'!D205</f>
        <v>0</v>
      </c>
      <c r="D196">
        <f>'Four-Weekly Heat &amp; Power Demand'!E205</f>
        <v>0</v>
      </c>
      <c r="E196" s="55">
        <f>'Four-Weekly Heat &amp; Power Demand'!O205</f>
        <v>0</v>
      </c>
      <c r="F196" s="55">
        <f>'Four-Weekly Heat &amp; Power Demand'!P205</f>
        <v>0</v>
      </c>
      <c r="G196" s="55">
        <f>'Four-Weekly Heat &amp; Power Demand'!Q205</f>
        <v>0</v>
      </c>
    </row>
    <row r="197" spans="1:7" x14ac:dyDescent="0.2">
      <c r="A197">
        <v>196</v>
      </c>
      <c r="B197">
        <f>'Four-Weekly Heat &amp; Power Demand'!C206</f>
        <v>0</v>
      </c>
      <c r="C197">
        <f>'Four-Weekly Heat &amp; Power Demand'!D206</f>
        <v>0</v>
      </c>
      <c r="D197">
        <f>'Four-Weekly Heat &amp; Power Demand'!E206</f>
        <v>0</v>
      </c>
      <c r="E197" s="55">
        <f>'Four-Weekly Heat &amp; Power Demand'!O206</f>
        <v>0</v>
      </c>
      <c r="F197" s="55">
        <f>'Four-Weekly Heat &amp; Power Demand'!P206</f>
        <v>0</v>
      </c>
      <c r="G197" s="55">
        <f>'Four-Weekly Heat &amp; Power Demand'!Q206</f>
        <v>0</v>
      </c>
    </row>
    <row r="198" spans="1:7" x14ac:dyDescent="0.2">
      <c r="A198">
        <v>197</v>
      </c>
      <c r="B198">
        <f>'Four-Weekly Heat &amp; Power Demand'!C207</f>
        <v>0</v>
      </c>
      <c r="C198">
        <f>'Four-Weekly Heat &amp; Power Demand'!D207</f>
        <v>0</v>
      </c>
      <c r="D198">
        <f>'Four-Weekly Heat &amp; Power Demand'!E207</f>
        <v>0</v>
      </c>
      <c r="E198" s="55">
        <f>'Four-Weekly Heat &amp; Power Demand'!O207</f>
        <v>0</v>
      </c>
      <c r="F198" s="55">
        <f>'Four-Weekly Heat &amp; Power Demand'!P207</f>
        <v>0</v>
      </c>
      <c r="G198" s="55">
        <f>'Four-Weekly Heat &amp; Power Demand'!Q207</f>
        <v>0</v>
      </c>
    </row>
    <row r="199" spans="1:7" x14ac:dyDescent="0.2">
      <c r="A199">
        <v>198</v>
      </c>
      <c r="B199">
        <f>'Four-Weekly Heat &amp; Power Demand'!C208</f>
        <v>0</v>
      </c>
      <c r="C199">
        <f>'Four-Weekly Heat &amp; Power Demand'!D208</f>
        <v>0</v>
      </c>
      <c r="D199">
        <f>'Four-Weekly Heat &amp; Power Demand'!E208</f>
        <v>0</v>
      </c>
      <c r="E199" s="55">
        <f>'Four-Weekly Heat &amp; Power Demand'!O208</f>
        <v>0</v>
      </c>
      <c r="F199" s="55">
        <f>'Four-Weekly Heat &amp; Power Demand'!P208</f>
        <v>0</v>
      </c>
      <c r="G199" s="55">
        <f>'Four-Weekly Heat &amp; Power Demand'!Q208</f>
        <v>0</v>
      </c>
    </row>
    <row r="200" spans="1:7" x14ac:dyDescent="0.2">
      <c r="A200">
        <v>199</v>
      </c>
      <c r="B200">
        <f>'Four-Weekly Heat &amp; Power Demand'!C209</f>
        <v>3.4332694957598457</v>
      </c>
      <c r="C200">
        <f>'Four-Weekly Heat &amp; Power Demand'!D209</f>
        <v>1.8717327794185254</v>
      </c>
      <c r="D200">
        <f>'Four-Weekly Heat &amp; Power Demand'!E209</f>
        <v>0.32981104388639787</v>
      </c>
      <c r="E200" s="55">
        <f>'Four-Weekly Heat &amp; Power Demand'!O209</f>
        <v>0.38224352251574223</v>
      </c>
      <c r="F200" s="55">
        <f>'Four-Weekly Heat &amp; Power Demand'!P209</f>
        <v>0.21957685264482196</v>
      </c>
      <c r="G200" s="55">
        <f>'Four-Weekly Heat &amp; Power Demand'!Q209</f>
        <v>4.6321775826741275E-2</v>
      </c>
    </row>
    <row r="201" spans="1:7" x14ac:dyDescent="0.2">
      <c r="A201">
        <v>200</v>
      </c>
      <c r="B201">
        <f>'Four-Weekly Heat &amp; Power Demand'!C210</f>
        <v>3.4332694957598457</v>
      </c>
      <c r="C201">
        <f>'Four-Weekly Heat &amp; Power Demand'!D210</f>
        <v>1.8717327794185254</v>
      </c>
      <c r="D201">
        <f>'Four-Weekly Heat &amp; Power Demand'!E210</f>
        <v>0.32981104388639787</v>
      </c>
      <c r="E201" s="55">
        <f>'Four-Weekly Heat &amp; Power Demand'!O210</f>
        <v>0.38224352251574223</v>
      </c>
      <c r="F201" s="55">
        <f>'Four-Weekly Heat &amp; Power Demand'!P210</f>
        <v>0.21957685264482196</v>
      </c>
      <c r="G201" s="55">
        <f>'Four-Weekly Heat &amp; Power Demand'!Q210</f>
        <v>4.6321775826741275E-2</v>
      </c>
    </row>
    <row r="202" spans="1:7" x14ac:dyDescent="0.2">
      <c r="A202">
        <v>201</v>
      </c>
      <c r="B202">
        <f>'Four-Weekly Heat &amp; Power Demand'!C211</f>
        <v>0</v>
      </c>
      <c r="C202">
        <f>'Four-Weekly Heat &amp; Power Demand'!D211</f>
        <v>0</v>
      </c>
      <c r="D202">
        <f>'Four-Weekly Heat &amp; Power Demand'!E211</f>
        <v>0</v>
      </c>
      <c r="E202" s="55">
        <f>'Four-Weekly Heat &amp; Power Demand'!O211</f>
        <v>0</v>
      </c>
      <c r="F202" s="55">
        <f>'Four-Weekly Heat &amp; Power Demand'!P211</f>
        <v>0</v>
      </c>
      <c r="G202" s="55">
        <f>'Four-Weekly Heat &amp; Power Demand'!Q211</f>
        <v>0</v>
      </c>
    </row>
    <row r="203" spans="1:7" x14ac:dyDescent="0.2">
      <c r="A203">
        <v>202</v>
      </c>
      <c r="B203">
        <f>'Four-Weekly Heat &amp; Power Demand'!C212</f>
        <v>0</v>
      </c>
      <c r="C203">
        <f>'Four-Weekly Heat &amp; Power Demand'!D212</f>
        <v>0</v>
      </c>
      <c r="D203">
        <f>'Four-Weekly Heat &amp; Power Demand'!E212</f>
        <v>0</v>
      </c>
      <c r="E203" s="55">
        <f>'Four-Weekly Heat &amp; Power Demand'!O212</f>
        <v>0</v>
      </c>
      <c r="F203" s="55">
        <f>'Four-Weekly Heat &amp; Power Demand'!P212</f>
        <v>0</v>
      </c>
      <c r="G203" s="55">
        <f>'Four-Weekly Heat &amp; Power Demand'!Q212</f>
        <v>0</v>
      </c>
    </row>
    <row r="204" spans="1:7" x14ac:dyDescent="0.2">
      <c r="A204">
        <v>203</v>
      </c>
      <c r="B204">
        <f>'Four-Weekly Heat &amp; Power Demand'!C213</f>
        <v>0</v>
      </c>
      <c r="C204">
        <f>'Four-Weekly Heat &amp; Power Demand'!D213</f>
        <v>0</v>
      </c>
      <c r="D204">
        <f>'Four-Weekly Heat &amp; Power Demand'!E213</f>
        <v>0</v>
      </c>
      <c r="E204" s="55">
        <f>'Four-Weekly Heat &amp; Power Demand'!O213</f>
        <v>0</v>
      </c>
      <c r="F204" s="55">
        <f>'Four-Weekly Heat &amp; Power Demand'!P213</f>
        <v>0</v>
      </c>
      <c r="G204" s="55">
        <f>'Four-Weekly Heat &amp; Power Demand'!Q213</f>
        <v>0</v>
      </c>
    </row>
    <row r="205" spans="1:7" x14ac:dyDescent="0.2">
      <c r="A205">
        <v>204</v>
      </c>
      <c r="B205">
        <f>'Four-Weekly Heat &amp; Power Demand'!C214</f>
        <v>0</v>
      </c>
      <c r="C205">
        <f>'Four-Weekly Heat &amp; Power Demand'!D214</f>
        <v>0</v>
      </c>
      <c r="D205">
        <f>'Four-Weekly Heat &amp; Power Demand'!E214</f>
        <v>0</v>
      </c>
      <c r="E205" s="55">
        <f>'Four-Weekly Heat &amp; Power Demand'!O214</f>
        <v>0</v>
      </c>
      <c r="F205" s="55">
        <f>'Four-Weekly Heat &amp; Power Demand'!P214</f>
        <v>0</v>
      </c>
      <c r="G205" s="55">
        <f>'Four-Weekly Heat &amp; Power Demand'!Q214</f>
        <v>0</v>
      </c>
    </row>
    <row r="206" spans="1:7" x14ac:dyDescent="0.2">
      <c r="A206">
        <v>205</v>
      </c>
      <c r="B206">
        <f>'Four-Weekly Heat &amp; Power Demand'!C215</f>
        <v>0</v>
      </c>
      <c r="C206">
        <f>'Four-Weekly Heat &amp; Power Demand'!D215</f>
        <v>0</v>
      </c>
      <c r="D206">
        <f>'Four-Weekly Heat &amp; Power Demand'!E215</f>
        <v>0</v>
      </c>
      <c r="E206" s="55">
        <f>'Four-Weekly Heat &amp; Power Demand'!O215</f>
        <v>0</v>
      </c>
      <c r="F206" s="55">
        <f>'Four-Weekly Heat &amp; Power Demand'!P215</f>
        <v>0</v>
      </c>
      <c r="G206" s="55">
        <f>'Four-Weekly Heat &amp; Power Demand'!Q215</f>
        <v>0</v>
      </c>
    </row>
    <row r="207" spans="1:7" x14ac:dyDescent="0.2">
      <c r="A207">
        <v>206</v>
      </c>
      <c r="B207">
        <f>'Four-Weekly Heat &amp; Power Demand'!C216</f>
        <v>0</v>
      </c>
      <c r="C207">
        <f>'Four-Weekly Heat &amp; Power Demand'!D216</f>
        <v>0</v>
      </c>
      <c r="D207">
        <f>'Four-Weekly Heat &amp; Power Demand'!E216</f>
        <v>0</v>
      </c>
      <c r="E207" s="55">
        <f>'Four-Weekly Heat &amp; Power Demand'!O216</f>
        <v>0</v>
      </c>
      <c r="F207" s="55">
        <f>'Four-Weekly Heat &amp; Power Demand'!P216</f>
        <v>0</v>
      </c>
      <c r="G207" s="55">
        <f>'Four-Weekly Heat &amp; Power Demand'!Q216</f>
        <v>0</v>
      </c>
    </row>
    <row r="208" spans="1:7" x14ac:dyDescent="0.2">
      <c r="A208">
        <v>207</v>
      </c>
      <c r="B208">
        <f>'Four-Weekly Heat &amp; Power Demand'!C217</f>
        <v>0</v>
      </c>
      <c r="C208">
        <f>'Four-Weekly Heat &amp; Power Demand'!D217</f>
        <v>0</v>
      </c>
      <c r="D208">
        <f>'Four-Weekly Heat &amp; Power Demand'!E217</f>
        <v>0</v>
      </c>
      <c r="E208" s="55">
        <f>'Four-Weekly Heat &amp; Power Demand'!O217</f>
        <v>0</v>
      </c>
      <c r="F208" s="55">
        <f>'Four-Weekly Heat &amp; Power Demand'!P217</f>
        <v>0</v>
      </c>
      <c r="G208" s="55">
        <f>'Four-Weekly Heat &amp; Power Demand'!Q217</f>
        <v>0</v>
      </c>
    </row>
    <row r="209" spans="1:7" x14ac:dyDescent="0.2">
      <c r="A209">
        <v>208</v>
      </c>
      <c r="B209">
        <f>'Four-Weekly Heat &amp; Power Demand'!C218</f>
        <v>3.4332694957598457</v>
      </c>
      <c r="C209">
        <f>'Four-Weekly Heat &amp; Power Demand'!D218</f>
        <v>1.8717327794185254</v>
      </c>
      <c r="D209">
        <f>'Four-Weekly Heat &amp; Power Demand'!E218</f>
        <v>0.32981104388639787</v>
      </c>
      <c r="E209" s="55">
        <f>'Four-Weekly Heat &amp; Power Demand'!O218</f>
        <v>0.38224352251574223</v>
      </c>
      <c r="F209" s="55">
        <f>'Four-Weekly Heat &amp; Power Demand'!P218</f>
        <v>0.21957685264482196</v>
      </c>
      <c r="G209" s="55">
        <f>'Four-Weekly Heat &amp; Power Demand'!Q218</f>
        <v>4.6321775826741275E-2</v>
      </c>
    </row>
    <row r="210" spans="1:7" x14ac:dyDescent="0.2">
      <c r="A210">
        <v>209</v>
      </c>
      <c r="B210">
        <f>'Four-Weekly Heat &amp; Power Demand'!C219</f>
        <v>3.4332694957598457</v>
      </c>
      <c r="C210">
        <f>'Four-Weekly Heat &amp; Power Demand'!D219</f>
        <v>1.8717327794185254</v>
      </c>
      <c r="D210">
        <f>'Four-Weekly Heat &amp; Power Demand'!E219</f>
        <v>0.32981104388639787</v>
      </c>
      <c r="E210" s="55">
        <f>'Four-Weekly Heat &amp; Power Demand'!O219</f>
        <v>0.38224352251574223</v>
      </c>
      <c r="F210" s="55">
        <f>'Four-Weekly Heat &amp; Power Demand'!P219</f>
        <v>0.21957685264482196</v>
      </c>
      <c r="G210" s="55">
        <f>'Four-Weekly Heat &amp; Power Demand'!Q219</f>
        <v>4.6321775826741275E-2</v>
      </c>
    </row>
    <row r="211" spans="1:7" x14ac:dyDescent="0.2">
      <c r="A211">
        <v>210</v>
      </c>
      <c r="B211">
        <f>'Four-Weekly Heat &amp; Power Demand'!C220</f>
        <v>3.4332694957598457</v>
      </c>
      <c r="C211">
        <f>'Four-Weekly Heat &amp; Power Demand'!D220</f>
        <v>1.8717327794185254</v>
      </c>
      <c r="D211">
        <f>'Four-Weekly Heat &amp; Power Demand'!E220</f>
        <v>0.32981104388639787</v>
      </c>
      <c r="E211" s="55">
        <f>'Four-Weekly Heat &amp; Power Demand'!O220</f>
        <v>0.38224352251574223</v>
      </c>
      <c r="F211" s="55">
        <f>'Four-Weekly Heat &amp; Power Demand'!P220</f>
        <v>0.21957685264482196</v>
      </c>
      <c r="G211" s="55">
        <f>'Four-Weekly Heat &amp; Power Demand'!Q220</f>
        <v>4.6321775826741275E-2</v>
      </c>
    </row>
    <row r="212" spans="1:7" x14ac:dyDescent="0.2">
      <c r="A212">
        <v>211</v>
      </c>
      <c r="B212">
        <f>'Four-Weekly Heat &amp; Power Demand'!C221</f>
        <v>3.4332694957598457</v>
      </c>
      <c r="C212">
        <f>'Four-Weekly Heat &amp; Power Demand'!D221</f>
        <v>1.8717327794185254</v>
      </c>
      <c r="D212">
        <f>'Four-Weekly Heat &amp; Power Demand'!E221</f>
        <v>0.32981104388639787</v>
      </c>
      <c r="E212" s="55">
        <f>'Four-Weekly Heat &amp; Power Demand'!O221</f>
        <v>0.38224352251574223</v>
      </c>
      <c r="F212" s="55">
        <f>'Four-Weekly Heat &amp; Power Demand'!P221</f>
        <v>0.21957685264482196</v>
      </c>
      <c r="G212" s="55">
        <f>'Four-Weekly Heat &amp; Power Demand'!Q221</f>
        <v>4.6321775826741275E-2</v>
      </c>
    </row>
    <row r="213" spans="1:7" x14ac:dyDescent="0.2">
      <c r="A213">
        <v>212</v>
      </c>
      <c r="B213">
        <f>'Four-Weekly Heat &amp; Power Demand'!C222</f>
        <v>3.4332694957598457</v>
      </c>
      <c r="C213">
        <f>'Four-Weekly Heat &amp; Power Demand'!D222</f>
        <v>1.8717327794185254</v>
      </c>
      <c r="D213">
        <f>'Four-Weekly Heat &amp; Power Demand'!E222</f>
        <v>0.32981104388639787</v>
      </c>
      <c r="E213" s="55">
        <f>'Four-Weekly Heat &amp; Power Demand'!O222</f>
        <v>0.38224352251574223</v>
      </c>
      <c r="F213" s="55">
        <f>'Four-Weekly Heat &amp; Power Demand'!P222</f>
        <v>0.21957685264482196</v>
      </c>
      <c r="G213" s="55">
        <f>'Four-Weekly Heat &amp; Power Demand'!Q222</f>
        <v>4.6321775826741275E-2</v>
      </c>
    </row>
    <row r="214" spans="1:7" x14ac:dyDescent="0.2">
      <c r="A214">
        <v>213</v>
      </c>
      <c r="B214">
        <f>'Four-Weekly Heat &amp; Power Demand'!C223</f>
        <v>3.4332694957598457</v>
      </c>
      <c r="C214">
        <f>'Four-Weekly Heat &amp; Power Demand'!D223</f>
        <v>1.8717327794185254</v>
      </c>
      <c r="D214">
        <f>'Four-Weekly Heat &amp; Power Demand'!E223</f>
        <v>0.32981104388639787</v>
      </c>
      <c r="E214" s="55">
        <f>'Four-Weekly Heat &amp; Power Demand'!O223</f>
        <v>0.38224352251574223</v>
      </c>
      <c r="F214" s="55">
        <f>'Four-Weekly Heat &amp; Power Demand'!P223</f>
        <v>0.21957685264482196</v>
      </c>
      <c r="G214" s="55">
        <f>'Four-Weekly Heat &amp; Power Demand'!Q223</f>
        <v>4.6321775826741275E-2</v>
      </c>
    </row>
    <row r="215" spans="1:7" x14ac:dyDescent="0.2">
      <c r="A215">
        <v>214</v>
      </c>
      <c r="B215">
        <f>'Four-Weekly Heat &amp; Power Demand'!C224</f>
        <v>3.4332694957598457</v>
      </c>
      <c r="C215">
        <f>'Four-Weekly Heat &amp; Power Demand'!D224</f>
        <v>1.8717327794185254</v>
      </c>
      <c r="D215">
        <f>'Four-Weekly Heat &amp; Power Demand'!E224</f>
        <v>0.32981104388639787</v>
      </c>
      <c r="E215" s="55">
        <f>'Four-Weekly Heat &amp; Power Demand'!O224</f>
        <v>0.38224352251574223</v>
      </c>
      <c r="F215" s="55">
        <f>'Four-Weekly Heat &amp; Power Demand'!P224</f>
        <v>0.21957685264482196</v>
      </c>
      <c r="G215" s="55">
        <f>'Four-Weekly Heat &amp; Power Demand'!Q224</f>
        <v>4.6321775826741275E-2</v>
      </c>
    </row>
    <row r="216" spans="1:7" x14ac:dyDescent="0.2">
      <c r="A216">
        <v>215</v>
      </c>
      <c r="B216">
        <f>'Four-Weekly Heat &amp; Power Demand'!C225</f>
        <v>0</v>
      </c>
      <c r="C216">
        <f>'Four-Weekly Heat &amp; Power Demand'!D225</f>
        <v>0</v>
      </c>
      <c r="D216">
        <f>'Four-Weekly Heat &amp; Power Demand'!E225</f>
        <v>0</v>
      </c>
      <c r="E216" s="55">
        <f>'Four-Weekly Heat &amp; Power Demand'!O225</f>
        <v>0</v>
      </c>
      <c r="F216" s="55">
        <f>'Four-Weekly Heat &amp; Power Demand'!P225</f>
        <v>0</v>
      </c>
      <c r="G216" s="55">
        <f>'Four-Weekly Heat &amp; Power Demand'!Q225</f>
        <v>0</v>
      </c>
    </row>
    <row r="217" spans="1:7" x14ac:dyDescent="0.2">
      <c r="A217">
        <v>216</v>
      </c>
      <c r="B217">
        <f>'Four-Weekly Heat &amp; Power Demand'!C226</f>
        <v>0</v>
      </c>
      <c r="C217">
        <f>'Four-Weekly Heat &amp; Power Demand'!D226</f>
        <v>0</v>
      </c>
      <c r="D217">
        <f>'Four-Weekly Heat &amp; Power Demand'!E226</f>
        <v>0</v>
      </c>
      <c r="E217" s="55">
        <f>'Four-Weekly Heat &amp; Power Demand'!O226</f>
        <v>0</v>
      </c>
      <c r="F217" s="55">
        <f>'Four-Weekly Heat &amp; Power Demand'!P226</f>
        <v>0</v>
      </c>
      <c r="G217" s="55">
        <f>'Four-Weekly Heat &amp; Power Demand'!Q226</f>
        <v>0</v>
      </c>
    </row>
    <row r="218" spans="1:7" x14ac:dyDescent="0.2">
      <c r="A218">
        <v>217</v>
      </c>
      <c r="B218">
        <f>'Four-Weekly Heat &amp; Power Demand'!C227</f>
        <v>0</v>
      </c>
      <c r="C218">
        <f>'Four-Weekly Heat &amp; Power Demand'!D227</f>
        <v>0</v>
      </c>
      <c r="D218">
        <f>'Four-Weekly Heat &amp; Power Demand'!E227</f>
        <v>0</v>
      </c>
      <c r="E218" s="55">
        <f>'Four-Weekly Heat &amp; Power Demand'!O227</f>
        <v>0</v>
      </c>
      <c r="F218" s="55">
        <f>'Four-Weekly Heat &amp; Power Demand'!P227</f>
        <v>0</v>
      </c>
      <c r="G218" s="55">
        <f>'Four-Weekly Heat &amp; Power Demand'!Q227</f>
        <v>0</v>
      </c>
    </row>
    <row r="219" spans="1:7" x14ac:dyDescent="0.2">
      <c r="A219">
        <v>218</v>
      </c>
      <c r="B219">
        <f>'Four-Weekly Heat &amp; Power Demand'!C228</f>
        <v>0</v>
      </c>
      <c r="C219">
        <f>'Four-Weekly Heat &amp; Power Demand'!D228</f>
        <v>0</v>
      </c>
      <c r="D219">
        <f>'Four-Weekly Heat &amp; Power Demand'!E228</f>
        <v>0</v>
      </c>
      <c r="E219" s="55">
        <f>'Four-Weekly Heat &amp; Power Demand'!O228</f>
        <v>0</v>
      </c>
      <c r="F219" s="55">
        <f>'Four-Weekly Heat &amp; Power Demand'!P228</f>
        <v>0</v>
      </c>
      <c r="G219" s="55">
        <f>'Four-Weekly Heat &amp; Power Demand'!Q228</f>
        <v>0</v>
      </c>
    </row>
    <row r="220" spans="1:7" x14ac:dyDescent="0.2">
      <c r="A220">
        <v>219</v>
      </c>
      <c r="B220">
        <f>'Four-Weekly Heat &amp; Power Demand'!C229</f>
        <v>0</v>
      </c>
      <c r="C220">
        <f>'Four-Weekly Heat &amp; Power Demand'!D229</f>
        <v>0</v>
      </c>
      <c r="D220">
        <f>'Four-Weekly Heat &amp; Power Demand'!E229</f>
        <v>0</v>
      </c>
      <c r="E220" s="55">
        <f>'Four-Weekly Heat &amp; Power Demand'!O229</f>
        <v>0</v>
      </c>
      <c r="F220" s="55">
        <f>'Four-Weekly Heat &amp; Power Demand'!P229</f>
        <v>0</v>
      </c>
      <c r="G220" s="55">
        <f>'Four-Weekly Heat &amp; Power Demand'!Q229</f>
        <v>0</v>
      </c>
    </row>
    <row r="221" spans="1:7" x14ac:dyDescent="0.2">
      <c r="A221">
        <v>220</v>
      </c>
      <c r="B221">
        <f>'Four-Weekly Heat &amp; Power Demand'!C230</f>
        <v>0</v>
      </c>
      <c r="C221">
        <f>'Four-Weekly Heat &amp; Power Demand'!D230</f>
        <v>0</v>
      </c>
      <c r="D221">
        <f>'Four-Weekly Heat &amp; Power Demand'!E230</f>
        <v>0</v>
      </c>
      <c r="E221" s="55">
        <f>'Four-Weekly Heat &amp; Power Demand'!O230</f>
        <v>0</v>
      </c>
      <c r="F221" s="55">
        <f>'Four-Weekly Heat &amp; Power Demand'!P230</f>
        <v>0</v>
      </c>
      <c r="G221" s="55">
        <f>'Four-Weekly Heat &amp; Power Demand'!Q230</f>
        <v>0</v>
      </c>
    </row>
    <row r="222" spans="1:7" x14ac:dyDescent="0.2">
      <c r="A222">
        <v>221</v>
      </c>
      <c r="B222">
        <f>'Four-Weekly Heat &amp; Power Demand'!C231</f>
        <v>0</v>
      </c>
      <c r="C222">
        <f>'Four-Weekly Heat &amp; Power Demand'!D231</f>
        <v>0</v>
      </c>
      <c r="D222">
        <f>'Four-Weekly Heat &amp; Power Demand'!E231</f>
        <v>0</v>
      </c>
      <c r="E222" s="55">
        <f>'Four-Weekly Heat &amp; Power Demand'!O231</f>
        <v>0</v>
      </c>
      <c r="F222" s="55">
        <f>'Four-Weekly Heat &amp; Power Demand'!P231</f>
        <v>0</v>
      </c>
      <c r="G222" s="55">
        <f>'Four-Weekly Heat &amp; Power Demand'!Q231</f>
        <v>0</v>
      </c>
    </row>
    <row r="223" spans="1:7" x14ac:dyDescent="0.2">
      <c r="A223">
        <v>222</v>
      </c>
      <c r="B223">
        <f>'Four-Weekly Heat &amp; Power Demand'!C232</f>
        <v>0</v>
      </c>
      <c r="C223">
        <f>'Four-Weekly Heat &amp; Power Demand'!D232</f>
        <v>0</v>
      </c>
      <c r="D223">
        <f>'Four-Weekly Heat &amp; Power Demand'!E232</f>
        <v>0</v>
      </c>
      <c r="E223" s="55">
        <f>'Four-Weekly Heat &amp; Power Demand'!O232</f>
        <v>0</v>
      </c>
      <c r="F223" s="55">
        <f>'Four-Weekly Heat &amp; Power Demand'!P232</f>
        <v>0</v>
      </c>
      <c r="G223" s="55">
        <f>'Four-Weekly Heat &amp; Power Demand'!Q232</f>
        <v>0</v>
      </c>
    </row>
    <row r="224" spans="1:7" x14ac:dyDescent="0.2">
      <c r="A224">
        <v>223</v>
      </c>
      <c r="B224">
        <f>'Four-Weekly Heat &amp; Power Demand'!C233</f>
        <v>3.4332694957598457</v>
      </c>
      <c r="C224">
        <f>'Four-Weekly Heat &amp; Power Demand'!D233</f>
        <v>1.8717327794185254</v>
      </c>
      <c r="D224">
        <f>'Four-Weekly Heat &amp; Power Demand'!E233</f>
        <v>0.32981104388639787</v>
      </c>
      <c r="E224" s="55">
        <f>'Four-Weekly Heat &amp; Power Demand'!O233</f>
        <v>0.38224352251574223</v>
      </c>
      <c r="F224" s="55">
        <f>'Four-Weekly Heat &amp; Power Demand'!P233</f>
        <v>0.21957685264482196</v>
      </c>
      <c r="G224" s="55">
        <f>'Four-Weekly Heat &amp; Power Demand'!Q233</f>
        <v>4.6321775826741275E-2</v>
      </c>
    </row>
    <row r="225" spans="1:7" x14ac:dyDescent="0.2">
      <c r="A225">
        <v>224</v>
      </c>
      <c r="B225">
        <f>'Four-Weekly Heat &amp; Power Demand'!C234</f>
        <v>3.4332694957598457</v>
      </c>
      <c r="C225">
        <f>'Four-Weekly Heat &amp; Power Demand'!D234</f>
        <v>1.8717327794185254</v>
      </c>
      <c r="D225">
        <f>'Four-Weekly Heat &amp; Power Demand'!E234</f>
        <v>0.32981104388639787</v>
      </c>
      <c r="E225" s="55">
        <f>'Four-Weekly Heat &amp; Power Demand'!O234</f>
        <v>0.38224352251574223</v>
      </c>
      <c r="F225" s="55">
        <f>'Four-Weekly Heat &amp; Power Demand'!P234</f>
        <v>0.21957685264482196</v>
      </c>
      <c r="G225" s="55">
        <f>'Four-Weekly Heat &amp; Power Demand'!Q234</f>
        <v>4.6321775826741275E-2</v>
      </c>
    </row>
    <row r="226" spans="1:7" x14ac:dyDescent="0.2">
      <c r="A226">
        <v>225</v>
      </c>
      <c r="B226">
        <f>'Four-Weekly Heat &amp; Power Demand'!C235</f>
        <v>0</v>
      </c>
      <c r="C226">
        <f>'Four-Weekly Heat &amp; Power Demand'!D235</f>
        <v>0</v>
      </c>
      <c r="D226">
        <f>'Four-Weekly Heat &amp; Power Demand'!E235</f>
        <v>0</v>
      </c>
      <c r="E226" s="55">
        <f>'Four-Weekly Heat &amp; Power Demand'!O235</f>
        <v>0</v>
      </c>
      <c r="F226" s="55">
        <f>'Four-Weekly Heat &amp; Power Demand'!P235</f>
        <v>0</v>
      </c>
      <c r="G226" s="55">
        <f>'Four-Weekly Heat &amp; Power Demand'!Q235</f>
        <v>0</v>
      </c>
    </row>
    <row r="227" spans="1:7" x14ac:dyDescent="0.2">
      <c r="A227">
        <v>226</v>
      </c>
      <c r="B227">
        <f>'Four-Weekly Heat &amp; Power Demand'!C236</f>
        <v>0</v>
      </c>
      <c r="C227">
        <f>'Four-Weekly Heat &amp; Power Demand'!D236</f>
        <v>0</v>
      </c>
      <c r="D227">
        <f>'Four-Weekly Heat &amp; Power Demand'!E236</f>
        <v>0</v>
      </c>
      <c r="E227" s="55">
        <f>'Four-Weekly Heat &amp; Power Demand'!O236</f>
        <v>0</v>
      </c>
      <c r="F227" s="55">
        <f>'Four-Weekly Heat &amp; Power Demand'!P236</f>
        <v>0</v>
      </c>
      <c r="G227" s="55">
        <f>'Four-Weekly Heat &amp; Power Demand'!Q236</f>
        <v>0</v>
      </c>
    </row>
    <row r="228" spans="1:7" x14ac:dyDescent="0.2">
      <c r="A228">
        <v>227</v>
      </c>
      <c r="B228">
        <f>'Four-Weekly Heat &amp; Power Demand'!C237</f>
        <v>0</v>
      </c>
      <c r="C228">
        <f>'Four-Weekly Heat &amp; Power Demand'!D237</f>
        <v>0</v>
      </c>
      <c r="D228">
        <f>'Four-Weekly Heat &amp; Power Demand'!E237</f>
        <v>0</v>
      </c>
      <c r="E228" s="55">
        <f>'Four-Weekly Heat &amp; Power Demand'!O237</f>
        <v>0</v>
      </c>
      <c r="F228" s="55">
        <f>'Four-Weekly Heat &amp; Power Demand'!P237</f>
        <v>0</v>
      </c>
      <c r="G228" s="55">
        <f>'Four-Weekly Heat &amp; Power Demand'!Q237</f>
        <v>0</v>
      </c>
    </row>
    <row r="229" spans="1:7" x14ac:dyDescent="0.2">
      <c r="A229">
        <v>228</v>
      </c>
      <c r="B229">
        <f>'Four-Weekly Heat &amp; Power Demand'!C238</f>
        <v>0</v>
      </c>
      <c r="C229">
        <f>'Four-Weekly Heat &amp; Power Demand'!D238</f>
        <v>0</v>
      </c>
      <c r="D229">
        <f>'Four-Weekly Heat &amp; Power Demand'!E238</f>
        <v>0</v>
      </c>
      <c r="E229" s="55">
        <f>'Four-Weekly Heat &amp; Power Demand'!O238</f>
        <v>0</v>
      </c>
      <c r="F229" s="55">
        <f>'Four-Weekly Heat &amp; Power Demand'!P238</f>
        <v>0</v>
      </c>
      <c r="G229" s="55">
        <f>'Four-Weekly Heat &amp; Power Demand'!Q238</f>
        <v>0</v>
      </c>
    </row>
    <row r="230" spans="1:7" x14ac:dyDescent="0.2">
      <c r="A230">
        <v>229</v>
      </c>
      <c r="B230">
        <f>'Four-Weekly Heat &amp; Power Demand'!C239</f>
        <v>0</v>
      </c>
      <c r="C230">
        <f>'Four-Weekly Heat &amp; Power Demand'!D239</f>
        <v>0</v>
      </c>
      <c r="D230">
        <f>'Four-Weekly Heat &amp; Power Demand'!E239</f>
        <v>0</v>
      </c>
      <c r="E230" s="55">
        <f>'Four-Weekly Heat &amp; Power Demand'!O239</f>
        <v>0</v>
      </c>
      <c r="F230" s="55">
        <f>'Four-Weekly Heat &amp; Power Demand'!P239</f>
        <v>0</v>
      </c>
      <c r="G230" s="55">
        <f>'Four-Weekly Heat &amp; Power Demand'!Q239</f>
        <v>0</v>
      </c>
    </row>
    <row r="231" spans="1:7" x14ac:dyDescent="0.2">
      <c r="A231">
        <v>230</v>
      </c>
      <c r="B231">
        <f>'Four-Weekly Heat &amp; Power Demand'!C240</f>
        <v>0</v>
      </c>
      <c r="C231">
        <f>'Four-Weekly Heat &amp; Power Demand'!D240</f>
        <v>0</v>
      </c>
      <c r="D231">
        <f>'Four-Weekly Heat &amp; Power Demand'!E240</f>
        <v>0</v>
      </c>
      <c r="E231" s="55">
        <f>'Four-Weekly Heat &amp; Power Demand'!O240</f>
        <v>0</v>
      </c>
      <c r="F231" s="55">
        <f>'Four-Weekly Heat &amp; Power Demand'!P240</f>
        <v>0</v>
      </c>
      <c r="G231" s="55">
        <f>'Four-Weekly Heat &amp; Power Demand'!Q240</f>
        <v>0</v>
      </c>
    </row>
    <row r="232" spans="1:7" x14ac:dyDescent="0.2">
      <c r="A232">
        <v>231</v>
      </c>
      <c r="B232">
        <f>'Four-Weekly Heat &amp; Power Demand'!C241</f>
        <v>0</v>
      </c>
      <c r="C232">
        <f>'Four-Weekly Heat &amp; Power Demand'!D241</f>
        <v>0</v>
      </c>
      <c r="D232">
        <f>'Four-Weekly Heat &amp; Power Demand'!E241</f>
        <v>0</v>
      </c>
      <c r="E232" s="55">
        <f>'Four-Weekly Heat &amp; Power Demand'!O241</f>
        <v>0</v>
      </c>
      <c r="F232" s="55">
        <f>'Four-Weekly Heat &amp; Power Demand'!P241</f>
        <v>0</v>
      </c>
      <c r="G232" s="55">
        <f>'Four-Weekly Heat &amp; Power Demand'!Q241</f>
        <v>0</v>
      </c>
    </row>
    <row r="233" spans="1:7" x14ac:dyDescent="0.2">
      <c r="A233">
        <v>232</v>
      </c>
      <c r="B233">
        <f>'Four-Weekly Heat &amp; Power Demand'!C242</f>
        <v>3.4332694957598457</v>
      </c>
      <c r="C233">
        <f>'Four-Weekly Heat &amp; Power Demand'!D242</f>
        <v>1.8717327794185254</v>
      </c>
      <c r="D233">
        <f>'Four-Weekly Heat &amp; Power Demand'!E242</f>
        <v>0.32981104388639787</v>
      </c>
      <c r="E233" s="55">
        <f>'Four-Weekly Heat &amp; Power Demand'!O242</f>
        <v>0.38224352251574223</v>
      </c>
      <c r="F233" s="55">
        <f>'Four-Weekly Heat &amp; Power Demand'!P242</f>
        <v>0.21957685264482196</v>
      </c>
      <c r="G233" s="55">
        <f>'Four-Weekly Heat &amp; Power Demand'!Q242</f>
        <v>4.6321775826741275E-2</v>
      </c>
    </row>
    <row r="234" spans="1:7" x14ac:dyDescent="0.2">
      <c r="A234">
        <v>233</v>
      </c>
      <c r="B234">
        <f>'Four-Weekly Heat &amp; Power Demand'!C243</f>
        <v>3.4332694957598457</v>
      </c>
      <c r="C234">
        <f>'Four-Weekly Heat &amp; Power Demand'!D243</f>
        <v>1.8717327794185254</v>
      </c>
      <c r="D234">
        <f>'Four-Weekly Heat &amp; Power Demand'!E243</f>
        <v>0.32981104388639787</v>
      </c>
      <c r="E234" s="55">
        <f>'Four-Weekly Heat &amp; Power Demand'!O243</f>
        <v>0.38224352251574223</v>
      </c>
      <c r="F234" s="55">
        <f>'Four-Weekly Heat &amp; Power Demand'!P243</f>
        <v>0.21957685264482196</v>
      </c>
      <c r="G234" s="55">
        <f>'Four-Weekly Heat &amp; Power Demand'!Q243</f>
        <v>4.6321775826741275E-2</v>
      </c>
    </row>
    <row r="235" spans="1:7" x14ac:dyDescent="0.2">
      <c r="A235">
        <v>234</v>
      </c>
      <c r="B235">
        <f>'Four-Weekly Heat &amp; Power Demand'!C244</f>
        <v>3.4332694957598457</v>
      </c>
      <c r="C235">
        <f>'Four-Weekly Heat &amp; Power Demand'!D244</f>
        <v>1.8717327794185254</v>
      </c>
      <c r="D235">
        <f>'Four-Weekly Heat &amp; Power Demand'!E244</f>
        <v>0.32981104388639787</v>
      </c>
      <c r="E235" s="55">
        <f>'Four-Weekly Heat &amp; Power Demand'!O244</f>
        <v>0.38224352251574223</v>
      </c>
      <c r="F235" s="55">
        <f>'Four-Weekly Heat &amp; Power Demand'!P244</f>
        <v>0.21957685264482196</v>
      </c>
      <c r="G235" s="55">
        <f>'Four-Weekly Heat &amp; Power Demand'!Q244</f>
        <v>4.6321775826741275E-2</v>
      </c>
    </row>
    <row r="236" spans="1:7" x14ac:dyDescent="0.2">
      <c r="A236">
        <v>235</v>
      </c>
      <c r="B236">
        <f>'Four-Weekly Heat &amp; Power Demand'!C245</f>
        <v>3.4332694957598457</v>
      </c>
      <c r="C236">
        <f>'Four-Weekly Heat &amp; Power Demand'!D245</f>
        <v>1.8717327794185254</v>
      </c>
      <c r="D236">
        <f>'Four-Weekly Heat &amp; Power Demand'!E245</f>
        <v>0.32981104388639787</v>
      </c>
      <c r="E236" s="55">
        <f>'Four-Weekly Heat &amp; Power Demand'!O245</f>
        <v>0.38224352251574223</v>
      </c>
      <c r="F236" s="55">
        <f>'Four-Weekly Heat &amp; Power Demand'!P245</f>
        <v>0.21957685264482196</v>
      </c>
      <c r="G236" s="55">
        <f>'Four-Weekly Heat &amp; Power Demand'!Q245</f>
        <v>4.6321775826741275E-2</v>
      </c>
    </row>
    <row r="237" spans="1:7" x14ac:dyDescent="0.2">
      <c r="A237">
        <v>236</v>
      </c>
      <c r="B237">
        <f>'Four-Weekly Heat &amp; Power Demand'!C246</f>
        <v>3.4332694957598457</v>
      </c>
      <c r="C237">
        <f>'Four-Weekly Heat &amp; Power Demand'!D246</f>
        <v>1.8717327794185254</v>
      </c>
      <c r="D237">
        <f>'Four-Weekly Heat &amp; Power Demand'!E246</f>
        <v>0.32981104388639787</v>
      </c>
      <c r="E237" s="55">
        <f>'Four-Weekly Heat &amp; Power Demand'!O246</f>
        <v>0.38224352251574223</v>
      </c>
      <c r="F237" s="55">
        <f>'Four-Weekly Heat &amp; Power Demand'!P246</f>
        <v>0.21957685264482196</v>
      </c>
      <c r="G237" s="55">
        <f>'Four-Weekly Heat &amp; Power Demand'!Q246</f>
        <v>4.6321775826741275E-2</v>
      </c>
    </row>
    <row r="238" spans="1:7" x14ac:dyDescent="0.2">
      <c r="A238">
        <v>237</v>
      </c>
      <c r="B238">
        <f>'Four-Weekly Heat &amp; Power Demand'!C247</f>
        <v>3.4332694957598457</v>
      </c>
      <c r="C238">
        <f>'Four-Weekly Heat &amp; Power Demand'!D247</f>
        <v>1.8717327794185254</v>
      </c>
      <c r="D238">
        <f>'Four-Weekly Heat &amp; Power Demand'!E247</f>
        <v>0.32981104388639787</v>
      </c>
      <c r="E238" s="55">
        <f>'Four-Weekly Heat &amp; Power Demand'!O247</f>
        <v>0.38224352251574223</v>
      </c>
      <c r="F238" s="55">
        <f>'Four-Weekly Heat &amp; Power Demand'!P247</f>
        <v>0.21957685264482196</v>
      </c>
      <c r="G238" s="55">
        <f>'Four-Weekly Heat &amp; Power Demand'!Q247</f>
        <v>4.6321775826741275E-2</v>
      </c>
    </row>
    <row r="239" spans="1:7" x14ac:dyDescent="0.2">
      <c r="A239">
        <v>238</v>
      </c>
      <c r="B239">
        <f>'Four-Weekly Heat &amp; Power Demand'!C248</f>
        <v>3.4332694957598457</v>
      </c>
      <c r="C239">
        <f>'Four-Weekly Heat &amp; Power Demand'!D248</f>
        <v>1.8717327794185254</v>
      </c>
      <c r="D239">
        <f>'Four-Weekly Heat &amp; Power Demand'!E248</f>
        <v>0.32981104388639787</v>
      </c>
      <c r="E239" s="55">
        <f>'Four-Weekly Heat &amp; Power Demand'!O248</f>
        <v>0.38224352251574223</v>
      </c>
      <c r="F239" s="55">
        <f>'Four-Weekly Heat &amp; Power Demand'!P248</f>
        <v>0.21957685264482196</v>
      </c>
      <c r="G239" s="55">
        <f>'Four-Weekly Heat &amp; Power Demand'!Q248</f>
        <v>4.6321775826741275E-2</v>
      </c>
    </row>
    <row r="240" spans="1:7" x14ac:dyDescent="0.2">
      <c r="A240">
        <v>239</v>
      </c>
      <c r="B240">
        <f>'Four-Weekly Heat &amp; Power Demand'!C249</f>
        <v>0</v>
      </c>
      <c r="C240">
        <f>'Four-Weekly Heat &amp; Power Demand'!D249</f>
        <v>0</v>
      </c>
      <c r="D240">
        <f>'Four-Weekly Heat &amp; Power Demand'!E249</f>
        <v>0</v>
      </c>
      <c r="E240" s="55">
        <f>'Four-Weekly Heat &amp; Power Demand'!O249</f>
        <v>0</v>
      </c>
      <c r="F240" s="55">
        <f>'Four-Weekly Heat &amp; Power Demand'!P249</f>
        <v>0</v>
      </c>
      <c r="G240" s="55">
        <f>'Four-Weekly Heat &amp; Power Demand'!Q249</f>
        <v>0</v>
      </c>
    </row>
    <row r="241" spans="1:7" x14ac:dyDescent="0.2">
      <c r="A241">
        <v>240</v>
      </c>
      <c r="B241">
        <f>'Four-Weekly Heat &amp; Power Demand'!C250</f>
        <v>0</v>
      </c>
      <c r="C241">
        <f>'Four-Weekly Heat &amp; Power Demand'!D250</f>
        <v>0</v>
      </c>
      <c r="D241">
        <f>'Four-Weekly Heat &amp; Power Demand'!E250</f>
        <v>0</v>
      </c>
      <c r="E241" s="55">
        <f>'Four-Weekly Heat &amp; Power Demand'!O250</f>
        <v>0</v>
      </c>
      <c r="F241" s="55">
        <f>'Four-Weekly Heat &amp; Power Demand'!P250</f>
        <v>0</v>
      </c>
      <c r="G241" s="55">
        <f>'Four-Weekly Heat &amp; Power Demand'!Q250</f>
        <v>0</v>
      </c>
    </row>
    <row r="242" spans="1:7" x14ac:dyDescent="0.2">
      <c r="A242">
        <v>241</v>
      </c>
      <c r="B242">
        <f>'Four-Weekly Heat &amp; Power Demand'!C251</f>
        <v>0</v>
      </c>
      <c r="C242">
        <f>'Four-Weekly Heat &amp; Power Demand'!D251</f>
        <v>0</v>
      </c>
      <c r="D242">
        <f>'Four-Weekly Heat &amp; Power Demand'!E251</f>
        <v>0</v>
      </c>
      <c r="E242" s="55">
        <f>'Four-Weekly Heat &amp; Power Demand'!O251</f>
        <v>0</v>
      </c>
      <c r="F242" s="55">
        <f>'Four-Weekly Heat &amp; Power Demand'!P251</f>
        <v>0</v>
      </c>
      <c r="G242" s="55">
        <f>'Four-Weekly Heat &amp; Power Demand'!Q251</f>
        <v>0</v>
      </c>
    </row>
    <row r="243" spans="1:7" x14ac:dyDescent="0.2">
      <c r="A243">
        <v>242</v>
      </c>
      <c r="B243">
        <f>'Four-Weekly Heat &amp; Power Demand'!C252</f>
        <v>0</v>
      </c>
      <c r="C243">
        <f>'Four-Weekly Heat &amp; Power Demand'!D252</f>
        <v>0</v>
      </c>
      <c r="D243">
        <f>'Four-Weekly Heat &amp; Power Demand'!E252</f>
        <v>0</v>
      </c>
      <c r="E243" s="55">
        <f>'Four-Weekly Heat &amp; Power Demand'!O252</f>
        <v>0</v>
      </c>
      <c r="F243" s="55">
        <f>'Four-Weekly Heat &amp; Power Demand'!P252</f>
        <v>0</v>
      </c>
      <c r="G243" s="55">
        <f>'Four-Weekly Heat &amp; Power Demand'!Q252</f>
        <v>0</v>
      </c>
    </row>
    <row r="244" spans="1:7" x14ac:dyDescent="0.2">
      <c r="A244">
        <v>243</v>
      </c>
      <c r="B244">
        <f>'Four-Weekly Heat &amp; Power Demand'!C253</f>
        <v>0</v>
      </c>
      <c r="C244">
        <f>'Four-Weekly Heat &amp; Power Demand'!D253</f>
        <v>0</v>
      </c>
      <c r="D244">
        <f>'Four-Weekly Heat &amp; Power Demand'!E253</f>
        <v>0</v>
      </c>
      <c r="E244" s="55">
        <f>'Four-Weekly Heat &amp; Power Demand'!O253</f>
        <v>0</v>
      </c>
      <c r="F244" s="55">
        <f>'Four-Weekly Heat &amp; Power Demand'!P253</f>
        <v>0</v>
      </c>
      <c r="G244" s="55">
        <f>'Four-Weekly Heat &amp; Power Demand'!Q253</f>
        <v>0</v>
      </c>
    </row>
    <row r="245" spans="1:7" x14ac:dyDescent="0.2">
      <c r="A245">
        <v>244</v>
      </c>
      <c r="B245">
        <f>'Four-Weekly Heat &amp; Power Demand'!C254</f>
        <v>0</v>
      </c>
      <c r="C245">
        <f>'Four-Weekly Heat &amp; Power Demand'!D254</f>
        <v>0</v>
      </c>
      <c r="D245">
        <f>'Four-Weekly Heat &amp; Power Demand'!E254</f>
        <v>0</v>
      </c>
      <c r="E245" s="55">
        <f>'Four-Weekly Heat &amp; Power Demand'!O254</f>
        <v>0</v>
      </c>
      <c r="F245" s="55">
        <f>'Four-Weekly Heat &amp; Power Demand'!P254</f>
        <v>0</v>
      </c>
      <c r="G245" s="55">
        <f>'Four-Weekly Heat &amp; Power Demand'!Q254</f>
        <v>0</v>
      </c>
    </row>
    <row r="246" spans="1:7" x14ac:dyDescent="0.2">
      <c r="A246">
        <v>245</v>
      </c>
      <c r="B246">
        <f>'Four-Weekly Heat &amp; Power Demand'!C255</f>
        <v>0</v>
      </c>
      <c r="C246">
        <f>'Four-Weekly Heat &amp; Power Demand'!D255</f>
        <v>0</v>
      </c>
      <c r="D246">
        <f>'Four-Weekly Heat &amp; Power Demand'!E255</f>
        <v>0</v>
      </c>
      <c r="E246" s="55">
        <f>'Four-Weekly Heat &amp; Power Demand'!O255</f>
        <v>0</v>
      </c>
      <c r="F246" s="55">
        <f>'Four-Weekly Heat &amp; Power Demand'!P255</f>
        <v>0</v>
      </c>
      <c r="G246" s="55">
        <f>'Four-Weekly Heat &amp; Power Demand'!Q255</f>
        <v>0</v>
      </c>
    </row>
    <row r="247" spans="1:7" x14ac:dyDescent="0.2">
      <c r="A247">
        <v>246</v>
      </c>
      <c r="B247">
        <f>'Four-Weekly Heat &amp; Power Demand'!C256</f>
        <v>0</v>
      </c>
      <c r="C247">
        <f>'Four-Weekly Heat &amp; Power Demand'!D256</f>
        <v>0</v>
      </c>
      <c r="D247">
        <f>'Four-Weekly Heat &amp; Power Demand'!E256</f>
        <v>0</v>
      </c>
      <c r="E247" s="55">
        <f>'Four-Weekly Heat &amp; Power Demand'!O256</f>
        <v>0</v>
      </c>
      <c r="F247" s="55">
        <f>'Four-Weekly Heat &amp; Power Demand'!P256</f>
        <v>0</v>
      </c>
      <c r="G247" s="55">
        <f>'Four-Weekly Heat &amp; Power Demand'!Q256</f>
        <v>0</v>
      </c>
    </row>
    <row r="248" spans="1:7" x14ac:dyDescent="0.2">
      <c r="A248">
        <v>247</v>
      </c>
      <c r="B248">
        <f>'Four-Weekly Heat &amp; Power Demand'!C257</f>
        <v>3.4332694957598457</v>
      </c>
      <c r="C248">
        <f>'Four-Weekly Heat &amp; Power Demand'!D257</f>
        <v>1.8717327794185254</v>
      </c>
      <c r="D248">
        <f>'Four-Weekly Heat &amp; Power Demand'!E257</f>
        <v>0.32981104388639787</v>
      </c>
      <c r="E248" s="55">
        <f>'Four-Weekly Heat &amp; Power Demand'!O257</f>
        <v>0.38224352251574223</v>
      </c>
      <c r="F248" s="55">
        <f>'Four-Weekly Heat &amp; Power Demand'!P257</f>
        <v>0.21957685264482196</v>
      </c>
      <c r="G248" s="55">
        <f>'Four-Weekly Heat &amp; Power Demand'!Q257</f>
        <v>4.6321775826741275E-2</v>
      </c>
    </row>
    <row r="249" spans="1:7" x14ac:dyDescent="0.2">
      <c r="A249">
        <v>248</v>
      </c>
      <c r="B249">
        <f>'Four-Weekly Heat &amp; Power Demand'!C258</f>
        <v>3.4332694957598457</v>
      </c>
      <c r="C249">
        <f>'Four-Weekly Heat &amp; Power Demand'!D258</f>
        <v>1.8717327794185254</v>
      </c>
      <c r="D249">
        <f>'Four-Weekly Heat &amp; Power Demand'!E258</f>
        <v>0.32981104388639787</v>
      </c>
      <c r="E249" s="55">
        <f>'Four-Weekly Heat &amp; Power Demand'!O258</f>
        <v>0.38224352251574223</v>
      </c>
      <c r="F249" s="55">
        <f>'Four-Weekly Heat &amp; Power Demand'!P258</f>
        <v>0.21957685264482196</v>
      </c>
      <c r="G249" s="55">
        <f>'Four-Weekly Heat &amp; Power Demand'!Q258</f>
        <v>4.6321775826741275E-2</v>
      </c>
    </row>
    <row r="250" spans="1:7" x14ac:dyDescent="0.2">
      <c r="A250">
        <v>249</v>
      </c>
      <c r="B250">
        <f>'Four-Weekly Heat &amp; Power Demand'!C259</f>
        <v>3.4332694957598457</v>
      </c>
      <c r="C250">
        <f>'Four-Weekly Heat &amp; Power Demand'!D259</f>
        <v>1.8717327794185254</v>
      </c>
      <c r="D250">
        <f>'Four-Weekly Heat &amp; Power Demand'!E259</f>
        <v>0.32981104388639787</v>
      </c>
      <c r="E250" s="55">
        <f>'Four-Weekly Heat &amp; Power Demand'!O259</f>
        <v>0.38224352251574223</v>
      </c>
      <c r="F250" s="55">
        <f>'Four-Weekly Heat &amp; Power Demand'!P259</f>
        <v>0.21957685264482196</v>
      </c>
      <c r="G250" s="55">
        <f>'Four-Weekly Heat &amp; Power Demand'!Q259</f>
        <v>4.6321775826741275E-2</v>
      </c>
    </row>
    <row r="251" spans="1:7" x14ac:dyDescent="0.2">
      <c r="A251">
        <v>250</v>
      </c>
      <c r="B251">
        <f>'Four-Weekly Heat &amp; Power Demand'!C260</f>
        <v>3.4332694957598457</v>
      </c>
      <c r="C251">
        <f>'Four-Weekly Heat &amp; Power Demand'!D260</f>
        <v>1.8717327794185254</v>
      </c>
      <c r="D251">
        <f>'Four-Weekly Heat &amp; Power Demand'!E260</f>
        <v>0.32981104388639787</v>
      </c>
      <c r="E251" s="55">
        <f>'Four-Weekly Heat &amp; Power Demand'!O260</f>
        <v>0.38224352251574223</v>
      </c>
      <c r="F251" s="55">
        <f>'Four-Weekly Heat &amp; Power Demand'!P260</f>
        <v>0.21957685264482196</v>
      </c>
      <c r="G251" s="55">
        <f>'Four-Weekly Heat &amp; Power Demand'!Q260</f>
        <v>4.6321775826741275E-2</v>
      </c>
    </row>
    <row r="252" spans="1:7" x14ac:dyDescent="0.2">
      <c r="A252">
        <v>251</v>
      </c>
      <c r="B252">
        <f>'Four-Weekly Heat &amp; Power Demand'!C261</f>
        <v>3.4332694957598457</v>
      </c>
      <c r="C252">
        <f>'Four-Weekly Heat &amp; Power Demand'!D261</f>
        <v>1.8717327794185254</v>
      </c>
      <c r="D252">
        <f>'Four-Weekly Heat &amp; Power Demand'!E261</f>
        <v>0.32981104388639787</v>
      </c>
      <c r="E252" s="55">
        <f>'Four-Weekly Heat &amp; Power Demand'!O261</f>
        <v>0.38224352251574223</v>
      </c>
      <c r="F252" s="55">
        <f>'Four-Weekly Heat &amp; Power Demand'!P261</f>
        <v>0.21957685264482196</v>
      </c>
      <c r="G252" s="55">
        <f>'Four-Weekly Heat &amp; Power Demand'!Q261</f>
        <v>4.6321775826741275E-2</v>
      </c>
    </row>
    <row r="253" spans="1:7" x14ac:dyDescent="0.2">
      <c r="A253">
        <v>252</v>
      </c>
      <c r="B253">
        <f>'Four-Weekly Heat &amp; Power Demand'!C262</f>
        <v>3.4332694957598457</v>
      </c>
      <c r="C253">
        <f>'Four-Weekly Heat &amp; Power Demand'!D262</f>
        <v>1.8717327794185254</v>
      </c>
      <c r="D253">
        <f>'Four-Weekly Heat &amp; Power Demand'!E262</f>
        <v>0.32981104388639787</v>
      </c>
      <c r="E253" s="55">
        <f>'Four-Weekly Heat &amp; Power Demand'!O262</f>
        <v>0.38224352251574223</v>
      </c>
      <c r="F253" s="55">
        <f>'Four-Weekly Heat &amp; Power Demand'!P262</f>
        <v>0.21957685264482196</v>
      </c>
      <c r="G253" s="55">
        <f>'Four-Weekly Heat &amp; Power Demand'!Q262</f>
        <v>4.6321775826741275E-2</v>
      </c>
    </row>
    <row r="254" spans="1:7" x14ac:dyDescent="0.2">
      <c r="A254">
        <v>253</v>
      </c>
      <c r="B254">
        <f>'Four-Weekly Heat &amp; Power Demand'!C263</f>
        <v>3.4332694957598457</v>
      </c>
      <c r="C254">
        <f>'Four-Weekly Heat &amp; Power Demand'!D263</f>
        <v>1.8717327794185254</v>
      </c>
      <c r="D254">
        <f>'Four-Weekly Heat &amp; Power Demand'!E263</f>
        <v>0.32981104388639787</v>
      </c>
      <c r="E254" s="55">
        <f>'Four-Weekly Heat &amp; Power Demand'!O263</f>
        <v>0.38224352251574223</v>
      </c>
      <c r="F254" s="55">
        <f>'Four-Weekly Heat &amp; Power Demand'!P263</f>
        <v>0.21957685264482196</v>
      </c>
      <c r="G254" s="55">
        <f>'Four-Weekly Heat &amp; Power Demand'!Q263</f>
        <v>4.6321775826741275E-2</v>
      </c>
    </row>
    <row r="255" spans="1:7" x14ac:dyDescent="0.2">
      <c r="A255">
        <v>254</v>
      </c>
      <c r="B255">
        <f>'Four-Weekly Heat &amp; Power Demand'!C264</f>
        <v>3.4332694957598457</v>
      </c>
      <c r="C255">
        <f>'Four-Weekly Heat &amp; Power Demand'!D264</f>
        <v>1.8717327794185254</v>
      </c>
      <c r="D255">
        <f>'Four-Weekly Heat &amp; Power Demand'!E264</f>
        <v>0.32981104388639787</v>
      </c>
      <c r="E255" s="55">
        <f>'Four-Weekly Heat &amp; Power Demand'!O264</f>
        <v>0.38224352251574223</v>
      </c>
      <c r="F255" s="55">
        <f>'Four-Weekly Heat &amp; Power Demand'!P264</f>
        <v>0.21957685264482196</v>
      </c>
      <c r="G255" s="55">
        <f>'Four-Weekly Heat &amp; Power Demand'!Q264</f>
        <v>4.6321775826741275E-2</v>
      </c>
    </row>
    <row r="256" spans="1:7" x14ac:dyDescent="0.2">
      <c r="A256">
        <v>255</v>
      </c>
      <c r="B256">
        <f>'Four-Weekly Heat &amp; Power Demand'!C265</f>
        <v>3.4332694957598457</v>
      </c>
      <c r="C256">
        <f>'Four-Weekly Heat &amp; Power Demand'!D265</f>
        <v>1.8717327794185254</v>
      </c>
      <c r="D256">
        <f>'Four-Weekly Heat &amp; Power Demand'!E265</f>
        <v>0.32981104388639787</v>
      </c>
      <c r="E256" s="55">
        <f>'Four-Weekly Heat &amp; Power Demand'!O265</f>
        <v>0.38224352251574223</v>
      </c>
      <c r="F256" s="55">
        <f>'Four-Weekly Heat &amp; Power Demand'!P265</f>
        <v>0.21957685264482196</v>
      </c>
      <c r="G256" s="55">
        <f>'Four-Weekly Heat &amp; Power Demand'!Q265</f>
        <v>4.6321775826741275E-2</v>
      </c>
    </row>
    <row r="257" spans="1:7" x14ac:dyDescent="0.2">
      <c r="A257">
        <v>256</v>
      </c>
      <c r="B257">
        <f>'Four-Weekly Heat &amp; Power Demand'!C266</f>
        <v>3.4332694957598457</v>
      </c>
      <c r="C257">
        <f>'Four-Weekly Heat &amp; Power Demand'!D266</f>
        <v>1.8717327794185254</v>
      </c>
      <c r="D257">
        <f>'Four-Weekly Heat &amp; Power Demand'!E266</f>
        <v>0.32981104388639787</v>
      </c>
      <c r="E257" s="55">
        <f>'Four-Weekly Heat &amp; Power Demand'!O266</f>
        <v>0.38224352251574223</v>
      </c>
      <c r="F257" s="55">
        <f>'Four-Weekly Heat &amp; Power Demand'!P266</f>
        <v>0.21957685264482196</v>
      </c>
      <c r="G257" s="55">
        <f>'Four-Weekly Heat &amp; Power Demand'!Q266</f>
        <v>4.6321775826741275E-2</v>
      </c>
    </row>
    <row r="258" spans="1:7" x14ac:dyDescent="0.2">
      <c r="A258">
        <v>257</v>
      </c>
      <c r="B258">
        <f>'Four-Weekly Heat &amp; Power Demand'!C267</f>
        <v>3.4332694957598457</v>
      </c>
      <c r="C258">
        <f>'Four-Weekly Heat &amp; Power Demand'!D267</f>
        <v>1.8717327794185254</v>
      </c>
      <c r="D258">
        <f>'Four-Weekly Heat &amp; Power Demand'!E267</f>
        <v>0.32981104388639787</v>
      </c>
      <c r="E258" s="55">
        <f>'Four-Weekly Heat &amp; Power Demand'!O267</f>
        <v>0.38224352251574223</v>
      </c>
      <c r="F258" s="55">
        <f>'Four-Weekly Heat &amp; Power Demand'!P267</f>
        <v>0.21957685264482196</v>
      </c>
      <c r="G258" s="55">
        <f>'Four-Weekly Heat &amp; Power Demand'!Q267</f>
        <v>4.6321775826741275E-2</v>
      </c>
    </row>
    <row r="259" spans="1:7" x14ac:dyDescent="0.2">
      <c r="A259">
        <v>258</v>
      </c>
      <c r="B259">
        <f>'Four-Weekly Heat &amp; Power Demand'!C268</f>
        <v>3.4332694957598457</v>
      </c>
      <c r="C259">
        <f>'Four-Weekly Heat &amp; Power Demand'!D268</f>
        <v>1.8717327794185254</v>
      </c>
      <c r="D259">
        <f>'Four-Weekly Heat &amp; Power Demand'!E268</f>
        <v>0.32981104388639787</v>
      </c>
      <c r="E259" s="55">
        <f>'Four-Weekly Heat &amp; Power Demand'!O268</f>
        <v>0.38224352251574223</v>
      </c>
      <c r="F259" s="55">
        <f>'Four-Weekly Heat &amp; Power Demand'!P268</f>
        <v>0.21957685264482196</v>
      </c>
      <c r="G259" s="55">
        <f>'Four-Weekly Heat &amp; Power Demand'!Q268</f>
        <v>4.6321775826741275E-2</v>
      </c>
    </row>
    <row r="260" spans="1:7" x14ac:dyDescent="0.2">
      <c r="A260">
        <v>259</v>
      </c>
      <c r="B260">
        <f>'Four-Weekly Heat &amp; Power Demand'!C269</f>
        <v>3.4332694957598457</v>
      </c>
      <c r="C260">
        <f>'Four-Weekly Heat &amp; Power Demand'!D269</f>
        <v>1.8717327794185254</v>
      </c>
      <c r="D260">
        <f>'Four-Weekly Heat &amp; Power Demand'!E269</f>
        <v>0.32981104388639787</v>
      </c>
      <c r="E260" s="55">
        <f>'Four-Weekly Heat &amp; Power Demand'!O269</f>
        <v>0.38224352251574223</v>
      </c>
      <c r="F260" s="55">
        <f>'Four-Weekly Heat &amp; Power Demand'!P269</f>
        <v>0.21957685264482196</v>
      </c>
      <c r="G260" s="55">
        <f>'Four-Weekly Heat &amp; Power Demand'!Q269</f>
        <v>4.6321775826741275E-2</v>
      </c>
    </row>
    <row r="261" spans="1:7" x14ac:dyDescent="0.2">
      <c r="A261">
        <v>260</v>
      </c>
      <c r="B261">
        <f>'Four-Weekly Heat &amp; Power Demand'!C270</f>
        <v>3.4332694957598457</v>
      </c>
      <c r="C261">
        <f>'Four-Weekly Heat &amp; Power Demand'!D270</f>
        <v>1.8717327794185254</v>
      </c>
      <c r="D261">
        <f>'Four-Weekly Heat &amp; Power Demand'!E270</f>
        <v>0.32981104388639787</v>
      </c>
      <c r="E261" s="55">
        <f>'Four-Weekly Heat &amp; Power Demand'!O270</f>
        <v>0.38224352251574223</v>
      </c>
      <c r="F261" s="55">
        <f>'Four-Weekly Heat &amp; Power Demand'!P270</f>
        <v>0.21957685264482196</v>
      </c>
      <c r="G261" s="55">
        <f>'Four-Weekly Heat &amp; Power Demand'!Q270</f>
        <v>4.6321775826741275E-2</v>
      </c>
    </row>
    <row r="262" spans="1:7" x14ac:dyDescent="0.2">
      <c r="A262">
        <v>261</v>
      </c>
      <c r="B262">
        <f>'Four-Weekly Heat &amp; Power Demand'!C271</f>
        <v>3.4332694957598457</v>
      </c>
      <c r="C262">
        <f>'Four-Weekly Heat &amp; Power Demand'!D271</f>
        <v>1.8717327794185254</v>
      </c>
      <c r="D262">
        <f>'Four-Weekly Heat &amp; Power Demand'!E271</f>
        <v>0.32981104388639787</v>
      </c>
      <c r="E262" s="55">
        <f>'Four-Weekly Heat &amp; Power Demand'!O271</f>
        <v>0.38224352251574223</v>
      </c>
      <c r="F262" s="55">
        <f>'Four-Weekly Heat &amp; Power Demand'!P271</f>
        <v>0.21957685264482196</v>
      </c>
      <c r="G262" s="55">
        <f>'Four-Weekly Heat &amp; Power Demand'!Q271</f>
        <v>4.6321775826741275E-2</v>
      </c>
    </row>
    <row r="263" spans="1:7" x14ac:dyDescent="0.2">
      <c r="A263">
        <v>262</v>
      </c>
      <c r="B263">
        <f>'Four-Weekly Heat &amp; Power Demand'!C272</f>
        <v>3.4332694957598457</v>
      </c>
      <c r="C263">
        <f>'Four-Weekly Heat &amp; Power Demand'!D272</f>
        <v>1.8717327794185254</v>
      </c>
      <c r="D263">
        <f>'Four-Weekly Heat &amp; Power Demand'!E272</f>
        <v>0.32981104388639787</v>
      </c>
      <c r="E263" s="55">
        <f>'Four-Weekly Heat &amp; Power Demand'!O272</f>
        <v>0.38224352251574223</v>
      </c>
      <c r="F263" s="55">
        <f>'Four-Weekly Heat &amp; Power Demand'!P272</f>
        <v>0.21957685264482196</v>
      </c>
      <c r="G263" s="55">
        <f>'Four-Weekly Heat &amp; Power Demand'!Q272</f>
        <v>4.6321775826741275E-2</v>
      </c>
    </row>
    <row r="264" spans="1:7" x14ac:dyDescent="0.2">
      <c r="A264">
        <v>263</v>
      </c>
      <c r="B264">
        <f>'Four-Weekly Heat &amp; Power Demand'!C273</f>
        <v>0</v>
      </c>
      <c r="C264">
        <f>'Four-Weekly Heat &amp; Power Demand'!D273</f>
        <v>0</v>
      </c>
      <c r="D264">
        <f>'Four-Weekly Heat &amp; Power Demand'!E273</f>
        <v>0</v>
      </c>
      <c r="E264" s="55">
        <f>'Four-Weekly Heat &amp; Power Demand'!O273</f>
        <v>0</v>
      </c>
      <c r="F264" s="55">
        <f>'Four-Weekly Heat &amp; Power Demand'!P273</f>
        <v>0</v>
      </c>
      <c r="G264" s="55">
        <f>'Four-Weekly Heat &amp; Power Demand'!Q273</f>
        <v>0</v>
      </c>
    </row>
    <row r="265" spans="1:7" x14ac:dyDescent="0.2">
      <c r="A265">
        <v>264</v>
      </c>
      <c r="B265">
        <f>'Four-Weekly Heat &amp; Power Demand'!C274</f>
        <v>0</v>
      </c>
      <c r="C265">
        <f>'Four-Weekly Heat &amp; Power Demand'!D274</f>
        <v>0</v>
      </c>
      <c r="D265">
        <f>'Four-Weekly Heat &amp; Power Demand'!E274</f>
        <v>0</v>
      </c>
      <c r="E265" s="55">
        <f>'Four-Weekly Heat &amp; Power Demand'!O274</f>
        <v>0</v>
      </c>
      <c r="F265" s="55">
        <f>'Four-Weekly Heat &amp; Power Demand'!P274</f>
        <v>0</v>
      </c>
      <c r="G265" s="55">
        <f>'Four-Weekly Heat &amp; Power Demand'!Q274</f>
        <v>0</v>
      </c>
    </row>
    <row r="266" spans="1:7" x14ac:dyDescent="0.2">
      <c r="A266">
        <v>265</v>
      </c>
      <c r="B266">
        <f>'Four-Weekly Heat &amp; Power Demand'!C275</f>
        <v>0</v>
      </c>
      <c r="C266">
        <f>'Four-Weekly Heat &amp; Power Demand'!D275</f>
        <v>0</v>
      </c>
      <c r="D266">
        <f>'Four-Weekly Heat &amp; Power Demand'!E275</f>
        <v>0</v>
      </c>
      <c r="E266" s="55">
        <f>'Four-Weekly Heat &amp; Power Demand'!O275</f>
        <v>0</v>
      </c>
      <c r="F266" s="55">
        <f>'Four-Weekly Heat &amp; Power Demand'!P275</f>
        <v>0</v>
      </c>
      <c r="G266" s="55">
        <f>'Four-Weekly Heat &amp; Power Demand'!Q275</f>
        <v>0</v>
      </c>
    </row>
    <row r="267" spans="1:7" x14ac:dyDescent="0.2">
      <c r="A267">
        <v>266</v>
      </c>
      <c r="B267">
        <f>'Four-Weekly Heat &amp; Power Demand'!C276</f>
        <v>0</v>
      </c>
      <c r="C267">
        <f>'Four-Weekly Heat &amp; Power Demand'!D276</f>
        <v>0</v>
      </c>
      <c r="D267">
        <f>'Four-Weekly Heat &amp; Power Demand'!E276</f>
        <v>0</v>
      </c>
      <c r="E267" s="55">
        <f>'Four-Weekly Heat &amp; Power Demand'!O276</f>
        <v>0</v>
      </c>
      <c r="F267" s="55">
        <f>'Four-Weekly Heat &amp; Power Demand'!P276</f>
        <v>0</v>
      </c>
      <c r="G267" s="55">
        <f>'Four-Weekly Heat &amp; Power Demand'!Q276</f>
        <v>0</v>
      </c>
    </row>
    <row r="268" spans="1:7" x14ac:dyDescent="0.2">
      <c r="A268">
        <v>267</v>
      </c>
      <c r="B268">
        <f>'Four-Weekly Heat &amp; Power Demand'!C277</f>
        <v>0</v>
      </c>
      <c r="C268">
        <f>'Four-Weekly Heat &amp; Power Demand'!D277</f>
        <v>0</v>
      </c>
      <c r="D268">
        <f>'Four-Weekly Heat &amp; Power Demand'!E277</f>
        <v>0</v>
      </c>
      <c r="E268" s="55">
        <f>'Four-Weekly Heat &amp; Power Demand'!O277</f>
        <v>0</v>
      </c>
      <c r="F268" s="55">
        <f>'Four-Weekly Heat &amp; Power Demand'!P277</f>
        <v>0</v>
      </c>
      <c r="G268" s="55">
        <f>'Four-Weekly Heat &amp; Power Demand'!Q277</f>
        <v>0</v>
      </c>
    </row>
    <row r="269" spans="1:7" x14ac:dyDescent="0.2">
      <c r="A269">
        <v>268</v>
      </c>
      <c r="B269">
        <f>'Four-Weekly Heat &amp; Power Demand'!C278</f>
        <v>0</v>
      </c>
      <c r="C269">
        <f>'Four-Weekly Heat &amp; Power Demand'!D278</f>
        <v>0</v>
      </c>
      <c r="D269">
        <f>'Four-Weekly Heat &amp; Power Demand'!E278</f>
        <v>0</v>
      </c>
      <c r="E269" s="55">
        <f>'Four-Weekly Heat &amp; Power Demand'!O278</f>
        <v>0</v>
      </c>
      <c r="F269" s="55">
        <f>'Four-Weekly Heat &amp; Power Demand'!P278</f>
        <v>0</v>
      </c>
      <c r="G269" s="55">
        <f>'Four-Weekly Heat &amp; Power Demand'!Q278</f>
        <v>0</v>
      </c>
    </row>
    <row r="270" spans="1:7" x14ac:dyDescent="0.2">
      <c r="A270">
        <v>269</v>
      </c>
      <c r="B270">
        <f>'Four-Weekly Heat &amp; Power Demand'!C279</f>
        <v>0</v>
      </c>
      <c r="C270">
        <f>'Four-Weekly Heat &amp; Power Demand'!D279</f>
        <v>0</v>
      </c>
      <c r="D270">
        <f>'Four-Weekly Heat &amp; Power Demand'!E279</f>
        <v>0</v>
      </c>
      <c r="E270" s="55">
        <f>'Four-Weekly Heat &amp; Power Demand'!O279</f>
        <v>0</v>
      </c>
      <c r="F270" s="55">
        <f>'Four-Weekly Heat &amp; Power Demand'!P279</f>
        <v>0</v>
      </c>
      <c r="G270" s="55">
        <f>'Four-Weekly Heat &amp; Power Demand'!Q279</f>
        <v>0</v>
      </c>
    </row>
    <row r="271" spans="1:7" x14ac:dyDescent="0.2">
      <c r="A271">
        <v>270</v>
      </c>
      <c r="B271">
        <f>'Four-Weekly Heat &amp; Power Demand'!C280</f>
        <v>0</v>
      </c>
      <c r="C271">
        <f>'Four-Weekly Heat &amp; Power Demand'!D280</f>
        <v>0</v>
      </c>
      <c r="D271">
        <f>'Four-Weekly Heat &amp; Power Demand'!E280</f>
        <v>0</v>
      </c>
      <c r="E271" s="55">
        <f>'Four-Weekly Heat &amp; Power Demand'!O280</f>
        <v>0</v>
      </c>
      <c r="F271" s="55">
        <f>'Four-Weekly Heat &amp; Power Demand'!P280</f>
        <v>0</v>
      </c>
      <c r="G271" s="55">
        <f>'Four-Weekly Heat &amp; Power Demand'!Q280</f>
        <v>0</v>
      </c>
    </row>
    <row r="272" spans="1:7" x14ac:dyDescent="0.2">
      <c r="A272">
        <v>271</v>
      </c>
      <c r="B272">
        <f>'Four-Weekly Heat &amp; Power Demand'!C281</f>
        <v>3.4332694957598457</v>
      </c>
      <c r="C272">
        <f>'Four-Weekly Heat &amp; Power Demand'!D281</f>
        <v>1.8717327794185254</v>
      </c>
      <c r="D272">
        <f>'Four-Weekly Heat &amp; Power Demand'!E281</f>
        <v>0.32981104388639787</v>
      </c>
      <c r="E272" s="55">
        <f>'Four-Weekly Heat &amp; Power Demand'!O281</f>
        <v>0.38224352251574223</v>
      </c>
      <c r="F272" s="55">
        <f>'Four-Weekly Heat &amp; Power Demand'!P281</f>
        <v>0.21957685264482196</v>
      </c>
      <c r="G272" s="55">
        <f>'Four-Weekly Heat &amp; Power Demand'!Q281</f>
        <v>4.6321775826741275E-2</v>
      </c>
    </row>
    <row r="273" spans="1:7" x14ac:dyDescent="0.2">
      <c r="A273">
        <v>272</v>
      </c>
      <c r="B273">
        <f>'Four-Weekly Heat &amp; Power Demand'!C282</f>
        <v>3.4332694957598457</v>
      </c>
      <c r="C273">
        <f>'Four-Weekly Heat &amp; Power Demand'!D282</f>
        <v>1.8717327794185254</v>
      </c>
      <c r="D273">
        <f>'Four-Weekly Heat &amp; Power Demand'!E282</f>
        <v>0.32981104388639787</v>
      </c>
      <c r="E273" s="55">
        <f>'Four-Weekly Heat &amp; Power Demand'!O282</f>
        <v>0.38224352251574223</v>
      </c>
      <c r="F273" s="55">
        <f>'Four-Weekly Heat &amp; Power Demand'!P282</f>
        <v>0.21957685264482196</v>
      </c>
      <c r="G273" s="55">
        <f>'Four-Weekly Heat &amp; Power Demand'!Q282</f>
        <v>4.6321775826741275E-2</v>
      </c>
    </row>
    <row r="274" spans="1:7" x14ac:dyDescent="0.2">
      <c r="A274">
        <v>273</v>
      </c>
      <c r="B274">
        <f>'Four-Weekly Heat &amp; Power Demand'!C283</f>
        <v>3.4332694957598457</v>
      </c>
      <c r="C274">
        <f>'Four-Weekly Heat &amp; Power Demand'!D283</f>
        <v>1.8717327794185254</v>
      </c>
      <c r="D274">
        <f>'Four-Weekly Heat &amp; Power Demand'!E283</f>
        <v>0.32981104388639787</v>
      </c>
      <c r="E274" s="55">
        <f>'Four-Weekly Heat &amp; Power Demand'!O283</f>
        <v>0.38224352251574223</v>
      </c>
      <c r="F274" s="55">
        <f>'Four-Weekly Heat &amp; Power Demand'!P283</f>
        <v>0.21957685264482196</v>
      </c>
      <c r="G274" s="55">
        <f>'Four-Weekly Heat &amp; Power Demand'!Q283</f>
        <v>4.6321775826741275E-2</v>
      </c>
    </row>
    <row r="275" spans="1:7" x14ac:dyDescent="0.2">
      <c r="A275">
        <v>274</v>
      </c>
      <c r="B275">
        <f>'Four-Weekly Heat &amp; Power Demand'!C284</f>
        <v>3.4332694957598457</v>
      </c>
      <c r="C275">
        <f>'Four-Weekly Heat &amp; Power Demand'!D284</f>
        <v>1.8717327794185254</v>
      </c>
      <c r="D275">
        <f>'Four-Weekly Heat &amp; Power Demand'!E284</f>
        <v>0.32981104388639787</v>
      </c>
      <c r="E275" s="55">
        <f>'Four-Weekly Heat &amp; Power Demand'!O284</f>
        <v>0.38224352251574223</v>
      </c>
      <c r="F275" s="55">
        <f>'Four-Weekly Heat &amp; Power Demand'!P284</f>
        <v>0.21957685264482196</v>
      </c>
      <c r="G275" s="55">
        <f>'Four-Weekly Heat &amp; Power Demand'!Q284</f>
        <v>4.6321775826741275E-2</v>
      </c>
    </row>
    <row r="276" spans="1:7" x14ac:dyDescent="0.2">
      <c r="A276">
        <v>275</v>
      </c>
      <c r="B276">
        <f>'Four-Weekly Heat &amp; Power Demand'!C285</f>
        <v>3.4332694957598457</v>
      </c>
      <c r="C276">
        <f>'Four-Weekly Heat &amp; Power Demand'!D285</f>
        <v>1.8717327794185254</v>
      </c>
      <c r="D276">
        <f>'Four-Weekly Heat &amp; Power Demand'!E285</f>
        <v>0.32981104388639787</v>
      </c>
      <c r="E276" s="55">
        <f>'Four-Weekly Heat &amp; Power Demand'!O285</f>
        <v>0.38224352251574223</v>
      </c>
      <c r="F276" s="55">
        <f>'Four-Weekly Heat &amp; Power Demand'!P285</f>
        <v>0.21957685264482196</v>
      </c>
      <c r="G276" s="55">
        <f>'Four-Weekly Heat &amp; Power Demand'!Q285</f>
        <v>4.6321775826741275E-2</v>
      </c>
    </row>
    <row r="277" spans="1:7" x14ac:dyDescent="0.2">
      <c r="A277">
        <v>276</v>
      </c>
      <c r="B277">
        <f>'Four-Weekly Heat &amp; Power Demand'!C286</f>
        <v>3.4332694957598457</v>
      </c>
      <c r="C277">
        <f>'Four-Weekly Heat &amp; Power Demand'!D286</f>
        <v>1.8717327794185254</v>
      </c>
      <c r="D277">
        <f>'Four-Weekly Heat &amp; Power Demand'!E286</f>
        <v>0.32981104388639787</v>
      </c>
      <c r="E277" s="55">
        <f>'Four-Weekly Heat &amp; Power Demand'!O286</f>
        <v>0.38224352251574223</v>
      </c>
      <c r="F277" s="55">
        <f>'Four-Weekly Heat &amp; Power Demand'!P286</f>
        <v>0.21957685264482196</v>
      </c>
      <c r="G277" s="55">
        <f>'Four-Weekly Heat &amp; Power Demand'!Q286</f>
        <v>4.6321775826741275E-2</v>
      </c>
    </row>
    <row r="278" spans="1:7" x14ac:dyDescent="0.2">
      <c r="A278">
        <v>277</v>
      </c>
      <c r="B278">
        <f>'Four-Weekly Heat &amp; Power Demand'!C287</f>
        <v>3.4332694957598457</v>
      </c>
      <c r="C278">
        <f>'Four-Weekly Heat &amp; Power Demand'!D287</f>
        <v>1.8717327794185254</v>
      </c>
      <c r="D278">
        <f>'Four-Weekly Heat &amp; Power Demand'!E287</f>
        <v>0.32981104388639787</v>
      </c>
      <c r="E278" s="55">
        <f>'Four-Weekly Heat &amp; Power Demand'!O287</f>
        <v>0.38224352251574223</v>
      </c>
      <c r="F278" s="55">
        <f>'Four-Weekly Heat &amp; Power Demand'!P287</f>
        <v>0.21957685264482196</v>
      </c>
      <c r="G278" s="55">
        <f>'Four-Weekly Heat &amp; Power Demand'!Q287</f>
        <v>4.6321775826741275E-2</v>
      </c>
    </row>
    <row r="279" spans="1:7" x14ac:dyDescent="0.2">
      <c r="A279">
        <v>278</v>
      </c>
      <c r="B279">
        <f>'Four-Weekly Heat &amp; Power Demand'!C288</f>
        <v>3.4332694957598457</v>
      </c>
      <c r="C279">
        <f>'Four-Weekly Heat &amp; Power Demand'!D288</f>
        <v>1.8717327794185254</v>
      </c>
      <c r="D279">
        <f>'Four-Weekly Heat &amp; Power Demand'!E288</f>
        <v>0.32981104388639787</v>
      </c>
      <c r="E279" s="55">
        <f>'Four-Weekly Heat &amp; Power Demand'!O288</f>
        <v>0.38224352251574223</v>
      </c>
      <c r="F279" s="55">
        <f>'Four-Weekly Heat &amp; Power Demand'!P288</f>
        <v>0.21957685264482196</v>
      </c>
      <c r="G279" s="55">
        <f>'Four-Weekly Heat &amp; Power Demand'!Q288</f>
        <v>4.6321775826741275E-2</v>
      </c>
    </row>
    <row r="280" spans="1:7" x14ac:dyDescent="0.2">
      <c r="A280">
        <v>279</v>
      </c>
      <c r="B280">
        <f>'Four-Weekly Heat &amp; Power Demand'!C289</f>
        <v>3.4332694957598457</v>
      </c>
      <c r="C280">
        <f>'Four-Weekly Heat &amp; Power Demand'!D289</f>
        <v>1.8717327794185254</v>
      </c>
      <c r="D280">
        <f>'Four-Weekly Heat &amp; Power Demand'!E289</f>
        <v>0.32981104388639787</v>
      </c>
      <c r="E280" s="55">
        <f>'Four-Weekly Heat &amp; Power Demand'!O289</f>
        <v>0.38224352251574223</v>
      </c>
      <c r="F280" s="55">
        <f>'Four-Weekly Heat &amp; Power Demand'!P289</f>
        <v>0.21957685264482196</v>
      </c>
      <c r="G280" s="55">
        <f>'Four-Weekly Heat &amp; Power Demand'!Q289</f>
        <v>4.6321775826741275E-2</v>
      </c>
    </row>
    <row r="281" spans="1:7" x14ac:dyDescent="0.2">
      <c r="A281">
        <v>280</v>
      </c>
      <c r="B281">
        <f>'Four-Weekly Heat &amp; Power Demand'!C290</f>
        <v>3.4332694957598457</v>
      </c>
      <c r="C281">
        <f>'Four-Weekly Heat &amp; Power Demand'!D290</f>
        <v>1.8717327794185254</v>
      </c>
      <c r="D281">
        <f>'Four-Weekly Heat &amp; Power Demand'!E290</f>
        <v>0.32981104388639787</v>
      </c>
      <c r="E281" s="55">
        <f>'Four-Weekly Heat &amp; Power Demand'!O290</f>
        <v>0.38224352251574223</v>
      </c>
      <c r="F281" s="55">
        <f>'Four-Weekly Heat &amp; Power Demand'!P290</f>
        <v>0.21957685264482196</v>
      </c>
      <c r="G281" s="55">
        <f>'Four-Weekly Heat &amp; Power Demand'!Q290</f>
        <v>4.6321775826741275E-2</v>
      </c>
    </row>
    <row r="282" spans="1:7" x14ac:dyDescent="0.2">
      <c r="A282">
        <v>281</v>
      </c>
      <c r="B282">
        <f>'Four-Weekly Heat &amp; Power Demand'!C291</f>
        <v>3.4332694957598457</v>
      </c>
      <c r="C282">
        <f>'Four-Weekly Heat &amp; Power Demand'!D291</f>
        <v>1.8717327794185254</v>
      </c>
      <c r="D282">
        <f>'Four-Weekly Heat &amp; Power Demand'!E291</f>
        <v>0.32981104388639787</v>
      </c>
      <c r="E282" s="55">
        <f>'Four-Weekly Heat &amp; Power Demand'!O291</f>
        <v>0.38224352251574223</v>
      </c>
      <c r="F282" s="55">
        <f>'Four-Weekly Heat &amp; Power Demand'!P291</f>
        <v>0.21957685264482196</v>
      </c>
      <c r="G282" s="55">
        <f>'Four-Weekly Heat &amp; Power Demand'!Q291</f>
        <v>4.6321775826741275E-2</v>
      </c>
    </row>
    <row r="283" spans="1:7" x14ac:dyDescent="0.2">
      <c r="A283">
        <v>282</v>
      </c>
      <c r="B283">
        <f>'Four-Weekly Heat &amp; Power Demand'!C292</f>
        <v>3.4332694957598457</v>
      </c>
      <c r="C283">
        <f>'Four-Weekly Heat &amp; Power Demand'!D292</f>
        <v>1.8717327794185254</v>
      </c>
      <c r="D283">
        <f>'Four-Weekly Heat &amp; Power Demand'!E292</f>
        <v>0.32981104388639787</v>
      </c>
      <c r="E283" s="55">
        <f>'Four-Weekly Heat &amp; Power Demand'!O292</f>
        <v>0.38224352251574223</v>
      </c>
      <c r="F283" s="55">
        <f>'Four-Weekly Heat &amp; Power Demand'!P292</f>
        <v>0.21957685264482196</v>
      </c>
      <c r="G283" s="55">
        <f>'Four-Weekly Heat &amp; Power Demand'!Q292</f>
        <v>4.6321775826741275E-2</v>
      </c>
    </row>
    <row r="284" spans="1:7" x14ac:dyDescent="0.2">
      <c r="A284">
        <v>283</v>
      </c>
      <c r="B284">
        <f>'Four-Weekly Heat &amp; Power Demand'!C293</f>
        <v>3.4332694957598457</v>
      </c>
      <c r="C284">
        <f>'Four-Weekly Heat &amp; Power Demand'!D293</f>
        <v>1.8717327794185254</v>
      </c>
      <c r="D284">
        <f>'Four-Weekly Heat &amp; Power Demand'!E293</f>
        <v>0.32981104388639787</v>
      </c>
      <c r="E284" s="55">
        <f>'Four-Weekly Heat &amp; Power Demand'!O293</f>
        <v>0.38224352251574223</v>
      </c>
      <c r="F284" s="55">
        <f>'Four-Weekly Heat &amp; Power Demand'!P293</f>
        <v>0.21957685264482196</v>
      </c>
      <c r="G284" s="55">
        <f>'Four-Weekly Heat &amp; Power Demand'!Q293</f>
        <v>4.6321775826741275E-2</v>
      </c>
    </row>
    <row r="285" spans="1:7" x14ac:dyDescent="0.2">
      <c r="A285">
        <v>284</v>
      </c>
      <c r="B285">
        <f>'Four-Weekly Heat &amp; Power Demand'!C294</f>
        <v>3.4332694957598457</v>
      </c>
      <c r="C285">
        <f>'Four-Weekly Heat &amp; Power Demand'!D294</f>
        <v>1.8717327794185254</v>
      </c>
      <c r="D285">
        <f>'Four-Weekly Heat &amp; Power Demand'!E294</f>
        <v>0.32981104388639787</v>
      </c>
      <c r="E285" s="55">
        <f>'Four-Weekly Heat &amp; Power Demand'!O294</f>
        <v>0.38224352251574223</v>
      </c>
      <c r="F285" s="55">
        <f>'Four-Weekly Heat &amp; Power Demand'!P294</f>
        <v>0.21957685264482196</v>
      </c>
      <c r="G285" s="55">
        <f>'Four-Weekly Heat &amp; Power Demand'!Q294</f>
        <v>4.6321775826741275E-2</v>
      </c>
    </row>
    <row r="286" spans="1:7" x14ac:dyDescent="0.2">
      <c r="A286">
        <v>285</v>
      </c>
      <c r="B286">
        <f>'Four-Weekly Heat &amp; Power Demand'!C295</f>
        <v>3.4332694957598457</v>
      </c>
      <c r="C286">
        <f>'Four-Weekly Heat &amp; Power Demand'!D295</f>
        <v>1.8717327794185254</v>
      </c>
      <c r="D286">
        <f>'Four-Weekly Heat &amp; Power Demand'!E295</f>
        <v>0.32981104388639787</v>
      </c>
      <c r="E286" s="55">
        <f>'Four-Weekly Heat &amp; Power Demand'!O295</f>
        <v>0.38224352251574223</v>
      </c>
      <c r="F286" s="55">
        <f>'Four-Weekly Heat &amp; Power Demand'!P295</f>
        <v>0.21957685264482196</v>
      </c>
      <c r="G286" s="55">
        <f>'Four-Weekly Heat &amp; Power Demand'!Q295</f>
        <v>4.6321775826741275E-2</v>
      </c>
    </row>
    <row r="287" spans="1:7" x14ac:dyDescent="0.2">
      <c r="A287">
        <v>286</v>
      </c>
      <c r="B287">
        <f>'Four-Weekly Heat &amp; Power Demand'!C296</f>
        <v>3.4332694957598457</v>
      </c>
      <c r="C287">
        <f>'Four-Weekly Heat &amp; Power Demand'!D296</f>
        <v>1.8717327794185254</v>
      </c>
      <c r="D287">
        <f>'Four-Weekly Heat &amp; Power Demand'!E296</f>
        <v>0.32981104388639787</v>
      </c>
      <c r="E287" s="55">
        <f>'Four-Weekly Heat &amp; Power Demand'!O296</f>
        <v>0.38224352251574223</v>
      </c>
      <c r="F287" s="55">
        <f>'Four-Weekly Heat &amp; Power Demand'!P296</f>
        <v>0.21957685264482196</v>
      </c>
      <c r="G287" s="55">
        <f>'Four-Weekly Heat &amp; Power Demand'!Q296</f>
        <v>4.6321775826741275E-2</v>
      </c>
    </row>
    <row r="288" spans="1:7" x14ac:dyDescent="0.2">
      <c r="A288">
        <v>287</v>
      </c>
      <c r="B288">
        <f>'Four-Weekly Heat &amp; Power Demand'!C297</f>
        <v>0</v>
      </c>
      <c r="C288">
        <f>'Four-Weekly Heat &amp; Power Demand'!D297</f>
        <v>0</v>
      </c>
      <c r="D288">
        <f>'Four-Weekly Heat &amp; Power Demand'!E297</f>
        <v>0</v>
      </c>
      <c r="E288" s="55">
        <f>'Four-Weekly Heat &amp; Power Demand'!O297</f>
        <v>0</v>
      </c>
      <c r="F288" s="55">
        <f>'Four-Weekly Heat &amp; Power Demand'!P297</f>
        <v>0</v>
      </c>
      <c r="G288" s="55">
        <f>'Four-Weekly Heat &amp; Power Demand'!Q297</f>
        <v>0</v>
      </c>
    </row>
    <row r="289" spans="1:7" x14ac:dyDescent="0.2">
      <c r="A289">
        <v>288</v>
      </c>
      <c r="B289">
        <f>'Four-Weekly Heat &amp; Power Demand'!C298</f>
        <v>0</v>
      </c>
      <c r="C289">
        <f>'Four-Weekly Heat &amp; Power Demand'!D298</f>
        <v>0</v>
      </c>
      <c r="D289">
        <f>'Four-Weekly Heat &amp; Power Demand'!E298</f>
        <v>0</v>
      </c>
      <c r="E289" s="55">
        <f>'Four-Weekly Heat &amp; Power Demand'!O298</f>
        <v>0</v>
      </c>
      <c r="F289" s="55">
        <f>'Four-Weekly Heat &amp; Power Demand'!P298</f>
        <v>0</v>
      </c>
      <c r="G289" s="55">
        <f>'Four-Weekly Heat &amp; Power Demand'!Q298</f>
        <v>0</v>
      </c>
    </row>
    <row r="290" spans="1:7" x14ac:dyDescent="0.2">
      <c r="A290">
        <v>289</v>
      </c>
      <c r="B290">
        <f>'Four-Weekly Heat &amp; Power Demand'!C299</f>
        <v>0</v>
      </c>
      <c r="C290">
        <f>'Four-Weekly Heat &amp; Power Demand'!D299</f>
        <v>0</v>
      </c>
      <c r="D290">
        <f>'Four-Weekly Heat &amp; Power Demand'!E299</f>
        <v>0</v>
      </c>
      <c r="E290" s="55">
        <f>'Four-Weekly Heat &amp; Power Demand'!O299</f>
        <v>0</v>
      </c>
      <c r="F290" s="55">
        <f>'Four-Weekly Heat &amp; Power Demand'!P299</f>
        <v>0</v>
      </c>
      <c r="G290" s="55">
        <f>'Four-Weekly Heat &amp; Power Demand'!Q299</f>
        <v>0</v>
      </c>
    </row>
    <row r="291" spans="1:7" x14ac:dyDescent="0.2">
      <c r="A291">
        <v>290</v>
      </c>
      <c r="B291">
        <f>'Four-Weekly Heat &amp; Power Demand'!C300</f>
        <v>0</v>
      </c>
      <c r="C291">
        <f>'Four-Weekly Heat &amp; Power Demand'!D300</f>
        <v>0</v>
      </c>
      <c r="D291">
        <f>'Four-Weekly Heat &amp; Power Demand'!E300</f>
        <v>0</v>
      </c>
      <c r="E291" s="55">
        <f>'Four-Weekly Heat &amp; Power Demand'!O300</f>
        <v>0</v>
      </c>
      <c r="F291" s="55">
        <f>'Four-Weekly Heat &amp; Power Demand'!P300</f>
        <v>0</v>
      </c>
      <c r="G291" s="55">
        <f>'Four-Weekly Heat &amp; Power Demand'!Q300</f>
        <v>0</v>
      </c>
    </row>
    <row r="292" spans="1:7" x14ac:dyDescent="0.2">
      <c r="A292">
        <v>291</v>
      </c>
      <c r="B292">
        <f>'Four-Weekly Heat &amp; Power Demand'!C301</f>
        <v>0</v>
      </c>
      <c r="C292">
        <f>'Four-Weekly Heat &amp; Power Demand'!D301</f>
        <v>0</v>
      </c>
      <c r="D292">
        <f>'Four-Weekly Heat &amp; Power Demand'!E301</f>
        <v>0</v>
      </c>
      <c r="E292" s="55">
        <f>'Four-Weekly Heat &amp; Power Demand'!O301</f>
        <v>0</v>
      </c>
      <c r="F292" s="55">
        <f>'Four-Weekly Heat &amp; Power Demand'!P301</f>
        <v>0</v>
      </c>
      <c r="G292" s="55">
        <f>'Four-Weekly Heat &amp; Power Demand'!Q301</f>
        <v>0</v>
      </c>
    </row>
    <row r="293" spans="1:7" x14ac:dyDescent="0.2">
      <c r="A293">
        <v>292</v>
      </c>
      <c r="B293">
        <f>'Four-Weekly Heat &amp; Power Demand'!C302</f>
        <v>0</v>
      </c>
      <c r="C293">
        <f>'Four-Weekly Heat &amp; Power Demand'!D302</f>
        <v>0</v>
      </c>
      <c r="D293">
        <f>'Four-Weekly Heat &amp; Power Demand'!E302</f>
        <v>0</v>
      </c>
      <c r="E293" s="55">
        <f>'Four-Weekly Heat &amp; Power Demand'!O302</f>
        <v>0</v>
      </c>
      <c r="F293" s="55">
        <f>'Four-Weekly Heat &amp; Power Demand'!P302</f>
        <v>0</v>
      </c>
      <c r="G293" s="55">
        <f>'Four-Weekly Heat &amp; Power Demand'!Q302</f>
        <v>0</v>
      </c>
    </row>
    <row r="294" spans="1:7" x14ac:dyDescent="0.2">
      <c r="A294">
        <v>293</v>
      </c>
      <c r="B294">
        <f>'Four-Weekly Heat &amp; Power Demand'!C303</f>
        <v>0</v>
      </c>
      <c r="C294">
        <f>'Four-Weekly Heat &amp; Power Demand'!D303</f>
        <v>0</v>
      </c>
      <c r="D294">
        <f>'Four-Weekly Heat &amp; Power Demand'!E303</f>
        <v>0</v>
      </c>
      <c r="E294" s="55">
        <f>'Four-Weekly Heat &amp; Power Demand'!O303</f>
        <v>0</v>
      </c>
      <c r="F294" s="55">
        <f>'Four-Weekly Heat &amp; Power Demand'!P303</f>
        <v>0</v>
      </c>
      <c r="G294" s="55">
        <f>'Four-Weekly Heat &amp; Power Demand'!Q303</f>
        <v>0</v>
      </c>
    </row>
    <row r="295" spans="1:7" x14ac:dyDescent="0.2">
      <c r="A295">
        <v>294</v>
      </c>
      <c r="B295">
        <f>'Four-Weekly Heat &amp; Power Demand'!C304</f>
        <v>0</v>
      </c>
      <c r="C295">
        <f>'Four-Weekly Heat &amp; Power Demand'!D304</f>
        <v>0</v>
      </c>
      <c r="D295">
        <f>'Four-Weekly Heat &amp; Power Demand'!E304</f>
        <v>0</v>
      </c>
      <c r="E295" s="55">
        <f>'Four-Weekly Heat &amp; Power Demand'!O304</f>
        <v>0</v>
      </c>
      <c r="F295" s="55">
        <f>'Four-Weekly Heat &amp; Power Demand'!P304</f>
        <v>0</v>
      </c>
      <c r="G295" s="55">
        <f>'Four-Weekly Heat &amp; Power Demand'!Q304</f>
        <v>0</v>
      </c>
    </row>
    <row r="296" spans="1:7" x14ac:dyDescent="0.2">
      <c r="A296">
        <v>295</v>
      </c>
      <c r="B296">
        <f>'Four-Weekly Heat &amp; Power Demand'!C305</f>
        <v>3.4332694957598457</v>
      </c>
      <c r="C296">
        <f>'Four-Weekly Heat &amp; Power Demand'!D305</f>
        <v>1.8717327794185254</v>
      </c>
      <c r="D296">
        <f>'Four-Weekly Heat &amp; Power Demand'!E305</f>
        <v>0.32981104388639787</v>
      </c>
      <c r="E296" s="55">
        <f>'Four-Weekly Heat &amp; Power Demand'!O305</f>
        <v>0.38224352251574223</v>
      </c>
      <c r="F296" s="55">
        <f>'Four-Weekly Heat &amp; Power Demand'!P305</f>
        <v>0.21957685264482196</v>
      </c>
      <c r="G296" s="55">
        <f>'Four-Weekly Heat &amp; Power Demand'!Q305</f>
        <v>4.6321775826741275E-2</v>
      </c>
    </row>
    <row r="297" spans="1:7" x14ac:dyDescent="0.2">
      <c r="A297">
        <v>296</v>
      </c>
      <c r="B297">
        <f>'Four-Weekly Heat &amp; Power Demand'!C306</f>
        <v>3.4332694957598457</v>
      </c>
      <c r="C297">
        <f>'Four-Weekly Heat &amp; Power Demand'!D306</f>
        <v>1.8717327794185254</v>
      </c>
      <c r="D297">
        <f>'Four-Weekly Heat &amp; Power Demand'!E306</f>
        <v>0.32981104388639787</v>
      </c>
      <c r="E297" s="55">
        <f>'Four-Weekly Heat &amp; Power Demand'!O306</f>
        <v>0.38224352251574223</v>
      </c>
      <c r="F297" s="55">
        <f>'Four-Weekly Heat &amp; Power Demand'!P306</f>
        <v>0.21957685264482196</v>
      </c>
      <c r="G297" s="55">
        <f>'Four-Weekly Heat &amp; Power Demand'!Q306</f>
        <v>4.6321775826741275E-2</v>
      </c>
    </row>
    <row r="298" spans="1:7" x14ac:dyDescent="0.2">
      <c r="A298">
        <v>297</v>
      </c>
      <c r="B298">
        <f>'Four-Weekly Heat &amp; Power Demand'!C307</f>
        <v>0</v>
      </c>
      <c r="C298">
        <f>'Four-Weekly Heat &amp; Power Demand'!D307</f>
        <v>0</v>
      </c>
      <c r="D298">
        <f>'Four-Weekly Heat &amp; Power Demand'!E307</f>
        <v>0</v>
      </c>
      <c r="E298" s="55">
        <f>'Four-Weekly Heat &amp; Power Demand'!O307</f>
        <v>0</v>
      </c>
      <c r="F298" s="55">
        <f>'Four-Weekly Heat &amp; Power Demand'!P307</f>
        <v>0</v>
      </c>
      <c r="G298" s="55">
        <f>'Four-Weekly Heat &amp; Power Demand'!Q307</f>
        <v>0</v>
      </c>
    </row>
    <row r="299" spans="1:7" x14ac:dyDescent="0.2">
      <c r="A299">
        <v>298</v>
      </c>
      <c r="B299">
        <f>'Four-Weekly Heat &amp; Power Demand'!C308</f>
        <v>0</v>
      </c>
      <c r="C299">
        <f>'Four-Weekly Heat &amp; Power Demand'!D308</f>
        <v>0</v>
      </c>
      <c r="D299">
        <f>'Four-Weekly Heat &amp; Power Demand'!E308</f>
        <v>0</v>
      </c>
      <c r="E299" s="55">
        <f>'Four-Weekly Heat &amp; Power Demand'!O308</f>
        <v>0</v>
      </c>
      <c r="F299" s="55">
        <f>'Four-Weekly Heat &amp; Power Demand'!P308</f>
        <v>0</v>
      </c>
      <c r="G299" s="55">
        <f>'Four-Weekly Heat &amp; Power Demand'!Q308</f>
        <v>0</v>
      </c>
    </row>
    <row r="300" spans="1:7" x14ac:dyDescent="0.2">
      <c r="A300">
        <v>299</v>
      </c>
      <c r="B300">
        <f>'Four-Weekly Heat &amp; Power Demand'!C309</f>
        <v>0</v>
      </c>
      <c r="C300">
        <f>'Four-Weekly Heat &amp; Power Demand'!D309</f>
        <v>0</v>
      </c>
      <c r="D300">
        <f>'Four-Weekly Heat &amp; Power Demand'!E309</f>
        <v>0</v>
      </c>
      <c r="E300" s="55">
        <f>'Four-Weekly Heat &amp; Power Demand'!O309</f>
        <v>0</v>
      </c>
      <c r="F300" s="55">
        <f>'Four-Weekly Heat &amp; Power Demand'!P309</f>
        <v>0</v>
      </c>
      <c r="G300" s="55">
        <f>'Four-Weekly Heat &amp; Power Demand'!Q309</f>
        <v>0</v>
      </c>
    </row>
    <row r="301" spans="1:7" x14ac:dyDescent="0.2">
      <c r="A301">
        <v>300</v>
      </c>
      <c r="B301">
        <f>'Four-Weekly Heat &amp; Power Demand'!C310</f>
        <v>0</v>
      </c>
      <c r="C301">
        <f>'Four-Weekly Heat &amp; Power Demand'!D310</f>
        <v>0</v>
      </c>
      <c r="D301">
        <f>'Four-Weekly Heat &amp; Power Demand'!E310</f>
        <v>0</v>
      </c>
      <c r="E301" s="55">
        <f>'Four-Weekly Heat &amp; Power Demand'!O310</f>
        <v>0</v>
      </c>
      <c r="F301" s="55">
        <f>'Four-Weekly Heat &amp; Power Demand'!P310</f>
        <v>0</v>
      </c>
      <c r="G301" s="55">
        <f>'Four-Weekly Heat &amp; Power Demand'!Q310</f>
        <v>0</v>
      </c>
    </row>
    <row r="302" spans="1:7" x14ac:dyDescent="0.2">
      <c r="A302">
        <v>301</v>
      </c>
      <c r="B302">
        <f>'Four-Weekly Heat &amp; Power Demand'!C311</f>
        <v>0</v>
      </c>
      <c r="C302">
        <f>'Four-Weekly Heat &amp; Power Demand'!D311</f>
        <v>0</v>
      </c>
      <c r="D302">
        <f>'Four-Weekly Heat &amp; Power Demand'!E311</f>
        <v>0</v>
      </c>
      <c r="E302" s="55">
        <f>'Four-Weekly Heat &amp; Power Demand'!O311</f>
        <v>0</v>
      </c>
      <c r="F302" s="55">
        <f>'Four-Weekly Heat &amp; Power Demand'!P311</f>
        <v>0</v>
      </c>
      <c r="G302" s="55">
        <f>'Four-Weekly Heat &amp; Power Demand'!Q311</f>
        <v>0</v>
      </c>
    </row>
    <row r="303" spans="1:7" x14ac:dyDescent="0.2">
      <c r="A303">
        <v>302</v>
      </c>
      <c r="B303">
        <f>'Four-Weekly Heat &amp; Power Demand'!C312</f>
        <v>0</v>
      </c>
      <c r="C303">
        <f>'Four-Weekly Heat &amp; Power Demand'!D312</f>
        <v>0</v>
      </c>
      <c r="D303">
        <f>'Four-Weekly Heat &amp; Power Demand'!E312</f>
        <v>0</v>
      </c>
      <c r="E303" s="55">
        <f>'Four-Weekly Heat &amp; Power Demand'!O312</f>
        <v>0</v>
      </c>
      <c r="F303" s="55">
        <f>'Four-Weekly Heat &amp; Power Demand'!P312</f>
        <v>0</v>
      </c>
      <c r="G303" s="55">
        <f>'Four-Weekly Heat &amp; Power Demand'!Q312</f>
        <v>0</v>
      </c>
    </row>
    <row r="304" spans="1:7" x14ac:dyDescent="0.2">
      <c r="A304">
        <v>303</v>
      </c>
      <c r="B304">
        <f>'Four-Weekly Heat &amp; Power Demand'!C313</f>
        <v>0</v>
      </c>
      <c r="C304">
        <f>'Four-Weekly Heat &amp; Power Demand'!D313</f>
        <v>0</v>
      </c>
      <c r="D304">
        <f>'Four-Weekly Heat &amp; Power Demand'!E313</f>
        <v>0</v>
      </c>
      <c r="E304" s="55">
        <f>'Four-Weekly Heat &amp; Power Demand'!O313</f>
        <v>0</v>
      </c>
      <c r="F304" s="55">
        <f>'Four-Weekly Heat &amp; Power Demand'!P313</f>
        <v>0</v>
      </c>
      <c r="G304" s="55">
        <f>'Four-Weekly Heat &amp; Power Demand'!Q313</f>
        <v>0</v>
      </c>
    </row>
    <row r="305" spans="1:7" x14ac:dyDescent="0.2">
      <c r="A305">
        <v>304</v>
      </c>
      <c r="B305">
        <f>'Four-Weekly Heat &amp; Power Demand'!C314</f>
        <v>3.4332694957598457</v>
      </c>
      <c r="C305">
        <f>'Four-Weekly Heat &amp; Power Demand'!D314</f>
        <v>1.8717327794185254</v>
      </c>
      <c r="D305">
        <f>'Four-Weekly Heat &amp; Power Demand'!E314</f>
        <v>0.32981104388639787</v>
      </c>
      <c r="E305" s="55">
        <f>'Four-Weekly Heat &amp; Power Demand'!O314</f>
        <v>0.38224352251574223</v>
      </c>
      <c r="F305" s="55">
        <f>'Four-Weekly Heat &amp; Power Demand'!P314</f>
        <v>0.21957685264482196</v>
      </c>
      <c r="G305" s="55">
        <f>'Four-Weekly Heat &amp; Power Demand'!Q314</f>
        <v>4.6321775826741275E-2</v>
      </c>
    </row>
    <row r="306" spans="1:7" x14ac:dyDescent="0.2">
      <c r="A306">
        <v>305</v>
      </c>
      <c r="B306">
        <f>'Four-Weekly Heat &amp; Power Demand'!C315</f>
        <v>3.4332694957598457</v>
      </c>
      <c r="C306">
        <f>'Four-Weekly Heat &amp; Power Demand'!D315</f>
        <v>1.8717327794185254</v>
      </c>
      <c r="D306">
        <f>'Four-Weekly Heat &amp; Power Demand'!E315</f>
        <v>0.32981104388639787</v>
      </c>
      <c r="E306" s="55">
        <f>'Four-Weekly Heat &amp; Power Demand'!O315</f>
        <v>0.38224352251574223</v>
      </c>
      <c r="F306" s="55">
        <f>'Four-Weekly Heat &amp; Power Demand'!P315</f>
        <v>0.21957685264482196</v>
      </c>
      <c r="G306" s="55">
        <f>'Four-Weekly Heat &amp; Power Demand'!Q315</f>
        <v>4.6321775826741275E-2</v>
      </c>
    </row>
    <row r="307" spans="1:7" x14ac:dyDescent="0.2">
      <c r="A307">
        <v>306</v>
      </c>
      <c r="B307">
        <f>'Four-Weekly Heat &amp; Power Demand'!C316</f>
        <v>3.4332694957598457</v>
      </c>
      <c r="C307">
        <f>'Four-Weekly Heat &amp; Power Demand'!D316</f>
        <v>1.8717327794185254</v>
      </c>
      <c r="D307">
        <f>'Four-Weekly Heat &amp; Power Demand'!E316</f>
        <v>0.32981104388639787</v>
      </c>
      <c r="E307" s="55">
        <f>'Four-Weekly Heat &amp; Power Demand'!O316</f>
        <v>0.38224352251574223</v>
      </c>
      <c r="F307" s="55">
        <f>'Four-Weekly Heat &amp; Power Demand'!P316</f>
        <v>0.21957685264482196</v>
      </c>
      <c r="G307" s="55">
        <f>'Four-Weekly Heat &amp; Power Demand'!Q316</f>
        <v>4.6321775826741275E-2</v>
      </c>
    </row>
    <row r="308" spans="1:7" x14ac:dyDescent="0.2">
      <c r="A308">
        <v>307</v>
      </c>
      <c r="B308">
        <f>'Four-Weekly Heat &amp; Power Demand'!C317</f>
        <v>3.4332694957598457</v>
      </c>
      <c r="C308">
        <f>'Four-Weekly Heat &amp; Power Demand'!D317</f>
        <v>1.8717327794185254</v>
      </c>
      <c r="D308">
        <f>'Four-Weekly Heat &amp; Power Demand'!E317</f>
        <v>0.32981104388639787</v>
      </c>
      <c r="E308" s="55">
        <f>'Four-Weekly Heat &amp; Power Demand'!O317</f>
        <v>0.38224352251574223</v>
      </c>
      <c r="F308" s="55">
        <f>'Four-Weekly Heat &amp; Power Demand'!P317</f>
        <v>0.21957685264482196</v>
      </c>
      <c r="G308" s="55">
        <f>'Four-Weekly Heat &amp; Power Demand'!Q317</f>
        <v>4.6321775826741275E-2</v>
      </c>
    </row>
    <row r="309" spans="1:7" x14ac:dyDescent="0.2">
      <c r="A309">
        <v>308</v>
      </c>
      <c r="B309">
        <f>'Four-Weekly Heat &amp; Power Demand'!C318</f>
        <v>3.4332694957598457</v>
      </c>
      <c r="C309">
        <f>'Four-Weekly Heat &amp; Power Demand'!D318</f>
        <v>1.8717327794185254</v>
      </c>
      <c r="D309">
        <f>'Four-Weekly Heat &amp; Power Demand'!E318</f>
        <v>0.32981104388639787</v>
      </c>
      <c r="E309" s="55">
        <f>'Four-Weekly Heat &amp; Power Demand'!O318</f>
        <v>0.38224352251574223</v>
      </c>
      <c r="F309" s="55">
        <f>'Four-Weekly Heat &amp; Power Demand'!P318</f>
        <v>0.21957685264482196</v>
      </c>
      <c r="G309" s="55">
        <f>'Four-Weekly Heat &amp; Power Demand'!Q318</f>
        <v>4.6321775826741275E-2</v>
      </c>
    </row>
    <row r="310" spans="1:7" x14ac:dyDescent="0.2">
      <c r="A310">
        <v>309</v>
      </c>
      <c r="B310">
        <f>'Four-Weekly Heat &amp; Power Demand'!C319</f>
        <v>3.4332694957598457</v>
      </c>
      <c r="C310">
        <f>'Four-Weekly Heat &amp; Power Demand'!D319</f>
        <v>1.8717327794185254</v>
      </c>
      <c r="D310">
        <f>'Four-Weekly Heat &amp; Power Demand'!E319</f>
        <v>0.32981104388639787</v>
      </c>
      <c r="E310" s="55">
        <f>'Four-Weekly Heat &amp; Power Demand'!O319</f>
        <v>0.38224352251574223</v>
      </c>
      <c r="F310" s="55">
        <f>'Four-Weekly Heat &amp; Power Demand'!P319</f>
        <v>0.21957685264482196</v>
      </c>
      <c r="G310" s="55">
        <f>'Four-Weekly Heat &amp; Power Demand'!Q319</f>
        <v>4.6321775826741275E-2</v>
      </c>
    </row>
    <row r="311" spans="1:7" x14ac:dyDescent="0.2">
      <c r="A311">
        <v>310</v>
      </c>
      <c r="B311">
        <f>'Four-Weekly Heat &amp; Power Demand'!C320</f>
        <v>3.4332694957598457</v>
      </c>
      <c r="C311">
        <f>'Four-Weekly Heat &amp; Power Demand'!D320</f>
        <v>1.8717327794185254</v>
      </c>
      <c r="D311">
        <f>'Four-Weekly Heat &amp; Power Demand'!E320</f>
        <v>0.32981104388639787</v>
      </c>
      <c r="E311" s="55">
        <f>'Four-Weekly Heat &amp; Power Demand'!O320</f>
        <v>0.38224352251574223</v>
      </c>
      <c r="F311" s="55">
        <f>'Four-Weekly Heat &amp; Power Demand'!P320</f>
        <v>0.21957685264482196</v>
      </c>
      <c r="G311" s="55">
        <f>'Four-Weekly Heat &amp; Power Demand'!Q320</f>
        <v>4.6321775826741275E-2</v>
      </c>
    </row>
    <row r="312" spans="1:7" x14ac:dyDescent="0.2">
      <c r="A312">
        <v>311</v>
      </c>
      <c r="B312">
        <f>'Four-Weekly Heat &amp; Power Demand'!C321</f>
        <v>0</v>
      </c>
      <c r="C312">
        <f>'Four-Weekly Heat &amp; Power Demand'!D321</f>
        <v>0</v>
      </c>
      <c r="D312">
        <f>'Four-Weekly Heat &amp; Power Demand'!E321</f>
        <v>0</v>
      </c>
      <c r="E312" s="55">
        <f>'Four-Weekly Heat &amp; Power Demand'!O321</f>
        <v>0</v>
      </c>
      <c r="F312" s="55">
        <f>'Four-Weekly Heat &amp; Power Demand'!P321</f>
        <v>0</v>
      </c>
      <c r="G312" s="55">
        <f>'Four-Weekly Heat &amp; Power Demand'!Q321</f>
        <v>0</v>
      </c>
    </row>
    <row r="313" spans="1:7" x14ac:dyDescent="0.2">
      <c r="A313">
        <v>312</v>
      </c>
      <c r="B313">
        <f>'Four-Weekly Heat &amp; Power Demand'!C322</f>
        <v>0</v>
      </c>
      <c r="C313">
        <f>'Four-Weekly Heat &amp; Power Demand'!D322</f>
        <v>0</v>
      </c>
      <c r="D313">
        <f>'Four-Weekly Heat &amp; Power Demand'!E322</f>
        <v>0</v>
      </c>
      <c r="E313" s="55">
        <f>'Four-Weekly Heat &amp; Power Demand'!O322</f>
        <v>0</v>
      </c>
      <c r="F313" s="55">
        <f>'Four-Weekly Heat &amp; Power Demand'!P322</f>
        <v>0</v>
      </c>
      <c r="G313" s="55">
        <f>'Four-Weekly Heat &amp; Power Demand'!Q322</f>
        <v>0</v>
      </c>
    </row>
    <row r="314" spans="1:7" x14ac:dyDescent="0.2">
      <c r="A314">
        <v>313</v>
      </c>
      <c r="B314">
        <f>'Four-Weekly Heat &amp; Power Demand'!C323</f>
        <v>0</v>
      </c>
      <c r="C314">
        <f>'Four-Weekly Heat &amp; Power Demand'!D323</f>
        <v>0</v>
      </c>
      <c r="D314">
        <f>'Four-Weekly Heat &amp; Power Demand'!E323</f>
        <v>0</v>
      </c>
      <c r="E314" s="55">
        <f>'Four-Weekly Heat &amp; Power Demand'!O323</f>
        <v>0</v>
      </c>
      <c r="F314" s="55">
        <f>'Four-Weekly Heat &amp; Power Demand'!P323</f>
        <v>0</v>
      </c>
      <c r="G314" s="55">
        <f>'Four-Weekly Heat &amp; Power Demand'!Q323</f>
        <v>0</v>
      </c>
    </row>
    <row r="315" spans="1:7" x14ac:dyDescent="0.2">
      <c r="A315">
        <v>314</v>
      </c>
      <c r="B315">
        <f>'Four-Weekly Heat &amp; Power Demand'!C324</f>
        <v>0</v>
      </c>
      <c r="C315">
        <f>'Four-Weekly Heat &amp; Power Demand'!D324</f>
        <v>0</v>
      </c>
      <c r="D315">
        <f>'Four-Weekly Heat &amp; Power Demand'!E324</f>
        <v>0</v>
      </c>
      <c r="E315" s="55">
        <f>'Four-Weekly Heat &amp; Power Demand'!O324</f>
        <v>0</v>
      </c>
      <c r="F315" s="55">
        <f>'Four-Weekly Heat &amp; Power Demand'!P324</f>
        <v>0</v>
      </c>
      <c r="G315" s="55">
        <f>'Four-Weekly Heat &amp; Power Demand'!Q324</f>
        <v>0</v>
      </c>
    </row>
    <row r="316" spans="1:7" x14ac:dyDescent="0.2">
      <c r="A316">
        <v>315</v>
      </c>
      <c r="B316">
        <f>'Four-Weekly Heat &amp; Power Demand'!C325</f>
        <v>0</v>
      </c>
      <c r="C316">
        <f>'Four-Weekly Heat &amp; Power Demand'!D325</f>
        <v>0</v>
      </c>
      <c r="D316">
        <f>'Four-Weekly Heat &amp; Power Demand'!E325</f>
        <v>0</v>
      </c>
      <c r="E316" s="55">
        <f>'Four-Weekly Heat &amp; Power Demand'!O325</f>
        <v>0</v>
      </c>
      <c r="F316" s="55">
        <f>'Four-Weekly Heat &amp; Power Demand'!P325</f>
        <v>0</v>
      </c>
      <c r="G316" s="55">
        <f>'Four-Weekly Heat &amp; Power Demand'!Q325</f>
        <v>0</v>
      </c>
    </row>
    <row r="317" spans="1:7" x14ac:dyDescent="0.2">
      <c r="A317">
        <v>316</v>
      </c>
      <c r="B317">
        <f>'Four-Weekly Heat &amp; Power Demand'!C326</f>
        <v>0</v>
      </c>
      <c r="C317">
        <f>'Four-Weekly Heat &amp; Power Demand'!D326</f>
        <v>0</v>
      </c>
      <c r="D317">
        <f>'Four-Weekly Heat &amp; Power Demand'!E326</f>
        <v>0</v>
      </c>
      <c r="E317" s="55">
        <f>'Four-Weekly Heat &amp; Power Demand'!O326</f>
        <v>0</v>
      </c>
      <c r="F317" s="55">
        <f>'Four-Weekly Heat &amp; Power Demand'!P326</f>
        <v>0</v>
      </c>
      <c r="G317" s="55">
        <f>'Four-Weekly Heat &amp; Power Demand'!Q326</f>
        <v>0</v>
      </c>
    </row>
    <row r="318" spans="1:7" x14ac:dyDescent="0.2">
      <c r="A318">
        <v>317</v>
      </c>
      <c r="B318">
        <f>'Four-Weekly Heat &amp; Power Demand'!C327</f>
        <v>0</v>
      </c>
      <c r="C318">
        <f>'Four-Weekly Heat &amp; Power Demand'!D327</f>
        <v>0</v>
      </c>
      <c r="D318">
        <f>'Four-Weekly Heat &amp; Power Demand'!E327</f>
        <v>0</v>
      </c>
      <c r="E318" s="55">
        <f>'Four-Weekly Heat &amp; Power Demand'!O327</f>
        <v>0</v>
      </c>
      <c r="F318" s="55">
        <f>'Four-Weekly Heat &amp; Power Demand'!P327</f>
        <v>0</v>
      </c>
      <c r="G318" s="55">
        <f>'Four-Weekly Heat &amp; Power Demand'!Q327</f>
        <v>0</v>
      </c>
    </row>
    <row r="319" spans="1:7" x14ac:dyDescent="0.2">
      <c r="A319">
        <v>318</v>
      </c>
      <c r="B319">
        <f>'Four-Weekly Heat &amp; Power Demand'!C328</f>
        <v>0</v>
      </c>
      <c r="C319">
        <f>'Four-Weekly Heat &amp; Power Demand'!D328</f>
        <v>0</v>
      </c>
      <c r="D319">
        <f>'Four-Weekly Heat &amp; Power Demand'!E328</f>
        <v>0</v>
      </c>
      <c r="E319" s="55">
        <f>'Four-Weekly Heat &amp; Power Demand'!O328</f>
        <v>0</v>
      </c>
      <c r="F319" s="55">
        <f>'Four-Weekly Heat &amp; Power Demand'!P328</f>
        <v>0</v>
      </c>
      <c r="G319" s="55">
        <f>'Four-Weekly Heat &amp; Power Demand'!Q328</f>
        <v>0</v>
      </c>
    </row>
    <row r="320" spans="1:7" x14ac:dyDescent="0.2">
      <c r="A320">
        <v>319</v>
      </c>
      <c r="B320">
        <f>'Four-Weekly Heat &amp; Power Demand'!C329</f>
        <v>3.4332694957598457</v>
      </c>
      <c r="C320">
        <f>'Four-Weekly Heat &amp; Power Demand'!D329</f>
        <v>1.8717327794185254</v>
      </c>
      <c r="D320">
        <f>'Four-Weekly Heat &amp; Power Demand'!E329</f>
        <v>0.32981104388639787</v>
      </c>
      <c r="E320" s="55">
        <f>'Four-Weekly Heat &amp; Power Demand'!O329</f>
        <v>0.38224352251574223</v>
      </c>
      <c r="F320" s="55">
        <f>'Four-Weekly Heat &amp; Power Demand'!P329</f>
        <v>0.21957685264482196</v>
      </c>
      <c r="G320" s="55">
        <f>'Four-Weekly Heat &amp; Power Demand'!Q329</f>
        <v>4.6321775826741275E-2</v>
      </c>
    </row>
    <row r="321" spans="1:7" x14ac:dyDescent="0.2">
      <c r="A321">
        <v>320</v>
      </c>
      <c r="B321">
        <f>'Four-Weekly Heat &amp; Power Demand'!C330</f>
        <v>3.4332694957598457</v>
      </c>
      <c r="C321">
        <f>'Four-Weekly Heat &amp; Power Demand'!D330</f>
        <v>1.8717327794185254</v>
      </c>
      <c r="D321">
        <f>'Four-Weekly Heat &amp; Power Demand'!E330</f>
        <v>0.32981104388639787</v>
      </c>
      <c r="E321" s="55">
        <f>'Four-Weekly Heat &amp; Power Demand'!O330</f>
        <v>0.38224352251574223</v>
      </c>
      <c r="F321" s="55">
        <f>'Four-Weekly Heat &amp; Power Demand'!P330</f>
        <v>0.21957685264482196</v>
      </c>
      <c r="G321" s="55">
        <f>'Four-Weekly Heat &amp; Power Demand'!Q330</f>
        <v>4.6321775826741275E-2</v>
      </c>
    </row>
    <row r="322" spans="1:7" x14ac:dyDescent="0.2">
      <c r="A322">
        <v>321</v>
      </c>
      <c r="B322">
        <f>'Four-Weekly Heat &amp; Power Demand'!C331</f>
        <v>0</v>
      </c>
      <c r="C322">
        <f>'Four-Weekly Heat &amp; Power Demand'!D331</f>
        <v>0</v>
      </c>
      <c r="D322">
        <f>'Four-Weekly Heat &amp; Power Demand'!E331</f>
        <v>0</v>
      </c>
      <c r="E322" s="55">
        <f>'Four-Weekly Heat &amp; Power Demand'!O331</f>
        <v>0</v>
      </c>
      <c r="F322" s="55">
        <f>'Four-Weekly Heat &amp; Power Demand'!P331</f>
        <v>0</v>
      </c>
      <c r="G322" s="55">
        <f>'Four-Weekly Heat &amp; Power Demand'!Q331</f>
        <v>0</v>
      </c>
    </row>
    <row r="323" spans="1:7" x14ac:dyDescent="0.2">
      <c r="A323">
        <v>322</v>
      </c>
      <c r="B323">
        <f>'Four-Weekly Heat &amp; Power Demand'!C332</f>
        <v>0</v>
      </c>
      <c r="C323">
        <f>'Four-Weekly Heat &amp; Power Demand'!D332</f>
        <v>0</v>
      </c>
      <c r="D323">
        <f>'Four-Weekly Heat &amp; Power Demand'!E332</f>
        <v>0</v>
      </c>
      <c r="E323" s="55">
        <f>'Four-Weekly Heat &amp; Power Demand'!O332</f>
        <v>0</v>
      </c>
      <c r="F323" s="55">
        <f>'Four-Weekly Heat &amp; Power Demand'!P332</f>
        <v>0</v>
      </c>
      <c r="G323" s="55">
        <f>'Four-Weekly Heat &amp; Power Demand'!Q332</f>
        <v>0</v>
      </c>
    </row>
    <row r="324" spans="1:7" x14ac:dyDescent="0.2">
      <c r="A324">
        <v>323</v>
      </c>
      <c r="B324">
        <f>'Four-Weekly Heat &amp; Power Demand'!C333</f>
        <v>0</v>
      </c>
      <c r="C324">
        <f>'Four-Weekly Heat &amp; Power Demand'!D333</f>
        <v>0</v>
      </c>
      <c r="D324">
        <f>'Four-Weekly Heat &amp; Power Demand'!E333</f>
        <v>0</v>
      </c>
      <c r="E324" s="55">
        <f>'Four-Weekly Heat &amp; Power Demand'!O333</f>
        <v>0</v>
      </c>
      <c r="F324" s="55">
        <f>'Four-Weekly Heat &amp; Power Demand'!P333</f>
        <v>0</v>
      </c>
      <c r="G324" s="55">
        <f>'Four-Weekly Heat &amp; Power Demand'!Q333</f>
        <v>0</v>
      </c>
    </row>
    <row r="325" spans="1:7" x14ac:dyDescent="0.2">
      <c r="A325">
        <v>324</v>
      </c>
      <c r="B325">
        <f>'Four-Weekly Heat &amp; Power Demand'!C334</f>
        <v>0</v>
      </c>
      <c r="C325">
        <f>'Four-Weekly Heat &amp; Power Demand'!D334</f>
        <v>0</v>
      </c>
      <c r="D325">
        <f>'Four-Weekly Heat &amp; Power Demand'!E334</f>
        <v>0</v>
      </c>
      <c r="E325" s="55">
        <f>'Four-Weekly Heat &amp; Power Demand'!O334</f>
        <v>0</v>
      </c>
      <c r="F325" s="55">
        <f>'Four-Weekly Heat &amp; Power Demand'!P334</f>
        <v>0</v>
      </c>
      <c r="G325" s="55">
        <f>'Four-Weekly Heat &amp; Power Demand'!Q334</f>
        <v>0</v>
      </c>
    </row>
    <row r="326" spans="1:7" x14ac:dyDescent="0.2">
      <c r="A326">
        <v>325</v>
      </c>
      <c r="B326">
        <f>'Four-Weekly Heat &amp; Power Demand'!C335</f>
        <v>0</v>
      </c>
      <c r="C326">
        <f>'Four-Weekly Heat &amp; Power Demand'!D335</f>
        <v>0</v>
      </c>
      <c r="D326">
        <f>'Four-Weekly Heat &amp; Power Demand'!E335</f>
        <v>0</v>
      </c>
      <c r="E326" s="55">
        <f>'Four-Weekly Heat &amp; Power Demand'!O335</f>
        <v>0</v>
      </c>
      <c r="F326" s="55">
        <f>'Four-Weekly Heat &amp; Power Demand'!P335</f>
        <v>0</v>
      </c>
      <c r="G326" s="55">
        <f>'Four-Weekly Heat &amp; Power Demand'!Q335</f>
        <v>0</v>
      </c>
    </row>
    <row r="327" spans="1:7" x14ac:dyDescent="0.2">
      <c r="A327">
        <v>326</v>
      </c>
      <c r="B327">
        <f>'Four-Weekly Heat &amp; Power Demand'!C336</f>
        <v>0</v>
      </c>
      <c r="C327">
        <f>'Four-Weekly Heat &amp; Power Demand'!D336</f>
        <v>0</v>
      </c>
      <c r="D327">
        <f>'Four-Weekly Heat &amp; Power Demand'!E336</f>
        <v>0</v>
      </c>
      <c r="E327" s="55">
        <f>'Four-Weekly Heat &amp; Power Demand'!O336</f>
        <v>0</v>
      </c>
      <c r="F327" s="55">
        <f>'Four-Weekly Heat &amp; Power Demand'!P336</f>
        <v>0</v>
      </c>
      <c r="G327" s="55">
        <f>'Four-Weekly Heat &amp; Power Demand'!Q336</f>
        <v>0</v>
      </c>
    </row>
    <row r="328" spans="1:7" x14ac:dyDescent="0.2">
      <c r="A328">
        <v>327</v>
      </c>
      <c r="B328">
        <f>'Four-Weekly Heat &amp; Power Demand'!C337</f>
        <v>0</v>
      </c>
      <c r="C328">
        <f>'Four-Weekly Heat &amp; Power Demand'!D337</f>
        <v>0</v>
      </c>
      <c r="D328">
        <f>'Four-Weekly Heat &amp; Power Demand'!E337</f>
        <v>0</v>
      </c>
      <c r="E328" s="55">
        <f>'Four-Weekly Heat &amp; Power Demand'!O337</f>
        <v>0</v>
      </c>
      <c r="F328" s="55">
        <f>'Four-Weekly Heat &amp; Power Demand'!P337</f>
        <v>0</v>
      </c>
      <c r="G328" s="55">
        <f>'Four-Weekly Heat &amp; Power Demand'!Q337</f>
        <v>0</v>
      </c>
    </row>
    <row r="329" spans="1:7" x14ac:dyDescent="0.2">
      <c r="A329">
        <v>328</v>
      </c>
      <c r="B329">
        <f>'Four-Weekly Heat &amp; Power Demand'!C338</f>
        <v>3.4332694957598457</v>
      </c>
      <c r="C329">
        <f>'Four-Weekly Heat &amp; Power Demand'!D338</f>
        <v>1.8717327794185254</v>
      </c>
      <c r="D329">
        <f>'Four-Weekly Heat &amp; Power Demand'!E338</f>
        <v>0.32981104388639787</v>
      </c>
      <c r="E329" s="55">
        <f>'Four-Weekly Heat &amp; Power Demand'!O338</f>
        <v>0.38224352251574223</v>
      </c>
      <c r="F329" s="55">
        <f>'Four-Weekly Heat &amp; Power Demand'!P338</f>
        <v>0.21957685264482196</v>
      </c>
      <c r="G329" s="55">
        <f>'Four-Weekly Heat &amp; Power Demand'!Q338</f>
        <v>4.6321775826741275E-2</v>
      </c>
    </row>
    <row r="330" spans="1:7" x14ac:dyDescent="0.2">
      <c r="A330">
        <v>329</v>
      </c>
      <c r="B330">
        <f>'Four-Weekly Heat &amp; Power Demand'!C339</f>
        <v>3.4332694957598457</v>
      </c>
      <c r="C330">
        <f>'Four-Weekly Heat &amp; Power Demand'!D339</f>
        <v>1.8717327794185254</v>
      </c>
      <c r="D330">
        <f>'Four-Weekly Heat &amp; Power Demand'!E339</f>
        <v>0.32981104388639787</v>
      </c>
      <c r="E330" s="55">
        <f>'Four-Weekly Heat &amp; Power Demand'!O339</f>
        <v>0.38224352251574223</v>
      </c>
      <c r="F330" s="55">
        <f>'Four-Weekly Heat &amp; Power Demand'!P339</f>
        <v>0.21957685264482196</v>
      </c>
      <c r="G330" s="55">
        <f>'Four-Weekly Heat &amp; Power Demand'!Q339</f>
        <v>4.6321775826741275E-2</v>
      </c>
    </row>
    <row r="331" spans="1:7" x14ac:dyDescent="0.2">
      <c r="A331">
        <v>330</v>
      </c>
      <c r="B331">
        <f>'Four-Weekly Heat &amp; Power Demand'!C340</f>
        <v>3.4332694957598457</v>
      </c>
      <c r="C331">
        <f>'Four-Weekly Heat &amp; Power Demand'!D340</f>
        <v>1.8717327794185254</v>
      </c>
      <c r="D331">
        <f>'Four-Weekly Heat &amp; Power Demand'!E340</f>
        <v>0.32981104388639787</v>
      </c>
      <c r="E331" s="55">
        <f>'Four-Weekly Heat &amp; Power Demand'!O340</f>
        <v>0.38224352251574223</v>
      </c>
      <c r="F331" s="55">
        <f>'Four-Weekly Heat &amp; Power Demand'!P340</f>
        <v>0.21957685264482196</v>
      </c>
      <c r="G331" s="55">
        <f>'Four-Weekly Heat &amp; Power Demand'!Q340</f>
        <v>4.6321775826741275E-2</v>
      </c>
    </row>
    <row r="332" spans="1:7" x14ac:dyDescent="0.2">
      <c r="A332">
        <v>331</v>
      </c>
      <c r="B332">
        <f>'Four-Weekly Heat &amp; Power Demand'!C341</f>
        <v>3.4332694957598457</v>
      </c>
      <c r="C332">
        <f>'Four-Weekly Heat &amp; Power Demand'!D341</f>
        <v>1.8717327794185254</v>
      </c>
      <c r="D332">
        <f>'Four-Weekly Heat &amp; Power Demand'!E341</f>
        <v>0.32981104388639787</v>
      </c>
      <c r="E332" s="55">
        <f>'Four-Weekly Heat &amp; Power Demand'!O341</f>
        <v>0.38224352251574223</v>
      </c>
      <c r="F332" s="55">
        <f>'Four-Weekly Heat &amp; Power Demand'!P341</f>
        <v>0.21957685264482196</v>
      </c>
      <c r="G332" s="55">
        <f>'Four-Weekly Heat &amp; Power Demand'!Q341</f>
        <v>4.6321775826741275E-2</v>
      </c>
    </row>
    <row r="333" spans="1:7" x14ac:dyDescent="0.2">
      <c r="A333">
        <v>332</v>
      </c>
      <c r="B333">
        <f>'Four-Weekly Heat &amp; Power Demand'!C342</f>
        <v>3.4332694957598457</v>
      </c>
      <c r="C333">
        <f>'Four-Weekly Heat &amp; Power Demand'!D342</f>
        <v>1.8717327794185254</v>
      </c>
      <c r="D333">
        <f>'Four-Weekly Heat &amp; Power Demand'!E342</f>
        <v>0.32981104388639787</v>
      </c>
      <c r="E333" s="55">
        <f>'Four-Weekly Heat &amp; Power Demand'!O342</f>
        <v>0.38224352251574223</v>
      </c>
      <c r="F333" s="55">
        <f>'Four-Weekly Heat &amp; Power Demand'!P342</f>
        <v>0.21957685264482196</v>
      </c>
      <c r="G333" s="55">
        <f>'Four-Weekly Heat &amp; Power Demand'!Q342</f>
        <v>4.6321775826741275E-2</v>
      </c>
    </row>
    <row r="334" spans="1:7" x14ac:dyDescent="0.2">
      <c r="A334">
        <v>333</v>
      </c>
      <c r="B334">
        <f>'Four-Weekly Heat &amp; Power Demand'!C343</f>
        <v>3.4332694957598457</v>
      </c>
      <c r="C334">
        <f>'Four-Weekly Heat &amp; Power Demand'!D343</f>
        <v>1.8717327794185254</v>
      </c>
      <c r="D334">
        <f>'Four-Weekly Heat &amp; Power Demand'!E343</f>
        <v>0.32981104388639787</v>
      </c>
      <c r="E334" s="55">
        <f>'Four-Weekly Heat &amp; Power Demand'!O343</f>
        <v>0.38224352251574223</v>
      </c>
      <c r="F334" s="55">
        <f>'Four-Weekly Heat &amp; Power Demand'!P343</f>
        <v>0.21957685264482196</v>
      </c>
      <c r="G334" s="55">
        <f>'Four-Weekly Heat &amp; Power Demand'!Q343</f>
        <v>4.6321775826741275E-2</v>
      </c>
    </row>
    <row r="335" spans="1:7" x14ac:dyDescent="0.2">
      <c r="A335">
        <v>334</v>
      </c>
      <c r="B335">
        <f>'Four-Weekly Heat &amp; Power Demand'!C344</f>
        <v>3.4332694957598457</v>
      </c>
      <c r="C335">
        <f>'Four-Weekly Heat &amp; Power Demand'!D344</f>
        <v>1.8717327794185254</v>
      </c>
      <c r="D335">
        <f>'Four-Weekly Heat &amp; Power Demand'!E344</f>
        <v>0.32981104388639787</v>
      </c>
      <c r="E335" s="55">
        <f>'Four-Weekly Heat &amp; Power Demand'!O344</f>
        <v>0.38224352251574223</v>
      </c>
      <c r="F335" s="55">
        <f>'Four-Weekly Heat &amp; Power Demand'!P344</f>
        <v>0.21957685264482196</v>
      </c>
      <c r="G335" s="55">
        <f>'Four-Weekly Heat &amp; Power Demand'!Q344</f>
        <v>4.6321775826741275E-2</v>
      </c>
    </row>
    <row r="336" spans="1:7" x14ac:dyDescent="0.2">
      <c r="A336">
        <v>335</v>
      </c>
      <c r="B336">
        <f>'Four-Weekly Heat &amp; Power Demand'!C345</f>
        <v>0</v>
      </c>
      <c r="C336">
        <f>'Four-Weekly Heat &amp; Power Demand'!D345</f>
        <v>0</v>
      </c>
      <c r="D336">
        <f>'Four-Weekly Heat &amp; Power Demand'!E345</f>
        <v>0</v>
      </c>
      <c r="E336" s="55">
        <f>'Four-Weekly Heat &amp; Power Demand'!O345</f>
        <v>0</v>
      </c>
      <c r="F336" s="55">
        <f>'Four-Weekly Heat &amp; Power Demand'!P345</f>
        <v>0</v>
      </c>
      <c r="G336" s="55">
        <f>'Four-Weekly Heat &amp; Power Demand'!Q345</f>
        <v>0</v>
      </c>
    </row>
    <row r="337" spans="1:7" x14ac:dyDescent="0.2">
      <c r="A337">
        <v>336</v>
      </c>
      <c r="B337">
        <f>'Four-Weekly Heat &amp; Power Demand'!C346</f>
        <v>0</v>
      </c>
      <c r="C337">
        <f>'Four-Weekly Heat &amp; Power Demand'!D346</f>
        <v>0</v>
      </c>
      <c r="D337">
        <f>'Four-Weekly Heat &amp; Power Demand'!E346</f>
        <v>0</v>
      </c>
      <c r="E337" s="55">
        <f>'Four-Weekly Heat &amp; Power Demand'!O346</f>
        <v>0</v>
      </c>
      <c r="F337" s="55">
        <f>'Four-Weekly Heat &amp; Power Demand'!P346</f>
        <v>0</v>
      </c>
      <c r="G337" s="55">
        <f>'Four-Weekly Heat &amp; Power Demand'!Q346</f>
        <v>0</v>
      </c>
    </row>
    <row r="338" spans="1:7" x14ac:dyDescent="0.2">
      <c r="A338">
        <v>337</v>
      </c>
      <c r="B338">
        <f>'Four-Weekly Heat &amp; Power Demand'!C347</f>
        <v>0</v>
      </c>
      <c r="C338">
        <f>'Four-Weekly Heat &amp; Power Demand'!D347</f>
        <v>0</v>
      </c>
      <c r="D338">
        <f>'Four-Weekly Heat &amp; Power Demand'!E347</f>
        <v>0</v>
      </c>
      <c r="E338" s="55">
        <f>'Four-Weekly Heat &amp; Power Demand'!O347</f>
        <v>0</v>
      </c>
      <c r="F338" s="55">
        <f>'Four-Weekly Heat &amp; Power Demand'!P347</f>
        <v>0</v>
      </c>
      <c r="G338" s="55">
        <f>'Four-Weekly Heat &amp; Power Demand'!Q347</f>
        <v>0</v>
      </c>
    </row>
    <row r="339" spans="1:7" x14ac:dyDescent="0.2">
      <c r="A339">
        <v>338</v>
      </c>
      <c r="B339">
        <f>'Four-Weekly Heat &amp; Power Demand'!C348</f>
        <v>0</v>
      </c>
      <c r="C339">
        <f>'Four-Weekly Heat &amp; Power Demand'!D348</f>
        <v>0</v>
      </c>
      <c r="D339">
        <f>'Four-Weekly Heat &amp; Power Demand'!E348</f>
        <v>0</v>
      </c>
      <c r="E339" s="55">
        <f>'Four-Weekly Heat &amp; Power Demand'!O348</f>
        <v>0</v>
      </c>
      <c r="F339" s="55">
        <f>'Four-Weekly Heat &amp; Power Demand'!P348</f>
        <v>0</v>
      </c>
      <c r="G339" s="55">
        <f>'Four-Weekly Heat &amp; Power Demand'!Q348</f>
        <v>0</v>
      </c>
    </row>
    <row r="340" spans="1:7" x14ac:dyDescent="0.2">
      <c r="A340">
        <v>339</v>
      </c>
      <c r="B340">
        <f>'Four-Weekly Heat &amp; Power Demand'!C349</f>
        <v>0</v>
      </c>
      <c r="C340">
        <f>'Four-Weekly Heat &amp; Power Demand'!D349</f>
        <v>0</v>
      </c>
      <c r="D340">
        <f>'Four-Weekly Heat &amp; Power Demand'!E349</f>
        <v>0</v>
      </c>
      <c r="E340" s="55">
        <f>'Four-Weekly Heat &amp; Power Demand'!O349</f>
        <v>0</v>
      </c>
      <c r="F340" s="55">
        <f>'Four-Weekly Heat &amp; Power Demand'!P349</f>
        <v>0</v>
      </c>
      <c r="G340" s="55">
        <f>'Four-Weekly Heat &amp; Power Demand'!Q349</f>
        <v>0</v>
      </c>
    </row>
    <row r="341" spans="1:7" x14ac:dyDescent="0.2">
      <c r="A341">
        <v>340</v>
      </c>
      <c r="B341">
        <f>'Four-Weekly Heat &amp; Power Demand'!C350</f>
        <v>0</v>
      </c>
      <c r="C341">
        <f>'Four-Weekly Heat &amp; Power Demand'!D350</f>
        <v>0</v>
      </c>
      <c r="D341">
        <f>'Four-Weekly Heat &amp; Power Demand'!E350</f>
        <v>0</v>
      </c>
      <c r="E341" s="55">
        <f>'Four-Weekly Heat &amp; Power Demand'!O350</f>
        <v>0</v>
      </c>
      <c r="F341" s="55">
        <f>'Four-Weekly Heat &amp; Power Demand'!P350</f>
        <v>0</v>
      </c>
      <c r="G341" s="55">
        <f>'Four-Weekly Heat &amp; Power Demand'!Q350</f>
        <v>0</v>
      </c>
    </row>
    <row r="342" spans="1:7" x14ac:dyDescent="0.2">
      <c r="A342">
        <v>341</v>
      </c>
      <c r="B342">
        <f>'Four-Weekly Heat &amp; Power Demand'!C351</f>
        <v>0</v>
      </c>
      <c r="C342">
        <f>'Four-Weekly Heat &amp; Power Demand'!D351</f>
        <v>0</v>
      </c>
      <c r="D342">
        <f>'Four-Weekly Heat &amp; Power Demand'!E351</f>
        <v>0</v>
      </c>
      <c r="E342" s="55">
        <f>'Four-Weekly Heat &amp; Power Demand'!O351</f>
        <v>0</v>
      </c>
      <c r="F342" s="55">
        <f>'Four-Weekly Heat &amp; Power Demand'!P351</f>
        <v>0</v>
      </c>
      <c r="G342" s="55">
        <f>'Four-Weekly Heat &amp; Power Demand'!Q351</f>
        <v>0</v>
      </c>
    </row>
    <row r="343" spans="1:7" x14ac:dyDescent="0.2">
      <c r="A343">
        <v>342</v>
      </c>
      <c r="B343">
        <f>'Four-Weekly Heat &amp; Power Demand'!C352</f>
        <v>0</v>
      </c>
      <c r="C343">
        <f>'Four-Weekly Heat &amp; Power Demand'!D352</f>
        <v>0</v>
      </c>
      <c r="D343">
        <f>'Four-Weekly Heat &amp; Power Demand'!E352</f>
        <v>0</v>
      </c>
      <c r="E343" s="55">
        <f>'Four-Weekly Heat &amp; Power Demand'!O352</f>
        <v>0</v>
      </c>
      <c r="F343" s="55">
        <f>'Four-Weekly Heat &amp; Power Demand'!P352</f>
        <v>0</v>
      </c>
      <c r="G343" s="55">
        <f>'Four-Weekly Heat &amp; Power Demand'!Q352</f>
        <v>0</v>
      </c>
    </row>
    <row r="344" spans="1:7" x14ac:dyDescent="0.2">
      <c r="A344">
        <v>343</v>
      </c>
      <c r="B344">
        <f>'Four-Weekly Heat &amp; Power Demand'!C353</f>
        <v>3.4332694957598457</v>
      </c>
      <c r="C344">
        <f>'Four-Weekly Heat &amp; Power Demand'!D353</f>
        <v>1.8717327794185254</v>
      </c>
      <c r="D344">
        <f>'Four-Weekly Heat &amp; Power Demand'!E353</f>
        <v>0.32981104388639787</v>
      </c>
      <c r="E344" s="55">
        <f>'Four-Weekly Heat &amp; Power Demand'!O353</f>
        <v>0.38224352251574223</v>
      </c>
      <c r="F344" s="55">
        <f>'Four-Weekly Heat &amp; Power Demand'!P353</f>
        <v>0.21957685264482196</v>
      </c>
      <c r="G344" s="55">
        <f>'Four-Weekly Heat &amp; Power Demand'!Q353</f>
        <v>4.6321775826741275E-2</v>
      </c>
    </row>
    <row r="345" spans="1:7" x14ac:dyDescent="0.2">
      <c r="A345">
        <v>344</v>
      </c>
      <c r="B345">
        <f>'Four-Weekly Heat &amp; Power Demand'!C354</f>
        <v>3.4332694957598457</v>
      </c>
      <c r="C345">
        <f>'Four-Weekly Heat &amp; Power Demand'!D354</f>
        <v>1.8717327794185254</v>
      </c>
      <c r="D345">
        <f>'Four-Weekly Heat &amp; Power Demand'!E354</f>
        <v>0.32981104388639787</v>
      </c>
      <c r="E345" s="55">
        <f>'Four-Weekly Heat &amp; Power Demand'!O354</f>
        <v>0.38224352251574223</v>
      </c>
      <c r="F345" s="55">
        <f>'Four-Weekly Heat &amp; Power Demand'!P354</f>
        <v>0.21957685264482196</v>
      </c>
      <c r="G345" s="55">
        <f>'Four-Weekly Heat &amp; Power Demand'!Q354</f>
        <v>4.6321775826741275E-2</v>
      </c>
    </row>
    <row r="346" spans="1:7" x14ac:dyDescent="0.2">
      <c r="A346">
        <v>345</v>
      </c>
      <c r="B346">
        <f>'Four-Weekly Heat &amp; Power Demand'!C355</f>
        <v>0</v>
      </c>
      <c r="C346">
        <f>'Four-Weekly Heat &amp; Power Demand'!D355</f>
        <v>0</v>
      </c>
      <c r="D346">
        <f>'Four-Weekly Heat &amp; Power Demand'!E355</f>
        <v>0</v>
      </c>
      <c r="E346" s="55">
        <f>'Four-Weekly Heat &amp; Power Demand'!O355</f>
        <v>0</v>
      </c>
      <c r="F346" s="55">
        <f>'Four-Weekly Heat &amp; Power Demand'!P355</f>
        <v>0</v>
      </c>
      <c r="G346" s="55">
        <f>'Four-Weekly Heat &amp; Power Demand'!Q355</f>
        <v>0</v>
      </c>
    </row>
    <row r="347" spans="1:7" x14ac:dyDescent="0.2">
      <c r="A347">
        <v>346</v>
      </c>
      <c r="B347">
        <f>'Four-Weekly Heat &amp; Power Demand'!C356</f>
        <v>0</v>
      </c>
      <c r="C347">
        <f>'Four-Weekly Heat &amp; Power Demand'!D356</f>
        <v>0</v>
      </c>
      <c r="D347">
        <f>'Four-Weekly Heat &amp; Power Demand'!E356</f>
        <v>0</v>
      </c>
      <c r="E347" s="55">
        <f>'Four-Weekly Heat &amp; Power Demand'!O356</f>
        <v>0</v>
      </c>
      <c r="F347" s="55">
        <f>'Four-Weekly Heat &amp; Power Demand'!P356</f>
        <v>0</v>
      </c>
      <c r="G347" s="55">
        <f>'Four-Weekly Heat &amp; Power Demand'!Q356</f>
        <v>0</v>
      </c>
    </row>
    <row r="348" spans="1:7" x14ac:dyDescent="0.2">
      <c r="A348">
        <v>347</v>
      </c>
      <c r="B348">
        <f>'Four-Weekly Heat &amp; Power Demand'!C357</f>
        <v>0</v>
      </c>
      <c r="C348">
        <f>'Four-Weekly Heat &amp; Power Demand'!D357</f>
        <v>0</v>
      </c>
      <c r="D348">
        <f>'Four-Weekly Heat &amp; Power Demand'!E357</f>
        <v>0</v>
      </c>
      <c r="E348" s="55">
        <f>'Four-Weekly Heat &amp; Power Demand'!O357</f>
        <v>0</v>
      </c>
      <c r="F348" s="55">
        <f>'Four-Weekly Heat &amp; Power Demand'!P357</f>
        <v>0</v>
      </c>
      <c r="G348" s="55">
        <f>'Four-Weekly Heat &amp; Power Demand'!Q357</f>
        <v>0</v>
      </c>
    </row>
    <row r="349" spans="1:7" x14ac:dyDescent="0.2">
      <c r="A349">
        <v>348</v>
      </c>
      <c r="B349">
        <f>'Four-Weekly Heat &amp; Power Demand'!C358</f>
        <v>0</v>
      </c>
      <c r="C349">
        <f>'Four-Weekly Heat &amp; Power Demand'!D358</f>
        <v>0</v>
      </c>
      <c r="D349">
        <f>'Four-Weekly Heat &amp; Power Demand'!E358</f>
        <v>0</v>
      </c>
      <c r="E349" s="55">
        <f>'Four-Weekly Heat &amp; Power Demand'!O358</f>
        <v>0</v>
      </c>
      <c r="F349" s="55">
        <f>'Four-Weekly Heat &amp; Power Demand'!P358</f>
        <v>0</v>
      </c>
      <c r="G349" s="55">
        <f>'Four-Weekly Heat &amp; Power Demand'!Q358</f>
        <v>0</v>
      </c>
    </row>
    <row r="350" spans="1:7" x14ac:dyDescent="0.2">
      <c r="A350">
        <v>349</v>
      </c>
      <c r="B350">
        <f>'Four-Weekly Heat &amp; Power Demand'!C359</f>
        <v>0</v>
      </c>
      <c r="C350">
        <f>'Four-Weekly Heat &amp; Power Demand'!D359</f>
        <v>0</v>
      </c>
      <c r="D350">
        <f>'Four-Weekly Heat &amp; Power Demand'!E359</f>
        <v>0</v>
      </c>
      <c r="E350" s="55">
        <f>'Four-Weekly Heat &amp; Power Demand'!O359</f>
        <v>0</v>
      </c>
      <c r="F350" s="55">
        <f>'Four-Weekly Heat &amp; Power Demand'!P359</f>
        <v>0</v>
      </c>
      <c r="G350" s="55">
        <f>'Four-Weekly Heat &amp; Power Demand'!Q359</f>
        <v>0</v>
      </c>
    </row>
    <row r="351" spans="1:7" x14ac:dyDescent="0.2">
      <c r="A351">
        <v>350</v>
      </c>
      <c r="B351">
        <f>'Four-Weekly Heat &amp; Power Demand'!C360</f>
        <v>0</v>
      </c>
      <c r="C351">
        <f>'Four-Weekly Heat &amp; Power Demand'!D360</f>
        <v>0</v>
      </c>
      <c r="D351">
        <f>'Four-Weekly Heat &amp; Power Demand'!E360</f>
        <v>0</v>
      </c>
      <c r="E351" s="55">
        <f>'Four-Weekly Heat &amp; Power Demand'!O360</f>
        <v>0</v>
      </c>
      <c r="F351" s="55">
        <f>'Four-Weekly Heat &amp; Power Demand'!P360</f>
        <v>0</v>
      </c>
      <c r="G351" s="55">
        <f>'Four-Weekly Heat &amp; Power Demand'!Q360</f>
        <v>0</v>
      </c>
    </row>
    <row r="352" spans="1:7" x14ac:dyDescent="0.2">
      <c r="A352">
        <v>351</v>
      </c>
      <c r="B352">
        <f>'Four-Weekly Heat &amp; Power Demand'!C361</f>
        <v>0</v>
      </c>
      <c r="C352">
        <f>'Four-Weekly Heat &amp; Power Demand'!D361</f>
        <v>0</v>
      </c>
      <c r="D352">
        <f>'Four-Weekly Heat &amp; Power Demand'!E361</f>
        <v>0</v>
      </c>
      <c r="E352" s="55">
        <f>'Four-Weekly Heat &amp; Power Demand'!O361</f>
        <v>0</v>
      </c>
      <c r="F352" s="55">
        <f>'Four-Weekly Heat &amp; Power Demand'!P361</f>
        <v>0</v>
      </c>
      <c r="G352" s="55">
        <f>'Four-Weekly Heat &amp; Power Demand'!Q361</f>
        <v>0</v>
      </c>
    </row>
    <row r="353" spans="1:7" x14ac:dyDescent="0.2">
      <c r="A353">
        <v>352</v>
      </c>
      <c r="B353">
        <f>'Four-Weekly Heat &amp; Power Demand'!C362</f>
        <v>3.4332694957598457</v>
      </c>
      <c r="C353">
        <f>'Four-Weekly Heat &amp; Power Demand'!D362</f>
        <v>1.8717327794185254</v>
      </c>
      <c r="D353">
        <f>'Four-Weekly Heat &amp; Power Demand'!E362</f>
        <v>0.32981104388639787</v>
      </c>
      <c r="E353" s="55">
        <f>'Four-Weekly Heat &amp; Power Demand'!O362</f>
        <v>0.38224352251574223</v>
      </c>
      <c r="F353" s="55">
        <f>'Four-Weekly Heat &amp; Power Demand'!P362</f>
        <v>0.21957685264482196</v>
      </c>
      <c r="G353" s="55">
        <f>'Four-Weekly Heat &amp; Power Demand'!Q362</f>
        <v>4.6321775826741275E-2</v>
      </c>
    </row>
    <row r="354" spans="1:7" x14ac:dyDescent="0.2">
      <c r="A354">
        <v>353</v>
      </c>
      <c r="B354">
        <f>'Four-Weekly Heat &amp; Power Demand'!C363</f>
        <v>3.4332694957598457</v>
      </c>
      <c r="C354">
        <f>'Four-Weekly Heat &amp; Power Demand'!D363</f>
        <v>1.8717327794185254</v>
      </c>
      <c r="D354">
        <f>'Four-Weekly Heat &amp; Power Demand'!E363</f>
        <v>0.32981104388639787</v>
      </c>
      <c r="E354" s="55">
        <f>'Four-Weekly Heat &amp; Power Demand'!O363</f>
        <v>0.38224352251574223</v>
      </c>
      <c r="F354" s="55">
        <f>'Four-Weekly Heat &amp; Power Demand'!P363</f>
        <v>0.21957685264482196</v>
      </c>
      <c r="G354" s="55">
        <f>'Four-Weekly Heat &amp; Power Demand'!Q363</f>
        <v>4.6321775826741275E-2</v>
      </c>
    </row>
    <row r="355" spans="1:7" x14ac:dyDescent="0.2">
      <c r="A355">
        <v>354</v>
      </c>
      <c r="B355">
        <f>'Four-Weekly Heat &amp; Power Demand'!C364</f>
        <v>3.4332694957598457</v>
      </c>
      <c r="C355">
        <f>'Four-Weekly Heat &amp; Power Demand'!D364</f>
        <v>1.8717327794185254</v>
      </c>
      <c r="D355">
        <f>'Four-Weekly Heat &amp; Power Demand'!E364</f>
        <v>0.32981104388639787</v>
      </c>
      <c r="E355" s="55">
        <f>'Four-Weekly Heat &amp; Power Demand'!O364</f>
        <v>0.38224352251574223</v>
      </c>
      <c r="F355" s="55">
        <f>'Four-Weekly Heat &amp; Power Demand'!P364</f>
        <v>0.21957685264482196</v>
      </c>
      <c r="G355" s="55">
        <f>'Four-Weekly Heat &amp; Power Demand'!Q364</f>
        <v>4.6321775826741275E-2</v>
      </c>
    </row>
    <row r="356" spans="1:7" x14ac:dyDescent="0.2">
      <c r="A356">
        <v>355</v>
      </c>
      <c r="B356">
        <f>'Four-Weekly Heat &amp; Power Demand'!C365</f>
        <v>3.4332694957598457</v>
      </c>
      <c r="C356">
        <f>'Four-Weekly Heat &amp; Power Demand'!D365</f>
        <v>1.8717327794185254</v>
      </c>
      <c r="D356">
        <f>'Four-Weekly Heat &amp; Power Demand'!E365</f>
        <v>0.32981104388639787</v>
      </c>
      <c r="E356" s="55">
        <f>'Four-Weekly Heat &amp; Power Demand'!O365</f>
        <v>0.38224352251574223</v>
      </c>
      <c r="F356" s="55">
        <f>'Four-Weekly Heat &amp; Power Demand'!P365</f>
        <v>0.21957685264482196</v>
      </c>
      <c r="G356" s="55">
        <f>'Four-Weekly Heat &amp; Power Demand'!Q365</f>
        <v>4.6321775826741275E-2</v>
      </c>
    </row>
    <row r="357" spans="1:7" x14ac:dyDescent="0.2">
      <c r="A357">
        <v>356</v>
      </c>
      <c r="B357">
        <f>'Four-Weekly Heat &amp; Power Demand'!C366</f>
        <v>3.4332694957598457</v>
      </c>
      <c r="C357">
        <f>'Four-Weekly Heat &amp; Power Demand'!D366</f>
        <v>1.8717327794185254</v>
      </c>
      <c r="D357">
        <f>'Four-Weekly Heat &amp; Power Demand'!E366</f>
        <v>0.32981104388639787</v>
      </c>
      <c r="E357" s="55">
        <f>'Four-Weekly Heat &amp; Power Demand'!O366</f>
        <v>0.38224352251574223</v>
      </c>
      <c r="F357" s="55">
        <f>'Four-Weekly Heat &amp; Power Demand'!P366</f>
        <v>0.21957685264482196</v>
      </c>
      <c r="G357" s="55">
        <f>'Four-Weekly Heat &amp; Power Demand'!Q366</f>
        <v>4.6321775826741275E-2</v>
      </c>
    </row>
    <row r="358" spans="1:7" x14ac:dyDescent="0.2">
      <c r="A358">
        <v>357</v>
      </c>
      <c r="B358">
        <f>'Four-Weekly Heat &amp; Power Demand'!C367</f>
        <v>3.4332694957598457</v>
      </c>
      <c r="C358">
        <f>'Four-Weekly Heat &amp; Power Demand'!D367</f>
        <v>1.8717327794185254</v>
      </c>
      <c r="D358">
        <f>'Four-Weekly Heat &amp; Power Demand'!E367</f>
        <v>0.32981104388639787</v>
      </c>
      <c r="E358" s="55">
        <f>'Four-Weekly Heat &amp; Power Demand'!O367</f>
        <v>0.38224352251574223</v>
      </c>
      <c r="F358" s="55">
        <f>'Four-Weekly Heat &amp; Power Demand'!P367</f>
        <v>0.21957685264482196</v>
      </c>
      <c r="G358" s="55">
        <f>'Four-Weekly Heat &amp; Power Demand'!Q367</f>
        <v>4.6321775826741275E-2</v>
      </c>
    </row>
    <row r="359" spans="1:7" x14ac:dyDescent="0.2">
      <c r="A359">
        <v>358</v>
      </c>
      <c r="B359">
        <f>'Four-Weekly Heat &amp; Power Demand'!C368</f>
        <v>3.4332694957598457</v>
      </c>
      <c r="C359">
        <f>'Four-Weekly Heat &amp; Power Demand'!D368</f>
        <v>1.8717327794185254</v>
      </c>
      <c r="D359">
        <f>'Four-Weekly Heat &amp; Power Demand'!E368</f>
        <v>0.32981104388639787</v>
      </c>
      <c r="E359" s="55">
        <f>'Four-Weekly Heat &amp; Power Demand'!O368</f>
        <v>0.38224352251574223</v>
      </c>
      <c r="F359" s="55">
        <f>'Four-Weekly Heat &amp; Power Demand'!P368</f>
        <v>0.21957685264482196</v>
      </c>
      <c r="G359" s="55">
        <f>'Four-Weekly Heat &amp; Power Demand'!Q368</f>
        <v>4.6321775826741275E-2</v>
      </c>
    </row>
    <row r="360" spans="1:7" x14ac:dyDescent="0.2">
      <c r="A360">
        <v>359</v>
      </c>
      <c r="B360">
        <f>'Four-Weekly Heat &amp; Power Demand'!C369</f>
        <v>0</v>
      </c>
      <c r="C360">
        <f>'Four-Weekly Heat &amp; Power Demand'!D369</f>
        <v>0</v>
      </c>
      <c r="D360">
        <f>'Four-Weekly Heat &amp; Power Demand'!E369</f>
        <v>0</v>
      </c>
      <c r="E360" s="55">
        <f>'Four-Weekly Heat &amp; Power Demand'!O369</f>
        <v>0</v>
      </c>
      <c r="F360" s="55">
        <f>'Four-Weekly Heat &amp; Power Demand'!P369</f>
        <v>0</v>
      </c>
      <c r="G360" s="55">
        <f>'Four-Weekly Heat &amp; Power Demand'!Q369</f>
        <v>0</v>
      </c>
    </row>
    <row r="361" spans="1:7" x14ac:dyDescent="0.2">
      <c r="A361">
        <v>360</v>
      </c>
      <c r="B361">
        <f>'Four-Weekly Heat &amp; Power Demand'!C370</f>
        <v>0</v>
      </c>
      <c r="C361">
        <f>'Four-Weekly Heat &amp; Power Demand'!D370</f>
        <v>0</v>
      </c>
      <c r="D361">
        <f>'Four-Weekly Heat &amp; Power Demand'!E370</f>
        <v>0</v>
      </c>
      <c r="E361" s="55">
        <f>'Four-Weekly Heat &amp; Power Demand'!O370</f>
        <v>0</v>
      </c>
      <c r="F361" s="55">
        <f>'Four-Weekly Heat &amp; Power Demand'!P370</f>
        <v>0</v>
      </c>
      <c r="G361" s="55">
        <f>'Four-Weekly Heat &amp; Power Demand'!Q370</f>
        <v>0</v>
      </c>
    </row>
    <row r="362" spans="1:7" x14ac:dyDescent="0.2">
      <c r="A362">
        <v>361</v>
      </c>
      <c r="B362">
        <f>'Four-Weekly Heat &amp; Power Demand'!C371</f>
        <v>0</v>
      </c>
      <c r="C362">
        <f>'Four-Weekly Heat &amp; Power Demand'!D371</f>
        <v>0</v>
      </c>
      <c r="D362">
        <f>'Four-Weekly Heat &amp; Power Demand'!E371</f>
        <v>0</v>
      </c>
      <c r="E362" s="55">
        <f>'Four-Weekly Heat &amp; Power Demand'!O371</f>
        <v>0</v>
      </c>
      <c r="F362" s="55">
        <f>'Four-Weekly Heat &amp; Power Demand'!P371</f>
        <v>0</v>
      </c>
      <c r="G362" s="55">
        <f>'Four-Weekly Heat &amp; Power Demand'!Q371</f>
        <v>0</v>
      </c>
    </row>
    <row r="363" spans="1:7" x14ac:dyDescent="0.2">
      <c r="A363">
        <v>362</v>
      </c>
      <c r="B363">
        <f>'Four-Weekly Heat &amp; Power Demand'!C372</f>
        <v>0</v>
      </c>
      <c r="C363">
        <f>'Four-Weekly Heat &amp; Power Demand'!D372</f>
        <v>0</v>
      </c>
      <c r="D363">
        <f>'Four-Weekly Heat &amp; Power Demand'!E372</f>
        <v>0</v>
      </c>
      <c r="E363" s="55">
        <f>'Four-Weekly Heat &amp; Power Demand'!O372</f>
        <v>0</v>
      </c>
      <c r="F363" s="55">
        <f>'Four-Weekly Heat &amp; Power Demand'!P372</f>
        <v>0</v>
      </c>
      <c r="G363" s="55">
        <f>'Four-Weekly Heat &amp; Power Demand'!Q372</f>
        <v>0</v>
      </c>
    </row>
    <row r="364" spans="1:7" x14ac:dyDescent="0.2">
      <c r="A364">
        <v>363</v>
      </c>
      <c r="B364">
        <f>'Four-Weekly Heat &amp; Power Demand'!C373</f>
        <v>0</v>
      </c>
      <c r="C364">
        <f>'Four-Weekly Heat &amp; Power Demand'!D373</f>
        <v>0</v>
      </c>
      <c r="D364">
        <f>'Four-Weekly Heat &amp; Power Demand'!E373</f>
        <v>0</v>
      </c>
      <c r="E364" s="55">
        <f>'Four-Weekly Heat &amp; Power Demand'!O373</f>
        <v>0</v>
      </c>
      <c r="F364" s="55">
        <f>'Four-Weekly Heat &amp; Power Demand'!P373</f>
        <v>0</v>
      </c>
      <c r="G364" s="55">
        <f>'Four-Weekly Heat &amp; Power Demand'!Q373</f>
        <v>0</v>
      </c>
    </row>
    <row r="365" spans="1:7" x14ac:dyDescent="0.2">
      <c r="A365">
        <v>364</v>
      </c>
      <c r="B365">
        <f>'Four-Weekly Heat &amp; Power Demand'!C374</f>
        <v>0</v>
      </c>
      <c r="C365">
        <f>'Four-Weekly Heat &amp; Power Demand'!D374</f>
        <v>0</v>
      </c>
      <c r="D365">
        <f>'Four-Weekly Heat &amp; Power Demand'!E374</f>
        <v>0</v>
      </c>
      <c r="E365" s="55">
        <f>'Four-Weekly Heat &amp; Power Demand'!O374</f>
        <v>0</v>
      </c>
      <c r="F365" s="55">
        <f>'Four-Weekly Heat &amp; Power Demand'!P374</f>
        <v>0</v>
      </c>
      <c r="G365" s="55">
        <f>'Four-Weekly Heat &amp; Power Demand'!Q374</f>
        <v>0</v>
      </c>
    </row>
    <row r="366" spans="1:7" x14ac:dyDescent="0.2">
      <c r="A366">
        <v>365</v>
      </c>
      <c r="B366">
        <f>'Four-Weekly Heat &amp; Power Demand'!C375</f>
        <v>0</v>
      </c>
      <c r="C366">
        <f>'Four-Weekly Heat &amp; Power Demand'!D375</f>
        <v>0</v>
      </c>
      <c r="D366">
        <f>'Four-Weekly Heat &amp; Power Demand'!E375</f>
        <v>0</v>
      </c>
      <c r="E366" s="55">
        <f>'Four-Weekly Heat &amp; Power Demand'!O375</f>
        <v>0</v>
      </c>
      <c r="F366" s="55">
        <f>'Four-Weekly Heat &amp; Power Demand'!P375</f>
        <v>0</v>
      </c>
      <c r="G366" s="55">
        <f>'Four-Weekly Heat &amp; Power Demand'!Q375</f>
        <v>0</v>
      </c>
    </row>
    <row r="367" spans="1:7" x14ac:dyDescent="0.2">
      <c r="A367">
        <v>366</v>
      </c>
      <c r="B367">
        <f>'Four-Weekly Heat &amp; Power Demand'!C376</f>
        <v>0</v>
      </c>
      <c r="C367">
        <f>'Four-Weekly Heat &amp; Power Demand'!D376</f>
        <v>0</v>
      </c>
      <c r="D367">
        <f>'Four-Weekly Heat &amp; Power Demand'!E376</f>
        <v>0</v>
      </c>
      <c r="E367" s="55">
        <f>'Four-Weekly Heat &amp; Power Demand'!O376</f>
        <v>0</v>
      </c>
      <c r="F367" s="55">
        <f>'Four-Weekly Heat &amp; Power Demand'!P376</f>
        <v>0</v>
      </c>
      <c r="G367" s="55">
        <f>'Four-Weekly Heat &amp; Power Demand'!Q376</f>
        <v>0</v>
      </c>
    </row>
    <row r="368" spans="1:7" x14ac:dyDescent="0.2">
      <c r="A368">
        <v>367</v>
      </c>
      <c r="B368">
        <f>'Four-Weekly Heat &amp; Power Demand'!C377</f>
        <v>3.4332694957598457</v>
      </c>
      <c r="C368">
        <f>'Four-Weekly Heat &amp; Power Demand'!D377</f>
        <v>1.8717327794185254</v>
      </c>
      <c r="D368">
        <f>'Four-Weekly Heat &amp; Power Demand'!E377</f>
        <v>0.32981104388639787</v>
      </c>
      <c r="E368" s="55">
        <f>'Four-Weekly Heat &amp; Power Demand'!O377</f>
        <v>0.38224352251574223</v>
      </c>
      <c r="F368" s="55">
        <f>'Four-Weekly Heat &amp; Power Demand'!P377</f>
        <v>0.21957685264482196</v>
      </c>
      <c r="G368" s="55">
        <f>'Four-Weekly Heat &amp; Power Demand'!Q377</f>
        <v>4.6321775826741275E-2</v>
      </c>
    </row>
    <row r="369" spans="1:7" x14ac:dyDescent="0.2">
      <c r="A369">
        <v>368</v>
      </c>
      <c r="B369">
        <f>'Four-Weekly Heat &amp; Power Demand'!C378</f>
        <v>3.4332694957598457</v>
      </c>
      <c r="C369">
        <f>'Four-Weekly Heat &amp; Power Demand'!D378</f>
        <v>1.8717327794185254</v>
      </c>
      <c r="D369">
        <f>'Four-Weekly Heat &amp; Power Demand'!E378</f>
        <v>0.32981104388639787</v>
      </c>
      <c r="E369" s="55">
        <f>'Four-Weekly Heat &amp; Power Demand'!O378</f>
        <v>0.38224352251574223</v>
      </c>
      <c r="F369" s="55">
        <f>'Four-Weekly Heat &amp; Power Demand'!P378</f>
        <v>0.21957685264482196</v>
      </c>
      <c r="G369" s="55">
        <f>'Four-Weekly Heat &amp; Power Demand'!Q378</f>
        <v>4.6321775826741275E-2</v>
      </c>
    </row>
    <row r="370" spans="1:7" x14ac:dyDescent="0.2">
      <c r="A370">
        <v>369</v>
      </c>
      <c r="B370">
        <f>'Four-Weekly Heat &amp; Power Demand'!C379</f>
        <v>0</v>
      </c>
      <c r="C370">
        <f>'Four-Weekly Heat &amp; Power Demand'!D379</f>
        <v>0</v>
      </c>
      <c r="D370">
        <f>'Four-Weekly Heat &amp; Power Demand'!E379</f>
        <v>0</v>
      </c>
      <c r="E370" s="55">
        <f>'Four-Weekly Heat &amp; Power Demand'!O379</f>
        <v>0</v>
      </c>
      <c r="F370" s="55">
        <f>'Four-Weekly Heat &amp; Power Demand'!P379</f>
        <v>0</v>
      </c>
      <c r="G370" s="55">
        <f>'Four-Weekly Heat &amp; Power Demand'!Q379</f>
        <v>0</v>
      </c>
    </row>
    <row r="371" spans="1:7" x14ac:dyDescent="0.2">
      <c r="A371">
        <v>370</v>
      </c>
      <c r="B371">
        <f>'Four-Weekly Heat &amp; Power Demand'!C380</f>
        <v>0</v>
      </c>
      <c r="C371">
        <f>'Four-Weekly Heat &amp; Power Demand'!D380</f>
        <v>0</v>
      </c>
      <c r="D371">
        <f>'Four-Weekly Heat &amp; Power Demand'!E380</f>
        <v>0</v>
      </c>
      <c r="E371" s="55">
        <f>'Four-Weekly Heat &amp; Power Demand'!O380</f>
        <v>0</v>
      </c>
      <c r="F371" s="55">
        <f>'Four-Weekly Heat &amp; Power Demand'!P380</f>
        <v>0</v>
      </c>
      <c r="G371" s="55">
        <f>'Four-Weekly Heat &amp; Power Demand'!Q380</f>
        <v>0</v>
      </c>
    </row>
    <row r="372" spans="1:7" x14ac:dyDescent="0.2">
      <c r="A372">
        <v>371</v>
      </c>
      <c r="B372">
        <f>'Four-Weekly Heat &amp; Power Demand'!C381</f>
        <v>0</v>
      </c>
      <c r="C372">
        <f>'Four-Weekly Heat &amp; Power Demand'!D381</f>
        <v>0</v>
      </c>
      <c r="D372">
        <f>'Four-Weekly Heat &amp; Power Demand'!E381</f>
        <v>0</v>
      </c>
      <c r="E372" s="55">
        <f>'Four-Weekly Heat &amp; Power Demand'!O381</f>
        <v>0</v>
      </c>
      <c r="F372" s="55">
        <f>'Four-Weekly Heat &amp; Power Demand'!P381</f>
        <v>0</v>
      </c>
      <c r="G372" s="55">
        <f>'Four-Weekly Heat &amp; Power Demand'!Q381</f>
        <v>0</v>
      </c>
    </row>
    <row r="373" spans="1:7" x14ac:dyDescent="0.2">
      <c r="A373">
        <v>372</v>
      </c>
      <c r="B373">
        <f>'Four-Weekly Heat &amp; Power Demand'!C382</f>
        <v>0</v>
      </c>
      <c r="C373">
        <f>'Four-Weekly Heat &amp; Power Demand'!D382</f>
        <v>0</v>
      </c>
      <c r="D373">
        <f>'Four-Weekly Heat &amp; Power Demand'!E382</f>
        <v>0</v>
      </c>
      <c r="E373" s="55">
        <f>'Four-Weekly Heat &amp; Power Demand'!O382</f>
        <v>0</v>
      </c>
      <c r="F373" s="55">
        <f>'Four-Weekly Heat &amp; Power Demand'!P382</f>
        <v>0</v>
      </c>
      <c r="G373" s="55">
        <f>'Four-Weekly Heat &amp; Power Demand'!Q382</f>
        <v>0</v>
      </c>
    </row>
    <row r="374" spans="1:7" x14ac:dyDescent="0.2">
      <c r="A374">
        <v>373</v>
      </c>
      <c r="B374">
        <f>'Four-Weekly Heat &amp; Power Demand'!C383</f>
        <v>0</v>
      </c>
      <c r="C374">
        <f>'Four-Weekly Heat &amp; Power Demand'!D383</f>
        <v>0</v>
      </c>
      <c r="D374">
        <f>'Four-Weekly Heat &amp; Power Demand'!E383</f>
        <v>0</v>
      </c>
      <c r="E374" s="55">
        <f>'Four-Weekly Heat &amp; Power Demand'!O383</f>
        <v>0</v>
      </c>
      <c r="F374" s="55">
        <f>'Four-Weekly Heat &amp; Power Demand'!P383</f>
        <v>0</v>
      </c>
      <c r="G374" s="55">
        <f>'Four-Weekly Heat &amp; Power Demand'!Q383</f>
        <v>0</v>
      </c>
    </row>
    <row r="375" spans="1:7" x14ac:dyDescent="0.2">
      <c r="A375">
        <v>374</v>
      </c>
      <c r="B375">
        <f>'Four-Weekly Heat &amp; Power Demand'!C384</f>
        <v>0</v>
      </c>
      <c r="C375">
        <f>'Four-Weekly Heat &amp; Power Demand'!D384</f>
        <v>0</v>
      </c>
      <c r="D375">
        <f>'Four-Weekly Heat &amp; Power Demand'!E384</f>
        <v>0</v>
      </c>
      <c r="E375" s="55">
        <f>'Four-Weekly Heat &amp; Power Demand'!O384</f>
        <v>0</v>
      </c>
      <c r="F375" s="55">
        <f>'Four-Weekly Heat &amp; Power Demand'!P384</f>
        <v>0</v>
      </c>
      <c r="G375" s="55">
        <f>'Four-Weekly Heat &amp; Power Demand'!Q384</f>
        <v>0</v>
      </c>
    </row>
    <row r="376" spans="1:7" x14ac:dyDescent="0.2">
      <c r="A376">
        <v>375</v>
      </c>
      <c r="B376">
        <f>'Four-Weekly Heat &amp; Power Demand'!C385</f>
        <v>0</v>
      </c>
      <c r="C376">
        <f>'Four-Weekly Heat &amp; Power Demand'!D385</f>
        <v>0</v>
      </c>
      <c r="D376">
        <f>'Four-Weekly Heat &amp; Power Demand'!E385</f>
        <v>0</v>
      </c>
      <c r="E376" s="55">
        <f>'Four-Weekly Heat &amp; Power Demand'!O385</f>
        <v>0</v>
      </c>
      <c r="F376" s="55">
        <f>'Four-Weekly Heat &amp; Power Demand'!P385</f>
        <v>0</v>
      </c>
      <c r="G376" s="55">
        <f>'Four-Weekly Heat &amp; Power Demand'!Q385</f>
        <v>0</v>
      </c>
    </row>
    <row r="377" spans="1:7" x14ac:dyDescent="0.2">
      <c r="A377">
        <v>376</v>
      </c>
      <c r="B377">
        <f>'Four-Weekly Heat &amp; Power Demand'!C386</f>
        <v>3.4332694957598457</v>
      </c>
      <c r="C377">
        <f>'Four-Weekly Heat &amp; Power Demand'!D386</f>
        <v>1.8717327794185254</v>
      </c>
      <c r="D377">
        <f>'Four-Weekly Heat &amp; Power Demand'!E386</f>
        <v>0.32981104388639787</v>
      </c>
      <c r="E377" s="55">
        <f>'Four-Weekly Heat &amp; Power Demand'!O386</f>
        <v>0.38224352251574223</v>
      </c>
      <c r="F377" s="55">
        <f>'Four-Weekly Heat &amp; Power Demand'!P386</f>
        <v>0.21957685264482196</v>
      </c>
      <c r="G377" s="55">
        <f>'Four-Weekly Heat &amp; Power Demand'!Q386</f>
        <v>4.6321775826741275E-2</v>
      </c>
    </row>
    <row r="378" spans="1:7" x14ac:dyDescent="0.2">
      <c r="A378">
        <v>377</v>
      </c>
      <c r="B378">
        <f>'Four-Weekly Heat &amp; Power Demand'!C387</f>
        <v>3.4332694957598457</v>
      </c>
      <c r="C378">
        <f>'Four-Weekly Heat &amp; Power Demand'!D387</f>
        <v>1.8717327794185254</v>
      </c>
      <c r="D378">
        <f>'Four-Weekly Heat &amp; Power Demand'!E387</f>
        <v>0.32981104388639787</v>
      </c>
      <c r="E378" s="55">
        <f>'Four-Weekly Heat &amp; Power Demand'!O387</f>
        <v>0.38224352251574223</v>
      </c>
      <c r="F378" s="55">
        <f>'Four-Weekly Heat &amp; Power Demand'!P387</f>
        <v>0.21957685264482196</v>
      </c>
      <c r="G378" s="55">
        <f>'Four-Weekly Heat &amp; Power Demand'!Q387</f>
        <v>4.6321775826741275E-2</v>
      </c>
    </row>
    <row r="379" spans="1:7" x14ac:dyDescent="0.2">
      <c r="A379">
        <v>378</v>
      </c>
      <c r="B379">
        <f>'Four-Weekly Heat &amp; Power Demand'!C388</f>
        <v>3.4332694957598457</v>
      </c>
      <c r="C379">
        <f>'Four-Weekly Heat &amp; Power Demand'!D388</f>
        <v>1.8717327794185254</v>
      </c>
      <c r="D379">
        <f>'Four-Weekly Heat &amp; Power Demand'!E388</f>
        <v>0.32981104388639787</v>
      </c>
      <c r="E379" s="55">
        <f>'Four-Weekly Heat &amp; Power Demand'!O388</f>
        <v>0.38224352251574223</v>
      </c>
      <c r="F379" s="55">
        <f>'Four-Weekly Heat &amp; Power Demand'!P388</f>
        <v>0.21957685264482196</v>
      </c>
      <c r="G379" s="55">
        <f>'Four-Weekly Heat &amp; Power Demand'!Q388</f>
        <v>4.6321775826741275E-2</v>
      </c>
    </row>
    <row r="380" spans="1:7" x14ac:dyDescent="0.2">
      <c r="A380">
        <v>379</v>
      </c>
      <c r="B380">
        <f>'Four-Weekly Heat &amp; Power Demand'!C389</f>
        <v>3.4332694957598457</v>
      </c>
      <c r="C380">
        <f>'Four-Weekly Heat &amp; Power Demand'!D389</f>
        <v>1.8717327794185254</v>
      </c>
      <c r="D380">
        <f>'Four-Weekly Heat &amp; Power Demand'!E389</f>
        <v>0.32981104388639787</v>
      </c>
      <c r="E380" s="55">
        <f>'Four-Weekly Heat &amp; Power Demand'!O389</f>
        <v>0.38224352251574223</v>
      </c>
      <c r="F380" s="55">
        <f>'Four-Weekly Heat &amp; Power Demand'!P389</f>
        <v>0.21957685264482196</v>
      </c>
      <c r="G380" s="55">
        <f>'Four-Weekly Heat &amp; Power Demand'!Q389</f>
        <v>4.6321775826741275E-2</v>
      </c>
    </row>
    <row r="381" spans="1:7" x14ac:dyDescent="0.2">
      <c r="A381">
        <v>380</v>
      </c>
      <c r="B381">
        <f>'Four-Weekly Heat &amp; Power Demand'!C390</f>
        <v>3.4332694957598457</v>
      </c>
      <c r="C381">
        <f>'Four-Weekly Heat &amp; Power Demand'!D390</f>
        <v>1.8717327794185254</v>
      </c>
      <c r="D381">
        <f>'Four-Weekly Heat &amp; Power Demand'!E390</f>
        <v>0.32981104388639787</v>
      </c>
      <c r="E381" s="55">
        <f>'Four-Weekly Heat &amp; Power Demand'!O390</f>
        <v>0.38224352251574223</v>
      </c>
      <c r="F381" s="55">
        <f>'Four-Weekly Heat &amp; Power Demand'!P390</f>
        <v>0.21957685264482196</v>
      </c>
      <c r="G381" s="55">
        <f>'Four-Weekly Heat &amp; Power Demand'!Q390</f>
        <v>4.6321775826741275E-2</v>
      </c>
    </row>
    <row r="382" spans="1:7" x14ac:dyDescent="0.2">
      <c r="A382">
        <v>381</v>
      </c>
      <c r="B382">
        <f>'Four-Weekly Heat &amp; Power Demand'!C391</f>
        <v>3.4332694957598457</v>
      </c>
      <c r="C382">
        <f>'Four-Weekly Heat &amp; Power Demand'!D391</f>
        <v>1.8717327794185254</v>
      </c>
      <c r="D382">
        <f>'Four-Weekly Heat &amp; Power Demand'!E391</f>
        <v>0.32981104388639787</v>
      </c>
      <c r="E382" s="55">
        <f>'Four-Weekly Heat &amp; Power Demand'!O391</f>
        <v>0.38224352251574223</v>
      </c>
      <c r="F382" s="55">
        <f>'Four-Weekly Heat &amp; Power Demand'!P391</f>
        <v>0.21957685264482196</v>
      </c>
      <c r="G382" s="55">
        <f>'Four-Weekly Heat &amp; Power Demand'!Q391</f>
        <v>4.6321775826741275E-2</v>
      </c>
    </row>
    <row r="383" spans="1:7" x14ac:dyDescent="0.2">
      <c r="A383">
        <v>382</v>
      </c>
      <c r="B383">
        <f>'Four-Weekly Heat &amp; Power Demand'!C392</f>
        <v>3.4332694957598457</v>
      </c>
      <c r="C383">
        <f>'Four-Weekly Heat &amp; Power Demand'!D392</f>
        <v>1.8717327794185254</v>
      </c>
      <c r="D383">
        <f>'Four-Weekly Heat &amp; Power Demand'!E392</f>
        <v>0.32981104388639787</v>
      </c>
      <c r="E383" s="55">
        <f>'Four-Weekly Heat &amp; Power Demand'!O392</f>
        <v>0.38224352251574223</v>
      </c>
      <c r="F383" s="55">
        <f>'Four-Weekly Heat &amp; Power Demand'!P392</f>
        <v>0.21957685264482196</v>
      </c>
      <c r="G383" s="55">
        <f>'Four-Weekly Heat &amp; Power Demand'!Q392</f>
        <v>4.6321775826741275E-2</v>
      </c>
    </row>
    <row r="384" spans="1:7" x14ac:dyDescent="0.2">
      <c r="A384">
        <v>383</v>
      </c>
      <c r="B384">
        <f>'Four-Weekly Heat &amp; Power Demand'!C393</f>
        <v>0</v>
      </c>
      <c r="C384">
        <f>'Four-Weekly Heat &amp; Power Demand'!D393</f>
        <v>0</v>
      </c>
      <c r="D384">
        <f>'Four-Weekly Heat &amp; Power Demand'!E393</f>
        <v>0</v>
      </c>
      <c r="E384" s="55">
        <f>'Four-Weekly Heat &amp; Power Demand'!O393</f>
        <v>0</v>
      </c>
      <c r="F384" s="55">
        <f>'Four-Weekly Heat &amp; Power Demand'!P393</f>
        <v>0</v>
      </c>
      <c r="G384" s="55">
        <f>'Four-Weekly Heat &amp; Power Demand'!Q393</f>
        <v>0</v>
      </c>
    </row>
    <row r="385" spans="1:7" x14ac:dyDescent="0.2">
      <c r="A385">
        <v>384</v>
      </c>
      <c r="B385">
        <f>'Four-Weekly Heat &amp; Power Demand'!C394</f>
        <v>0</v>
      </c>
      <c r="C385">
        <f>'Four-Weekly Heat &amp; Power Demand'!D394</f>
        <v>0</v>
      </c>
      <c r="D385">
        <f>'Four-Weekly Heat &amp; Power Demand'!E394</f>
        <v>0</v>
      </c>
      <c r="E385" s="55">
        <f>'Four-Weekly Heat &amp; Power Demand'!O394</f>
        <v>0</v>
      </c>
      <c r="F385" s="55">
        <f>'Four-Weekly Heat &amp; Power Demand'!P394</f>
        <v>0</v>
      </c>
      <c r="G385" s="55">
        <f>'Four-Weekly Heat &amp; Power Demand'!Q394</f>
        <v>0</v>
      </c>
    </row>
    <row r="386" spans="1:7" x14ac:dyDescent="0.2">
      <c r="A386">
        <v>385</v>
      </c>
      <c r="B386">
        <f>'Four-Weekly Heat &amp; Power Demand'!C395</f>
        <v>0</v>
      </c>
      <c r="C386">
        <f>'Four-Weekly Heat &amp; Power Demand'!D395</f>
        <v>0</v>
      </c>
      <c r="D386">
        <f>'Four-Weekly Heat &amp; Power Demand'!E395</f>
        <v>0</v>
      </c>
      <c r="E386" s="55">
        <f>'Four-Weekly Heat &amp; Power Demand'!O395</f>
        <v>0</v>
      </c>
      <c r="F386" s="55">
        <f>'Four-Weekly Heat &amp; Power Demand'!P395</f>
        <v>0</v>
      </c>
      <c r="G386" s="55">
        <f>'Four-Weekly Heat &amp; Power Demand'!Q395</f>
        <v>0</v>
      </c>
    </row>
    <row r="387" spans="1:7" x14ac:dyDescent="0.2">
      <c r="A387">
        <v>386</v>
      </c>
      <c r="B387">
        <f>'Four-Weekly Heat &amp; Power Demand'!C396</f>
        <v>0</v>
      </c>
      <c r="C387">
        <f>'Four-Weekly Heat &amp; Power Demand'!D396</f>
        <v>0</v>
      </c>
      <c r="D387">
        <f>'Four-Weekly Heat &amp; Power Demand'!E396</f>
        <v>0</v>
      </c>
      <c r="E387" s="55">
        <f>'Four-Weekly Heat &amp; Power Demand'!O396</f>
        <v>0</v>
      </c>
      <c r="F387" s="55">
        <f>'Four-Weekly Heat &amp; Power Demand'!P396</f>
        <v>0</v>
      </c>
      <c r="G387" s="55">
        <f>'Four-Weekly Heat &amp; Power Demand'!Q396</f>
        <v>0</v>
      </c>
    </row>
    <row r="388" spans="1:7" x14ac:dyDescent="0.2">
      <c r="A388">
        <v>387</v>
      </c>
      <c r="B388">
        <f>'Four-Weekly Heat &amp; Power Demand'!C397</f>
        <v>0</v>
      </c>
      <c r="C388">
        <f>'Four-Weekly Heat &amp; Power Demand'!D397</f>
        <v>0</v>
      </c>
      <c r="D388">
        <f>'Four-Weekly Heat &amp; Power Demand'!E397</f>
        <v>0</v>
      </c>
      <c r="E388" s="55">
        <f>'Four-Weekly Heat &amp; Power Demand'!O397</f>
        <v>0</v>
      </c>
      <c r="F388" s="55">
        <f>'Four-Weekly Heat &amp; Power Demand'!P397</f>
        <v>0</v>
      </c>
      <c r="G388" s="55">
        <f>'Four-Weekly Heat &amp; Power Demand'!Q397</f>
        <v>0</v>
      </c>
    </row>
    <row r="389" spans="1:7" x14ac:dyDescent="0.2">
      <c r="A389">
        <v>388</v>
      </c>
      <c r="B389">
        <f>'Four-Weekly Heat &amp; Power Demand'!C398</f>
        <v>0</v>
      </c>
      <c r="C389">
        <f>'Four-Weekly Heat &amp; Power Demand'!D398</f>
        <v>0</v>
      </c>
      <c r="D389">
        <f>'Four-Weekly Heat &amp; Power Demand'!E398</f>
        <v>0</v>
      </c>
      <c r="E389" s="55">
        <f>'Four-Weekly Heat &amp; Power Demand'!O398</f>
        <v>0</v>
      </c>
      <c r="F389" s="55">
        <f>'Four-Weekly Heat &amp; Power Demand'!P398</f>
        <v>0</v>
      </c>
      <c r="G389" s="55">
        <f>'Four-Weekly Heat &amp; Power Demand'!Q398</f>
        <v>0</v>
      </c>
    </row>
    <row r="390" spans="1:7" x14ac:dyDescent="0.2">
      <c r="A390">
        <v>389</v>
      </c>
      <c r="B390">
        <f>'Four-Weekly Heat &amp; Power Demand'!C399</f>
        <v>0</v>
      </c>
      <c r="C390">
        <f>'Four-Weekly Heat &amp; Power Demand'!D399</f>
        <v>0</v>
      </c>
      <c r="D390">
        <f>'Four-Weekly Heat &amp; Power Demand'!E399</f>
        <v>0</v>
      </c>
      <c r="E390" s="55">
        <f>'Four-Weekly Heat &amp; Power Demand'!O399</f>
        <v>0</v>
      </c>
      <c r="F390" s="55">
        <f>'Four-Weekly Heat &amp; Power Demand'!P399</f>
        <v>0</v>
      </c>
      <c r="G390" s="55">
        <f>'Four-Weekly Heat &amp; Power Demand'!Q399</f>
        <v>0</v>
      </c>
    </row>
    <row r="391" spans="1:7" x14ac:dyDescent="0.2">
      <c r="A391">
        <v>390</v>
      </c>
      <c r="B391">
        <f>'Four-Weekly Heat &amp; Power Demand'!C400</f>
        <v>0</v>
      </c>
      <c r="C391">
        <f>'Four-Weekly Heat &amp; Power Demand'!D400</f>
        <v>0</v>
      </c>
      <c r="D391">
        <f>'Four-Weekly Heat &amp; Power Demand'!E400</f>
        <v>0</v>
      </c>
      <c r="E391" s="55">
        <f>'Four-Weekly Heat &amp; Power Demand'!O400</f>
        <v>0</v>
      </c>
      <c r="F391" s="55">
        <f>'Four-Weekly Heat &amp; Power Demand'!P400</f>
        <v>0</v>
      </c>
      <c r="G391" s="55">
        <f>'Four-Weekly Heat &amp; Power Demand'!Q400</f>
        <v>0</v>
      </c>
    </row>
    <row r="392" spans="1:7" x14ac:dyDescent="0.2">
      <c r="A392">
        <v>391</v>
      </c>
      <c r="B392">
        <f>'Four-Weekly Heat &amp; Power Demand'!C401</f>
        <v>3.4332694957598457</v>
      </c>
      <c r="C392">
        <f>'Four-Weekly Heat &amp; Power Demand'!D401</f>
        <v>1.8717327794185254</v>
      </c>
      <c r="D392">
        <f>'Four-Weekly Heat &amp; Power Demand'!E401</f>
        <v>0.32981104388639787</v>
      </c>
      <c r="E392" s="55">
        <f>'Four-Weekly Heat &amp; Power Demand'!O401</f>
        <v>0.38224352251574223</v>
      </c>
      <c r="F392" s="55">
        <f>'Four-Weekly Heat &amp; Power Demand'!P401</f>
        <v>0.21957685264482196</v>
      </c>
      <c r="G392" s="55">
        <f>'Four-Weekly Heat &amp; Power Demand'!Q401</f>
        <v>4.6321775826741275E-2</v>
      </c>
    </row>
    <row r="393" spans="1:7" x14ac:dyDescent="0.2">
      <c r="A393">
        <v>392</v>
      </c>
      <c r="B393">
        <f>'Four-Weekly Heat &amp; Power Demand'!C402</f>
        <v>3.4332694957598457</v>
      </c>
      <c r="C393">
        <f>'Four-Weekly Heat &amp; Power Demand'!D402</f>
        <v>1.8717327794185254</v>
      </c>
      <c r="D393">
        <f>'Four-Weekly Heat &amp; Power Demand'!E402</f>
        <v>0.32981104388639787</v>
      </c>
      <c r="E393" s="55">
        <f>'Four-Weekly Heat &amp; Power Demand'!O402</f>
        <v>0.38224352251574223</v>
      </c>
      <c r="F393" s="55">
        <f>'Four-Weekly Heat &amp; Power Demand'!P402</f>
        <v>0.21957685264482196</v>
      </c>
      <c r="G393" s="55">
        <f>'Four-Weekly Heat &amp; Power Demand'!Q402</f>
        <v>4.6321775826741275E-2</v>
      </c>
    </row>
    <row r="394" spans="1:7" x14ac:dyDescent="0.2">
      <c r="A394">
        <v>393</v>
      </c>
      <c r="B394">
        <f>'Four-Weekly Heat &amp; Power Demand'!C403</f>
        <v>0</v>
      </c>
      <c r="C394">
        <f>'Four-Weekly Heat &amp; Power Demand'!D403</f>
        <v>0</v>
      </c>
      <c r="D394">
        <f>'Four-Weekly Heat &amp; Power Demand'!E403</f>
        <v>0</v>
      </c>
      <c r="E394" s="55">
        <f>'Four-Weekly Heat &amp; Power Demand'!O403</f>
        <v>0</v>
      </c>
      <c r="F394" s="55">
        <f>'Four-Weekly Heat &amp; Power Demand'!P403</f>
        <v>0</v>
      </c>
      <c r="G394" s="55">
        <f>'Four-Weekly Heat &amp; Power Demand'!Q403</f>
        <v>0</v>
      </c>
    </row>
    <row r="395" spans="1:7" x14ac:dyDescent="0.2">
      <c r="A395">
        <v>394</v>
      </c>
      <c r="B395">
        <f>'Four-Weekly Heat &amp; Power Demand'!C404</f>
        <v>0</v>
      </c>
      <c r="C395">
        <f>'Four-Weekly Heat &amp; Power Demand'!D404</f>
        <v>0</v>
      </c>
      <c r="D395">
        <f>'Four-Weekly Heat &amp; Power Demand'!E404</f>
        <v>0</v>
      </c>
      <c r="E395" s="55">
        <f>'Four-Weekly Heat &amp; Power Demand'!O404</f>
        <v>0</v>
      </c>
      <c r="F395" s="55">
        <f>'Four-Weekly Heat &amp; Power Demand'!P404</f>
        <v>0</v>
      </c>
      <c r="G395" s="55">
        <f>'Four-Weekly Heat &amp; Power Demand'!Q404</f>
        <v>0</v>
      </c>
    </row>
    <row r="396" spans="1:7" x14ac:dyDescent="0.2">
      <c r="A396">
        <v>395</v>
      </c>
      <c r="B396">
        <f>'Four-Weekly Heat &amp; Power Demand'!C405</f>
        <v>0</v>
      </c>
      <c r="C396">
        <f>'Four-Weekly Heat &amp; Power Demand'!D405</f>
        <v>0</v>
      </c>
      <c r="D396">
        <f>'Four-Weekly Heat &amp; Power Demand'!E405</f>
        <v>0</v>
      </c>
      <c r="E396" s="55">
        <f>'Four-Weekly Heat &amp; Power Demand'!O405</f>
        <v>0</v>
      </c>
      <c r="F396" s="55">
        <f>'Four-Weekly Heat &amp; Power Demand'!P405</f>
        <v>0</v>
      </c>
      <c r="G396" s="55">
        <f>'Four-Weekly Heat &amp; Power Demand'!Q405</f>
        <v>0</v>
      </c>
    </row>
    <row r="397" spans="1:7" x14ac:dyDescent="0.2">
      <c r="A397">
        <v>396</v>
      </c>
      <c r="B397">
        <f>'Four-Weekly Heat &amp; Power Demand'!C406</f>
        <v>0</v>
      </c>
      <c r="C397">
        <f>'Four-Weekly Heat &amp; Power Demand'!D406</f>
        <v>0</v>
      </c>
      <c r="D397">
        <f>'Four-Weekly Heat &amp; Power Demand'!E406</f>
        <v>0</v>
      </c>
      <c r="E397" s="55">
        <f>'Four-Weekly Heat &amp; Power Demand'!O406</f>
        <v>0</v>
      </c>
      <c r="F397" s="55">
        <f>'Four-Weekly Heat &amp; Power Demand'!P406</f>
        <v>0</v>
      </c>
      <c r="G397" s="55">
        <f>'Four-Weekly Heat &amp; Power Demand'!Q406</f>
        <v>0</v>
      </c>
    </row>
    <row r="398" spans="1:7" x14ac:dyDescent="0.2">
      <c r="A398">
        <v>397</v>
      </c>
      <c r="B398">
        <f>'Four-Weekly Heat &amp; Power Demand'!C407</f>
        <v>0</v>
      </c>
      <c r="C398">
        <f>'Four-Weekly Heat &amp; Power Demand'!D407</f>
        <v>0</v>
      </c>
      <c r="D398">
        <f>'Four-Weekly Heat &amp; Power Demand'!E407</f>
        <v>0</v>
      </c>
      <c r="E398" s="55">
        <f>'Four-Weekly Heat &amp; Power Demand'!O407</f>
        <v>0</v>
      </c>
      <c r="F398" s="55">
        <f>'Four-Weekly Heat &amp; Power Demand'!P407</f>
        <v>0</v>
      </c>
      <c r="G398" s="55">
        <f>'Four-Weekly Heat &amp; Power Demand'!Q407</f>
        <v>0</v>
      </c>
    </row>
    <row r="399" spans="1:7" x14ac:dyDescent="0.2">
      <c r="A399">
        <v>398</v>
      </c>
      <c r="B399">
        <f>'Four-Weekly Heat &amp; Power Demand'!C408</f>
        <v>0</v>
      </c>
      <c r="C399">
        <f>'Four-Weekly Heat &amp; Power Demand'!D408</f>
        <v>0</v>
      </c>
      <c r="D399">
        <f>'Four-Weekly Heat &amp; Power Demand'!E408</f>
        <v>0</v>
      </c>
      <c r="E399" s="55">
        <f>'Four-Weekly Heat &amp; Power Demand'!O408</f>
        <v>0</v>
      </c>
      <c r="F399" s="55">
        <f>'Four-Weekly Heat &amp; Power Demand'!P408</f>
        <v>0</v>
      </c>
      <c r="G399" s="55">
        <f>'Four-Weekly Heat &amp; Power Demand'!Q408</f>
        <v>0</v>
      </c>
    </row>
    <row r="400" spans="1:7" x14ac:dyDescent="0.2">
      <c r="A400">
        <v>399</v>
      </c>
      <c r="B400">
        <f>'Four-Weekly Heat &amp; Power Demand'!C409</f>
        <v>0</v>
      </c>
      <c r="C400">
        <f>'Four-Weekly Heat &amp; Power Demand'!D409</f>
        <v>0</v>
      </c>
      <c r="D400">
        <f>'Four-Weekly Heat &amp; Power Demand'!E409</f>
        <v>0</v>
      </c>
      <c r="E400" s="55">
        <f>'Four-Weekly Heat &amp; Power Demand'!O409</f>
        <v>0</v>
      </c>
      <c r="F400" s="55">
        <f>'Four-Weekly Heat &amp; Power Demand'!P409</f>
        <v>0</v>
      </c>
      <c r="G400" s="55">
        <f>'Four-Weekly Heat &amp; Power Demand'!Q409</f>
        <v>0</v>
      </c>
    </row>
    <row r="401" spans="1:7" x14ac:dyDescent="0.2">
      <c r="A401">
        <v>400</v>
      </c>
      <c r="B401">
        <f>'Four-Weekly Heat &amp; Power Demand'!C410</f>
        <v>3.4332694957598457</v>
      </c>
      <c r="C401">
        <f>'Four-Weekly Heat &amp; Power Demand'!D410</f>
        <v>1.8717327794185254</v>
      </c>
      <c r="D401">
        <f>'Four-Weekly Heat &amp; Power Demand'!E410</f>
        <v>0.32981104388639787</v>
      </c>
      <c r="E401" s="55">
        <f>'Four-Weekly Heat &amp; Power Demand'!O410</f>
        <v>0.38224352251574223</v>
      </c>
      <c r="F401" s="55">
        <f>'Four-Weekly Heat &amp; Power Demand'!P410</f>
        <v>0.21957685264482196</v>
      </c>
      <c r="G401" s="55">
        <f>'Four-Weekly Heat &amp; Power Demand'!Q410</f>
        <v>4.6321775826741275E-2</v>
      </c>
    </row>
    <row r="402" spans="1:7" x14ac:dyDescent="0.2">
      <c r="A402">
        <v>401</v>
      </c>
      <c r="B402">
        <f>'Four-Weekly Heat &amp; Power Demand'!C411</f>
        <v>3.4332694957598457</v>
      </c>
      <c r="C402">
        <f>'Four-Weekly Heat &amp; Power Demand'!D411</f>
        <v>1.8717327794185254</v>
      </c>
      <c r="D402">
        <f>'Four-Weekly Heat &amp; Power Demand'!E411</f>
        <v>0.32981104388639787</v>
      </c>
      <c r="E402" s="55">
        <f>'Four-Weekly Heat &amp; Power Demand'!O411</f>
        <v>0.38224352251574223</v>
      </c>
      <c r="F402" s="55">
        <f>'Four-Weekly Heat &amp; Power Demand'!P411</f>
        <v>0.21957685264482196</v>
      </c>
      <c r="G402" s="55">
        <f>'Four-Weekly Heat &amp; Power Demand'!Q411</f>
        <v>4.6321775826741275E-2</v>
      </c>
    </row>
    <row r="403" spans="1:7" x14ac:dyDescent="0.2">
      <c r="A403">
        <v>402</v>
      </c>
      <c r="B403">
        <f>'Four-Weekly Heat &amp; Power Demand'!C412</f>
        <v>3.4332694957598457</v>
      </c>
      <c r="C403">
        <f>'Four-Weekly Heat &amp; Power Demand'!D412</f>
        <v>1.8717327794185254</v>
      </c>
      <c r="D403">
        <f>'Four-Weekly Heat &amp; Power Demand'!E412</f>
        <v>0.32981104388639787</v>
      </c>
      <c r="E403" s="55">
        <f>'Four-Weekly Heat &amp; Power Demand'!O412</f>
        <v>0.38224352251574223</v>
      </c>
      <c r="F403" s="55">
        <f>'Four-Weekly Heat &amp; Power Demand'!P412</f>
        <v>0.21957685264482196</v>
      </c>
      <c r="G403" s="55">
        <f>'Four-Weekly Heat &amp; Power Demand'!Q412</f>
        <v>4.6321775826741275E-2</v>
      </c>
    </row>
    <row r="404" spans="1:7" x14ac:dyDescent="0.2">
      <c r="A404">
        <v>403</v>
      </c>
      <c r="B404">
        <f>'Four-Weekly Heat &amp; Power Demand'!C413</f>
        <v>3.4332694957598457</v>
      </c>
      <c r="C404">
        <f>'Four-Weekly Heat &amp; Power Demand'!D413</f>
        <v>1.8717327794185254</v>
      </c>
      <c r="D404">
        <f>'Four-Weekly Heat &amp; Power Demand'!E413</f>
        <v>0.32981104388639787</v>
      </c>
      <c r="E404" s="55">
        <f>'Four-Weekly Heat &amp; Power Demand'!O413</f>
        <v>0.38224352251574223</v>
      </c>
      <c r="F404" s="55">
        <f>'Four-Weekly Heat &amp; Power Demand'!P413</f>
        <v>0.21957685264482196</v>
      </c>
      <c r="G404" s="55">
        <f>'Four-Weekly Heat &amp; Power Demand'!Q413</f>
        <v>4.6321775826741275E-2</v>
      </c>
    </row>
    <row r="405" spans="1:7" x14ac:dyDescent="0.2">
      <c r="A405">
        <v>404</v>
      </c>
      <c r="B405">
        <f>'Four-Weekly Heat &amp; Power Demand'!C414</f>
        <v>3.4332694957598457</v>
      </c>
      <c r="C405">
        <f>'Four-Weekly Heat &amp; Power Demand'!D414</f>
        <v>1.8717327794185254</v>
      </c>
      <c r="D405">
        <f>'Four-Weekly Heat &amp; Power Demand'!E414</f>
        <v>0.32981104388639787</v>
      </c>
      <c r="E405" s="55">
        <f>'Four-Weekly Heat &amp; Power Demand'!O414</f>
        <v>0.38224352251574223</v>
      </c>
      <c r="F405" s="55">
        <f>'Four-Weekly Heat &amp; Power Demand'!P414</f>
        <v>0.21957685264482196</v>
      </c>
      <c r="G405" s="55">
        <f>'Four-Weekly Heat &amp; Power Demand'!Q414</f>
        <v>4.6321775826741275E-2</v>
      </c>
    </row>
    <row r="406" spans="1:7" x14ac:dyDescent="0.2">
      <c r="A406">
        <v>405</v>
      </c>
      <c r="B406">
        <f>'Four-Weekly Heat &amp; Power Demand'!C415</f>
        <v>3.4332694957598457</v>
      </c>
      <c r="C406">
        <f>'Four-Weekly Heat &amp; Power Demand'!D415</f>
        <v>1.8717327794185254</v>
      </c>
      <c r="D406">
        <f>'Four-Weekly Heat &amp; Power Demand'!E415</f>
        <v>0.32981104388639787</v>
      </c>
      <c r="E406" s="55">
        <f>'Four-Weekly Heat &amp; Power Demand'!O415</f>
        <v>0.38224352251574223</v>
      </c>
      <c r="F406" s="55">
        <f>'Four-Weekly Heat &amp; Power Demand'!P415</f>
        <v>0.21957685264482196</v>
      </c>
      <c r="G406" s="55">
        <f>'Four-Weekly Heat &amp; Power Demand'!Q415</f>
        <v>4.6321775826741275E-2</v>
      </c>
    </row>
    <row r="407" spans="1:7" x14ac:dyDescent="0.2">
      <c r="A407">
        <v>406</v>
      </c>
      <c r="B407">
        <f>'Four-Weekly Heat &amp; Power Demand'!C416</f>
        <v>3.4332694957598457</v>
      </c>
      <c r="C407">
        <f>'Four-Weekly Heat &amp; Power Demand'!D416</f>
        <v>1.8717327794185254</v>
      </c>
      <c r="D407">
        <f>'Four-Weekly Heat &amp; Power Demand'!E416</f>
        <v>0.32981104388639787</v>
      </c>
      <c r="E407" s="55">
        <f>'Four-Weekly Heat &amp; Power Demand'!O416</f>
        <v>0.38224352251574223</v>
      </c>
      <c r="F407" s="55">
        <f>'Four-Weekly Heat &amp; Power Demand'!P416</f>
        <v>0.21957685264482196</v>
      </c>
      <c r="G407" s="55">
        <f>'Four-Weekly Heat &amp; Power Demand'!Q416</f>
        <v>4.6321775826741275E-2</v>
      </c>
    </row>
    <row r="408" spans="1:7" x14ac:dyDescent="0.2">
      <c r="A408">
        <v>407</v>
      </c>
      <c r="B408">
        <f>'Four-Weekly Heat &amp; Power Demand'!C417</f>
        <v>0</v>
      </c>
      <c r="C408">
        <f>'Four-Weekly Heat &amp; Power Demand'!D417</f>
        <v>0</v>
      </c>
      <c r="D408">
        <f>'Four-Weekly Heat &amp; Power Demand'!E417</f>
        <v>0</v>
      </c>
      <c r="E408" s="55">
        <f>'Four-Weekly Heat &amp; Power Demand'!O417</f>
        <v>0</v>
      </c>
      <c r="F408" s="55">
        <f>'Four-Weekly Heat &amp; Power Demand'!P417</f>
        <v>0</v>
      </c>
      <c r="G408" s="55">
        <f>'Four-Weekly Heat &amp; Power Demand'!Q417</f>
        <v>0</v>
      </c>
    </row>
    <row r="409" spans="1:7" x14ac:dyDescent="0.2">
      <c r="A409">
        <v>408</v>
      </c>
      <c r="B409">
        <f>'Four-Weekly Heat &amp; Power Demand'!C418</f>
        <v>0</v>
      </c>
      <c r="C409">
        <f>'Four-Weekly Heat &amp; Power Demand'!D418</f>
        <v>0</v>
      </c>
      <c r="D409">
        <f>'Four-Weekly Heat &amp; Power Demand'!E418</f>
        <v>0</v>
      </c>
      <c r="E409" s="55">
        <f>'Four-Weekly Heat &amp; Power Demand'!O418</f>
        <v>0</v>
      </c>
      <c r="F409" s="55">
        <f>'Four-Weekly Heat &amp; Power Demand'!P418</f>
        <v>0</v>
      </c>
      <c r="G409" s="55">
        <f>'Four-Weekly Heat &amp; Power Demand'!Q418</f>
        <v>0</v>
      </c>
    </row>
    <row r="410" spans="1:7" x14ac:dyDescent="0.2">
      <c r="A410">
        <v>409</v>
      </c>
      <c r="B410">
        <f>'Four-Weekly Heat &amp; Power Demand'!C419</f>
        <v>0</v>
      </c>
      <c r="C410">
        <f>'Four-Weekly Heat &amp; Power Demand'!D419</f>
        <v>0</v>
      </c>
      <c r="D410">
        <f>'Four-Weekly Heat &amp; Power Demand'!E419</f>
        <v>0</v>
      </c>
      <c r="E410" s="55">
        <f>'Four-Weekly Heat &amp; Power Demand'!O419</f>
        <v>0</v>
      </c>
      <c r="F410" s="55">
        <f>'Four-Weekly Heat &amp; Power Demand'!P419</f>
        <v>0</v>
      </c>
      <c r="G410" s="55">
        <f>'Four-Weekly Heat &amp; Power Demand'!Q419</f>
        <v>0</v>
      </c>
    </row>
    <row r="411" spans="1:7" x14ac:dyDescent="0.2">
      <c r="A411">
        <v>410</v>
      </c>
      <c r="B411">
        <f>'Four-Weekly Heat &amp; Power Demand'!C420</f>
        <v>0</v>
      </c>
      <c r="C411">
        <f>'Four-Weekly Heat &amp; Power Demand'!D420</f>
        <v>0</v>
      </c>
      <c r="D411">
        <f>'Four-Weekly Heat &amp; Power Demand'!E420</f>
        <v>0</v>
      </c>
      <c r="E411" s="55">
        <f>'Four-Weekly Heat &amp; Power Demand'!O420</f>
        <v>0</v>
      </c>
      <c r="F411" s="55">
        <f>'Four-Weekly Heat &amp; Power Demand'!P420</f>
        <v>0</v>
      </c>
      <c r="G411" s="55">
        <f>'Four-Weekly Heat &amp; Power Demand'!Q420</f>
        <v>0</v>
      </c>
    </row>
    <row r="412" spans="1:7" x14ac:dyDescent="0.2">
      <c r="A412">
        <v>411</v>
      </c>
      <c r="B412">
        <f>'Four-Weekly Heat &amp; Power Demand'!C421</f>
        <v>0</v>
      </c>
      <c r="C412">
        <f>'Four-Weekly Heat &amp; Power Demand'!D421</f>
        <v>0</v>
      </c>
      <c r="D412">
        <f>'Four-Weekly Heat &amp; Power Demand'!E421</f>
        <v>0</v>
      </c>
      <c r="E412" s="55">
        <f>'Four-Weekly Heat &amp; Power Demand'!O421</f>
        <v>0</v>
      </c>
      <c r="F412" s="55">
        <f>'Four-Weekly Heat &amp; Power Demand'!P421</f>
        <v>0</v>
      </c>
      <c r="G412" s="55">
        <f>'Four-Weekly Heat &amp; Power Demand'!Q421</f>
        <v>0</v>
      </c>
    </row>
    <row r="413" spans="1:7" x14ac:dyDescent="0.2">
      <c r="A413">
        <v>412</v>
      </c>
      <c r="B413">
        <f>'Four-Weekly Heat &amp; Power Demand'!C422</f>
        <v>0</v>
      </c>
      <c r="C413">
        <f>'Four-Weekly Heat &amp; Power Demand'!D422</f>
        <v>0</v>
      </c>
      <c r="D413">
        <f>'Four-Weekly Heat &amp; Power Demand'!E422</f>
        <v>0</v>
      </c>
      <c r="E413" s="55">
        <f>'Four-Weekly Heat &amp; Power Demand'!O422</f>
        <v>0</v>
      </c>
      <c r="F413" s="55">
        <f>'Four-Weekly Heat &amp; Power Demand'!P422</f>
        <v>0</v>
      </c>
      <c r="G413" s="55">
        <f>'Four-Weekly Heat &amp; Power Demand'!Q422</f>
        <v>0</v>
      </c>
    </row>
    <row r="414" spans="1:7" x14ac:dyDescent="0.2">
      <c r="A414">
        <v>413</v>
      </c>
      <c r="B414">
        <f>'Four-Weekly Heat &amp; Power Demand'!C423</f>
        <v>0</v>
      </c>
      <c r="C414">
        <f>'Four-Weekly Heat &amp; Power Demand'!D423</f>
        <v>0</v>
      </c>
      <c r="D414">
        <f>'Four-Weekly Heat &amp; Power Demand'!E423</f>
        <v>0</v>
      </c>
      <c r="E414" s="55">
        <f>'Four-Weekly Heat &amp; Power Demand'!O423</f>
        <v>0</v>
      </c>
      <c r="F414" s="55">
        <f>'Four-Weekly Heat &amp; Power Demand'!P423</f>
        <v>0</v>
      </c>
      <c r="G414" s="55">
        <f>'Four-Weekly Heat &amp; Power Demand'!Q423</f>
        <v>0</v>
      </c>
    </row>
    <row r="415" spans="1:7" x14ac:dyDescent="0.2">
      <c r="A415">
        <v>414</v>
      </c>
      <c r="B415">
        <f>'Four-Weekly Heat &amp; Power Demand'!C424</f>
        <v>0</v>
      </c>
      <c r="C415">
        <f>'Four-Weekly Heat &amp; Power Demand'!D424</f>
        <v>0</v>
      </c>
      <c r="D415">
        <f>'Four-Weekly Heat &amp; Power Demand'!E424</f>
        <v>0</v>
      </c>
      <c r="E415" s="55">
        <f>'Four-Weekly Heat &amp; Power Demand'!O424</f>
        <v>0</v>
      </c>
      <c r="F415" s="55">
        <f>'Four-Weekly Heat &amp; Power Demand'!P424</f>
        <v>0</v>
      </c>
      <c r="G415" s="55">
        <f>'Four-Weekly Heat &amp; Power Demand'!Q424</f>
        <v>0</v>
      </c>
    </row>
    <row r="416" spans="1:7" x14ac:dyDescent="0.2">
      <c r="A416">
        <v>415</v>
      </c>
      <c r="B416">
        <f>'Four-Weekly Heat &amp; Power Demand'!C425</f>
        <v>3.4332694957598457</v>
      </c>
      <c r="C416">
        <f>'Four-Weekly Heat &amp; Power Demand'!D425</f>
        <v>1.8717327794185254</v>
      </c>
      <c r="D416">
        <f>'Four-Weekly Heat &amp; Power Demand'!E425</f>
        <v>0.32981104388639787</v>
      </c>
      <c r="E416" s="55">
        <f>'Four-Weekly Heat &amp; Power Demand'!O425</f>
        <v>0.38224352251574223</v>
      </c>
      <c r="F416" s="55">
        <f>'Four-Weekly Heat &amp; Power Demand'!P425</f>
        <v>0.21957685264482196</v>
      </c>
      <c r="G416" s="55">
        <f>'Four-Weekly Heat &amp; Power Demand'!Q425</f>
        <v>4.6321775826741275E-2</v>
      </c>
    </row>
    <row r="417" spans="1:7" x14ac:dyDescent="0.2">
      <c r="A417">
        <v>416</v>
      </c>
      <c r="B417">
        <f>'Four-Weekly Heat &amp; Power Demand'!C426</f>
        <v>3.4332694957598457</v>
      </c>
      <c r="C417">
        <f>'Four-Weekly Heat &amp; Power Demand'!D426</f>
        <v>1.8717327794185254</v>
      </c>
      <c r="D417">
        <f>'Four-Weekly Heat &amp; Power Demand'!E426</f>
        <v>0.32981104388639787</v>
      </c>
      <c r="E417" s="55">
        <f>'Four-Weekly Heat &amp; Power Demand'!O426</f>
        <v>0.38224352251574223</v>
      </c>
      <c r="F417" s="55">
        <f>'Four-Weekly Heat &amp; Power Demand'!P426</f>
        <v>0.21957685264482196</v>
      </c>
      <c r="G417" s="55">
        <f>'Four-Weekly Heat &amp; Power Demand'!Q426</f>
        <v>4.6321775826741275E-2</v>
      </c>
    </row>
    <row r="418" spans="1:7" x14ac:dyDescent="0.2">
      <c r="A418">
        <v>417</v>
      </c>
      <c r="B418">
        <f>'Four-Weekly Heat &amp; Power Demand'!C427</f>
        <v>3.4332694957598457</v>
      </c>
      <c r="C418">
        <f>'Four-Weekly Heat &amp; Power Demand'!D427</f>
        <v>1.8717327794185254</v>
      </c>
      <c r="D418">
        <f>'Four-Weekly Heat &amp; Power Demand'!E427</f>
        <v>0.32981104388639787</v>
      </c>
      <c r="E418" s="55">
        <f>'Four-Weekly Heat &amp; Power Demand'!O427</f>
        <v>0.38224352251574223</v>
      </c>
      <c r="F418" s="55">
        <f>'Four-Weekly Heat &amp; Power Demand'!P427</f>
        <v>0.21957685264482196</v>
      </c>
      <c r="G418" s="55">
        <f>'Four-Weekly Heat &amp; Power Demand'!Q427</f>
        <v>4.6321775826741275E-2</v>
      </c>
    </row>
    <row r="419" spans="1:7" x14ac:dyDescent="0.2">
      <c r="A419">
        <v>418</v>
      </c>
      <c r="B419">
        <f>'Four-Weekly Heat &amp; Power Demand'!C428</f>
        <v>3.4332694957598457</v>
      </c>
      <c r="C419">
        <f>'Four-Weekly Heat &amp; Power Demand'!D428</f>
        <v>1.8717327794185254</v>
      </c>
      <c r="D419">
        <f>'Four-Weekly Heat &amp; Power Demand'!E428</f>
        <v>0.32981104388639787</v>
      </c>
      <c r="E419" s="55">
        <f>'Four-Weekly Heat &amp; Power Demand'!O428</f>
        <v>0.38224352251574223</v>
      </c>
      <c r="F419" s="55">
        <f>'Four-Weekly Heat &amp; Power Demand'!P428</f>
        <v>0.21957685264482196</v>
      </c>
      <c r="G419" s="55">
        <f>'Four-Weekly Heat &amp; Power Demand'!Q428</f>
        <v>4.6321775826741275E-2</v>
      </c>
    </row>
    <row r="420" spans="1:7" x14ac:dyDescent="0.2">
      <c r="A420">
        <v>419</v>
      </c>
      <c r="B420">
        <f>'Four-Weekly Heat &amp; Power Demand'!C429</f>
        <v>3.4332694957598457</v>
      </c>
      <c r="C420">
        <f>'Four-Weekly Heat &amp; Power Demand'!D429</f>
        <v>1.8717327794185254</v>
      </c>
      <c r="D420">
        <f>'Four-Weekly Heat &amp; Power Demand'!E429</f>
        <v>0.32981104388639787</v>
      </c>
      <c r="E420" s="55">
        <f>'Four-Weekly Heat &amp; Power Demand'!O429</f>
        <v>0.38224352251574223</v>
      </c>
      <c r="F420" s="55">
        <f>'Four-Weekly Heat &amp; Power Demand'!P429</f>
        <v>0.21957685264482196</v>
      </c>
      <c r="G420" s="55">
        <f>'Four-Weekly Heat &amp; Power Demand'!Q429</f>
        <v>4.6321775826741275E-2</v>
      </c>
    </row>
    <row r="421" spans="1:7" x14ac:dyDescent="0.2">
      <c r="A421">
        <v>420</v>
      </c>
      <c r="B421">
        <f>'Four-Weekly Heat &amp; Power Demand'!C430</f>
        <v>3.4332694957598457</v>
      </c>
      <c r="C421">
        <f>'Four-Weekly Heat &amp; Power Demand'!D430</f>
        <v>1.8717327794185254</v>
      </c>
      <c r="D421">
        <f>'Four-Weekly Heat &amp; Power Demand'!E430</f>
        <v>0.32981104388639787</v>
      </c>
      <c r="E421" s="55">
        <f>'Four-Weekly Heat &amp; Power Demand'!O430</f>
        <v>0.38224352251574223</v>
      </c>
      <c r="F421" s="55">
        <f>'Four-Weekly Heat &amp; Power Demand'!P430</f>
        <v>0.21957685264482196</v>
      </c>
      <c r="G421" s="55">
        <f>'Four-Weekly Heat &amp; Power Demand'!Q430</f>
        <v>4.6321775826741275E-2</v>
      </c>
    </row>
    <row r="422" spans="1:7" x14ac:dyDescent="0.2">
      <c r="A422">
        <v>421</v>
      </c>
      <c r="B422">
        <f>'Four-Weekly Heat &amp; Power Demand'!C431</f>
        <v>3.4332694957598457</v>
      </c>
      <c r="C422">
        <f>'Four-Weekly Heat &amp; Power Demand'!D431</f>
        <v>1.8717327794185254</v>
      </c>
      <c r="D422">
        <f>'Four-Weekly Heat &amp; Power Demand'!E431</f>
        <v>0.32981104388639787</v>
      </c>
      <c r="E422" s="55">
        <f>'Four-Weekly Heat &amp; Power Demand'!O431</f>
        <v>0.38224352251574223</v>
      </c>
      <c r="F422" s="55">
        <f>'Four-Weekly Heat &amp; Power Demand'!P431</f>
        <v>0.21957685264482196</v>
      </c>
      <c r="G422" s="55">
        <f>'Four-Weekly Heat &amp; Power Demand'!Q431</f>
        <v>4.6321775826741275E-2</v>
      </c>
    </row>
    <row r="423" spans="1:7" x14ac:dyDescent="0.2">
      <c r="A423">
        <v>422</v>
      </c>
      <c r="B423">
        <f>'Four-Weekly Heat &amp; Power Demand'!C432</f>
        <v>3.4332694957598457</v>
      </c>
      <c r="C423">
        <f>'Four-Weekly Heat &amp; Power Demand'!D432</f>
        <v>1.8717327794185254</v>
      </c>
      <c r="D423">
        <f>'Four-Weekly Heat &amp; Power Demand'!E432</f>
        <v>0.32981104388639787</v>
      </c>
      <c r="E423" s="55">
        <f>'Four-Weekly Heat &amp; Power Demand'!O432</f>
        <v>0.38224352251574223</v>
      </c>
      <c r="F423" s="55">
        <f>'Four-Weekly Heat &amp; Power Demand'!P432</f>
        <v>0.21957685264482196</v>
      </c>
      <c r="G423" s="55">
        <f>'Four-Weekly Heat &amp; Power Demand'!Q432</f>
        <v>4.6321775826741275E-2</v>
      </c>
    </row>
    <row r="424" spans="1:7" x14ac:dyDescent="0.2">
      <c r="A424">
        <v>423</v>
      </c>
      <c r="B424">
        <f>'Four-Weekly Heat &amp; Power Demand'!C433</f>
        <v>3.4332694957598457</v>
      </c>
      <c r="C424">
        <f>'Four-Weekly Heat &amp; Power Demand'!D433</f>
        <v>1.8717327794185254</v>
      </c>
      <c r="D424">
        <f>'Four-Weekly Heat &amp; Power Demand'!E433</f>
        <v>0.32981104388639787</v>
      </c>
      <c r="E424" s="55">
        <f>'Four-Weekly Heat &amp; Power Demand'!O433</f>
        <v>0.38224352251574223</v>
      </c>
      <c r="F424" s="55">
        <f>'Four-Weekly Heat &amp; Power Demand'!P433</f>
        <v>0.21957685264482196</v>
      </c>
      <c r="G424" s="55">
        <f>'Four-Weekly Heat &amp; Power Demand'!Q433</f>
        <v>4.6321775826741275E-2</v>
      </c>
    </row>
    <row r="425" spans="1:7" x14ac:dyDescent="0.2">
      <c r="A425">
        <v>424</v>
      </c>
      <c r="B425">
        <f>'Four-Weekly Heat &amp; Power Demand'!C434</f>
        <v>3.4332694957598457</v>
      </c>
      <c r="C425">
        <f>'Four-Weekly Heat &amp; Power Demand'!D434</f>
        <v>1.8717327794185254</v>
      </c>
      <c r="D425">
        <f>'Four-Weekly Heat &amp; Power Demand'!E434</f>
        <v>0.32981104388639787</v>
      </c>
      <c r="E425" s="55">
        <f>'Four-Weekly Heat &amp; Power Demand'!O434</f>
        <v>0.38224352251574223</v>
      </c>
      <c r="F425" s="55">
        <f>'Four-Weekly Heat &amp; Power Demand'!P434</f>
        <v>0.21957685264482196</v>
      </c>
      <c r="G425" s="55">
        <f>'Four-Weekly Heat &amp; Power Demand'!Q434</f>
        <v>4.6321775826741275E-2</v>
      </c>
    </row>
    <row r="426" spans="1:7" x14ac:dyDescent="0.2">
      <c r="A426">
        <v>425</v>
      </c>
      <c r="B426">
        <f>'Four-Weekly Heat &amp; Power Demand'!C435</f>
        <v>3.4332694957598457</v>
      </c>
      <c r="C426">
        <f>'Four-Weekly Heat &amp; Power Demand'!D435</f>
        <v>1.8717327794185254</v>
      </c>
      <c r="D426">
        <f>'Four-Weekly Heat &amp; Power Demand'!E435</f>
        <v>0.32981104388639787</v>
      </c>
      <c r="E426" s="55">
        <f>'Four-Weekly Heat &amp; Power Demand'!O435</f>
        <v>0.38224352251574223</v>
      </c>
      <c r="F426" s="55">
        <f>'Four-Weekly Heat &amp; Power Demand'!P435</f>
        <v>0.21957685264482196</v>
      </c>
      <c r="G426" s="55">
        <f>'Four-Weekly Heat &amp; Power Demand'!Q435</f>
        <v>4.6321775826741275E-2</v>
      </c>
    </row>
    <row r="427" spans="1:7" x14ac:dyDescent="0.2">
      <c r="A427">
        <v>426</v>
      </c>
      <c r="B427">
        <f>'Four-Weekly Heat &amp; Power Demand'!C436</f>
        <v>3.4332694957598457</v>
      </c>
      <c r="C427">
        <f>'Four-Weekly Heat &amp; Power Demand'!D436</f>
        <v>1.8717327794185254</v>
      </c>
      <c r="D427">
        <f>'Four-Weekly Heat &amp; Power Demand'!E436</f>
        <v>0.32981104388639787</v>
      </c>
      <c r="E427" s="55">
        <f>'Four-Weekly Heat &amp; Power Demand'!O436</f>
        <v>0.38224352251574223</v>
      </c>
      <c r="F427" s="55">
        <f>'Four-Weekly Heat &amp; Power Demand'!P436</f>
        <v>0.21957685264482196</v>
      </c>
      <c r="G427" s="55">
        <f>'Four-Weekly Heat &amp; Power Demand'!Q436</f>
        <v>4.6321775826741275E-2</v>
      </c>
    </row>
    <row r="428" spans="1:7" x14ac:dyDescent="0.2">
      <c r="A428">
        <v>427</v>
      </c>
      <c r="B428">
        <f>'Four-Weekly Heat &amp; Power Demand'!C437</f>
        <v>3.4332694957598457</v>
      </c>
      <c r="C428">
        <f>'Four-Weekly Heat &amp; Power Demand'!D437</f>
        <v>1.8717327794185254</v>
      </c>
      <c r="D428">
        <f>'Four-Weekly Heat &amp; Power Demand'!E437</f>
        <v>0.32981104388639787</v>
      </c>
      <c r="E428" s="55">
        <f>'Four-Weekly Heat &amp; Power Demand'!O437</f>
        <v>0.38224352251574223</v>
      </c>
      <c r="F428" s="55">
        <f>'Four-Weekly Heat &amp; Power Demand'!P437</f>
        <v>0.21957685264482196</v>
      </c>
      <c r="G428" s="55">
        <f>'Four-Weekly Heat &amp; Power Demand'!Q437</f>
        <v>4.6321775826741275E-2</v>
      </c>
    </row>
    <row r="429" spans="1:7" x14ac:dyDescent="0.2">
      <c r="A429">
        <v>428</v>
      </c>
      <c r="B429">
        <f>'Four-Weekly Heat &amp; Power Demand'!C438</f>
        <v>3.4332694957598457</v>
      </c>
      <c r="C429">
        <f>'Four-Weekly Heat &amp; Power Demand'!D438</f>
        <v>1.8717327794185254</v>
      </c>
      <c r="D429">
        <f>'Four-Weekly Heat &amp; Power Demand'!E438</f>
        <v>0.32981104388639787</v>
      </c>
      <c r="E429" s="55">
        <f>'Four-Weekly Heat &amp; Power Demand'!O438</f>
        <v>0.38224352251574223</v>
      </c>
      <c r="F429" s="55">
        <f>'Four-Weekly Heat &amp; Power Demand'!P438</f>
        <v>0.21957685264482196</v>
      </c>
      <c r="G429" s="55">
        <f>'Four-Weekly Heat &amp; Power Demand'!Q438</f>
        <v>4.6321775826741275E-2</v>
      </c>
    </row>
    <row r="430" spans="1:7" x14ac:dyDescent="0.2">
      <c r="A430">
        <v>429</v>
      </c>
      <c r="B430">
        <f>'Four-Weekly Heat &amp; Power Demand'!C439</f>
        <v>3.4332694957598457</v>
      </c>
      <c r="C430">
        <f>'Four-Weekly Heat &amp; Power Demand'!D439</f>
        <v>1.8717327794185254</v>
      </c>
      <c r="D430">
        <f>'Four-Weekly Heat &amp; Power Demand'!E439</f>
        <v>0.32981104388639787</v>
      </c>
      <c r="E430" s="55">
        <f>'Four-Weekly Heat &amp; Power Demand'!O439</f>
        <v>0.38224352251574223</v>
      </c>
      <c r="F430" s="55">
        <f>'Four-Weekly Heat &amp; Power Demand'!P439</f>
        <v>0.21957685264482196</v>
      </c>
      <c r="G430" s="55">
        <f>'Four-Weekly Heat &amp; Power Demand'!Q439</f>
        <v>4.6321775826741275E-2</v>
      </c>
    </row>
    <row r="431" spans="1:7" x14ac:dyDescent="0.2">
      <c r="A431">
        <v>430</v>
      </c>
      <c r="B431">
        <f>'Four-Weekly Heat &amp; Power Demand'!C440</f>
        <v>3.4332694957598457</v>
      </c>
      <c r="C431">
        <f>'Four-Weekly Heat &amp; Power Demand'!D440</f>
        <v>1.8717327794185254</v>
      </c>
      <c r="D431">
        <f>'Four-Weekly Heat &amp; Power Demand'!E440</f>
        <v>0.32981104388639787</v>
      </c>
      <c r="E431" s="55">
        <f>'Four-Weekly Heat &amp; Power Demand'!O440</f>
        <v>0.38224352251574223</v>
      </c>
      <c r="F431" s="55">
        <f>'Four-Weekly Heat &amp; Power Demand'!P440</f>
        <v>0.21957685264482196</v>
      </c>
      <c r="G431" s="55">
        <f>'Four-Weekly Heat &amp; Power Demand'!Q440</f>
        <v>4.6321775826741275E-2</v>
      </c>
    </row>
    <row r="432" spans="1:7" x14ac:dyDescent="0.2">
      <c r="A432">
        <v>431</v>
      </c>
      <c r="B432">
        <f>'Four-Weekly Heat &amp; Power Demand'!C441</f>
        <v>0</v>
      </c>
      <c r="C432">
        <f>'Four-Weekly Heat &amp; Power Demand'!D441</f>
        <v>0</v>
      </c>
      <c r="D432">
        <f>'Four-Weekly Heat &amp; Power Demand'!E441</f>
        <v>0</v>
      </c>
      <c r="E432" s="55">
        <f>'Four-Weekly Heat &amp; Power Demand'!O441</f>
        <v>0</v>
      </c>
      <c r="F432" s="55">
        <f>'Four-Weekly Heat &amp; Power Demand'!P441</f>
        <v>0</v>
      </c>
      <c r="G432" s="55">
        <f>'Four-Weekly Heat &amp; Power Demand'!Q441</f>
        <v>0</v>
      </c>
    </row>
    <row r="433" spans="1:7" x14ac:dyDescent="0.2">
      <c r="A433">
        <v>432</v>
      </c>
      <c r="B433">
        <f>'Four-Weekly Heat &amp; Power Demand'!C442</f>
        <v>0</v>
      </c>
      <c r="C433">
        <f>'Four-Weekly Heat &amp; Power Demand'!D442</f>
        <v>0</v>
      </c>
      <c r="D433">
        <f>'Four-Weekly Heat &amp; Power Demand'!E442</f>
        <v>0</v>
      </c>
      <c r="E433" s="55">
        <f>'Four-Weekly Heat &amp; Power Demand'!O442</f>
        <v>0</v>
      </c>
      <c r="F433" s="55">
        <f>'Four-Weekly Heat &amp; Power Demand'!P442</f>
        <v>0</v>
      </c>
      <c r="G433" s="55">
        <f>'Four-Weekly Heat &amp; Power Demand'!Q442</f>
        <v>0</v>
      </c>
    </row>
    <row r="434" spans="1:7" x14ac:dyDescent="0.2">
      <c r="A434">
        <v>433</v>
      </c>
      <c r="B434">
        <f>'Four-Weekly Heat &amp; Power Demand'!C443</f>
        <v>0</v>
      </c>
      <c r="C434">
        <f>'Four-Weekly Heat &amp; Power Demand'!D443</f>
        <v>0</v>
      </c>
      <c r="D434">
        <f>'Four-Weekly Heat &amp; Power Demand'!E443</f>
        <v>0</v>
      </c>
      <c r="E434" s="55">
        <f>'Four-Weekly Heat &amp; Power Demand'!O443</f>
        <v>0</v>
      </c>
      <c r="F434" s="55">
        <f>'Four-Weekly Heat &amp; Power Demand'!P443</f>
        <v>0</v>
      </c>
      <c r="G434" s="55">
        <f>'Four-Weekly Heat &amp; Power Demand'!Q443</f>
        <v>0</v>
      </c>
    </row>
    <row r="435" spans="1:7" x14ac:dyDescent="0.2">
      <c r="A435">
        <v>434</v>
      </c>
      <c r="B435">
        <f>'Four-Weekly Heat &amp; Power Demand'!C444</f>
        <v>0</v>
      </c>
      <c r="C435">
        <f>'Four-Weekly Heat &amp; Power Demand'!D444</f>
        <v>0</v>
      </c>
      <c r="D435">
        <f>'Four-Weekly Heat &amp; Power Demand'!E444</f>
        <v>0</v>
      </c>
      <c r="E435" s="55">
        <f>'Four-Weekly Heat &amp; Power Demand'!O444</f>
        <v>0</v>
      </c>
      <c r="F435" s="55">
        <f>'Four-Weekly Heat &amp; Power Demand'!P444</f>
        <v>0</v>
      </c>
      <c r="G435" s="55">
        <f>'Four-Weekly Heat &amp; Power Demand'!Q444</f>
        <v>0</v>
      </c>
    </row>
    <row r="436" spans="1:7" x14ac:dyDescent="0.2">
      <c r="A436">
        <v>435</v>
      </c>
      <c r="B436">
        <f>'Four-Weekly Heat &amp; Power Demand'!C445</f>
        <v>0</v>
      </c>
      <c r="C436">
        <f>'Four-Weekly Heat &amp; Power Demand'!D445</f>
        <v>0</v>
      </c>
      <c r="D436">
        <f>'Four-Weekly Heat &amp; Power Demand'!E445</f>
        <v>0</v>
      </c>
      <c r="E436" s="55">
        <f>'Four-Weekly Heat &amp; Power Demand'!O445</f>
        <v>0</v>
      </c>
      <c r="F436" s="55">
        <f>'Four-Weekly Heat &amp; Power Demand'!P445</f>
        <v>0</v>
      </c>
      <c r="G436" s="55">
        <f>'Four-Weekly Heat &amp; Power Demand'!Q445</f>
        <v>0</v>
      </c>
    </row>
    <row r="437" spans="1:7" x14ac:dyDescent="0.2">
      <c r="A437">
        <v>436</v>
      </c>
      <c r="B437">
        <f>'Four-Weekly Heat &amp; Power Demand'!C446</f>
        <v>0</v>
      </c>
      <c r="C437">
        <f>'Four-Weekly Heat &amp; Power Demand'!D446</f>
        <v>0</v>
      </c>
      <c r="D437">
        <f>'Four-Weekly Heat &amp; Power Demand'!E446</f>
        <v>0</v>
      </c>
      <c r="E437" s="55">
        <f>'Four-Weekly Heat &amp; Power Demand'!O446</f>
        <v>0</v>
      </c>
      <c r="F437" s="55">
        <f>'Four-Weekly Heat &amp; Power Demand'!P446</f>
        <v>0</v>
      </c>
      <c r="G437" s="55">
        <f>'Four-Weekly Heat &amp; Power Demand'!Q446</f>
        <v>0</v>
      </c>
    </row>
    <row r="438" spans="1:7" x14ac:dyDescent="0.2">
      <c r="A438">
        <v>437</v>
      </c>
      <c r="B438">
        <f>'Four-Weekly Heat &amp; Power Demand'!C447</f>
        <v>0</v>
      </c>
      <c r="C438">
        <f>'Four-Weekly Heat &amp; Power Demand'!D447</f>
        <v>0</v>
      </c>
      <c r="D438">
        <f>'Four-Weekly Heat &amp; Power Demand'!E447</f>
        <v>0</v>
      </c>
      <c r="E438" s="55">
        <f>'Four-Weekly Heat &amp; Power Demand'!O447</f>
        <v>0</v>
      </c>
      <c r="F438" s="55">
        <f>'Four-Weekly Heat &amp; Power Demand'!P447</f>
        <v>0</v>
      </c>
      <c r="G438" s="55">
        <f>'Four-Weekly Heat &amp; Power Demand'!Q447</f>
        <v>0</v>
      </c>
    </row>
    <row r="439" spans="1:7" x14ac:dyDescent="0.2">
      <c r="A439">
        <v>438</v>
      </c>
      <c r="B439">
        <f>'Four-Weekly Heat &amp; Power Demand'!C448</f>
        <v>0</v>
      </c>
      <c r="C439">
        <f>'Four-Weekly Heat &amp; Power Demand'!D448</f>
        <v>0</v>
      </c>
      <c r="D439">
        <f>'Four-Weekly Heat &amp; Power Demand'!E448</f>
        <v>0</v>
      </c>
      <c r="E439" s="55">
        <f>'Four-Weekly Heat &amp; Power Demand'!O448</f>
        <v>0</v>
      </c>
      <c r="F439" s="55">
        <f>'Four-Weekly Heat &amp; Power Demand'!P448</f>
        <v>0</v>
      </c>
      <c r="G439" s="55">
        <f>'Four-Weekly Heat &amp; Power Demand'!Q448</f>
        <v>0</v>
      </c>
    </row>
    <row r="440" spans="1:7" x14ac:dyDescent="0.2">
      <c r="A440">
        <v>439</v>
      </c>
      <c r="B440">
        <f>'Four-Weekly Heat &amp; Power Demand'!C449</f>
        <v>3.4332694957598457</v>
      </c>
      <c r="C440">
        <f>'Four-Weekly Heat &amp; Power Demand'!D449</f>
        <v>1.8717327794185254</v>
      </c>
      <c r="D440">
        <f>'Four-Weekly Heat &amp; Power Demand'!E449</f>
        <v>0.32981104388639787</v>
      </c>
      <c r="E440" s="55">
        <f>'Four-Weekly Heat &amp; Power Demand'!O449</f>
        <v>0.38224352251574223</v>
      </c>
      <c r="F440" s="55">
        <f>'Four-Weekly Heat &amp; Power Demand'!P449</f>
        <v>0.21957685264482196</v>
      </c>
      <c r="G440" s="55">
        <f>'Four-Weekly Heat &amp; Power Demand'!Q449</f>
        <v>4.6321775826741275E-2</v>
      </c>
    </row>
    <row r="441" spans="1:7" x14ac:dyDescent="0.2">
      <c r="A441">
        <v>440</v>
      </c>
      <c r="B441">
        <f>'Four-Weekly Heat &amp; Power Demand'!C450</f>
        <v>3.4332694957598457</v>
      </c>
      <c r="C441">
        <f>'Four-Weekly Heat &amp; Power Demand'!D450</f>
        <v>1.8717327794185254</v>
      </c>
      <c r="D441">
        <f>'Four-Weekly Heat &amp; Power Demand'!E450</f>
        <v>0.32981104388639787</v>
      </c>
      <c r="E441" s="55">
        <f>'Four-Weekly Heat &amp; Power Demand'!O450</f>
        <v>0.38224352251574223</v>
      </c>
      <c r="F441" s="55">
        <f>'Four-Weekly Heat &amp; Power Demand'!P450</f>
        <v>0.21957685264482196</v>
      </c>
      <c r="G441" s="55">
        <f>'Four-Weekly Heat &amp; Power Demand'!Q450</f>
        <v>4.6321775826741275E-2</v>
      </c>
    </row>
    <row r="442" spans="1:7" x14ac:dyDescent="0.2">
      <c r="A442">
        <v>441</v>
      </c>
      <c r="B442">
        <f>'Four-Weekly Heat &amp; Power Demand'!C451</f>
        <v>3.4332694957598457</v>
      </c>
      <c r="C442">
        <f>'Four-Weekly Heat &amp; Power Demand'!D451</f>
        <v>1.8717327794185254</v>
      </c>
      <c r="D442">
        <f>'Four-Weekly Heat &amp; Power Demand'!E451</f>
        <v>0.32981104388639787</v>
      </c>
      <c r="E442" s="55">
        <f>'Four-Weekly Heat &amp; Power Demand'!O451</f>
        <v>0.38224352251574223</v>
      </c>
      <c r="F442" s="55">
        <f>'Four-Weekly Heat &amp; Power Demand'!P451</f>
        <v>0.21957685264482196</v>
      </c>
      <c r="G442" s="55">
        <f>'Four-Weekly Heat &amp; Power Demand'!Q451</f>
        <v>4.6321775826741275E-2</v>
      </c>
    </row>
    <row r="443" spans="1:7" x14ac:dyDescent="0.2">
      <c r="A443">
        <v>442</v>
      </c>
      <c r="B443">
        <f>'Four-Weekly Heat &amp; Power Demand'!C452</f>
        <v>3.4332694957598457</v>
      </c>
      <c r="C443">
        <f>'Four-Weekly Heat &amp; Power Demand'!D452</f>
        <v>1.8717327794185254</v>
      </c>
      <c r="D443">
        <f>'Four-Weekly Heat &amp; Power Demand'!E452</f>
        <v>0.32981104388639787</v>
      </c>
      <c r="E443" s="55">
        <f>'Four-Weekly Heat &amp; Power Demand'!O452</f>
        <v>0.38224352251574223</v>
      </c>
      <c r="F443" s="55">
        <f>'Four-Weekly Heat &amp; Power Demand'!P452</f>
        <v>0.21957685264482196</v>
      </c>
      <c r="G443" s="55">
        <f>'Four-Weekly Heat &amp; Power Demand'!Q452</f>
        <v>4.6321775826741275E-2</v>
      </c>
    </row>
    <row r="444" spans="1:7" x14ac:dyDescent="0.2">
      <c r="A444">
        <v>443</v>
      </c>
      <c r="B444">
        <f>'Four-Weekly Heat &amp; Power Demand'!C453</f>
        <v>3.4332694957598457</v>
      </c>
      <c r="C444">
        <f>'Four-Weekly Heat &amp; Power Demand'!D453</f>
        <v>1.8717327794185254</v>
      </c>
      <c r="D444">
        <f>'Four-Weekly Heat &amp; Power Demand'!E453</f>
        <v>0.32981104388639787</v>
      </c>
      <c r="E444" s="55">
        <f>'Four-Weekly Heat &amp; Power Demand'!O453</f>
        <v>0.38224352251574223</v>
      </c>
      <c r="F444" s="55">
        <f>'Four-Weekly Heat &amp; Power Demand'!P453</f>
        <v>0.21957685264482196</v>
      </c>
      <c r="G444" s="55">
        <f>'Four-Weekly Heat &amp; Power Demand'!Q453</f>
        <v>4.6321775826741275E-2</v>
      </c>
    </row>
    <row r="445" spans="1:7" x14ac:dyDescent="0.2">
      <c r="A445">
        <v>444</v>
      </c>
      <c r="B445">
        <f>'Four-Weekly Heat &amp; Power Demand'!C454</f>
        <v>3.4332694957598457</v>
      </c>
      <c r="C445">
        <f>'Four-Weekly Heat &amp; Power Demand'!D454</f>
        <v>1.8717327794185254</v>
      </c>
      <c r="D445">
        <f>'Four-Weekly Heat &amp; Power Demand'!E454</f>
        <v>0.32981104388639787</v>
      </c>
      <c r="E445" s="55">
        <f>'Four-Weekly Heat &amp; Power Demand'!O454</f>
        <v>0.38224352251574223</v>
      </c>
      <c r="F445" s="55">
        <f>'Four-Weekly Heat &amp; Power Demand'!P454</f>
        <v>0.21957685264482196</v>
      </c>
      <c r="G445" s="55">
        <f>'Four-Weekly Heat &amp; Power Demand'!Q454</f>
        <v>4.6321775826741275E-2</v>
      </c>
    </row>
    <row r="446" spans="1:7" x14ac:dyDescent="0.2">
      <c r="A446">
        <v>445</v>
      </c>
      <c r="B446">
        <f>'Four-Weekly Heat &amp; Power Demand'!C455</f>
        <v>3.4332694957598457</v>
      </c>
      <c r="C446">
        <f>'Four-Weekly Heat &amp; Power Demand'!D455</f>
        <v>1.8717327794185254</v>
      </c>
      <c r="D446">
        <f>'Four-Weekly Heat &amp; Power Demand'!E455</f>
        <v>0.32981104388639787</v>
      </c>
      <c r="E446" s="55">
        <f>'Four-Weekly Heat &amp; Power Demand'!O455</f>
        <v>0.38224352251574223</v>
      </c>
      <c r="F446" s="55">
        <f>'Four-Weekly Heat &amp; Power Demand'!P455</f>
        <v>0.21957685264482196</v>
      </c>
      <c r="G446" s="55">
        <f>'Four-Weekly Heat &amp; Power Demand'!Q455</f>
        <v>4.6321775826741275E-2</v>
      </c>
    </row>
    <row r="447" spans="1:7" x14ac:dyDescent="0.2">
      <c r="A447">
        <v>446</v>
      </c>
      <c r="B447">
        <f>'Four-Weekly Heat &amp; Power Demand'!C456</f>
        <v>3.4332694957598457</v>
      </c>
      <c r="C447">
        <f>'Four-Weekly Heat &amp; Power Demand'!D456</f>
        <v>1.8717327794185254</v>
      </c>
      <c r="D447">
        <f>'Four-Weekly Heat &amp; Power Demand'!E456</f>
        <v>0.32981104388639787</v>
      </c>
      <c r="E447" s="55">
        <f>'Four-Weekly Heat &amp; Power Demand'!O456</f>
        <v>0.38224352251574223</v>
      </c>
      <c r="F447" s="55">
        <f>'Four-Weekly Heat &amp; Power Demand'!P456</f>
        <v>0.21957685264482196</v>
      </c>
      <c r="G447" s="55">
        <f>'Four-Weekly Heat &amp; Power Demand'!Q456</f>
        <v>4.6321775826741275E-2</v>
      </c>
    </row>
    <row r="448" spans="1:7" x14ac:dyDescent="0.2">
      <c r="A448">
        <v>447</v>
      </c>
      <c r="B448">
        <f>'Four-Weekly Heat &amp; Power Demand'!C457</f>
        <v>3.4332694957598457</v>
      </c>
      <c r="C448">
        <f>'Four-Weekly Heat &amp; Power Demand'!D457</f>
        <v>1.8717327794185254</v>
      </c>
      <c r="D448">
        <f>'Four-Weekly Heat &amp; Power Demand'!E457</f>
        <v>0.32981104388639787</v>
      </c>
      <c r="E448" s="55">
        <f>'Four-Weekly Heat &amp; Power Demand'!O457</f>
        <v>0.38224352251574223</v>
      </c>
      <c r="F448" s="55">
        <f>'Four-Weekly Heat &amp; Power Demand'!P457</f>
        <v>0.21957685264482196</v>
      </c>
      <c r="G448" s="55">
        <f>'Four-Weekly Heat &amp; Power Demand'!Q457</f>
        <v>4.6321775826741275E-2</v>
      </c>
    </row>
    <row r="449" spans="1:7" x14ac:dyDescent="0.2">
      <c r="A449">
        <v>448</v>
      </c>
      <c r="B449">
        <f>'Four-Weekly Heat &amp; Power Demand'!C458</f>
        <v>3.4332694957598457</v>
      </c>
      <c r="C449">
        <f>'Four-Weekly Heat &amp; Power Demand'!D458</f>
        <v>1.8717327794185254</v>
      </c>
      <c r="D449">
        <f>'Four-Weekly Heat &amp; Power Demand'!E458</f>
        <v>0.32981104388639787</v>
      </c>
      <c r="E449" s="55">
        <f>'Four-Weekly Heat &amp; Power Demand'!O458</f>
        <v>0.38224352251574223</v>
      </c>
      <c r="F449" s="55">
        <f>'Four-Weekly Heat &amp; Power Demand'!P458</f>
        <v>0.21957685264482196</v>
      </c>
      <c r="G449" s="55">
        <f>'Four-Weekly Heat &amp; Power Demand'!Q458</f>
        <v>4.6321775826741275E-2</v>
      </c>
    </row>
    <row r="450" spans="1:7" x14ac:dyDescent="0.2">
      <c r="A450">
        <v>449</v>
      </c>
      <c r="B450">
        <f>'Four-Weekly Heat &amp; Power Demand'!C459</f>
        <v>3.4332694957598457</v>
      </c>
      <c r="C450">
        <f>'Four-Weekly Heat &amp; Power Demand'!D459</f>
        <v>1.8717327794185254</v>
      </c>
      <c r="D450">
        <f>'Four-Weekly Heat &amp; Power Demand'!E459</f>
        <v>0.32981104388639787</v>
      </c>
      <c r="E450" s="55">
        <f>'Four-Weekly Heat &amp; Power Demand'!O459</f>
        <v>0.38224352251574223</v>
      </c>
      <c r="F450" s="55">
        <f>'Four-Weekly Heat &amp; Power Demand'!P459</f>
        <v>0.21957685264482196</v>
      </c>
      <c r="G450" s="55">
        <f>'Four-Weekly Heat &amp; Power Demand'!Q459</f>
        <v>4.6321775826741275E-2</v>
      </c>
    </row>
    <row r="451" spans="1:7" x14ac:dyDescent="0.2">
      <c r="A451">
        <v>450</v>
      </c>
      <c r="B451">
        <f>'Four-Weekly Heat &amp; Power Demand'!C460</f>
        <v>3.4332694957598457</v>
      </c>
      <c r="C451">
        <f>'Four-Weekly Heat &amp; Power Demand'!D460</f>
        <v>1.8717327794185254</v>
      </c>
      <c r="D451">
        <f>'Four-Weekly Heat &amp; Power Demand'!E460</f>
        <v>0.32981104388639787</v>
      </c>
      <c r="E451" s="55">
        <f>'Four-Weekly Heat &amp; Power Demand'!O460</f>
        <v>0.38224352251574223</v>
      </c>
      <c r="F451" s="55">
        <f>'Four-Weekly Heat &amp; Power Demand'!P460</f>
        <v>0.21957685264482196</v>
      </c>
      <c r="G451" s="55">
        <f>'Four-Weekly Heat &amp; Power Demand'!Q460</f>
        <v>4.6321775826741275E-2</v>
      </c>
    </row>
    <row r="452" spans="1:7" x14ac:dyDescent="0.2">
      <c r="A452">
        <v>451</v>
      </c>
      <c r="B452">
        <f>'Four-Weekly Heat &amp; Power Demand'!C461</f>
        <v>3.4332694957598457</v>
      </c>
      <c r="C452">
        <f>'Four-Weekly Heat &amp; Power Demand'!D461</f>
        <v>1.8717327794185254</v>
      </c>
      <c r="D452">
        <f>'Four-Weekly Heat &amp; Power Demand'!E461</f>
        <v>0.32981104388639787</v>
      </c>
      <c r="E452" s="55">
        <f>'Four-Weekly Heat &amp; Power Demand'!O461</f>
        <v>0.38224352251574223</v>
      </c>
      <c r="F452" s="55">
        <f>'Four-Weekly Heat &amp; Power Demand'!P461</f>
        <v>0.21957685264482196</v>
      </c>
      <c r="G452" s="55">
        <f>'Four-Weekly Heat &amp; Power Demand'!Q461</f>
        <v>4.6321775826741275E-2</v>
      </c>
    </row>
    <row r="453" spans="1:7" x14ac:dyDescent="0.2">
      <c r="A453">
        <v>452</v>
      </c>
      <c r="B453">
        <f>'Four-Weekly Heat &amp; Power Demand'!C462</f>
        <v>3.4332694957598457</v>
      </c>
      <c r="C453">
        <f>'Four-Weekly Heat &amp; Power Demand'!D462</f>
        <v>1.8717327794185254</v>
      </c>
      <c r="D453">
        <f>'Four-Weekly Heat &amp; Power Demand'!E462</f>
        <v>0.32981104388639787</v>
      </c>
      <c r="E453" s="55">
        <f>'Four-Weekly Heat &amp; Power Demand'!O462</f>
        <v>0.38224352251574223</v>
      </c>
      <c r="F453" s="55">
        <f>'Four-Weekly Heat &amp; Power Demand'!P462</f>
        <v>0.21957685264482196</v>
      </c>
      <c r="G453" s="55">
        <f>'Four-Weekly Heat &amp; Power Demand'!Q462</f>
        <v>4.6321775826741275E-2</v>
      </c>
    </row>
    <row r="454" spans="1:7" x14ac:dyDescent="0.2">
      <c r="A454">
        <v>453</v>
      </c>
      <c r="B454">
        <f>'Four-Weekly Heat &amp; Power Demand'!C463</f>
        <v>3.4332694957598457</v>
      </c>
      <c r="C454">
        <f>'Four-Weekly Heat &amp; Power Demand'!D463</f>
        <v>1.8717327794185254</v>
      </c>
      <c r="D454">
        <f>'Four-Weekly Heat &amp; Power Demand'!E463</f>
        <v>0.32981104388639787</v>
      </c>
      <c r="E454" s="55">
        <f>'Four-Weekly Heat &amp; Power Demand'!O463</f>
        <v>0.38224352251574223</v>
      </c>
      <c r="F454" s="55">
        <f>'Four-Weekly Heat &amp; Power Demand'!P463</f>
        <v>0.21957685264482196</v>
      </c>
      <c r="G454" s="55">
        <f>'Four-Weekly Heat &amp; Power Demand'!Q463</f>
        <v>4.6321775826741275E-2</v>
      </c>
    </row>
    <row r="455" spans="1:7" x14ac:dyDescent="0.2">
      <c r="A455">
        <v>454</v>
      </c>
      <c r="B455">
        <f>'Four-Weekly Heat &amp; Power Demand'!C464</f>
        <v>3.4332694957598457</v>
      </c>
      <c r="C455">
        <f>'Four-Weekly Heat &amp; Power Demand'!D464</f>
        <v>1.8717327794185254</v>
      </c>
      <c r="D455">
        <f>'Four-Weekly Heat &amp; Power Demand'!E464</f>
        <v>0.32981104388639787</v>
      </c>
      <c r="E455" s="55">
        <f>'Four-Weekly Heat &amp; Power Demand'!O464</f>
        <v>0.38224352251574223</v>
      </c>
      <c r="F455" s="55">
        <f>'Four-Weekly Heat &amp; Power Demand'!P464</f>
        <v>0.21957685264482196</v>
      </c>
      <c r="G455" s="55">
        <f>'Four-Weekly Heat &amp; Power Demand'!Q464</f>
        <v>4.6321775826741275E-2</v>
      </c>
    </row>
    <row r="456" spans="1:7" x14ac:dyDescent="0.2">
      <c r="A456">
        <v>455</v>
      </c>
      <c r="B456">
        <f>'Four-Weekly Heat &amp; Power Demand'!C465</f>
        <v>0</v>
      </c>
      <c r="C456">
        <f>'Four-Weekly Heat &amp; Power Demand'!D465</f>
        <v>0</v>
      </c>
      <c r="D456">
        <f>'Four-Weekly Heat &amp; Power Demand'!E465</f>
        <v>0</v>
      </c>
      <c r="E456" s="55">
        <f>'Four-Weekly Heat &amp; Power Demand'!O465</f>
        <v>0</v>
      </c>
      <c r="F456" s="55">
        <f>'Four-Weekly Heat &amp; Power Demand'!P465</f>
        <v>0</v>
      </c>
      <c r="G456" s="55">
        <f>'Four-Weekly Heat &amp; Power Demand'!Q465</f>
        <v>0</v>
      </c>
    </row>
    <row r="457" spans="1:7" x14ac:dyDescent="0.2">
      <c r="A457">
        <v>456</v>
      </c>
      <c r="B457">
        <f>'Four-Weekly Heat &amp; Power Demand'!C466</f>
        <v>0</v>
      </c>
      <c r="C457">
        <f>'Four-Weekly Heat &amp; Power Demand'!D466</f>
        <v>0</v>
      </c>
      <c r="D457">
        <f>'Four-Weekly Heat &amp; Power Demand'!E466</f>
        <v>0</v>
      </c>
      <c r="E457" s="55">
        <f>'Four-Weekly Heat &amp; Power Demand'!O466</f>
        <v>0</v>
      </c>
      <c r="F457" s="55">
        <f>'Four-Weekly Heat &amp; Power Demand'!P466</f>
        <v>0</v>
      </c>
      <c r="G457" s="55">
        <f>'Four-Weekly Heat &amp; Power Demand'!Q466</f>
        <v>0</v>
      </c>
    </row>
    <row r="458" spans="1:7" x14ac:dyDescent="0.2">
      <c r="A458">
        <v>457</v>
      </c>
      <c r="B458">
        <f>'Four-Weekly Heat &amp; Power Demand'!C467</f>
        <v>0</v>
      </c>
      <c r="C458">
        <f>'Four-Weekly Heat &amp; Power Demand'!D467</f>
        <v>0</v>
      </c>
      <c r="D458">
        <f>'Four-Weekly Heat &amp; Power Demand'!E467</f>
        <v>0</v>
      </c>
      <c r="E458" s="55">
        <f>'Four-Weekly Heat &amp; Power Demand'!O467</f>
        <v>0</v>
      </c>
      <c r="F458" s="55">
        <f>'Four-Weekly Heat &amp; Power Demand'!P467</f>
        <v>0</v>
      </c>
      <c r="G458" s="55">
        <f>'Four-Weekly Heat &amp; Power Demand'!Q467</f>
        <v>0</v>
      </c>
    </row>
    <row r="459" spans="1:7" x14ac:dyDescent="0.2">
      <c r="A459">
        <v>458</v>
      </c>
      <c r="B459">
        <f>'Four-Weekly Heat &amp; Power Demand'!C468</f>
        <v>0</v>
      </c>
      <c r="C459">
        <f>'Four-Weekly Heat &amp; Power Demand'!D468</f>
        <v>0</v>
      </c>
      <c r="D459">
        <f>'Four-Weekly Heat &amp; Power Demand'!E468</f>
        <v>0</v>
      </c>
      <c r="E459" s="55">
        <f>'Four-Weekly Heat &amp; Power Demand'!O468</f>
        <v>0</v>
      </c>
      <c r="F459" s="55">
        <f>'Four-Weekly Heat &amp; Power Demand'!P468</f>
        <v>0</v>
      </c>
      <c r="G459" s="55">
        <f>'Four-Weekly Heat &amp; Power Demand'!Q468</f>
        <v>0</v>
      </c>
    </row>
    <row r="460" spans="1:7" x14ac:dyDescent="0.2">
      <c r="A460">
        <v>459</v>
      </c>
      <c r="B460">
        <f>'Four-Weekly Heat &amp; Power Demand'!C469</f>
        <v>0</v>
      </c>
      <c r="C460">
        <f>'Four-Weekly Heat &amp; Power Demand'!D469</f>
        <v>0</v>
      </c>
      <c r="D460">
        <f>'Four-Weekly Heat &amp; Power Demand'!E469</f>
        <v>0</v>
      </c>
      <c r="E460" s="55">
        <f>'Four-Weekly Heat &amp; Power Demand'!O469</f>
        <v>0</v>
      </c>
      <c r="F460" s="55">
        <f>'Four-Weekly Heat &amp; Power Demand'!P469</f>
        <v>0</v>
      </c>
      <c r="G460" s="55">
        <f>'Four-Weekly Heat &amp; Power Demand'!Q469</f>
        <v>0</v>
      </c>
    </row>
    <row r="461" spans="1:7" x14ac:dyDescent="0.2">
      <c r="A461">
        <v>460</v>
      </c>
      <c r="B461">
        <f>'Four-Weekly Heat &amp; Power Demand'!C470</f>
        <v>0</v>
      </c>
      <c r="C461">
        <f>'Four-Weekly Heat &amp; Power Demand'!D470</f>
        <v>0</v>
      </c>
      <c r="D461">
        <f>'Four-Weekly Heat &amp; Power Demand'!E470</f>
        <v>0</v>
      </c>
      <c r="E461" s="55">
        <f>'Four-Weekly Heat &amp; Power Demand'!O470</f>
        <v>0</v>
      </c>
      <c r="F461" s="55">
        <f>'Four-Weekly Heat &amp; Power Demand'!P470</f>
        <v>0</v>
      </c>
      <c r="G461" s="55">
        <f>'Four-Weekly Heat &amp; Power Demand'!Q470</f>
        <v>0</v>
      </c>
    </row>
    <row r="462" spans="1:7" x14ac:dyDescent="0.2">
      <c r="A462">
        <v>461</v>
      </c>
      <c r="B462">
        <f>'Four-Weekly Heat &amp; Power Demand'!C471</f>
        <v>0</v>
      </c>
      <c r="C462">
        <f>'Four-Weekly Heat &amp; Power Demand'!D471</f>
        <v>0</v>
      </c>
      <c r="D462">
        <f>'Four-Weekly Heat &amp; Power Demand'!E471</f>
        <v>0</v>
      </c>
      <c r="E462" s="55">
        <f>'Four-Weekly Heat &amp; Power Demand'!O471</f>
        <v>0</v>
      </c>
      <c r="F462" s="55">
        <f>'Four-Weekly Heat &amp; Power Demand'!P471</f>
        <v>0</v>
      </c>
      <c r="G462" s="55">
        <f>'Four-Weekly Heat &amp; Power Demand'!Q471</f>
        <v>0</v>
      </c>
    </row>
    <row r="463" spans="1:7" x14ac:dyDescent="0.2">
      <c r="A463">
        <v>462</v>
      </c>
      <c r="B463">
        <f>'Four-Weekly Heat &amp; Power Demand'!C472</f>
        <v>0</v>
      </c>
      <c r="C463">
        <f>'Four-Weekly Heat &amp; Power Demand'!D472</f>
        <v>0</v>
      </c>
      <c r="D463">
        <f>'Four-Weekly Heat &amp; Power Demand'!E472</f>
        <v>0</v>
      </c>
      <c r="E463" s="55">
        <f>'Four-Weekly Heat &amp; Power Demand'!O472</f>
        <v>0</v>
      </c>
      <c r="F463" s="55">
        <f>'Four-Weekly Heat &amp; Power Demand'!P472</f>
        <v>0</v>
      </c>
      <c r="G463" s="55">
        <f>'Four-Weekly Heat &amp; Power Demand'!Q472</f>
        <v>0</v>
      </c>
    </row>
    <row r="464" spans="1:7" x14ac:dyDescent="0.2">
      <c r="A464">
        <v>463</v>
      </c>
      <c r="B464">
        <f>'Four-Weekly Heat &amp; Power Demand'!C473</f>
        <v>3.4332694957598457</v>
      </c>
      <c r="C464">
        <f>'Four-Weekly Heat &amp; Power Demand'!D473</f>
        <v>1.8717327794185254</v>
      </c>
      <c r="D464">
        <f>'Four-Weekly Heat &amp; Power Demand'!E473</f>
        <v>0.32981104388639787</v>
      </c>
      <c r="E464" s="55">
        <f>'Four-Weekly Heat &amp; Power Demand'!O473</f>
        <v>0.38224352251574223</v>
      </c>
      <c r="F464" s="55">
        <f>'Four-Weekly Heat &amp; Power Demand'!P473</f>
        <v>0.21957685264482196</v>
      </c>
      <c r="G464" s="55">
        <f>'Four-Weekly Heat &amp; Power Demand'!Q473</f>
        <v>4.6321775826741275E-2</v>
      </c>
    </row>
    <row r="465" spans="1:7" x14ac:dyDescent="0.2">
      <c r="A465">
        <v>464</v>
      </c>
      <c r="B465">
        <f>'Four-Weekly Heat &amp; Power Demand'!C474</f>
        <v>3.4332694957598457</v>
      </c>
      <c r="C465">
        <f>'Four-Weekly Heat &amp; Power Demand'!D474</f>
        <v>1.8717327794185254</v>
      </c>
      <c r="D465">
        <f>'Four-Weekly Heat &amp; Power Demand'!E474</f>
        <v>0.32981104388639787</v>
      </c>
      <c r="E465" s="55">
        <f>'Four-Weekly Heat &amp; Power Demand'!O474</f>
        <v>0.38224352251574223</v>
      </c>
      <c r="F465" s="55">
        <f>'Four-Weekly Heat &amp; Power Demand'!P474</f>
        <v>0.21957685264482196</v>
      </c>
      <c r="G465" s="55">
        <f>'Four-Weekly Heat &amp; Power Demand'!Q474</f>
        <v>4.6321775826741275E-2</v>
      </c>
    </row>
    <row r="466" spans="1:7" x14ac:dyDescent="0.2">
      <c r="A466">
        <v>465</v>
      </c>
      <c r="B466">
        <f>'Four-Weekly Heat &amp; Power Demand'!C475</f>
        <v>0</v>
      </c>
      <c r="C466">
        <f>'Four-Weekly Heat &amp; Power Demand'!D475</f>
        <v>0</v>
      </c>
      <c r="D466">
        <f>'Four-Weekly Heat &amp; Power Demand'!E475</f>
        <v>0</v>
      </c>
      <c r="E466" s="55">
        <f>'Four-Weekly Heat &amp; Power Demand'!O475</f>
        <v>0</v>
      </c>
      <c r="F466" s="55">
        <f>'Four-Weekly Heat &amp; Power Demand'!P475</f>
        <v>0</v>
      </c>
      <c r="G466" s="55">
        <f>'Four-Weekly Heat &amp; Power Demand'!Q475</f>
        <v>0</v>
      </c>
    </row>
    <row r="467" spans="1:7" x14ac:dyDescent="0.2">
      <c r="A467">
        <v>466</v>
      </c>
      <c r="B467">
        <f>'Four-Weekly Heat &amp; Power Demand'!C476</f>
        <v>0</v>
      </c>
      <c r="C467">
        <f>'Four-Weekly Heat &amp; Power Demand'!D476</f>
        <v>0</v>
      </c>
      <c r="D467">
        <f>'Four-Weekly Heat &amp; Power Demand'!E476</f>
        <v>0</v>
      </c>
      <c r="E467" s="55">
        <f>'Four-Weekly Heat &amp; Power Demand'!O476</f>
        <v>0</v>
      </c>
      <c r="F467" s="55">
        <f>'Four-Weekly Heat &amp; Power Demand'!P476</f>
        <v>0</v>
      </c>
      <c r="G467" s="55">
        <f>'Four-Weekly Heat &amp; Power Demand'!Q476</f>
        <v>0</v>
      </c>
    </row>
    <row r="468" spans="1:7" x14ac:dyDescent="0.2">
      <c r="A468">
        <v>467</v>
      </c>
      <c r="B468">
        <f>'Four-Weekly Heat &amp; Power Demand'!C477</f>
        <v>0</v>
      </c>
      <c r="C468">
        <f>'Four-Weekly Heat &amp; Power Demand'!D477</f>
        <v>0</v>
      </c>
      <c r="D468">
        <f>'Four-Weekly Heat &amp; Power Demand'!E477</f>
        <v>0</v>
      </c>
      <c r="E468" s="55">
        <f>'Four-Weekly Heat &amp; Power Demand'!O477</f>
        <v>0</v>
      </c>
      <c r="F468" s="55">
        <f>'Four-Weekly Heat &amp; Power Demand'!P477</f>
        <v>0</v>
      </c>
      <c r="G468" s="55">
        <f>'Four-Weekly Heat &amp; Power Demand'!Q477</f>
        <v>0</v>
      </c>
    </row>
    <row r="469" spans="1:7" x14ac:dyDescent="0.2">
      <c r="A469">
        <v>468</v>
      </c>
      <c r="B469">
        <f>'Four-Weekly Heat &amp; Power Demand'!C478</f>
        <v>0</v>
      </c>
      <c r="C469">
        <f>'Four-Weekly Heat &amp; Power Demand'!D478</f>
        <v>0</v>
      </c>
      <c r="D469">
        <f>'Four-Weekly Heat &amp; Power Demand'!E478</f>
        <v>0</v>
      </c>
      <c r="E469" s="55">
        <f>'Four-Weekly Heat &amp; Power Demand'!O478</f>
        <v>0</v>
      </c>
      <c r="F469" s="55">
        <f>'Four-Weekly Heat &amp; Power Demand'!P478</f>
        <v>0</v>
      </c>
      <c r="G469" s="55">
        <f>'Four-Weekly Heat &amp; Power Demand'!Q478</f>
        <v>0</v>
      </c>
    </row>
    <row r="470" spans="1:7" x14ac:dyDescent="0.2">
      <c r="A470">
        <v>469</v>
      </c>
      <c r="B470">
        <f>'Four-Weekly Heat &amp; Power Demand'!C479</f>
        <v>0</v>
      </c>
      <c r="C470">
        <f>'Four-Weekly Heat &amp; Power Demand'!D479</f>
        <v>0</v>
      </c>
      <c r="D470">
        <f>'Four-Weekly Heat &amp; Power Demand'!E479</f>
        <v>0</v>
      </c>
      <c r="E470" s="55">
        <f>'Four-Weekly Heat &amp; Power Demand'!O479</f>
        <v>0</v>
      </c>
      <c r="F470" s="55">
        <f>'Four-Weekly Heat &amp; Power Demand'!P479</f>
        <v>0</v>
      </c>
      <c r="G470" s="55">
        <f>'Four-Weekly Heat &amp; Power Demand'!Q479</f>
        <v>0</v>
      </c>
    </row>
    <row r="471" spans="1:7" x14ac:dyDescent="0.2">
      <c r="A471">
        <v>470</v>
      </c>
      <c r="B471">
        <f>'Four-Weekly Heat &amp; Power Demand'!C480</f>
        <v>0</v>
      </c>
      <c r="C471">
        <f>'Four-Weekly Heat &amp; Power Demand'!D480</f>
        <v>0</v>
      </c>
      <c r="D471">
        <f>'Four-Weekly Heat &amp; Power Demand'!E480</f>
        <v>0</v>
      </c>
      <c r="E471" s="55">
        <f>'Four-Weekly Heat &amp; Power Demand'!O480</f>
        <v>0</v>
      </c>
      <c r="F471" s="55">
        <f>'Four-Weekly Heat &amp; Power Demand'!P480</f>
        <v>0</v>
      </c>
      <c r="G471" s="55">
        <f>'Four-Weekly Heat &amp; Power Demand'!Q480</f>
        <v>0</v>
      </c>
    </row>
    <row r="472" spans="1:7" x14ac:dyDescent="0.2">
      <c r="A472">
        <v>471</v>
      </c>
      <c r="B472">
        <f>'Four-Weekly Heat &amp; Power Demand'!C481</f>
        <v>0</v>
      </c>
      <c r="C472">
        <f>'Four-Weekly Heat &amp; Power Demand'!D481</f>
        <v>0</v>
      </c>
      <c r="D472">
        <f>'Four-Weekly Heat &amp; Power Demand'!E481</f>
        <v>0</v>
      </c>
      <c r="E472" s="55">
        <f>'Four-Weekly Heat &amp; Power Demand'!O481</f>
        <v>0</v>
      </c>
      <c r="F472" s="55">
        <f>'Four-Weekly Heat &amp; Power Demand'!P481</f>
        <v>0</v>
      </c>
      <c r="G472" s="55">
        <f>'Four-Weekly Heat &amp; Power Demand'!Q481</f>
        <v>0</v>
      </c>
    </row>
    <row r="473" spans="1:7" x14ac:dyDescent="0.2">
      <c r="A473">
        <v>472</v>
      </c>
      <c r="B473">
        <f>'Four-Weekly Heat &amp; Power Demand'!C482</f>
        <v>3.4332694957598457</v>
      </c>
      <c r="C473">
        <f>'Four-Weekly Heat &amp; Power Demand'!D482</f>
        <v>1.8717327794185254</v>
      </c>
      <c r="D473">
        <f>'Four-Weekly Heat &amp; Power Demand'!E482</f>
        <v>0.32981104388639787</v>
      </c>
      <c r="E473" s="55">
        <f>'Four-Weekly Heat &amp; Power Demand'!O482</f>
        <v>0.38224352251574223</v>
      </c>
      <c r="F473" s="55">
        <f>'Four-Weekly Heat &amp; Power Demand'!P482</f>
        <v>0.21957685264482196</v>
      </c>
      <c r="G473" s="55">
        <f>'Four-Weekly Heat &amp; Power Demand'!Q482</f>
        <v>4.6321775826741275E-2</v>
      </c>
    </row>
    <row r="474" spans="1:7" x14ac:dyDescent="0.2">
      <c r="A474">
        <v>473</v>
      </c>
      <c r="B474">
        <f>'Four-Weekly Heat &amp; Power Demand'!C483</f>
        <v>3.4332694957598457</v>
      </c>
      <c r="C474">
        <f>'Four-Weekly Heat &amp; Power Demand'!D483</f>
        <v>1.8717327794185254</v>
      </c>
      <c r="D474">
        <f>'Four-Weekly Heat &amp; Power Demand'!E483</f>
        <v>0.32981104388639787</v>
      </c>
      <c r="E474" s="55">
        <f>'Four-Weekly Heat &amp; Power Demand'!O483</f>
        <v>0.38224352251574223</v>
      </c>
      <c r="F474" s="55">
        <f>'Four-Weekly Heat &amp; Power Demand'!P483</f>
        <v>0.21957685264482196</v>
      </c>
      <c r="G474" s="55">
        <f>'Four-Weekly Heat &amp; Power Demand'!Q483</f>
        <v>4.6321775826741275E-2</v>
      </c>
    </row>
    <row r="475" spans="1:7" x14ac:dyDescent="0.2">
      <c r="A475">
        <v>474</v>
      </c>
      <c r="B475">
        <f>'Four-Weekly Heat &amp; Power Demand'!C484</f>
        <v>3.4332694957598457</v>
      </c>
      <c r="C475">
        <f>'Four-Weekly Heat &amp; Power Demand'!D484</f>
        <v>1.8717327794185254</v>
      </c>
      <c r="D475">
        <f>'Four-Weekly Heat &amp; Power Demand'!E484</f>
        <v>0.32981104388639787</v>
      </c>
      <c r="E475" s="55">
        <f>'Four-Weekly Heat &amp; Power Demand'!O484</f>
        <v>0.38224352251574223</v>
      </c>
      <c r="F475" s="55">
        <f>'Four-Weekly Heat &amp; Power Demand'!P484</f>
        <v>0.21957685264482196</v>
      </c>
      <c r="G475" s="55">
        <f>'Four-Weekly Heat &amp; Power Demand'!Q484</f>
        <v>4.6321775826741275E-2</v>
      </c>
    </row>
    <row r="476" spans="1:7" x14ac:dyDescent="0.2">
      <c r="A476">
        <v>475</v>
      </c>
      <c r="B476">
        <f>'Four-Weekly Heat &amp; Power Demand'!C485</f>
        <v>3.4332694957598457</v>
      </c>
      <c r="C476">
        <f>'Four-Weekly Heat &amp; Power Demand'!D485</f>
        <v>1.8717327794185254</v>
      </c>
      <c r="D476">
        <f>'Four-Weekly Heat &amp; Power Demand'!E485</f>
        <v>0.32981104388639787</v>
      </c>
      <c r="E476" s="55">
        <f>'Four-Weekly Heat &amp; Power Demand'!O485</f>
        <v>0.38224352251574223</v>
      </c>
      <c r="F476" s="55">
        <f>'Four-Weekly Heat &amp; Power Demand'!P485</f>
        <v>0.21957685264482196</v>
      </c>
      <c r="G476" s="55">
        <f>'Four-Weekly Heat &amp; Power Demand'!Q485</f>
        <v>4.6321775826741275E-2</v>
      </c>
    </row>
    <row r="477" spans="1:7" x14ac:dyDescent="0.2">
      <c r="A477">
        <v>476</v>
      </c>
      <c r="B477">
        <f>'Four-Weekly Heat &amp; Power Demand'!C486</f>
        <v>3.4332694957598457</v>
      </c>
      <c r="C477">
        <f>'Four-Weekly Heat &amp; Power Demand'!D486</f>
        <v>1.8717327794185254</v>
      </c>
      <c r="D477">
        <f>'Four-Weekly Heat &amp; Power Demand'!E486</f>
        <v>0.32981104388639787</v>
      </c>
      <c r="E477" s="55">
        <f>'Four-Weekly Heat &amp; Power Demand'!O486</f>
        <v>0.38224352251574223</v>
      </c>
      <c r="F477" s="55">
        <f>'Four-Weekly Heat &amp; Power Demand'!P486</f>
        <v>0.21957685264482196</v>
      </c>
      <c r="G477" s="55">
        <f>'Four-Weekly Heat &amp; Power Demand'!Q486</f>
        <v>4.6321775826741275E-2</v>
      </c>
    </row>
    <row r="478" spans="1:7" x14ac:dyDescent="0.2">
      <c r="A478">
        <v>477</v>
      </c>
      <c r="B478">
        <f>'Four-Weekly Heat &amp; Power Demand'!C487</f>
        <v>3.4332694957598457</v>
      </c>
      <c r="C478">
        <f>'Four-Weekly Heat &amp; Power Demand'!D487</f>
        <v>1.8717327794185254</v>
      </c>
      <c r="D478">
        <f>'Four-Weekly Heat &amp; Power Demand'!E487</f>
        <v>0.32981104388639787</v>
      </c>
      <c r="E478" s="55">
        <f>'Four-Weekly Heat &amp; Power Demand'!O487</f>
        <v>0.38224352251574223</v>
      </c>
      <c r="F478" s="55">
        <f>'Four-Weekly Heat &amp; Power Demand'!P487</f>
        <v>0.21957685264482196</v>
      </c>
      <c r="G478" s="55">
        <f>'Four-Weekly Heat &amp; Power Demand'!Q487</f>
        <v>4.6321775826741275E-2</v>
      </c>
    </row>
    <row r="479" spans="1:7" x14ac:dyDescent="0.2">
      <c r="A479">
        <v>478</v>
      </c>
      <c r="B479">
        <f>'Four-Weekly Heat &amp; Power Demand'!C488</f>
        <v>3.4332694957598457</v>
      </c>
      <c r="C479">
        <f>'Four-Weekly Heat &amp; Power Demand'!D488</f>
        <v>1.8717327794185254</v>
      </c>
      <c r="D479">
        <f>'Four-Weekly Heat &amp; Power Demand'!E488</f>
        <v>0.32981104388639787</v>
      </c>
      <c r="E479" s="55">
        <f>'Four-Weekly Heat &amp; Power Demand'!O488</f>
        <v>0.38224352251574223</v>
      </c>
      <c r="F479" s="55">
        <f>'Four-Weekly Heat &amp; Power Demand'!P488</f>
        <v>0.21957685264482196</v>
      </c>
      <c r="G479" s="55">
        <f>'Four-Weekly Heat &amp; Power Demand'!Q488</f>
        <v>4.6321775826741275E-2</v>
      </c>
    </row>
    <row r="480" spans="1:7" x14ac:dyDescent="0.2">
      <c r="A480">
        <v>479</v>
      </c>
      <c r="B480">
        <f>'Four-Weekly Heat &amp; Power Demand'!C489</f>
        <v>0</v>
      </c>
      <c r="C480">
        <f>'Four-Weekly Heat &amp; Power Demand'!D489</f>
        <v>0</v>
      </c>
      <c r="D480">
        <f>'Four-Weekly Heat &amp; Power Demand'!E489</f>
        <v>0</v>
      </c>
      <c r="E480" s="55">
        <f>'Four-Weekly Heat &amp; Power Demand'!O489</f>
        <v>0</v>
      </c>
      <c r="F480" s="55">
        <f>'Four-Weekly Heat &amp; Power Demand'!P489</f>
        <v>0</v>
      </c>
      <c r="G480" s="55">
        <f>'Four-Weekly Heat &amp; Power Demand'!Q489</f>
        <v>0</v>
      </c>
    </row>
    <row r="481" spans="1:7" x14ac:dyDescent="0.2">
      <c r="A481">
        <v>480</v>
      </c>
      <c r="B481">
        <f>'Four-Weekly Heat &amp; Power Demand'!C490</f>
        <v>0</v>
      </c>
      <c r="C481">
        <f>'Four-Weekly Heat &amp; Power Demand'!D490</f>
        <v>0</v>
      </c>
      <c r="D481">
        <f>'Four-Weekly Heat &amp; Power Demand'!E490</f>
        <v>0</v>
      </c>
      <c r="E481" s="55">
        <f>'Four-Weekly Heat &amp; Power Demand'!O490</f>
        <v>0</v>
      </c>
      <c r="F481" s="55">
        <f>'Four-Weekly Heat &amp; Power Demand'!P490</f>
        <v>0</v>
      </c>
      <c r="G481" s="55">
        <f>'Four-Weekly Heat &amp; Power Demand'!Q490</f>
        <v>0</v>
      </c>
    </row>
    <row r="482" spans="1:7" x14ac:dyDescent="0.2">
      <c r="A482">
        <v>481</v>
      </c>
      <c r="B482">
        <f>'Four-Weekly Heat &amp; Power Demand'!C491</f>
        <v>0</v>
      </c>
      <c r="C482">
        <f>'Four-Weekly Heat &amp; Power Demand'!D491</f>
        <v>0</v>
      </c>
      <c r="D482">
        <f>'Four-Weekly Heat &amp; Power Demand'!E491</f>
        <v>0</v>
      </c>
      <c r="E482" s="55">
        <f>'Four-Weekly Heat &amp; Power Demand'!O491</f>
        <v>0</v>
      </c>
      <c r="F482" s="55">
        <f>'Four-Weekly Heat &amp; Power Demand'!P491</f>
        <v>0</v>
      </c>
      <c r="G482" s="55">
        <f>'Four-Weekly Heat &amp; Power Demand'!Q491</f>
        <v>0</v>
      </c>
    </row>
    <row r="483" spans="1:7" x14ac:dyDescent="0.2">
      <c r="A483">
        <v>482</v>
      </c>
      <c r="B483">
        <f>'Four-Weekly Heat &amp; Power Demand'!C492</f>
        <v>0</v>
      </c>
      <c r="C483">
        <f>'Four-Weekly Heat &amp; Power Demand'!D492</f>
        <v>0</v>
      </c>
      <c r="D483">
        <f>'Four-Weekly Heat &amp; Power Demand'!E492</f>
        <v>0</v>
      </c>
      <c r="E483" s="55">
        <f>'Four-Weekly Heat &amp; Power Demand'!O492</f>
        <v>0</v>
      </c>
      <c r="F483" s="55">
        <f>'Four-Weekly Heat &amp; Power Demand'!P492</f>
        <v>0</v>
      </c>
      <c r="G483" s="55">
        <f>'Four-Weekly Heat &amp; Power Demand'!Q492</f>
        <v>0</v>
      </c>
    </row>
    <row r="484" spans="1:7" x14ac:dyDescent="0.2">
      <c r="A484">
        <v>483</v>
      </c>
      <c r="B484">
        <f>'Four-Weekly Heat &amp; Power Demand'!C493</f>
        <v>0</v>
      </c>
      <c r="C484">
        <f>'Four-Weekly Heat &amp; Power Demand'!D493</f>
        <v>0</v>
      </c>
      <c r="D484">
        <f>'Four-Weekly Heat &amp; Power Demand'!E493</f>
        <v>0</v>
      </c>
      <c r="E484" s="55">
        <f>'Four-Weekly Heat &amp; Power Demand'!O493</f>
        <v>0</v>
      </c>
      <c r="F484" s="55">
        <f>'Four-Weekly Heat &amp; Power Demand'!P493</f>
        <v>0</v>
      </c>
      <c r="G484" s="55">
        <f>'Four-Weekly Heat &amp; Power Demand'!Q493</f>
        <v>0</v>
      </c>
    </row>
    <row r="485" spans="1:7" x14ac:dyDescent="0.2">
      <c r="A485">
        <v>484</v>
      </c>
      <c r="B485">
        <f>'Four-Weekly Heat &amp; Power Demand'!C494</f>
        <v>0</v>
      </c>
      <c r="C485">
        <f>'Four-Weekly Heat &amp; Power Demand'!D494</f>
        <v>0</v>
      </c>
      <c r="D485">
        <f>'Four-Weekly Heat &amp; Power Demand'!E494</f>
        <v>0</v>
      </c>
      <c r="E485" s="55">
        <f>'Four-Weekly Heat &amp; Power Demand'!O494</f>
        <v>0</v>
      </c>
      <c r="F485" s="55">
        <f>'Four-Weekly Heat &amp; Power Demand'!P494</f>
        <v>0</v>
      </c>
      <c r="G485" s="55">
        <f>'Four-Weekly Heat &amp; Power Demand'!Q494</f>
        <v>0</v>
      </c>
    </row>
    <row r="486" spans="1:7" x14ac:dyDescent="0.2">
      <c r="A486">
        <v>485</v>
      </c>
      <c r="B486">
        <f>'Four-Weekly Heat &amp; Power Demand'!C495</f>
        <v>0</v>
      </c>
      <c r="C486">
        <f>'Four-Weekly Heat &amp; Power Demand'!D495</f>
        <v>0</v>
      </c>
      <c r="D486">
        <f>'Four-Weekly Heat &amp; Power Demand'!E495</f>
        <v>0</v>
      </c>
      <c r="E486" s="55">
        <f>'Four-Weekly Heat &amp; Power Demand'!O495</f>
        <v>0</v>
      </c>
      <c r="F486" s="55">
        <f>'Four-Weekly Heat &amp; Power Demand'!P495</f>
        <v>0</v>
      </c>
      <c r="G486" s="55">
        <f>'Four-Weekly Heat &amp; Power Demand'!Q495</f>
        <v>0</v>
      </c>
    </row>
    <row r="487" spans="1:7" x14ac:dyDescent="0.2">
      <c r="A487">
        <v>486</v>
      </c>
      <c r="B487">
        <f>'Four-Weekly Heat &amp; Power Demand'!C496</f>
        <v>0</v>
      </c>
      <c r="C487">
        <f>'Four-Weekly Heat &amp; Power Demand'!D496</f>
        <v>0</v>
      </c>
      <c r="D487">
        <f>'Four-Weekly Heat &amp; Power Demand'!E496</f>
        <v>0</v>
      </c>
      <c r="E487" s="55">
        <f>'Four-Weekly Heat &amp; Power Demand'!O496</f>
        <v>0</v>
      </c>
      <c r="F487" s="55">
        <f>'Four-Weekly Heat &amp; Power Demand'!P496</f>
        <v>0</v>
      </c>
      <c r="G487" s="55">
        <f>'Four-Weekly Heat &amp; Power Demand'!Q496</f>
        <v>0</v>
      </c>
    </row>
    <row r="488" spans="1:7" x14ac:dyDescent="0.2">
      <c r="A488">
        <v>487</v>
      </c>
      <c r="B488">
        <f>'Four-Weekly Heat &amp; Power Demand'!C497</f>
        <v>3.4332694957598457</v>
      </c>
      <c r="C488">
        <f>'Four-Weekly Heat &amp; Power Demand'!D497</f>
        <v>1.8717327794185254</v>
      </c>
      <c r="D488">
        <f>'Four-Weekly Heat &amp; Power Demand'!E497</f>
        <v>0.32981104388639787</v>
      </c>
      <c r="E488" s="55">
        <f>'Four-Weekly Heat &amp; Power Demand'!O497</f>
        <v>0.38224352251574223</v>
      </c>
      <c r="F488" s="55">
        <f>'Four-Weekly Heat &amp; Power Demand'!P497</f>
        <v>0.21957685264482196</v>
      </c>
      <c r="G488" s="55">
        <f>'Four-Weekly Heat &amp; Power Demand'!Q497</f>
        <v>4.6321775826741275E-2</v>
      </c>
    </row>
    <row r="489" spans="1:7" x14ac:dyDescent="0.2">
      <c r="A489">
        <v>488</v>
      </c>
      <c r="B489">
        <f>'Four-Weekly Heat &amp; Power Demand'!C498</f>
        <v>3.4332694957598457</v>
      </c>
      <c r="C489">
        <f>'Four-Weekly Heat &amp; Power Demand'!D498</f>
        <v>1.8717327794185254</v>
      </c>
      <c r="D489">
        <f>'Four-Weekly Heat &amp; Power Demand'!E498</f>
        <v>0.32981104388639787</v>
      </c>
      <c r="E489" s="55">
        <f>'Four-Weekly Heat &amp; Power Demand'!O498</f>
        <v>0.38224352251574223</v>
      </c>
      <c r="F489" s="55">
        <f>'Four-Weekly Heat &amp; Power Demand'!P498</f>
        <v>0.21957685264482196</v>
      </c>
      <c r="G489" s="55">
        <f>'Four-Weekly Heat &amp; Power Demand'!Q498</f>
        <v>4.6321775826741275E-2</v>
      </c>
    </row>
    <row r="490" spans="1:7" x14ac:dyDescent="0.2">
      <c r="A490">
        <v>489</v>
      </c>
      <c r="B490">
        <f>'Four-Weekly Heat &amp; Power Demand'!C499</f>
        <v>0</v>
      </c>
      <c r="C490">
        <f>'Four-Weekly Heat &amp; Power Demand'!D499</f>
        <v>0</v>
      </c>
      <c r="D490">
        <f>'Four-Weekly Heat &amp; Power Demand'!E499</f>
        <v>0</v>
      </c>
      <c r="E490" s="55">
        <f>'Four-Weekly Heat &amp; Power Demand'!O499</f>
        <v>0</v>
      </c>
      <c r="F490" s="55">
        <f>'Four-Weekly Heat &amp; Power Demand'!P499</f>
        <v>0</v>
      </c>
      <c r="G490" s="55">
        <f>'Four-Weekly Heat &amp; Power Demand'!Q499</f>
        <v>0</v>
      </c>
    </row>
    <row r="491" spans="1:7" x14ac:dyDescent="0.2">
      <c r="A491">
        <v>490</v>
      </c>
      <c r="B491">
        <f>'Four-Weekly Heat &amp; Power Demand'!C500</f>
        <v>0</v>
      </c>
      <c r="C491">
        <f>'Four-Weekly Heat &amp; Power Demand'!D500</f>
        <v>0</v>
      </c>
      <c r="D491">
        <f>'Four-Weekly Heat &amp; Power Demand'!E500</f>
        <v>0</v>
      </c>
      <c r="E491" s="55">
        <f>'Four-Weekly Heat &amp; Power Demand'!O500</f>
        <v>0</v>
      </c>
      <c r="F491" s="55">
        <f>'Four-Weekly Heat &amp; Power Demand'!P500</f>
        <v>0</v>
      </c>
      <c r="G491" s="55">
        <f>'Four-Weekly Heat &amp; Power Demand'!Q500</f>
        <v>0</v>
      </c>
    </row>
    <row r="492" spans="1:7" x14ac:dyDescent="0.2">
      <c r="A492">
        <v>491</v>
      </c>
      <c r="B492">
        <f>'Four-Weekly Heat &amp; Power Demand'!C501</f>
        <v>0</v>
      </c>
      <c r="C492">
        <f>'Four-Weekly Heat &amp; Power Demand'!D501</f>
        <v>0</v>
      </c>
      <c r="D492">
        <f>'Four-Weekly Heat &amp; Power Demand'!E501</f>
        <v>0</v>
      </c>
      <c r="E492" s="55">
        <f>'Four-Weekly Heat &amp; Power Demand'!O501</f>
        <v>0</v>
      </c>
      <c r="F492" s="55">
        <f>'Four-Weekly Heat &amp; Power Demand'!P501</f>
        <v>0</v>
      </c>
      <c r="G492" s="55">
        <f>'Four-Weekly Heat &amp; Power Demand'!Q501</f>
        <v>0</v>
      </c>
    </row>
    <row r="493" spans="1:7" x14ac:dyDescent="0.2">
      <c r="A493">
        <v>492</v>
      </c>
      <c r="B493">
        <f>'Four-Weekly Heat &amp; Power Demand'!C502</f>
        <v>0</v>
      </c>
      <c r="C493">
        <f>'Four-Weekly Heat &amp; Power Demand'!D502</f>
        <v>0</v>
      </c>
      <c r="D493">
        <f>'Four-Weekly Heat &amp; Power Demand'!E502</f>
        <v>0</v>
      </c>
      <c r="E493" s="55">
        <f>'Four-Weekly Heat &amp; Power Demand'!O502</f>
        <v>0</v>
      </c>
      <c r="F493" s="55">
        <f>'Four-Weekly Heat &amp; Power Demand'!P502</f>
        <v>0</v>
      </c>
      <c r="G493" s="55">
        <f>'Four-Weekly Heat &amp; Power Demand'!Q502</f>
        <v>0</v>
      </c>
    </row>
    <row r="494" spans="1:7" x14ac:dyDescent="0.2">
      <c r="A494">
        <v>493</v>
      </c>
      <c r="B494">
        <f>'Four-Weekly Heat &amp; Power Demand'!C503</f>
        <v>0</v>
      </c>
      <c r="C494">
        <f>'Four-Weekly Heat &amp; Power Demand'!D503</f>
        <v>0</v>
      </c>
      <c r="D494">
        <f>'Four-Weekly Heat &amp; Power Demand'!E503</f>
        <v>0</v>
      </c>
      <c r="E494" s="55">
        <f>'Four-Weekly Heat &amp; Power Demand'!O503</f>
        <v>0</v>
      </c>
      <c r="F494" s="55">
        <f>'Four-Weekly Heat &amp; Power Demand'!P503</f>
        <v>0</v>
      </c>
      <c r="G494" s="55">
        <f>'Four-Weekly Heat &amp; Power Demand'!Q503</f>
        <v>0</v>
      </c>
    </row>
    <row r="495" spans="1:7" x14ac:dyDescent="0.2">
      <c r="A495">
        <v>494</v>
      </c>
      <c r="B495">
        <f>'Four-Weekly Heat &amp; Power Demand'!C504</f>
        <v>0</v>
      </c>
      <c r="C495">
        <f>'Four-Weekly Heat &amp; Power Demand'!D504</f>
        <v>0</v>
      </c>
      <c r="D495">
        <f>'Four-Weekly Heat &amp; Power Demand'!E504</f>
        <v>0</v>
      </c>
      <c r="E495" s="55">
        <f>'Four-Weekly Heat &amp; Power Demand'!O504</f>
        <v>0</v>
      </c>
      <c r="F495" s="55">
        <f>'Four-Weekly Heat &amp; Power Demand'!P504</f>
        <v>0</v>
      </c>
      <c r="G495" s="55">
        <f>'Four-Weekly Heat &amp; Power Demand'!Q504</f>
        <v>0</v>
      </c>
    </row>
    <row r="496" spans="1:7" x14ac:dyDescent="0.2">
      <c r="A496">
        <v>495</v>
      </c>
      <c r="B496">
        <f>'Four-Weekly Heat &amp; Power Demand'!C505</f>
        <v>0</v>
      </c>
      <c r="C496">
        <f>'Four-Weekly Heat &amp; Power Demand'!D505</f>
        <v>0</v>
      </c>
      <c r="D496">
        <f>'Four-Weekly Heat &amp; Power Demand'!E505</f>
        <v>0</v>
      </c>
      <c r="E496" s="55">
        <f>'Four-Weekly Heat &amp; Power Demand'!O505</f>
        <v>0</v>
      </c>
      <c r="F496" s="55">
        <f>'Four-Weekly Heat &amp; Power Demand'!P505</f>
        <v>0</v>
      </c>
      <c r="G496" s="55">
        <f>'Four-Weekly Heat &amp; Power Demand'!Q505</f>
        <v>0</v>
      </c>
    </row>
    <row r="497" spans="1:7" x14ac:dyDescent="0.2">
      <c r="A497">
        <v>496</v>
      </c>
      <c r="B497">
        <f>'Four-Weekly Heat &amp; Power Demand'!C506</f>
        <v>3.4332694957598457</v>
      </c>
      <c r="C497">
        <f>'Four-Weekly Heat &amp; Power Demand'!D506</f>
        <v>1.8717327794185254</v>
      </c>
      <c r="D497">
        <f>'Four-Weekly Heat &amp; Power Demand'!E506</f>
        <v>0.32981104388639787</v>
      </c>
      <c r="E497" s="55">
        <f>'Four-Weekly Heat &amp; Power Demand'!O506</f>
        <v>0.38224352251574223</v>
      </c>
      <c r="F497" s="55">
        <f>'Four-Weekly Heat &amp; Power Demand'!P506</f>
        <v>0.21957685264482196</v>
      </c>
      <c r="G497" s="55">
        <f>'Four-Weekly Heat &amp; Power Demand'!Q506</f>
        <v>4.6321775826741275E-2</v>
      </c>
    </row>
    <row r="498" spans="1:7" x14ac:dyDescent="0.2">
      <c r="A498">
        <v>497</v>
      </c>
      <c r="B498">
        <f>'Four-Weekly Heat &amp; Power Demand'!C507</f>
        <v>3.4332694957598457</v>
      </c>
      <c r="C498">
        <f>'Four-Weekly Heat &amp; Power Demand'!D507</f>
        <v>1.8717327794185254</v>
      </c>
      <c r="D498">
        <f>'Four-Weekly Heat &amp; Power Demand'!E507</f>
        <v>0.32981104388639787</v>
      </c>
      <c r="E498" s="55">
        <f>'Four-Weekly Heat &amp; Power Demand'!O507</f>
        <v>0.38224352251574223</v>
      </c>
      <c r="F498" s="55">
        <f>'Four-Weekly Heat &amp; Power Demand'!P507</f>
        <v>0.21957685264482196</v>
      </c>
      <c r="G498" s="55">
        <f>'Four-Weekly Heat &amp; Power Demand'!Q507</f>
        <v>4.6321775826741275E-2</v>
      </c>
    </row>
    <row r="499" spans="1:7" x14ac:dyDescent="0.2">
      <c r="A499">
        <v>498</v>
      </c>
      <c r="B499">
        <f>'Four-Weekly Heat &amp; Power Demand'!C508</f>
        <v>3.4332694957598457</v>
      </c>
      <c r="C499">
        <f>'Four-Weekly Heat &amp; Power Demand'!D508</f>
        <v>1.8717327794185254</v>
      </c>
      <c r="D499">
        <f>'Four-Weekly Heat &amp; Power Demand'!E508</f>
        <v>0.32981104388639787</v>
      </c>
      <c r="E499" s="55">
        <f>'Four-Weekly Heat &amp; Power Demand'!O508</f>
        <v>0.38224352251574223</v>
      </c>
      <c r="F499" s="55">
        <f>'Four-Weekly Heat &amp; Power Demand'!P508</f>
        <v>0.21957685264482196</v>
      </c>
      <c r="G499" s="55">
        <f>'Four-Weekly Heat &amp; Power Demand'!Q508</f>
        <v>4.6321775826741275E-2</v>
      </c>
    </row>
    <row r="500" spans="1:7" x14ac:dyDescent="0.2">
      <c r="A500">
        <v>499</v>
      </c>
      <c r="B500">
        <f>'Four-Weekly Heat &amp; Power Demand'!C509</f>
        <v>3.4332694957598457</v>
      </c>
      <c r="C500">
        <f>'Four-Weekly Heat &amp; Power Demand'!D509</f>
        <v>1.8717327794185254</v>
      </c>
      <c r="D500">
        <f>'Four-Weekly Heat &amp; Power Demand'!E509</f>
        <v>0.32981104388639787</v>
      </c>
      <c r="E500" s="55">
        <f>'Four-Weekly Heat &amp; Power Demand'!O509</f>
        <v>0.38224352251574223</v>
      </c>
      <c r="F500" s="55">
        <f>'Four-Weekly Heat &amp; Power Demand'!P509</f>
        <v>0.21957685264482196</v>
      </c>
      <c r="G500" s="55">
        <f>'Four-Weekly Heat &amp; Power Demand'!Q509</f>
        <v>4.6321775826741275E-2</v>
      </c>
    </row>
    <row r="501" spans="1:7" x14ac:dyDescent="0.2">
      <c r="A501">
        <v>500</v>
      </c>
      <c r="B501">
        <f>'Four-Weekly Heat &amp; Power Demand'!C510</f>
        <v>3.4332694957598457</v>
      </c>
      <c r="C501">
        <f>'Four-Weekly Heat &amp; Power Demand'!D510</f>
        <v>1.8717327794185254</v>
      </c>
      <c r="D501">
        <f>'Four-Weekly Heat &amp; Power Demand'!E510</f>
        <v>0.32981104388639787</v>
      </c>
      <c r="E501" s="55">
        <f>'Four-Weekly Heat &amp; Power Demand'!O510</f>
        <v>0.38224352251574223</v>
      </c>
      <c r="F501" s="55">
        <f>'Four-Weekly Heat &amp; Power Demand'!P510</f>
        <v>0.21957685264482196</v>
      </c>
      <c r="G501" s="55">
        <f>'Four-Weekly Heat &amp; Power Demand'!Q510</f>
        <v>4.6321775826741275E-2</v>
      </c>
    </row>
    <row r="502" spans="1:7" x14ac:dyDescent="0.2">
      <c r="A502">
        <v>501</v>
      </c>
      <c r="B502">
        <f>'Four-Weekly Heat &amp; Power Demand'!C511</f>
        <v>3.4332694957598457</v>
      </c>
      <c r="C502">
        <f>'Four-Weekly Heat &amp; Power Demand'!D511</f>
        <v>1.8717327794185254</v>
      </c>
      <c r="D502">
        <f>'Four-Weekly Heat &amp; Power Demand'!E511</f>
        <v>0.32981104388639787</v>
      </c>
      <c r="E502" s="55">
        <f>'Four-Weekly Heat &amp; Power Demand'!O511</f>
        <v>0.38224352251574223</v>
      </c>
      <c r="F502" s="55">
        <f>'Four-Weekly Heat &amp; Power Demand'!P511</f>
        <v>0.21957685264482196</v>
      </c>
      <c r="G502" s="55">
        <f>'Four-Weekly Heat &amp; Power Demand'!Q511</f>
        <v>4.6321775826741275E-2</v>
      </c>
    </row>
    <row r="503" spans="1:7" x14ac:dyDescent="0.2">
      <c r="A503">
        <v>502</v>
      </c>
      <c r="B503">
        <f>'Four-Weekly Heat &amp; Power Demand'!C512</f>
        <v>3.4332694957598457</v>
      </c>
      <c r="C503">
        <f>'Four-Weekly Heat &amp; Power Demand'!D512</f>
        <v>1.8717327794185254</v>
      </c>
      <c r="D503">
        <f>'Four-Weekly Heat &amp; Power Demand'!E512</f>
        <v>0.32981104388639787</v>
      </c>
      <c r="E503" s="55">
        <f>'Four-Weekly Heat &amp; Power Demand'!O512</f>
        <v>0.38224352251574223</v>
      </c>
      <c r="F503" s="55">
        <f>'Four-Weekly Heat &amp; Power Demand'!P512</f>
        <v>0.21957685264482196</v>
      </c>
      <c r="G503" s="55">
        <f>'Four-Weekly Heat &amp; Power Demand'!Q512</f>
        <v>4.6321775826741275E-2</v>
      </c>
    </row>
    <row r="504" spans="1:7" x14ac:dyDescent="0.2">
      <c r="A504">
        <v>503</v>
      </c>
      <c r="B504">
        <f>'Four-Weekly Heat &amp; Power Demand'!C513</f>
        <v>0</v>
      </c>
      <c r="C504">
        <f>'Four-Weekly Heat &amp; Power Demand'!D513</f>
        <v>0</v>
      </c>
      <c r="D504">
        <f>'Four-Weekly Heat &amp; Power Demand'!E513</f>
        <v>0</v>
      </c>
      <c r="E504" s="55">
        <f>'Four-Weekly Heat &amp; Power Demand'!O513</f>
        <v>0</v>
      </c>
      <c r="F504" s="55">
        <f>'Four-Weekly Heat &amp; Power Demand'!P513</f>
        <v>0</v>
      </c>
      <c r="G504" s="55">
        <f>'Four-Weekly Heat &amp; Power Demand'!Q513</f>
        <v>0</v>
      </c>
    </row>
    <row r="505" spans="1:7" x14ac:dyDescent="0.2">
      <c r="A505">
        <v>504</v>
      </c>
      <c r="B505">
        <f>'Four-Weekly Heat &amp; Power Demand'!C514</f>
        <v>0</v>
      </c>
      <c r="C505">
        <f>'Four-Weekly Heat &amp; Power Demand'!D514</f>
        <v>0</v>
      </c>
      <c r="D505">
        <f>'Four-Weekly Heat &amp; Power Demand'!E514</f>
        <v>0</v>
      </c>
      <c r="E505" s="55">
        <f>'Four-Weekly Heat &amp; Power Demand'!O514</f>
        <v>0</v>
      </c>
      <c r="F505" s="55">
        <f>'Four-Weekly Heat &amp; Power Demand'!P514</f>
        <v>0</v>
      </c>
      <c r="G505" s="55">
        <f>'Four-Weekly Heat &amp; Power Demand'!Q514</f>
        <v>0</v>
      </c>
    </row>
    <row r="506" spans="1:7" x14ac:dyDescent="0.2">
      <c r="A506">
        <v>505</v>
      </c>
      <c r="B506">
        <f>'Four-Weekly Heat &amp; Power Demand'!C515</f>
        <v>0</v>
      </c>
      <c r="C506">
        <f>'Four-Weekly Heat &amp; Power Demand'!D515</f>
        <v>0</v>
      </c>
      <c r="D506">
        <f>'Four-Weekly Heat &amp; Power Demand'!E515</f>
        <v>0</v>
      </c>
      <c r="E506" s="55">
        <f>'Four-Weekly Heat &amp; Power Demand'!O515</f>
        <v>0</v>
      </c>
      <c r="F506" s="55">
        <f>'Four-Weekly Heat &amp; Power Demand'!P515</f>
        <v>0</v>
      </c>
      <c r="G506" s="55">
        <f>'Four-Weekly Heat &amp; Power Demand'!Q515</f>
        <v>0</v>
      </c>
    </row>
    <row r="507" spans="1:7" x14ac:dyDescent="0.2">
      <c r="A507">
        <v>506</v>
      </c>
      <c r="B507">
        <f>'Four-Weekly Heat &amp; Power Demand'!C516</f>
        <v>0</v>
      </c>
      <c r="C507">
        <f>'Four-Weekly Heat &amp; Power Demand'!D516</f>
        <v>0</v>
      </c>
      <c r="D507">
        <f>'Four-Weekly Heat &amp; Power Demand'!E516</f>
        <v>0</v>
      </c>
      <c r="E507" s="55">
        <f>'Four-Weekly Heat &amp; Power Demand'!O516</f>
        <v>0</v>
      </c>
      <c r="F507" s="55">
        <f>'Four-Weekly Heat &amp; Power Demand'!P516</f>
        <v>0</v>
      </c>
      <c r="G507" s="55">
        <f>'Four-Weekly Heat &amp; Power Demand'!Q516</f>
        <v>0</v>
      </c>
    </row>
    <row r="508" spans="1:7" x14ac:dyDescent="0.2">
      <c r="A508">
        <v>507</v>
      </c>
      <c r="B508">
        <f>'Four-Weekly Heat &amp; Power Demand'!C517</f>
        <v>0</v>
      </c>
      <c r="C508">
        <f>'Four-Weekly Heat &amp; Power Demand'!D517</f>
        <v>0</v>
      </c>
      <c r="D508">
        <f>'Four-Weekly Heat &amp; Power Demand'!E517</f>
        <v>0</v>
      </c>
      <c r="E508" s="55">
        <f>'Four-Weekly Heat &amp; Power Demand'!O517</f>
        <v>0</v>
      </c>
      <c r="F508" s="55">
        <f>'Four-Weekly Heat &amp; Power Demand'!P517</f>
        <v>0</v>
      </c>
      <c r="G508" s="55">
        <f>'Four-Weekly Heat &amp; Power Demand'!Q517</f>
        <v>0</v>
      </c>
    </row>
    <row r="509" spans="1:7" x14ac:dyDescent="0.2">
      <c r="A509">
        <v>508</v>
      </c>
      <c r="B509">
        <f>'Four-Weekly Heat &amp; Power Demand'!C518</f>
        <v>0</v>
      </c>
      <c r="C509">
        <f>'Four-Weekly Heat &amp; Power Demand'!D518</f>
        <v>0</v>
      </c>
      <c r="D509">
        <f>'Four-Weekly Heat &amp; Power Demand'!E518</f>
        <v>0</v>
      </c>
      <c r="E509" s="55">
        <f>'Four-Weekly Heat &amp; Power Demand'!O518</f>
        <v>0</v>
      </c>
      <c r="F509" s="55">
        <f>'Four-Weekly Heat &amp; Power Demand'!P518</f>
        <v>0</v>
      </c>
      <c r="G509" s="55">
        <f>'Four-Weekly Heat &amp; Power Demand'!Q518</f>
        <v>0</v>
      </c>
    </row>
    <row r="510" spans="1:7" x14ac:dyDescent="0.2">
      <c r="A510">
        <v>509</v>
      </c>
      <c r="B510">
        <f>'Four-Weekly Heat &amp; Power Demand'!C519</f>
        <v>0</v>
      </c>
      <c r="C510">
        <f>'Four-Weekly Heat &amp; Power Demand'!D519</f>
        <v>0</v>
      </c>
      <c r="D510">
        <f>'Four-Weekly Heat &amp; Power Demand'!E519</f>
        <v>0</v>
      </c>
      <c r="E510" s="55">
        <f>'Four-Weekly Heat &amp; Power Demand'!O519</f>
        <v>0</v>
      </c>
      <c r="F510" s="55">
        <f>'Four-Weekly Heat &amp; Power Demand'!P519</f>
        <v>0</v>
      </c>
      <c r="G510" s="55">
        <f>'Four-Weekly Heat &amp; Power Demand'!Q519</f>
        <v>0</v>
      </c>
    </row>
    <row r="511" spans="1:7" x14ac:dyDescent="0.2">
      <c r="A511">
        <v>510</v>
      </c>
      <c r="B511">
        <f>'Four-Weekly Heat &amp; Power Demand'!C520</f>
        <v>0</v>
      </c>
      <c r="C511">
        <f>'Four-Weekly Heat &amp; Power Demand'!D520</f>
        <v>0</v>
      </c>
      <c r="D511">
        <f>'Four-Weekly Heat &amp; Power Demand'!E520</f>
        <v>0</v>
      </c>
      <c r="E511" s="55">
        <f>'Four-Weekly Heat &amp; Power Demand'!O520</f>
        <v>0</v>
      </c>
      <c r="F511" s="55">
        <f>'Four-Weekly Heat &amp; Power Demand'!P520</f>
        <v>0</v>
      </c>
      <c r="G511" s="55">
        <f>'Four-Weekly Heat &amp; Power Demand'!Q520</f>
        <v>0</v>
      </c>
    </row>
    <row r="512" spans="1:7" x14ac:dyDescent="0.2">
      <c r="A512">
        <v>511</v>
      </c>
      <c r="B512">
        <f>'Four-Weekly Heat &amp; Power Demand'!C521</f>
        <v>3.4332694957598457</v>
      </c>
      <c r="C512">
        <f>'Four-Weekly Heat &amp; Power Demand'!D521</f>
        <v>1.8717327794185254</v>
      </c>
      <c r="D512">
        <f>'Four-Weekly Heat &amp; Power Demand'!E521</f>
        <v>0.32981104388639787</v>
      </c>
      <c r="E512" s="55">
        <f>'Four-Weekly Heat &amp; Power Demand'!O521</f>
        <v>0.38224352251574223</v>
      </c>
      <c r="F512" s="55">
        <f>'Four-Weekly Heat &amp; Power Demand'!P521</f>
        <v>0.21957685264482196</v>
      </c>
      <c r="G512" s="55">
        <f>'Four-Weekly Heat &amp; Power Demand'!Q521</f>
        <v>4.6321775826741275E-2</v>
      </c>
    </row>
    <row r="513" spans="1:7" x14ac:dyDescent="0.2">
      <c r="A513">
        <v>512</v>
      </c>
      <c r="B513">
        <f>'Four-Weekly Heat &amp; Power Demand'!C522</f>
        <v>3.4332694957598457</v>
      </c>
      <c r="C513">
        <f>'Four-Weekly Heat &amp; Power Demand'!D522</f>
        <v>1.8717327794185254</v>
      </c>
      <c r="D513">
        <f>'Four-Weekly Heat &amp; Power Demand'!E522</f>
        <v>0.32981104388639787</v>
      </c>
      <c r="E513" s="55">
        <f>'Four-Weekly Heat &amp; Power Demand'!O522</f>
        <v>0.38224352251574223</v>
      </c>
      <c r="F513" s="55">
        <f>'Four-Weekly Heat &amp; Power Demand'!P522</f>
        <v>0.21957685264482196</v>
      </c>
      <c r="G513" s="55">
        <f>'Four-Weekly Heat &amp; Power Demand'!Q522</f>
        <v>4.6321775826741275E-2</v>
      </c>
    </row>
    <row r="514" spans="1:7" x14ac:dyDescent="0.2">
      <c r="A514">
        <v>513</v>
      </c>
      <c r="B514">
        <f>'Four-Weekly Heat &amp; Power Demand'!C523</f>
        <v>0</v>
      </c>
      <c r="C514">
        <f>'Four-Weekly Heat &amp; Power Demand'!D523</f>
        <v>0</v>
      </c>
      <c r="D514">
        <f>'Four-Weekly Heat &amp; Power Demand'!E523</f>
        <v>0</v>
      </c>
      <c r="E514" s="55">
        <f>'Four-Weekly Heat &amp; Power Demand'!O523</f>
        <v>0</v>
      </c>
      <c r="F514" s="55">
        <f>'Four-Weekly Heat &amp; Power Demand'!P523</f>
        <v>0</v>
      </c>
      <c r="G514" s="55">
        <f>'Four-Weekly Heat &amp; Power Demand'!Q523</f>
        <v>0</v>
      </c>
    </row>
    <row r="515" spans="1:7" x14ac:dyDescent="0.2">
      <c r="A515">
        <v>514</v>
      </c>
      <c r="B515">
        <f>'Four-Weekly Heat &amp; Power Demand'!C524</f>
        <v>0</v>
      </c>
      <c r="C515">
        <f>'Four-Weekly Heat &amp; Power Demand'!D524</f>
        <v>0</v>
      </c>
      <c r="D515">
        <f>'Four-Weekly Heat &amp; Power Demand'!E524</f>
        <v>0</v>
      </c>
      <c r="E515" s="55">
        <f>'Four-Weekly Heat &amp; Power Demand'!O524</f>
        <v>0</v>
      </c>
      <c r="F515" s="55">
        <f>'Four-Weekly Heat &amp; Power Demand'!P524</f>
        <v>0</v>
      </c>
      <c r="G515" s="55">
        <f>'Four-Weekly Heat &amp; Power Demand'!Q524</f>
        <v>0</v>
      </c>
    </row>
    <row r="516" spans="1:7" x14ac:dyDescent="0.2">
      <c r="A516">
        <v>515</v>
      </c>
      <c r="B516">
        <f>'Four-Weekly Heat &amp; Power Demand'!C525</f>
        <v>0</v>
      </c>
      <c r="C516">
        <f>'Four-Weekly Heat &amp; Power Demand'!D525</f>
        <v>0</v>
      </c>
      <c r="D516">
        <f>'Four-Weekly Heat &amp; Power Demand'!E525</f>
        <v>0</v>
      </c>
      <c r="E516" s="55">
        <f>'Four-Weekly Heat &amp; Power Demand'!O525</f>
        <v>0</v>
      </c>
      <c r="F516" s="55">
        <f>'Four-Weekly Heat &amp; Power Demand'!P525</f>
        <v>0</v>
      </c>
      <c r="G516" s="55">
        <f>'Four-Weekly Heat &amp; Power Demand'!Q525</f>
        <v>0</v>
      </c>
    </row>
    <row r="517" spans="1:7" x14ac:dyDescent="0.2">
      <c r="A517">
        <v>516</v>
      </c>
      <c r="B517">
        <f>'Four-Weekly Heat &amp; Power Demand'!C526</f>
        <v>0</v>
      </c>
      <c r="C517">
        <f>'Four-Weekly Heat &amp; Power Demand'!D526</f>
        <v>0</v>
      </c>
      <c r="D517">
        <f>'Four-Weekly Heat &amp; Power Demand'!E526</f>
        <v>0</v>
      </c>
      <c r="E517" s="55">
        <f>'Four-Weekly Heat &amp; Power Demand'!O526</f>
        <v>0</v>
      </c>
      <c r="F517" s="55">
        <f>'Four-Weekly Heat &amp; Power Demand'!P526</f>
        <v>0</v>
      </c>
      <c r="G517" s="55">
        <f>'Four-Weekly Heat &amp; Power Demand'!Q526</f>
        <v>0</v>
      </c>
    </row>
    <row r="518" spans="1:7" x14ac:dyDescent="0.2">
      <c r="A518">
        <v>517</v>
      </c>
      <c r="B518">
        <f>'Four-Weekly Heat &amp; Power Demand'!C527</f>
        <v>0</v>
      </c>
      <c r="C518">
        <f>'Four-Weekly Heat &amp; Power Demand'!D527</f>
        <v>0</v>
      </c>
      <c r="D518">
        <f>'Four-Weekly Heat &amp; Power Demand'!E527</f>
        <v>0</v>
      </c>
      <c r="E518" s="55">
        <f>'Four-Weekly Heat &amp; Power Demand'!O527</f>
        <v>0</v>
      </c>
      <c r="F518" s="55">
        <f>'Four-Weekly Heat &amp; Power Demand'!P527</f>
        <v>0</v>
      </c>
      <c r="G518" s="55">
        <f>'Four-Weekly Heat &amp; Power Demand'!Q527</f>
        <v>0</v>
      </c>
    </row>
    <row r="519" spans="1:7" x14ac:dyDescent="0.2">
      <c r="A519">
        <v>518</v>
      </c>
      <c r="B519">
        <f>'Four-Weekly Heat &amp; Power Demand'!C528</f>
        <v>0</v>
      </c>
      <c r="C519">
        <f>'Four-Weekly Heat &amp; Power Demand'!D528</f>
        <v>0</v>
      </c>
      <c r="D519">
        <f>'Four-Weekly Heat &amp; Power Demand'!E528</f>
        <v>0</v>
      </c>
      <c r="E519" s="55">
        <f>'Four-Weekly Heat &amp; Power Demand'!O528</f>
        <v>0</v>
      </c>
      <c r="F519" s="55">
        <f>'Four-Weekly Heat &amp; Power Demand'!P528</f>
        <v>0</v>
      </c>
      <c r="G519" s="55">
        <f>'Four-Weekly Heat &amp; Power Demand'!Q528</f>
        <v>0</v>
      </c>
    </row>
    <row r="520" spans="1:7" x14ac:dyDescent="0.2">
      <c r="A520">
        <v>519</v>
      </c>
      <c r="B520">
        <f>'Four-Weekly Heat &amp; Power Demand'!C529</f>
        <v>0</v>
      </c>
      <c r="C520">
        <f>'Four-Weekly Heat &amp; Power Demand'!D529</f>
        <v>0</v>
      </c>
      <c r="D520">
        <f>'Four-Weekly Heat &amp; Power Demand'!E529</f>
        <v>0</v>
      </c>
      <c r="E520" s="55">
        <f>'Four-Weekly Heat &amp; Power Demand'!O529</f>
        <v>0</v>
      </c>
      <c r="F520" s="55">
        <f>'Four-Weekly Heat &amp; Power Demand'!P529</f>
        <v>0</v>
      </c>
      <c r="G520" s="55">
        <f>'Four-Weekly Heat &amp; Power Demand'!Q529</f>
        <v>0</v>
      </c>
    </row>
    <row r="521" spans="1:7" x14ac:dyDescent="0.2">
      <c r="A521">
        <v>520</v>
      </c>
      <c r="B521">
        <f>'Four-Weekly Heat &amp; Power Demand'!C530</f>
        <v>3.4332694957598457</v>
      </c>
      <c r="C521">
        <f>'Four-Weekly Heat &amp; Power Demand'!D530</f>
        <v>1.8717327794185254</v>
      </c>
      <c r="D521">
        <f>'Four-Weekly Heat &amp; Power Demand'!E530</f>
        <v>0.32981104388639787</v>
      </c>
      <c r="E521" s="55">
        <f>'Four-Weekly Heat &amp; Power Demand'!O530</f>
        <v>0.38224352251574223</v>
      </c>
      <c r="F521" s="55">
        <f>'Four-Weekly Heat &amp; Power Demand'!P530</f>
        <v>0.21957685264482196</v>
      </c>
      <c r="G521" s="55">
        <f>'Four-Weekly Heat &amp; Power Demand'!Q530</f>
        <v>4.6321775826741275E-2</v>
      </c>
    </row>
    <row r="522" spans="1:7" x14ac:dyDescent="0.2">
      <c r="A522">
        <v>521</v>
      </c>
      <c r="B522">
        <f>'Four-Weekly Heat &amp; Power Demand'!C531</f>
        <v>3.4332694957598457</v>
      </c>
      <c r="C522">
        <f>'Four-Weekly Heat &amp; Power Demand'!D531</f>
        <v>1.8717327794185254</v>
      </c>
      <c r="D522">
        <f>'Four-Weekly Heat &amp; Power Demand'!E531</f>
        <v>0.32981104388639787</v>
      </c>
      <c r="E522" s="55">
        <f>'Four-Weekly Heat &amp; Power Demand'!O531</f>
        <v>0.38224352251574223</v>
      </c>
      <c r="F522" s="55">
        <f>'Four-Weekly Heat &amp; Power Demand'!P531</f>
        <v>0.21957685264482196</v>
      </c>
      <c r="G522" s="55">
        <f>'Four-Weekly Heat &amp; Power Demand'!Q531</f>
        <v>4.6321775826741275E-2</v>
      </c>
    </row>
    <row r="523" spans="1:7" x14ac:dyDescent="0.2">
      <c r="A523">
        <v>522</v>
      </c>
      <c r="B523">
        <f>'Four-Weekly Heat &amp; Power Demand'!C532</f>
        <v>3.4332694957598457</v>
      </c>
      <c r="C523">
        <f>'Four-Weekly Heat &amp; Power Demand'!D532</f>
        <v>1.8717327794185254</v>
      </c>
      <c r="D523">
        <f>'Four-Weekly Heat &amp; Power Demand'!E532</f>
        <v>0.32981104388639787</v>
      </c>
      <c r="E523" s="55">
        <f>'Four-Weekly Heat &amp; Power Demand'!O532</f>
        <v>0.38224352251574223</v>
      </c>
      <c r="F523" s="55">
        <f>'Four-Weekly Heat &amp; Power Demand'!P532</f>
        <v>0.21957685264482196</v>
      </c>
      <c r="G523" s="55">
        <f>'Four-Weekly Heat &amp; Power Demand'!Q532</f>
        <v>4.6321775826741275E-2</v>
      </c>
    </row>
    <row r="524" spans="1:7" x14ac:dyDescent="0.2">
      <c r="A524">
        <v>523</v>
      </c>
      <c r="B524">
        <f>'Four-Weekly Heat &amp; Power Demand'!C533</f>
        <v>3.4332694957598457</v>
      </c>
      <c r="C524">
        <f>'Four-Weekly Heat &amp; Power Demand'!D533</f>
        <v>1.8717327794185254</v>
      </c>
      <c r="D524">
        <f>'Four-Weekly Heat &amp; Power Demand'!E533</f>
        <v>0.32981104388639787</v>
      </c>
      <c r="E524" s="55">
        <f>'Four-Weekly Heat &amp; Power Demand'!O533</f>
        <v>0.38224352251574223</v>
      </c>
      <c r="F524" s="55">
        <f>'Four-Weekly Heat &amp; Power Demand'!P533</f>
        <v>0.21957685264482196</v>
      </c>
      <c r="G524" s="55">
        <f>'Four-Weekly Heat &amp; Power Demand'!Q533</f>
        <v>4.6321775826741275E-2</v>
      </c>
    </row>
    <row r="525" spans="1:7" x14ac:dyDescent="0.2">
      <c r="A525">
        <v>524</v>
      </c>
      <c r="B525">
        <f>'Four-Weekly Heat &amp; Power Demand'!C534</f>
        <v>3.4332694957598457</v>
      </c>
      <c r="C525">
        <f>'Four-Weekly Heat &amp; Power Demand'!D534</f>
        <v>1.8717327794185254</v>
      </c>
      <c r="D525">
        <f>'Four-Weekly Heat &amp; Power Demand'!E534</f>
        <v>0.32981104388639787</v>
      </c>
      <c r="E525" s="55">
        <f>'Four-Weekly Heat &amp; Power Demand'!O534</f>
        <v>0.38224352251574223</v>
      </c>
      <c r="F525" s="55">
        <f>'Four-Weekly Heat &amp; Power Demand'!P534</f>
        <v>0.21957685264482196</v>
      </c>
      <c r="G525" s="55">
        <f>'Four-Weekly Heat &amp; Power Demand'!Q534</f>
        <v>4.6321775826741275E-2</v>
      </c>
    </row>
    <row r="526" spans="1:7" x14ac:dyDescent="0.2">
      <c r="A526">
        <v>525</v>
      </c>
      <c r="B526">
        <f>'Four-Weekly Heat &amp; Power Demand'!C535</f>
        <v>3.4332694957598457</v>
      </c>
      <c r="C526">
        <f>'Four-Weekly Heat &amp; Power Demand'!D535</f>
        <v>1.8717327794185254</v>
      </c>
      <c r="D526">
        <f>'Four-Weekly Heat &amp; Power Demand'!E535</f>
        <v>0.32981104388639787</v>
      </c>
      <c r="E526" s="55">
        <f>'Four-Weekly Heat &amp; Power Demand'!O535</f>
        <v>0.38224352251574223</v>
      </c>
      <c r="F526" s="55">
        <f>'Four-Weekly Heat &amp; Power Demand'!P535</f>
        <v>0.21957685264482196</v>
      </c>
      <c r="G526" s="55">
        <f>'Four-Weekly Heat &amp; Power Demand'!Q535</f>
        <v>4.6321775826741275E-2</v>
      </c>
    </row>
    <row r="527" spans="1:7" x14ac:dyDescent="0.2">
      <c r="A527">
        <v>526</v>
      </c>
      <c r="B527">
        <f>'Four-Weekly Heat &amp; Power Demand'!C536</f>
        <v>3.4332694957598457</v>
      </c>
      <c r="C527">
        <f>'Four-Weekly Heat &amp; Power Demand'!D536</f>
        <v>1.8717327794185254</v>
      </c>
      <c r="D527">
        <f>'Four-Weekly Heat &amp; Power Demand'!E536</f>
        <v>0.32981104388639787</v>
      </c>
      <c r="E527" s="55">
        <f>'Four-Weekly Heat &amp; Power Demand'!O536</f>
        <v>0.38224352251574223</v>
      </c>
      <c r="F527" s="55">
        <f>'Four-Weekly Heat &amp; Power Demand'!P536</f>
        <v>0.21957685264482196</v>
      </c>
      <c r="G527" s="55">
        <f>'Four-Weekly Heat &amp; Power Demand'!Q536</f>
        <v>4.6321775826741275E-2</v>
      </c>
    </row>
    <row r="528" spans="1:7" x14ac:dyDescent="0.2">
      <c r="A528">
        <v>527</v>
      </c>
      <c r="B528">
        <f>'Four-Weekly Heat &amp; Power Demand'!C537</f>
        <v>0</v>
      </c>
      <c r="C528">
        <f>'Four-Weekly Heat &amp; Power Demand'!D537</f>
        <v>0</v>
      </c>
      <c r="D528">
        <f>'Four-Weekly Heat &amp; Power Demand'!E537</f>
        <v>0</v>
      </c>
      <c r="E528" s="55">
        <f>'Four-Weekly Heat &amp; Power Demand'!O537</f>
        <v>0</v>
      </c>
      <c r="F528" s="55">
        <f>'Four-Weekly Heat &amp; Power Demand'!P537</f>
        <v>0</v>
      </c>
      <c r="G528" s="55">
        <f>'Four-Weekly Heat &amp; Power Demand'!Q537</f>
        <v>0</v>
      </c>
    </row>
    <row r="529" spans="1:7" x14ac:dyDescent="0.2">
      <c r="A529">
        <v>528</v>
      </c>
      <c r="B529">
        <f>'Four-Weekly Heat &amp; Power Demand'!C538</f>
        <v>0</v>
      </c>
      <c r="C529">
        <f>'Four-Weekly Heat &amp; Power Demand'!D538</f>
        <v>0</v>
      </c>
      <c r="D529">
        <f>'Four-Weekly Heat &amp; Power Demand'!E538</f>
        <v>0</v>
      </c>
      <c r="E529" s="55">
        <f>'Four-Weekly Heat &amp; Power Demand'!O538</f>
        <v>0</v>
      </c>
      <c r="F529" s="55">
        <f>'Four-Weekly Heat &amp; Power Demand'!P538</f>
        <v>0</v>
      </c>
      <c r="G529" s="55">
        <f>'Four-Weekly Heat &amp; Power Demand'!Q538</f>
        <v>0</v>
      </c>
    </row>
    <row r="530" spans="1:7" x14ac:dyDescent="0.2">
      <c r="A530">
        <v>529</v>
      </c>
      <c r="B530">
        <f>'Four-Weekly Heat &amp; Power Demand'!C539</f>
        <v>0</v>
      </c>
      <c r="C530">
        <f>'Four-Weekly Heat &amp; Power Demand'!D539</f>
        <v>0</v>
      </c>
      <c r="D530">
        <f>'Four-Weekly Heat &amp; Power Demand'!E539</f>
        <v>0</v>
      </c>
      <c r="E530" s="55">
        <f>'Four-Weekly Heat &amp; Power Demand'!O539</f>
        <v>0</v>
      </c>
      <c r="F530" s="55">
        <f>'Four-Weekly Heat &amp; Power Demand'!P539</f>
        <v>0</v>
      </c>
      <c r="G530" s="55">
        <f>'Four-Weekly Heat &amp; Power Demand'!Q539</f>
        <v>0</v>
      </c>
    </row>
    <row r="531" spans="1:7" x14ac:dyDescent="0.2">
      <c r="A531">
        <v>530</v>
      </c>
      <c r="B531">
        <f>'Four-Weekly Heat &amp; Power Demand'!C540</f>
        <v>0</v>
      </c>
      <c r="C531">
        <f>'Four-Weekly Heat &amp; Power Demand'!D540</f>
        <v>0</v>
      </c>
      <c r="D531">
        <f>'Four-Weekly Heat &amp; Power Demand'!E540</f>
        <v>0</v>
      </c>
      <c r="E531" s="55">
        <f>'Four-Weekly Heat &amp; Power Demand'!O540</f>
        <v>0</v>
      </c>
      <c r="F531" s="55">
        <f>'Four-Weekly Heat &amp; Power Demand'!P540</f>
        <v>0</v>
      </c>
      <c r="G531" s="55">
        <f>'Four-Weekly Heat &amp; Power Demand'!Q540</f>
        <v>0</v>
      </c>
    </row>
    <row r="532" spans="1:7" x14ac:dyDescent="0.2">
      <c r="A532">
        <v>531</v>
      </c>
      <c r="B532">
        <f>'Four-Weekly Heat &amp; Power Demand'!C541</f>
        <v>0</v>
      </c>
      <c r="C532">
        <f>'Four-Weekly Heat &amp; Power Demand'!D541</f>
        <v>0</v>
      </c>
      <c r="D532">
        <f>'Four-Weekly Heat &amp; Power Demand'!E541</f>
        <v>0</v>
      </c>
      <c r="E532" s="55">
        <f>'Four-Weekly Heat &amp; Power Demand'!O541</f>
        <v>0</v>
      </c>
      <c r="F532" s="55">
        <f>'Four-Weekly Heat &amp; Power Demand'!P541</f>
        <v>0</v>
      </c>
      <c r="G532" s="55">
        <f>'Four-Weekly Heat &amp; Power Demand'!Q541</f>
        <v>0</v>
      </c>
    </row>
    <row r="533" spans="1:7" x14ac:dyDescent="0.2">
      <c r="A533">
        <v>532</v>
      </c>
      <c r="B533">
        <f>'Four-Weekly Heat &amp; Power Demand'!C542</f>
        <v>0</v>
      </c>
      <c r="C533">
        <f>'Four-Weekly Heat &amp; Power Demand'!D542</f>
        <v>0</v>
      </c>
      <c r="D533">
        <f>'Four-Weekly Heat &amp; Power Demand'!E542</f>
        <v>0</v>
      </c>
      <c r="E533" s="55">
        <f>'Four-Weekly Heat &amp; Power Demand'!O542</f>
        <v>0</v>
      </c>
      <c r="F533" s="55">
        <f>'Four-Weekly Heat &amp; Power Demand'!P542</f>
        <v>0</v>
      </c>
      <c r="G533" s="55">
        <f>'Four-Weekly Heat &amp; Power Demand'!Q542</f>
        <v>0</v>
      </c>
    </row>
    <row r="534" spans="1:7" x14ac:dyDescent="0.2">
      <c r="A534">
        <v>533</v>
      </c>
      <c r="B534">
        <f>'Four-Weekly Heat &amp; Power Demand'!C543</f>
        <v>0</v>
      </c>
      <c r="C534">
        <f>'Four-Weekly Heat &amp; Power Demand'!D543</f>
        <v>0</v>
      </c>
      <c r="D534">
        <f>'Four-Weekly Heat &amp; Power Demand'!E543</f>
        <v>0</v>
      </c>
      <c r="E534" s="55">
        <f>'Four-Weekly Heat &amp; Power Demand'!O543</f>
        <v>0</v>
      </c>
      <c r="F534" s="55">
        <f>'Four-Weekly Heat &amp; Power Demand'!P543</f>
        <v>0</v>
      </c>
      <c r="G534" s="55">
        <f>'Four-Weekly Heat &amp; Power Demand'!Q543</f>
        <v>0</v>
      </c>
    </row>
    <row r="535" spans="1:7" x14ac:dyDescent="0.2">
      <c r="A535">
        <v>534</v>
      </c>
      <c r="B535">
        <f>'Four-Weekly Heat &amp; Power Demand'!C544</f>
        <v>0</v>
      </c>
      <c r="C535">
        <f>'Four-Weekly Heat &amp; Power Demand'!D544</f>
        <v>0</v>
      </c>
      <c r="D535">
        <f>'Four-Weekly Heat &amp; Power Demand'!E544</f>
        <v>0</v>
      </c>
      <c r="E535" s="55">
        <f>'Four-Weekly Heat &amp; Power Demand'!O544</f>
        <v>0</v>
      </c>
      <c r="F535" s="55">
        <f>'Four-Weekly Heat &amp; Power Demand'!P544</f>
        <v>0</v>
      </c>
      <c r="G535" s="55">
        <f>'Four-Weekly Heat &amp; Power Demand'!Q544</f>
        <v>0</v>
      </c>
    </row>
    <row r="536" spans="1:7" x14ac:dyDescent="0.2">
      <c r="A536">
        <v>535</v>
      </c>
      <c r="B536">
        <f>'Four-Weekly Heat &amp; Power Demand'!C545</f>
        <v>3.4332694957598457</v>
      </c>
      <c r="C536">
        <f>'Four-Weekly Heat &amp; Power Demand'!D545</f>
        <v>1.8717327794185254</v>
      </c>
      <c r="D536">
        <f>'Four-Weekly Heat &amp; Power Demand'!E545</f>
        <v>0.32981104388639787</v>
      </c>
      <c r="E536" s="55">
        <f>'Four-Weekly Heat &amp; Power Demand'!O545</f>
        <v>0.38224352251574223</v>
      </c>
      <c r="F536" s="55">
        <f>'Four-Weekly Heat &amp; Power Demand'!P545</f>
        <v>0.21957685264482196</v>
      </c>
      <c r="G536" s="55">
        <f>'Four-Weekly Heat &amp; Power Demand'!Q545</f>
        <v>4.6321775826741275E-2</v>
      </c>
    </row>
    <row r="537" spans="1:7" x14ac:dyDescent="0.2">
      <c r="A537">
        <v>536</v>
      </c>
      <c r="B537">
        <f>'Four-Weekly Heat &amp; Power Demand'!C546</f>
        <v>3.4332694957598457</v>
      </c>
      <c r="C537">
        <f>'Four-Weekly Heat &amp; Power Demand'!D546</f>
        <v>1.8717327794185254</v>
      </c>
      <c r="D537">
        <f>'Four-Weekly Heat &amp; Power Demand'!E546</f>
        <v>0.32981104388639787</v>
      </c>
      <c r="E537" s="55">
        <f>'Four-Weekly Heat &amp; Power Demand'!O546</f>
        <v>0.38224352251574223</v>
      </c>
      <c r="F537" s="55">
        <f>'Four-Weekly Heat &amp; Power Demand'!P546</f>
        <v>0.21957685264482196</v>
      </c>
      <c r="G537" s="55">
        <f>'Four-Weekly Heat &amp; Power Demand'!Q546</f>
        <v>4.6321775826741275E-2</v>
      </c>
    </row>
    <row r="538" spans="1:7" x14ac:dyDescent="0.2">
      <c r="A538">
        <v>537</v>
      </c>
      <c r="B538">
        <f>'Four-Weekly Heat &amp; Power Demand'!C547</f>
        <v>0</v>
      </c>
      <c r="C538">
        <f>'Four-Weekly Heat &amp; Power Demand'!D547</f>
        <v>0</v>
      </c>
      <c r="D538">
        <f>'Four-Weekly Heat &amp; Power Demand'!E547</f>
        <v>0</v>
      </c>
      <c r="E538" s="55">
        <f>'Four-Weekly Heat &amp; Power Demand'!O547</f>
        <v>0</v>
      </c>
      <c r="F538" s="55">
        <f>'Four-Weekly Heat &amp; Power Demand'!P547</f>
        <v>0</v>
      </c>
      <c r="G538" s="55">
        <f>'Four-Weekly Heat &amp; Power Demand'!Q547</f>
        <v>0</v>
      </c>
    </row>
    <row r="539" spans="1:7" x14ac:dyDescent="0.2">
      <c r="A539">
        <v>538</v>
      </c>
      <c r="B539">
        <f>'Four-Weekly Heat &amp; Power Demand'!C548</f>
        <v>0</v>
      </c>
      <c r="C539">
        <f>'Four-Weekly Heat &amp; Power Demand'!D548</f>
        <v>0</v>
      </c>
      <c r="D539">
        <f>'Four-Weekly Heat &amp; Power Demand'!E548</f>
        <v>0</v>
      </c>
      <c r="E539" s="55">
        <f>'Four-Weekly Heat &amp; Power Demand'!O548</f>
        <v>0</v>
      </c>
      <c r="F539" s="55">
        <f>'Four-Weekly Heat &amp; Power Demand'!P548</f>
        <v>0</v>
      </c>
      <c r="G539" s="55">
        <f>'Four-Weekly Heat &amp; Power Demand'!Q548</f>
        <v>0</v>
      </c>
    </row>
    <row r="540" spans="1:7" x14ac:dyDescent="0.2">
      <c r="A540">
        <v>539</v>
      </c>
      <c r="B540">
        <f>'Four-Weekly Heat &amp; Power Demand'!C549</f>
        <v>0</v>
      </c>
      <c r="C540">
        <f>'Four-Weekly Heat &amp; Power Demand'!D549</f>
        <v>0</v>
      </c>
      <c r="D540">
        <f>'Four-Weekly Heat &amp; Power Demand'!E549</f>
        <v>0</v>
      </c>
      <c r="E540" s="55">
        <f>'Four-Weekly Heat &amp; Power Demand'!O549</f>
        <v>0</v>
      </c>
      <c r="F540" s="55">
        <f>'Four-Weekly Heat &amp; Power Demand'!P549</f>
        <v>0</v>
      </c>
      <c r="G540" s="55">
        <f>'Four-Weekly Heat &amp; Power Demand'!Q549</f>
        <v>0</v>
      </c>
    </row>
    <row r="541" spans="1:7" x14ac:dyDescent="0.2">
      <c r="A541">
        <v>540</v>
      </c>
      <c r="B541">
        <f>'Four-Weekly Heat &amp; Power Demand'!C550</f>
        <v>0</v>
      </c>
      <c r="C541">
        <f>'Four-Weekly Heat &amp; Power Demand'!D550</f>
        <v>0</v>
      </c>
      <c r="D541">
        <f>'Four-Weekly Heat &amp; Power Demand'!E550</f>
        <v>0</v>
      </c>
      <c r="E541" s="55">
        <f>'Four-Weekly Heat &amp; Power Demand'!O550</f>
        <v>0</v>
      </c>
      <c r="F541" s="55">
        <f>'Four-Weekly Heat &amp; Power Demand'!P550</f>
        <v>0</v>
      </c>
      <c r="G541" s="55">
        <f>'Four-Weekly Heat &amp; Power Demand'!Q550</f>
        <v>0</v>
      </c>
    </row>
    <row r="542" spans="1:7" x14ac:dyDescent="0.2">
      <c r="A542">
        <v>541</v>
      </c>
      <c r="B542">
        <f>'Four-Weekly Heat &amp; Power Demand'!C551</f>
        <v>0</v>
      </c>
      <c r="C542">
        <f>'Four-Weekly Heat &amp; Power Demand'!D551</f>
        <v>0</v>
      </c>
      <c r="D542">
        <f>'Four-Weekly Heat &amp; Power Demand'!E551</f>
        <v>0</v>
      </c>
      <c r="E542" s="55">
        <f>'Four-Weekly Heat &amp; Power Demand'!O551</f>
        <v>0</v>
      </c>
      <c r="F542" s="55">
        <f>'Four-Weekly Heat &amp; Power Demand'!P551</f>
        <v>0</v>
      </c>
      <c r="G542" s="55">
        <f>'Four-Weekly Heat &amp; Power Demand'!Q551</f>
        <v>0</v>
      </c>
    </row>
    <row r="543" spans="1:7" x14ac:dyDescent="0.2">
      <c r="A543">
        <v>542</v>
      </c>
      <c r="B543">
        <f>'Four-Weekly Heat &amp; Power Demand'!C552</f>
        <v>0</v>
      </c>
      <c r="C543">
        <f>'Four-Weekly Heat &amp; Power Demand'!D552</f>
        <v>0</v>
      </c>
      <c r="D543">
        <f>'Four-Weekly Heat &amp; Power Demand'!E552</f>
        <v>0</v>
      </c>
      <c r="E543" s="55">
        <f>'Four-Weekly Heat &amp; Power Demand'!O552</f>
        <v>0</v>
      </c>
      <c r="F543" s="55">
        <f>'Four-Weekly Heat &amp; Power Demand'!P552</f>
        <v>0</v>
      </c>
      <c r="G543" s="55">
        <f>'Four-Weekly Heat &amp; Power Demand'!Q552</f>
        <v>0</v>
      </c>
    </row>
    <row r="544" spans="1:7" x14ac:dyDescent="0.2">
      <c r="A544">
        <v>543</v>
      </c>
      <c r="B544">
        <f>'Four-Weekly Heat &amp; Power Demand'!C553</f>
        <v>0</v>
      </c>
      <c r="C544">
        <f>'Four-Weekly Heat &amp; Power Demand'!D553</f>
        <v>0</v>
      </c>
      <c r="D544">
        <f>'Four-Weekly Heat &amp; Power Demand'!E553</f>
        <v>0</v>
      </c>
      <c r="E544" s="55">
        <f>'Four-Weekly Heat &amp; Power Demand'!O553</f>
        <v>0</v>
      </c>
      <c r="F544" s="55">
        <f>'Four-Weekly Heat &amp; Power Demand'!P553</f>
        <v>0</v>
      </c>
      <c r="G544" s="55">
        <f>'Four-Weekly Heat &amp; Power Demand'!Q553</f>
        <v>0</v>
      </c>
    </row>
    <row r="545" spans="1:7" x14ac:dyDescent="0.2">
      <c r="A545">
        <v>544</v>
      </c>
      <c r="B545">
        <f>'Four-Weekly Heat &amp; Power Demand'!C554</f>
        <v>3.4332694957598457</v>
      </c>
      <c r="C545">
        <f>'Four-Weekly Heat &amp; Power Demand'!D554</f>
        <v>1.8717327794185254</v>
      </c>
      <c r="D545">
        <f>'Four-Weekly Heat &amp; Power Demand'!E554</f>
        <v>0.32981104388639787</v>
      </c>
      <c r="E545" s="55">
        <f>'Four-Weekly Heat &amp; Power Demand'!O554</f>
        <v>0.38224352251574223</v>
      </c>
      <c r="F545" s="55">
        <f>'Four-Weekly Heat &amp; Power Demand'!P554</f>
        <v>0.21957685264482196</v>
      </c>
      <c r="G545" s="55">
        <f>'Four-Weekly Heat &amp; Power Demand'!Q554</f>
        <v>4.6321775826741275E-2</v>
      </c>
    </row>
    <row r="546" spans="1:7" x14ac:dyDescent="0.2">
      <c r="A546">
        <v>545</v>
      </c>
      <c r="B546">
        <f>'Four-Weekly Heat &amp; Power Demand'!C555</f>
        <v>3.4332694957598457</v>
      </c>
      <c r="C546">
        <f>'Four-Weekly Heat &amp; Power Demand'!D555</f>
        <v>1.8717327794185254</v>
      </c>
      <c r="D546">
        <f>'Four-Weekly Heat &amp; Power Demand'!E555</f>
        <v>0.32981104388639787</v>
      </c>
      <c r="E546" s="55">
        <f>'Four-Weekly Heat &amp; Power Demand'!O555</f>
        <v>0.38224352251574223</v>
      </c>
      <c r="F546" s="55">
        <f>'Four-Weekly Heat &amp; Power Demand'!P555</f>
        <v>0.21957685264482196</v>
      </c>
      <c r="G546" s="55">
        <f>'Four-Weekly Heat &amp; Power Demand'!Q555</f>
        <v>4.6321775826741275E-2</v>
      </c>
    </row>
    <row r="547" spans="1:7" x14ac:dyDescent="0.2">
      <c r="A547">
        <v>546</v>
      </c>
      <c r="B547">
        <f>'Four-Weekly Heat &amp; Power Demand'!C556</f>
        <v>3.4332694957598457</v>
      </c>
      <c r="C547">
        <f>'Four-Weekly Heat &amp; Power Demand'!D556</f>
        <v>1.8717327794185254</v>
      </c>
      <c r="D547">
        <f>'Four-Weekly Heat &amp; Power Demand'!E556</f>
        <v>0.32981104388639787</v>
      </c>
      <c r="E547" s="55">
        <f>'Four-Weekly Heat &amp; Power Demand'!O556</f>
        <v>0.38224352251574223</v>
      </c>
      <c r="F547" s="55">
        <f>'Four-Weekly Heat &amp; Power Demand'!P556</f>
        <v>0.21957685264482196</v>
      </c>
      <c r="G547" s="55">
        <f>'Four-Weekly Heat &amp; Power Demand'!Q556</f>
        <v>4.6321775826741275E-2</v>
      </c>
    </row>
    <row r="548" spans="1:7" x14ac:dyDescent="0.2">
      <c r="A548">
        <v>547</v>
      </c>
      <c r="B548">
        <f>'Four-Weekly Heat &amp; Power Demand'!C557</f>
        <v>3.4332694957598457</v>
      </c>
      <c r="C548">
        <f>'Four-Weekly Heat &amp; Power Demand'!D557</f>
        <v>1.8717327794185254</v>
      </c>
      <c r="D548">
        <f>'Four-Weekly Heat &amp; Power Demand'!E557</f>
        <v>0.32981104388639787</v>
      </c>
      <c r="E548" s="55">
        <f>'Four-Weekly Heat &amp; Power Demand'!O557</f>
        <v>0.38224352251574223</v>
      </c>
      <c r="F548" s="55">
        <f>'Four-Weekly Heat &amp; Power Demand'!P557</f>
        <v>0.21957685264482196</v>
      </c>
      <c r="G548" s="55">
        <f>'Four-Weekly Heat &amp; Power Demand'!Q557</f>
        <v>4.6321775826741275E-2</v>
      </c>
    </row>
    <row r="549" spans="1:7" x14ac:dyDescent="0.2">
      <c r="A549">
        <v>548</v>
      </c>
      <c r="B549">
        <f>'Four-Weekly Heat &amp; Power Demand'!C558</f>
        <v>3.4332694957598457</v>
      </c>
      <c r="C549">
        <f>'Four-Weekly Heat &amp; Power Demand'!D558</f>
        <v>1.8717327794185254</v>
      </c>
      <c r="D549">
        <f>'Four-Weekly Heat &amp; Power Demand'!E558</f>
        <v>0.32981104388639787</v>
      </c>
      <c r="E549" s="55">
        <f>'Four-Weekly Heat &amp; Power Demand'!O558</f>
        <v>0.38224352251574223</v>
      </c>
      <c r="F549" s="55">
        <f>'Four-Weekly Heat &amp; Power Demand'!P558</f>
        <v>0.21957685264482196</v>
      </c>
      <c r="G549" s="55">
        <f>'Four-Weekly Heat &amp; Power Demand'!Q558</f>
        <v>4.6321775826741275E-2</v>
      </c>
    </row>
    <row r="550" spans="1:7" x14ac:dyDescent="0.2">
      <c r="A550">
        <v>549</v>
      </c>
      <c r="B550">
        <f>'Four-Weekly Heat &amp; Power Demand'!C559</f>
        <v>3.4332694957598457</v>
      </c>
      <c r="C550">
        <f>'Four-Weekly Heat &amp; Power Demand'!D559</f>
        <v>1.8717327794185254</v>
      </c>
      <c r="D550">
        <f>'Four-Weekly Heat &amp; Power Demand'!E559</f>
        <v>0.32981104388639787</v>
      </c>
      <c r="E550" s="55">
        <f>'Four-Weekly Heat &amp; Power Demand'!O559</f>
        <v>0.38224352251574223</v>
      </c>
      <c r="F550" s="55">
        <f>'Four-Weekly Heat &amp; Power Demand'!P559</f>
        <v>0.21957685264482196</v>
      </c>
      <c r="G550" s="55">
        <f>'Four-Weekly Heat &amp; Power Demand'!Q559</f>
        <v>4.6321775826741275E-2</v>
      </c>
    </row>
    <row r="551" spans="1:7" x14ac:dyDescent="0.2">
      <c r="A551">
        <v>550</v>
      </c>
      <c r="B551">
        <f>'Four-Weekly Heat &amp; Power Demand'!C560</f>
        <v>3.4332694957598457</v>
      </c>
      <c r="C551">
        <f>'Four-Weekly Heat &amp; Power Demand'!D560</f>
        <v>1.8717327794185254</v>
      </c>
      <c r="D551">
        <f>'Four-Weekly Heat &amp; Power Demand'!E560</f>
        <v>0.32981104388639787</v>
      </c>
      <c r="E551" s="55">
        <f>'Four-Weekly Heat &amp; Power Demand'!O560</f>
        <v>0.38224352251574223</v>
      </c>
      <c r="F551" s="55">
        <f>'Four-Weekly Heat &amp; Power Demand'!P560</f>
        <v>0.21957685264482196</v>
      </c>
      <c r="G551" s="55">
        <f>'Four-Weekly Heat &amp; Power Demand'!Q560</f>
        <v>4.6321775826741275E-2</v>
      </c>
    </row>
    <row r="552" spans="1:7" x14ac:dyDescent="0.2">
      <c r="A552">
        <v>551</v>
      </c>
      <c r="B552">
        <f>'Four-Weekly Heat &amp; Power Demand'!C561</f>
        <v>0</v>
      </c>
      <c r="C552">
        <f>'Four-Weekly Heat &amp; Power Demand'!D561</f>
        <v>0</v>
      </c>
      <c r="D552">
        <f>'Four-Weekly Heat &amp; Power Demand'!E561</f>
        <v>0</v>
      </c>
      <c r="E552" s="55">
        <f>'Four-Weekly Heat &amp; Power Demand'!O561</f>
        <v>0</v>
      </c>
      <c r="F552" s="55">
        <f>'Four-Weekly Heat &amp; Power Demand'!P561</f>
        <v>0</v>
      </c>
      <c r="G552" s="55">
        <f>'Four-Weekly Heat &amp; Power Demand'!Q561</f>
        <v>0</v>
      </c>
    </row>
    <row r="553" spans="1:7" x14ac:dyDescent="0.2">
      <c r="A553">
        <v>552</v>
      </c>
      <c r="B553">
        <f>'Four-Weekly Heat &amp; Power Demand'!C562</f>
        <v>0</v>
      </c>
      <c r="C553">
        <f>'Four-Weekly Heat &amp; Power Demand'!D562</f>
        <v>0</v>
      </c>
      <c r="D553">
        <f>'Four-Weekly Heat &amp; Power Demand'!E562</f>
        <v>0</v>
      </c>
      <c r="E553" s="55">
        <f>'Four-Weekly Heat &amp; Power Demand'!O562</f>
        <v>0</v>
      </c>
      <c r="F553" s="55">
        <f>'Four-Weekly Heat &amp; Power Demand'!P562</f>
        <v>0</v>
      </c>
      <c r="G553" s="55">
        <f>'Four-Weekly Heat &amp; Power Demand'!Q562</f>
        <v>0</v>
      </c>
    </row>
    <row r="554" spans="1:7" x14ac:dyDescent="0.2">
      <c r="A554">
        <v>553</v>
      </c>
      <c r="B554">
        <f>'Four-Weekly Heat &amp; Power Demand'!C563</f>
        <v>0</v>
      </c>
      <c r="C554">
        <f>'Four-Weekly Heat &amp; Power Demand'!D563</f>
        <v>0</v>
      </c>
      <c r="D554">
        <f>'Four-Weekly Heat &amp; Power Demand'!E563</f>
        <v>0</v>
      </c>
      <c r="E554" s="55">
        <f>'Four-Weekly Heat &amp; Power Demand'!O563</f>
        <v>0</v>
      </c>
      <c r="F554" s="55">
        <f>'Four-Weekly Heat &amp; Power Demand'!P563</f>
        <v>0</v>
      </c>
      <c r="G554" s="55">
        <f>'Four-Weekly Heat &amp; Power Demand'!Q563</f>
        <v>0</v>
      </c>
    </row>
    <row r="555" spans="1:7" x14ac:dyDescent="0.2">
      <c r="A555">
        <v>554</v>
      </c>
      <c r="B555">
        <f>'Four-Weekly Heat &amp; Power Demand'!C564</f>
        <v>0</v>
      </c>
      <c r="C555">
        <f>'Four-Weekly Heat &amp; Power Demand'!D564</f>
        <v>0</v>
      </c>
      <c r="D555">
        <f>'Four-Weekly Heat &amp; Power Demand'!E564</f>
        <v>0</v>
      </c>
      <c r="E555" s="55">
        <f>'Four-Weekly Heat &amp; Power Demand'!O564</f>
        <v>0</v>
      </c>
      <c r="F555" s="55">
        <f>'Four-Weekly Heat &amp; Power Demand'!P564</f>
        <v>0</v>
      </c>
      <c r="G555" s="55">
        <f>'Four-Weekly Heat &amp; Power Demand'!Q564</f>
        <v>0</v>
      </c>
    </row>
    <row r="556" spans="1:7" x14ac:dyDescent="0.2">
      <c r="A556">
        <v>555</v>
      </c>
      <c r="B556">
        <f>'Four-Weekly Heat &amp; Power Demand'!C565</f>
        <v>0</v>
      </c>
      <c r="C556">
        <f>'Four-Weekly Heat &amp; Power Demand'!D565</f>
        <v>0</v>
      </c>
      <c r="D556">
        <f>'Four-Weekly Heat &amp; Power Demand'!E565</f>
        <v>0</v>
      </c>
      <c r="E556" s="55">
        <f>'Four-Weekly Heat &amp; Power Demand'!O565</f>
        <v>0</v>
      </c>
      <c r="F556" s="55">
        <f>'Four-Weekly Heat &amp; Power Demand'!P565</f>
        <v>0</v>
      </c>
      <c r="G556" s="55">
        <f>'Four-Weekly Heat &amp; Power Demand'!Q565</f>
        <v>0</v>
      </c>
    </row>
    <row r="557" spans="1:7" x14ac:dyDescent="0.2">
      <c r="A557">
        <v>556</v>
      </c>
      <c r="B557">
        <f>'Four-Weekly Heat &amp; Power Demand'!C566</f>
        <v>0</v>
      </c>
      <c r="C557">
        <f>'Four-Weekly Heat &amp; Power Demand'!D566</f>
        <v>0</v>
      </c>
      <c r="D557">
        <f>'Four-Weekly Heat &amp; Power Demand'!E566</f>
        <v>0</v>
      </c>
      <c r="E557" s="55">
        <f>'Four-Weekly Heat &amp; Power Demand'!O566</f>
        <v>0</v>
      </c>
      <c r="F557" s="55">
        <f>'Four-Weekly Heat &amp; Power Demand'!P566</f>
        <v>0</v>
      </c>
      <c r="G557" s="55">
        <f>'Four-Weekly Heat &amp; Power Demand'!Q566</f>
        <v>0</v>
      </c>
    </row>
    <row r="558" spans="1:7" x14ac:dyDescent="0.2">
      <c r="A558">
        <v>557</v>
      </c>
      <c r="B558">
        <f>'Four-Weekly Heat &amp; Power Demand'!C567</f>
        <v>0</v>
      </c>
      <c r="C558">
        <f>'Four-Weekly Heat &amp; Power Demand'!D567</f>
        <v>0</v>
      </c>
      <c r="D558">
        <f>'Four-Weekly Heat &amp; Power Demand'!E567</f>
        <v>0</v>
      </c>
      <c r="E558" s="55">
        <f>'Four-Weekly Heat &amp; Power Demand'!O567</f>
        <v>0</v>
      </c>
      <c r="F558" s="55">
        <f>'Four-Weekly Heat &amp; Power Demand'!P567</f>
        <v>0</v>
      </c>
      <c r="G558" s="55">
        <f>'Four-Weekly Heat &amp; Power Demand'!Q567</f>
        <v>0</v>
      </c>
    </row>
    <row r="559" spans="1:7" x14ac:dyDescent="0.2">
      <c r="A559">
        <v>558</v>
      </c>
      <c r="B559">
        <f>'Four-Weekly Heat &amp; Power Demand'!C568</f>
        <v>0</v>
      </c>
      <c r="C559">
        <f>'Four-Weekly Heat &amp; Power Demand'!D568</f>
        <v>0</v>
      </c>
      <c r="D559">
        <f>'Four-Weekly Heat &amp; Power Demand'!E568</f>
        <v>0</v>
      </c>
      <c r="E559" s="55">
        <f>'Four-Weekly Heat &amp; Power Demand'!O568</f>
        <v>0</v>
      </c>
      <c r="F559" s="55">
        <f>'Four-Weekly Heat &amp; Power Demand'!P568</f>
        <v>0</v>
      </c>
      <c r="G559" s="55">
        <f>'Four-Weekly Heat &amp; Power Demand'!Q568</f>
        <v>0</v>
      </c>
    </row>
    <row r="560" spans="1:7" x14ac:dyDescent="0.2">
      <c r="A560">
        <v>559</v>
      </c>
      <c r="B560">
        <f>'Four-Weekly Heat &amp; Power Demand'!C569</f>
        <v>3.4332694957598457</v>
      </c>
      <c r="C560">
        <f>'Four-Weekly Heat &amp; Power Demand'!D569</f>
        <v>1.8717327794185254</v>
      </c>
      <c r="D560">
        <f>'Four-Weekly Heat &amp; Power Demand'!E569</f>
        <v>0.32981104388639787</v>
      </c>
      <c r="E560" s="55">
        <f>'Four-Weekly Heat &amp; Power Demand'!O569</f>
        <v>0.38224352251574223</v>
      </c>
      <c r="F560" s="55">
        <f>'Four-Weekly Heat &amp; Power Demand'!P569</f>
        <v>0.21957685264482196</v>
      </c>
      <c r="G560" s="55">
        <f>'Four-Weekly Heat &amp; Power Demand'!Q569</f>
        <v>4.6321775826741275E-2</v>
      </c>
    </row>
    <row r="561" spans="1:7" x14ac:dyDescent="0.2">
      <c r="A561">
        <v>560</v>
      </c>
      <c r="B561">
        <f>'Four-Weekly Heat &amp; Power Demand'!C570</f>
        <v>3.4332694957598457</v>
      </c>
      <c r="C561">
        <f>'Four-Weekly Heat &amp; Power Demand'!D570</f>
        <v>1.8717327794185254</v>
      </c>
      <c r="D561">
        <f>'Four-Weekly Heat &amp; Power Demand'!E570</f>
        <v>0.32981104388639787</v>
      </c>
      <c r="E561" s="55">
        <f>'Four-Weekly Heat &amp; Power Demand'!O570</f>
        <v>0.38224352251574223</v>
      </c>
      <c r="F561" s="55">
        <f>'Four-Weekly Heat &amp; Power Demand'!P570</f>
        <v>0.21957685264482196</v>
      </c>
      <c r="G561" s="55">
        <f>'Four-Weekly Heat &amp; Power Demand'!Q570</f>
        <v>4.6321775826741275E-2</v>
      </c>
    </row>
    <row r="562" spans="1:7" x14ac:dyDescent="0.2">
      <c r="A562">
        <v>561</v>
      </c>
      <c r="B562">
        <f>'Four-Weekly Heat &amp; Power Demand'!C571</f>
        <v>0</v>
      </c>
      <c r="C562">
        <f>'Four-Weekly Heat &amp; Power Demand'!D571</f>
        <v>0</v>
      </c>
      <c r="D562">
        <f>'Four-Weekly Heat &amp; Power Demand'!E571</f>
        <v>0</v>
      </c>
      <c r="E562" s="55">
        <f>'Four-Weekly Heat &amp; Power Demand'!O571</f>
        <v>0</v>
      </c>
      <c r="F562" s="55">
        <f>'Four-Weekly Heat &amp; Power Demand'!P571</f>
        <v>0</v>
      </c>
      <c r="G562" s="55">
        <f>'Four-Weekly Heat &amp; Power Demand'!Q571</f>
        <v>0</v>
      </c>
    </row>
    <row r="563" spans="1:7" x14ac:dyDescent="0.2">
      <c r="A563">
        <v>562</v>
      </c>
      <c r="B563">
        <f>'Four-Weekly Heat &amp; Power Demand'!C572</f>
        <v>0</v>
      </c>
      <c r="C563">
        <f>'Four-Weekly Heat &amp; Power Demand'!D572</f>
        <v>0</v>
      </c>
      <c r="D563">
        <f>'Four-Weekly Heat &amp; Power Demand'!E572</f>
        <v>0</v>
      </c>
      <c r="E563" s="55">
        <f>'Four-Weekly Heat &amp; Power Demand'!O572</f>
        <v>0</v>
      </c>
      <c r="F563" s="55">
        <f>'Four-Weekly Heat &amp; Power Demand'!P572</f>
        <v>0</v>
      </c>
      <c r="G563" s="55">
        <f>'Four-Weekly Heat &amp; Power Demand'!Q572</f>
        <v>0</v>
      </c>
    </row>
    <row r="564" spans="1:7" x14ac:dyDescent="0.2">
      <c r="A564">
        <v>563</v>
      </c>
      <c r="B564">
        <f>'Four-Weekly Heat &amp; Power Demand'!C573</f>
        <v>0</v>
      </c>
      <c r="C564">
        <f>'Four-Weekly Heat &amp; Power Demand'!D573</f>
        <v>0</v>
      </c>
      <c r="D564">
        <f>'Four-Weekly Heat &amp; Power Demand'!E573</f>
        <v>0</v>
      </c>
      <c r="E564" s="55">
        <f>'Four-Weekly Heat &amp; Power Demand'!O573</f>
        <v>0</v>
      </c>
      <c r="F564" s="55">
        <f>'Four-Weekly Heat &amp; Power Demand'!P573</f>
        <v>0</v>
      </c>
      <c r="G564" s="55">
        <f>'Four-Weekly Heat &amp; Power Demand'!Q573</f>
        <v>0</v>
      </c>
    </row>
    <row r="565" spans="1:7" x14ac:dyDescent="0.2">
      <c r="A565">
        <v>564</v>
      </c>
      <c r="B565">
        <f>'Four-Weekly Heat &amp; Power Demand'!C574</f>
        <v>0</v>
      </c>
      <c r="C565">
        <f>'Four-Weekly Heat &amp; Power Demand'!D574</f>
        <v>0</v>
      </c>
      <c r="D565">
        <f>'Four-Weekly Heat &amp; Power Demand'!E574</f>
        <v>0</v>
      </c>
      <c r="E565" s="55">
        <f>'Four-Weekly Heat &amp; Power Demand'!O574</f>
        <v>0</v>
      </c>
      <c r="F565" s="55">
        <f>'Four-Weekly Heat &amp; Power Demand'!P574</f>
        <v>0</v>
      </c>
      <c r="G565" s="55">
        <f>'Four-Weekly Heat &amp; Power Demand'!Q574</f>
        <v>0</v>
      </c>
    </row>
    <row r="566" spans="1:7" x14ac:dyDescent="0.2">
      <c r="A566">
        <v>565</v>
      </c>
      <c r="B566">
        <f>'Four-Weekly Heat &amp; Power Demand'!C575</f>
        <v>0</v>
      </c>
      <c r="C566">
        <f>'Four-Weekly Heat &amp; Power Demand'!D575</f>
        <v>0</v>
      </c>
      <c r="D566">
        <f>'Four-Weekly Heat &amp; Power Demand'!E575</f>
        <v>0</v>
      </c>
      <c r="E566" s="55">
        <f>'Four-Weekly Heat &amp; Power Demand'!O575</f>
        <v>0</v>
      </c>
      <c r="F566" s="55">
        <f>'Four-Weekly Heat &amp; Power Demand'!P575</f>
        <v>0</v>
      </c>
      <c r="G566" s="55">
        <f>'Four-Weekly Heat &amp; Power Demand'!Q575</f>
        <v>0</v>
      </c>
    </row>
    <row r="567" spans="1:7" x14ac:dyDescent="0.2">
      <c r="A567">
        <v>566</v>
      </c>
      <c r="B567">
        <f>'Four-Weekly Heat &amp; Power Demand'!C576</f>
        <v>0</v>
      </c>
      <c r="C567">
        <f>'Four-Weekly Heat &amp; Power Demand'!D576</f>
        <v>0</v>
      </c>
      <c r="D567">
        <f>'Four-Weekly Heat &amp; Power Demand'!E576</f>
        <v>0</v>
      </c>
      <c r="E567" s="55">
        <f>'Four-Weekly Heat &amp; Power Demand'!O576</f>
        <v>0</v>
      </c>
      <c r="F567" s="55">
        <f>'Four-Weekly Heat &amp; Power Demand'!P576</f>
        <v>0</v>
      </c>
      <c r="G567" s="55">
        <f>'Four-Weekly Heat &amp; Power Demand'!Q576</f>
        <v>0</v>
      </c>
    </row>
    <row r="568" spans="1:7" x14ac:dyDescent="0.2">
      <c r="A568">
        <v>567</v>
      </c>
      <c r="B568">
        <f>'Four-Weekly Heat &amp; Power Demand'!C577</f>
        <v>0</v>
      </c>
      <c r="C568">
        <f>'Four-Weekly Heat &amp; Power Demand'!D577</f>
        <v>0</v>
      </c>
      <c r="D568">
        <f>'Four-Weekly Heat &amp; Power Demand'!E577</f>
        <v>0</v>
      </c>
      <c r="E568" s="55">
        <f>'Four-Weekly Heat &amp; Power Demand'!O577</f>
        <v>0</v>
      </c>
      <c r="F568" s="55">
        <f>'Four-Weekly Heat &amp; Power Demand'!P577</f>
        <v>0</v>
      </c>
      <c r="G568" s="55">
        <f>'Four-Weekly Heat &amp; Power Demand'!Q577</f>
        <v>0</v>
      </c>
    </row>
    <row r="569" spans="1:7" x14ac:dyDescent="0.2">
      <c r="A569">
        <v>568</v>
      </c>
      <c r="B569">
        <f>'Four-Weekly Heat &amp; Power Demand'!C578</f>
        <v>3.4332694957598457</v>
      </c>
      <c r="C569">
        <f>'Four-Weekly Heat &amp; Power Demand'!D578</f>
        <v>1.8717327794185254</v>
      </c>
      <c r="D569">
        <f>'Four-Weekly Heat &amp; Power Demand'!E578</f>
        <v>0.32981104388639787</v>
      </c>
      <c r="E569" s="55">
        <f>'Four-Weekly Heat &amp; Power Demand'!O578</f>
        <v>0.38224352251574223</v>
      </c>
      <c r="F569" s="55">
        <f>'Four-Weekly Heat &amp; Power Demand'!P578</f>
        <v>0.21957685264482196</v>
      </c>
      <c r="G569" s="55">
        <f>'Four-Weekly Heat &amp; Power Demand'!Q578</f>
        <v>4.6321775826741275E-2</v>
      </c>
    </row>
    <row r="570" spans="1:7" x14ac:dyDescent="0.2">
      <c r="A570">
        <v>569</v>
      </c>
      <c r="B570">
        <f>'Four-Weekly Heat &amp; Power Demand'!C579</f>
        <v>3.4332694957598457</v>
      </c>
      <c r="C570">
        <f>'Four-Weekly Heat &amp; Power Demand'!D579</f>
        <v>1.8717327794185254</v>
      </c>
      <c r="D570">
        <f>'Four-Weekly Heat &amp; Power Demand'!E579</f>
        <v>0.32981104388639787</v>
      </c>
      <c r="E570" s="55">
        <f>'Four-Weekly Heat &amp; Power Demand'!O579</f>
        <v>0.38224352251574223</v>
      </c>
      <c r="F570" s="55">
        <f>'Four-Weekly Heat &amp; Power Demand'!P579</f>
        <v>0.21957685264482196</v>
      </c>
      <c r="G570" s="55">
        <f>'Four-Weekly Heat &amp; Power Demand'!Q579</f>
        <v>4.6321775826741275E-2</v>
      </c>
    </row>
    <row r="571" spans="1:7" x14ac:dyDescent="0.2">
      <c r="A571">
        <v>570</v>
      </c>
      <c r="B571">
        <f>'Four-Weekly Heat &amp; Power Demand'!C580</f>
        <v>3.4332694957598457</v>
      </c>
      <c r="C571">
        <f>'Four-Weekly Heat &amp; Power Demand'!D580</f>
        <v>1.8717327794185254</v>
      </c>
      <c r="D571">
        <f>'Four-Weekly Heat &amp; Power Demand'!E580</f>
        <v>0.32981104388639787</v>
      </c>
      <c r="E571" s="55">
        <f>'Four-Weekly Heat &amp; Power Demand'!O580</f>
        <v>0.38224352251574223</v>
      </c>
      <c r="F571" s="55">
        <f>'Four-Weekly Heat &amp; Power Demand'!P580</f>
        <v>0.21957685264482196</v>
      </c>
      <c r="G571" s="55">
        <f>'Four-Weekly Heat &amp; Power Demand'!Q580</f>
        <v>4.6321775826741275E-2</v>
      </c>
    </row>
    <row r="572" spans="1:7" x14ac:dyDescent="0.2">
      <c r="A572">
        <v>571</v>
      </c>
      <c r="B572">
        <f>'Four-Weekly Heat &amp; Power Demand'!C581</f>
        <v>3.4332694957598457</v>
      </c>
      <c r="C572">
        <f>'Four-Weekly Heat &amp; Power Demand'!D581</f>
        <v>1.8717327794185254</v>
      </c>
      <c r="D572">
        <f>'Four-Weekly Heat &amp; Power Demand'!E581</f>
        <v>0.32981104388639787</v>
      </c>
      <c r="E572" s="55">
        <f>'Four-Weekly Heat &amp; Power Demand'!O581</f>
        <v>0.38224352251574223</v>
      </c>
      <c r="F572" s="55">
        <f>'Four-Weekly Heat &amp; Power Demand'!P581</f>
        <v>0.21957685264482196</v>
      </c>
      <c r="G572" s="55">
        <f>'Four-Weekly Heat &amp; Power Demand'!Q581</f>
        <v>4.6321775826741275E-2</v>
      </c>
    </row>
    <row r="573" spans="1:7" x14ac:dyDescent="0.2">
      <c r="A573">
        <v>572</v>
      </c>
      <c r="B573">
        <f>'Four-Weekly Heat &amp; Power Demand'!C582</f>
        <v>3.4332694957598457</v>
      </c>
      <c r="C573">
        <f>'Four-Weekly Heat &amp; Power Demand'!D582</f>
        <v>1.8717327794185254</v>
      </c>
      <c r="D573">
        <f>'Four-Weekly Heat &amp; Power Demand'!E582</f>
        <v>0.32981104388639787</v>
      </c>
      <c r="E573" s="55">
        <f>'Four-Weekly Heat &amp; Power Demand'!O582</f>
        <v>0.38224352251574223</v>
      </c>
      <c r="F573" s="55">
        <f>'Four-Weekly Heat &amp; Power Demand'!P582</f>
        <v>0.21957685264482196</v>
      </c>
      <c r="G573" s="55">
        <f>'Four-Weekly Heat &amp; Power Demand'!Q582</f>
        <v>4.6321775826741275E-2</v>
      </c>
    </row>
    <row r="574" spans="1:7" x14ac:dyDescent="0.2">
      <c r="A574">
        <v>573</v>
      </c>
      <c r="B574">
        <f>'Four-Weekly Heat &amp; Power Demand'!C583</f>
        <v>3.4332694957598457</v>
      </c>
      <c r="C574">
        <f>'Four-Weekly Heat &amp; Power Demand'!D583</f>
        <v>1.8717327794185254</v>
      </c>
      <c r="D574">
        <f>'Four-Weekly Heat &amp; Power Demand'!E583</f>
        <v>0.32981104388639787</v>
      </c>
      <c r="E574" s="55">
        <f>'Four-Weekly Heat &amp; Power Demand'!O583</f>
        <v>0.38224352251574223</v>
      </c>
      <c r="F574" s="55">
        <f>'Four-Weekly Heat &amp; Power Demand'!P583</f>
        <v>0.21957685264482196</v>
      </c>
      <c r="G574" s="55">
        <f>'Four-Weekly Heat &amp; Power Demand'!Q583</f>
        <v>4.6321775826741275E-2</v>
      </c>
    </row>
    <row r="575" spans="1:7" x14ac:dyDescent="0.2">
      <c r="A575">
        <v>574</v>
      </c>
      <c r="B575">
        <f>'Four-Weekly Heat &amp; Power Demand'!C584</f>
        <v>3.4332694957598457</v>
      </c>
      <c r="C575">
        <f>'Four-Weekly Heat &amp; Power Demand'!D584</f>
        <v>1.8717327794185254</v>
      </c>
      <c r="D575">
        <f>'Four-Weekly Heat &amp; Power Demand'!E584</f>
        <v>0.32981104388639787</v>
      </c>
      <c r="E575" s="55">
        <f>'Four-Weekly Heat &amp; Power Demand'!O584</f>
        <v>0.38224352251574223</v>
      </c>
      <c r="F575" s="55">
        <f>'Four-Weekly Heat &amp; Power Demand'!P584</f>
        <v>0.21957685264482196</v>
      </c>
      <c r="G575" s="55">
        <f>'Four-Weekly Heat &amp; Power Demand'!Q584</f>
        <v>4.6321775826741275E-2</v>
      </c>
    </row>
    <row r="576" spans="1:7" x14ac:dyDescent="0.2">
      <c r="A576">
        <v>575</v>
      </c>
      <c r="B576">
        <f>'Four-Weekly Heat &amp; Power Demand'!C585</f>
        <v>0</v>
      </c>
      <c r="C576">
        <f>'Four-Weekly Heat &amp; Power Demand'!D585</f>
        <v>0</v>
      </c>
      <c r="D576">
        <f>'Four-Weekly Heat &amp; Power Demand'!E585</f>
        <v>0</v>
      </c>
      <c r="E576" s="55">
        <f>'Four-Weekly Heat &amp; Power Demand'!O585</f>
        <v>0</v>
      </c>
      <c r="F576" s="55">
        <f>'Four-Weekly Heat &amp; Power Demand'!P585</f>
        <v>0</v>
      </c>
      <c r="G576" s="55">
        <f>'Four-Weekly Heat &amp; Power Demand'!Q585</f>
        <v>0</v>
      </c>
    </row>
    <row r="577" spans="1:7" x14ac:dyDescent="0.2">
      <c r="A577">
        <v>576</v>
      </c>
      <c r="B577">
        <f>'Four-Weekly Heat &amp; Power Demand'!C586</f>
        <v>0</v>
      </c>
      <c r="C577">
        <f>'Four-Weekly Heat &amp; Power Demand'!D586</f>
        <v>0</v>
      </c>
      <c r="D577">
        <f>'Four-Weekly Heat &amp; Power Demand'!E586</f>
        <v>0</v>
      </c>
      <c r="E577" s="55">
        <f>'Four-Weekly Heat &amp; Power Demand'!O586</f>
        <v>0</v>
      </c>
      <c r="F577" s="55">
        <f>'Four-Weekly Heat &amp; Power Demand'!P586</f>
        <v>0</v>
      </c>
      <c r="G577" s="55">
        <f>'Four-Weekly Heat &amp; Power Demand'!Q586</f>
        <v>0</v>
      </c>
    </row>
    <row r="578" spans="1:7" x14ac:dyDescent="0.2">
      <c r="A578">
        <v>577</v>
      </c>
      <c r="B578">
        <f>'Four-Weekly Heat &amp; Power Demand'!C587</f>
        <v>0</v>
      </c>
      <c r="C578">
        <f>'Four-Weekly Heat &amp; Power Demand'!D587</f>
        <v>0</v>
      </c>
      <c r="D578">
        <f>'Four-Weekly Heat &amp; Power Demand'!E587</f>
        <v>0</v>
      </c>
      <c r="E578" s="55">
        <f>'Four-Weekly Heat &amp; Power Demand'!O587</f>
        <v>0</v>
      </c>
      <c r="F578" s="55">
        <f>'Four-Weekly Heat &amp; Power Demand'!P587</f>
        <v>0</v>
      </c>
      <c r="G578" s="55">
        <f>'Four-Weekly Heat &amp; Power Demand'!Q587</f>
        <v>0</v>
      </c>
    </row>
    <row r="579" spans="1:7" x14ac:dyDescent="0.2">
      <c r="A579">
        <v>578</v>
      </c>
      <c r="B579">
        <f>'Four-Weekly Heat &amp; Power Demand'!C588</f>
        <v>0</v>
      </c>
      <c r="C579">
        <f>'Four-Weekly Heat &amp; Power Demand'!D588</f>
        <v>0</v>
      </c>
      <c r="D579">
        <f>'Four-Weekly Heat &amp; Power Demand'!E588</f>
        <v>0</v>
      </c>
      <c r="E579" s="55">
        <f>'Four-Weekly Heat &amp; Power Demand'!O588</f>
        <v>0</v>
      </c>
      <c r="F579" s="55">
        <f>'Four-Weekly Heat &amp; Power Demand'!P588</f>
        <v>0</v>
      </c>
      <c r="G579" s="55">
        <f>'Four-Weekly Heat &amp; Power Demand'!Q588</f>
        <v>0</v>
      </c>
    </row>
    <row r="580" spans="1:7" x14ac:dyDescent="0.2">
      <c r="A580">
        <v>579</v>
      </c>
      <c r="B580">
        <f>'Four-Weekly Heat &amp; Power Demand'!C589</f>
        <v>0</v>
      </c>
      <c r="C580">
        <f>'Four-Weekly Heat &amp; Power Demand'!D589</f>
        <v>0</v>
      </c>
      <c r="D580">
        <f>'Four-Weekly Heat &amp; Power Demand'!E589</f>
        <v>0</v>
      </c>
      <c r="E580" s="55">
        <f>'Four-Weekly Heat &amp; Power Demand'!O589</f>
        <v>0</v>
      </c>
      <c r="F580" s="55">
        <f>'Four-Weekly Heat &amp; Power Demand'!P589</f>
        <v>0</v>
      </c>
      <c r="G580" s="55">
        <f>'Four-Weekly Heat &amp; Power Demand'!Q589</f>
        <v>0</v>
      </c>
    </row>
    <row r="581" spans="1:7" x14ac:dyDescent="0.2">
      <c r="A581">
        <v>580</v>
      </c>
      <c r="B581">
        <f>'Four-Weekly Heat &amp; Power Demand'!C590</f>
        <v>0</v>
      </c>
      <c r="C581">
        <f>'Four-Weekly Heat &amp; Power Demand'!D590</f>
        <v>0</v>
      </c>
      <c r="D581">
        <f>'Four-Weekly Heat &amp; Power Demand'!E590</f>
        <v>0</v>
      </c>
      <c r="E581" s="55">
        <f>'Four-Weekly Heat &amp; Power Demand'!O590</f>
        <v>0</v>
      </c>
      <c r="F581" s="55">
        <f>'Four-Weekly Heat &amp; Power Demand'!P590</f>
        <v>0</v>
      </c>
      <c r="G581" s="55">
        <f>'Four-Weekly Heat &amp; Power Demand'!Q590</f>
        <v>0</v>
      </c>
    </row>
    <row r="582" spans="1:7" x14ac:dyDescent="0.2">
      <c r="A582">
        <v>581</v>
      </c>
      <c r="B582">
        <f>'Four-Weekly Heat &amp; Power Demand'!C591</f>
        <v>0</v>
      </c>
      <c r="C582">
        <f>'Four-Weekly Heat &amp; Power Demand'!D591</f>
        <v>0</v>
      </c>
      <c r="D582">
        <f>'Four-Weekly Heat &amp; Power Demand'!E591</f>
        <v>0</v>
      </c>
      <c r="E582" s="55">
        <f>'Four-Weekly Heat &amp; Power Demand'!O591</f>
        <v>0</v>
      </c>
      <c r="F582" s="55">
        <f>'Four-Weekly Heat &amp; Power Demand'!P591</f>
        <v>0</v>
      </c>
      <c r="G582" s="55">
        <f>'Four-Weekly Heat &amp; Power Demand'!Q591</f>
        <v>0</v>
      </c>
    </row>
    <row r="583" spans="1:7" x14ac:dyDescent="0.2">
      <c r="A583">
        <v>582</v>
      </c>
      <c r="B583">
        <f>'Four-Weekly Heat &amp; Power Demand'!C592</f>
        <v>0</v>
      </c>
      <c r="C583">
        <f>'Four-Weekly Heat &amp; Power Demand'!D592</f>
        <v>0</v>
      </c>
      <c r="D583">
        <f>'Four-Weekly Heat &amp; Power Demand'!E592</f>
        <v>0</v>
      </c>
      <c r="E583" s="55">
        <f>'Four-Weekly Heat &amp; Power Demand'!O592</f>
        <v>0</v>
      </c>
      <c r="F583" s="55">
        <f>'Four-Weekly Heat &amp; Power Demand'!P592</f>
        <v>0</v>
      </c>
      <c r="G583" s="55">
        <f>'Four-Weekly Heat &amp; Power Demand'!Q592</f>
        <v>0</v>
      </c>
    </row>
    <row r="584" spans="1:7" x14ac:dyDescent="0.2">
      <c r="A584">
        <v>583</v>
      </c>
      <c r="B584">
        <f>'Four-Weekly Heat &amp; Power Demand'!C593</f>
        <v>3.4332694957598457</v>
      </c>
      <c r="C584">
        <f>'Four-Weekly Heat &amp; Power Demand'!D593</f>
        <v>1.8717327794185254</v>
      </c>
      <c r="D584">
        <f>'Four-Weekly Heat &amp; Power Demand'!E593</f>
        <v>0.32981104388639787</v>
      </c>
      <c r="E584" s="55">
        <f>'Four-Weekly Heat &amp; Power Demand'!O593</f>
        <v>0.38224352251574223</v>
      </c>
      <c r="F584" s="55">
        <f>'Four-Weekly Heat &amp; Power Demand'!P593</f>
        <v>0.21957685264482196</v>
      </c>
      <c r="G584" s="55">
        <f>'Four-Weekly Heat &amp; Power Demand'!Q593</f>
        <v>4.6321775826741275E-2</v>
      </c>
    </row>
    <row r="585" spans="1:7" x14ac:dyDescent="0.2">
      <c r="A585">
        <v>584</v>
      </c>
      <c r="B585">
        <f>'Four-Weekly Heat &amp; Power Demand'!C594</f>
        <v>3.4332694957598457</v>
      </c>
      <c r="C585">
        <f>'Four-Weekly Heat &amp; Power Demand'!D594</f>
        <v>1.8717327794185254</v>
      </c>
      <c r="D585">
        <f>'Four-Weekly Heat &amp; Power Demand'!E594</f>
        <v>0.32981104388639787</v>
      </c>
      <c r="E585" s="55">
        <f>'Four-Weekly Heat &amp; Power Demand'!O594</f>
        <v>0.38224352251574223</v>
      </c>
      <c r="F585" s="55">
        <f>'Four-Weekly Heat &amp; Power Demand'!P594</f>
        <v>0.21957685264482196</v>
      </c>
      <c r="G585" s="55">
        <f>'Four-Weekly Heat &amp; Power Demand'!Q594</f>
        <v>4.6321775826741275E-2</v>
      </c>
    </row>
    <row r="586" spans="1:7" x14ac:dyDescent="0.2">
      <c r="A586">
        <v>585</v>
      </c>
      <c r="B586">
        <f>'Four-Weekly Heat &amp; Power Demand'!C595</f>
        <v>3.4332694957598457</v>
      </c>
      <c r="C586">
        <f>'Four-Weekly Heat &amp; Power Demand'!D595</f>
        <v>1.8717327794185254</v>
      </c>
      <c r="D586">
        <f>'Four-Weekly Heat &amp; Power Demand'!E595</f>
        <v>0.32981104388639787</v>
      </c>
      <c r="E586" s="55">
        <f>'Four-Weekly Heat &amp; Power Demand'!O595</f>
        <v>0.38224352251574223</v>
      </c>
      <c r="F586" s="55">
        <f>'Four-Weekly Heat &amp; Power Demand'!P595</f>
        <v>0.21957685264482196</v>
      </c>
      <c r="G586" s="55">
        <f>'Four-Weekly Heat &amp; Power Demand'!Q595</f>
        <v>4.6321775826741275E-2</v>
      </c>
    </row>
    <row r="587" spans="1:7" x14ac:dyDescent="0.2">
      <c r="A587">
        <v>586</v>
      </c>
      <c r="B587">
        <f>'Four-Weekly Heat &amp; Power Demand'!C596</f>
        <v>3.4332694957598457</v>
      </c>
      <c r="C587">
        <f>'Four-Weekly Heat &amp; Power Demand'!D596</f>
        <v>1.8717327794185254</v>
      </c>
      <c r="D587">
        <f>'Four-Weekly Heat &amp; Power Demand'!E596</f>
        <v>0.32981104388639787</v>
      </c>
      <c r="E587" s="55">
        <f>'Four-Weekly Heat &amp; Power Demand'!O596</f>
        <v>0.38224352251574223</v>
      </c>
      <c r="F587" s="55">
        <f>'Four-Weekly Heat &amp; Power Demand'!P596</f>
        <v>0.21957685264482196</v>
      </c>
      <c r="G587" s="55">
        <f>'Four-Weekly Heat &amp; Power Demand'!Q596</f>
        <v>4.6321775826741275E-2</v>
      </c>
    </row>
    <row r="588" spans="1:7" x14ac:dyDescent="0.2">
      <c r="A588">
        <v>587</v>
      </c>
      <c r="B588">
        <f>'Four-Weekly Heat &amp; Power Demand'!C597</f>
        <v>3.4332694957598457</v>
      </c>
      <c r="C588">
        <f>'Four-Weekly Heat &amp; Power Demand'!D597</f>
        <v>1.8717327794185254</v>
      </c>
      <c r="D588">
        <f>'Four-Weekly Heat &amp; Power Demand'!E597</f>
        <v>0.32981104388639787</v>
      </c>
      <c r="E588" s="55">
        <f>'Four-Weekly Heat &amp; Power Demand'!O597</f>
        <v>0.38224352251574223</v>
      </c>
      <c r="F588" s="55">
        <f>'Four-Weekly Heat &amp; Power Demand'!P597</f>
        <v>0.21957685264482196</v>
      </c>
      <c r="G588" s="55">
        <f>'Four-Weekly Heat &amp; Power Demand'!Q597</f>
        <v>4.6321775826741275E-2</v>
      </c>
    </row>
    <row r="589" spans="1:7" x14ac:dyDescent="0.2">
      <c r="A589">
        <v>588</v>
      </c>
      <c r="B589">
        <f>'Four-Weekly Heat &amp; Power Demand'!C598</f>
        <v>3.4332694957598457</v>
      </c>
      <c r="C589">
        <f>'Four-Weekly Heat &amp; Power Demand'!D598</f>
        <v>1.8717327794185254</v>
      </c>
      <c r="D589">
        <f>'Four-Weekly Heat &amp; Power Demand'!E598</f>
        <v>0.32981104388639787</v>
      </c>
      <c r="E589" s="55">
        <f>'Four-Weekly Heat &amp; Power Demand'!O598</f>
        <v>0.38224352251574223</v>
      </c>
      <c r="F589" s="55">
        <f>'Four-Weekly Heat &amp; Power Demand'!P598</f>
        <v>0.21957685264482196</v>
      </c>
      <c r="G589" s="55">
        <f>'Four-Weekly Heat &amp; Power Demand'!Q598</f>
        <v>4.6321775826741275E-2</v>
      </c>
    </row>
    <row r="590" spans="1:7" x14ac:dyDescent="0.2">
      <c r="A590">
        <v>589</v>
      </c>
      <c r="B590">
        <f>'Four-Weekly Heat &amp; Power Demand'!C599</f>
        <v>3.4332694957598457</v>
      </c>
      <c r="C590">
        <f>'Four-Weekly Heat &amp; Power Demand'!D599</f>
        <v>1.8717327794185254</v>
      </c>
      <c r="D590">
        <f>'Four-Weekly Heat &amp; Power Demand'!E599</f>
        <v>0.32981104388639787</v>
      </c>
      <c r="E590" s="55">
        <f>'Four-Weekly Heat &amp; Power Demand'!O599</f>
        <v>0.38224352251574223</v>
      </c>
      <c r="F590" s="55">
        <f>'Four-Weekly Heat &amp; Power Demand'!P599</f>
        <v>0.21957685264482196</v>
      </c>
      <c r="G590" s="55">
        <f>'Four-Weekly Heat &amp; Power Demand'!Q599</f>
        <v>4.6321775826741275E-2</v>
      </c>
    </row>
    <row r="591" spans="1:7" x14ac:dyDescent="0.2">
      <c r="A591">
        <v>590</v>
      </c>
      <c r="B591">
        <f>'Four-Weekly Heat &amp; Power Demand'!C600</f>
        <v>3.4332694957598457</v>
      </c>
      <c r="C591">
        <f>'Four-Weekly Heat &amp; Power Demand'!D600</f>
        <v>1.8717327794185254</v>
      </c>
      <c r="D591">
        <f>'Four-Weekly Heat &amp; Power Demand'!E600</f>
        <v>0.32981104388639787</v>
      </c>
      <c r="E591" s="55">
        <f>'Four-Weekly Heat &amp; Power Demand'!O600</f>
        <v>0.38224352251574223</v>
      </c>
      <c r="F591" s="55">
        <f>'Four-Weekly Heat &amp; Power Demand'!P600</f>
        <v>0.21957685264482196</v>
      </c>
      <c r="G591" s="55">
        <f>'Four-Weekly Heat &amp; Power Demand'!Q600</f>
        <v>4.6321775826741275E-2</v>
      </c>
    </row>
    <row r="592" spans="1:7" x14ac:dyDescent="0.2">
      <c r="A592">
        <v>591</v>
      </c>
      <c r="B592">
        <f>'Four-Weekly Heat &amp; Power Demand'!C601</f>
        <v>3.4332694957598457</v>
      </c>
      <c r="C592">
        <f>'Four-Weekly Heat &amp; Power Demand'!D601</f>
        <v>1.8717327794185254</v>
      </c>
      <c r="D592">
        <f>'Four-Weekly Heat &amp; Power Demand'!E601</f>
        <v>0.32981104388639787</v>
      </c>
      <c r="E592" s="55">
        <f>'Four-Weekly Heat &amp; Power Demand'!O601</f>
        <v>0.38224352251574223</v>
      </c>
      <c r="F592" s="55">
        <f>'Four-Weekly Heat &amp; Power Demand'!P601</f>
        <v>0.21957685264482196</v>
      </c>
      <c r="G592" s="55">
        <f>'Four-Weekly Heat &amp; Power Demand'!Q601</f>
        <v>4.6321775826741275E-2</v>
      </c>
    </row>
    <row r="593" spans="1:7" x14ac:dyDescent="0.2">
      <c r="A593">
        <v>592</v>
      </c>
      <c r="B593">
        <f>'Four-Weekly Heat &amp; Power Demand'!C602</f>
        <v>3.4332694957598457</v>
      </c>
      <c r="C593">
        <f>'Four-Weekly Heat &amp; Power Demand'!D602</f>
        <v>1.8717327794185254</v>
      </c>
      <c r="D593">
        <f>'Four-Weekly Heat &amp; Power Demand'!E602</f>
        <v>0.32981104388639787</v>
      </c>
      <c r="E593" s="55">
        <f>'Four-Weekly Heat &amp; Power Demand'!O602</f>
        <v>0.38224352251574223</v>
      </c>
      <c r="F593" s="55">
        <f>'Four-Weekly Heat &amp; Power Demand'!P602</f>
        <v>0.21957685264482196</v>
      </c>
      <c r="G593" s="55">
        <f>'Four-Weekly Heat &amp; Power Demand'!Q602</f>
        <v>4.6321775826741275E-2</v>
      </c>
    </row>
    <row r="594" spans="1:7" x14ac:dyDescent="0.2">
      <c r="A594">
        <v>593</v>
      </c>
      <c r="B594">
        <f>'Four-Weekly Heat &amp; Power Demand'!C603</f>
        <v>3.4332694957598457</v>
      </c>
      <c r="C594">
        <f>'Four-Weekly Heat &amp; Power Demand'!D603</f>
        <v>1.8717327794185254</v>
      </c>
      <c r="D594">
        <f>'Four-Weekly Heat &amp; Power Demand'!E603</f>
        <v>0.32981104388639787</v>
      </c>
      <c r="E594" s="55">
        <f>'Four-Weekly Heat &amp; Power Demand'!O603</f>
        <v>0.38224352251574223</v>
      </c>
      <c r="F594" s="55">
        <f>'Four-Weekly Heat &amp; Power Demand'!P603</f>
        <v>0.21957685264482196</v>
      </c>
      <c r="G594" s="55">
        <f>'Four-Weekly Heat &amp; Power Demand'!Q603</f>
        <v>4.6321775826741275E-2</v>
      </c>
    </row>
    <row r="595" spans="1:7" x14ac:dyDescent="0.2">
      <c r="A595">
        <v>594</v>
      </c>
      <c r="B595">
        <f>'Four-Weekly Heat &amp; Power Demand'!C604</f>
        <v>3.4332694957598457</v>
      </c>
      <c r="C595">
        <f>'Four-Weekly Heat &amp; Power Demand'!D604</f>
        <v>1.8717327794185254</v>
      </c>
      <c r="D595">
        <f>'Four-Weekly Heat &amp; Power Demand'!E604</f>
        <v>0.32981104388639787</v>
      </c>
      <c r="E595" s="55">
        <f>'Four-Weekly Heat &amp; Power Demand'!O604</f>
        <v>0.38224352251574223</v>
      </c>
      <c r="F595" s="55">
        <f>'Four-Weekly Heat &amp; Power Demand'!P604</f>
        <v>0.21957685264482196</v>
      </c>
      <c r="G595" s="55">
        <f>'Four-Weekly Heat &amp; Power Demand'!Q604</f>
        <v>4.6321775826741275E-2</v>
      </c>
    </row>
    <row r="596" spans="1:7" x14ac:dyDescent="0.2">
      <c r="A596">
        <v>595</v>
      </c>
      <c r="B596">
        <f>'Four-Weekly Heat &amp; Power Demand'!C605</f>
        <v>3.4332694957598457</v>
      </c>
      <c r="C596">
        <f>'Four-Weekly Heat &amp; Power Demand'!D605</f>
        <v>1.8717327794185254</v>
      </c>
      <c r="D596">
        <f>'Four-Weekly Heat &amp; Power Demand'!E605</f>
        <v>0.32981104388639787</v>
      </c>
      <c r="E596" s="55">
        <f>'Four-Weekly Heat &amp; Power Demand'!O605</f>
        <v>0.38224352251574223</v>
      </c>
      <c r="F596" s="55">
        <f>'Four-Weekly Heat &amp; Power Demand'!P605</f>
        <v>0.21957685264482196</v>
      </c>
      <c r="G596" s="55">
        <f>'Four-Weekly Heat &amp; Power Demand'!Q605</f>
        <v>4.6321775826741275E-2</v>
      </c>
    </row>
    <row r="597" spans="1:7" x14ac:dyDescent="0.2">
      <c r="A597">
        <v>596</v>
      </c>
      <c r="B597">
        <f>'Four-Weekly Heat &amp; Power Demand'!C606</f>
        <v>3.4332694957598457</v>
      </c>
      <c r="C597">
        <f>'Four-Weekly Heat &amp; Power Demand'!D606</f>
        <v>1.8717327794185254</v>
      </c>
      <c r="D597">
        <f>'Four-Weekly Heat &amp; Power Demand'!E606</f>
        <v>0.32981104388639787</v>
      </c>
      <c r="E597" s="55">
        <f>'Four-Weekly Heat &amp; Power Demand'!O606</f>
        <v>0.38224352251574223</v>
      </c>
      <c r="F597" s="55">
        <f>'Four-Weekly Heat &amp; Power Demand'!P606</f>
        <v>0.21957685264482196</v>
      </c>
      <c r="G597" s="55">
        <f>'Four-Weekly Heat &amp; Power Demand'!Q606</f>
        <v>4.6321775826741275E-2</v>
      </c>
    </row>
    <row r="598" spans="1:7" x14ac:dyDescent="0.2">
      <c r="A598">
        <v>597</v>
      </c>
      <c r="B598">
        <f>'Four-Weekly Heat &amp; Power Demand'!C607</f>
        <v>3.4332694957598457</v>
      </c>
      <c r="C598">
        <f>'Four-Weekly Heat &amp; Power Demand'!D607</f>
        <v>1.8717327794185254</v>
      </c>
      <c r="D598">
        <f>'Four-Weekly Heat &amp; Power Demand'!E607</f>
        <v>0.32981104388639787</v>
      </c>
      <c r="E598" s="55">
        <f>'Four-Weekly Heat &amp; Power Demand'!O607</f>
        <v>0.38224352251574223</v>
      </c>
      <c r="F598" s="55">
        <f>'Four-Weekly Heat &amp; Power Demand'!P607</f>
        <v>0.21957685264482196</v>
      </c>
      <c r="G598" s="55">
        <f>'Four-Weekly Heat &amp; Power Demand'!Q607</f>
        <v>4.6321775826741275E-2</v>
      </c>
    </row>
    <row r="599" spans="1:7" x14ac:dyDescent="0.2">
      <c r="A599">
        <v>598</v>
      </c>
      <c r="B599">
        <f>'Four-Weekly Heat &amp; Power Demand'!C608</f>
        <v>3.4332694957598457</v>
      </c>
      <c r="C599">
        <f>'Four-Weekly Heat &amp; Power Demand'!D608</f>
        <v>1.8717327794185254</v>
      </c>
      <c r="D599">
        <f>'Four-Weekly Heat &amp; Power Demand'!E608</f>
        <v>0.32981104388639787</v>
      </c>
      <c r="E599" s="55">
        <f>'Four-Weekly Heat &amp; Power Demand'!O608</f>
        <v>0.38224352251574223</v>
      </c>
      <c r="F599" s="55">
        <f>'Four-Weekly Heat &amp; Power Demand'!P608</f>
        <v>0.21957685264482196</v>
      </c>
      <c r="G599" s="55">
        <f>'Four-Weekly Heat &amp; Power Demand'!Q608</f>
        <v>4.6321775826741275E-2</v>
      </c>
    </row>
    <row r="600" spans="1:7" x14ac:dyDescent="0.2">
      <c r="A600">
        <v>599</v>
      </c>
      <c r="B600">
        <f>'Four-Weekly Heat &amp; Power Demand'!C609</f>
        <v>0</v>
      </c>
      <c r="C600">
        <f>'Four-Weekly Heat &amp; Power Demand'!D609</f>
        <v>0</v>
      </c>
      <c r="D600">
        <f>'Four-Weekly Heat &amp; Power Demand'!E609</f>
        <v>0</v>
      </c>
      <c r="E600" s="55">
        <f>'Four-Weekly Heat &amp; Power Demand'!O609</f>
        <v>0</v>
      </c>
      <c r="F600" s="55">
        <f>'Four-Weekly Heat &amp; Power Demand'!P609</f>
        <v>0</v>
      </c>
      <c r="G600" s="55">
        <f>'Four-Weekly Heat &amp; Power Demand'!Q609</f>
        <v>0</v>
      </c>
    </row>
    <row r="601" spans="1:7" x14ac:dyDescent="0.2">
      <c r="A601">
        <v>600</v>
      </c>
      <c r="B601">
        <f>'Four-Weekly Heat &amp; Power Demand'!C610</f>
        <v>0</v>
      </c>
      <c r="C601">
        <f>'Four-Weekly Heat &amp; Power Demand'!D610</f>
        <v>0</v>
      </c>
      <c r="D601">
        <f>'Four-Weekly Heat &amp; Power Demand'!E610</f>
        <v>0</v>
      </c>
      <c r="E601" s="55">
        <f>'Four-Weekly Heat &amp; Power Demand'!O610</f>
        <v>0</v>
      </c>
      <c r="F601" s="55">
        <f>'Four-Weekly Heat &amp; Power Demand'!P610</f>
        <v>0</v>
      </c>
      <c r="G601" s="55">
        <f>'Four-Weekly Heat &amp; Power Demand'!Q610</f>
        <v>0</v>
      </c>
    </row>
    <row r="602" spans="1:7" x14ac:dyDescent="0.2">
      <c r="A602">
        <v>601</v>
      </c>
      <c r="B602">
        <f>'Four-Weekly Heat &amp; Power Demand'!C611</f>
        <v>0</v>
      </c>
      <c r="C602">
        <f>'Four-Weekly Heat &amp; Power Demand'!D611</f>
        <v>0</v>
      </c>
      <c r="D602">
        <f>'Four-Weekly Heat &amp; Power Demand'!E611</f>
        <v>0</v>
      </c>
      <c r="E602" s="55">
        <f>'Four-Weekly Heat &amp; Power Demand'!O611</f>
        <v>0</v>
      </c>
      <c r="F602" s="55">
        <f>'Four-Weekly Heat &amp; Power Demand'!P611</f>
        <v>0</v>
      </c>
      <c r="G602" s="55">
        <f>'Four-Weekly Heat &amp; Power Demand'!Q611</f>
        <v>0</v>
      </c>
    </row>
    <row r="603" spans="1:7" x14ac:dyDescent="0.2">
      <c r="A603">
        <v>602</v>
      </c>
      <c r="B603">
        <f>'Four-Weekly Heat &amp; Power Demand'!C612</f>
        <v>0</v>
      </c>
      <c r="C603">
        <f>'Four-Weekly Heat &amp; Power Demand'!D612</f>
        <v>0</v>
      </c>
      <c r="D603">
        <f>'Four-Weekly Heat &amp; Power Demand'!E612</f>
        <v>0</v>
      </c>
      <c r="E603" s="55">
        <f>'Four-Weekly Heat &amp; Power Demand'!O612</f>
        <v>0</v>
      </c>
      <c r="F603" s="55">
        <f>'Four-Weekly Heat &amp; Power Demand'!P612</f>
        <v>0</v>
      </c>
      <c r="G603" s="55">
        <f>'Four-Weekly Heat &amp; Power Demand'!Q612</f>
        <v>0</v>
      </c>
    </row>
    <row r="604" spans="1:7" x14ac:dyDescent="0.2">
      <c r="A604">
        <v>603</v>
      </c>
      <c r="B604">
        <f>'Four-Weekly Heat &amp; Power Demand'!C613</f>
        <v>0</v>
      </c>
      <c r="C604">
        <f>'Four-Weekly Heat &amp; Power Demand'!D613</f>
        <v>0</v>
      </c>
      <c r="D604">
        <f>'Four-Weekly Heat &amp; Power Demand'!E613</f>
        <v>0</v>
      </c>
      <c r="E604" s="55">
        <f>'Four-Weekly Heat &amp; Power Demand'!O613</f>
        <v>0</v>
      </c>
      <c r="F604" s="55">
        <f>'Four-Weekly Heat &amp; Power Demand'!P613</f>
        <v>0</v>
      </c>
      <c r="G604" s="55">
        <f>'Four-Weekly Heat &amp; Power Demand'!Q613</f>
        <v>0</v>
      </c>
    </row>
    <row r="605" spans="1:7" x14ac:dyDescent="0.2">
      <c r="A605">
        <v>604</v>
      </c>
      <c r="B605">
        <f>'Four-Weekly Heat &amp; Power Demand'!C614</f>
        <v>0</v>
      </c>
      <c r="C605">
        <f>'Four-Weekly Heat &amp; Power Demand'!D614</f>
        <v>0</v>
      </c>
      <c r="D605">
        <f>'Four-Weekly Heat &amp; Power Demand'!E614</f>
        <v>0</v>
      </c>
      <c r="E605" s="55">
        <f>'Four-Weekly Heat &amp; Power Demand'!O614</f>
        <v>0</v>
      </c>
      <c r="F605" s="55">
        <f>'Four-Weekly Heat &amp; Power Demand'!P614</f>
        <v>0</v>
      </c>
      <c r="G605" s="55">
        <f>'Four-Weekly Heat &amp; Power Demand'!Q614</f>
        <v>0</v>
      </c>
    </row>
    <row r="606" spans="1:7" x14ac:dyDescent="0.2">
      <c r="A606">
        <v>605</v>
      </c>
      <c r="B606">
        <f>'Four-Weekly Heat &amp; Power Demand'!C615</f>
        <v>0</v>
      </c>
      <c r="C606">
        <f>'Four-Weekly Heat &amp; Power Demand'!D615</f>
        <v>0</v>
      </c>
      <c r="D606">
        <f>'Four-Weekly Heat &amp; Power Demand'!E615</f>
        <v>0</v>
      </c>
      <c r="E606" s="55">
        <f>'Four-Weekly Heat &amp; Power Demand'!O615</f>
        <v>0</v>
      </c>
      <c r="F606" s="55">
        <f>'Four-Weekly Heat &amp; Power Demand'!P615</f>
        <v>0</v>
      </c>
      <c r="G606" s="55">
        <f>'Four-Weekly Heat &amp; Power Demand'!Q615</f>
        <v>0</v>
      </c>
    </row>
    <row r="607" spans="1:7" x14ac:dyDescent="0.2">
      <c r="A607">
        <v>606</v>
      </c>
      <c r="B607">
        <f>'Four-Weekly Heat &amp; Power Demand'!C616</f>
        <v>0</v>
      </c>
      <c r="C607">
        <f>'Four-Weekly Heat &amp; Power Demand'!D616</f>
        <v>0</v>
      </c>
      <c r="D607">
        <f>'Four-Weekly Heat &amp; Power Demand'!E616</f>
        <v>0</v>
      </c>
      <c r="E607" s="55">
        <f>'Four-Weekly Heat &amp; Power Demand'!O616</f>
        <v>0</v>
      </c>
      <c r="F607" s="55">
        <f>'Four-Weekly Heat &amp; Power Demand'!P616</f>
        <v>0</v>
      </c>
      <c r="G607" s="55">
        <f>'Four-Weekly Heat &amp; Power Demand'!Q616</f>
        <v>0</v>
      </c>
    </row>
    <row r="608" spans="1:7" x14ac:dyDescent="0.2">
      <c r="A608">
        <v>607</v>
      </c>
      <c r="B608">
        <f>'Four-Weekly Heat &amp; Power Demand'!C617</f>
        <v>3.4332694957598457</v>
      </c>
      <c r="C608">
        <f>'Four-Weekly Heat &amp; Power Demand'!D617</f>
        <v>1.8717327794185254</v>
      </c>
      <c r="D608">
        <f>'Four-Weekly Heat &amp; Power Demand'!E617</f>
        <v>0.32981104388639787</v>
      </c>
      <c r="E608" s="55">
        <f>'Four-Weekly Heat &amp; Power Demand'!O617</f>
        <v>0.38224352251574223</v>
      </c>
      <c r="F608" s="55">
        <f>'Four-Weekly Heat &amp; Power Demand'!P617</f>
        <v>0.21957685264482196</v>
      </c>
      <c r="G608" s="55">
        <f>'Four-Weekly Heat &amp; Power Demand'!Q617</f>
        <v>4.6321775826741275E-2</v>
      </c>
    </row>
    <row r="609" spans="1:7" x14ac:dyDescent="0.2">
      <c r="A609">
        <v>608</v>
      </c>
      <c r="B609">
        <f>'Four-Weekly Heat &amp; Power Demand'!C618</f>
        <v>3.4332694957598457</v>
      </c>
      <c r="C609">
        <f>'Four-Weekly Heat &amp; Power Demand'!D618</f>
        <v>1.8717327794185254</v>
      </c>
      <c r="D609">
        <f>'Four-Weekly Heat &amp; Power Demand'!E618</f>
        <v>0.32981104388639787</v>
      </c>
      <c r="E609" s="55">
        <f>'Four-Weekly Heat &amp; Power Demand'!O618</f>
        <v>0.38224352251574223</v>
      </c>
      <c r="F609" s="55">
        <f>'Four-Weekly Heat &amp; Power Demand'!P618</f>
        <v>0.21957685264482196</v>
      </c>
      <c r="G609" s="55">
        <f>'Four-Weekly Heat &amp; Power Demand'!Q618</f>
        <v>4.6321775826741275E-2</v>
      </c>
    </row>
    <row r="610" spans="1:7" x14ac:dyDescent="0.2">
      <c r="A610">
        <v>609</v>
      </c>
      <c r="B610">
        <f>'Four-Weekly Heat &amp; Power Demand'!C619</f>
        <v>3.4332694957598457</v>
      </c>
      <c r="C610">
        <f>'Four-Weekly Heat &amp; Power Demand'!D619</f>
        <v>1.8717327794185254</v>
      </c>
      <c r="D610">
        <f>'Four-Weekly Heat &amp; Power Demand'!E619</f>
        <v>0.32981104388639787</v>
      </c>
      <c r="E610" s="55">
        <f>'Four-Weekly Heat &amp; Power Demand'!O619</f>
        <v>0.38224352251574223</v>
      </c>
      <c r="F610" s="55">
        <f>'Four-Weekly Heat &amp; Power Demand'!P619</f>
        <v>0.21957685264482196</v>
      </c>
      <c r="G610" s="55">
        <f>'Four-Weekly Heat &amp; Power Demand'!Q619</f>
        <v>4.6321775826741275E-2</v>
      </c>
    </row>
    <row r="611" spans="1:7" x14ac:dyDescent="0.2">
      <c r="A611">
        <v>610</v>
      </c>
      <c r="B611">
        <f>'Four-Weekly Heat &amp; Power Demand'!C620</f>
        <v>3.4332694957598457</v>
      </c>
      <c r="C611">
        <f>'Four-Weekly Heat &amp; Power Demand'!D620</f>
        <v>1.8717327794185254</v>
      </c>
      <c r="D611">
        <f>'Four-Weekly Heat &amp; Power Demand'!E620</f>
        <v>0.32981104388639787</v>
      </c>
      <c r="E611" s="55">
        <f>'Four-Weekly Heat &amp; Power Demand'!O620</f>
        <v>0.38224352251574223</v>
      </c>
      <c r="F611" s="55">
        <f>'Four-Weekly Heat &amp; Power Demand'!P620</f>
        <v>0.21957685264482196</v>
      </c>
      <c r="G611" s="55">
        <f>'Four-Weekly Heat &amp; Power Demand'!Q620</f>
        <v>4.6321775826741275E-2</v>
      </c>
    </row>
    <row r="612" spans="1:7" x14ac:dyDescent="0.2">
      <c r="A612">
        <v>611</v>
      </c>
      <c r="B612">
        <f>'Four-Weekly Heat &amp; Power Demand'!C621</f>
        <v>3.4332694957598457</v>
      </c>
      <c r="C612">
        <f>'Four-Weekly Heat &amp; Power Demand'!D621</f>
        <v>1.8717327794185254</v>
      </c>
      <c r="D612">
        <f>'Four-Weekly Heat &amp; Power Demand'!E621</f>
        <v>0.32981104388639787</v>
      </c>
      <c r="E612" s="55">
        <f>'Four-Weekly Heat &amp; Power Demand'!O621</f>
        <v>0.38224352251574223</v>
      </c>
      <c r="F612" s="55">
        <f>'Four-Weekly Heat &amp; Power Demand'!P621</f>
        <v>0.21957685264482196</v>
      </c>
      <c r="G612" s="55">
        <f>'Four-Weekly Heat &amp; Power Demand'!Q621</f>
        <v>4.6321775826741275E-2</v>
      </c>
    </row>
    <row r="613" spans="1:7" x14ac:dyDescent="0.2">
      <c r="A613">
        <v>612</v>
      </c>
      <c r="B613">
        <f>'Four-Weekly Heat &amp; Power Demand'!C622</f>
        <v>3.4332694957598457</v>
      </c>
      <c r="C613">
        <f>'Four-Weekly Heat &amp; Power Demand'!D622</f>
        <v>1.8717327794185254</v>
      </c>
      <c r="D613">
        <f>'Four-Weekly Heat &amp; Power Demand'!E622</f>
        <v>0.32981104388639787</v>
      </c>
      <c r="E613" s="55">
        <f>'Four-Weekly Heat &amp; Power Demand'!O622</f>
        <v>0.38224352251574223</v>
      </c>
      <c r="F613" s="55">
        <f>'Four-Weekly Heat &amp; Power Demand'!P622</f>
        <v>0.21957685264482196</v>
      </c>
      <c r="G613" s="55">
        <f>'Four-Weekly Heat &amp; Power Demand'!Q622</f>
        <v>4.6321775826741275E-2</v>
      </c>
    </row>
    <row r="614" spans="1:7" x14ac:dyDescent="0.2">
      <c r="A614">
        <v>613</v>
      </c>
      <c r="B614">
        <f>'Four-Weekly Heat &amp; Power Demand'!C623</f>
        <v>3.4332694957598457</v>
      </c>
      <c r="C614">
        <f>'Four-Weekly Heat &amp; Power Demand'!D623</f>
        <v>1.8717327794185254</v>
      </c>
      <c r="D614">
        <f>'Four-Weekly Heat &amp; Power Demand'!E623</f>
        <v>0.32981104388639787</v>
      </c>
      <c r="E614" s="55">
        <f>'Four-Weekly Heat &amp; Power Demand'!O623</f>
        <v>0.38224352251574223</v>
      </c>
      <c r="F614" s="55">
        <f>'Four-Weekly Heat &amp; Power Demand'!P623</f>
        <v>0.21957685264482196</v>
      </c>
      <c r="G614" s="55">
        <f>'Four-Weekly Heat &amp; Power Demand'!Q623</f>
        <v>4.6321775826741275E-2</v>
      </c>
    </row>
    <row r="615" spans="1:7" x14ac:dyDescent="0.2">
      <c r="A615">
        <v>614</v>
      </c>
      <c r="B615">
        <f>'Four-Weekly Heat &amp; Power Demand'!C624</f>
        <v>3.4332694957598457</v>
      </c>
      <c r="C615">
        <f>'Four-Weekly Heat &amp; Power Demand'!D624</f>
        <v>1.8717327794185254</v>
      </c>
      <c r="D615">
        <f>'Four-Weekly Heat &amp; Power Demand'!E624</f>
        <v>0.32981104388639787</v>
      </c>
      <c r="E615" s="55">
        <f>'Four-Weekly Heat &amp; Power Demand'!O624</f>
        <v>0.38224352251574223</v>
      </c>
      <c r="F615" s="55">
        <f>'Four-Weekly Heat &amp; Power Demand'!P624</f>
        <v>0.21957685264482196</v>
      </c>
      <c r="G615" s="55">
        <f>'Four-Weekly Heat &amp; Power Demand'!Q624</f>
        <v>4.6321775826741275E-2</v>
      </c>
    </row>
    <row r="616" spans="1:7" x14ac:dyDescent="0.2">
      <c r="A616">
        <v>615</v>
      </c>
      <c r="B616">
        <f>'Four-Weekly Heat &amp; Power Demand'!C625</f>
        <v>3.4332694957598457</v>
      </c>
      <c r="C616">
        <f>'Four-Weekly Heat &amp; Power Demand'!D625</f>
        <v>1.8717327794185254</v>
      </c>
      <c r="D616">
        <f>'Four-Weekly Heat &amp; Power Demand'!E625</f>
        <v>0.32981104388639787</v>
      </c>
      <c r="E616" s="55">
        <f>'Four-Weekly Heat &amp; Power Demand'!O625</f>
        <v>0.38224352251574223</v>
      </c>
      <c r="F616" s="55">
        <f>'Four-Weekly Heat &amp; Power Demand'!P625</f>
        <v>0.21957685264482196</v>
      </c>
      <c r="G616" s="55">
        <f>'Four-Weekly Heat &amp; Power Demand'!Q625</f>
        <v>4.6321775826741275E-2</v>
      </c>
    </row>
    <row r="617" spans="1:7" x14ac:dyDescent="0.2">
      <c r="A617">
        <v>616</v>
      </c>
      <c r="B617">
        <f>'Four-Weekly Heat &amp; Power Demand'!C626</f>
        <v>3.4332694957598457</v>
      </c>
      <c r="C617">
        <f>'Four-Weekly Heat &amp; Power Demand'!D626</f>
        <v>1.8717327794185254</v>
      </c>
      <c r="D617">
        <f>'Four-Weekly Heat &amp; Power Demand'!E626</f>
        <v>0.32981104388639787</v>
      </c>
      <c r="E617" s="55">
        <f>'Four-Weekly Heat &amp; Power Demand'!O626</f>
        <v>0.38224352251574223</v>
      </c>
      <c r="F617" s="55">
        <f>'Four-Weekly Heat &amp; Power Demand'!P626</f>
        <v>0.21957685264482196</v>
      </c>
      <c r="G617" s="55">
        <f>'Four-Weekly Heat &amp; Power Demand'!Q626</f>
        <v>4.6321775826741275E-2</v>
      </c>
    </row>
    <row r="618" spans="1:7" x14ac:dyDescent="0.2">
      <c r="A618">
        <v>617</v>
      </c>
      <c r="B618">
        <f>'Four-Weekly Heat &amp; Power Demand'!C627</f>
        <v>3.4332694957598457</v>
      </c>
      <c r="C618">
        <f>'Four-Weekly Heat &amp; Power Demand'!D627</f>
        <v>1.8717327794185254</v>
      </c>
      <c r="D618">
        <f>'Four-Weekly Heat &amp; Power Demand'!E627</f>
        <v>0.32981104388639787</v>
      </c>
      <c r="E618" s="55">
        <f>'Four-Weekly Heat &amp; Power Demand'!O627</f>
        <v>0.38224352251574223</v>
      </c>
      <c r="F618" s="55">
        <f>'Four-Weekly Heat &amp; Power Demand'!P627</f>
        <v>0.21957685264482196</v>
      </c>
      <c r="G618" s="55">
        <f>'Four-Weekly Heat &amp; Power Demand'!Q627</f>
        <v>4.6321775826741275E-2</v>
      </c>
    </row>
    <row r="619" spans="1:7" x14ac:dyDescent="0.2">
      <c r="A619">
        <v>618</v>
      </c>
      <c r="B619">
        <f>'Four-Weekly Heat &amp; Power Demand'!C628</f>
        <v>3.4332694957598457</v>
      </c>
      <c r="C619">
        <f>'Four-Weekly Heat &amp; Power Demand'!D628</f>
        <v>1.8717327794185254</v>
      </c>
      <c r="D619">
        <f>'Four-Weekly Heat &amp; Power Demand'!E628</f>
        <v>0.32981104388639787</v>
      </c>
      <c r="E619" s="55">
        <f>'Four-Weekly Heat &amp; Power Demand'!O628</f>
        <v>0.38224352251574223</v>
      </c>
      <c r="F619" s="55">
        <f>'Four-Weekly Heat &amp; Power Demand'!P628</f>
        <v>0.21957685264482196</v>
      </c>
      <c r="G619" s="55">
        <f>'Four-Weekly Heat &amp; Power Demand'!Q628</f>
        <v>4.6321775826741275E-2</v>
      </c>
    </row>
    <row r="620" spans="1:7" x14ac:dyDescent="0.2">
      <c r="A620">
        <v>619</v>
      </c>
      <c r="B620">
        <f>'Four-Weekly Heat &amp; Power Demand'!C629</f>
        <v>3.4332694957598457</v>
      </c>
      <c r="C620">
        <f>'Four-Weekly Heat &amp; Power Demand'!D629</f>
        <v>1.8717327794185254</v>
      </c>
      <c r="D620">
        <f>'Four-Weekly Heat &amp; Power Demand'!E629</f>
        <v>0.32981104388639787</v>
      </c>
      <c r="E620" s="55">
        <f>'Four-Weekly Heat &amp; Power Demand'!O629</f>
        <v>0.38224352251574223</v>
      </c>
      <c r="F620" s="55">
        <f>'Four-Weekly Heat &amp; Power Demand'!P629</f>
        <v>0.21957685264482196</v>
      </c>
      <c r="G620" s="55">
        <f>'Four-Weekly Heat &amp; Power Demand'!Q629</f>
        <v>4.6321775826741275E-2</v>
      </c>
    </row>
    <row r="621" spans="1:7" x14ac:dyDescent="0.2">
      <c r="A621">
        <v>620</v>
      </c>
      <c r="B621">
        <f>'Four-Weekly Heat &amp; Power Demand'!C630</f>
        <v>3.4332694957598457</v>
      </c>
      <c r="C621">
        <f>'Four-Weekly Heat &amp; Power Demand'!D630</f>
        <v>1.8717327794185254</v>
      </c>
      <c r="D621">
        <f>'Four-Weekly Heat &amp; Power Demand'!E630</f>
        <v>0.32981104388639787</v>
      </c>
      <c r="E621" s="55">
        <f>'Four-Weekly Heat &amp; Power Demand'!O630</f>
        <v>0.38224352251574223</v>
      </c>
      <c r="F621" s="55">
        <f>'Four-Weekly Heat &amp; Power Demand'!P630</f>
        <v>0.21957685264482196</v>
      </c>
      <c r="G621" s="55">
        <f>'Four-Weekly Heat &amp; Power Demand'!Q630</f>
        <v>4.6321775826741275E-2</v>
      </c>
    </row>
    <row r="622" spans="1:7" x14ac:dyDescent="0.2">
      <c r="A622">
        <v>621</v>
      </c>
      <c r="B622">
        <f>'Four-Weekly Heat &amp; Power Demand'!C631</f>
        <v>3.4332694957598457</v>
      </c>
      <c r="C622">
        <f>'Four-Weekly Heat &amp; Power Demand'!D631</f>
        <v>1.8717327794185254</v>
      </c>
      <c r="D622">
        <f>'Four-Weekly Heat &amp; Power Demand'!E631</f>
        <v>0.32981104388639787</v>
      </c>
      <c r="E622" s="55">
        <f>'Four-Weekly Heat &amp; Power Demand'!O631</f>
        <v>0.38224352251574223</v>
      </c>
      <c r="F622" s="55">
        <f>'Four-Weekly Heat &amp; Power Demand'!P631</f>
        <v>0.21957685264482196</v>
      </c>
      <c r="G622" s="55">
        <f>'Four-Weekly Heat &amp; Power Demand'!Q631</f>
        <v>4.6321775826741275E-2</v>
      </c>
    </row>
    <row r="623" spans="1:7" x14ac:dyDescent="0.2">
      <c r="A623">
        <v>622</v>
      </c>
      <c r="B623">
        <f>'Four-Weekly Heat &amp; Power Demand'!C632</f>
        <v>3.4332694957598457</v>
      </c>
      <c r="C623">
        <f>'Four-Weekly Heat &amp; Power Demand'!D632</f>
        <v>1.8717327794185254</v>
      </c>
      <c r="D623">
        <f>'Four-Weekly Heat &amp; Power Demand'!E632</f>
        <v>0.32981104388639787</v>
      </c>
      <c r="E623" s="55">
        <f>'Four-Weekly Heat &amp; Power Demand'!O632</f>
        <v>0.38224352251574223</v>
      </c>
      <c r="F623" s="55">
        <f>'Four-Weekly Heat &amp; Power Demand'!P632</f>
        <v>0.21957685264482196</v>
      </c>
      <c r="G623" s="55">
        <f>'Four-Weekly Heat &amp; Power Demand'!Q632</f>
        <v>4.6321775826741275E-2</v>
      </c>
    </row>
    <row r="624" spans="1:7" x14ac:dyDescent="0.2">
      <c r="A624">
        <v>623</v>
      </c>
      <c r="B624">
        <f>'Four-Weekly Heat &amp; Power Demand'!C633</f>
        <v>0</v>
      </c>
      <c r="C624">
        <f>'Four-Weekly Heat &amp; Power Demand'!D633</f>
        <v>0</v>
      </c>
      <c r="D624">
        <f>'Four-Weekly Heat &amp; Power Demand'!E633</f>
        <v>0</v>
      </c>
      <c r="E624" s="55">
        <f>'Four-Weekly Heat &amp; Power Demand'!O633</f>
        <v>0</v>
      </c>
      <c r="F624" s="55">
        <f>'Four-Weekly Heat &amp; Power Demand'!P633</f>
        <v>0</v>
      </c>
      <c r="G624" s="55">
        <f>'Four-Weekly Heat &amp; Power Demand'!Q633</f>
        <v>0</v>
      </c>
    </row>
    <row r="625" spans="1:7" x14ac:dyDescent="0.2">
      <c r="A625">
        <v>624</v>
      </c>
      <c r="B625">
        <f>'Four-Weekly Heat &amp; Power Demand'!C634</f>
        <v>0</v>
      </c>
      <c r="C625">
        <f>'Four-Weekly Heat &amp; Power Demand'!D634</f>
        <v>0</v>
      </c>
      <c r="D625">
        <f>'Four-Weekly Heat &amp; Power Demand'!E634</f>
        <v>0</v>
      </c>
      <c r="E625" s="55">
        <f>'Four-Weekly Heat &amp; Power Demand'!O634</f>
        <v>0</v>
      </c>
      <c r="F625" s="55">
        <f>'Four-Weekly Heat &amp; Power Demand'!P634</f>
        <v>0</v>
      </c>
      <c r="G625" s="55">
        <f>'Four-Weekly Heat &amp; Power Demand'!Q634</f>
        <v>0</v>
      </c>
    </row>
    <row r="626" spans="1:7" x14ac:dyDescent="0.2">
      <c r="A626">
        <v>625</v>
      </c>
      <c r="B626">
        <f>'Four-Weekly Heat &amp; Power Demand'!C635</f>
        <v>0</v>
      </c>
      <c r="C626">
        <f>'Four-Weekly Heat &amp; Power Demand'!D635</f>
        <v>0</v>
      </c>
      <c r="D626">
        <f>'Four-Weekly Heat &amp; Power Demand'!E635</f>
        <v>0</v>
      </c>
      <c r="E626" s="55">
        <f>'Four-Weekly Heat &amp; Power Demand'!O635</f>
        <v>0</v>
      </c>
      <c r="F626" s="55">
        <f>'Four-Weekly Heat &amp; Power Demand'!P635</f>
        <v>0</v>
      </c>
      <c r="G626" s="55">
        <f>'Four-Weekly Heat &amp; Power Demand'!Q635</f>
        <v>0</v>
      </c>
    </row>
    <row r="627" spans="1:7" x14ac:dyDescent="0.2">
      <c r="A627">
        <v>626</v>
      </c>
      <c r="B627">
        <f>'Four-Weekly Heat &amp; Power Demand'!C636</f>
        <v>0</v>
      </c>
      <c r="C627">
        <f>'Four-Weekly Heat &amp; Power Demand'!D636</f>
        <v>0</v>
      </c>
      <c r="D627">
        <f>'Four-Weekly Heat &amp; Power Demand'!E636</f>
        <v>0</v>
      </c>
      <c r="E627" s="55">
        <f>'Four-Weekly Heat &amp; Power Demand'!O636</f>
        <v>0</v>
      </c>
      <c r="F627" s="55">
        <f>'Four-Weekly Heat &amp; Power Demand'!P636</f>
        <v>0</v>
      </c>
      <c r="G627" s="55">
        <f>'Four-Weekly Heat &amp; Power Demand'!Q636</f>
        <v>0</v>
      </c>
    </row>
    <row r="628" spans="1:7" x14ac:dyDescent="0.2">
      <c r="A628">
        <v>627</v>
      </c>
      <c r="B628">
        <f>'Four-Weekly Heat &amp; Power Demand'!C637</f>
        <v>0</v>
      </c>
      <c r="C628">
        <f>'Four-Weekly Heat &amp; Power Demand'!D637</f>
        <v>0</v>
      </c>
      <c r="D628">
        <f>'Four-Weekly Heat &amp; Power Demand'!E637</f>
        <v>0</v>
      </c>
      <c r="E628" s="55">
        <f>'Four-Weekly Heat &amp; Power Demand'!O637</f>
        <v>0</v>
      </c>
      <c r="F628" s="55">
        <f>'Four-Weekly Heat &amp; Power Demand'!P637</f>
        <v>0</v>
      </c>
      <c r="G628" s="55">
        <f>'Four-Weekly Heat &amp; Power Demand'!Q637</f>
        <v>0</v>
      </c>
    </row>
    <row r="629" spans="1:7" x14ac:dyDescent="0.2">
      <c r="A629">
        <v>628</v>
      </c>
      <c r="B629">
        <f>'Four-Weekly Heat &amp; Power Demand'!C638</f>
        <v>0</v>
      </c>
      <c r="C629">
        <f>'Four-Weekly Heat &amp; Power Demand'!D638</f>
        <v>0</v>
      </c>
      <c r="D629">
        <f>'Four-Weekly Heat &amp; Power Demand'!E638</f>
        <v>0</v>
      </c>
      <c r="E629" s="55">
        <f>'Four-Weekly Heat &amp; Power Demand'!O638</f>
        <v>0</v>
      </c>
      <c r="F629" s="55">
        <f>'Four-Weekly Heat &amp; Power Demand'!P638</f>
        <v>0</v>
      </c>
      <c r="G629" s="55">
        <f>'Four-Weekly Heat &amp; Power Demand'!Q638</f>
        <v>0</v>
      </c>
    </row>
    <row r="630" spans="1:7" x14ac:dyDescent="0.2">
      <c r="A630">
        <v>629</v>
      </c>
      <c r="B630">
        <f>'Four-Weekly Heat &amp; Power Demand'!C639</f>
        <v>0</v>
      </c>
      <c r="C630">
        <f>'Four-Weekly Heat &amp; Power Demand'!D639</f>
        <v>0</v>
      </c>
      <c r="D630">
        <f>'Four-Weekly Heat &amp; Power Demand'!E639</f>
        <v>0</v>
      </c>
      <c r="E630" s="55">
        <f>'Four-Weekly Heat &amp; Power Demand'!O639</f>
        <v>0</v>
      </c>
      <c r="F630" s="55">
        <f>'Four-Weekly Heat &amp; Power Demand'!P639</f>
        <v>0</v>
      </c>
      <c r="G630" s="55">
        <f>'Four-Weekly Heat &amp; Power Demand'!Q639</f>
        <v>0</v>
      </c>
    </row>
    <row r="631" spans="1:7" x14ac:dyDescent="0.2">
      <c r="A631">
        <v>630</v>
      </c>
      <c r="B631">
        <f>'Four-Weekly Heat &amp; Power Demand'!C640</f>
        <v>0</v>
      </c>
      <c r="C631">
        <f>'Four-Weekly Heat &amp; Power Demand'!D640</f>
        <v>0</v>
      </c>
      <c r="D631">
        <f>'Four-Weekly Heat &amp; Power Demand'!E640</f>
        <v>0</v>
      </c>
      <c r="E631" s="55">
        <f>'Four-Weekly Heat &amp; Power Demand'!O640</f>
        <v>0</v>
      </c>
      <c r="F631" s="55">
        <f>'Four-Weekly Heat &amp; Power Demand'!P640</f>
        <v>0</v>
      </c>
      <c r="G631" s="55">
        <f>'Four-Weekly Heat &amp; Power Demand'!Q640</f>
        <v>0</v>
      </c>
    </row>
    <row r="632" spans="1:7" x14ac:dyDescent="0.2">
      <c r="A632">
        <v>631</v>
      </c>
      <c r="B632">
        <f>'Four-Weekly Heat &amp; Power Demand'!C641</f>
        <v>3.4332694957598457</v>
      </c>
      <c r="C632">
        <f>'Four-Weekly Heat &amp; Power Demand'!D641</f>
        <v>1.8717327794185254</v>
      </c>
      <c r="D632">
        <f>'Four-Weekly Heat &amp; Power Demand'!E641</f>
        <v>0.32981104388639787</v>
      </c>
      <c r="E632" s="55">
        <f>'Four-Weekly Heat &amp; Power Demand'!O641</f>
        <v>0.38224352251574223</v>
      </c>
      <c r="F632" s="55">
        <f>'Four-Weekly Heat &amp; Power Demand'!P641</f>
        <v>0.21957685264482196</v>
      </c>
      <c r="G632" s="55">
        <f>'Four-Weekly Heat &amp; Power Demand'!Q641</f>
        <v>4.6321775826741275E-2</v>
      </c>
    </row>
    <row r="633" spans="1:7" x14ac:dyDescent="0.2">
      <c r="A633">
        <v>632</v>
      </c>
      <c r="B633">
        <f>'Four-Weekly Heat &amp; Power Demand'!C642</f>
        <v>3.4332694957598457</v>
      </c>
      <c r="C633">
        <f>'Four-Weekly Heat &amp; Power Demand'!D642</f>
        <v>1.8717327794185254</v>
      </c>
      <c r="D633">
        <f>'Four-Weekly Heat &amp; Power Demand'!E642</f>
        <v>0.32981104388639787</v>
      </c>
      <c r="E633" s="55">
        <f>'Four-Weekly Heat &amp; Power Demand'!O642</f>
        <v>0.38224352251574223</v>
      </c>
      <c r="F633" s="55">
        <f>'Four-Weekly Heat &amp; Power Demand'!P642</f>
        <v>0.21957685264482196</v>
      </c>
      <c r="G633" s="55">
        <f>'Four-Weekly Heat &amp; Power Demand'!Q642</f>
        <v>4.6321775826741275E-2</v>
      </c>
    </row>
    <row r="634" spans="1:7" x14ac:dyDescent="0.2">
      <c r="A634">
        <v>633</v>
      </c>
      <c r="B634">
        <f>'Four-Weekly Heat &amp; Power Demand'!C643</f>
        <v>0</v>
      </c>
      <c r="C634">
        <f>'Four-Weekly Heat &amp; Power Demand'!D643</f>
        <v>0</v>
      </c>
      <c r="D634">
        <f>'Four-Weekly Heat &amp; Power Demand'!E643</f>
        <v>0</v>
      </c>
      <c r="E634" s="55">
        <f>'Four-Weekly Heat &amp; Power Demand'!O643</f>
        <v>0</v>
      </c>
      <c r="F634" s="55">
        <f>'Four-Weekly Heat &amp; Power Demand'!P643</f>
        <v>0</v>
      </c>
      <c r="G634" s="55">
        <f>'Four-Weekly Heat &amp; Power Demand'!Q643</f>
        <v>0</v>
      </c>
    </row>
    <row r="635" spans="1:7" x14ac:dyDescent="0.2">
      <c r="A635">
        <v>634</v>
      </c>
      <c r="B635">
        <f>'Four-Weekly Heat &amp; Power Demand'!C644</f>
        <v>0</v>
      </c>
      <c r="C635">
        <f>'Four-Weekly Heat &amp; Power Demand'!D644</f>
        <v>0</v>
      </c>
      <c r="D635">
        <f>'Four-Weekly Heat &amp; Power Demand'!E644</f>
        <v>0</v>
      </c>
      <c r="E635" s="55">
        <f>'Four-Weekly Heat &amp; Power Demand'!O644</f>
        <v>0</v>
      </c>
      <c r="F635" s="55">
        <f>'Four-Weekly Heat &amp; Power Demand'!P644</f>
        <v>0</v>
      </c>
      <c r="G635" s="55">
        <f>'Four-Weekly Heat &amp; Power Demand'!Q644</f>
        <v>0</v>
      </c>
    </row>
    <row r="636" spans="1:7" x14ac:dyDescent="0.2">
      <c r="A636">
        <v>635</v>
      </c>
      <c r="B636">
        <f>'Four-Weekly Heat &amp; Power Demand'!C645</f>
        <v>0</v>
      </c>
      <c r="C636">
        <f>'Four-Weekly Heat &amp; Power Demand'!D645</f>
        <v>0</v>
      </c>
      <c r="D636">
        <f>'Four-Weekly Heat &amp; Power Demand'!E645</f>
        <v>0</v>
      </c>
      <c r="E636" s="55">
        <f>'Four-Weekly Heat &amp; Power Demand'!O645</f>
        <v>0</v>
      </c>
      <c r="F636" s="55">
        <f>'Four-Weekly Heat &amp; Power Demand'!P645</f>
        <v>0</v>
      </c>
      <c r="G636" s="55">
        <f>'Four-Weekly Heat &amp; Power Demand'!Q645</f>
        <v>0</v>
      </c>
    </row>
    <row r="637" spans="1:7" x14ac:dyDescent="0.2">
      <c r="A637">
        <v>636</v>
      </c>
      <c r="B637">
        <f>'Four-Weekly Heat &amp; Power Demand'!C646</f>
        <v>0</v>
      </c>
      <c r="C637">
        <f>'Four-Weekly Heat &amp; Power Demand'!D646</f>
        <v>0</v>
      </c>
      <c r="D637">
        <f>'Four-Weekly Heat &amp; Power Demand'!E646</f>
        <v>0</v>
      </c>
      <c r="E637" s="55">
        <f>'Four-Weekly Heat &amp; Power Demand'!O646</f>
        <v>0</v>
      </c>
      <c r="F637" s="55">
        <f>'Four-Weekly Heat &amp; Power Demand'!P646</f>
        <v>0</v>
      </c>
      <c r="G637" s="55">
        <f>'Four-Weekly Heat &amp; Power Demand'!Q646</f>
        <v>0</v>
      </c>
    </row>
    <row r="638" spans="1:7" x14ac:dyDescent="0.2">
      <c r="A638">
        <v>637</v>
      </c>
      <c r="B638">
        <f>'Four-Weekly Heat &amp; Power Demand'!C647</f>
        <v>0</v>
      </c>
      <c r="C638">
        <f>'Four-Weekly Heat &amp; Power Demand'!D647</f>
        <v>0</v>
      </c>
      <c r="D638">
        <f>'Four-Weekly Heat &amp; Power Demand'!E647</f>
        <v>0</v>
      </c>
      <c r="E638" s="55">
        <f>'Four-Weekly Heat &amp; Power Demand'!O647</f>
        <v>0</v>
      </c>
      <c r="F638" s="55">
        <f>'Four-Weekly Heat &amp; Power Demand'!P647</f>
        <v>0</v>
      </c>
      <c r="G638" s="55">
        <f>'Four-Weekly Heat &amp; Power Demand'!Q647</f>
        <v>0</v>
      </c>
    </row>
    <row r="639" spans="1:7" x14ac:dyDescent="0.2">
      <c r="A639">
        <v>638</v>
      </c>
      <c r="B639">
        <f>'Four-Weekly Heat &amp; Power Demand'!C648</f>
        <v>0</v>
      </c>
      <c r="C639">
        <f>'Four-Weekly Heat &amp; Power Demand'!D648</f>
        <v>0</v>
      </c>
      <c r="D639">
        <f>'Four-Weekly Heat &amp; Power Demand'!E648</f>
        <v>0</v>
      </c>
      <c r="E639" s="55">
        <f>'Four-Weekly Heat &amp; Power Demand'!O648</f>
        <v>0</v>
      </c>
      <c r="F639" s="55">
        <f>'Four-Weekly Heat &amp; Power Demand'!P648</f>
        <v>0</v>
      </c>
      <c r="G639" s="55">
        <f>'Four-Weekly Heat &amp; Power Demand'!Q648</f>
        <v>0</v>
      </c>
    </row>
    <row r="640" spans="1:7" x14ac:dyDescent="0.2">
      <c r="A640">
        <v>639</v>
      </c>
      <c r="B640">
        <f>'Four-Weekly Heat &amp; Power Demand'!C649</f>
        <v>0</v>
      </c>
      <c r="C640">
        <f>'Four-Weekly Heat &amp; Power Demand'!D649</f>
        <v>0</v>
      </c>
      <c r="D640">
        <f>'Four-Weekly Heat &amp; Power Demand'!E649</f>
        <v>0</v>
      </c>
      <c r="E640" s="55">
        <f>'Four-Weekly Heat &amp; Power Demand'!O649</f>
        <v>0</v>
      </c>
      <c r="F640" s="55">
        <f>'Four-Weekly Heat &amp; Power Demand'!P649</f>
        <v>0</v>
      </c>
      <c r="G640" s="55">
        <f>'Four-Weekly Heat &amp; Power Demand'!Q649</f>
        <v>0</v>
      </c>
    </row>
    <row r="641" spans="1:7" x14ac:dyDescent="0.2">
      <c r="A641">
        <v>640</v>
      </c>
      <c r="B641">
        <f>'Four-Weekly Heat &amp; Power Demand'!C650</f>
        <v>3.4332694957598457</v>
      </c>
      <c r="C641">
        <f>'Four-Weekly Heat &amp; Power Demand'!D650</f>
        <v>1.8717327794185254</v>
      </c>
      <c r="D641">
        <f>'Four-Weekly Heat &amp; Power Demand'!E650</f>
        <v>0.32981104388639787</v>
      </c>
      <c r="E641" s="55">
        <f>'Four-Weekly Heat &amp; Power Demand'!O650</f>
        <v>0.38224352251574223</v>
      </c>
      <c r="F641" s="55">
        <f>'Four-Weekly Heat &amp; Power Demand'!P650</f>
        <v>0.21957685264482196</v>
      </c>
      <c r="G641" s="55">
        <f>'Four-Weekly Heat &amp; Power Demand'!Q650</f>
        <v>4.6321775826741275E-2</v>
      </c>
    </row>
    <row r="642" spans="1:7" x14ac:dyDescent="0.2">
      <c r="A642">
        <v>641</v>
      </c>
      <c r="B642">
        <f>'Four-Weekly Heat &amp; Power Demand'!C651</f>
        <v>3.4332694957598457</v>
      </c>
      <c r="C642">
        <f>'Four-Weekly Heat &amp; Power Demand'!D651</f>
        <v>1.8717327794185254</v>
      </c>
      <c r="D642">
        <f>'Four-Weekly Heat &amp; Power Demand'!E651</f>
        <v>0.32981104388639787</v>
      </c>
      <c r="E642" s="55">
        <f>'Four-Weekly Heat &amp; Power Demand'!O651</f>
        <v>0.38224352251574223</v>
      </c>
      <c r="F642" s="55">
        <f>'Four-Weekly Heat &amp; Power Demand'!P651</f>
        <v>0.21957685264482196</v>
      </c>
      <c r="G642" s="55">
        <f>'Four-Weekly Heat &amp; Power Demand'!Q651</f>
        <v>4.6321775826741275E-2</v>
      </c>
    </row>
    <row r="643" spans="1:7" x14ac:dyDescent="0.2">
      <c r="A643">
        <v>642</v>
      </c>
      <c r="B643">
        <f>'Four-Weekly Heat &amp; Power Demand'!C652</f>
        <v>3.4332694957598457</v>
      </c>
      <c r="C643">
        <f>'Four-Weekly Heat &amp; Power Demand'!D652</f>
        <v>1.8717327794185254</v>
      </c>
      <c r="D643">
        <f>'Four-Weekly Heat &amp; Power Demand'!E652</f>
        <v>0.32981104388639787</v>
      </c>
      <c r="E643" s="55">
        <f>'Four-Weekly Heat &amp; Power Demand'!O652</f>
        <v>0.38224352251574223</v>
      </c>
      <c r="F643" s="55">
        <f>'Four-Weekly Heat &amp; Power Demand'!P652</f>
        <v>0.21957685264482196</v>
      </c>
      <c r="G643" s="55">
        <f>'Four-Weekly Heat &amp; Power Demand'!Q652</f>
        <v>4.6321775826741275E-2</v>
      </c>
    </row>
    <row r="644" spans="1:7" x14ac:dyDescent="0.2">
      <c r="A644">
        <v>643</v>
      </c>
      <c r="B644">
        <f>'Four-Weekly Heat &amp; Power Demand'!C653</f>
        <v>3.4332694957598457</v>
      </c>
      <c r="C644">
        <f>'Four-Weekly Heat &amp; Power Demand'!D653</f>
        <v>1.8717327794185254</v>
      </c>
      <c r="D644">
        <f>'Four-Weekly Heat &amp; Power Demand'!E653</f>
        <v>0.32981104388639787</v>
      </c>
      <c r="E644" s="55">
        <f>'Four-Weekly Heat &amp; Power Demand'!O653</f>
        <v>0.38224352251574223</v>
      </c>
      <c r="F644" s="55">
        <f>'Four-Weekly Heat &amp; Power Demand'!P653</f>
        <v>0.21957685264482196</v>
      </c>
      <c r="G644" s="55">
        <f>'Four-Weekly Heat &amp; Power Demand'!Q653</f>
        <v>4.6321775826741275E-2</v>
      </c>
    </row>
    <row r="645" spans="1:7" x14ac:dyDescent="0.2">
      <c r="A645">
        <v>644</v>
      </c>
      <c r="B645">
        <f>'Four-Weekly Heat &amp; Power Demand'!C654</f>
        <v>3.4332694957598457</v>
      </c>
      <c r="C645">
        <f>'Four-Weekly Heat &amp; Power Demand'!D654</f>
        <v>1.8717327794185254</v>
      </c>
      <c r="D645">
        <f>'Four-Weekly Heat &amp; Power Demand'!E654</f>
        <v>0.32981104388639787</v>
      </c>
      <c r="E645" s="55">
        <f>'Four-Weekly Heat &amp; Power Demand'!O654</f>
        <v>0.38224352251574223</v>
      </c>
      <c r="F645" s="55">
        <f>'Four-Weekly Heat &amp; Power Demand'!P654</f>
        <v>0.21957685264482196</v>
      </c>
      <c r="G645" s="55">
        <f>'Four-Weekly Heat &amp; Power Demand'!Q654</f>
        <v>4.6321775826741275E-2</v>
      </c>
    </row>
    <row r="646" spans="1:7" x14ac:dyDescent="0.2">
      <c r="A646">
        <v>645</v>
      </c>
      <c r="B646">
        <f>'Four-Weekly Heat &amp; Power Demand'!C655</f>
        <v>3.4332694957598457</v>
      </c>
      <c r="C646">
        <f>'Four-Weekly Heat &amp; Power Demand'!D655</f>
        <v>1.8717327794185254</v>
      </c>
      <c r="D646">
        <f>'Four-Weekly Heat &amp; Power Demand'!E655</f>
        <v>0.32981104388639787</v>
      </c>
      <c r="E646" s="55">
        <f>'Four-Weekly Heat &amp; Power Demand'!O655</f>
        <v>0.38224352251574223</v>
      </c>
      <c r="F646" s="55">
        <f>'Four-Weekly Heat &amp; Power Demand'!P655</f>
        <v>0.21957685264482196</v>
      </c>
      <c r="G646" s="55">
        <f>'Four-Weekly Heat &amp; Power Demand'!Q655</f>
        <v>4.6321775826741275E-2</v>
      </c>
    </row>
    <row r="647" spans="1:7" x14ac:dyDescent="0.2">
      <c r="A647">
        <v>646</v>
      </c>
      <c r="B647">
        <f>'Four-Weekly Heat &amp; Power Demand'!C656</f>
        <v>3.4332694957598457</v>
      </c>
      <c r="C647">
        <f>'Four-Weekly Heat &amp; Power Demand'!D656</f>
        <v>1.8717327794185254</v>
      </c>
      <c r="D647">
        <f>'Four-Weekly Heat &amp; Power Demand'!E656</f>
        <v>0.32981104388639787</v>
      </c>
      <c r="E647" s="55">
        <f>'Four-Weekly Heat &amp; Power Demand'!O656</f>
        <v>0.38224352251574223</v>
      </c>
      <c r="F647" s="55">
        <f>'Four-Weekly Heat &amp; Power Demand'!P656</f>
        <v>0.21957685264482196</v>
      </c>
      <c r="G647" s="55">
        <f>'Four-Weekly Heat &amp; Power Demand'!Q656</f>
        <v>4.6321775826741275E-2</v>
      </c>
    </row>
    <row r="648" spans="1:7" x14ac:dyDescent="0.2">
      <c r="A648">
        <v>647</v>
      </c>
      <c r="B648">
        <f>'Four-Weekly Heat &amp; Power Demand'!C657</f>
        <v>0</v>
      </c>
      <c r="C648">
        <f>'Four-Weekly Heat &amp; Power Demand'!D657</f>
        <v>0</v>
      </c>
      <c r="D648">
        <f>'Four-Weekly Heat &amp; Power Demand'!E657</f>
        <v>0</v>
      </c>
      <c r="E648" s="55">
        <f>'Four-Weekly Heat &amp; Power Demand'!O657</f>
        <v>0</v>
      </c>
      <c r="F648" s="55">
        <f>'Four-Weekly Heat &amp; Power Demand'!P657</f>
        <v>0</v>
      </c>
      <c r="G648" s="55">
        <f>'Four-Weekly Heat &amp; Power Demand'!Q657</f>
        <v>0</v>
      </c>
    </row>
    <row r="649" spans="1:7" x14ac:dyDescent="0.2">
      <c r="A649">
        <v>648</v>
      </c>
      <c r="B649">
        <f>'Four-Weekly Heat &amp; Power Demand'!C658</f>
        <v>0</v>
      </c>
      <c r="C649">
        <f>'Four-Weekly Heat &amp; Power Demand'!D658</f>
        <v>0</v>
      </c>
      <c r="D649">
        <f>'Four-Weekly Heat &amp; Power Demand'!E658</f>
        <v>0</v>
      </c>
      <c r="E649" s="55">
        <f>'Four-Weekly Heat &amp; Power Demand'!O658</f>
        <v>0</v>
      </c>
      <c r="F649" s="55">
        <f>'Four-Weekly Heat &amp; Power Demand'!P658</f>
        <v>0</v>
      </c>
      <c r="G649" s="55">
        <f>'Four-Weekly Heat &amp; Power Demand'!Q658</f>
        <v>0</v>
      </c>
    </row>
    <row r="650" spans="1:7" x14ac:dyDescent="0.2">
      <c r="A650">
        <v>649</v>
      </c>
      <c r="B650">
        <f>'Four-Weekly Heat &amp; Power Demand'!C659</f>
        <v>0</v>
      </c>
      <c r="C650">
        <f>'Four-Weekly Heat &amp; Power Demand'!D659</f>
        <v>0</v>
      </c>
      <c r="D650">
        <f>'Four-Weekly Heat &amp; Power Demand'!E659</f>
        <v>0</v>
      </c>
      <c r="E650" s="55">
        <f>'Four-Weekly Heat &amp; Power Demand'!O659</f>
        <v>0</v>
      </c>
      <c r="F650" s="55">
        <f>'Four-Weekly Heat &amp; Power Demand'!P659</f>
        <v>0</v>
      </c>
      <c r="G650" s="55">
        <f>'Four-Weekly Heat &amp; Power Demand'!Q659</f>
        <v>0</v>
      </c>
    </row>
    <row r="651" spans="1:7" x14ac:dyDescent="0.2">
      <c r="A651">
        <v>650</v>
      </c>
      <c r="B651">
        <f>'Four-Weekly Heat &amp; Power Demand'!C660</f>
        <v>0</v>
      </c>
      <c r="C651">
        <f>'Four-Weekly Heat &amp; Power Demand'!D660</f>
        <v>0</v>
      </c>
      <c r="D651">
        <f>'Four-Weekly Heat &amp; Power Demand'!E660</f>
        <v>0</v>
      </c>
      <c r="E651" s="55">
        <f>'Four-Weekly Heat &amp; Power Demand'!O660</f>
        <v>0</v>
      </c>
      <c r="F651" s="55">
        <f>'Four-Weekly Heat &amp; Power Demand'!P660</f>
        <v>0</v>
      </c>
      <c r="G651" s="55">
        <f>'Four-Weekly Heat &amp; Power Demand'!Q660</f>
        <v>0</v>
      </c>
    </row>
    <row r="652" spans="1:7" x14ac:dyDescent="0.2">
      <c r="A652">
        <v>651</v>
      </c>
      <c r="B652">
        <f>'Four-Weekly Heat &amp; Power Demand'!C661</f>
        <v>0</v>
      </c>
      <c r="C652">
        <f>'Four-Weekly Heat &amp; Power Demand'!D661</f>
        <v>0</v>
      </c>
      <c r="D652">
        <f>'Four-Weekly Heat &amp; Power Demand'!E661</f>
        <v>0</v>
      </c>
      <c r="E652" s="55">
        <f>'Four-Weekly Heat &amp; Power Demand'!O661</f>
        <v>0</v>
      </c>
      <c r="F652" s="55">
        <f>'Four-Weekly Heat &amp; Power Demand'!P661</f>
        <v>0</v>
      </c>
      <c r="G652" s="55">
        <f>'Four-Weekly Heat &amp; Power Demand'!Q661</f>
        <v>0</v>
      </c>
    </row>
    <row r="653" spans="1:7" x14ac:dyDescent="0.2">
      <c r="A653">
        <v>652</v>
      </c>
      <c r="B653">
        <f>'Four-Weekly Heat &amp; Power Demand'!C662</f>
        <v>0</v>
      </c>
      <c r="C653">
        <f>'Four-Weekly Heat &amp; Power Demand'!D662</f>
        <v>0</v>
      </c>
      <c r="D653">
        <f>'Four-Weekly Heat &amp; Power Demand'!E662</f>
        <v>0</v>
      </c>
      <c r="E653" s="55">
        <f>'Four-Weekly Heat &amp; Power Demand'!O662</f>
        <v>0</v>
      </c>
      <c r="F653" s="55">
        <f>'Four-Weekly Heat &amp; Power Demand'!P662</f>
        <v>0</v>
      </c>
      <c r="G653" s="55">
        <f>'Four-Weekly Heat &amp; Power Demand'!Q662</f>
        <v>0</v>
      </c>
    </row>
    <row r="654" spans="1:7" x14ac:dyDescent="0.2">
      <c r="A654">
        <v>653</v>
      </c>
      <c r="B654">
        <f>'Four-Weekly Heat &amp; Power Demand'!C663</f>
        <v>0</v>
      </c>
      <c r="C654">
        <f>'Four-Weekly Heat &amp; Power Demand'!D663</f>
        <v>0</v>
      </c>
      <c r="D654">
        <f>'Four-Weekly Heat &amp; Power Demand'!E663</f>
        <v>0</v>
      </c>
      <c r="E654" s="55">
        <f>'Four-Weekly Heat &amp; Power Demand'!O663</f>
        <v>0</v>
      </c>
      <c r="F654" s="55">
        <f>'Four-Weekly Heat &amp; Power Demand'!P663</f>
        <v>0</v>
      </c>
      <c r="G654" s="55">
        <f>'Four-Weekly Heat &amp; Power Demand'!Q663</f>
        <v>0</v>
      </c>
    </row>
    <row r="655" spans="1:7" x14ac:dyDescent="0.2">
      <c r="A655">
        <v>654</v>
      </c>
      <c r="B655">
        <f>'Four-Weekly Heat &amp; Power Demand'!C664</f>
        <v>0</v>
      </c>
      <c r="C655">
        <f>'Four-Weekly Heat &amp; Power Demand'!D664</f>
        <v>0</v>
      </c>
      <c r="D655">
        <f>'Four-Weekly Heat &amp; Power Demand'!E664</f>
        <v>0</v>
      </c>
      <c r="E655" s="55">
        <f>'Four-Weekly Heat &amp; Power Demand'!O664</f>
        <v>0</v>
      </c>
      <c r="F655" s="55">
        <f>'Four-Weekly Heat &amp; Power Demand'!P664</f>
        <v>0</v>
      </c>
      <c r="G655" s="55">
        <f>'Four-Weekly Heat &amp; Power Demand'!Q664</f>
        <v>0</v>
      </c>
    </row>
    <row r="656" spans="1:7" x14ac:dyDescent="0.2">
      <c r="A656">
        <v>655</v>
      </c>
      <c r="B656">
        <f>'Four-Weekly Heat &amp; Power Demand'!C665</f>
        <v>3.4332694957598457</v>
      </c>
      <c r="C656">
        <f>'Four-Weekly Heat &amp; Power Demand'!D665</f>
        <v>1.8717327794185254</v>
      </c>
      <c r="D656">
        <f>'Four-Weekly Heat &amp; Power Demand'!E665</f>
        <v>0.32981104388639787</v>
      </c>
      <c r="E656" s="55">
        <f>'Four-Weekly Heat &amp; Power Demand'!O665</f>
        <v>0.38224352251574223</v>
      </c>
      <c r="F656" s="55">
        <f>'Four-Weekly Heat &amp; Power Demand'!P665</f>
        <v>0.21957685264482196</v>
      </c>
      <c r="G656" s="55">
        <f>'Four-Weekly Heat &amp; Power Demand'!Q665</f>
        <v>4.6321775826741275E-2</v>
      </c>
    </row>
    <row r="657" spans="1:7" x14ac:dyDescent="0.2">
      <c r="A657">
        <v>656</v>
      </c>
      <c r="B657">
        <f>'Four-Weekly Heat &amp; Power Demand'!C666</f>
        <v>3.4332694957598457</v>
      </c>
      <c r="C657">
        <f>'Four-Weekly Heat &amp; Power Demand'!D666</f>
        <v>1.8717327794185254</v>
      </c>
      <c r="D657">
        <f>'Four-Weekly Heat &amp; Power Demand'!E666</f>
        <v>0.32981104388639787</v>
      </c>
      <c r="E657" s="55">
        <f>'Four-Weekly Heat &amp; Power Demand'!O666</f>
        <v>0.38224352251574223</v>
      </c>
      <c r="F657" s="55">
        <f>'Four-Weekly Heat &amp; Power Demand'!P666</f>
        <v>0.21957685264482196</v>
      </c>
      <c r="G657" s="55">
        <f>'Four-Weekly Heat &amp; Power Demand'!Q666</f>
        <v>4.6321775826741275E-2</v>
      </c>
    </row>
    <row r="658" spans="1:7" x14ac:dyDescent="0.2">
      <c r="A658">
        <v>657</v>
      </c>
      <c r="B658">
        <f>'Four-Weekly Heat &amp; Power Demand'!C667</f>
        <v>0</v>
      </c>
      <c r="C658">
        <f>'Four-Weekly Heat &amp; Power Demand'!D667</f>
        <v>0</v>
      </c>
      <c r="D658">
        <f>'Four-Weekly Heat &amp; Power Demand'!E667</f>
        <v>0</v>
      </c>
      <c r="E658" s="55">
        <f>'Four-Weekly Heat &amp; Power Demand'!O667</f>
        <v>0</v>
      </c>
      <c r="F658" s="55">
        <f>'Four-Weekly Heat &amp; Power Demand'!P667</f>
        <v>0</v>
      </c>
      <c r="G658" s="55">
        <f>'Four-Weekly Heat &amp; Power Demand'!Q667</f>
        <v>0</v>
      </c>
    </row>
    <row r="659" spans="1:7" x14ac:dyDescent="0.2">
      <c r="A659">
        <v>658</v>
      </c>
      <c r="B659">
        <f>'Four-Weekly Heat &amp; Power Demand'!C668</f>
        <v>0</v>
      </c>
      <c r="C659">
        <f>'Four-Weekly Heat &amp; Power Demand'!D668</f>
        <v>0</v>
      </c>
      <c r="D659">
        <f>'Four-Weekly Heat &amp; Power Demand'!E668</f>
        <v>0</v>
      </c>
      <c r="E659" s="55">
        <f>'Four-Weekly Heat &amp; Power Demand'!O668</f>
        <v>0</v>
      </c>
      <c r="F659" s="55">
        <f>'Four-Weekly Heat &amp; Power Demand'!P668</f>
        <v>0</v>
      </c>
      <c r="G659" s="55">
        <f>'Four-Weekly Heat &amp; Power Demand'!Q668</f>
        <v>0</v>
      </c>
    </row>
    <row r="660" spans="1:7" x14ac:dyDescent="0.2">
      <c r="A660">
        <v>659</v>
      </c>
      <c r="B660">
        <f>'Four-Weekly Heat &amp; Power Demand'!C669</f>
        <v>0</v>
      </c>
      <c r="C660">
        <f>'Four-Weekly Heat &amp; Power Demand'!D669</f>
        <v>0</v>
      </c>
      <c r="D660">
        <f>'Four-Weekly Heat &amp; Power Demand'!E669</f>
        <v>0</v>
      </c>
      <c r="E660" s="55">
        <f>'Four-Weekly Heat &amp; Power Demand'!O669</f>
        <v>0</v>
      </c>
      <c r="F660" s="55">
        <f>'Four-Weekly Heat &amp; Power Demand'!P669</f>
        <v>0</v>
      </c>
      <c r="G660" s="55">
        <f>'Four-Weekly Heat &amp; Power Demand'!Q669</f>
        <v>0</v>
      </c>
    </row>
    <row r="661" spans="1:7" x14ac:dyDescent="0.2">
      <c r="A661">
        <v>660</v>
      </c>
      <c r="B661">
        <f>'Four-Weekly Heat &amp; Power Demand'!C670</f>
        <v>0</v>
      </c>
      <c r="C661">
        <f>'Four-Weekly Heat &amp; Power Demand'!D670</f>
        <v>0</v>
      </c>
      <c r="D661">
        <f>'Four-Weekly Heat &amp; Power Demand'!E670</f>
        <v>0</v>
      </c>
      <c r="E661" s="55">
        <f>'Four-Weekly Heat &amp; Power Demand'!O670</f>
        <v>0</v>
      </c>
      <c r="F661" s="55">
        <f>'Four-Weekly Heat &amp; Power Demand'!P670</f>
        <v>0</v>
      </c>
      <c r="G661" s="55">
        <f>'Four-Weekly Heat &amp; Power Demand'!Q670</f>
        <v>0</v>
      </c>
    </row>
    <row r="662" spans="1:7" x14ac:dyDescent="0.2">
      <c r="A662">
        <v>661</v>
      </c>
      <c r="B662">
        <f>'Four-Weekly Heat &amp; Power Demand'!C671</f>
        <v>0</v>
      </c>
      <c r="C662">
        <f>'Four-Weekly Heat &amp; Power Demand'!D671</f>
        <v>0</v>
      </c>
      <c r="D662">
        <f>'Four-Weekly Heat &amp; Power Demand'!E671</f>
        <v>0</v>
      </c>
      <c r="E662" s="55">
        <f>'Four-Weekly Heat &amp; Power Demand'!O671</f>
        <v>0</v>
      </c>
      <c r="F662" s="55">
        <f>'Four-Weekly Heat &amp; Power Demand'!P671</f>
        <v>0</v>
      </c>
      <c r="G662" s="55">
        <f>'Four-Weekly Heat &amp; Power Demand'!Q671</f>
        <v>0</v>
      </c>
    </row>
    <row r="663" spans="1:7" x14ac:dyDescent="0.2">
      <c r="A663">
        <v>662</v>
      </c>
      <c r="B663">
        <f>'Four-Weekly Heat &amp; Power Demand'!C672</f>
        <v>0</v>
      </c>
      <c r="C663">
        <f>'Four-Weekly Heat &amp; Power Demand'!D672</f>
        <v>0</v>
      </c>
      <c r="D663">
        <f>'Four-Weekly Heat &amp; Power Demand'!E672</f>
        <v>0</v>
      </c>
      <c r="E663" s="55">
        <f>'Four-Weekly Heat &amp; Power Demand'!O672</f>
        <v>0</v>
      </c>
      <c r="F663" s="55">
        <f>'Four-Weekly Heat &amp; Power Demand'!P672</f>
        <v>0</v>
      </c>
      <c r="G663" s="55">
        <f>'Four-Weekly Heat &amp; Power Demand'!Q672</f>
        <v>0</v>
      </c>
    </row>
    <row r="664" spans="1:7" x14ac:dyDescent="0.2">
      <c r="A664">
        <v>663</v>
      </c>
      <c r="B664">
        <f>'Four-Weekly Heat &amp; Power Demand'!C673</f>
        <v>0</v>
      </c>
      <c r="C664">
        <f>'Four-Weekly Heat &amp; Power Demand'!D673</f>
        <v>0</v>
      </c>
      <c r="D664">
        <f>'Four-Weekly Heat &amp; Power Demand'!E673</f>
        <v>0</v>
      </c>
      <c r="E664" s="55">
        <f>'Four-Weekly Heat &amp; Power Demand'!O673</f>
        <v>0</v>
      </c>
      <c r="F664" s="55">
        <f>'Four-Weekly Heat &amp; Power Demand'!P673</f>
        <v>0</v>
      </c>
      <c r="G664" s="55">
        <f>'Four-Weekly Heat &amp; Power Demand'!Q673</f>
        <v>0</v>
      </c>
    </row>
    <row r="665" spans="1:7" x14ac:dyDescent="0.2">
      <c r="A665">
        <v>664</v>
      </c>
      <c r="B665">
        <f>'Four-Weekly Heat &amp; Power Demand'!C674</f>
        <v>3.4332694957598457</v>
      </c>
      <c r="C665">
        <f>'Four-Weekly Heat &amp; Power Demand'!D674</f>
        <v>1.8717327794185254</v>
      </c>
      <c r="D665">
        <f>'Four-Weekly Heat &amp; Power Demand'!E674</f>
        <v>0.32981104388639787</v>
      </c>
      <c r="E665" s="55">
        <f>'Four-Weekly Heat &amp; Power Demand'!O674</f>
        <v>0.38224352251574223</v>
      </c>
      <c r="F665" s="55">
        <f>'Four-Weekly Heat &amp; Power Demand'!P674</f>
        <v>0.21957685264482196</v>
      </c>
      <c r="G665" s="55">
        <f>'Four-Weekly Heat &amp; Power Demand'!Q674</f>
        <v>4.6321775826741275E-2</v>
      </c>
    </row>
    <row r="666" spans="1:7" x14ac:dyDescent="0.2">
      <c r="A666">
        <v>665</v>
      </c>
      <c r="B666">
        <f>'Four-Weekly Heat &amp; Power Demand'!C675</f>
        <v>3.4332694957598457</v>
      </c>
      <c r="C666">
        <f>'Four-Weekly Heat &amp; Power Demand'!D675</f>
        <v>1.8717327794185254</v>
      </c>
      <c r="D666">
        <f>'Four-Weekly Heat &amp; Power Demand'!E675</f>
        <v>0.32981104388639787</v>
      </c>
      <c r="E666" s="55">
        <f>'Four-Weekly Heat &amp; Power Demand'!O675</f>
        <v>0.38224352251574223</v>
      </c>
      <c r="F666" s="55">
        <f>'Four-Weekly Heat &amp; Power Demand'!P675</f>
        <v>0.21957685264482196</v>
      </c>
      <c r="G666" s="55">
        <f>'Four-Weekly Heat &amp; Power Demand'!Q675</f>
        <v>4.6321775826741275E-2</v>
      </c>
    </row>
    <row r="667" spans="1:7" x14ac:dyDescent="0.2">
      <c r="A667">
        <v>666</v>
      </c>
      <c r="B667">
        <f>'Four-Weekly Heat &amp; Power Demand'!C676</f>
        <v>3.4332694957598457</v>
      </c>
      <c r="C667">
        <f>'Four-Weekly Heat &amp; Power Demand'!D676</f>
        <v>1.8717327794185254</v>
      </c>
      <c r="D667">
        <f>'Four-Weekly Heat &amp; Power Demand'!E676</f>
        <v>0.32981104388639787</v>
      </c>
      <c r="E667" s="55">
        <f>'Four-Weekly Heat &amp; Power Demand'!O676</f>
        <v>0.38224352251574223</v>
      </c>
      <c r="F667" s="55">
        <f>'Four-Weekly Heat &amp; Power Demand'!P676</f>
        <v>0.21957685264482196</v>
      </c>
      <c r="G667" s="55">
        <f>'Four-Weekly Heat &amp; Power Demand'!Q676</f>
        <v>4.6321775826741275E-2</v>
      </c>
    </row>
    <row r="668" spans="1:7" x14ac:dyDescent="0.2">
      <c r="A668">
        <v>667</v>
      </c>
      <c r="B668">
        <f>'Four-Weekly Heat &amp; Power Demand'!C677</f>
        <v>3.4332694957598457</v>
      </c>
      <c r="C668">
        <f>'Four-Weekly Heat &amp; Power Demand'!D677</f>
        <v>1.8717327794185254</v>
      </c>
      <c r="D668">
        <f>'Four-Weekly Heat &amp; Power Demand'!E677</f>
        <v>0.32981104388639787</v>
      </c>
      <c r="E668" s="55">
        <f>'Four-Weekly Heat &amp; Power Demand'!O677</f>
        <v>0.38224352251574223</v>
      </c>
      <c r="F668" s="55">
        <f>'Four-Weekly Heat &amp; Power Demand'!P677</f>
        <v>0.21957685264482196</v>
      </c>
      <c r="G668" s="55">
        <f>'Four-Weekly Heat &amp; Power Demand'!Q677</f>
        <v>4.6321775826741275E-2</v>
      </c>
    </row>
    <row r="669" spans="1:7" x14ac:dyDescent="0.2">
      <c r="A669">
        <v>668</v>
      </c>
      <c r="B669">
        <f>'Four-Weekly Heat &amp; Power Demand'!C678</f>
        <v>3.4332694957598457</v>
      </c>
      <c r="C669">
        <f>'Four-Weekly Heat &amp; Power Demand'!D678</f>
        <v>1.8717327794185254</v>
      </c>
      <c r="D669">
        <f>'Four-Weekly Heat &amp; Power Demand'!E678</f>
        <v>0.32981104388639787</v>
      </c>
      <c r="E669" s="55">
        <f>'Four-Weekly Heat &amp; Power Demand'!O678</f>
        <v>0.38224352251574223</v>
      </c>
      <c r="F669" s="55">
        <f>'Four-Weekly Heat &amp; Power Demand'!P678</f>
        <v>0.21957685264482196</v>
      </c>
      <c r="G669" s="55">
        <f>'Four-Weekly Heat &amp; Power Demand'!Q678</f>
        <v>4.6321775826741275E-2</v>
      </c>
    </row>
    <row r="670" spans="1:7" x14ac:dyDescent="0.2">
      <c r="A670">
        <v>669</v>
      </c>
      <c r="B670">
        <f>'Four-Weekly Heat &amp; Power Demand'!C679</f>
        <v>3.4332694957598457</v>
      </c>
      <c r="C670">
        <f>'Four-Weekly Heat &amp; Power Demand'!D679</f>
        <v>1.8717327794185254</v>
      </c>
      <c r="D670">
        <f>'Four-Weekly Heat &amp; Power Demand'!E679</f>
        <v>0.32981104388639787</v>
      </c>
      <c r="E670" s="55">
        <f>'Four-Weekly Heat &amp; Power Demand'!O679</f>
        <v>0.38224352251574223</v>
      </c>
      <c r="F670" s="55">
        <f>'Four-Weekly Heat &amp; Power Demand'!P679</f>
        <v>0.21957685264482196</v>
      </c>
      <c r="G670" s="55">
        <f>'Four-Weekly Heat &amp; Power Demand'!Q679</f>
        <v>4.6321775826741275E-2</v>
      </c>
    </row>
    <row r="671" spans="1:7" x14ac:dyDescent="0.2">
      <c r="A671">
        <v>670</v>
      </c>
      <c r="B671">
        <f>'Four-Weekly Heat &amp; Power Demand'!C680</f>
        <v>3.4332694957598457</v>
      </c>
      <c r="C671">
        <f>'Four-Weekly Heat &amp; Power Demand'!D680</f>
        <v>1.8717327794185254</v>
      </c>
      <c r="D671">
        <f>'Four-Weekly Heat &amp; Power Demand'!E680</f>
        <v>0.32981104388639787</v>
      </c>
      <c r="E671" s="55">
        <f>'Four-Weekly Heat &amp; Power Demand'!O680</f>
        <v>0.38224352251574223</v>
      </c>
      <c r="F671" s="55">
        <f>'Four-Weekly Heat &amp; Power Demand'!P680</f>
        <v>0.21957685264482196</v>
      </c>
      <c r="G671" s="55">
        <f>'Four-Weekly Heat &amp; Power Demand'!Q680</f>
        <v>4.6321775826741275E-2</v>
      </c>
    </row>
    <row r="672" spans="1:7" x14ac:dyDescent="0.2">
      <c r="A672">
        <v>671</v>
      </c>
      <c r="B672">
        <f>'Four-Weekly Heat &amp; Power Demand'!C681</f>
        <v>0</v>
      </c>
      <c r="C672">
        <f>'Four-Weekly Heat &amp; Power Demand'!D681</f>
        <v>0</v>
      </c>
      <c r="D672">
        <f>'Four-Weekly Heat &amp; Power Demand'!E681</f>
        <v>0</v>
      </c>
      <c r="E672" s="55">
        <f>'Four-Weekly Heat &amp; Power Demand'!O681</f>
        <v>0</v>
      </c>
      <c r="F672" s="55">
        <f>'Four-Weekly Heat &amp; Power Demand'!P681</f>
        <v>0</v>
      </c>
      <c r="G672" s="55">
        <f>'Four-Weekly Heat &amp; Power Demand'!Q681</f>
        <v>0</v>
      </c>
    </row>
    <row r="673" spans="1:7" x14ac:dyDescent="0.2">
      <c r="A673">
        <v>672</v>
      </c>
      <c r="B673">
        <f>'Four-Weekly Heat &amp; Power Demand'!C682</f>
        <v>0</v>
      </c>
      <c r="C673">
        <f>'Four-Weekly Heat &amp; Power Demand'!D682</f>
        <v>0</v>
      </c>
      <c r="D673">
        <f>'Four-Weekly Heat &amp; Power Demand'!E682</f>
        <v>0</v>
      </c>
      <c r="E673" s="55">
        <f>'Four-Weekly Heat &amp; Power Demand'!O682</f>
        <v>0</v>
      </c>
      <c r="F673" s="55">
        <f>'Four-Weekly Heat &amp; Power Demand'!P682</f>
        <v>0</v>
      </c>
      <c r="G673" s="55">
        <f>'Four-Weekly Heat &amp; Power Demand'!Q682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30652-F74F-204B-881B-1029FE354F87}">
  <dimension ref="A1:H10"/>
  <sheetViews>
    <sheetView tabSelected="1" zoomScale="170" zoomScaleNormal="170" workbookViewId="0">
      <selection activeCell="E7" sqref="E7"/>
    </sheetView>
  </sheetViews>
  <sheetFormatPr baseColWidth="10" defaultRowHeight="16" x14ac:dyDescent="0.2"/>
  <cols>
    <col min="1" max="2" width="24.1640625" customWidth="1"/>
    <col min="3" max="3" width="13.6640625" bestFit="1" customWidth="1"/>
    <col min="4" max="4" width="15.1640625" customWidth="1"/>
    <col min="5" max="5" width="12.6640625" bestFit="1" customWidth="1"/>
  </cols>
  <sheetData>
    <row r="1" spans="1:8" x14ac:dyDescent="0.2">
      <c r="F1" s="17" t="s">
        <v>180</v>
      </c>
    </row>
    <row r="2" spans="1:8" x14ac:dyDescent="0.2">
      <c r="B2" t="s">
        <v>190</v>
      </c>
      <c r="C2">
        <v>13</v>
      </c>
      <c r="D2">
        <v>26</v>
      </c>
      <c r="E2">
        <v>13</v>
      </c>
      <c r="F2">
        <f>SUM(C2:E2)</f>
        <v>52</v>
      </c>
    </row>
    <row r="4" spans="1:8" s="17" customFormat="1" x14ac:dyDescent="0.2">
      <c r="C4" s="17" t="str">
        <f>'Four-Weekly Heat &amp; Power Demand'!C10</f>
        <v>Winter</v>
      </c>
      <c r="D4" s="17" t="str">
        <f>'Four-Weekly Heat &amp; Power Demand'!D10</f>
        <v>Spring/Autumn</v>
      </c>
      <c r="E4" s="17" t="str">
        <f>'Four-Weekly Heat &amp; Power Demand'!E10</f>
        <v>Summer</v>
      </c>
    </row>
    <row r="5" spans="1:8" x14ac:dyDescent="0.2">
      <c r="A5" t="s">
        <v>182</v>
      </c>
      <c r="B5" t="s">
        <v>183</v>
      </c>
      <c r="C5" s="35">
        <f>'[1]DC Cooler Heat Released'!$J$3</f>
        <v>656.38016456043965</v>
      </c>
      <c r="D5" s="35">
        <f>'[1]DC Cooler Heat Released'!$K$3</f>
        <v>705.63792164632241</v>
      </c>
      <c r="E5" s="35">
        <f>'[1]DC Cooler Heat Released'!$L$3</f>
        <v>756.81866909524354</v>
      </c>
    </row>
    <row r="6" spans="1:8" x14ac:dyDescent="0.2">
      <c r="A6" t="s">
        <v>184</v>
      </c>
      <c r="B6" t="s">
        <v>183</v>
      </c>
      <c r="C6" s="35">
        <f>C5*C2</f>
        <v>8532.9421392857148</v>
      </c>
      <c r="D6" s="35">
        <f>D5*D2</f>
        <v>18346.585962804384</v>
      </c>
      <c r="E6" s="35">
        <f>E5*E2</f>
        <v>9838.6426982381654</v>
      </c>
      <c r="F6" s="35">
        <f>SUM(C6:E6)</f>
        <v>36718.170800328262</v>
      </c>
    </row>
    <row r="7" spans="1:8" x14ac:dyDescent="0.2">
      <c r="A7" t="s">
        <v>188</v>
      </c>
      <c r="B7" t="s">
        <v>183</v>
      </c>
      <c r="C7" s="35">
        <f>'Four-Weekly Heat &amp; Power Demand'!AA12</f>
        <v>7329.784798121681</v>
      </c>
      <c r="D7" s="35">
        <f>'Four-Weekly Heat &amp; Power Demand'!AB12</f>
        <v>7938.2787969623269</v>
      </c>
      <c r="E7" s="35">
        <f>'Four-Weekly Heat &amp; Power Demand'!AC12</f>
        <v>681.05461758651404</v>
      </c>
      <c r="F7" s="35">
        <f>SUM(C7:E7)</f>
        <v>15949.118212670523</v>
      </c>
    </row>
    <row r="8" spans="1:8" x14ac:dyDescent="0.2">
      <c r="A8" t="s">
        <v>189</v>
      </c>
      <c r="B8" t="s">
        <v>183</v>
      </c>
      <c r="C8" s="153">
        <f>C6-C7</f>
        <v>1203.1573411640338</v>
      </c>
      <c r="D8" s="153">
        <f t="shared" ref="D8:F8" si="0">D6-D7</f>
        <v>10408.307165842056</v>
      </c>
      <c r="E8" s="153">
        <f t="shared" si="0"/>
        <v>9157.5880806516507</v>
      </c>
      <c r="F8" s="153">
        <f t="shared" si="0"/>
        <v>20769.052587657738</v>
      </c>
    </row>
    <row r="9" spans="1:8" x14ac:dyDescent="0.2">
      <c r="C9" s="116">
        <f>C8/C6</f>
        <v>0.14100146485520984</v>
      </c>
      <c r="D9" s="116">
        <f t="shared" ref="D9:F9" si="1">D8/D6</f>
        <v>0.56731574947751673</v>
      </c>
      <c r="E9" s="116">
        <f t="shared" si="1"/>
        <v>0.93077758401486888</v>
      </c>
      <c r="F9" s="154">
        <f t="shared" si="1"/>
        <v>0.56563418424623868</v>
      </c>
      <c r="G9" s="87"/>
      <c r="H9" s="87"/>
    </row>
    <row r="10" spans="1:8" x14ac:dyDescent="0.2">
      <c r="C10" s="35"/>
      <c r="D10" s="35"/>
      <c r="E10" s="35"/>
      <c r="F10" s="35"/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9D8C3-5BDD-DC4F-AA56-65A587E154DB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1.1.9</vt:lpstr>
      <vt:lpstr>Degree-days</vt:lpstr>
      <vt:lpstr>Heat System Daily Operation</vt:lpstr>
      <vt:lpstr>Daily Heat Demand</vt:lpstr>
      <vt:lpstr>Daily Heat Demand Matrix (2)</vt:lpstr>
      <vt:lpstr>HomeHeatDemand</vt:lpstr>
      <vt:lpstr>HP_Power</vt:lpstr>
      <vt:lpstr>Four-Weekly Heat &amp; Power Demand</vt:lpstr>
      <vt:lpstr>No Homes Calcs for Report</vt:lpstr>
      <vt:lpstr>Side Calcs</vt:lpstr>
      <vt:lpstr>Simulink Lookup Tables</vt:lpstr>
      <vt:lpstr>Annual Heat Demand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north</dc:creator>
  <cp:lastModifiedBy>peter north</cp:lastModifiedBy>
  <dcterms:created xsi:type="dcterms:W3CDTF">2025-01-05T14:58:47Z</dcterms:created>
  <dcterms:modified xsi:type="dcterms:W3CDTF">2026-09-02T10:35:27Z</dcterms:modified>
</cp:coreProperties>
</file>